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3"/>
  <workbookPr/>
  <mc:AlternateContent xmlns:mc="http://schemas.openxmlformats.org/markup-compatibility/2006">
    <mc:Choice Requires="x15">
      <x15ac:absPath xmlns:x15ac="http://schemas.microsoft.com/office/spreadsheetml/2010/11/ac" url="D:\OM4\Material\Shipment Import\0003 Conduit &amp; Accessories\"/>
    </mc:Choice>
  </mc:AlternateContent>
  <xr:revisionPtr revIDLastSave="0" documentId="13_ncr:1_{37F68114-1450-4F72-BC34-62C41DED2792}" xr6:coauthVersionLast="47" xr6:coauthVersionMax="47" xr10:uidLastSave="{00000000-0000-0000-0000-000000000000}"/>
  <bookViews>
    <workbookView xWindow="-60" yWindow="-60" windowWidth="28920" windowHeight="15600" tabRatio="667" xr2:uid="{00000000-000D-0000-FFFF-FFFF00000000}"/>
  </bookViews>
  <sheets>
    <sheet name="Break Down CI" sheetId="2" r:id="rId1"/>
    <sheet name="Detailed PL" sheetId="5" r:id="rId2"/>
    <sheet name="Commercial Invoice" sheetId="1" r:id="rId3"/>
    <sheet name="Packing List (1_2)" sheetId="3" r:id="rId4"/>
    <sheet name="PL(2_2)" sheetId="4" r:id="rId5"/>
    <sheet name="SHIPPING MARK (001)" sheetId="12" r:id="rId6"/>
    <sheet name="SHIPPING MARK (002)" sheetId="14" r:id="rId7"/>
    <sheet name="SHIPPING MARK (003)" sheetId="15" r:id="rId8"/>
    <sheet name="SHIPPING MARK (004)" sheetId="16" r:id="rId9"/>
    <sheet name="SHIPPING MARK (005)" sheetId="17" r:id="rId10"/>
    <sheet name="SHIPPING MARK (006)" sheetId="18" r:id="rId11"/>
    <sheet name="SHIPPING MARK (007)" sheetId="19" r:id="rId12"/>
    <sheet name="SHIPPING MARK (008)" sheetId="20" r:id="rId13"/>
    <sheet name="SHIPPING MARK (009)" sheetId="21" r:id="rId14"/>
    <sheet name="SHIPPING MARK (010)" sheetId="22" r:id="rId15"/>
    <sheet name="SHIPPING MARK (011)" sheetId="23" r:id="rId16"/>
    <sheet name="SHIPPING MARK (012)" sheetId="24" r:id="rId17"/>
    <sheet name="SHIPPING MARK (013)" sheetId="25" r:id="rId18"/>
    <sheet name="SHIPPING MARK (014)" sheetId="26" r:id="rId19"/>
    <sheet name="Technical Description" sheetId="13" r:id="rId20"/>
    <sheet name="CO" sheetId="6" r:id="rId21"/>
    <sheet name="CQ" sheetId="10" r:id="rId22"/>
    <sheet name="BL" sheetId="7" r:id="rId23"/>
    <sheet name="PSIC" sheetId="11" r:id="rId24"/>
  </sheets>
  <externalReferences>
    <externalReference r:id="rId25"/>
    <externalReference r:id="rId26"/>
    <externalReference r:id="rId27"/>
    <externalReference r:id="rId28"/>
    <externalReference r:id="rId29"/>
    <externalReference r:id="rId30"/>
  </externalReferences>
  <definedNames>
    <definedName name="__123Graph_A" localSheetId="0" hidden="1">'[1]Eq. Mobilization'!#REF!</definedName>
    <definedName name="__123Graph_A" localSheetId="2" hidden="1">'[1]Eq. Mobilization'!#REF!</definedName>
    <definedName name="__123Graph_A" localSheetId="1" hidden="1">'[1]Eq. Mobilization'!#REF!</definedName>
    <definedName name="__123Graph_A" localSheetId="3" hidden="1">'[1]Eq. Mobilization'!#REF!</definedName>
    <definedName name="__123Graph_A" localSheetId="5" hidden="1">'[1]Eq. Mobilization'!#REF!</definedName>
    <definedName name="__123Graph_A" localSheetId="6" hidden="1">'[1]Eq. Mobilization'!#REF!</definedName>
    <definedName name="__123Graph_A" localSheetId="7" hidden="1">'[1]Eq. Mobilization'!#REF!</definedName>
    <definedName name="__123Graph_A" localSheetId="8" hidden="1">'[1]Eq. Mobilization'!#REF!</definedName>
    <definedName name="__123Graph_A" localSheetId="9" hidden="1">'[1]Eq. Mobilization'!#REF!</definedName>
    <definedName name="__123Graph_A" localSheetId="10" hidden="1">'[1]Eq. Mobilization'!#REF!</definedName>
    <definedName name="__123Graph_A" localSheetId="11" hidden="1">'[1]Eq. Mobilization'!#REF!</definedName>
    <definedName name="__123Graph_A" localSheetId="12" hidden="1">'[1]Eq. Mobilization'!#REF!</definedName>
    <definedName name="__123Graph_A" localSheetId="13" hidden="1">'[1]Eq. Mobilization'!#REF!</definedName>
    <definedName name="__123Graph_A" localSheetId="14" hidden="1">'[1]Eq. Mobilization'!#REF!</definedName>
    <definedName name="__123Graph_A" localSheetId="15" hidden="1">'[1]Eq. Mobilization'!#REF!</definedName>
    <definedName name="__123Graph_A" localSheetId="16" hidden="1">'[1]Eq. Mobilization'!#REF!</definedName>
    <definedName name="__123Graph_A" localSheetId="17" hidden="1">'[1]Eq. Mobilization'!#REF!</definedName>
    <definedName name="__123Graph_A" localSheetId="18" hidden="1">'[1]Eq. Mobilization'!#REF!</definedName>
    <definedName name="__123Graph_A" localSheetId="19" hidden="1">#REF!</definedName>
    <definedName name="__123Graph_A" hidden="1">'[1]Eq. Mobilization'!#REF!</definedName>
    <definedName name="__123Graph_ACurrent" localSheetId="0" hidden="1">'[1]Eq. Mobilization'!#REF!</definedName>
    <definedName name="__123Graph_ACurrent" localSheetId="2" hidden="1">'[1]Eq. Mobilization'!#REF!</definedName>
    <definedName name="__123Graph_ACurrent" localSheetId="1" hidden="1">'[1]Eq. Mobilization'!#REF!</definedName>
    <definedName name="__123Graph_ACurrent" localSheetId="3" hidden="1">'[1]Eq. Mobilization'!#REF!</definedName>
    <definedName name="__123Graph_ACurrent" localSheetId="5" hidden="1">'[1]Eq. Mobilization'!#REF!</definedName>
    <definedName name="__123Graph_ACurrent" localSheetId="6" hidden="1">'[1]Eq. Mobilization'!#REF!</definedName>
    <definedName name="__123Graph_ACurrent" localSheetId="7" hidden="1">'[1]Eq. Mobilization'!#REF!</definedName>
    <definedName name="__123Graph_ACurrent" localSheetId="8" hidden="1">'[1]Eq. Mobilization'!#REF!</definedName>
    <definedName name="__123Graph_ACurrent" localSheetId="9" hidden="1">'[1]Eq. Mobilization'!#REF!</definedName>
    <definedName name="__123Graph_ACurrent" localSheetId="10" hidden="1">'[1]Eq. Mobilization'!#REF!</definedName>
    <definedName name="__123Graph_ACurrent" localSheetId="11" hidden="1">'[1]Eq. Mobilization'!#REF!</definedName>
    <definedName name="__123Graph_ACurrent" localSheetId="12" hidden="1">'[1]Eq. Mobilization'!#REF!</definedName>
    <definedName name="__123Graph_ACurrent" localSheetId="13" hidden="1">'[1]Eq. Mobilization'!#REF!</definedName>
    <definedName name="__123Graph_ACurrent" localSheetId="14" hidden="1">'[1]Eq. Mobilization'!#REF!</definedName>
    <definedName name="__123Graph_ACurrent" localSheetId="15" hidden="1">'[1]Eq. Mobilization'!#REF!</definedName>
    <definedName name="__123Graph_ACurrent" localSheetId="16" hidden="1">'[1]Eq. Mobilization'!#REF!</definedName>
    <definedName name="__123Graph_ACurrent" localSheetId="17" hidden="1">'[1]Eq. Mobilization'!#REF!</definedName>
    <definedName name="__123Graph_ACurrent" localSheetId="18" hidden="1">'[1]Eq. Mobilization'!#REF!</definedName>
    <definedName name="__123Graph_ACurrent" localSheetId="19" hidden="1">#REF!</definedName>
    <definedName name="__123Graph_ACurrent" hidden="1">'[1]Eq. Mobilization'!#REF!</definedName>
    <definedName name="__123Graph_B" localSheetId="0" hidden="1">'[1]Eq. Mobilization'!#REF!</definedName>
    <definedName name="__123Graph_B" localSheetId="2" hidden="1">'[1]Eq. Mobilization'!#REF!</definedName>
    <definedName name="__123Graph_B" localSheetId="1" hidden="1">'[1]Eq. Mobilization'!#REF!</definedName>
    <definedName name="__123Graph_B" localSheetId="3" hidden="1">'[1]Eq. Mobilization'!#REF!</definedName>
    <definedName name="__123Graph_B" localSheetId="5" hidden="1">'[1]Eq. Mobilization'!#REF!</definedName>
    <definedName name="__123Graph_B" localSheetId="6" hidden="1">'[1]Eq. Mobilization'!#REF!</definedName>
    <definedName name="__123Graph_B" localSheetId="7" hidden="1">'[1]Eq. Mobilization'!#REF!</definedName>
    <definedName name="__123Graph_B" localSheetId="8" hidden="1">'[1]Eq. Mobilization'!#REF!</definedName>
    <definedName name="__123Graph_B" localSheetId="9" hidden="1">'[1]Eq. Mobilization'!#REF!</definedName>
    <definedName name="__123Graph_B" localSheetId="10" hidden="1">'[1]Eq. Mobilization'!#REF!</definedName>
    <definedName name="__123Graph_B" localSheetId="11" hidden="1">'[1]Eq. Mobilization'!#REF!</definedName>
    <definedName name="__123Graph_B" localSheetId="12" hidden="1">'[1]Eq. Mobilization'!#REF!</definedName>
    <definedName name="__123Graph_B" localSheetId="13" hidden="1">'[1]Eq. Mobilization'!#REF!</definedName>
    <definedName name="__123Graph_B" localSheetId="14" hidden="1">'[1]Eq. Mobilization'!#REF!</definedName>
    <definedName name="__123Graph_B" localSheetId="15" hidden="1">'[1]Eq. Mobilization'!#REF!</definedName>
    <definedName name="__123Graph_B" localSheetId="16" hidden="1">'[1]Eq. Mobilization'!#REF!</definedName>
    <definedName name="__123Graph_B" localSheetId="17" hidden="1">'[1]Eq. Mobilization'!#REF!</definedName>
    <definedName name="__123Graph_B" localSheetId="18" hidden="1">'[1]Eq. Mobilization'!#REF!</definedName>
    <definedName name="__123Graph_B" localSheetId="19" hidden="1">#REF!</definedName>
    <definedName name="__123Graph_B" hidden="1">'[1]Eq. Mobilization'!#REF!</definedName>
    <definedName name="__123Graph_BCurrent" localSheetId="0" hidden="1">'[1]Eq. Mobilization'!#REF!</definedName>
    <definedName name="__123Graph_BCurrent" localSheetId="2" hidden="1">'[1]Eq. Mobilization'!#REF!</definedName>
    <definedName name="__123Graph_BCurrent" localSheetId="1" hidden="1">'[1]Eq. Mobilization'!#REF!</definedName>
    <definedName name="__123Graph_BCurrent" localSheetId="3" hidden="1">'[1]Eq. Mobilization'!#REF!</definedName>
    <definedName name="__123Graph_BCurrent" localSheetId="5" hidden="1">'[1]Eq. Mobilization'!#REF!</definedName>
    <definedName name="__123Graph_BCurrent" localSheetId="6" hidden="1">'[1]Eq. Mobilization'!#REF!</definedName>
    <definedName name="__123Graph_BCurrent" localSheetId="7" hidden="1">'[1]Eq. Mobilization'!#REF!</definedName>
    <definedName name="__123Graph_BCurrent" localSheetId="8" hidden="1">'[1]Eq. Mobilization'!#REF!</definedName>
    <definedName name="__123Graph_BCurrent" localSheetId="9" hidden="1">'[1]Eq. Mobilization'!#REF!</definedName>
    <definedName name="__123Graph_BCurrent" localSheetId="10" hidden="1">'[1]Eq. Mobilization'!#REF!</definedName>
    <definedName name="__123Graph_BCurrent" localSheetId="11" hidden="1">'[1]Eq. Mobilization'!#REF!</definedName>
    <definedName name="__123Graph_BCurrent" localSheetId="12" hidden="1">'[1]Eq. Mobilization'!#REF!</definedName>
    <definedName name="__123Graph_BCurrent" localSheetId="13" hidden="1">'[1]Eq. Mobilization'!#REF!</definedName>
    <definedName name="__123Graph_BCurrent" localSheetId="14" hidden="1">'[1]Eq. Mobilization'!#REF!</definedName>
    <definedName name="__123Graph_BCurrent" localSheetId="15" hidden="1">'[1]Eq. Mobilization'!#REF!</definedName>
    <definedName name="__123Graph_BCurrent" localSheetId="16" hidden="1">'[1]Eq. Mobilization'!#REF!</definedName>
    <definedName name="__123Graph_BCurrent" localSheetId="17" hidden="1">'[1]Eq. Mobilization'!#REF!</definedName>
    <definedName name="__123Graph_BCurrent" localSheetId="18" hidden="1">'[1]Eq. Mobilization'!#REF!</definedName>
    <definedName name="__123Graph_BCurrent" localSheetId="19" hidden="1">#REF!</definedName>
    <definedName name="__123Graph_BCurrent" hidden="1">'[1]Eq. Mobilization'!#REF!</definedName>
    <definedName name="__123Graph_D" localSheetId="0" hidden="1">#REF!</definedName>
    <definedName name="__123Graph_D" localSheetId="2" hidden="1">#REF!</definedName>
    <definedName name="__123Graph_D" localSheetId="1" hidden="1">#REF!</definedName>
    <definedName name="__123Graph_D" localSheetId="3" hidden="1">#REF!</definedName>
    <definedName name="__123Graph_D" localSheetId="5" hidden="1">#REF!</definedName>
    <definedName name="__123Graph_D" localSheetId="6" hidden="1">#REF!</definedName>
    <definedName name="__123Graph_D" localSheetId="7" hidden="1">#REF!</definedName>
    <definedName name="__123Graph_D" localSheetId="8" hidden="1">#REF!</definedName>
    <definedName name="__123Graph_D" localSheetId="9" hidden="1">#REF!</definedName>
    <definedName name="__123Graph_D" localSheetId="10" hidden="1">#REF!</definedName>
    <definedName name="__123Graph_D" localSheetId="11" hidden="1">#REF!</definedName>
    <definedName name="__123Graph_D" localSheetId="12" hidden="1">#REF!</definedName>
    <definedName name="__123Graph_D" localSheetId="13" hidden="1">#REF!</definedName>
    <definedName name="__123Graph_D" localSheetId="14" hidden="1">#REF!</definedName>
    <definedName name="__123Graph_D" localSheetId="15" hidden="1">#REF!</definedName>
    <definedName name="__123Graph_D" localSheetId="16" hidden="1">#REF!</definedName>
    <definedName name="__123Graph_D" localSheetId="17" hidden="1">#REF!</definedName>
    <definedName name="__123Graph_D" localSheetId="18" hidden="1">#REF!</definedName>
    <definedName name="__123Graph_D" hidden="1">#REF!</definedName>
    <definedName name="__123Graph_E" localSheetId="0" hidden="1">#REF!</definedName>
    <definedName name="__123Graph_E" localSheetId="2" hidden="1">#REF!</definedName>
    <definedName name="__123Graph_E" localSheetId="3" hidden="1">#REF!</definedName>
    <definedName name="__123Graph_E" localSheetId="5" hidden="1">#REF!</definedName>
    <definedName name="__123Graph_E" localSheetId="6" hidden="1">#REF!</definedName>
    <definedName name="__123Graph_E" localSheetId="7" hidden="1">#REF!</definedName>
    <definedName name="__123Graph_E" localSheetId="8" hidden="1">#REF!</definedName>
    <definedName name="__123Graph_E" localSheetId="9" hidden="1">#REF!</definedName>
    <definedName name="__123Graph_E" localSheetId="10" hidden="1">#REF!</definedName>
    <definedName name="__123Graph_E" localSheetId="11" hidden="1">#REF!</definedName>
    <definedName name="__123Graph_E" localSheetId="12" hidden="1">#REF!</definedName>
    <definedName name="__123Graph_E" localSheetId="13" hidden="1">#REF!</definedName>
    <definedName name="__123Graph_E" localSheetId="14" hidden="1">#REF!</definedName>
    <definedName name="__123Graph_E" localSheetId="15" hidden="1">#REF!</definedName>
    <definedName name="__123Graph_E" localSheetId="16" hidden="1">#REF!</definedName>
    <definedName name="__123Graph_E" localSheetId="17" hidden="1">#REF!</definedName>
    <definedName name="__123Graph_E" localSheetId="18" hidden="1">#REF!</definedName>
    <definedName name="__123Graph_E" hidden="1">#REF!</definedName>
    <definedName name="__123Graph_LBL_A" localSheetId="0" hidden="1">'[1]Eq. Mobilization'!#REF!</definedName>
    <definedName name="__123Graph_LBL_A" localSheetId="2" hidden="1">'[1]Eq. Mobilization'!#REF!</definedName>
    <definedName name="__123Graph_LBL_A" localSheetId="1" hidden="1">'[1]Eq. Mobilization'!#REF!</definedName>
    <definedName name="__123Graph_LBL_A" localSheetId="3" hidden="1">'[1]Eq. Mobilization'!#REF!</definedName>
    <definedName name="__123Graph_LBL_A" localSheetId="5" hidden="1">'[1]Eq. Mobilization'!#REF!</definedName>
    <definedName name="__123Graph_LBL_A" localSheetId="6" hidden="1">'[1]Eq. Mobilization'!#REF!</definedName>
    <definedName name="__123Graph_LBL_A" localSheetId="7" hidden="1">'[1]Eq. Mobilization'!#REF!</definedName>
    <definedName name="__123Graph_LBL_A" localSheetId="8" hidden="1">'[1]Eq. Mobilization'!#REF!</definedName>
    <definedName name="__123Graph_LBL_A" localSheetId="9" hidden="1">'[1]Eq. Mobilization'!#REF!</definedName>
    <definedName name="__123Graph_LBL_A" localSheetId="10" hidden="1">'[1]Eq. Mobilization'!#REF!</definedName>
    <definedName name="__123Graph_LBL_A" localSheetId="11" hidden="1">'[1]Eq. Mobilization'!#REF!</definedName>
    <definedName name="__123Graph_LBL_A" localSheetId="12" hidden="1">'[1]Eq. Mobilization'!#REF!</definedName>
    <definedName name="__123Graph_LBL_A" localSheetId="13" hidden="1">'[1]Eq. Mobilization'!#REF!</definedName>
    <definedName name="__123Graph_LBL_A" localSheetId="14" hidden="1">'[1]Eq. Mobilization'!#REF!</definedName>
    <definedName name="__123Graph_LBL_A" localSheetId="15" hidden="1">'[1]Eq. Mobilization'!#REF!</definedName>
    <definedName name="__123Graph_LBL_A" localSheetId="16" hidden="1">'[1]Eq. Mobilization'!#REF!</definedName>
    <definedName name="__123Graph_LBL_A" localSheetId="17" hidden="1">'[1]Eq. Mobilization'!#REF!</definedName>
    <definedName name="__123Graph_LBL_A" localSheetId="18" hidden="1">'[1]Eq. Mobilization'!#REF!</definedName>
    <definedName name="__123Graph_LBL_A" localSheetId="19" hidden="1">#REF!</definedName>
    <definedName name="__123Graph_LBL_A" hidden="1">'[1]Eq. Mobilization'!#REF!</definedName>
    <definedName name="__123Graph_LBL_B" localSheetId="0" hidden="1">'[1]Eq. Mobilization'!#REF!</definedName>
    <definedName name="__123Graph_LBL_B" localSheetId="2" hidden="1">'[1]Eq. Mobilization'!#REF!</definedName>
    <definedName name="__123Graph_LBL_B" localSheetId="1" hidden="1">'[1]Eq. Mobilization'!#REF!</definedName>
    <definedName name="__123Graph_LBL_B" localSheetId="3" hidden="1">'[1]Eq. Mobilization'!#REF!</definedName>
    <definedName name="__123Graph_LBL_B" localSheetId="5" hidden="1">'[1]Eq. Mobilization'!#REF!</definedName>
    <definedName name="__123Graph_LBL_B" localSheetId="6" hidden="1">'[1]Eq. Mobilization'!#REF!</definedName>
    <definedName name="__123Graph_LBL_B" localSheetId="7" hidden="1">'[1]Eq. Mobilization'!#REF!</definedName>
    <definedName name="__123Graph_LBL_B" localSheetId="8" hidden="1">'[1]Eq. Mobilization'!#REF!</definedName>
    <definedName name="__123Graph_LBL_B" localSheetId="9" hidden="1">'[1]Eq. Mobilization'!#REF!</definedName>
    <definedName name="__123Graph_LBL_B" localSheetId="10" hidden="1">'[1]Eq. Mobilization'!#REF!</definedName>
    <definedName name="__123Graph_LBL_B" localSheetId="11" hidden="1">'[1]Eq. Mobilization'!#REF!</definedName>
    <definedName name="__123Graph_LBL_B" localSheetId="12" hidden="1">'[1]Eq. Mobilization'!#REF!</definedName>
    <definedName name="__123Graph_LBL_B" localSheetId="13" hidden="1">'[1]Eq. Mobilization'!#REF!</definedName>
    <definedName name="__123Graph_LBL_B" localSheetId="14" hidden="1">'[1]Eq. Mobilization'!#REF!</definedName>
    <definedName name="__123Graph_LBL_B" localSheetId="15" hidden="1">'[1]Eq. Mobilization'!#REF!</definedName>
    <definedName name="__123Graph_LBL_B" localSheetId="16" hidden="1">'[1]Eq. Mobilization'!#REF!</definedName>
    <definedName name="__123Graph_LBL_B" localSheetId="17" hidden="1">'[1]Eq. Mobilization'!#REF!</definedName>
    <definedName name="__123Graph_LBL_B" localSheetId="18" hidden="1">'[1]Eq. Mobilization'!#REF!</definedName>
    <definedName name="__123Graph_LBL_B" localSheetId="19" hidden="1">#REF!</definedName>
    <definedName name="__123Graph_LBL_B" hidden="1">'[1]Eq. Mobilization'!#REF!</definedName>
    <definedName name="__123Graph_X" localSheetId="0" hidden="1">'[1]Eq. Mobilization'!#REF!</definedName>
    <definedName name="__123Graph_X" localSheetId="2" hidden="1">'[1]Eq. Mobilization'!#REF!</definedName>
    <definedName name="__123Graph_X" localSheetId="1" hidden="1">'[1]Eq. Mobilization'!#REF!</definedName>
    <definedName name="__123Graph_X" localSheetId="3" hidden="1">'[1]Eq. Mobilization'!#REF!</definedName>
    <definedName name="__123Graph_X" localSheetId="5" hidden="1">'[1]Eq. Mobilization'!#REF!</definedName>
    <definedName name="__123Graph_X" localSheetId="6" hidden="1">'[1]Eq. Mobilization'!#REF!</definedName>
    <definedName name="__123Graph_X" localSheetId="7" hidden="1">'[1]Eq. Mobilization'!#REF!</definedName>
    <definedName name="__123Graph_X" localSheetId="8" hidden="1">'[1]Eq. Mobilization'!#REF!</definedName>
    <definedName name="__123Graph_X" localSheetId="9" hidden="1">'[1]Eq. Mobilization'!#REF!</definedName>
    <definedName name="__123Graph_X" localSheetId="10" hidden="1">'[1]Eq. Mobilization'!#REF!</definedName>
    <definedName name="__123Graph_X" localSheetId="11" hidden="1">'[1]Eq. Mobilization'!#REF!</definedName>
    <definedName name="__123Graph_X" localSheetId="12" hidden="1">'[1]Eq. Mobilization'!#REF!</definedName>
    <definedName name="__123Graph_X" localSheetId="13" hidden="1">'[1]Eq. Mobilization'!#REF!</definedName>
    <definedName name="__123Graph_X" localSheetId="14" hidden="1">'[1]Eq. Mobilization'!#REF!</definedName>
    <definedName name="__123Graph_X" localSheetId="15" hidden="1">'[1]Eq. Mobilization'!#REF!</definedName>
    <definedName name="__123Graph_X" localSheetId="16" hidden="1">'[1]Eq. Mobilization'!#REF!</definedName>
    <definedName name="__123Graph_X" localSheetId="17" hidden="1">'[1]Eq. Mobilization'!#REF!</definedName>
    <definedName name="__123Graph_X" localSheetId="18" hidden="1">'[1]Eq. Mobilization'!#REF!</definedName>
    <definedName name="__123Graph_X" localSheetId="19" hidden="1">#REF!</definedName>
    <definedName name="__123Graph_X" hidden="1">'[1]Eq. Mobilization'!#REF!</definedName>
    <definedName name="__123Graph_XCurrent" localSheetId="0" hidden="1">'[1]Eq. Mobilization'!#REF!</definedName>
    <definedName name="__123Graph_XCurrent" localSheetId="2" hidden="1">'[1]Eq. Mobilization'!#REF!</definedName>
    <definedName name="__123Graph_XCurrent" localSheetId="1" hidden="1">'[1]Eq. Mobilization'!#REF!</definedName>
    <definedName name="__123Graph_XCurrent" localSheetId="3" hidden="1">'[1]Eq. Mobilization'!#REF!</definedName>
    <definedName name="__123Graph_XCurrent" localSheetId="5" hidden="1">'[1]Eq. Mobilization'!#REF!</definedName>
    <definedName name="__123Graph_XCurrent" localSheetId="6" hidden="1">'[1]Eq. Mobilization'!#REF!</definedName>
    <definedName name="__123Graph_XCurrent" localSheetId="7" hidden="1">'[1]Eq. Mobilization'!#REF!</definedName>
    <definedName name="__123Graph_XCurrent" localSheetId="8" hidden="1">'[1]Eq. Mobilization'!#REF!</definedName>
    <definedName name="__123Graph_XCurrent" localSheetId="9" hidden="1">'[1]Eq. Mobilization'!#REF!</definedName>
    <definedName name="__123Graph_XCurrent" localSheetId="10" hidden="1">'[1]Eq. Mobilization'!#REF!</definedName>
    <definedName name="__123Graph_XCurrent" localSheetId="11" hidden="1">'[1]Eq. Mobilization'!#REF!</definedName>
    <definedName name="__123Graph_XCurrent" localSheetId="12" hidden="1">'[1]Eq. Mobilization'!#REF!</definedName>
    <definedName name="__123Graph_XCurrent" localSheetId="13" hidden="1">'[1]Eq. Mobilization'!#REF!</definedName>
    <definedName name="__123Graph_XCurrent" localSheetId="14" hidden="1">'[1]Eq. Mobilization'!#REF!</definedName>
    <definedName name="__123Graph_XCurrent" localSheetId="15" hidden="1">'[1]Eq. Mobilization'!#REF!</definedName>
    <definedName name="__123Graph_XCurrent" localSheetId="16" hidden="1">'[1]Eq. Mobilization'!#REF!</definedName>
    <definedName name="__123Graph_XCurrent" localSheetId="17" hidden="1">'[1]Eq. Mobilization'!#REF!</definedName>
    <definedName name="__123Graph_XCurrent" localSheetId="18" hidden="1">'[1]Eq. Mobilization'!#REF!</definedName>
    <definedName name="__123Graph_XCurrent" localSheetId="19" hidden="1">#REF!</definedName>
    <definedName name="__123Graph_XCurrent" hidden="1">'[1]Eq. Mobilization'!#REF!</definedName>
    <definedName name="_1__123Graph_AChart_1A" localSheetId="0" hidden="1">'[1]Eq. Mobilization'!#REF!</definedName>
    <definedName name="_1__123Graph_AChart_1A" localSheetId="2" hidden="1">'[1]Eq. Mobilization'!#REF!</definedName>
    <definedName name="_1__123Graph_AChart_1A" localSheetId="1" hidden="1">'[1]Eq. Mobilization'!#REF!</definedName>
    <definedName name="_1__123Graph_AChart_1A" localSheetId="3" hidden="1">'[1]Eq. Mobilization'!#REF!</definedName>
    <definedName name="_1__123Graph_AChart_1A" localSheetId="5" hidden="1">'[1]Eq. Mobilization'!#REF!</definedName>
    <definedName name="_1__123Graph_AChart_1A" localSheetId="6" hidden="1">'[1]Eq. Mobilization'!#REF!</definedName>
    <definedName name="_1__123Graph_AChart_1A" localSheetId="7" hidden="1">'[1]Eq. Mobilization'!#REF!</definedName>
    <definedName name="_1__123Graph_AChart_1A" localSheetId="8" hidden="1">'[1]Eq. Mobilization'!#REF!</definedName>
    <definedName name="_1__123Graph_AChart_1A" localSheetId="9" hidden="1">'[1]Eq. Mobilization'!#REF!</definedName>
    <definedName name="_1__123Graph_AChart_1A" localSheetId="10" hidden="1">'[1]Eq. Mobilization'!#REF!</definedName>
    <definedName name="_1__123Graph_AChart_1A" localSheetId="11" hidden="1">'[1]Eq. Mobilization'!#REF!</definedName>
    <definedName name="_1__123Graph_AChart_1A" localSheetId="12" hidden="1">'[1]Eq. Mobilization'!#REF!</definedName>
    <definedName name="_1__123Graph_AChart_1A" localSheetId="13" hidden="1">'[1]Eq. Mobilization'!#REF!</definedName>
    <definedName name="_1__123Graph_AChart_1A" localSheetId="14" hidden="1">'[1]Eq. Mobilization'!#REF!</definedName>
    <definedName name="_1__123Graph_AChart_1A" localSheetId="15" hidden="1">'[1]Eq. Mobilization'!#REF!</definedName>
    <definedName name="_1__123Graph_AChart_1A" localSheetId="16" hidden="1">'[1]Eq. Mobilization'!#REF!</definedName>
    <definedName name="_1__123Graph_AChart_1A" localSheetId="17" hidden="1">'[1]Eq. Mobilization'!#REF!</definedName>
    <definedName name="_1__123Graph_AChart_1A" localSheetId="18" hidden="1">'[1]Eq. Mobilization'!#REF!</definedName>
    <definedName name="_1__123Graph_AChart_1A" localSheetId="19" hidden="1">#REF!</definedName>
    <definedName name="_1__123Graph_AChart_1A" hidden="1">'[1]Eq. Mobilization'!#REF!</definedName>
    <definedName name="_2__123Graph_BChart_1A" localSheetId="0" hidden="1">'[1]Eq. Mobilization'!#REF!</definedName>
    <definedName name="_2__123Graph_BChart_1A" localSheetId="2" hidden="1">'[1]Eq. Mobilization'!#REF!</definedName>
    <definedName name="_2__123Graph_BChart_1A" localSheetId="1" hidden="1">'[1]Eq. Mobilization'!#REF!</definedName>
    <definedName name="_2__123Graph_BChart_1A" localSheetId="3" hidden="1">'[1]Eq. Mobilization'!#REF!</definedName>
    <definedName name="_2__123Graph_BChart_1A" localSheetId="5" hidden="1">'[1]Eq. Mobilization'!#REF!</definedName>
    <definedName name="_2__123Graph_BChart_1A" localSheetId="6" hidden="1">'[1]Eq. Mobilization'!#REF!</definedName>
    <definedName name="_2__123Graph_BChart_1A" localSheetId="7" hidden="1">'[1]Eq. Mobilization'!#REF!</definedName>
    <definedName name="_2__123Graph_BChart_1A" localSheetId="8" hidden="1">'[1]Eq. Mobilization'!#REF!</definedName>
    <definedName name="_2__123Graph_BChart_1A" localSheetId="9" hidden="1">'[1]Eq. Mobilization'!#REF!</definedName>
    <definedName name="_2__123Graph_BChart_1A" localSheetId="10" hidden="1">'[1]Eq. Mobilization'!#REF!</definedName>
    <definedName name="_2__123Graph_BChart_1A" localSheetId="11" hidden="1">'[1]Eq. Mobilization'!#REF!</definedName>
    <definedName name="_2__123Graph_BChart_1A" localSheetId="12" hidden="1">'[1]Eq. Mobilization'!#REF!</definedName>
    <definedName name="_2__123Graph_BChart_1A" localSheetId="13" hidden="1">'[1]Eq. Mobilization'!#REF!</definedName>
    <definedName name="_2__123Graph_BChart_1A" localSheetId="14" hidden="1">'[1]Eq. Mobilization'!#REF!</definedName>
    <definedName name="_2__123Graph_BChart_1A" localSheetId="15" hidden="1">'[1]Eq. Mobilization'!#REF!</definedName>
    <definedName name="_2__123Graph_BChart_1A" localSheetId="16" hidden="1">'[1]Eq. Mobilization'!#REF!</definedName>
    <definedName name="_2__123Graph_BChart_1A" localSheetId="17" hidden="1">'[1]Eq. Mobilization'!#REF!</definedName>
    <definedName name="_2__123Graph_BChart_1A" localSheetId="18" hidden="1">'[1]Eq. Mobilization'!#REF!</definedName>
    <definedName name="_2__123Graph_BChart_1A" localSheetId="19" hidden="1">#REF!</definedName>
    <definedName name="_2__123Graph_BChart_1A" hidden="1">'[1]Eq. Mobilization'!#REF!</definedName>
    <definedName name="_3__123Graph_XChart_1A" localSheetId="0" hidden="1">'[1]Eq. Mobilization'!#REF!</definedName>
    <definedName name="_3__123Graph_XChart_1A" localSheetId="2" hidden="1">'[1]Eq. Mobilization'!#REF!</definedName>
    <definedName name="_3__123Graph_XChart_1A" localSheetId="1" hidden="1">'[1]Eq. Mobilization'!#REF!</definedName>
    <definedName name="_3__123Graph_XChart_1A" localSheetId="3" hidden="1">'[1]Eq. Mobilization'!#REF!</definedName>
    <definedName name="_3__123Graph_XChart_1A" localSheetId="5" hidden="1">'[1]Eq. Mobilization'!#REF!</definedName>
    <definedName name="_3__123Graph_XChart_1A" localSheetId="6" hidden="1">'[1]Eq. Mobilization'!#REF!</definedName>
    <definedName name="_3__123Graph_XChart_1A" localSheetId="7" hidden="1">'[1]Eq. Mobilization'!#REF!</definedName>
    <definedName name="_3__123Graph_XChart_1A" localSheetId="8" hidden="1">'[1]Eq. Mobilization'!#REF!</definedName>
    <definedName name="_3__123Graph_XChart_1A" localSheetId="9" hidden="1">'[1]Eq. Mobilization'!#REF!</definedName>
    <definedName name="_3__123Graph_XChart_1A" localSheetId="10" hidden="1">'[1]Eq. Mobilization'!#REF!</definedName>
    <definedName name="_3__123Graph_XChart_1A" localSheetId="11" hidden="1">'[1]Eq. Mobilization'!#REF!</definedName>
    <definedName name="_3__123Graph_XChart_1A" localSheetId="12" hidden="1">'[1]Eq. Mobilization'!#REF!</definedName>
    <definedName name="_3__123Graph_XChart_1A" localSheetId="13" hidden="1">'[1]Eq. Mobilization'!#REF!</definedName>
    <definedName name="_3__123Graph_XChart_1A" localSheetId="14" hidden="1">'[1]Eq. Mobilization'!#REF!</definedName>
    <definedName name="_3__123Graph_XChart_1A" localSheetId="15" hidden="1">'[1]Eq. Mobilization'!#REF!</definedName>
    <definedName name="_3__123Graph_XChart_1A" localSheetId="16" hidden="1">'[1]Eq. Mobilization'!#REF!</definedName>
    <definedName name="_3__123Graph_XChart_1A" localSheetId="17" hidden="1">'[1]Eq. Mobilization'!#REF!</definedName>
    <definedName name="_3__123Graph_XChart_1A" localSheetId="18" hidden="1">'[1]Eq. Mobilization'!#REF!</definedName>
    <definedName name="_3__123Graph_XChart_1A" localSheetId="19" hidden="1">#REF!</definedName>
    <definedName name="_3__123Graph_XChart_1A" hidden="1">'[1]Eq. Mobilization'!#REF!</definedName>
    <definedName name="_Fill" localSheetId="0" hidden="1">#REF!</definedName>
    <definedName name="_Fill" localSheetId="2" hidden="1">#REF!</definedName>
    <definedName name="_Fill" localSheetId="1" hidden="1">#REF!</definedName>
    <definedName name="_Fill" localSheetId="3" hidden="1">#REF!</definedName>
    <definedName name="_Fill" localSheetId="5" hidden="1">#REF!</definedName>
    <definedName name="_Fill" localSheetId="6" hidden="1">#REF!</definedName>
    <definedName name="_Fill" localSheetId="7" hidden="1">#REF!</definedName>
    <definedName name="_Fill" localSheetId="8" hidden="1">#REF!</definedName>
    <definedName name="_Fill" localSheetId="9" hidden="1">#REF!</definedName>
    <definedName name="_Fill" localSheetId="10" hidden="1">#REF!</definedName>
    <definedName name="_Fill" localSheetId="11" hidden="1">#REF!</definedName>
    <definedName name="_Fill" localSheetId="12" hidden="1">#REF!</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7" hidden="1">#REF!</definedName>
    <definedName name="_Fill" localSheetId="18" hidden="1">#REF!</definedName>
    <definedName name="_Fill" hidden="1">#REF!</definedName>
    <definedName name="_xlnm._FilterDatabase" localSheetId="0" hidden="1">'Break Down CI'!$A$8:$R$98</definedName>
    <definedName name="_xlnm._FilterDatabase" localSheetId="1" hidden="1">'Detailed PL'!$B$13:$AG$117</definedName>
    <definedName name="_xlnm._FilterDatabase" localSheetId="5" hidden="1">'SHIPPING MARK (001)'!$A$1:$A$24</definedName>
    <definedName name="_xlnm._FilterDatabase" localSheetId="6" hidden="1">'SHIPPING MARK (002)'!$A$1:$A$24</definedName>
    <definedName name="_xlnm._FilterDatabase" localSheetId="7" hidden="1">'SHIPPING MARK (003)'!$A$1:$A$24</definedName>
    <definedName name="_xlnm._FilterDatabase" localSheetId="8" hidden="1">'SHIPPING MARK (004)'!$A$1:$A$24</definedName>
    <definedName name="_xlnm._FilterDatabase" localSheetId="9" hidden="1">'SHIPPING MARK (005)'!$A$1:$A$24</definedName>
    <definedName name="_xlnm._FilterDatabase" localSheetId="10" hidden="1">'SHIPPING MARK (006)'!$A$1:$A$24</definedName>
    <definedName name="_xlnm._FilterDatabase" localSheetId="11" hidden="1">'SHIPPING MARK (007)'!$A$1:$A$24</definedName>
    <definedName name="_xlnm._FilterDatabase" localSheetId="12" hidden="1">'SHIPPING MARK (008)'!$A$1:$A$24</definedName>
    <definedName name="_xlnm._FilterDatabase" localSheetId="13" hidden="1">'SHIPPING MARK (009)'!$A$1:$A$24</definedName>
    <definedName name="_xlnm._FilterDatabase" localSheetId="14" hidden="1">'SHIPPING MARK (010)'!$A$1:$A$24</definedName>
    <definedName name="_xlnm._FilterDatabase" localSheetId="15" hidden="1">'SHIPPING MARK (011)'!$A$1:$A$24</definedName>
    <definedName name="_xlnm._FilterDatabase" localSheetId="16" hidden="1">'SHIPPING MARK (012)'!$A$1:$A$24</definedName>
    <definedName name="_xlnm._FilterDatabase" localSheetId="17" hidden="1">'SHIPPING MARK (013)'!$A$1:$A$24</definedName>
    <definedName name="_xlnm._FilterDatabase" localSheetId="18" hidden="1">'SHIPPING MARK (014)'!$A$1:$A$24</definedName>
    <definedName name="_xlnm._FilterDatabase" localSheetId="19" hidden="1">'Technical Description'!$A$8:$H$23</definedName>
    <definedName name="_Hlk215568700" localSheetId="23">PSIC!$B$2</definedName>
    <definedName name="_Key1" localSheetId="0" hidden="1">#REF!</definedName>
    <definedName name="_Key1" localSheetId="2" hidden="1">#REF!</definedName>
    <definedName name="_Key1" localSheetId="3" hidden="1">#REF!</definedName>
    <definedName name="_Key1" localSheetId="5" hidden="1">#REF!</definedName>
    <definedName name="_Key1" localSheetId="6" hidden="1">#REF!</definedName>
    <definedName name="_Key1" localSheetId="7" hidden="1">#REF!</definedName>
    <definedName name="_Key1" localSheetId="8" hidden="1">#REF!</definedName>
    <definedName name="_Key1" localSheetId="9" hidden="1">#REF!</definedName>
    <definedName name="_Key1" localSheetId="10" hidden="1">#REF!</definedName>
    <definedName name="_Key1" localSheetId="11" hidden="1">#REF!</definedName>
    <definedName name="_Key1" localSheetId="12" hidden="1">#REF!</definedName>
    <definedName name="_Key1" localSheetId="13" hidden="1">#REF!</definedName>
    <definedName name="_Key1" localSheetId="14" hidden="1">#REF!</definedName>
    <definedName name="_Key1" localSheetId="15" hidden="1">#REF!</definedName>
    <definedName name="_Key1" localSheetId="16" hidden="1">#REF!</definedName>
    <definedName name="_Key1" localSheetId="17" hidden="1">#REF!</definedName>
    <definedName name="_Key1" localSheetId="18" hidden="1">#REF!</definedName>
    <definedName name="_Key1" hidden="1">#REF!</definedName>
    <definedName name="_Key2" localSheetId="0" hidden="1">#REF!</definedName>
    <definedName name="_Key2" localSheetId="2" hidden="1">#REF!</definedName>
    <definedName name="_Key2" localSheetId="3" hidden="1">#REF!</definedName>
    <definedName name="_Key2" localSheetId="5" hidden="1">#REF!</definedName>
    <definedName name="_Key2" localSheetId="6" hidden="1">#REF!</definedName>
    <definedName name="_Key2" localSheetId="7" hidden="1">#REF!</definedName>
    <definedName name="_Key2" localSheetId="8" hidden="1">#REF!</definedName>
    <definedName name="_Key2" localSheetId="9" hidden="1">#REF!</definedName>
    <definedName name="_Key2" localSheetId="10" hidden="1">#REF!</definedName>
    <definedName name="_Key2" localSheetId="11" hidden="1">#REF!</definedName>
    <definedName name="_Key2" localSheetId="12" hidden="1">#REF!</definedName>
    <definedName name="_Key2" localSheetId="13" hidden="1">#REF!</definedName>
    <definedName name="_Key2" localSheetId="14" hidden="1">#REF!</definedName>
    <definedName name="_Key2" localSheetId="15" hidden="1">#REF!</definedName>
    <definedName name="_Key2" localSheetId="16" hidden="1">#REF!</definedName>
    <definedName name="_Key2" localSheetId="17" hidden="1">#REF!</definedName>
    <definedName name="_Key2" localSheetId="18" hidden="1">#REF!</definedName>
    <definedName name="_Key2" hidden="1">#REF!</definedName>
    <definedName name="_Order1" hidden="1">255</definedName>
    <definedName name="_Order2" hidden="1">255</definedName>
    <definedName name="_Parse_In" localSheetId="0" hidden="1">#REF!</definedName>
    <definedName name="_Parse_In" localSheetId="2" hidden="1">#REF!</definedName>
    <definedName name="_Parse_In" localSheetId="1" hidden="1">#REF!</definedName>
    <definedName name="_Parse_In" localSheetId="3" hidden="1">#REF!</definedName>
    <definedName name="_Parse_In" localSheetId="5" hidden="1">#REF!</definedName>
    <definedName name="_Parse_In" localSheetId="6" hidden="1">#REF!</definedName>
    <definedName name="_Parse_In" localSheetId="7" hidden="1">#REF!</definedName>
    <definedName name="_Parse_In" localSheetId="8" hidden="1">#REF!</definedName>
    <definedName name="_Parse_In" localSheetId="9" hidden="1">#REF!</definedName>
    <definedName name="_Parse_In" localSheetId="10" hidden="1">#REF!</definedName>
    <definedName name="_Parse_In" localSheetId="11" hidden="1">#REF!</definedName>
    <definedName name="_Parse_In" localSheetId="12" hidden="1">#REF!</definedName>
    <definedName name="_Parse_In" localSheetId="13" hidden="1">#REF!</definedName>
    <definedName name="_Parse_In" localSheetId="14" hidden="1">#REF!</definedName>
    <definedName name="_Parse_In" localSheetId="15" hidden="1">#REF!</definedName>
    <definedName name="_Parse_In" localSheetId="16" hidden="1">#REF!</definedName>
    <definedName name="_Parse_In" localSheetId="17" hidden="1">#REF!</definedName>
    <definedName name="_Parse_In" localSheetId="18" hidden="1">#REF!</definedName>
    <definedName name="_Parse_In" hidden="1">#REF!</definedName>
    <definedName name="_Parse_Out" localSheetId="0" hidden="1">#REF!</definedName>
    <definedName name="_Parse_Out" localSheetId="2" hidden="1">#REF!</definedName>
    <definedName name="_Parse_Out" localSheetId="3" hidden="1">#REF!</definedName>
    <definedName name="_Parse_Out" localSheetId="5" hidden="1">#REF!</definedName>
    <definedName name="_Parse_Out" localSheetId="6" hidden="1">#REF!</definedName>
    <definedName name="_Parse_Out" localSheetId="7" hidden="1">#REF!</definedName>
    <definedName name="_Parse_Out" localSheetId="8" hidden="1">#REF!</definedName>
    <definedName name="_Parse_Out" localSheetId="9" hidden="1">#REF!</definedName>
    <definedName name="_Parse_Out" localSheetId="10" hidden="1">#REF!</definedName>
    <definedName name="_Parse_Out" localSheetId="11" hidden="1">#REF!</definedName>
    <definedName name="_Parse_Out" localSheetId="12" hidden="1">#REF!</definedName>
    <definedName name="_Parse_Out" localSheetId="13" hidden="1">#REF!</definedName>
    <definedName name="_Parse_Out" localSheetId="14" hidden="1">#REF!</definedName>
    <definedName name="_Parse_Out" localSheetId="15" hidden="1">#REF!</definedName>
    <definedName name="_Parse_Out" localSheetId="16" hidden="1">#REF!</definedName>
    <definedName name="_Parse_Out" localSheetId="17" hidden="1">#REF!</definedName>
    <definedName name="_Parse_Out" localSheetId="18" hidden="1">#REF!</definedName>
    <definedName name="_Parse_Out" hidden="1">#REF!</definedName>
    <definedName name="_Sort" localSheetId="0" hidden="1">#REF!</definedName>
    <definedName name="_Sort" localSheetId="2" hidden="1">#REF!</definedName>
    <definedName name="_Sort" localSheetId="3" hidden="1">#REF!</definedName>
    <definedName name="_Sort" localSheetId="5" hidden="1">#REF!</definedName>
    <definedName name="_Sort" localSheetId="6" hidden="1">#REF!</definedName>
    <definedName name="_Sort" localSheetId="7" hidden="1">#REF!</definedName>
    <definedName name="_Sort" localSheetId="8" hidden="1">#REF!</definedName>
    <definedName name="_Sort" localSheetId="9" hidden="1">#REF!</definedName>
    <definedName name="_Sort" localSheetId="10" hidden="1">#REF!</definedName>
    <definedName name="_Sort" localSheetId="11" hidden="1">#REF!</definedName>
    <definedName name="_Sort" localSheetId="12" hidden="1">#REF!</definedName>
    <definedName name="_Sort" localSheetId="13" hidden="1">#REF!</definedName>
    <definedName name="_Sort" localSheetId="14" hidden="1">#REF!</definedName>
    <definedName name="_Sort" localSheetId="15" hidden="1">#REF!</definedName>
    <definedName name="_Sort" localSheetId="16" hidden="1">#REF!</definedName>
    <definedName name="_Sort" localSheetId="17" hidden="1">#REF!</definedName>
    <definedName name="_Sort" localSheetId="18" hidden="1">#REF!</definedName>
    <definedName name="_Sort" hidden="1">#REF!</definedName>
    <definedName name="A" localSheetId="0" hidden="1">#REF!</definedName>
    <definedName name="A" localSheetId="2" hidden="1">#REF!</definedName>
    <definedName name="A" localSheetId="3" hidden="1">#REF!</definedName>
    <definedName name="A" localSheetId="5" hidden="1">#REF!</definedName>
    <definedName name="A" localSheetId="6" hidden="1">#REF!</definedName>
    <definedName name="A" localSheetId="7" hidden="1">#REF!</definedName>
    <definedName name="A" localSheetId="8" hidden="1">#REF!</definedName>
    <definedName name="A" localSheetId="9" hidden="1">#REF!</definedName>
    <definedName name="A" localSheetId="10" hidden="1">#REF!</definedName>
    <definedName name="A" localSheetId="11" hidden="1">#REF!</definedName>
    <definedName name="A" localSheetId="12" hidden="1">#REF!</definedName>
    <definedName name="A" localSheetId="13" hidden="1">#REF!</definedName>
    <definedName name="A" localSheetId="14" hidden="1">#REF!</definedName>
    <definedName name="A" localSheetId="15" hidden="1">#REF!</definedName>
    <definedName name="A" localSheetId="16" hidden="1">#REF!</definedName>
    <definedName name="A" localSheetId="17" hidden="1">#REF!</definedName>
    <definedName name="A" localSheetId="18" hidden="1">#REF!</definedName>
    <definedName name="A" hidden="1">#REF!</definedName>
    <definedName name="ABC" localSheetId="0" hidden="1">'[2]Eq. Mobilization'!#REF!</definedName>
    <definedName name="ABC" localSheetId="2" hidden="1">'[2]Eq. Mobilization'!#REF!</definedName>
    <definedName name="ABC" localSheetId="1" hidden="1">'[2]Eq. Mobilization'!#REF!</definedName>
    <definedName name="ABC" localSheetId="3" hidden="1">'[2]Eq. Mobilization'!#REF!</definedName>
    <definedName name="ABC" localSheetId="5" hidden="1">'[2]Eq. Mobilization'!#REF!</definedName>
    <definedName name="ABC" localSheetId="6" hidden="1">'[2]Eq. Mobilization'!#REF!</definedName>
    <definedName name="ABC" localSheetId="7" hidden="1">'[2]Eq. Mobilization'!#REF!</definedName>
    <definedName name="ABC" localSheetId="8" hidden="1">'[2]Eq. Mobilization'!#REF!</definedName>
    <definedName name="ABC" localSheetId="9" hidden="1">'[2]Eq. Mobilization'!#REF!</definedName>
    <definedName name="ABC" localSheetId="10" hidden="1">'[2]Eq. Mobilization'!#REF!</definedName>
    <definedName name="ABC" localSheetId="11" hidden="1">'[2]Eq. Mobilization'!#REF!</definedName>
    <definedName name="ABC" localSheetId="12" hidden="1">'[2]Eq. Mobilization'!#REF!</definedName>
    <definedName name="ABC" localSheetId="13" hidden="1">'[2]Eq. Mobilization'!#REF!</definedName>
    <definedName name="ABC" localSheetId="14" hidden="1">'[2]Eq. Mobilization'!#REF!</definedName>
    <definedName name="ABC" localSheetId="15" hidden="1">'[2]Eq. Mobilization'!#REF!</definedName>
    <definedName name="ABC" localSheetId="16" hidden="1">'[2]Eq. Mobilization'!#REF!</definedName>
    <definedName name="ABC" localSheetId="17" hidden="1">'[2]Eq. Mobilization'!#REF!</definedName>
    <definedName name="ABC" localSheetId="18" hidden="1">'[2]Eq. Mobilization'!#REF!</definedName>
    <definedName name="ABC" localSheetId="19" hidden="1">#REF!</definedName>
    <definedName name="ABC" hidden="1">'[2]Eq. Mobilization'!#REF!</definedName>
    <definedName name="CO" localSheetId="0" hidden="1">'[3]Eq. Mobilization'!#REF!</definedName>
    <definedName name="CO" localSheetId="2" hidden="1">'[3]Eq. Mobilization'!#REF!</definedName>
    <definedName name="CO" localSheetId="1" hidden="1">'[3]Eq. Mobilization'!#REF!</definedName>
    <definedName name="CO" localSheetId="3" hidden="1">'[3]Eq. Mobilization'!#REF!</definedName>
    <definedName name="CO" localSheetId="5" hidden="1">'[3]Eq. Mobilization'!#REF!</definedName>
    <definedName name="CO" localSheetId="6" hidden="1">'[3]Eq. Mobilization'!#REF!</definedName>
    <definedName name="CO" localSheetId="7" hidden="1">'[3]Eq. Mobilization'!#REF!</definedName>
    <definedName name="CO" localSheetId="8" hidden="1">'[3]Eq. Mobilization'!#REF!</definedName>
    <definedName name="CO" localSheetId="9" hidden="1">'[3]Eq. Mobilization'!#REF!</definedName>
    <definedName name="CO" localSheetId="10" hidden="1">'[3]Eq. Mobilization'!#REF!</definedName>
    <definedName name="CO" localSheetId="11" hidden="1">'[3]Eq. Mobilization'!#REF!</definedName>
    <definedName name="CO" localSheetId="12" hidden="1">'[3]Eq. Mobilization'!#REF!</definedName>
    <definedName name="CO" localSheetId="13" hidden="1">'[3]Eq. Mobilization'!#REF!</definedName>
    <definedName name="CO" localSheetId="14" hidden="1">'[3]Eq. Mobilization'!#REF!</definedName>
    <definedName name="CO" localSheetId="15" hidden="1">'[3]Eq. Mobilization'!#REF!</definedName>
    <definedName name="CO" localSheetId="16" hidden="1">'[3]Eq. Mobilization'!#REF!</definedName>
    <definedName name="CO" localSheetId="17" hidden="1">'[3]Eq. Mobilization'!#REF!</definedName>
    <definedName name="CO" localSheetId="18" hidden="1">'[3]Eq. Mobilization'!#REF!</definedName>
    <definedName name="CO" localSheetId="19" hidden="1">#REF!</definedName>
    <definedName name="CO" hidden="1">'[3]Eq. Mobilization'!#REF!</definedName>
    <definedName name="e" localSheetId="5" hidden="1">'[1]Eq. Mobilization'!#REF!</definedName>
    <definedName name="e" localSheetId="6" hidden="1">'[1]Eq. Mobilization'!#REF!</definedName>
    <definedName name="e" localSheetId="7" hidden="1">'[1]Eq. Mobilization'!#REF!</definedName>
    <definedName name="e" localSheetId="8" hidden="1">'[1]Eq. Mobilization'!#REF!</definedName>
    <definedName name="e" localSheetId="9" hidden="1">'[1]Eq. Mobilization'!#REF!</definedName>
    <definedName name="e" localSheetId="10" hidden="1">'[1]Eq. Mobilization'!#REF!</definedName>
    <definedName name="e" localSheetId="11" hidden="1">'[1]Eq. Mobilization'!#REF!</definedName>
    <definedName name="e" localSheetId="12" hidden="1">'[1]Eq. Mobilization'!#REF!</definedName>
    <definedName name="e" localSheetId="13" hidden="1">'[1]Eq. Mobilization'!#REF!</definedName>
    <definedName name="e" localSheetId="14" hidden="1">'[1]Eq. Mobilization'!#REF!</definedName>
    <definedName name="e" localSheetId="15" hidden="1">'[1]Eq. Mobilization'!#REF!</definedName>
    <definedName name="e" localSheetId="16" hidden="1">'[1]Eq. Mobilization'!#REF!</definedName>
    <definedName name="e" localSheetId="17" hidden="1">'[1]Eq. Mobilization'!#REF!</definedName>
    <definedName name="e" localSheetId="18" hidden="1">'[1]Eq. Mobilization'!#REF!</definedName>
    <definedName name="e" localSheetId="19" hidden="1">#REF!</definedName>
    <definedName name="e" hidden="1">'[1]Eq. Mobilization'!#REF!</definedName>
    <definedName name="Ge" localSheetId="5" hidden="1">'[1]Eq. Mobilization'!#REF!</definedName>
    <definedName name="Ge" localSheetId="6" hidden="1">'[1]Eq. Mobilization'!#REF!</definedName>
    <definedName name="Ge" localSheetId="7" hidden="1">'[1]Eq. Mobilization'!#REF!</definedName>
    <definedName name="Ge" localSheetId="8" hidden="1">'[1]Eq. Mobilization'!#REF!</definedName>
    <definedName name="Ge" localSheetId="9" hidden="1">'[1]Eq. Mobilization'!#REF!</definedName>
    <definedName name="Ge" localSheetId="10" hidden="1">'[1]Eq. Mobilization'!#REF!</definedName>
    <definedName name="Ge" localSheetId="11" hidden="1">'[1]Eq. Mobilization'!#REF!</definedName>
    <definedName name="Ge" localSheetId="12" hidden="1">'[1]Eq. Mobilization'!#REF!</definedName>
    <definedName name="Ge" localSheetId="13" hidden="1">'[1]Eq. Mobilization'!#REF!</definedName>
    <definedName name="Ge" localSheetId="14" hidden="1">'[1]Eq. Mobilization'!#REF!</definedName>
    <definedName name="Ge" localSheetId="15" hidden="1">'[1]Eq. Mobilization'!#REF!</definedName>
    <definedName name="Ge" localSheetId="16" hidden="1">'[1]Eq. Mobilization'!#REF!</definedName>
    <definedName name="Ge" localSheetId="17" hidden="1">'[1]Eq. Mobilization'!#REF!</definedName>
    <definedName name="Ge" localSheetId="18" hidden="1">'[1]Eq. Mobilization'!#REF!</definedName>
    <definedName name="Ge" localSheetId="19" hidden="1">#REF!</definedName>
    <definedName name="Ge" hidden="1">'[1]Eq. Mobilization'!#REF!</definedName>
    <definedName name="iv2dt" localSheetId="0" hidden="1">'[1]Eq. Mobilization'!#REF!</definedName>
    <definedName name="iv2dt" localSheetId="2" hidden="1">'[1]Eq. Mobilization'!#REF!</definedName>
    <definedName name="iv2dt" localSheetId="1" hidden="1">'[1]Eq. Mobilization'!#REF!</definedName>
    <definedName name="iv2dt" localSheetId="3" hidden="1">'[1]Eq. Mobilization'!#REF!</definedName>
    <definedName name="iv2dt" localSheetId="5" hidden="1">'[1]Eq. Mobilization'!#REF!</definedName>
    <definedName name="iv2dt" localSheetId="6" hidden="1">'[1]Eq. Mobilization'!#REF!</definedName>
    <definedName name="iv2dt" localSheetId="7" hidden="1">'[1]Eq. Mobilization'!#REF!</definedName>
    <definedName name="iv2dt" localSheetId="8" hidden="1">'[1]Eq. Mobilization'!#REF!</definedName>
    <definedName name="iv2dt" localSheetId="9" hidden="1">'[1]Eq. Mobilization'!#REF!</definedName>
    <definedName name="iv2dt" localSheetId="10" hidden="1">'[1]Eq. Mobilization'!#REF!</definedName>
    <definedName name="iv2dt" localSheetId="11" hidden="1">'[1]Eq. Mobilization'!#REF!</definedName>
    <definedName name="iv2dt" localSheetId="12" hidden="1">'[1]Eq. Mobilization'!#REF!</definedName>
    <definedName name="iv2dt" localSheetId="13" hidden="1">'[1]Eq. Mobilization'!#REF!</definedName>
    <definedName name="iv2dt" localSheetId="14" hidden="1">'[1]Eq. Mobilization'!#REF!</definedName>
    <definedName name="iv2dt" localSheetId="15" hidden="1">'[1]Eq. Mobilization'!#REF!</definedName>
    <definedName name="iv2dt" localSheetId="16" hidden="1">'[1]Eq. Mobilization'!#REF!</definedName>
    <definedName name="iv2dt" localSheetId="17" hidden="1">'[1]Eq. Mobilization'!#REF!</definedName>
    <definedName name="iv2dt" localSheetId="18" hidden="1">'[1]Eq. Mobilization'!#REF!</definedName>
    <definedName name="iv2dt" localSheetId="19" hidden="1">#REF!</definedName>
    <definedName name="iv2dt" hidden="1">'[1]Eq. Mobilization'!#REF!</definedName>
    <definedName name="ivdt" localSheetId="0" hidden="1">'[1]Eq. Mobilization'!#REF!</definedName>
    <definedName name="ivdt" localSheetId="2" hidden="1">'[1]Eq. Mobilization'!#REF!</definedName>
    <definedName name="ivdt" localSheetId="1" hidden="1">'[1]Eq. Mobilization'!#REF!</definedName>
    <definedName name="ivdt" localSheetId="3" hidden="1">'[1]Eq. Mobilization'!#REF!</definedName>
    <definedName name="ivdt" localSheetId="5" hidden="1">'[1]Eq. Mobilization'!#REF!</definedName>
    <definedName name="ivdt" localSheetId="6" hidden="1">'[1]Eq. Mobilization'!#REF!</definedName>
    <definedName name="ivdt" localSheetId="7" hidden="1">'[1]Eq. Mobilization'!#REF!</definedName>
    <definedName name="ivdt" localSheetId="8" hidden="1">'[1]Eq. Mobilization'!#REF!</definedName>
    <definedName name="ivdt" localSheetId="9" hidden="1">'[1]Eq. Mobilization'!#REF!</definedName>
    <definedName name="ivdt" localSheetId="10" hidden="1">'[1]Eq. Mobilization'!#REF!</definedName>
    <definedName name="ivdt" localSheetId="11" hidden="1">'[1]Eq. Mobilization'!#REF!</definedName>
    <definedName name="ivdt" localSheetId="12" hidden="1">'[1]Eq. Mobilization'!#REF!</definedName>
    <definedName name="ivdt" localSheetId="13" hidden="1">'[1]Eq. Mobilization'!#REF!</definedName>
    <definedName name="ivdt" localSheetId="14" hidden="1">'[1]Eq. Mobilization'!#REF!</definedName>
    <definedName name="ivdt" localSheetId="15" hidden="1">'[1]Eq. Mobilization'!#REF!</definedName>
    <definedName name="ivdt" localSheetId="16" hidden="1">'[1]Eq. Mobilization'!#REF!</definedName>
    <definedName name="ivdt" localSheetId="17" hidden="1">'[1]Eq. Mobilization'!#REF!</definedName>
    <definedName name="ivdt" localSheetId="18" hidden="1">'[1]Eq. Mobilization'!#REF!</definedName>
    <definedName name="ivdt" localSheetId="19" hidden="1">#REF!</definedName>
    <definedName name="ivdt" hidden="1">'[1]Eq. Mobilization'!#REF!</definedName>
    <definedName name="KABOLINE" localSheetId="0" hidden="1">'[1]Eq. Mobilization'!#REF!</definedName>
    <definedName name="KABOLINE" localSheetId="2" hidden="1">'[1]Eq. Mobilization'!#REF!</definedName>
    <definedName name="KABOLINE" localSheetId="1" hidden="1">'[1]Eq. Mobilization'!#REF!</definedName>
    <definedName name="KABOLINE" localSheetId="3" hidden="1">'[1]Eq. Mobilization'!#REF!</definedName>
    <definedName name="KABOLINE" localSheetId="5" hidden="1">'[1]Eq. Mobilization'!#REF!</definedName>
    <definedName name="KABOLINE" localSheetId="6" hidden="1">'[1]Eq. Mobilization'!#REF!</definedName>
    <definedName name="KABOLINE" localSheetId="7" hidden="1">'[1]Eq. Mobilization'!#REF!</definedName>
    <definedName name="KABOLINE" localSheetId="8" hidden="1">'[1]Eq. Mobilization'!#REF!</definedName>
    <definedName name="KABOLINE" localSheetId="9" hidden="1">'[1]Eq. Mobilization'!#REF!</definedName>
    <definedName name="KABOLINE" localSheetId="10" hidden="1">'[1]Eq. Mobilization'!#REF!</definedName>
    <definedName name="KABOLINE" localSheetId="11" hidden="1">'[1]Eq. Mobilization'!#REF!</definedName>
    <definedName name="KABOLINE" localSheetId="12" hidden="1">'[1]Eq. Mobilization'!#REF!</definedName>
    <definedName name="KABOLINE" localSheetId="13" hidden="1">'[1]Eq. Mobilization'!#REF!</definedName>
    <definedName name="KABOLINE" localSheetId="14" hidden="1">'[1]Eq. Mobilization'!#REF!</definedName>
    <definedName name="KABOLINE" localSheetId="15" hidden="1">'[1]Eq. Mobilization'!#REF!</definedName>
    <definedName name="KABOLINE" localSheetId="16" hidden="1">'[1]Eq. Mobilization'!#REF!</definedName>
    <definedName name="KABOLINE" localSheetId="17" hidden="1">'[1]Eq. Mobilization'!#REF!</definedName>
    <definedName name="KABOLINE" localSheetId="18" hidden="1">'[1]Eq. Mobilization'!#REF!</definedName>
    <definedName name="KABOLINE" localSheetId="19" hidden="1">#REF!</definedName>
    <definedName name="KABOLINE" hidden="1">'[1]Eq. Mobilization'!#REF!</definedName>
    <definedName name="latent" localSheetId="19">#REF!</definedName>
    <definedName name="latent">'[4]steam table'!$N$5:$Q$102</definedName>
    <definedName name="_xlnm.Print_Titles" localSheetId="0">'Break Down CI'!$7:$7</definedName>
    <definedName name="_xlnm.Print_Titles" localSheetId="1">'Detailed PL'!$13:$14</definedName>
    <definedName name="_xlnm.Print_Titles" localSheetId="4">'PL(2_2)'!$13:$14</definedName>
    <definedName name="_xlnm.Print_Titles" localSheetId="19">'Technical Description'!$7:$8</definedName>
    <definedName name="SM" localSheetId="5" hidden="1">#REF!</definedName>
    <definedName name="SM" localSheetId="6" hidden="1">#REF!</definedName>
    <definedName name="SM" localSheetId="7" hidden="1">#REF!</definedName>
    <definedName name="SM" localSheetId="8" hidden="1">#REF!</definedName>
    <definedName name="SM" localSheetId="9" hidden="1">#REF!</definedName>
    <definedName name="SM" localSheetId="10" hidden="1">#REF!</definedName>
    <definedName name="SM" localSheetId="11" hidden="1">#REF!</definedName>
    <definedName name="SM" localSheetId="12" hidden="1">#REF!</definedName>
    <definedName name="SM" localSheetId="13" hidden="1">#REF!</definedName>
    <definedName name="SM" localSheetId="14" hidden="1">#REF!</definedName>
    <definedName name="SM" localSheetId="15" hidden="1">#REF!</definedName>
    <definedName name="SM" localSheetId="16" hidden="1">#REF!</definedName>
    <definedName name="SM" localSheetId="17" hidden="1">#REF!</definedName>
    <definedName name="SM" localSheetId="18" hidden="1">#REF!</definedName>
    <definedName name="SM" hidden="1">#REF!</definedName>
    <definedName name="tube_test_press1_12">#REF!</definedName>
    <definedName name="_xlnm.Print_Area" localSheetId="0">'Break Down CI'!$A$1:$O$99</definedName>
    <definedName name="_xlnm.Print_Area" localSheetId="2">'Commercial Invoice'!$A$1:$K$52</definedName>
    <definedName name="_xlnm.Print_Area" localSheetId="1">'Detailed PL'!$A$1:$U$118</definedName>
    <definedName name="_xlnm.Print_Area" localSheetId="3">'Packing List (1_2)'!$A$1:$K$60</definedName>
    <definedName name="_xlnm.Print_Area" localSheetId="4">'PL(2_2)'!$B$1:$T$29</definedName>
    <definedName name="_xlnm.Print_Area" localSheetId="5">'SHIPPING MARK (001)'!$A$1:$J$24</definedName>
    <definedName name="_xlnm.Print_Area" localSheetId="6">'SHIPPING MARK (002)'!$A$1:$J$24</definedName>
    <definedName name="_xlnm.Print_Area" localSheetId="7">'SHIPPING MARK (003)'!$A$1:$J$24</definedName>
    <definedName name="_xlnm.Print_Area" localSheetId="8">'SHIPPING MARK (004)'!$A$1:$J$24</definedName>
    <definedName name="_xlnm.Print_Area" localSheetId="9">'SHIPPING MARK (005)'!$A$1:$J$24</definedName>
    <definedName name="_xlnm.Print_Area" localSheetId="10">'SHIPPING MARK (006)'!$A$1:$J$24</definedName>
    <definedName name="_xlnm.Print_Area" localSheetId="11">'SHIPPING MARK (007)'!$A$1:$J$24</definedName>
    <definedName name="_xlnm.Print_Area" localSheetId="12">'SHIPPING MARK (008)'!$A$1:$J$24</definedName>
    <definedName name="_xlnm.Print_Area" localSheetId="13">'SHIPPING MARK (009)'!$A$1:$J$24</definedName>
    <definedName name="_xlnm.Print_Area" localSheetId="14">'SHIPPING MARK (010)'!$A$1:$J$24</definedName>
    <definedName name="_xlnm.Print_Area" localSheetId="15">'SHIPPING MARK (011)'!$A$1:$J$24</definedName>
    <definedName name="_xlnm.Print_Area" localSheetId="16">'SHIPPING MARK (012)'!$A$1:$J$24</definedName>
    <definedName name="_xlnm.Print_Area" localSheetId="17">'SHIPPING MARK (013)'!$A$1:$J$24</definedName>
    <definedName name="_xlnm.Print_Area" localSheetId="18">'SHIPPING MARK (014)'!$A$1:$J$24</definedName>
    <definedName name="_xlnm.Print_Area" localSheetId="19">'Technical Description'!$A$1:$H$23</definedName>
    <definedName name="weki_9701.xls" localSheetId="0" hidden="1">'[1]Eq. Mobilization'!#REF!</definedName>
    <definedName name="weki_9701.xls" localSheetId="2" hidden="1">'[1]Eq. Mobilization'!#REF!</definedName>
    <definedName name="weki_9701.xls" localSheetId="3" hidden="1">'[1]Eq. Mobilization'!#REF!</definedName>
    <definedName name="weki_9701.xls" localSheetId="5" hidden="1">'[1]Eq. Mobilization'!#REF!</definedName>
    <definedName name="weki_9701.xls" localSheetId="6" hidden="1">'[1]Eq. Mobilization'!#REF!</definedName>
    <definedName name="weki_9701.xls" localSheetId="7" hidden="1">'[1]Eq. Mobilization'!#REF!</definedName>
    <definedName name="weki_9701.xls" localSheetId="8" hidden="1">'[1]Eq. Mobilization'!#REF!</definedName>
    <definedName name="weki_9701.xls" localSheetId="9" hidden="1">'[1]Eq. Mobilization'!#REF!</definedName>
    <definedName name="weki_9701.xls" localSheetId="10" hidden="1">'[1]Eq. Mobilization'!#REF!</definedName>
    <definedName name="weki_9701.xls" localSheetId="11" hidden="1">'[1]Eq. Mobilization'!#REF!</definedName>
    <definedName name="weki_9701.xls" localSheetId="12" hidden="1">'[1]Eq. Mobilization'!#REF!</definedName>
    <definedName name="weki_9701.xls" localSheetId="13" hidden="1">'[1]Eq. Mobilization'!#REF!</definedName>
    <definedName name="weki_9701.xls" localSheetId="14" hidden="1">'[1]Eq. Mobilization'!#REF!</definedName>
    <definedName name="weki_9701.xls" localSheetId="15" hidden="1">'[1]Eq. Mobilization'!#REF!</definedName>
    <definedName name="weki_9701.xls" localSheetId="16" hidden="1">'[1]Eq. Mobilization'!#REF!</definedName>
    <definedName name="weki_9701.xls" localSheetId="17" hidden="1">'[1]Eq. Mobilization'!#REF!</definedName>
    <definedName name="weki_9701.xls" localSheetId="18" hidden="1">'[1]Eq. Mobilization'!#REF!</definedName>
    <definedName name="weki_9701.xls" localSheetId="19" hidden="1">#REF!</definedName>
    <definedName name="weki_9701.xls" hidden="1">'[1]Eq. Mobilization'!#REF!</definedName>
    <definedName name="wekir9701.xls" localSheetId="0" hidden="1">'[1]Eq. Mobilization'!#REF!</definedName>
    <definedName name="wekir9701.xls" localSheetId="2" hidden="1">'[1]Eq. Mobilization'!#REF!</definedName>
    <definedName name="wekir9701.xls" localSheetId="3" hidden="1">'[1]Eq. Mobilization'!#REF!</definedName>
    <definedName name="wekir9701.xls" localSheetId="5" hidden="1">'[1]Eq. Mobilization'!#REF!</definedName>
    <definedName name="wekir9701.xls" localSheetId="6" hidden="1">'[1]Eq. Mobilization'!#REF!</definedName>
    <definedName name="wekir9701.xls" localSheetId="7" hidden="1">'[1]Eq. Mobilization'!#REF!</definedName>
    <definedName name="wekir9701.xls" localSheetId="8" hidden="1">'[1]Eq. Mobilization'!#REF!</definedName>
    <definedName name="wekir9701.xls" localSheetId="9" hidden="1">'[1]Eq. Mobilization'!#REF!</definedName>
    <definedName name="wekir9701.xls" localSheetId="10" hidden="1">'[1]Eq. Mobilization'!#REF!</definedName>
    <definedName name="wekir9701.xls" localSheetId="11" hidden="1">'[1]Eq. Mobilization'!#REF!</definedName>
    <definedName name="wekir9701.xls" localSheetId="12" hidden="1">'[1]Eq. Mobilization'!#REF!</definedName>
    <definedName name="wekir9701.xls" localSheetId="13" hidden="1">'[1]Eq. Mobilization'!#REF!</definedName>
    <definedName name="wekir9701.xls" localSheetId="14" hidden="1">'[1]Eq. Mobilization'!#REF!</definedName>
    <definedName name="wekir9701.xls" localSheetId="15" hidden="1">'[1]Eq. Mobilization'!#REF!</definedName>
    <definedName name="wekir9701.xls" localSheetId="16" hidden="1">'[1]Eq. Mobilization'!#REF!</definedName>
    <definedName name="wekir9701.xls" localSheetId="17" hidden="1">'[1]Eq. Mobilization'!#REF!</definedName>
    <definedName name="wekir9701.xls" localSheetId="18" hidden="1">'[1]Eq. Mobilization'!#REF!</definedName>
    <definedName name="wekir9701.xls" localSheetId="19" hidden="1">#REF!</definedName>
    <definedName name="wekir9701.xls" hidden="1">'[1]Eq. Mobilization'!#REF!</definedName>
    <definedName name="X" localSheetId="0" hidden="1">'[2]Eq. Mobilization'!#REF!</definedName>
    <definedName name="X" localSheetId="2" hidden="1">'[2]Eq. Mobilization'!#REF!</definedName>
    <definedName name="X" localSheetId="3" hidden="1">'[2]Eq. Mobilization'!#REF!</definedName>
    <definedName name="X" localSheetId="5" hidden="1">'[2]Eq. Mobilization'!#REF!</definedName>
    <definedName name="X" localSheetId="6" hidden="1">'[2]Eq. Mobilization'!#REF!</definedName>
    <definedName name="X" localSheetId="7" hidden="1">'[2]Eq. Mobilization'!#REF!</definedName>
    <definedName name="X" localSheetId="8" hidden="1">'[2]Eq. Mobilization'!#REF!</definedName>
    <definedName name="X" localSheetId="9" hidden="1">'[2]Eq. Mobilization'!#REF!</definedName>
    <definedName name="X" localSheetId="10" hidden="1">'[2]Eq. Mobilization'!#REF!</definedName>
    <definedName name="X" localSheetId="11" hidden="1">'[2]Eq. Mobilization'!#REF!</definedName>
    <definedName name="X" localSheetId="12" hidden="1">'[2]Eq. Mobilization'!#REF!</definedName>
    <definedName name="X" localSheetId="13" hidden="1">'[2]Eq. Mobilization'!#REF!</definedName>
    <definedName name="X" localSheetId="14" hidden="1">'[2]Eq. Mobilization'!#REF!</definedName>
    <definedName name="X" localSheetId="15" hidden="1">'[2]Eq. Mobilization'!#REF!</definedName>
    <definedName name="X" localSheetId="16" hidden="1">'[2]Eq. Mobilization'!#REF!</definedName>
    <definedName name="X" localSheetId="17" hidden="1">'[2]Eq. Mobilization'!#REF!</definedName>
    <definedName name="X" localSheetId="18" hidden="1">'[2]Eq. Mobilization'!#REF!</definedName>
    <definedName name="X" localSheetId="19" hidden="1">#REF!</definedName>
    <definedName name="X" hidden="1">'[2]Eq. Mobilization'!#REF!</definedName>
    <definedName name="Z" localSheetId="0" hidden="1">'[2]Eq. Mobilization'!#REF!</definedName>
    <definedName name="Z" localSheetId="2" hidden="1">'[2]Eq. Mobilization'!#REF!</definedName>
    <definedName name="Z" localSheetId="3" hidden="1">'[2]Eq. Mobilization'!#REF!</definedName>
    <definedName name="Z" localSheetId="5" hidden="1">'[2]Eq. Mobilization'!#REF!</definedName>
    <definedName name="Z" localSheetId="6" hidden="1">'[2]Eq. Mobilization'!#REF!</definedName>
    <definedName name="Z" localSheetId="7" hidden="1">'[2]Eq. Mobilization'!#REF!</definedName>
    <definedName name="Z" localSheetId="8" hidden="1">'[2]Eq. Mobilization'!#REF!</definedName>
    <definedName name="Z" localSheetId="9" hidden="1">'[2]Eq. Mobilization'!#REF!</definedName>
    <definedName name="Z" localSheetId="10" hidden="1">'[2]Eq. Mobilization'!#REF!</definedName>
    <definedName name="Z" localSheetId="11" hidden="1">'[2]Eq. Mobilization'!#REF!</definedName>
    <definedName name="Z" localSheetId="12" hidden="1">'[2]Eq. Mobilization'!#REF!</definedName>
    <definedName name="Z" localSheetId="13" hidden="1">'[2]Eq. Mobilization'!#REF!</definedName>
    <definedName name="Z" localSheetId="14" hidden="1">'[2]Eq. Mobilization'!#REF!</definedName>
    <definedName name="Z" localSheetId="15" hidden="1">'[2]Eq. Mobilization'!#REF!</definedName>
    <definedName name="Z" localSheetId="16" hidden="1">'[2]Eq. Mobilization'!#REF!</definedName>
    <definedName name="Z" localSheetId="17" hidden="1">'[2]Eq. Mobilization'!#REF!</definedName>
    <definedName name="Z" localSheetId="18" hidden="1">'[2]Eq. Mobilization'!#REF!</definedName>
    <definedName name="Z" localSheetId="19" hidden="1">#REF!</definedName>
    <definedName name="Z" hidden="1">'[2]Eq. Mobilization'!#REF!</definedName>
    <definedName name="ㄴㅇㄹㅇㄹ" localSheetId="0" hidden="1">'[2]Eq. Mobilization'!#REF!</definedName>
    <definedName name="ㄴㅇㄹㅇㄹ" localSheetId="2" hidden="1">'[2]Eq. Mobilization'!#REF!</definedName>
    <definedName name="ㄴㅇㄹㅇㄹ" localSheetId="1" hidden="1">'[2]Eq. Mobilization'!#REF!</definedName>
    <definedName name="ㄴㅇㄹㅇㄹ" localSheetId="3" hidden="1">'[2]Eq. Mobilization'!#REF!</definedName>
    <definedName name="ㄴㅇㄹㅇㄹ" localSheetId="5" hidden="1">'[2]Eq. Mobilization'!#REF!</definedName>
    <definedName name="ㄴㅇㄹㅇㄹ" localSheetId="6" hidden="1">'[2]Eq. Mobilization'!#REF!</definedName>
    <definedName name="ㄴㅇㄹㅇㄹ" localSheetId="7" hidden="1">'[2]Eq. Mobilization'!#REF!</definedName>
    <definedName name="ㄴㅇㄹㅇㄹ" localSheetId="8" hidden="1">'[2]Eq. Mobilization'!#REF!</definedName>
    <definedName name="ㄴㅇㄹㅇㄹ" localSheetId="9" hidden="1">'[2]Eq. Mobilization'!#REF!</definedName>
    <definedName name="ㄴㅇㄹㅇㄹ" localSheetId="10" hidden="1">'[2]Eq. Mobilization'!#REF!</definedName>
    <definedName name="ㄴㅇㄹㅇㄹ" localSheetId="11" hidden="1">'[2]Eq. Mobilization'!#REF!</definedName>
    <definedName name="ㄴㅇㄹㅇㄹ" localSheetId="12" hidden="1">'[2]Eq. Mobilization'!#REF!</definedName>
    <definedName name="ㄴㅇㄹㅇㄹ" localSheetId="13" hidden="1">'[2]Eq. Mobilization'!#REF!</definedName>
    <definedName name="ㄴㅇㄹㅇㄹ" localSheetId="14" hidden="1">'[2]Eq. Mobilization'!#REF!</definedName>
    <definedName name="ㄴㅇㄹㅇㄹ" localSheetId="15" hidden="1">'[2]Eq. Mobilization'!#REF!</definedName>
    <definedName name="ㄴㅇㄹㅇㄹ" localSheetId="16" hidden="1">'[2]Eq. Mobilization'!#REF!</definedName>
    <definedName name="ㄴㅇㄹㅇㄹ" localSheetId="17" hidden="1">'[2]Eq. Mobilization'!#REF!</definedName>
    <definedName name="ㄴㅇㄹㅇㄹ" localSheetId="18" hidden="1">'[2]Eq. Mobilization'!#REF!</definedName>
    <definedName name="ㄴㅇㄹㅇㄹ" localSheetId="19" hidden="1">#REF!</definedName>
    <definedName name="ㄴㅇㄹㅇㄹ" hidden="1">'[2]Eq. Mobilization'!#REF!</definedName>
    <definedName name="느" localSheetId="5" hidden="1">'[1]Eq. Mobilization'!#REF!</definedName>
    <definedName name="느" localSheetId="6" hidden="1">'[1]Eq. Mobilization'!#REF!</definedName>
    <definedName name="느" localSheetId="7" hidden="1">'[1]Eq. Mobilization'!#REF!</definedName>
    <definedName name="느" localSheetId="8" hidden="1">'[1]Eq. Mobilization'!#REF!</definedName>
    <definedName name="느" localSheetId="9" hidden="1">'[1]Eq. Mobilization'!#REF!</definedName>
    <definedName name="느" localSheetId="10" hidden="1">'[1]Eq. Mobilization'!#REF!</definedName>
    <definedName name="느" localSheetId="11" hidden="1">'[1]Eq. Mobilization'!#REF!</definedName>
    <definedName name="느" localSheetId="12" hidden="1">'[1]Eq. Mobilization'!#REF!</definedName>
    <definedName name="느" localSheetId="13" hidden="1">'[1]Eq. Mobilization'!#REF!</definedName>
    <definedName name="느" localSheetId="14" hidden="1">'[1]Eq. Mobilization'!#REF!</definedName>
    <definedName name="느" localSheetId="15" hidden="1">'[1]Eq. Mobilization'!#REF!</definedName>
    <definedName name="느" localSheetId="16" hidden="1">'[1]Eq. Mobilization'!#REF!</definedName>
    <definedName name="느" localSheetId="17" hidden="1">'[1]Eq. Mobilization'!#REF!</definedName>
    <definedName name="느" localSheetId="18" hidden="1">'[1]Eq. Mobilization'!#REF!</definedName>
    <definedName name="느" localSheetId="19" hidden="1">#REF!</definedName>
    <definedName name="느" hidden="1">'[1]Eq. Mobilization'!#REF!</definedName>
    <definedName name="ㅊㅌㅍㅊㅍㅊㅌㅍㅊㅌㅍㅊㅌㅍㅊㅌㅍㅊㅌㅍ" localSheetId="0" hidden="1">'[5]Eq. Mobilization'!#REF!</definedName>
    <definedName name="ㅊㅌㅍㅊㅍㅊㅌㅍㅊㅌㅍㅊㅌㅍㅊㅌㅍㅊㅌㅍ" localSheetId="2" hidden="1">'[5]Eq. Mobilization'!#REF!</definedName>
    <definedName name="ㅊㅌㅍㅊㅍㅊㅌㅍㅊㅌㅍㅊㅌㅍㅊㅌㅍㅊㅌㅍ" localSheetId="1" hidden="1">'[5]Eq. Mobilization'!#REF!</definedName>
    <definedName name="ㅊㅌㅍㅊㅍㅊㅌㅍㅊㅌㅍㅊㅌㅍㅊㅌㅍㅊㅌㅍ" localSheetId="3" hidden="1">'[5]Eq. Mobilization'!#REF!</definedName>
    <definedName name="ㅊㅌㅍㅊㅍㅊㅌㅍㅊㅌㅍㅊㅌㅍㅊㅌㅍㅊㅌㅍ" localSheetId="5" hidden="1">'[5]Eq. Mobilization'!#REF!</definedName>
    <definedName name="ㅊㅌㅍㅊㅍㅊㅌㅍㅊㅌㅍㅊㅌㅍㅊㅌㅍㅊㅌㅍ" localSheetId="6" hidden="1">'[5]Eq. Mobilization'!#REF!</definedName>
    <definedName name="ㅊㅌㅍㅊㅍㅊㅌㅍㅊㅌㅍㅊㅌㅍㅊㅌㅍㅊㅌㅍ" localSheetId="7" hidden="1">'[5]Eq. Mobilization'!#REF!</definedName>
    <definedName name="ㅊㅌㅍㅊㅍㅊㅌㅍㅊㅌㅍㅊㅌㅍㅊㅌㅍㅊㅌㅍ" localSheetId="8" hidden="1">'[5]Eq. Mobilization'!#REF!</definedName>
    <definedName name="ㅊㅌㅍㅊㅍㅊㅌㅍㅊㅌㅍㅊㅌㅍㅊㅌㅍㅊㅌㅍ" localSheetId="9" hidden="1">'[5]Eq. Mobilization'!#REF!</definedName>
    <definedName name="ㅊㅌㅍㅊㅍㅊㅌㅍㅊㅌㅍㅊㅌㅍㅊㅌㅍㅊㅌㅍ" localSheetId="10" hidden="1">'[5]Eq. Mobilization'!#REF!</definedName>
    <definedName name="ㅊㅌㅍㅊㅍㅊㅌㅍㅊㅌㅍㅊㅌㅍㅊㅌㅍㅊㅌㅍ" localSheetId="11" hidden="1">'[5]Eq. Mobilization'!#REF!</definedName>
    <definedName name="ㅊㅌㅍㅊㅍㅊㅌㅍㅊㅌㅍㅊㅌㅍㅊㅌㅍㅊㅌㅍ" localSheetId="12" hidden="1">'[5]Eq. Mobilization'!#REF!</definedName>
    <definedName name="ㅊㅌㅍㅊㅍㅊㅌㅍㅊㅌㅍㅊㅌㅍㅊㅌㅍㅊㅌㅍ" localSheetId="13" hidden="1">'[5]Eq. Mobilization'!#REF!</definedName>
    <definedName name="ㅊㅌㅍㅊㅍㅊㅌㅍㅊㅌㅍㅊㅌㅍㅊㅌㅍㅊㅌㅍ" localSheetId="14" hidden="1">'[5]Eq. Mobilization'!#REF!</definedName>
    <definedName name="ㅊㅌㅍㅊㅍㅊㅌㅍㅊㅌㅍㅊㅌㅍㅊㅌㅍㅊㅌㅍ" localSheetId="15" hidden="1">'[5]Eq. Mobilization'!#REF!</definedName>
    <definedName name="ㅊㅌㅍㅊㅍㅊㅌㅍㅊㅌㅍㅊㅌㅍㅊㅌㅍㅊㅌㅍ" localSheetId="16" hidden="1">'[5]Eq. Mobilization'!#REF!</definedName>
    <definedName name="ㅊㅌㅍㅊㅍㅊㅌㅍㅊㅌㅍㅊㅌㅍㅊㅌㅍㅊㅌㅍ" localSheetId="17" hidden="1">'[5]Eq. Mobilization'!#REF!</definedName>
    <definedName name="ㅊㅌㅍㅊㅍㅊㅌㅍㅊㅌㅍㅊㅌㅍㅊㅌㅍㅊㅌㅍ" localSheetId="18" hidden="1">'[5]Eq. Mobilization'!#REF!</definedName>
    <definedName name="ㅊㅌㅍㅊㅍㅊㅌㅍㅊㅌㅍㅊㅌㅍㅊㅌㅍㅊㅌㅍ" localSheetId="19" hidden="1">#REF!</definedName>
    <definedName name="ㅊㅌㅍㅊㅍㅊㅌㅍㅊㅌㅍㅊㅌㅍㅊㅌㅍㅊㅌㅍ" hidden="1">'[5]Eq. Mobilization'!#REF!</definedName>
    <definedName name="ㅊㅌㅍㅊㅍㅌㅋㅊㅍㅌㅊㅍ" localSheetId="0" hidden="1">'[5]Eq. Mobilization'!#REF!</definedName>
    <definedName name="ㅊㅌㅍㅊㅍㅌㅋㅊㅍㅌㅊㅍ" localSheetId="2" hidden="1">'[5]Eq. Mobilization'!#REF!</definedName>
    <definedName name="ㅊㅌㅍㅊㅍㅌㅋㅊㅍㅌㅊㅍ" localSheetId="1" hidden="1">'[5]Eq. Mobilization'!#REF!</definedName>
    <definedName name="ㅊㅌㅍㅊㅍㅌㅋㅊㅍㅌㅊㅍ" localSheetId="3" hidden="1">'[5]Eq. Mobilization'!#REF!</definedName>
    <definedName name="ㅊㅌㅍㅊㅍㅌㅋㅊㅍㅌㅊㅍ" localSheetId="5" hidden="1">'[5]Eq. Mobilization'!#REF!</definedName>
    <definedName name="ㅊㅌㅍㅊㅍㅌㅋㅊㅍㅌㅊㅍ" localSheetId="6" hidden="1">'[5]Eq. Mobilization'!#REF!</definedName>
    <definedName name="ㅊㅌㅍㅊㅍㅌㅋㅊㅍㅌㅊㅍ" localSheetId="7" hidden="1">'[5]Eq. Mobilization'!#REF!</definedName>
    <definedName name="ㅊㅌㅍㅊㅍㅌㅋㅊㅍㅌㅊㅍ" localSheetId="8" hidden="1">'[5]Eq. Mobilization'!#REF!</definedName>
    <definedName name="ㅊㅌㅍㅊㅍㅌㅋㅊㅍㅌㅊㅍ" localSheetId="9" hidden="1">'[5]Eq. Mobilization'!#REF!</definedName>
    <definedName name="ㅊㅌㅍㅊㅍㅌㅋㅊㅍㅌㅊㅍ" localSheetId="10" hidden="1">'[5]Eq. Mobilization'!#REF!</definedName>
    <definedName name="ㅊㅌㅍㅊㅍㅌㅋㅊㅍㅌㅊㅍ" localSheetId="11" hidden="1">'[5]Eq. Mobilization'!#REF!</definedName>
    <definedName name="ㅊㅌㅍㅊㅍㅌㅋㅊㅍㅌㅊㅍ" localSheetId="12" hidden="1">'[5]Eq. Mobilization'!#REF!</definedName>
    <definedName name="ㅊㅌㅍㅊㅍㅌㅋㅊㅍㅌㅊㅍ" localSheetId="13" hidden="1">'[5]Eq. Mobilization'!#REF!</definedName>
    <definedName name="ㅊㅌㅍㅊㅍㅌㅋㅊㅍㅌㅊㅍ" localSheetId="14" hidden="1">'[5]Eq. Mobilization'!#REF!</definedName>
    <definedName name="ㅊㅌㅍㅊㅍㅌㅋㅊㅍㅌㅊㅍ" localSheetId="15" hidden="1">'[5]Eq. Mobilization'!#REF!</definedName>
    <definedName name="ㅊㅌㅍㅊㅍㅌㅋㅊㅍㅌㅊㅍ" localSheetId="16" hidden="1">'[5]Eq. Mobilization'!#REF!</definedName>
    <definedName name="ㅊㅌㅍㅊㅍㅌㅋㅊㅍㅌㅊㅍ" localSheetId="17" hidden="1">'[5]Eq. Mobilization'!#REF!</definedName>
    <definedName name="ㅊㅌㅍㅊㅍㅌㅋㅊㅍㅌㅊㅍ" localSheetId="18" hidden="1">'[5]Eq. Mobilization'!#REF!</definedName>
    <definedName name="ㅊㅌㅍㅊㅍㅌㅋㅊㅍㅌㅊㅍ" localSheetId="19" hidden="1">#REF!</definedName>
    <definedName name="ㅊㅌㅍㅊㅍㅌㅋㅊㅍㅌㅊㅍ" hidden="1">'[5]Eq. Mobilization'!#REF!</definedName>
    <definedName name="ㅊㅌㅍㅋㅊㅍㅌㅊㅍㅌㅊㅍ" localSheetId="0" hidden="1">'[5]Eq. Mobilization'!#REF!</definedName>
    <definedName name="ㅊㅌㅍㅋㅊㅍㅌㅊㅍㅌㅊㅍ" localSheetId="2" hidden="1">'[5]Eq. Mobilization'!#REF!</definedName>
    <definedName name="ㅊㅌㅍㅋㅊㅍㅌㅊㅍㅌㅊㅍ" localSheetId="1" hidden="1">'[5]Eq. Mobilization'!#REF!</definedName>
    <definedName name="ㅊㅌㅍㅋㅊㅍㅌㅊㅍㅌㅊㅍ" localSheetId="3" hidden="1">'[5]Eq. Mobilization'!#REF!</definedName>
    <definedName name="ㅊㅌㅍㅋㅊㅍㅌㅊㅍㅌㅊㅍ" localSheetId="5" hidden="1">'[5]Eq. Mobilization'!#REF!</definedName>
    <definedName name="ㅊㅌㅍㅋㅊㅍㅌㅊㅍㅌㅊㅍ" localSheetId="6" hidden="1">'[5]Eq. Mobilization'!#REF!</definedName>
    <definedName name="ㅊㅌㅍㅋㅊㅍㅌㅊㅍㅌㅊㅍ" localSheetId="7" hidden="1">'[5]Eq. Mobilization'!#REF!</definedName>
    <definedName name="ㅊㅌㅍㅋㅊㅍㅌㅊㅍㅌㅊㅍ" localSheetId="8" hidden="1">'[5]Eq. Mobilization'!#REF!</definedName>
    <definedName name="ㅊㅌㅍㅋㅊㅍㅌㅊㅍㅌㅊㅍ" localSheetId="9" hidden="1">'[5]Eq. Mobilization'!#REF!</definedName>
    <definedName name="ㅊㅌㅍㅋㅊㅍㅌㅊㅍㅌㅊㅍ" localSheetId="10" hidden="1">'[5]Eq. Mobilization'!#REF!</definedName>
    <definedName name="ㅊㅌㅍㅋㅊㅍㅌㅊㅍㅌㅊㅍ" localSheetId="11" hidden="1">'[5]Eq. Mobilization'!#REF!</definedName>
    <definedName name="ㅊㅌㅍㅋㅊㅍㅌㅊㅍㅌㅊㅍ" localSheetId="12" hidden="1">'[5]Eq. Mobilization'!#REF!</definedName>
    <definedName name="ㅊㅌㅍㅋㅊㅍㅌㅊㅍㅌㅊㅍ" localSheetId="13" hidden="1">'[5]Eq. Mobilization'!#REF!</definedName>
    <definedName name="ㅊㅌㅍㅋㅊㅍㅌㅊㅍㅌㅊㅍ" localSheetId="14" hidden="1">'[5]Eq. Mobilization'!#REF!</definedName>
    <definedName name="ㅊㅌㅍㅋㅊㅍㅌㅊㅍㅌㅊㅍ" localSheetId="15" hidden="1">'[5]Eq. Mobilization'!#REF!</definedName>
    <definedName name="ㅊㅌㅍㅋㅊㅍㅌㅊㅍㅌㅊㅍ" localSheetId="16" hidden="1">'[5]Eq. Mobilization'!#REF!</definedName>
    <definedName name="ㅊㅌㅍㅋㅊㅍㅌㅊㅍㅌㅊㅍ" localSheetId="17" hidden="1">'[5]Eq. Mobilization'!#REF!</definedName>
    <definedName name="ㅊㅌㅍㅋㅊㅍㅌㅊㅍㅌㅊㅍ" localSheetId="18" hidden="1">'[5]Eq. Mobilization'!#REF!</definedName>
    <definedName name="ㅊㅌㅍㅋㅊㅍㅌㅊㅍㅌㅊㅍ" localSheetId="19" hidden="1">#REF!</definedName>
    <definedName name="ㅊㅌㅍㅋㅊㅍㅌㅊㅍㅌㅊㅍ" hidden="1">'[5]Eq. Mobilization'!#REF!</definedName>
    <definedName name="ㅊㅌㅍㅌㅊㅍㅊㅌㅍㅌㅊㅍㅌㅊㅍ" localSheetId="0" hidden="1">'[5]Eq. Mobilization'!#REF!</definedName>
    <definedName name="ㅊㅌㅍㅌㅊㅍㅊㅌㅍㅌㅊㅍㅌㅊㅍ" localSheetId="2" hidden="1">'[5]Eq. Mobilization'!#REF!</definedName>
    <definedName name="ㅊㅌㅍㅌㅊㅍㅊㅌㅍㅌㅊㅍㅌㅊㅍ" localSheetId="1" hidden="1">'[5]Eq. Mobilization'!#REF!</definedName>
    <definedName name="ㅊㅌㅍㅌㅊㅍㅊㅌㅍㅌㅊㅍㅌㅊㅍ" localSheetId="3" hidden="1">'[5]Eq. Mobilization'!#REF!</definedName>
    <definedName name="ㅊㅌㅍㅌㅊㅍㅊㅌㅍㅌㅊㅍㅌㅊㅍ" localSheetId="5" hidden="1">'[5]Eq. Mobilization'!#REF!</definedName>
    <definedName name="ㅊㅌㅍㅌㅊㅍㅊㅌㅍㅌㅊㅍㅌㅊㅍ" localSheetId="6" hidden="1">'[5]Eq. Mobilization'!#REF!</definedName>
    <definedName name="ㅊㅌㅍㅌㅊㅍㅊㅌㅍㅌㅊㅍㅌㅊㅍ" localSheetId="7" hidden="1">'[5]Eq. Mobilization'!#REF!</definedName>
    <definedName name="ㅊㅌㅍㅌㅊㅍㅊㅌㅍㅌㅊㅍㅌㅊㅍ" localSheetId="8" hidden="1">'[5]Eq. Mobilization'!#REF!</definedName>
    <definedName name="ㅊㅌㅍㅌㅊㅍㅊㅌㅍㅌㅊㅍㅌㅊㅍ" localSheetId="9" hidden="1">'[5]Eq. Mobilization'!#REF!</definedName>
    <definedName name="ㅊㅌㅍㅌㅊㅍㅊㅌㅍㅌㅊㅍㅌㅊㅍ" localSheetId="10" hidden="1">'[5]Eq. Mobilization'!#REF!</definedName>
    <definedName name="ㅊㅌㅍㅌㅊㅍㅊㅌㅍㅌㅊㅍㅌㅊㅍ" localSheetId="11" hidden="1">'[5]Eq. Mobilization'!#REF!</definedName>
    <definedName name="ㅊㅌㅍㅌㅊㅍㅊㅌㅍㅌㅊㅍㅌㅊㅍ" localSheetId="12" hidden="1">'[5]Eq. Mobilization'!#REF!</definedName>
    <definedName name="ㅊㅌㅍㅌㅊㅍㅊㅌㅍㅌㅊㅍㅌㅊㅍ" localSheetId="13" hidden="1">'[5]Eq. Mobilization'!#REF!</definedName>
    <definedName name="ㅊㅌㅍㅌㅊㅍㅊㅌㅍㅌㅊㅍㅌㅊㅍ" localSheetId="14" hidden="1">'[5]Eq. Mobilization'!#REF!</definedName>
    <definedName name="ㅊㅌㅍㅌㅊㅍㅊㅌㅍㅌㅊㅍㅌㅊㅍ" localSheetId="15" hidden="1">'[5]Eq. Mobilization'!#REF!</definedName>
    <definedName name="ㅊㅌㅍㅌㅊㅍㅊㅌㅍㅌㅊㅍㅌㅊㅍ" localSheetId="16" hidden="1">'[5]Eq. Mobilization'!#REF!</definedName>
    <definedName name="ㅊㅌㅍㅌㅊㅍㅊㅌㅍㅌㅊㅍㅌㅊㅍ" localSheetId="17" hidden="1">'[5]Eq. Mobilization'!#REF!</definedName>
    <definedName name="ㅊㅌㅍㅌㅊㅍㅊㅌㅍㅌㅊㅍㅌㅊㅍ" localSheetId="18" hidden="1">'[5]Eq. Mobilization'!#REF!</definedName>
    <definedName name="ㅊㅌㅍㅌㅊㅍㅊㅌㅍㅌㅊㅍㅌㅊㅍ" localSheetId="19" hidden="1">#REF!</definedName>
    <definedName name="ㅊㅌㅍㅌㅊㅍㅊㅌㅍㅌㅊㅍㅌㅊㅍ" hidden="1">'[5]Eq. Mobilization'!#REF!</definedName>
    <definedName name="ㅋ" localSheetId="0" hidden="1">'[5]Eq. Mobilization'!#REF!</definedName>
    <definedName name="ㅋ" localSheetId="2" hidden="1">'[5]Eq. Mobilization'!#REF!</definedName>
    <definedName name="ㅋ" localSheetId="1" hidden="1">'[5]Eq. Mobilization'!#REF!</definedName>
    <definedName name="ㅋ" localSheetId="3" hidden="1">'[5]Eq. Mobilization'!#REF!</definedName>
    <definedName name="ㅋ" localSheetId="5" hidden="1">'[5]Eq. Mobilization'!#REF!</definedName>
    <definedName name="ㅋ" localSheetId="6" hidden="1">'[5]Eq. Mobilization'!#REF!</definedName>
    <definedName name="ㅋ" localSheetId="7" hidden="1">'[5]Eq. Mobilization'!#REF!</definedName>
    <definedName name="ㅋ" localSheetId="8" hidden="1">'[5]Eq. Mobilization'!#REF!</definedName>
    <definedName name="ㅋ" localSheetId="9" hidden="1">'[5]Eq. Mobilization'!#REF!</definedName>
    <definedName name="ㅋ" localSheetId="10" hidden="1">'[5]Eq. Mobilization'!#REF!</definedName>
    <definedName name="ㅋ" localSheetId="11" hidden="1">'[5]Eq. Mobilization'!#REF!</definedName>
    <definedName name="ㅋ" localSheetId="12" hidden="1">'[5]Eq. Mobilization'!#REF!</definedName>
    <definedName name="ㅋ" localSheetId="13" hidden="1">'[5]Eq. Mobilization'!#REF!</definedName>
    <definedName name="ㅋ" localSheetId="14" hidden="1">'[5]Eq. Mobilization'!#REF!</definedName>
    <definedName name="ㅋ" localSheetId="15" hidden="1">'[5]Eq. Mobilization'!#REF!</definedName>
    <definedName name="ㅋ" localSheetId="16" hidden="1">'[5]Eq. Mobilization'!#REF!</definedName>
    <definedName name="ㅋ" localSheetId="17" hidden="1">'[5]Eq. Mobilization'!#REF!</definedName>
    <definedName name="ㅋ" localSheetId="18" hidden="1">'[5]Eq. Mobilization'!#REF!</definedName>
    <definedName name="ㅋ" localSheetId="19" hidden="1">#REF!</definedName>
    <definedName name="ㅋ" hidden="1">'[5]Eq. Mobilization'!#REF!</definedName>
    <definedName name="ㅋㅋㅋㅋ" localSheetId="0" hidden="1">'[5]Eq. Mobilization'!#REF!</definedName>
    <definedName name="ㅋㅋㅋㅋ" localSheetId="2" hidden="1">'[5]Eq. Mobilization'!#REF!</definedName>
    <definedName name="ㅋㅋㅋㅋ" localSheetId="1" hidden="1">'[5]Eq. Mobilization'!#REF!</definedName>
    <definedName name="ㅋㅋㅋㅋ" localSheetId="3" hidden="1">'[5]Eq. Mobilization'!#REF!</definedName>
    <definedName name="ㅋㅋㅋㅋ" localSheetId="5" hidden="1">'[5]Eq. Mobilization'!#REF!</definedName>
    <definedName name="ㅋㅋㅋㅋ" localSheetId="6" hidden="1">'[5]Eq. Mobilization'!#REF!</definedName>
    <definedName name="ㅋㅋㅋㅋ" localSheetId="7" hidden="1">'[5]Eq. Mobilization'!#REF!</definedName>
    <definedName name="ㅋㅋㅋㅋ" localSheetId="8" hidden="1">'[5]Eq. Mobilization'!#REF!</definedName>
    <definedName name="ㅋㅋㅋㅋ" localSheetId="9" hidden="1">'[5]Eq. Mobilization'!#REF!</definedName>
    <definedName name="ㅋㅋㅋㅋ" localSheetId="10" hidden="1">'[5]Eq. Mobilization'!#REF!</definedName>
    <definedName name="ㅋㅋㅋㅋ" localSheetId="11" hidden="1">'[5]Eq. Mobilization'!#REF!</definedName>
    <definedName name="ㅋㅋㅋㅋ" localSheetId="12" hidden="1">'[5]Eq. Mobilization'!#REF!</definedName>
    <definedName name="ㅋㅋㅋㅋ" localSheetId="13" hidden="1">'[5]Eq. Mobilization'!#REF!</definedName>
    <definedName name="ㅋㅋㅋㅋ" localSheetId="14" hidden="1">'[5]Eq. Mobilization'!#REF!</definedName>
    <definedName name="ㅋㅋㅋㅋ" localSheetId="15" hidden="1">'[5]Eq. Mobilization'!#REF!</definedName>
    <definedName name="ㅋㅋㅋㅋ" localSheetId="16" hidden="1">'[5]Eq. Mobilization'!#REF!</definedName>
    <definedName name="ㅋㅋㅋㅋ" localSheetId="17" hidden="1">'[5]Eq. Mobilization'!#REF!</definedName>
    <definedName name="ㅋㅋㅋㅋ" localSheetId="18" hidden="1">'[5]Eq. Mobilization'!#REF!</definedName>
    <definedName name="ㅋㅋㅋㅋ" localSheetId="19" hidden="1">#REF!</definedName>
    <definedName name="ㅋㅋㅋㅋ" hidden="1">'[5]Eq. Mobilization'!#REF!</definedName>
    <definedName name="ㅋㅋㅋㅋㅋㅋ" localSheetId="0" hidden="1">'[5]Eq. Mobilization'!#REF!</definedName>
    <definedName name="ㅋㅋㅋㅋㅋㅋ" localSheetId="2" hidden="1">'[5]Eq. Mobilization'!#REF!</definedName>
    <definedName name="ㅋㅋㅋㅋㅋㅋ" localSheetId="1" hidden="1">'[5]Eq. Mobilization'!#REF!</definedName>
    <definedName name="ㅋㅋㅋㅋㅋㅋ" localSheetId="3" hidden="1">'[5]Eq. Mobilization'!#REF!</definedName>
    <definedName name="ㅋㅋㅋㅋㅋㅋ" localSheetId="5" hidden="1">'[5]Eq. Mobilization'!#REF!</definedName>
    <definedName name="ㅋㅋㅋㅋㅋㅋ" localSheetId="6" hidden="1">'[5]Eq. Mobilization'!#REF!</definedName>
    <definedName name="ㅋㅋㅋㅋㅋㅋ" localSheetId="7" hidden="1">'[5]Eq. Mobilization'!#REF!</definedName>
    <definedName name="ㅋㅋㅋㅋㅋㅋ" localSheetId="8" hidden="1">'[5]Eq. Mobilization'!#REF!</definedName>
    <definedName name="ㅋㅋㅋㅋㅋㅋ" localSheetId="9" hidden="1">'[5]Eq. Mobilization'!#REF!</definedName>
    <definedName name="ㅋㅋㅋㅋㅋㅋ" localSheetId="10" hidden="1">'[5]Eq. Mobilization'!#REF!</definedName>
    <definedName name="ㅋㅋㅋㅋㅋㅋ" localSheetId="11" hidden="1">'[5]Eq. Mobilization'!#REF!</definedName>
    <definedName name="ㅋㅋㅋㅋㅋㅋ" localSheetId="12" hidden="1">'[5]Eq. Mobilization'!#REF!</definedName>
    <definedName name="ㅋㅋㅋㅋㅋㅋ" localSheetId="13" hidden="1">'[5]Eq. Mobilization'!#REF!</definedName>
    <definedName name="ㅋㅋㅋㅋㅋㅋ" localSheetId="14" hidden="1">'[5]Eq. Mobilization'!#REF!</definedName>
    <definedName name="ㅋㅋㅋㅋㅋㅋ" localSheetId="15" hidden="1">'[5]Eq. Mobilization'!#REF!</definedName>
    <definedName name="ㅋㅋㅋㅋㅋㅋ" localSheetId="16" hidden="1">'[5]Eq. Mobilization'!#REF!</definedName>
    <definedName name="ㅋㅋㅋㅋㅋㅋ" localSheetId="17" hidden="1">'[5]Eq. Mobilization'!#REF!</definedName>
    <definedName name="ㅋㅋㅋㅋㅋㅋ" localSheetId="18" hidden="1">'[5]Eq. Mobilization'!#REF!</definedName>
    <definedName name="ㅋㅋㅋㅋㅋㅋ" localSheetId="19" hidden="1">#REF!</definedName>
    <definedName name="ㅋㅋㅋㅋㅋㅋ" hidden="1">'[5]Eq. Mobilization'!#REF!</definedName>
    <definedName name="ㅋㅋㅋㅋㅋㅋㅋㅋㅋ" localSheetId="0" hidden="1">'[5]Eq. Mobilization'!#REF!</definedName>
    <definedName name="ㅋㅋㅋㅋㅋㅋㅋㅋㅋ" localSheetId="2" hidden="1">'[5]Eq. Mobilization'!#REF!</definedName>
    <definedName name="ㅋㅋㅋㅋㅋㅋㅋㅋㅋ" localSheetId="1" hidden="1">'[5]Eq. Mobilization'!#REF!</definedName>
    <definedName name="ㅋㅋㅋㅋㅋㅋㅋㅋㅋ" localSheetId="3" hidden="1">'[5]Eq. Mobilization'!#REF!</definedName>
    <definedName name="ㅋㅋㅋㅋㅋㅋㅋㅋㅋ" localSheetId="5" hidden="1">'[5]Eq. Mobilization'!#REF!</definedName>
    <definedName name="ㅋㅋㅋㅋㅋㅋㅋㅋㅋ" localSheetId="6" hidden="1">'[5]Eq. Mobilization'!#REF!</definedName>
    <definedName name="ㅋㅋㅋㅋㅋㅋㅋㅋㅋ" localSheetId="7" hidden="1">'[5]Eq. Mobilization'!#REF!</definedName>
    <definedName name="ㅋㅋㅋㅋㅋㅋㅋㅋㅋ" localSheetId="8" hidden="1">'[5]Eq. Mobilization'!#REF!</definedName>
    <definedName name="ㅋㅋㅋㅋㅋㅋㅋㅋㅋ" localSheetId="9" hidden="1">'[5]Eq. Mobilization'!#REF!</definedName>
    <definedName name="ㅋㅋㅋㅋㅋㅋㅋㅋㅋ" localSheetId="10" hidden="1">'[5]Eq. Mobilization'!#REF!</definedName>
    <definedName name="ㅋㅋㅋㅋㅋㅋㅋㅋㅋ" localSheetId="11" hidden="1">'[5]Eq. Mobilization'!#REF!</definedName>
    <definedName name="ㅋㅋㅋㅋㅋㅋㅋㅋㅋ" localSheetId="12" hidden="1">'[5]Eq. Mobilization'!#REF!</definedName>
    <definedName name="ㅋㅋㅋㅋㅋㅋㅋㅋㅋ" localSheetId="13" hidden="1">'[5]Eq. Mobilization'!#REF!</definedName>
    <definedName name="ㅋㅋㅋㅋㅋㅋㅋㅋㅋ" localSheetId="14" hidden="1">'[5]Eq. Mobilization'!#REF!</definedName>
    <definedName name="ㅋㅋㅋㅋㅋㅋㅋㅋㅋ" localSheetId="15" hidden="1">'[5]Eq. Mobilization'!#REF!</definedName>
    <definedName name="ㅋㅋㅋㅋㅋㅋㅋㅋㅋ" localSheetId="16" hidden="1">'[5]Eq. Mobilization'!#REF!</definedName>
    <definedName name="ㅋㅋㅋㅋㅋㅋㅋㅋㅋ" localSheetId="17" hidden="1">'[5]Eq. Mobilization'!#REF!</definedName>
    <definedName name="ㅋㅋㅋㅋㅋㅋㅋㅋㅋ" localSheetId="18" hidden="1">'[5]Eq. Mobilization'!#REF!</definedName>
    <definedName name="ㅋㅋㅋㅋㅋㅋㅋㅋㅋ" localSheetId="19" hidden="1">#REF!</definedName>
    <definedName name="ㅋㅋㅋㅋㅋㅋㅋㅋㅋ" hidden="1">'[5]Eq. Mobilization'!#REF!</definedName>
    <definedName name="ㅌㅊㅍㅌㅊㅍㅌㅋㅊㅍㅌ" localSheetId="0" hidden="1">'[5]Eq. Mobilization'!#REF!</definedName>
    <definedName name="ㅌㅊㅍㅌㅊㅍㅌㅋㅊㅍㅌ" localSheetId="2" hidden="1">'[5]Eq. Mobilization'!#REF!</definedName>
    <definedName name="ㅌㅊㅍㅌㅊㅍㅌㅋㅊㅍㅌ" localSheetId="1" hidden="1">'[5]Eq. Mobilization'!#REF!</definedName>
    <definedName name="ㅌㅊㅍㅌㅊㅍㅌㅋㅊㅍㅌ" localSheetId="3" hidden="1">'[5]Eq. Mobilization'!#REF!</definedName>
    <definedName name="ㅌㅊㅍㅌㅊㅍㅌㅋㅊㅍㅌ" localSheetId="5" hidden="1">'[5]Eq. Mobilization'!#REF!</definedName>
    <definedName name="ㅌㅊㅍㅌㅊㅍㅌㅋㅊㅍㅌ" localSheetId="6" hidden="1">'[5]Eq. Mobilization'!#REF!</definedName>
    <definedName name="ㅌㅊㅍㅌㅊㅍㅌㅋㅊㅍㅌ" localSheetId="7" hidden="1">'[5]Eq. Mobilization'!#REF!</definedName>
    <definedName name="ㅌㅊㅍㅌㅊㅍㅌㅋㅊㅍㅌ" localSheetId="8" hidden="1">'[5]Eq. Mobilization'!#REF!</definedName>
    <definedName name="ㅌㅊㅍㅌㅊㅍㅌㅋㅊㅍㅌ" localSheetId="9" hidden="1">'[5]Eq. Mobilization'!#REF!</definedName>
    <definedName name="ㅌㅊㅍㅌㅊㅍㅌㅋㅊㅍㅌ" localSheetId="10" hidden="1">'[5]Eq. Mobilization'!#REF!</definedName>
    <definedName name="ㅌㅊㅍㅌㅊㅍㅌㅋㅊㅍㅌ" localSheetId="11" hidden="1">'[5]Eq. Mobilization'!#REF!</definedName>
    <definedName name="ㅌㅊㅍㅌㅊㅍㅌㅋㅊㅍㅌ" localSheetId="12" hidden="1">'[5]Eq. Mobilization'!#REF!</definedName>
    <definedName name="ㅌㅊㅍㅌㅊㅍㅌㅋㅊㅍㅌ" localSheetId="13" hidden="1">'[5]Eq. Mobilization'!#REF!</definedName>
    <definedName name="ㅌㅊㅍㅌㅊㅍㅌㅋㅊㅍㅌ" localSheetId="14" hidden="1">'[5]Eq. Mobilization'!#REF!</definedName>
    <definedName name="ㅌㅊㅍㅌㅊㅍㅌㅋㅊㅍㅌ" localSheetId="15" hidden="1">'[5]Eq. Mobilization'!#REF!</definedName>
    <definedName name="ㅌㅊㅍㅌㅊㅍㅌㅋㅊㅍㅌ" localSheetId="16" hidden="1">'[5]Eq. Mobilization'!#REF!</definedName>
    <definedName name="ㅌㅊㅍㅌㅊㅍㅌㅋㅊㅍㅌ" localSheetId="17" hidden="1">'[5]Eq. Mobilization'!#REF!</definedName>
    <definedName name="ㅌㅊㅍㅌㅊㅍㅌㅋㅊㅍㅌ" localSheetId="18" hidden="1">'[5]Eq. Mobilization'!#REF!</definedName>
    <definedName name="ㅌㅊㅍㅌㅊㅍㅌㅋㅊㅍㅌ" localSheetId="19" hidden="1">#REF!</definedName>
    <definedName name="ㅌㅊㅍㅌㅊㅍㅌㅋㅊㅍㅌ" hidden="1">'[5]Eq. Mobilization'!#REF!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 i="2" l="1"/>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 i="2"/>
  <c r="T98" i="2"/>
  <c r="T78" i="2"/>
  <c r="T79" i="2"/>
  <c r="T80" i="2"/>
  <c r="T81" i="2"/>
  <c r="T82" i="2"/>
  <c r="T83" i="2"/>
  <c r="T84" i="2"/>
  <c r="T85" i="2"/>
  <c r="T86" i="2"/>
  <c r="T87" i="2"/>
  <c r="T88" i="2"/>
  <c r="T89" i="2"/>
  <c r="T90" i="2"/>
  <c r="T91" i="2"/>
  <c r="T92" i="2"/>
  <c r="T93" i="2"/>
  <c r="T94" i="2"/>
  <c r="T95" i="2"/>
  <c r="T96" i="2"/>
  <c r="T97" i="2"/>
  <c r="T65" i="2"/>
  <c r="T66" i="2"/>
  <c r="T67" i="2"/>
  <c r="T68" i="2"/>
  <c r="T69" i="2"/>
  <c r="T70" i="2"/>
  <c r="T71" i="2"/>
  <c r="T72" i="2"/>
  <c r="T73" i="2"/>
  <c r="T74" i="2"/>
  <c r="T75" i="2"/>
  <c r="T76" i="2"/>
  <c r="T77" i="2"/>
  <c r="T41" i="2"/>
  <c r="T42" i="2"/>
  <c r="T43" i="2"/>
  <c r="T44" i="2"/>
  <c r="T45" i="2"/>
  <c r="T46" i="2"/>
  <c r="T47" i="2"/>
  <c r="T48" i="2"/>
  <c r="T49" i="2"/>
  <c r="T50" i="2"/>
  <c r="T51" i="2"/>
  <c r="T52" i="2"/>
  <c r="T53" i="2"/>
  <c r="T54" i="2"/>
  <c r="T55" i="2"/>
  <c r="T56" i="2"/>
  <c r="T57" i="2"/>
  <c r="T58" i="2"/>
  <c r="T59" i="2"/>
  <c r="T60" i="2"/>
  <c r="T61" i="2"/>
  <c r="T62" i="2"/>
  <c r="T63" i="2"/>
  <c r="T64"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10" i="2"/>
  <c r="N54" i="2"/>
  <c r="N81" i="2"/>
  <c r="N82" i="2"/>
  <c r="N83" i="2"/>
  <c r="N84" i="2"/>
  <c r="N85" i="2"/>
  <c r="N86" i="2"/>
  <c r="N87" i="2"/>
  <c r="N88" i="2"/>
  <c r="N89" i="2"/>
  <c r="N90" i="2"/>
  <c r="N91" i="2"/>
  <c r="N92" i="2"/>
  <c r="N93" i="2"/>
  <c r="N94" i="2"/>
  <c r="N95" i="2"/>
  <c r="N96" i="2"/>
  <c r="N97" i="2"/>
  <c r="N38" i="2"/>
  <c r="N39" i="2"/>
  <c r="N40" i="2"/>
  <c r="N41" i="2"/>
  <c r="N42" i="2"/>
  <c r="N43" i="2"/>
  <c r="N44" i="2"/>
  <c r="N45" i="2"/>
  <c r="N46" i="2"/>
  <c r="N47" i="2"/>
  <c r="N48" i="2"/>
  <c r="N49" i="2"/>
  <c r="N50" i="2"/>
  <c r="N51" i="2"/>
  <c r="N52" i="2"/>
  <c r="N53" i="2"/>
  <c r="N55" i="2"/>
  <c r="N56" i="2"/>
  <c r="N57" i="2"/>
  <c r="N58" i="2"/>
  <c r="N59" i="2"/>
  <c r="N60" i="2"/>
  <c r="N61" i="2"/>
  <c r="N62" i="2"/>
  <c r="N63" i="2"/>
  <c r="N64" i="2"/>
  <c r="N65" i="2"/>
  <c r="N66" i="2"/>
  <c r="N67" i="2"/>
  <c r="N68" i="2"/>
  <c r="N69" i="2"/>
  <c r="N70" i="2"/>
  <c r="N71" i="2"/>
  <c r="N72" i="2"/>
  <c r="N73" i="2"/>
  <c r="N74" i="2"/>
  <c r="N75" i="2"/>
  <c r="N76" i="2"/>
  <c r="N77" i="2"/>
  <c r="N78" i="2"/>
  <c r="N79" i="2"/>
  <c r="N80"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9" i="2"/>
  <c r="C17" i="23"/>
  <c r="T99" i="2"/>
  <c r="I65" i="5"/>
  <c r="C67" i="5"/>
  <c r="P64" i="5"/>
  <c r="P63" i="5"/>
  <c r="P62" i="5"/>
  <c r="P61" i="5"/>
  <c r="P60" i="5"/>
  <c r="P59" i="5"/>
  <c r="P58" i="5"/>
  <c r="P66" i="5"/>
  <c r="P57" i="5"/>
  <c r="P56" i="5"/>
  <c r="P55" i="5"/>
  <c r="P54" i="5"/>
  <c r="P53" i="5"/>
  <c r="P52" i="5"/>
  <c r="P51" i="5"/>
  <c r="P50" i="5"/>
  <c r="C70" i="5"/>
  <c r="P69" i="5"/>
  <c r="P49" i="5"/>
  <c r="P48" i="5"/>
  <c r="P47" i="5"/>
  <c r="P46" i="5"/>
  <c r="P45" i="5"/>
  <c r="P44" i="5"/>
  <c r="C15" i="26"/>
  <c r="C15" i="25"/>
  <c r="C15" i="24"/>
  <c r="C15" i="23"/>
  <c r="C15" i="22"/>
  <c r="C15" i="21"/>
  <c r="C15" i="20"/>
  <c r="C15" i="19"/>
  <c r="C15" i="18"/>
  <c r="C15" i="17"/>
  <c r="C15" i="16"/>
  <c r="C15" i="15"/>
  <c r="C15" i="14"/>
  <c r="C15" i="12"/>
  <c r="C21" i="26"/>
  <c r="C14" i="26"/>
  <c r="A3" i="26"/>
  <c r="C21" i="25"/>
  <c r="C14" i="25"/>
  <c r="A3" i="25"/>
  <c r="C21" i="24"/>
  <c r="C14" i="24"/>
  <c r="A3" i="24"/>
  <c r="C21" i="23"/>
  <c r="C14" i="23"/>
  <c r="A3" i="23"/>
  <c r="C21" i="22"/>
  <c r="C14" i="22"/>
  <c r="A3" i="22"/>
  <c r="C21" i="21"/>
  <c r="C14" i="21"/>
  <c r="A3" i="21"/>
  <c r="C21" i="20"/>
  <c r="C14" i="20"/>
  <c r="A3" i="20"/>
  <c r="C21" i="19"/>
  <c r="C14" i="19"/>
  <c r="A3" i="19"/>
  <c r="C21" i="18"/>
  <c r="C14" i="18"/>
  <c r="A3" i="18"/>
  <c r="C21" i="17"/>
  <c r="C14" i="17"/>
  <c r="A3" i="17"/>
  <c r="C21" i="16"/>
  <c r="C14" i="16"/>
  <c r="A3" i="16"/>
  <c r="C21" i="15"/>
  <c r="C14" i="15"/>
  <c r="A3" i="15"/>
  <c r="C21" i="14"/>
  <c r="C14" i="14"/>
  <c r="A3" i="14"/>
  <c r="C21" i="12"/>
  <c r="E12" i="13"/>
  <c r="E13" i="13"/>
  <c r="E14" i="13"/>
  <c r="E15" i="13"/>
  <c r="E16" i="13"/>
  <c r="E17" i="13"/>
  <c r="E18" i="13"/>
  <c r="E19" i="13"/>
  <c r="E20" i="13"/>
  <c r="E21" i="13"/>
  <c r="E22" i="13"/>
  <c r="E23" i="13"/>
  <c r="E11" i="13"/>
  <c r="E10" i="13"/>
  <c r="C11" i="13"/>
  <c r="C12" i="13"/>
  <c r="C13" i="13"/>
  <c r="C14" i="13"/>
  <c r="C15" i="13"/>
  <c r="C16" i="13"/>
  <c r="C17" i="13"/>
  <c r="C18" i="13"/>
  <c r="C19" i="13"/>
  <c r="C20" i="13"/>
  <c r="C21" i="13"/>
  <c r="C22" i="13"/>
  <c r="C23" i="13"/>
  <c r="C10" i="13"/>
  <c r="B7" i="13"/>
  <c r="H15" i="1"/>
  <c r="H15" i="3"/>
  <c r="W29" i="5"/>
  <c r="P29" i="5"/>
  <c r="P30" i="5"/>
  <c r="Q30" i="5"/>
  <c r="N22" i="4"/>
  <c r="C19" i="20"/>
  <c r="W43" i="5"/>
  <c r="P43" i="5"/>
  <c r="T28" i="4"/>
  <c r="S28" i="4"/>
  <c r="J28" i="4"/>
  <c r="E20" i="26"/>
  <c r="K28" i="4"/>
  <c r="G20" i="26"/>
  <c r="O28" i="4"/>
  <c r="I28" i="4"/>
  <c r="C20" i="26"/>
  <c r="H28" i="4"/>
  <c r="T27" i="4"/>
  <c r="S27" i="4"/>
  <c r="J27" i="4"/>
  <c r="E20" i="25"/>
  <c r="K27" i="4"/>
  <c r="G20" i="25"/>
  <c r="O27" i="4"/>
  <c r="I27" i="4"/>
  <c r="C20" i="25"/>
  <c r="H27" i="4"/>
  <c r="T26" i="4"/>
  <c r="S26" i="4"/>
  <c r="O26" i="4"/>
  <c r="J26" i="4"/>
  <c r="E20" i="24"/>
  <c r="K26" i="4"/>
  <c r="G20" i="24"/>
  <c r="I26" i="4"/>
  <c r="C20" i="24"/>
  <c r="H26" i="4"/>
  <c r="T25" i="4"/>
  <c r="S25" i="4"/>
  <c r="O25" i="4"/>
  <c r="J25" i="4"/>
  <c r="E20" i="23"/>
  <c r="K25" i="4"/>
  <c r="G20" i="23"/>
  <c r="I25" i="4"/>
  <c r="C20" i="23"/>
  <c r="H25" i="4"/>
  <c r="T24" i="4"/>
  <c r="S24" i="4"/>
  <c r="O24" i="4"/>
  <c r="J24" i="4"/>
  <c r="E20" i="22"/>
  <c r="K24" i="4"/>
  <c r="G20" i="22"/>
  <c r="I24" i="4"/>
  <c r="C20" i="22"/>
  <c r="H24" i="4"/>
  <c r="T23" i="4"/>
  <c r="S23" i="4"/>
  <c r="O23" i="4"/>
  <c r="J23" i="4"/>
  <c r="E20" i="21"/>
  <c r="K23" i="4"/>
  <c r="G20" i="21"/>
  <c r="I23" i="4"/>
  <c r="C20" i="21"/>
  <c r="H23" i="4"/>
  <c r="T22" i="4"/>
  <c r="S22" i="4"/>
  <c r="O22" i="4"/>
  <c r="J22" i="4"/>
  <c r="E20" i="20"/>
  <c r="K22" i="4"/>
  <c r="G20" i="20"/>
  <c r="I22" i="4"/>
  <c r="C20" i="20"/>
  <c r="H22" i="4"/>
  <c r="T21" i="4"/>
  <c r="S21" i="4"/>
  <c r="O21" i="4"/>
  <c r="J21" i="4"/>
  <c r="E20" i="19"/>
  <c r="K21" i="4"/>
  <c r="G20" i="19"/>
  <c r="I21" i="4"/>
  <c r="C20" i="19"/>
  <c r="H21" i="4"/>
  <c r="T20" i="4"/>
  <c r="S20" i="4"/>
  <c r="O20" i="4"/>
  <c r="J20" i="4"/>
  <c r="K20" i="4"/>
  <c r="I20" i="4"/>
  <c r="H20" i="4"/>
  <c r="T19" i="4"/>
  <c r="S19" i="4"/>
  <c r="O19" i="4"/>
  <c r="J19" i="4"/>
  <c r="K19" i="4"/>
  <c r="I19" i="4"/>
  <c r="H19" i="4"/>
  <c r="T18" i="4"/>
  <c r="S18" i="4"/>
  <c r="O18" i="4"/>
  <c r="J18" i="4"/>
  <c r="K18" i="4"/>
  <c r="I18" i="4"/>
  <c r="H18" i="4"/>
  <c r="T17" i="4"/>
  <c r="S17" i="4"/>
  <c r="O17" i="4"/>
  <c r="J17" i="4"/>
  <c r="K17" i="4"/>
  <c r="I17" i="4"/>
  <c r="H17" i="4"/>
  <c r="T16" i="4"/>
  <c r="S16" i="4"/>
  <c r="O16" i="4"/>
  <c r="J16" i="4"/>
  <c r="E20" i="14"/>
  <c r="K16" i="4"/>
  <c r="G20" i="14"/>
  <c r="I16" i="4"/>
  <c r="C20" i="14"/>
  <c r="H16" i="4"/>
  <c r="I117" i="5"/>
  <c r="F28" i="4"/>
  <c r="I80" i="5"/>
  <c r="F27" i="4"/>
  <c r="I72" i="5"/>
  <c r="F26" i="4"/>
  <c r="I68" i="5"/>
  <c r="F25" i="4"/>
  <c r="F24" i="4"/>
  <c r="I37" i="5"/>
  <c r="F23" i="4"/>
  <c r="I30" i="5"/>
  <c r="F22" i="4"/>
  <c r="I28" i="5"/>
  <c r="F21" i="4"/>
  <c r="I26" i="5"/>
  <c r="F20" i="4"/>
  <c r="I24" i="5"/>
  <c r="F19" i="4"/>
  <c r="I22" i="5"/>
  <c r="F18" i="4"/>
  <c r="I20" i="5"/>
  <c r="F17" i="4"/>
  <c r="I18" i="5"/>
  <c r="F16" i="4"/>
  <c r="I16" i="5"/>
  <c r="F15" i="4"/>
  <c r="T15" i="4"/>
  <c r="S15" i="4"/>
  <c r="O15" i="4"/>
  <c r="J15" i="4"/>
  <c r="K15" i="4"/>
  <c r="I15" i="4"/>
  <c r="H15" i="4"/>
  <c r="C28" i="4"/>
  <c r="C17" i="26"/>
  <c r="C27" i="4"/>
  <c r="C17" i="25"/>
  <c r="C26" i="4"/>
  <c r="C17" i="24"/>
  <c r="C25" i="4"/>
  <c r="C24" i="4"/>
  <c r="C17" i="22"/>
  <c r="C23" i="4"/>
  <c r="C17" i="21"/>
  <c r="C22" i="4"/>
  <c r="C17" i="20"/>
  <c r="C21" i="4"/>
  <c r="C17" i="19"/>
  <c r="C20" i="4"/>
  <c r="C17" i="18"/>
  <c r="C19" i="4"/>
  <c r="C17" i="17"/>
  <c r="C18" i="4"/>
  <c r="C17" i="16"/>
  <c r="C17" i="4"/>
  <c r="C17" i="15"/>
  <c r="C16" i="4"/>
  <c r="C17" i="14"/>
  <c r="C15" i="4"/>
  <c r="W79" i="5"/>
  <c r="P79" i="5"/>
  <c r="W78" i="5"/>
  <c r="P78" i="5"/>
  <c r="W77" i="5"/>
  <c r="P77" i="5"/>
  <c r="W76" i="5"/>
  <c r="P76" i="5"/>
  <c r="W75" i="5"/>
  <c r="P75" i="5"/>
  <c r="W74" i="5"/>
  <c r="P74" i="5"/>
  <c r="W73" i="5"/>
  <c r="P73" i="5"/>
  <c r="P116" i="5"/>
  <c r="P115" i="5"/>
  <c r="P114" i="5"/>
  <c r="P113" i="5"/>
  <c r="P112" i="5"/>
  <c r="P111" i="5"/>
  <c r="P110" i="5"/>
  <c r="P109" i="5"/>
  <c r="P108" i="5"/>
  <c r="P107" i="5"/>
  <c r="P106" i="5"/>
  <c r="P105" i="5"/>
  <c r="P104" i="5"/>
  <c r="P103" i="5"/>
  <c r="P102" i="5"/>
  <c r="P101" i="5"/>
  <c r="P100" i="5"/>
  <c r="P99" i="5"/>
  <c r="P98" i="5"/>
  <c r="P97" i="5"/>
  <c r="P96" i="5"/>
  <c r="P95" i="5"/>
  <c r="P94" i="5"/>
  <c r="P93" i="5"/>
  <c r="P92" i="5"/>
  <c r="P91" i="5"/>
  <c r="P90" i="5"/>
  <c r="P89" i="5"/>
  <c r="P88" i="5"/>
  <c r="P87" i="5"/>
  <c r="P86" i="5"/>
  <c r="P85" i="5"/>
  <c r="P84" i="5"/>
  <c r="P83" i="5"/>
  <c r="P82" i="5"/>
  <c r="P81" i="5"/>
  <c r="P71" i="5"/>
  <c r="P70" i="5"/>
  <c r="P67" i="5"/>
  <c r="P39" i="5"/>
  <c r="P40" i="5"/>
  <c r="P41" i="5"/>
  <c r="P42" i="5"/>
  <c r="P38" i="5"/>
  <c r="W36" i="5"/>
  <c r="P36" i="5"/>
  <c r="W35" i="5"/>
  <c r="P35" i="5"/>
  <c r="W34" i="5"/>
  <c r="P34" i="5"/>
  <c r="W33" i="5"/>
  <c r="P33" i="5"/>
  <c r="W32" i="5"/>
  <c r="P32" i="5"/>
  <c r="W31" i="5"/>
  <c r="P3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74" i="5"/>
  <c r="C75" i="5"/>
  <c r="C76" i="5"/>
  <c r="C77" i="5"/>
  <c r="C78" i="5"/>
  <c r="C79" i="5"/>
  <c r="O117" i="5"/>
  <c r="L28" i="4"/>
  <c r="I20" i="26"/>
  <c r="O80" i="5"/>
  <c r="L27" i="4"/>
  <c r="I20" i="25"/>
  <c r="O72" i="5"/>
  <c r="L26" i="4"/>
  <c r="I20" i="24"/>
  <c r="C71" i="5"/>
  <c r="C39" i="5"/>
  <c r="C40" i="5"/>
  <c r="C41" i="5"/>
  <c r="C42" i="5"/>
  <c r="C43" i="5"/>
  <c r="C44" i="5"/>
  <c r="C45" i="5"/>
  <c r="C46" i="5"/>
  <c r="C47" i="5"/>
  <c r="C48" i="5"/>
  <c r="C49" i="5"/>
  <c r="C32" i="5"/>
  <c r="C33" i="5"/>
  <c r="C34" i="5"/>
  <c r="C35" i="5"/>
  <c r="C36" i="5"/>
  <c r="O68" i="5"/>
  <c r="L25" i="4"/>
  <c r="I20" i="23"/>
  <c r="O65" i="5"/>
  <c r="L24" i="4"/>
  <c r="I20" i="22"/>
  <c r="O37" i="5"/>
  <c r="L23" i="4"/>
  <c r="I20" i="21"/>
  <c r="O30" i="5"/>
  <c r="L22" i="4"/>
  <c r="I20" i="20"/>
  <c r="O28" i="5"/>
  <c r="L21" i="4"/>
  <c r="I20" i="19"/>
  <c r="W27" i="5"/>
  <c r="P27" i="5"/>
  <c r="P28" i="5"/>
  <c r="Q28" i="5"/>
  <c r="N21" i="4"/>
  <c r="C19" i="19"/>
  <c r="O26" i="5"/>
  <c r="L20" i="4"/>
  <c r="W25" i="5"/>
  <c r="P25" i="5"/>
  <c r="P26" i="5"/>
  <c r="Q26" i="5"/>
  <c r="N20" i="4"/>
  <c r="O24" i="5"/>
  <c r="L19" i="4"/>
  <c r="W23" i="5"/>
  <c r="P23" i="5"/>
  <c r="P24" i="5"/>
  <c r="Q24" i="5"/>
  <c r="N19" i="4"/>
  <c r="O22" i="5"/>
  <c r="L18" i="4"/>
  <c r="W21" i="5"/>
  <c r="P21" i="5"/>
  <c r="P22" i="5"/>
  <c r="Q22" i="5"/>
  <c r="N18" i="4"/>
  <c r="O20" i="5"/>
  <c r="L17" i="4"/>
  <c r="W19" i="5"/>
  <c r="P19" i="5"/>
  <c r="P20" i="5"/>
  <c r="O18" i="5"/>
  <c r="L16" i="4"/>
  <c r="I20" i="14"/>
  <c r="W17" i="5"/>
  <c r="P17" i="5"/>
  <c r="P18" i="5"/>
  <c r="Q18" i="5"/>
  <c r="N16" i="4"/>
  <c r="W15" i="5"/>
  <c r="P15" i="5"/>
  <c r="P16" i="5"/>
  <c r="Q16" i="5"/>
  <c r="N15" i="4"/>
  <c r="C50" i="5"/>
  <c r="C51" i="5"/>
  <c r="C52" i="5"/>
  <c r="C53" i="5"/>
  <c r="C54" i="5"/>
  <c r="C55" i="5"/>
  <c r="C56" i="5"/>
  <c r="C57" i="5"/>
  <c r="C58" i="5"/>
  <c r="C59" i="5"/>
  <c r="C60" i="5"/>
  <c r="C61" i="5"/>
  <c r="C62" i="5"/>
  <c r="C63" i="5"/>
  <c r="C64" i="5"/>
  <c r="P65" i="5"/>
  <c r="Q65" i="5"/>
  <c r="N24" i="4"/>
  <c r="C19" i="22"/>
  <c r="G20" i="12"/>
  <c r="G20" i="15"/>
  <c r="G20" i="18"/>
  <c r="G20" i="16"/>
  <c r="G20" i="17"/>
  <c r="C20" i="12"/>
  <c r="C20" i="17"/>
  <c r="C20" i="15"/>
  <c r="C20" i="18"/>
  <c r="C20" i="16"/>
  <c r="C19" i="12"/>
  <c r="C19" i="18"/>
  <c r="C19" i="17"/>
  <c r="C19" i="16"/>
  <c r="C19" i="15"/>
  <c r="C19" i="14"/>
  <c r="E20" i="12"/>
  <c r="E20" i="16"/>
  <c r="E20" i="15"/>
  <c r="E20" i="18"/>
  <c r="E20" i="17"/>
  <c r="D22" i="13"/>
  <c r="D23" i="13"/>
  <c r="P80" i="5"/>
  <c r="Q80" i="5"/>
  <c r="N27" i="4"/>
  <c r="C19" i="25"/>
  <c r="Q20" i="5"/>
  <c r="N17" i="4"/>
  <c r="M17" i="4"/>
  <c r="B11" i="13"/>
  <c r="D19" i="13"/>
  <c r="B12" i="13"/>
  <c r="B17" i="13"/>
  <c r="B18" i="13"/>
  <c r="B19" i="13"/>
  <c r="B21" i="13"/>
  <c r="D13" i="13"/>
  <c r="B14" i="13"/>
  <c r="D14" i="13"/>
  <c r="D21" i="13"/>
  <c r="B15" i="13"/>
  <c r="B16" i="13"/>
  <c r="D20" i="13"/>
  <c r="D12" i="13"/>
  <c r="B23" i="13"/>
  <c r="D15" i="13"/>
  <c r="D10" i="13"/>
  <c r="D11" i="13"/>
  <c r="M16" i="4"/>
  <c r="P117" i="5"/>
  <c r="M28" i="4"/>
  <c r="C18" i="26"/>
  <c r="D16" i="13"/>
  <c r="B13" i="13"/>
  <c r="B20" i="13"/>
  <c r="B22" i="13"/>
  <c r="D17" i="13"/>
  <c r="P37" i="5"/>
  <c r="M23" i="4"/>
  <c r="C18" i="21"/>
  <c r="B10" i="13"/>
  <c r="C17" i="12"/>
  <c r="D18" i="13"/>
  <c r="M18" i="4"/>
  <c r="M20" i="4"/>
  <c r="M19" i="4"/>
  <c r="M15" i="4"/>
  <c r="M21" i="4"/>
  <c r="C18" i="19"/>
  <c r="P72" i="5"/>
  <c r="M22" i="4"/>
  <c r="C18" i="20"/>
  <c r="P68" i="5"/>
  <c r="M25" i="4"/>
  <c r="C18" i="23"/>
  <c r="N98" i="2"/>
  <c r="M24" i="4"/>
  <c r="C18" i="22"/>
  <c r="P118" i="5"/>
  <c r="Q37" i="5"/>
  <c r="N23" i="4"/>
  <c r="C19" i="21"/>
  <c r="C18" i="14"/>
  <c r="C18" i="12"/>
  <c r="C18" i="18"/>
  <c r="C18" i="17"/>
  <c r="C18" i="16"/>
  <c r="C18" i="15"/>
  <c r="Q117" i="5"/>
  <c r="N28" i="4"/>
  <c r="C19" i="26"/>
  <c r="M27" i="4"/>
  <c r="C18" i="25"/>
  <c r="Q72" i="5"/>
  <c r="N26" i="4"/>
  <c r="C19" i="24"/>
  <c r="M26" i="4"/>
  <c r="C18" i="24"/>
  <c r="O16" i="5"/>
  <c r="K30" i="1"/>
  <c r="K43" i="1"/>
  <c r="L15" i="4"/>
  <c r="O118" i="5"/>
  <c r="D5" i="4"/>
  <c r="I20" i="12"/>
  <c r="I20" i="16"/>
  <c r="I20" i="18"/>
  <c r="I20" i="17"/>
  <c r="I20" i="15"/>
  <c r="K50" i="3"/>
  <c r="D7" i="5"/>
  <c r="D5" i="5"/>
  <c r="C5" i="2"/>
  <c r="O5" i="2"/>
  <c r="H8" i="3"/>
  <c r="H6" i="3"/>
  <c r="D6" i="4"/>
  <c r="D6" i="5"/>
  <c r="C14" i="12"/>
  <c r="A3" i="12"/>
  <c r="M29" i="4"/>
  <c r="L29" i="4"/>
  <c r="I50" i="3"/>
  <c r="G9" i="3"/>
  <c r="B5" i="2"/>
  <c r="Q68" i="5"/>
  <c r="N25" i="4"/>
  <c r="C19" i="23"/>
  <c r="Q118" i="5"/>
  <c r="J50" i="3"/>
  <c r="N29" i="4"/>
</calcChain>
</file>

<file path=xl/sharedStrings.xml><?xml version="1.0" encoding="utf-8"?>
<sst xmlns="http://schemas.openxmlformats.org/spreadsheetml/2006/main" count="2442" uniqueCount="413">
  <si>
    <t>PECC2 Innovation Hub, 45 Street No.2, Truong Tho Ward, Thu Duc City, HCMC, Vietnam
Tel: +84-28-2221 6468 | Fax: +84-28-2221 0408</t>
  </si>
  <si>
    <t>COMMERCIAL INVOICE</t>
    <phoneticPr fontId="0" type="noConversion"/>
  </si>
  <si>
    <t>SHIPPER:</t>
  </si>
  <si>
    <t>INVOICE NO. :</t>
    <phoneticPr fontId="0" type="noConversion"/>
  </si>
  <si>
    <t>DATE:</t>
  </si>
  <si>
    <t>CONTRACT NO.</t>
    <phoneticPr fontId="0" type="noConversion"/>
  </si>
  <si>
    <t>06/2025/HĐ-PVN/OM4-06</t>
  </si>
  <si>
    <t xml:space="preserve"> CONSIGNEE :</t>
    <phoneticPr fontId="0" type="noConversion"/>
  </si>
  <si>
    <t>SHIPPING MARK</t>
  </si>
  <si>
    <t>O MON IV THERMAL POWER PLANT</t>
  </si>
  <si>
    <t>NOTIFY PARTY :</t>
    <phoneticPr fontId="0" type="noConversion"/>
  </si>
  <si>
    <t xml:space="preserve">SHIPMENT NO. : </t>
  </si>
  <si>
    <t>TERM OF DELIVERY :</t>
  </si>
  <si>
    <t>VESSEL NAME :</t>
  </si>
  <si>
    <t>ETD :</t>
    <phoneticPr fontId="0" type="noConversion"/>
  </si>
  <si>
    <t>PORT OF LOADING :</t>
    <phoneticPr fontId="0" type="noConversion"/>
  </si>
  <si>
    <t>PORT OF DISCHARGE :</t>
    <phoneticPr fontId="0" type="noConversion"/>
  </si>
  <si>
    <t>BILL OF LADING/ AIRWAY BILL NO. :</t>
  </si>
  <si>
    <t>B/L DATE :</t>
  </si>
  <si>
    <t xml:space="preserve">FINAL DESTINATION : </t>
    <phoneticPr fontId="0" type="noConversion"/>
  </si>
  <si>
    <t>COMMODITY/DESCRIPTION OF GOODS</t>
    <phoneticPr fontId="0" type="noConversion"/>
  </si>
  <si>
    <t>UNIT</t>
    <phoneticPr fontId="0" type="noConversion"/>
  </si>
  <si>
    <t>QUANTITY</t>
    <phoneticPr fontId="0" type="noConversion"/>
  </si>
  <si>
    <t>UNIT PRICE
(USD)</t>
    <phoneticPr fontId="0" type="noConversion"/>
  </si>
  <si>
    <t>AMOUNT
(USD)</t>
    <phoneticPr fontId="0" type="noConversion"/>
  </si>
  <si>
    <t xml:space="preserve">Number of packages: </t>
  </si>
  <si>
    <t>PKGS</t>
  </si>
  <si>
    <t>TOTAL AMOUNT AT THIS SHIPMENT :</t>
  </si>
  <si>
    <t>Signed by</t>
    <phoneticPr fontId="0" type="noConversion"/>
  </si>
  <si>
    <t>SI.
No.</t>
    <phoneticPr fontId="0" type="noConversion"/>
  </si>
  <si>
    <t>Package No.</t>
    <phoneticPr fontId="0" type="noConversion"/>
  </si>
  <si>
    <t>POSITION IN PRICE SCHEDULE</t>
    <phoneticPr fontId="0" type="noConversion"/>
  </si>
  <si>
    <t>TOTAL AMOUNT AT THIS SHIPMENT</t>
  </si>
  <si>
    <t>PACKING LIST(1/2)</t>
    <phoneticPr fontId="0" type="noConversion"/>
  </si>
  <si>
    <t>P/L No.</t>
  </si>
  <si>
    <t>NET
WEIGHT
(KG)</t>
    <phoneticPr fontId="0" type="noConversion"/>
  </si>
  <si>
    <t>GROSS WEIGHT
(KG)</t>
    <phoneticPr fontId="0" type="noConversion"/>
  </si>
  <si>
    <t>MEASUREMENT
(CBM)</t>
    <phoneticPr fontId="0" type="noConversion"/>
  </si>
  <si>
    <t>TOTAL</t>
    <phoneticPr fontId="0" type="noConversion"/>
  </si>
  <si>
    <t>PACKING LIST(2/2)</t>
    <phoneticPr fontId="0" type="noConversion"/>
  </si>
  <si>
    <t xml:space="preserve">P/L No. </t>
    <phoneticPr fontId="0" type="noConversion"/>
  </si>
  <si>
    <t>Dated</t>
    <phoneticPr fontId="0" type="noConversion"/>
  </si>
  <si>
    <t>*  Storage Classification</t>
    <phoneticPr fontId="0" type="noConversion"/>
  </si>
  <si>
    <t>**  Plant/Equipment/Materials for</t>
    <phoneticPr fontId="0" type="noConversion"/>
  </si>
  <si>
    <t>Project</t>
    <phoneticPr fontId="0" type="noConversion"/>
  </si>
  <si>
    <t>"A"</t>
    <phoneticPr fontId="0" type="noConversion"/>
  </si>
  <si>
    <t>: Indoor with Air conditioning</t>
    <phoneticPr fontId="0" type="noConversion"/>
  </si>
  <si>
    <t>BOP</t>
    <phoneticPr fontId="0" type="noConversion"/>
  </si>
  <si>
    <t>"B"</t>
    <phoneticPr fontId="0" type="noConversion"/>
  </si>
  <si>
    <t>: Indoor without Air conditioning</t>
    <phoneticPr fontId="0" type="noConversion"/>
  </si>
  <si>
    <t>Unit 1</t>
    <phoneticPr fontId="0" type="noConversion"/>
  </si>
  <si>
    <t>B1</t>
    <phoneticPr fontId="0" type="noConversion"/>
  </si>
  <si>
    <t>T1</t>
    <phoneticPr fontId="0" type="noConversion"/>
  </si>
  <si>
    <t>G1</t>
    <phoneticPr fontId="0" type="noConversion"/>
  </si>
  <si>
    <t>P2</t>
  </si>
  <si>
    <t>"C"</t>
    <phoneticPr fontId="0" type="noConversion"/>
  </si>
  <si>
    <t>: Hazardous Material</t>
    <phoneticPr fontId="0" type="noConversion"/>
  </si>
  <si>
    <t>Unit 2</t>
    <phoneticPr fontId="0" type="noConversion"/>
  </si>
  <si>
    <t>B2</t>
    <phoneticPr fontId="0" type="noConversion"/>
  </si>
  <si>
    <t>T2</t>
    <phoneticPr fontId="0" type="noConversion"/>
  </si>
  <si>
    <t>G2</t>
    <phoneticPr fontId="0" type="noConversion"/>
  </si>
  <si>
    <t>P2</t>
    <phoneticPr fontId="0" type="noConversion"/>
  </si>
  <si>
    <t>"D"</t>
    <phoneticPr fontId="0" type="noConversion"/>
  </si>
  <si>
    <t>: Outdoor with waterproofing</t>
    <phoneticPr fontId="0" type="noConversion"/>
  </si>
  <si>
    <t>Common</t>
    <phoneticPr fontId="0" type="noConversion"/>
  </si>
  <si>
    <t>B0</t>
    <phoneticPr fontId="0" type="noConversion"/>
  </si>
  <si>
    <t>T0</t>
    <phoneticPr fontId="0" type="noConversion"/>
  </si>
  <si>
    <t>G0</t>
    <phoneticPr fontId="0" type="noConversion"/>
  </si>
  <si>
    <t>P0</t>
    <phoneticPr fontId="0" type="noConversion"/>
  </si>
  <si>
    <t>"E"</t>
    <phoneticPr fontId="0" type="noConversion"/>
  </si>
  <si>
    <t>: Outdoor without waterproofing</t>
    <phoneticPr fontId="0" type="noConversion"/>
  </si>
  <si>
    <t>Description of Goods</t>
    <phoneticPr fontId="0" type="noConversion"/>
  </si>
  <si>
    <t>Quantity</t>
    <phoneticPr fontId="0" type="noConversion"/>
  </si>
  <si>
    <t>Package Type</t>
    <phoneticPr fontId="0" type="noConversion"/>
  </si>
  <si>
    <t>Measurement</t>
    <phoneticPr fontId="0" type="noConversion"/>
  </si>
  <si>
    <t>Net Weight
(kg)</t>
    <phoneticPr fontId="0" type="noConversion"/>
  </si>
  <si>
    <t>Gross Weight
(kg)</t>
    <phoneticPr fontId="0" type="noConversion"/>
  </si>
  <si>
    <t>Hazardous Material</t>
    <phoneticPr fontId="0" type="noConversion"/>
  </si>
  <si>
    <t>Storage Classification
(*)</t>
    <phoneticPr fontId="0" type="noConversion"/>
  </si>
  <si>
    <t>Remark
(**)</t>
    <phoneticPr fontId="0" type="noConversion"/>
  </si>
  <si>
    <t>Nos</t>
    <phoneticPr fontId="0" type="noConversion"/>
  </si>
  <si>
    <t>Unit</t>
    <phoneticPr fontId="0" type="noConversion"/>
  </si>
  <si>
    <t>Length
(cm)</t>
    <phoneticPr fontId="0" type="noConversion"/>
  </si>
  <si>
    <t>Width
(cm)</t>
    <phoneticPr fontId="0" type="noConversion"/>
  </si>
  <si>
    <t>Height
(cm)</t>
    <phoneticPr fontId="0" type="noConversion"/>
  </si>
  <si>
    <t>Volume
(cbm)</t>
    <phoneticPr fontId="0" type="noConversion"/>
  </si>
  <si>
    <t>Grand Total</t>
    <phoneticPr fontId="0" type="noConversion"/>
  </si>
  <si>
    <t>DETAILED PACKING LIST</t>
    <phoneticPr fontId="0" type="noConversion"/>
  </si>
  <si>
    <t>PL No.</t>
    <phoneticPr fontId="0" type="noConversion"/>
  </si>
  <si>
    <t>Referenced DWG No.</t>
    <phoneticPr fontId="0" type="noConversion"/>
  </si>
  <si>
    <t>Manufacturer</t>
    <phoneticPr fontId="0" type="noConversion"/>
  </si>
  <si>
    <t>Tag No.</t>
    <phoneticPr fontId="0" type="noConversion"/>
  </si>
  <si>
    <t>Sub-Total</t>
    <phoneticPr fontId="0" type="noConversion"/>
  </si>
  <si>
    <t>Grand-Total</t>
    <phoneticPr fontId="0" type="noConversion"/>
  </si>
  <si>
    <t>SHIPPING MARK</t>
    <phoneticPr fontId="0" type="noConversion"/>
  </si>
  <si>
    <t xml:space="preserve">O MON IV THERMAL POWER PLANT </t>
  </si>
  <si>
    <t xml:space="preserve">                             SHIPPER  </t>
    <phoneticPr fontId="0" type="noConversion"/>
  </si>
  <si>
    <t>:</t>
  </si>
  <si>
    <t xml:space="preserve">                            ADDRESS</t>
    <phoneticPr fontId="0" type="noConversion"/>
  </si>
  <si>
    <t xml:space="preserve">                    NOTIFY PARTY</t>
    <phoneticPr fontId="0" type="noConversion"/>
  </si>
  <si>
    <t>:</t>
    <phoneticPr fontId="0" type="noConversion"/>
  </si>
  <si>
    <t xml:space="preserve">                   SHIPMENT NO.</t>
    <phoneticPr fontId="0" type="noConversion"/>
  </si>
  <si>
    <t>KG</t>
    <phoneticPr fontId="0" type="noConversion"/>
  </si>
  <si>
    <t>cm(L) X</t>
    <phoneticPr fontId="0" type="noConversion"/>
  </si>
  <si>
    <t>cm (W) X</t>
    <phoneticPr fontId="0" type="noConversion"/>
  </si>
  <si>
    <t>cm (H)</t>
    <phoneticPr fontId="0" type="noConversion"/>
  </si>
  <si>
    <t>CBM</t>
    <phoneticPr fontId="0" type="noConversion"/>
  </si>
  <si>
    <t xml:space="preserve">         COUNTRY OF ORIGIN</t>
    <phoneticPr fontId="0" type="noConversion"/>
  </si>
  <si>
    <t xml:space="preserve">                              QUALITY</t>
    <phoneticPr fontId="0" type="noConversion"/>
  </si>
  <si>
    <t>100% BRAND NEW</t>
    <phoneticPr fontId="0" type="noConversion"/>
  </si>
  <si>
    <t>QUALITY</t>
  </si>
  <si>
    <t>100% BRAND NEW</t>
  </si>
  <si>
    <r>
      <t xml:space="preserve">- In the B/L Form, </t>
    </r>
    <r>
      <rPr>
        <b/>
        <sz val="11"/>
        <color rgb="FFFF0000"/>
        <rFont val="돋움"/>
        <family val="3"/>
        <charset val="129"/>
      </rPr>
      <t>"Freight Prepaid"</t>
    </r>
    <r>
      <rPr>
        <sz val="11"/>
        <color rgb="FFFF0000"/>
        <rFont val="돋움"/>
        <family val="3"/>
        <charset val="129"/>
      </rPr>
      <t xml:space="preserve"> must be used according to the signed EPC regulations, "Freight payable" cannot be used as the form we are drafting.
- According to EPC, the Contractor is required to bear the risks and losses until handover, and must insure all goods during transportation, so remove the content of the complicated limitation regulations below in the B/L Form.</t>
    </r>
  </si>
  <si>
    <t xml:space="preserve">                  LOADING PORT
</t>
    <phoneticPr fontId="0" type="noConversion"/>
  </si>
  <si>
    <t>PECC2 Innovation Hub, 45 Street No.2, Truong Tho Ward, Thu Duc City, HCMC, Vietnam
Tel: +84-28-2221 6468 | Fax: +84-28-2221 0408</t>
    <phoneticPr fontId="34" type="noConversion"/>
  </si>
  <si>
    <t>06/2025/HĐ-PVN/OM4-06</t>
    <phoneticPr fontId="34" type="noConversion"/>
  </si>
  <si>
    <t xml:space="preserve">                        CONSIGNEE</t>
    <phoneticPr fontId="0" type="noConversion"/>
  </si>
  <si>
    <t xml:space="preserve">                   CONTRACT NO.</t>
    <phoneticPr fontId="0" type="noConversion"/>
  </si>
  <si>
    <t xml:space="preserve">EQUIPMENT DESCRIPTION </t>
    <phoneticPr fontId="0" type="noConversion"/>
  </si>
  <si>
    <t xml:space="preserve">                      NET WEIGHT
</t>
    <phoneticPr fontId="0" type="noConversion"/>
  </si>
  <si>
    <t xml:space="preserve">                 GROSS WEIGHT
</t>
    <phoneticPr fontId="0" type="noConversion"/>
  </si>
  <si>
    <t xml:space="preserve">                     PACKAGE NO.
            </t>
    <phoneticPr fontId="0" type="noConversion"/>
  </si>
  <si>
    <t xml:space="preserve">                       -	MEASUREMENT
</t>
    <phoneticPr fontId="0" type="noConversion"/>
  </si>
  <si>
    <t xml:space="preserve">    PORT OF DESTINATION
                       </t>
    <phoneticPr fontId="0" type="noConversion"/>
  </si>
  <si>
    <t xml:space="preserve">                     CONSIGNOR.
            </t>
    <phoneticPr fontId="0" type="noConversion"/>
  </si>
  <si>
    <t>PECC2 Innovation Hub, 45 Street No.2, Truong Tho Ward, 
Thu Duc City, HCMC, Vietnam
Tel: +84-28-2221 6468 | Fax: +84-28-2221 0408</t>
    <phoneticPr fontId="34" type="noConversion"/>
  </si>
  <si>
    <t>O MON IV THERMAL POWER PLANT</t>
    <phoneticPr fontId="34" type="noConversion"/>
  </si>
  <si>
    <t xml:space="preserve">DATE  : </t>
    <phoneticPr fontId="34" type="noConversion"/>
  </si>
  <si>
    <r>
      <t xml:space="preserve">Cty Doosan Enerbility Co.,Ltd HQ-Nha thau TH CV thuoc Goi thau so OM4-EPC-HHO-06 cho NMND O Mon IV 
</t>
    </r>
    <r>
      <rPr>
        <sz val="10"/>
        <rFont val="Arial"/>
        <family val="2"/>
      </rPr>
      <t>Thoi Loi Area, Phuoc Thoi Ward, Can Tho City, Vietnam
T : (+84) 367 566 167 F : (+84 243) 624 8485</t>
    </r>
    <phoneticPr fontId="34" type="noConversion"/>
  </si>
  <si>
    <r>
      <rPr>
        <b/>
        <sz val="10"/>
        <rFont val="Arial"/>
        <family val="2"/>
      </rPr>
      <t>Doosan Enerbility Co., Ltd.</t>
    </r>
    <r>
      <rPr>
        <sz val="9"/>
        <rFont val="Arial"/>
        <family val="2"/>
      </rPr>
      <t xml:space="preserve">
</t>
    </r>
    <r>
      <rPr>
        <sz val="10"/>
        <rFont val="Arial"/>
        <family val="2"/>
      </rPr>
      <t xml:space="preserve">22 DoosanVolvo-ro, Seongsan-gu, Chang-won-si, 
Gyeongsangnam-do 51711, Republic of Korea </t>
    </r>
    <phoneticPr fontId="34" type="noConversion"/>
  </si>
  <si>
    <r>
      <rPr>
        <b/>
        <sz val="10"/>
        <rFont val="Arial"/>
        <family val="2"/>
      </rPr>
      <t xml:space="preserve">Cty Doosan Enerbility Co.,Ltd HQ-Nha thau TH CV thuoc Goi thau so OM4-EPC-HHO-06 cho NMND O Mon IV </t>
    </r>
    <r>
      <rPr>
        <sz val="10"/>
        <rFont val="Arial"/>
        <family val="2"/>
      </rPr>
      <t xml:space="preserve">
Thoi Loi Area, Phươc Thoi Ward, Can Tho City, Vietnam
T : (+84) 367 566 167 F : (+84 243) 624 8485
</t>
    </r>
    <r>
      <rPr>
        <b/>
        <sz val="10"/>
        <rFont val="Arial"/>
        <family val="2"/>
      </rPr>
      <t xml:space="preserve">BRANCH OF KWANGJIN VIET NAM IN DUNG QUAT Co.,Ltd </t>
    </r>
    <r>
      <rPr>
        <sz val="10"/>
        <rFont val="Arial"/>
        <family val="2"/>
      </rPr>
      <t xml:space="preserve">
Dung Quat Economic Zone, Van Tuong Commune, Quang Ngai Province, Vietnam
T : (+84) 28 3825 6330 	 	 	 
Attn: Mr. Phuoc  / Email: phuoc@kjtc.co.kr </t>
    </r>
    <phoneticPr fontId="34" type="noConversion"/>
  </si>
  <si>
    <t>Address: O Mon Power Complex at Phuoc Thoi wards, Can Tho city</t>
  </si>
  <si>
    <t>PLANT/ EQUIPMENT AND MATERIALS FOR O MON IV THERMAL POWER PLANT
(Contract No. OM4-PO-DE-001)</t>
    <phoneticPr fontId="34" type="noConversion"/>
  </si>
  <si>
    <t>PLANT/ EQUIPMENT AND MATERIALS FOR 
O MON IV THERMAL POWER PLANT
(Contract No. OM4-PO-DE-001)</t>
    <phoneticPr fontId="34" type="noConversion"/>
  </si>
  <si>
    <t xml:space="preserve">Doosan Enerbility Co., Ltd.
</t>
    <phoneticPr fontId="34" type="noConversion"/>
  </si>
  <si>
    <t xml:space="preserve">22 DoosanVolvo-ro, Seongsan-gu, Chang-won-si, 
Gyeongsangnam-do 51711, Republic of Korea </t>
    <phoneticPr fontId="34" type="noConversion"/>
  </si>
  <si>
    <t>Cty Doosan Enerbility Co.,Ltd HQ-Nha thau TH CV thuoc Goi thau so OM4-EPC-HHO-06 cho NMND O Mon IV 
Thoi Loi Area, Phuoc Thoi Ward, Can Tho City, Vietnam
T : (+84) 367 566 167 F : (+84 243) 624 8485</t>
    <phoneticPr fontId="34" type="noConversion"/>
  </si>
  <si>
    <t xml:space="preserve">Cty Doosan Enerbility Co.,Ltd HQ-Nha thau TH CV thuoc Goi thau so OM4-EPC-HHO-06 cho NMND O Mon IV 
Thoi Loi Area, Phươc Thoi Ward, Can Tho City, Vietnam
T : (+84) 367 566 167 F : (+84 243) 624 8485
BRANCH OF KWANGJIN VIET NAM IN DUNG QUAT Co.,Ltd 
Dung Quat Economic Zone, Van Tuong Commune, Quang Ngai Province, Vietnam
T : (+84) 28 3825 6330 	 	 	 
Attn: Mr. Phuoc  / Email: phuoc@kjtc.co.kr </t>
    <phoneticPr fontId="34" type="noConversion"/>
  </si>
  <si>
    <t>Ho Chi Minh City Port, Vietnam</t>
  </si>
  <si>
    <t>COG Marked (Y/N)</t>
    <phoneticPr fontId="34" type="noConversion"/>
  </si>
  <si>
    <t>Sling Point Marked (Y/N)</t>
    <phoneticPr fontId="34" type="noConversion"/>
  </si>
  <si>
    <t>Handle with care Marked
(Y/N)</t>
    <phoneticPr fontId="34" type="noConversion"/>
  </si>
  <si>
    <t>Republic of Korea</t>
    <phoneticPr fontId="34" type="noConversion"/>
  </si>
  <si>
    <t>PVC Conduit</t>
    <phoneticPr fontId="34" type="noConversion"/>
  </si>
  <si>
    <t>150mm (6")</t>
  </si>
  <si>
    <t>C/O of Goods</t>
    <phoneticPr fontId="0" type="noConversion"/>
  </si>
  <si>
    <t>Position in price schedule</t>
    <phoneticPr fontId="0" type="noConversion"/>
  </si>
  <si>
    <t>EA</t>
  </si>
  <si>
    <t>EA</t>
    <phoneticPr fontId="34" type="noConversion"/>
  </si>
  <si>
    <t>SKID</t>
    <phoneticPr fontId="34" type="noConversion"/>
  </si>
  <si>
    <t>N</t>
    <phoneticPr fontId="34" type="noConversion"/>
  </si>
  <si>
    <t>D</t>
    <phoneticPr fontId="34" type="noConversion"/>
  </si>
  <si>
    <t>OM4-DE-IS-0003-001</t>
    <phoneticPr fontId="34" type="noConversion"/>
  </si>
  <si>
    <t>OM4-DE-IS-0003-002</t>
    <phoneticPr fontId="34" type="noConversion"/>
  </si>
  <si>
    <t>OM4-DE-IS-0003-003</t>
    <phoneticPr fontId="34" type="noConversion"/>
  </si>
  <si>
    <t>OM4-DE-IS-0003-004</t>
    <phoneticPr fontId="34" type="noConversion"/>
  </si>
  <si>
    <t>OM4-DE-IS-0003-005</t>
    <phoneticPr fontId="34" type="noConversion"/>
  </si>
  <si>
    <t>OM4-DE-IS-0003-006</t>
    <phoneticPr fontId="34" type="noConversion"/>
  </si>
  <si>
    <t>OM4-DE-IS-0003-007</t>
    <phoneticPr fontId="34" type="noConversion"/>
  </si>
  <si>
    <t>125mm (5")</t>
  </si>
  <si>
    <t>125mm (5")</t>
    <phoneticPr fontId="34" type="noConversion"/>
  </si>
  <si>
    <t>28mm (1")</t>
  </si>
  <si>
    <t>36mm (1-1/4")</t>
  </si>
  <si>
    <t>42mm (1-1/2")</t>
  </si>
  <si>
    <t>54mm (2")</t>
  </si>
  <si>
    <t>82mm (3")</t>
  </si>
  <si>
    <t>104mm (4")</t>
  </si>
  <si>
    <t>Spacer for PVC Conduit</t>
  </si>
  <si>
    <t>Wodden</t>
    <phoneticPr fontId="34" type="noConversion"/>
  </si>
  <si>
    <t>OM4-DE-IS-0003-008</t>
    <phoneticPr fontId="34" type="noConversion"/>
  </si>
  <si>
    <t>OM4-DE-IS-0003-009</t>
    <phoneticPr fontId="34" type="noConversion"/>
  </si>
  <si>
    <t>OM4-DE-IS-0003-010</t>
    <phoneticPr fontId="34" type="noConversion"/>
  </si>
  <si>
    <t>OM4-DE-IS-0003-011</t>
    <phoneticPr fontId="34" type="noConversion"/>
  </si>
  <si>
    <t>OM4-DE-IS-0003-012</t>
    <phoneticPr fontId="34" type="noConversion"/>
  </si>
  <si>
    <t>End Bell for PVC Conduit</t>
  </si>
  <si>
    <t>Warning Tape</t>
  </si>
  <si>
    <t>(W150mm x 200m/Roll)</t>
  </si>
  <si>
    <t>22mm (3/4")</t>
  </si>
  <si>
    <t>100mm (4")</t>
  </si>
  <si>
    <t>Adaptor (PVC to Steel Conduit)</t>
  </si>
  <si>
    <t>Y</t>
    <phoneticPr fontId="34" type="noConversion"/>
  </si>
  <si>
    <t>OM4-DE-IS-0003-013</t>
    <phoneticPr fontId="34" type="noConversion"/>
  </si>
  <si>
    <t>OM4-DE-IS-0003-014</t>
    <phoneticPr fontId="34" type="noConversion"/>
  </si>
  <si>
    <t>OM4-DE-IS-0003</t>
    <phoneticPr fontId="34" type="noConversion"/>
  </si>
  <si>
    <t xml:space="preserve">SHIPMENT NO. : </t>
    <phoneticPr fontId="34" type="noConversion"/>
  </si>
  <si>
    <t>1</t>
    <phoneticPr fontId="34" type="noConversion"/>
  </si>
  <si>
    <t>2</t>
  </si>
  <si>
    <t>3</t>
  </si>
  <si>
    <t>4</t>
  </si>
  <si>
    <t>5</t>
  </si>
  <si>
    <t>6</t>
  </si>
  <si>
    <t>7</t>
  </si>
  <si>
    <t>8</t>
  </si>
  <si>
    <t>9</t>
  </si>
  <si>
    <t>10</t>
  </si>
  <si>
    <t>11</t>
  </si>
  <si>
    <t>12</t>
  </si>
  <si>
    <t>13</t>
  </si>
  <si>
    <t>14</t>
  </si>
  <si>
    <t>17</t>
  </si>
  <si>
    <t>CONDUIT FITTINGS</t>
    <phoneticPr fontId="34" type="noConversion"/>
  </si>
  <si>
    <t>C/O of Goods</t>
  </si>
  <si>
    <t>Quantity</t>
  </si>
  <si>
    <t>Package Type</t>
  </si>
  <si>
    <t>UNIT PRICE
(USD)</t>
  </si>
  <si>
    <t>AMOUNT
(USD)</t>
  </si>
  <si>
    <t>Remark
(**)</t>
  </si>
  <si>
    <t>Nos</t>
  </si>
  <si>
    <t>Unit</t>
  </si>
  <si>
    <t>GROSS WEIGHT
(KG)</t>
    <phoneticPr fontId="34" type="noConversion"/>
  </si>
  <si>
    <t>NET 
WEIGHT
(KG)</t>
    <phoneticPr fontId="34" type="noConversion"/>
  </si>
  <si>
    <t>BOP</t>
  </si>
  <si>
    <t>Republic of Korea</t>
  </si>
  <si>
    <t>HRSG</t>
  </si>
  <si>
    <t>HRSG</t>
    <phoneticPr fontId="0" type="noConversion"/>
  </si>
  <si>
    <t>STG</t>
  </si>
  <si>
    <t>STG</t>
    <phoneticPr fontId="0" type="noConversion"/>
  </si>
  <si>
    <t>GTG</t>
  </si>
  <si>
    <t>GTG</t>
    <phoneticPr fontId="0" type="noConversion"/>
  </si>
  <si>
    <t>OM4-DE-IS-0003</t>
  </si>
  <si>
    <t>P0</t>
    <phoneticPr fontId="34" type="noConversion"/>
  </si>
  <si>
    <t>SAMSUNG E&amp;L</t>
  </si>
  <si>
    <t>SAMSUNG E&amp;L</t>
    <phoneticPr fontId="34" type="noConversion"/>
  </si>
  <si>
    <t>Technical Description</t>
    <phoneticPr fontId="34" type="noConversion"/>
  </si>
  <si>
    <t>Invoice no.</t>
    <phoneticPr fontId="34" type="noConversion"/>
  </si>
  <si>
    <t>№</t>
  </si>
  <si>
    <t>Package No.</t>
    <phoneticPr fontId="34" type="noConversion"/>
  </si>
  <si>
    <t>Description of Goods</t>
    <phoneticPr fontId="34" type="noConversion"/>
  </si>
  <si>
    <t>Quantity</t>
    <phoneticPr fontId="34" type="noConversion"/>
  </si>
  <si>
    <t>Photo</t>
    <phoneticPr fontId="34" type="noConversion"/>
  </si>
  <si>
    <t>Technical specifications</t>
    <phoneticPr fontId="34" type="noConversion"/>
  </si>
  <si>
    <t>Nos</t>
    <phoneticPr fontId="34" type="noConversion"/>
  </si>
  <si>
    <t>Unit</t>
    <phoneticPr fontId="34" type="noConversion"/>
  </si>
  <si>
    <t>Before packing</t>
    <phoneticPr fontId="34" type="noConversion"/>
  </si>
  <si>
    <t>After packing</t>
    <phoneticPr fontId="34" type="noConversion"/>
  </si>
  <si>
    <t>DESCRIPTION OF GOODS</t>
    <phoneticPr fontId="34" type="noConversion"/>
  </si>
  <si>
    <r>
      <t xml:space="preserve">PL(2_2) Sheet </t>
    </r>
    <r>
      <rPr>
        <sz val="18"/>
        <rFont val="돋움"/>
        <family val="3"/>
        <charset val="129"/>
      </rPr>
      <t>내</t>
    </r>
    <r>
      <rPr>
        <sz val="18"/>
        <rFont val="Calibri"/>
        <family val="2"/>
      </rPr>
      <t xml:space="preserve"> </t>
    </r>
    <r>
      <rPr>
        <sz val="18"/>
        <rFont val="돋움"/>
        <family val="3"/>
        <charset val="129"/>
      </rPr>
      <t>내용</t>
    </r>
    <r>
      <rPr>
        <sz val="18"/>
        <rFont val="Calibri"/>
        <family val="2"/>
      </rPr>
      <t xml:space="preserve"> </t>
    </r>
    <r>
      <rPr>
        <sz val="18"/>
        <rFont val="돋움"/>
        <family val="3"/>
        <charset val="129"/>
      </rPr>
      <t>반영</t>
    </r>
    <r>
      <rPr>
        <sz val="18"/>
        <rFont val="Calibri"/>
        <family val="2"/>
      </rPr>
      <t xml:space="preserve"> </t>
    </r>
    <r>
      <rPr>
        <sz val="18"/>
        <rFont val="돋움"/>
        <family val="3"/>
        <charset val="129"/>
      </rPr>
      <t>필요</t>
    </r>
    <phoneticPr fontId="34" type="noConversion"/>
  </si>
  <si>
    <t>OM4-DE-IS-0003-001</t>
  </si>
  <si>
    <t>PVC Conduit 150mm (6")</t>
  </si>
  <si>
    <t>OM4-DE-IS-0003-002</t>
  </si>
  <si>
    <t>OM4-DE-IS-0003-003</t>
  </si>
  <si>
    <t>OM4-DE-IS-0003-004</t>
  </si>
  <si>
    <t>OM4-DE-IS-0003-005</t>
  </si>
  <si>
    <t>OM4-DE-IS-0003-006</t>
  </si>
  <si>
    <t>OM4-DE-IS-0003-007</t>
  </si>
  <si>
    <t>OM4-DE-IS-0003-008</t>
  </si>
  <si>
    <t>OM4-DE-IS-0003-009</t>
  </si>
  <si>
    <t>Wodden</t>
  </si>
  <si>
    <t>OM4-DE-IS-0003-010</t>
  </si>
  <si>
    <t>OM4-DE-IS-0003-011</t>
  </si>
  <si>
    <t>OM4-DE-IS-0003-012</t>
  </si>
  <si>
    <t>End Bell for PVC Conduit 28mm (1")</t>
  </si>
  <si>
    <t>End Bell for PVC Conduit 36mm (1-1/4")</t>
  </si>
  <si>
    <t>End Bell for PVC Conduit 42mm (1-1/2")</t>
  </si>
  <si>
    <t>End Bell for PVC Conduit 54mm (2")</t>
  </si>
  <si>
    <t>End Bell for PVC Conduit 82mm (3")</t>
  </si>
  <si>
    <t>Warning Tape (W150mm x 200m/Roll)</t>
  </si>
  <si>
    <t>OM4-DE-IS-0003-013</t>
  </si>
  <si>
    <t>Adaptor (PVC to Steel Conduit) 22mm (3/4")</t>
  </si>
  <si>
    <t>Adaptor (PVC to Steel Conduit) 28mm (1")</t>
  </si>
  <si>
    <t>Adaptor (PVC to Steel Conduit) 36mm (1-1/4")</t>
  </si>
  <si>
    <t>Adaptor (PVC to Steel Conduit) 42mm (1-1/2")</t>
  </si>
  <si>
    <t>Adaptor (PVC to Steel Conduit) 54mm (2")</t>
  </si>
  <si>
    <t>Adaptor (PVC to Steel Conduit) 82mm (3")</t>
  </si>
  <si>
    <t>Adaptor (PVC to Steel Conduit) 100mm (4")</t>
  </si>
  <si>
    <t>End Bell for PVC Conduit 22mm (3/4")</t>
  </si>
  <si>
    <t>End Bell for PVC Conduit 100mm (4")</t>
  </si>
  <si>
    <t>OM4-DE-IS-0003-014</t>
  </si>
  <si>
    <t>Jinho. Lee / Deputy Project Director</t>
  </si>
  <si>
    <t>Busan International Port, Korea</t>
  </si>
  <si>
    <t>T/T</t>
    <phoneticPr fontId="34" type="noConversion"/>
  </si>
  <si>
    <t>PAYMENT TERMS:</t>
    <phoneticPr fontId="34" type="noConversion"/>
  </si>
  <si>
    <t>SKID</t>
  </si>
  <si>
    <t>Busan International Port, Korea</t>
    <phoneticPr fontId="34" type="noConversion"/>
  </si>
  <si>
    <t>15</t>
    <phoneticPr fontId="34" type="noConversion"/>
  </si>
  <si>
    <t>16</t>
    <phoneticPr fontId="34" type="noConversion"/>
  </si>
  <si>
    <t>18</t>
  </si>
  <si>
    <t>19</t>
  </si>
  <si>
    <t>20</t>
  </si>
  <si>
    <t>21</t>
  </si>
  <si>
    <t>22</t>
  </si>
  <si>
    <t>23</t>
  </si>
  <si>
    <t>24</t>
  </si>
  <si>
    <t>25</t>
  </si>
  <si>
    <t>26</t>
  </si>
  <si>
    <t>27</t>
  </si>
  <si>
    <t>29</t>
  </si>
  <si>
    <t>30</t>
  </si>
  <si>
    <t>31</t>
  </si>
  <si>
    <t>32</t>
  </si>
  <si>
    <t>33</t>
  </si>
  <si>
    <t>34</t>
  </si>
  <si>
    <t>35</t>
  </si>
  <si>
    <t>36</t>
  </si>
  <si>
    <t>37</t>
  </si>
  <si>
    <t>38</t>
  </si>
  <si>
    <t>39</t>
  </si>
  <si>
    <t>40</t>
  </si>
  <si>
    <t>41</t>
  </si>
  <si>
    <t>43</t>
  </si>
  <si>
    <t>44</t>
    <phoneticPr fontId="34" type="noConversion"/>
  </si>
  <si>
    <t>CONDUIT FITTINGS (PVC Spacer, End Bell, Warning Tape)</t>
    <phoneticPr fontId="34" type="noConversion"/>
  </si>
  <si>
    <t>28</t>
  </si>
  <si>
    <t>42</t>
    <phoneticPr fontId="34" type="noConversion"/>
  </si>
  <si>
    <t>CONDUIT FITTINGS (PVC COUPLING)</t>
    <phoneticPr fontId="34" type="noConversion"/>
  </si>
  <si>
    <t>CONDUIT FITTINGS (PVC Normal Bend, End bell, PVC COUPLING)</t>
    <phoneticPr fontId="34" type="noConversion"/>
  </si>
  <si>
    <t>15</t>
  </si>
  <si>
    <t>16</t>
  </si>
  <si>
    <t>42</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</si>
  <si>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</si>
  <si>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</si>
  <si>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</si>
  <si>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</si>
  <si>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</si>
  <si>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</si>
  <si>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</si>
  <si>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</si>
  <si>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</si>
  <si>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</si>
  <si>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</si>
  <si>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</si>
  <si>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</si>
  <si>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</si>
  <si>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</si>
  <si>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</si>
  <si>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</si>
  <si>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</si>
  <si>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</si>
  <si>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</si>
  <si>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</si>
  <si>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</si>
  <si>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</si>
  <si>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</si>
  <si>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</si>
  <si>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</si>
  <si>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</si>
  <si>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</si>
  <si>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</si>
  <si>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</si>
  <si>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</si>
  <si>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</si>
  <si>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</si>
  <si>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</si>
  <si>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</si>
  <si>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</si>
  <si>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</si>
  <si>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</si>
  <si>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</si>
  <si>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</si>
  <si>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</si>
  <si>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</si>
  <si>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</si>
  <si>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</si>
  <si>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</si>
  <si>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</si>
  <si>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Conduit &amp; Accessories included I&amp;C Conduit 
(PVC Conduit)</t>
    <phoneticPr fontId="34" type="noConversion"/>
  </si>
  <si>
    <t>P0</t>
  </si>
  <si>
    <t>PS 1.1, Ⅴ, 11</t>
  </si>
  <si>
    <t>HS CODE</t>
    <phoneticPr fontId="34" type="noConversion"/>
  </si>
  <si>
    <t>3917.23-0000</t>
  </si>
  <si>
    <t>3917.40-0000</t>
  </si>
  <si>
    <t>3926.90-9000</t>
  </si>
  <si>
    <t>3920.10-0000</t>
  </si>
  <si>
    <t>PVC Conduit 125mm (5")</t>
  </si>
  <si>
    <t>PVC Conduit 28mm (1")</t>
  </si>
  <si>
    <t>PVC Conduit 36mm (1-1/4")</t>
  </si>
  <si>
    <t>PVC Conduit 42mm (1-1/2")</t>
  </si>
  <si>
    <t>PVC Conduit 54mm (2")</t>
  </si>
  <si>
    <t>PVC Conduit 82mm (3")</t>
  </si>
  <si>
    <t>PVC Conduit 104mm (4")</t>
  </si>
  <si>
    <t>End Bell for PVC Conduit 104mm (4")</t>
  </si>
  <si>
    <t>End Bell for PVC Conduit 125mm (5")</t>
  </si>
  <si>
    <t>Spacer for PVC Conduit 150mm (6") (250x250)</t>
  </si>
  <si>
    <t>End Bell for PVC Conduit 150mm (6")</t>
  </si>
  <si>
    <t>PVC Conduit 22mm (3/4")</t>
  </si>
  <si>
    <t>PVC Conduit 100mm (4")</t>
  </si>
  <si>
    <t>Normal Bend for PVC Conduit</t>
  </si>
  <si>
    <t xml:space="preserve">Coupling for PVC Conduit </t>
  </si>
  <si>
    <t>150mm (6") (250x250)</t>
  </si>
  <si>
    <t>PVC Conduit</t>
  </si>
  <si>
    <t>Normal Bend for PVC Conduit 36mm (1-1/4")</t>
  </si>
  <si>
    <t>Normal Bend for PVC Conduit 42mm (1-1/2")</t>
  </si>
  <si>
    <t>Normal Bend for PVC Conduit 54mm (2")</t>
  </si>
  <si>
    <t>Normal Bend for PVC Conduit 82mm (3")</t>
  </si>
  <si>
    <t>Normal Bend for PVC Conduit 104mm (4")</t>
  </si>
  <si>
    <t>Normal Bend for PVC Conduit 125mm (5")</t>
  </si>
  <si>
    <t>Coupling for PVC Conduit  28mm (1")</t>
  </si>
  <si>
    <t>Coupling for PVC Conduit  36mm (1-1/4")</t>
  </si>
  <si>
    <t>Coupling for PVC Conduit  42mm (1-1/2")</t>
  </si>
  <si>
    <t>Coupling for PVC Conduit  54mm (2")</t>
  </si>
  <si>
    <t>Coupling for PVC Conduit  82mm (3")</t>
  </si>
  <si>
    <t>Coupling for PVC Conduit  104mm (4")</t>
  </si>
  <si>
    <t>Coupling for PVC Conduit  125mm (5")</t>
  </si>
  <si>
    <t>Coupling for PVC Conduit  150mm (6")</t>
  </si>
  <si>
    <t>Normal Bend for PVC Conduit 22mm (3/4")</t>
  </si>
  <si>
    <t>Normal Bend for PVC Conduit 28mm (1")</t>
  </si>
  <si>
    <t>Normal Bend for PVC Conduit 100mm (4")</t>
  </si>
  <si>
    <t>Coupling for PVC Conduit  22mm (3/4")</t>
  </si>
  <si>
    <t>Coupling for PVC Conduit  100mm (4")</t>
  </si>
  <si>
    <t xml:space="preserve"> w/One Coupling for PVC Conduit</t>
  </si>
  <si>
    <t xml:space="preserve"> w/One Coupling for PVC Conduit 28mm (1")</t>
  </si>
  <si>
    <t xml:space="preserve"> w/One Coupling for PVC Conduit 36mm (1-1/4")</t>
  </si>
  <si>
    <t xml:space="preserve"> w/One Coupling for PVC Conduit 42mm (1-1/2")</t>
  </si>
  <si>
    <t xml:space="preserve"> w/One Coupling for PVC Conduit 54mm (2")</t>
  </si>
  <si>
    <t xml:space="preserve"> w/One Coupling for PVC Conduit 82mm (3")</t>
  </si>
  <si>
    <t xml:space="preserve"> w/One Coupling for PVC Conduit 104mm (4")</t>
  </si>
  <si>
    <t xml:space="preserve"> w/One Coupling for PVC Conduit 125mm (5")</t>
  </si>
  <si>
    <t xml:space="preserve"> w/One Coupling for PVC Conduit 150mm (6")</t>
  </si>
  <si>
    <t xml:space="preserve"> w/One Coupling for PVC Conduit 22mm (3/4")</t>
  </si>
  <si>
    <t xml:space="preserve"> w/One Coupling for PVC Conduit 100mm (4")</t>
  </si>
  <si>
    <t>HMM HARMONY 0022S</t>
  </si>
  <si>
    <t>CIF, Ho Chi Minh City Port, Vietnam</t>
    <phoneticPr fontId="34" type="noConversion"/>
  </si>
  <si>
    <t>GROSS WEIGHT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</si>
</sst>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43" formatCode="_-* #,##0.00_-;\-* #,##0.00_-;_-* &quot;-&quot;??_-;_-@_-"/>
    <numFmt numFmtId="164" formatCode="_-* #,##0.00_-;\-* #,##0.00_-;_-* &quot;-&quot;_-;_-@_-"/>
    <numFmt numFmtId="165" formatCode="_-* #,##0.000_-;\-* #,##0.000_-;_-* &quot;-&quot;???_-;_-@_-"/>
    <numFmt numFmtId="166" formatCode="#,##0.000_);[Red]\(#,##0.000\)"/>
    <numFmt numFmtId="167" formatCode="_-* #,##0.0_-;\-* #,##0.0_-;_-* &quot;-&quot;_-;_-@_-"/>
    <numFmt numFmtId="168" formatCode="0.0"/>
    <numFmt numFmtId="169" formatCode="0.00_);[Red]\(0.00\)"/>
    <numFmt numFmtId="170" formatCode="&quot;#&quot;\ 00"/>
    <numFmt numFmtId="171" formatCode="&quot;#&quot;00"/>
    <numFmt numFmtId="172" formatCode="0_);[Red]\(0\)"/>
    <numFmt numFmtId="173" formatCode="0.000_);[Red]\(0.000\)"/>
    <numFmt numFmtId="174" formatCode="_(* #,##0_);_(* \(#,##0\);_(* &quot;-&quot;??_);_(@_)"/>
    <numFmt numFmtId="175" formatCode="#,##0_ "/>
    <numFmt numFmtId="176" formatCode="_-* #,##0.000_-;\-* #,##0.000_-;_-* &quot;-&quot;??_-;_-@_-"/>
    <numFmt numFmtId="177" formatCode="#,##0.00_ ;[Red]\-#,##0.00\ "/>
  </numFmts>
  <fonts count="62">
    <font>
      <sz val="11"/>
      <name val="돋움"/>
      <family val="3"/>
      <charset val="129"/>
    </font>
    <font>
      <sz val="11"/>
      <name val="돋움"/>
      <family val="3"/>
      <charset val="129"/>
    </font>
    <font>
      <sz val="10"/>
      <name val="Arial"/>
      <family val="2"/>
    </font>
    <font>
      <b/>
      <sz val="10"/>
      <name val="Arial"/>
      <family val="2"/>
    </font>
    <font>
      <b/>
      <sz val="16"/>
      <name val="Arial"/>
      <family val="2"/>
    </font>
    <font>
      <sz val="12"/>
      <name val="바탕체"/>
      <family val="1"/>
      <charset val="129"/>
    </font>
    <font>
      <sz val="10"/>
      <color indexed="12"/>
      <name val="Arial"/>
      <family val="2"/>
    </font>
    <font>
      <b/>
      <sz val="12.1"/>
      <color rgb="FF1F497D"/>
      <name val="Arial"/>
      <family val="2"/>
    </font>
    <font>
      <sz val="10"/>
      <color rgb="FF0000FF"/>
      <name val="Arial"/>
      <family val="2"/>
    </font>
    <font>
      <strike/>
      <sz val="10"/>
      <color rgb="FF0000FF"/>
      <name val="Arial"/>
      <family val="2"/>
    </font>
    <font>
      <b/>
      <u/>
      <sz val="16"/>
      <name val="Arial"/>
      <family val="2"/>
    </font>
    <font>
      <b/>
      <sz val="10"/>
      <color rgb="FF0000FF"/>
      <name val="Arial"/>
      <family val="2"/>
    </font>
    <font>
      <sz val="10"/>
      <name val="Calibri"/>
      <family val="2"/>
    </font>
    <font>
      <sz val="10"/>
      <color rgb="FFFF0000"/>
      <name val="Calibri"/>
      <family val="2"/>
    </font>
    <font>
      <b/>
      <sz val="10"/>
      <name val="Calibri"/>
      <family val="2"/>
    </font>
    <font>
      <sz val="10"/>
      <color rgb="FFFF0000"/>
      <name val="Arial"/>
      <family val="2"/>
    </font>
    <font>
      <b/>
      <sz val="12"/>
      <name val="Arial"/>
      <family val="2"/>
    </font>
    <font>
      <sz val="11"/>
      <name val="Arial"/>
      <family val="2"/>
    </font>
    <font>
      <sz val="9"/>
      <name val="Arial"/>
      <family val="2"/>
    </font>
    <font>
      <b/>
      <sz val="16"/>
      <name val="Calibri"/>
      <family val="2"/>
    </font>
    <font>
      <sz val="11"/>
      <name val="Arial"/>
      <family val="3"/>
      <charset val="129"/>
      <scheme val="minor"/>
    </font>
    <font>
      <sz val="11"/>
      <name val="Calibri"/>
      <family val="2"/>
    </font>
    <font>
      <sz val="10"/>
      <name val="Arial"/>
      <family val="2"/>
      <scheme val="minor"/>
    </font>
    <font>
      <sz val="10"/>
      <name val="Arial"/>
      <family val="3"/>
      <charset val="129"/>
      <scheme val="minor"/>
    </font>
    <font>
      <b/>
      <sz val="10"/>
      <name val="Arial"/>
      <family val="2"/>
      <scheme val="minor"/>
    </font>
    <font>
      <sz val="11"/>
      <color indexed="8"/>
      <name val="맑은 고딕"/>
      <family val="3"/>
      <charset val="129"/>
    </font>
    <font>
      <sz val="10"/>
      <name val="돋움"/>
      <family val="3"/>
      <charset val="129"/>
    </font>
    <font>
      <b/>
      <u/>
      <sz val="36"/>
      <name val="Calibri"/>
      <family val="2"/>
    </font>
    <font>
      <sz val="18"/>
      <name val="Calibri"/>
      <family val="2"/>
    </font>
    <font>
      <b/>
      <sz val="20"/>
      <name val="Calibri"/>
      <family val="2"/>
    </font>
    <font>
      <b/>
      <sz val="18"/>
      <name val="Calibri"/>
      <family val="2"/>
    </font>
    <font>
      <sz val="10"/>
      <name val="굴림"/>
      <family val="3"/>
      <charset val="129"/>
    </font>
    <font>
      <sz val="11"/>
      <color rgb="FFFF0000"/>
      <name val="돋움"/>
      <family val="3"/>
      <charset val="129"/>
    </font>
    <font>
      <b/>
      <sz val="11"/>
      <color rgb="FFFF0000"/>
      <name val="돋움"/>
      <family val="3"/>
      <charset val="129"/>
    </font>
    <font>
      <sz val="8"/>
      <name val="돋움"/>
      <family val="3"/>
      <charset val="129"/>
    </font>
    <font>
      <sz val="18"/>
      <color rgb="FFFF0000"/>
      <name val="Calibri"/>
      <family val="2"/>
    </font>
    <font>
      <sz val="8"/>
      <name val="Arial"/>
      <family val="2"/>
    </font>
    <font>
      <i/>
      <sz val="20"/>
      <color rgb="FFFF0000"/>
      <name val="Calibri"/>
      <family val="2"/>
    </font>
    <font>
      <i/>
      <sz val="20"/>
      <name val="돋움"/>
      <family val="3"/>
      <charset val="129"/>
    </font>
    <font>
      <sz val="9"/>
      <name val="돋움"/>
      <family val="3"/>
      <charset val="129"/>
    </font>
    <font>
      <sz val="10"/>
      <color rgb="FF0000FF"/>
      <name val="Calibri"/>
      <family val="2"/>
    </font>
    <font>
      <b/>
      <sz val="10"/>
      <name val="돋움"/>
      <family val="3"/>
      <charset val="129"/>
    </font>
    <font>
      <b/>
      <sz val="14"/>
      <name val="Arial"/>
      <family val="2"/>
    </font>
    <font>
      <sz val="9"/>
      <name val="Calibri"/>
      <family val="2"/>
    </font>
    <font>
      <u/>
      <sz val="11"/>
      <color theme="10"/>
      <name val="돋움"/>
      <family val="3"/>
      <charset val="129"/>
    </font>
    <font>
      <u/>
      <sz val="10"/>
      <name val="Calibri"/>
      <family val="2"/>
    </font>
    <font>
      <b/>
      <sz val="14"/>
      <name val="Calibri"/>
      <family val="2"/>
    </font>
    <font>
      <b/>
      <i/>
      <sz val="14"/>
      <name val="Calibri"/>
      <family val="2"/>
    </font>
    <font>
      <sz val="13"/>
      <name val="Calibri"/>
      <family val="2"/>
    </font>
    <font>
      <i/>
      <sz val="13"/>
      <name val="Calibri"/>
      <family val="2"/>
    </font>
    <font>
      <sz val="11"/>
      <name val="굴림체"/>
      <family val="3"/>
      <charset val="129"/>
    </font>
    <font>
      <sz val="13"/>
      <color rgb="FF0000CC"/>
      <name val="Calibri"/>
      <family val="2"/>
    </font>
    <font>
      <i/>
      <sz val="13"/>
      <color rgb="FF0000CC"/>
      <name val="Calibri"/>
      <family val="2"/>
    </font>
    <font>
      <sz val="14"/>
      <name val="Calibri"/>
      <family val="2"/>
    </font>
    <font>
      <sz val="1"/>
      <color indexed="8"/>
      <name val="Courier"/>
      <family val="3"/>
    </font>
    <font>
      <b/>
      <sz val="9"/>
      <name val="Calibri"/>
      <family val="2"/>
    </font>
    <font>
      <b/>
      <i/>
      <sz val="9"/>
      <name val="Calibri"/>
      <family val="2"/>
    </font>
    <font>
      <sz val="18"/>
      <name val="돋움"/>
      <family val="3"/>
      <charset val="129"/>
    </font>
    <font>
      <b/>
      <sz val="10"/>
      <color rgb="FFFF0000"/>
      <name val="Arial"/>
      <family val="2"/>
    </font>
    <font>
      <sz val="20"/>
      <name val="Calibri"/>
      <family val="2"/>
    </font>
    <font>
      <sz val="20"/>
      <name val="돋움"/>
      <family val="3"/>
      <charset val="129"/>
    </font>
    <font>
      <sz val="10"/>
      <name val="맑은 고딕"/>
      <family val="3"/>
      <charset val="129"/>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4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s>
  <cellStyleXfs count="12">
    <xf numFmtId="0" fontId="0" fillId="0" borderId="0">
      <alignment vertical="center"/>
    </xf>
    <xf numFmtId="41" fontId="1" fillId="0" borderId="0" applyFont="0" applyFill="0" applyBorder="0" applyAlignment="0" applyProtection="0">
      <alignment vertical="center"/>
    </xf>
    <xf numFmtId="0" fontId="1" fillId="0" borderId="0">
      <alignment vertical="center"/>
    </xf>
    <xf numFmtId="37" fontId="5" fillId="0" borderId="0"/>
    <xf numFmtId="0" fontId="25" fillId="0" borderId="0">
      <alignment vertical="center"/>
    </xf>
    <xf numFmtId="41" fontId="1" fillId="0" borderId="0" applyFont="0" applyFill="0" applyBorder="0" applyAlignment="0" applyProtection="0"/>
    <xf numFmtId="0" fontId="1" fillId="0" borderId="0">
      <alignment vertical="center"/>
    </xf>
    <xf numFmtId="0" fontId="31" fillId="0" borderId="0">
      <alignment vertical="center"/>
    </xf>
    <xf numFmtId="0" fontId="1" fillId="0" borderId="0">
      <alignment vertical="center"/>
    </xf>
    <xf numFmtId="0" fontId="44" fillId="0" borderId="0" applyNumberFormat="0" applyFill="0" applyBorder="0" applyAlignment="0" applyProtection="0">
      <alignment vertical="center"/>
    </xf>
    <xf numFmtId="0" fontId="50" fillId="0" borderId="0"/>
    <xf numFmtId="4" fontId="54" fillId="0" borderId="0">
      <protection locked="0"/>
    </xf>
  </cellStyleXfs>
  <cellXfs count="545">
    <xf numFmtId="0" fontId="0" fillId="0" borderId="0" xfId="0">
      <alignment vertical="center"/>
    </xf>
    <xf numFmtId="0" fontId="2" fillId="0" borderId="1" xfId="0" applyFont="1" applyBorder="1">
      <alignment vertical="center"/>
    </xf>
    <xf numFmtId="0" fontId="2" fillId="0" borderId="2" xfId="0" applyFont="1" applyBorder="1">
      <alignment vertical="center"/>
    </xf>
    <xf numFmtId="41" fontId="2" fillId="0" borderId="2" xfId="0" applyNumberFormat="1" applyFont="1" applyBorder="1" applyAlignment="1">
      <alignment horizontal="center" vertical="center"/>
    </xf>
    <xf numFmtId="41" fontId="2" fillId="0" borderId="2" xfId="0" applyNumberFormat="1" applyFont="1" applyBorder="1" applyAlignment="1">
      <alignment horizontal="left" vertical="center"/>
    </xf>
    <xf numFmtId="41" fontId="2" fillId="0" borderId="3" xfId="1" applyFont="1" applyFill="1" applyBorder="1" applyAlignment="1">
      <alignment horizontal="center" vertical="center"/>
    </xf>
    <xf numFmtId="41" fontId="2" fillId="0" borderId="0" xfId="0" applyNumberFormat="1" applyFont="1" applyAlignment="1">
      <alignment horizontal="center" vertical="center"/>
    </xf>
    <xf numFmtId="0" fontId="2" fillId="0" borderId="0" xfId="0" applyFont="1">
      <alignment vertical="center"/>
    </xf>
    <xf numFmtId="0" fontId="2" fillId="0" borderId="4" xfId="0" applyFont="1" applyBorder="1">
      <alignment vertical="center"/>
    </xf>
    <xf numFmtId="41" fontId="2" fillId="0" borderId="5" xfId="1" applyFont="1" applyFill="1" applyBorder="1" applyAlignment="1">
      <alignment horizontal="center" vertical="center"/>
    </xf>
    <xf numFmtId="0" fontId="3" fillId="0" borderId="4" xfId="2" applyFont="1" applyBorder="1">
      <alignment vertical="center"/>
    </xf>
    <xf numFmtId="41" fontId="2" fillId="0" borderId="0" xfId="3" applyNumberFormat="1" applyFont="1" applyAlignment="1">
      <alignment horizontal="fill" vertical="center"/>
    </xf>
    <xf numFmtId="37" fontId="6" fillId="0" borderId="0" xfId="3" applyFont="1" applyAlignment="1">
      <alignment vertical="center"/>
    </xf>
    <xf numFmtId="37" fontId="2" fillId="0" borderId="0" xfId="3" applyFont="1" applyAlignment="1">
      <alignment vertical="center"/>
    </xf>
    <xf numFmtId="37" fontId="3" fillId="0" borderId="9" xfId="3" applyFont="1" applyBorder="1" applyAlignment="1">
      <alignment vertical="center"/>
    </xf>
    <xf numFmtId="37" fontId="2" fillId="0" borderId="10" xfId="3" applyFont="1" applyBorder="1" applyAlignment="1">
      <alignment vertical="center"/>
    </xf>
    <xf numFmtId="37" fontId="2" fillId="0" borderId="10" xfId="3" applyFont="1" applyBorder="1" applyAlignment="1">
      <alignment horizontal="center" vertical="center"/>
    </xf>
    <xf numFmtId="37" fontId="2" fillId="0" borderId="11" xfId="3" applyFont="1" applyBorder="1" applyAlignment="1">
      <alignment horizontal="center" vertical="center"/>
    </xf>
    <xf numFmtId="37" fontId="3" fillId="0" borderId="12" xfId="3" applyFont="1" applyBorder="1" applyAlignment="1">
      <alignment vertical="center"/>
    </xf>
    <xf numFmtId="37" fontId="2" fillId="0" borderId="10" xfId="3" applyFont="1" applyBorder="1" applyAlignment="1">
      <alignment horizontal="left" vertical="center"/>
    </xf>
    <xf numFmtId="37" fontId="2" fillId="0" borderId="13" xfId="3" applyFont="1" applyBorder="1" applyAlignment="1">
      <alignment vertical="center"/>
    </xf>
    <xf numFmtId="37" fontId="2" fillId="0" borderId="0" xfId="3" applyFont="1" applyAlignment="1">
      <alignment horizontal="center" vertical="center"/>
    </xf>
    <xf numFmtId="0" fontId="7" fillId="0" borderId="0" xfId="0" applyFont="1">
      <alignment vertical="center"/>
    </xf>
    <xf numFmtId="37" fontId="8" fillId="0" borderId="4" xfId="3" applyFont="1" applyBorder="1" applyAlignment="1">
      <alignment vertical="center"/>
    </xf>
    <xf numFmtId="37" fontId="3" fillId="0" borderId="15" xfId="3" applyFont="1" applyBorder="1" applyAlignment="1">
      <alignment vertical="center"/>
    </xf>
    <xf numFmtId="37" fontId="2" fillId="0" borderId="7" xfId="3" applyFont="1" applyBorder="1" applyAlignment="1">
      <alignment horizontal="left" vertical="center"/>
    </xf>
    <xf numFmtId="15" fontId="2" fillId="0" borderId="7" xfId="0" applyNumberFormat="1" applyFont="1" applyBorder="1" applyAlignment="1">
      <alignment horizontal="left" vertical="center"/>
    </xf>
    <xf numFmtId="37" fontId="2" fillId="0" borderId="8" xfId="3" applyFont="1" applyBorder="1" applyAlignment="1">
      <alignment vertical="center"/>
    </xf>
    <xf numFmtId="0" fontId="3" fillId="0" borderId="0" xfId="0" applyFont="1">
      <alignment vertical="center"/>
    </xf>
    <xf numFmtId="0" fontId="3" fillId="0" borderId="12" xfId="0" applyFont="1" applyBorder="1">
      <alignment vertical="center"/>
    </xf>
    <xf numFmtId="0" fontId="2" fillId="0" borderId="10" xfId="0" applyFont="1" applyBorder="1">
      <alignment vertical="center"/>
    </xf>
    <xf numFmtId="0" fontId="2" fillId="0" borderId="13" xfId="0" applyFont="1" applyBorder="1">
      <alignment vertical="center"/>
    </xf>
    <xf numFmtId="37" fontId="2" fillId="0" borderId="7" xfId="3" applyFont="1" applyBorder="1" applyAlignment="1">
      <alignment vertical="center"/>
    </xf>
    <xf numFmtId="0" fontId="3" fillId="0" borderId="9" xfId="0" applyFont="1" applyBorder="1">
      <alignment vertical="center"/>
    </xf>
    <xf numFmtId="0" fontId="2" fillId="0" borderId="11" xfId="0" applyFont="1" applyBorder="1">
      <alignment vertical="center"/>
    </xf>
    <xf numFmtId="0" fontId="2" fillId="0" borderId="6" xfId="0" applyFont="1" applyBorder="1">
      <alignment vertical="center"/>
    </xf>
    <xf numFmtId="0" fontId="3" fillId="0" borderId="4" xfId="0" applyFont="1" applyBorder="1">
      <alignment vertical="center"/>
    </xf>
    <xf numFmtId="0" fontId="2" fillId="0" borderId="19" xfId="0" applyFont="1" applyBorder="1" applyAlignment="1">
      <alignment horizontal="left" vertical="center"/>
    </xf>
    <xf numFmtId="0" fontId="8" fillId="0" borderId="19" xfId="0" applyFont="1" applyBorder="1" applyAlignment="1">
      <alignment horizontal="left" vertical="center"/>
    </xf>
    <xf numFmtId="0" fontId="2" fillId="0" borderId="0" xfId="0" applyFont="1" applyAlignment="1">
      <alignment horizontal="left" vertical="center"/>
    </xf>
    <xf numFmtId="0" fontId="3" fillId="0" borderId="11" xfId="0" applyFont="1" applyBorder="1">
      <alignment vertical="center"/>
    </xf>
    <xf numFmtId="15" fontId="2" fillId="0" borderId="7" xfId="3" applyNumberFormat="1" applyFont="1" applyBorder="1" applyAlignment="1">
      <alignment horizontal="left" vertical="center"/>
    </xf>
    <xf numFmtId="41" fontId="2" fillId="0" borderId="19" xfId="0" applyNumberFormat="1" applyFont="1" applyBorder="1" applyAlignment="1">
      <alignment horizontal="center" vertical="center"/>
    </xf>
    <xf numFmtId="0" fontId="2" fillId="0" borderId="12" xfId="0" applyFont="1" applyBorder="1" applyAlignment="1">
      <alignment horizontal="left" vertical="center"/>
    </xf>
    <xf numFmtId="41" fontId="2" fillId="0" borderId="10" xfId="0" applyNumberFormat="1" applyFont="1" applyBorder="1" applyAlignment="1">
      <alignment horizontal="center" vertical="center"/>
    </xf>
    <xf numFmtId="41" fontId="2" fillId="0" borderId="10" xfId="0" applyNumberFormat="1" applyFont="1" applyBorder="1" applyAlignment="1">
      <alignment horizontal="left" vertical="center"/>
    </xf>
    <xf numFmtId="41" fontId="2" fillId="0" borderId="13" xfId="1" applyFont="1" applyFill="1" applyBorder="1" applyAlignment="1">
      <alignment horizontal="center" vertical="center"/>
    </xf>
    <xf numFmtId="0" fontId="2" fillId="0" borderId="15" xfId="0" applyFont="1" applyBorder="1" applyAlignment="1">
      <alignment horizontal="left" vertical="center"/>
    </xf>
    <xf numFmtId="41" fontId="2" fillId="0" borderId="7" xfId="0" applyNumberFormat="1" applyFont="1" applyBorder="1" applyAlignment="1">
      <alignment horizontal="center" vertical="center"/>
    </xf>
    <xf numFmtId="41" fontId="2" fillId="0" borderId="8" xfId="1" applyFont="1" applyFill="1" applyBorder="1" applyAlignment="1">
      <alignment horizontal="center" vertical="center"/>
    </xf>
    <xf numFmtId="41" fontId="3" fillId="0" borderId="21" xfId="0" applyNumberFormat="1" applyFont="1" applyBorder="1" applyAlignment="1">
      <alignment horizontal="center" vertical="center"/>
    </xf>
    <xf numFmtId="41" fontId="3" fillId="0" borderId="21" xfId="0" applyNumberFormat="1" applyFont="1" applyBorder="1" applyAlignment="1">
      <alignment horizontal="center" vertical="center" wrapText="1"/>
    </xf>
    <xf numFmtId="41" fontId="3" fillId="0" borderId="22" xfId="0" applyNumberFormat="1" applyFont="1" applyBorder="1" applyAlignment="1">
      <alignment horizontal="center" vertical="center" wrapText="1"/>
    </xf>
    <xf numFmtId="41" fontId="2" fillId="0" borderId="23" xfId="0" applyNumberFormat="1" applyFont="1" applyBorder="1" applyAlignment="1">
      <alignment horizontal="center" vertical="center"/>
    </xf>
    <xf numFmtId="164" fontId="2" fillId="0" borderId="24" xfId="1" applyNumberFormat="1" applyFont="1" applyFill="1" applyBorder="1" applyAlignment="1">
      <alignment horizontal="center" vertical="center"/>
    </xf>
    <xf numFmtId="41" fontId="2" fillId="0" borderId="14" xfId="0" applyNumberFormat="1" applyFont="1" applyBorder="1" applyAlignment="1">
      <alignment horizontal="center" vertical="center"/>
    </xf>
    <xf numFmtId="41" fontId="2" fillId="0" borderId="24" xfId="0" applyNumberFormat="1" applyFont="1" applyBorder="1" applyAlignment="1">
      <alignment horizontal="center" vertical="center"/>
    </xf>
    <xf numFmtId="0" fontId="3" fillId="0" borderId="6" xfId="0" applyFont="1" applyBorder="1">
      <alignment vertical="center"/>
    </xf>
    <xf numFmtId="0" fontId="2" fillId="0" borderId="7" xfId="0" applyFont="1" applyBorder="1">
      <alignment vertical="center"/>
    </xf>
    <xf numFmtId="41" fontId="2" fillId="0" borderId="20" xfId="0" applyNumberFormat="1" applyFont="1" applyBorder="1" applyAlignment="1">
      <alignment horizontal="center" vertical="center"/>
    </xf>
    <xf numFmtId="41" fontId="2" fillId="0" borderId="21" xfId="0" applyNumberFormat="1" applyFont="1" applyBorder="1" applyAlignment="1">
      <alignment horizontal="center" vertical="center"/>
    </xf>
    <xf numFmtId="41" fontId="2" fillId="0" borderId="22" xfId="0" applyNumberFormat="1" applyFont="1" applyBorder="1" applyAlignment="1">
      <alignment horizontal="center" vertical="center"/>
    </xf>
    <xf numFmtId="41" fontId="3" fillId="0" borderId="10" xfId="0" applyNumberFormat="1" applyFont="1" applyBorder="1" applyAlignment="1">
      <alignment horizontal="left" vertical="center"/>
    </xf>
    <xf numFmtId="164" fontId="2" fillId="0" borderId="13" xfId="1" applyNumberFormat="1" applyFont="1" applyFill="1" applyBorder="1" applyAlignment="1">
      <alignment horizontal="left" vertical="center"/>
    </xf>
    <xf numFmtId="41" fontId="2" fillId="0" borderId="7" xfId="0" applyNumberFormat="1" applyFont="1" applyBorder="1" applyAlignment="1">
      <alignment horizontal="left" vertical="center"/>
    </xf>
    <xf numFmtId="41" fontId="2" fillId="0" borderId="8" xfId="1" applyFont="1" applyFill="1" applyBorder="1" applyAlignment="1">
      <alignment horizontal="left" vertical="center"/>
    </xf>
    <xf numFmtId="0" fontId="2" fillId="0" borderId="0" xfId="0" applyFont="1" applyAlignment="1">
      <alignment horizontal="center" vertical="center"/>
    </xf>
    <xf numFmtId="0" fontId="8" fillId="0" borderId="16" xfId="0" applyFont="1" applyBorder="1">
      <alignment vertical="center"/>
    </xf>
    <xf numFmtId="0" fontId="2" fillId="0" borderId="17" xfId="0" applyFont="1" applyBorder="1">
      <alignment vertical="center"/>
    </xf>
    <xf numFmtId="41" fontId="2" fillId="0" borderId="17" xfId="0" applyNumberFormat="1" applyFont="1" applyBorder="1" applyAlignment="1">
      <alignment horizontal="center" vertical="center"/>
    </xf>
    <xf numFmtId="41" fontId="2" fillId="0" borderId="17" xfId="0" applyNumberFormat="1" applyFont="1" applyBorder="1" applyAlignment="1">
      <alignment horizontal="left" vertical="center"/>
    </xf>
    <xf numFmtId="41" fontId="2" fillId="0" borderId="18" xfId="1" applyFont="1" applyFill="1" applyBorder="1" applyAlignment="1">
      <alignment horizontal="center" vertical="center"/>
    </xf>
    <xf numFmtId="41" fontId="2" fillId="0" borderId="0" xfId="1" applyFont="1" applyFill="1" applyAlignment="1">
      <alignment horizontal="center" vertical="center"/>
    </xf>
    <xf numFmtId="0" fontId="12" fillId="0" borderId="0" xfId="0" applyFont="1">
      <alignment vertical="center"/>
    </xf>
    <xf numFmtId="37" fontId="12" fillId="0" borderId="0" xfId="0" applyNumberFormat="1" applyFont="1" applyAlignment="1">
      <alignment horizontal="left" vertical="center" indent="1"/>
    </xf>
    <xf numFmtId="0" fontId="12" fillId="0" borderId="0" xfId="0" applyFont="1" applyAlignment="1">
      <alignment horizontal="left" vertical="center" indent="1"/>
    </xf>
    <xf numFmtId="37" fontId="12" fillId="0" borderId="0" xfId="0" applyNumberFormat="1" applyFont="1">
      <alignment vertical="center"/>
    </xf>
    <xf numFmtId="37" fontId="12" fillId="0" borderId="0" xfId="0" applyNumberFormat="1" applyFont="1" applyAlignment="1">
      <alignment horizontal="center" vertical="center"/>
    </xf>
    <xf numFmtId="0" fontId="12" fillId="0" borderId="0" xfId="0" applyFont="1" applyAlignment="1">
      <alignment horizontal="center" vertical="center"/>
    </xf>
    <xf numFmtId="0" fontId="12" fillId="0" borderId="26" xfId="0" applyFont="1" applyBorder="1" applyAlignment="1">
      <alignment horizontal="center" vertical="center"/>
    </xf>
    <xf numFmtId="43" fontId="12" fillId="0" borderId="0" xfId="0" applyNumberFormat="1" applyFont="1">
      <alignment vertical="center"/>
    </xf>
    <xf numFmtId="0" fontId="12" fillId="0" borderId="7" xfId="0" applyFont="1" applyBorder="1">
      <alignment vertical="center"/>
    </xf>
    <xf numFmtId="0" fontId="12" fillId="0" borderId="12" xfId="0" applyFont="1" applyBorder="1">
      <alignment vertical="center"/>
    </xf>
    <xf numFmtId="0" fontId="12" fillId="0" borderId="11" xfId="0" applyFont="1" applyBorder="1">
      <alignment vertical="center"/>
    </xf>
    <xf numFmtId="0" fontId="12" fillId="0" borderId="10" xfId="0" applyFont="1" applyBorder="1">
      <alignment vertical="center"/>
    </xf>
    <xf numFmtId="41" fontId="12" fillId="0" borderId="10" xfId="0" applyNumberFormat="1" applyFont="1" applyBorder="1" applyAlignment="1">
      <alignment horizontal="left" vertical="center"/>
    </xf>
    <xf numFmtId="41" fontId="13" fillId="0" borderId="10" xfId="0" applyNumberFormat="1" applyFont="1" applyBorder="1" applyAlignment="1">
      <alignment horizontal="left" vertical="center"/>
    </xf>
    <xf numFmtId="41" fontId="14" fillId="0" borderId="10" xfId="0" applyNumberFormat="1" applyFont="1" applyBorder="1" applyAlignment="1">
      <alignment horizontal="left" vertical="center"/>
    </xf>
    <xf numFmtId="0" fontId="12" fillId="0" borderId="10" xfId="0" applyFont="1" applyBorder="1" applyAlignment="1">
      <alignment horizontal="center" vertical="center"/>
    </xf>
    <xf numFmtId="164" fontId="12" fillId="0" borderId="14" xfId="0" applyNumberFormat="1" applyFont="1" applyBorder="1">
      <alignment vertical="center"/>
    </xf>
    <xf numFmtId="0" fontId="12" fillId="0" borderId="15" xfId="0" applyFont="1" applyBorder="1">
      <alignment vertical="center"/>
    </xf>
    <xf numFmtId="0" fontId="12" fillId="0" borderId="20" xfId="0" applyFont="1" applyBorder="1">
      <alignment vertical="center"/>
    </xf>
    <xf numFmtId="41" fontId="12" fillId="0" borderId="7" xfId="0" applyNumberFormat="1" applyFont="1" applyBorder="1" applyAlignment="1">
      <alignment horizontal="left" vertical="center"/>
    </xf>
    <xf numFmtId="41" fontId="13" fillId="0" borderId="7" xfId="0" applyNumberFormat="1" applyFont="1" applyBorder="1" applyAlignment="1">
      <alignment horizontal="left" vertical="center"/>
    </xf>
    <xf numFmtId="0" fontId="12" fillId="0" borderId="7" xfId="0" applyFont="1" applyBorder="1" applyAlignment="1">
      <alignment horizontal="center" vertical="center"/>
    </xf>
    <xf numFmtId="165" fontId="2" fillId="0" borderId="0" xfId="0" applyNumberFormat="1" applyFont="1" applyAlignment="1">
      <alignment horizontal="center" vertical="center"/>
    </xf>
    <xf numFmtId="166" fontId="2" fillId="0" borderId="0" xfId="0" applyNumberFormat="1" applyFont="1" applyAlignment="1">
      <alignment horizontal="center" vertical="center"/>
    </xf>
    <xf numFmtId="41" fontId="2" fillId="0" borderId="0" xfId="3" applyNumberFormat="1" applyFont="1" applyAlignment="1">
      <alignment vertical="center"/>
    </xf>
    <xf numFmtId="165" fontId="2" fillId="0" borderId="0" xfId="3" applyNumberFormat="1" applyFont="1" applyAlignment="1">
      <alignment vertical="center"/>
    </xf>
    <xf numFmtId="37" fontId="3" fillId="0" borderId="4" xfId="3" applyFont="1" applyBorder="1" applyAlignment="1">
      <alignment vertical="center"/>
    </xf>
    <xf numFmtId="0" fontId="15" fillId="0" borderId="5" xfId="0" applyFont="1" applyBorder="1">
      <alignment vertical="center"/>
    </xf>
    <xf numFmtId="0" fontId="9" fillId="0" borderId="19" xfId="0" applyFont="1" applyBorder="1" applyAlignment="1">
      <alignment horizontal="left" vertical="center"/>
    </xf>
    <xf numFmtId="41" fontId="3" fillId="0" borderId="26" xfId="0" applyNumberFormat="1" applyFont="1" applyBorder="1" applyAlignment="1">
      <alignment horizontal="center" vertical="center"/>
    </xf>
    <xf numFmtId="41" fontId="3" fillId="0" borderId="26" xfId="0" applyNumberFormat="1" applyFont="1" applyBorder="1" applyAlignment="1">
      <alignment horizontal="center" vertical="center" wrapText="1"/>
    </xf>
    <xf numFmtId="41" fontId="3" fillId="0" borderId="29" xfId="0" applyNumberFormat="1" applyFont="1" applyBorder="1" applyAlignment="1">
      <alignment horizontal="center" vertical="center" wrapText="1"/>
    </xf>
    <xf numFmtId="41" fontId="3" fillId="0" borderId="0" xfId="0" applyNumberFormat="1" applyFont="1" applyAlignment="1">
      <alignment horizontal="center" vertical="center"/>
    </xf>
    <xf numFmtId="165" fontId="3" fillId="0" borderId="0" xfId="0" applyNumberFormat="1" applyFont="1" applyAlignment="1">
      <alignment horizontal="center" vertical="center"/>
    </xf>
    <xf numFmtId="0" fontId="3" fillId="0" borderId="0" xfId="0" applyFont="1" applyAlignment="1">
      <alignment horizontal="center" vertical="center"/>
    </xf>
    <xf numFmtId="166" fontId="3" fillId="0" borderId="0" xfId="0" applyNumberFormat="1" applyFont="1" applyAlignment="1">
      <alignment horizontal="center" vertical="center"/>
    </xf>
    <xf numFmtId="167" fontId="2" fillId="0" borderId="23" xfId="0" applyNumberFormat="1" applyFont="1" applyBorder="1" applyAlignment="1">
      <alignment horizontal="center" vertical="center"/>
    </xf>
    <xf numFmtId="164" fontId="2" fillId="0" borderId="24" xfId="0" applyNumberFormat="1" applyFont="1" applyBorder="1" applyAlignment="1">
      <alignment horizontal="center" vertical="center"/>
    </xf>
    <xf numFmtId="41" fontId="15" fillId="0" borderId="23" xfId="0" applyNumberFormat="1" applyFont="1" applyBorder="1" applyAlignment="1">
      <alignment horizontal="center" vertical="center"/>
    </xf>
    <xf numFmtId="0" fontId="3" fillId="0" borderId="27" xfId="0" applyFont="1" applyBorder="1">
      <alignment vertical="center"/>
    </xf>
    <xf numFmtId="0" fontId="3" fillId="0" borderId="28" xfId="0" applyFont="1" applyBorder="1">
      <alignment vertical="center"/>
    </xf>
    <xf numFmtId="0" fontId="2" fillId="0" borderId="4" xfId="2" applyFont="1" applyBorder="1">
      <alignment vertical="center"/>
    </xf>
    <xf numFmtId="0" fontId="8" fillId="0" borderId="4" xfId="0" applyFont="1" applyBorder="1">
      <alignment vertical="center"/>
    </xf>
    <xf numFmtId="0" fontId="2" fillId="0" borderId="16" xfId="0" applyFont="1" applyBorder="1">
      <alignment vertical="center"/>
    </xf>
    <xf numFmtId="0" fontId="17" fillId="0" borderId="0" xfId="0" applyFont="1">
      <alignment vertical="center"/>
    </xf>
    <xf numFmtId="41" fontId="2" fillId="0" borderId="0" xfId="1" applyFont="1" applyFill="1" applyBorder="1" applyAlignment="1">
      <alignment horizontal="center" vertical="center"/>
    </xf>
    <xf numFmtId="0" fontId="4" fillId="0" borderId="32" xfId="0" applyFont="1" applyBorder="1" applyAlignment="1">
      <alignment horizontal="center" vertical="center"/>
    </xf>
    <xf numFmtId="0" fontId="3" fillId="0" borderId="0" xfId="0" applyFont="1" applyAlignment="1">
      <alignment horizontal="left" vertical="center"/>
    </xf>
    <xf numFmtId="37" fontId="2" fillId="0" borderId="0" xfId="0" applyNumberFormat="1" applyFont="1" applyAlignment="1">
      <alignment horizontal="left" vertical="center"/>
    </xf>
    <xf numFmtId="0" fontId="2" fillId="0" borderId="0" xfId="0" applyFont="1" applyAlignment="1">
      <alignment horizontal="right" vertical="center"/>
    </xf>
    <xf numFmtId="15" fontId="2" fillId="0" borderId="0" xfId="0" quotePrefix="1" applyNumberFormat="1" applyFont="1" applyAlignment="1">
      <alignment horizontal="left" vertical="center"/>
    </xf>
    <xf numFmtId="0" fontId="2" fillId="0" borderId="0" xfId="0" applyFont="1" applyAlignment="1">
      <alignment horizontal="left" vertical="center" indent="1"/>
    </xf>
    <xf numFmtId="0" fontId="2" fillId="0" borderId="26" xfId="0" applyFont="1" applyBorder="1" applyAlignment="1">
      <alignment horizontal="left" vertical="center"/>
    </xf>
    <xf numFmtId="0" fontId="2" fillId="0" borderId="26" xfId="0" applyFont="1" applyBorder="1" applyAlignment="1">
      <alignment horizontal="center" vertical="center"/>
    </xf>
    <xf numFmtId="0" fontId="3" fillId="0" borderId="26" xfId="0" applyFont="1" applyBorder="1" applyAlignment="1">
      <alignment horizontal="center" vertical="center"/>
    </xf>
    <xf numFmtId="0" fontId="3" fillId="0" borderId="26" xfId="0" applyFont="1" applyBorder="1" applyAlignment="1">
      <alignment horizontal="center" vertical="center" wrapText="1"/>
    </xf>
    <xf numFmtId="0" fontId="2" fillId="0" borderId="25" xfId="0" applyFont="1" applyBorder="1" applyAlignment="1">
      <alignment horizontal="center" vertical="center"/>
    </xf>
    <xf numFmtId="0" fontId="18" fillId="0" borderId="26" xfId="0" applyFont="1" applyBorder="1" applyAlignment="1">
      <alignment horizontal="center" vertical="center" wrapText="1"/>
    </xf>
    <xf numFmtId="168" fontId="2" fillId="0" borderId="26" xfId="0" applyNumberFormat="1" applyFont="1" applyBorder="1" applyAlignment="1">
      <alignment horizontal="center" vertical="center" wrapText="1"/>
    </xf>
    <xf numFmtId="167" fontId="2" fillId="0" borderId="26" xfId="1" applyNumberFormat="1" applyFont="1" applyFill="1" applyBorder="1" applyAlignment="1">
      <alignment horizontal="center" vertical="center" wrapText="1"/>
    </xf>
    <xf numFmtId="0" fontId="2" fillId="0" borderId="26" xfId="0" applyFont="1" applyBorder="1" applyAlignment="1">
      <alignment horizontal="center" vertical="center" wrapText="1"/>
    </xf>
    <xf numFmtId="41" fontId="2" fillId="0" borderId="0" xfId="1" applyFont="1" applyFill="1" applyAlignment="1">
      <alignment vertical="center"/>
    </xf>
    <xf numFmtId="0" fontId="2" fillId="0" borderId="0" xfId="0" applyFont="1" applyAlignment="1">
      <alignment vertical="center" wrapText="1"/>
    </xf>
    <xf numFmtId="0" fontId="2" fillId="0" borderId="0" xfId="1" applyNumberFormat="1" applyFont="1" applyFill="1" applyAlignment="1">
      <alignment vertical="center"/>
    </xf>
    <xf numFmtId="41" fontId="2" fillId="0" borderId="0" xfId="1" applyFont="1" applyAlignment="1">
      <alignment vertical="center"/>
    </xf>
    <xf numFmtId="0" fontId="2" fillId="0" borderId="0" xfId="1" applyNumberFormat="1" applyFont="1" applyAlignment="1">
      <alignment vertical="center"/>
    </xf>
    <xf numFmtId="0" fontId="19" fillId="0" borderId="0" xfId="0" applyFont="1" applyAlignment="1">
      <alignment horizontal="center" vertical="center"/>
    </xf>
    <xf numFmtId="0" fontId="20" fillId="0" borderId="0" xfId="0" applyFont="1">
      <alignment vertical="center"/>
    </xf>
    <xf numFmtId="0" fontId="21" fillId="0" borderId="0" xfId="0" applyFont="1" applyAlignment="1">
      <alignment horizontal="center" vertical="center"/>
    </xf>
    <xf numFmtId="0" fontId="21" fillId="0" borderId="0" xfId="0" applyFont="1">
      <alignment vertical="center"/>
    </xf>
    <xf numFmtId="41" fontId="12" fillId="0" borderId="0" xfId="0" applyNumberFormat="1" applyFont="1" applyAlignment="1">
      <alignment horizontal="center" vertical="center"/>
    </xf>
    <xf numFmtId="41" fontId="22" fillId="0" borderId="0" xfId="0" applyNumberFormat="1" applyFont="1" applyAlignment="1">
      <alignment horizontal="left" vertical="center"/>
    </xf>
    <xf numFmtId="41" fontId="12" fillId="0" borderId="0" xfId="1" applyFont="1" applyFill="1" applyBorder="1" applyAlignment="1">
      <alignment horizontal="center" vertical="center"/>
    </xf>
    <xf numFmtId="0" fontId="19" fillId="0" borderId="32" xfId="0" applyFont="1" applyBorder="1" applyAlignment="1">
      <alignment horizontal="center" vertical="center"/>
    </xf>
    <xf numFmtId="0" fontId="14" fillId="0" borderId="0" xfId="0" applyFont="1" applyAlignment="1">
      <alignment horizontal="left" vertical="center"/>
    </xf>
    <xf numFmtId="37" fontId="12" fillId="0" borderId="0" xfId="0" applyNumberFormat="1" applyFont="1" applyAlignment="1">
      <alignment horizontal="left" vertical="center"/>
    </xf>
    <xf numFmtId="169" fontId="12" fillId="0" borderId="0" xfId="0" applyNumberFormat="1" applyFont="1" applyAlignment="1">
      <alignment horizontal="center" vertical="center"/>
    </xf>
    <xf numFmtId="0" fontId="12" fillId="0" borderId="0" xfId="0" applyFont="1" applyAlignment="1">
      <alignment horizontal="right" vertical="center"/>
    </xf>
    <xf numFmtId="0" fontId="23" fillId="0" borderId="0" xfId="0" applyFont="1">
      <alignment vertical="center"/>
    </xf>
    <xf numFmtId="0" fontId="12" fillId="0" borderId="0" xfId="0" applyFont="1" applyAlignment="1">
      <alignment horizontal="left" vertical="center"/>
    </xf>
    <xf numFmtId="169" fontId="12" fillId="0" borderId="0" xfId="0" applyNumberFormat="1" applyFont="1" applyAlignment="1">
      <alignment horizontal="left" vertical="center"/>
    </xf>
    <xf numFmtId="169" fontId="12" fillId="0" borderId="26" xfId="0" applyNumberFormat="1" applyFont="1" applyBorder="1" applyAlignment="1">
      <alignment horizontal="left" vertical="center"/>
    </xf>
    <xf numFmtId="169" fontId="12" fillId="0" borderId="26" xfId="0" applyNumberFormat="1" applyFont="1" applyBorder="1" applyAlignment="1">
      <alignment horizontal="center" vertical="center"/>
    </xf>
    <xf numFmtId="0" fontId="24" fillId="0" borderId="0" xfId="0" applyFont="1">
      <alignment vertical="center"/>
    </xf>
    <xf numFmtId="0" fontId="14" fillId="0" borderId="0" xfId="0" applyFont="1" applyAlignment="1">
      <alignment horizontal="center" vertical="center"/>
    </xf>
    <xf numFmtId="0" fontId="14" fillId="0" borderId="0" xfId="0" applyFont="1">
      <alignment vertical="center"/>
    </xf>
    <xf numFmtId="0" fontId="14" fillId="0" borderId="26" xfId="0" applyFont="1" applyBorder="1" applyAlignment="1">
      <alignment horizontal="center" vertical="center"/>
    </xf>
    <xf numFmtId="0" fontId="14" fillId="0" borderId="26" xfId="0" applyFont="1" applyBorder="1" applyAlignment="1">
      <alignment horizontal="center" vertical="center" wrapText="1"/>
    </xf>
    <xf numFmtId="169" fontId="14" fillId="0" borderId="26" xfId="0" applyNumberFormat="1" applyFont="1" applyBorder="1" applyAlignment="1">
      <alignment horizontal="center" vertical="center" wrapText="1"/>
    </xf>
    <xf numFmtId="41" fontId="12" fillId="0" borderId="0" xfId="1" applyFont="1" applyAlignment="1">
      <alignment vertical="center"/>
    </xf>
    <xf numFmtId="169" fontId="12" fillId="0" borderId="0" xfId="0" applyNumberFormat="1" applyFont="1">
      <alignment vertical="center"/>
    </xf>
    <xf numFmtId="0" fontId="12" fillId="0" borderId="0" xfId="1" applyNumberFormat="1" applyFont="1" applyFill="1" applyAlignment="1">
      <alignment vertical="center"/>
    </xf>
    <xf numFmtId="0" fontId="28" fillId="0" borderId="0" xfId="6" applyFont="1">
      <alignment vertical="center"/>
    </xf>
    <xf numFmtId="0" fontId="28" fillId="0" borderId="0" xfId="6" applyFont="1" applyAlignment="1">
      <alignment horizontal="center" vertical="center"/>
    </xf>
    <xf numFmtId="0" fontId="30" fillId="0" borderId="10" xfId="6" applyFont="1" applyBorder="1" applyAlignment="1">
      <alignment horizontal="center" vertical="top" wrapText="1"/>
    </xf>
    <xf numFmtId="0" fontId="28" fillId="0" borderId="0" xfId="6" applyFont="1" applyAlignment="1">
      <alignment horizontal="left" vertical="center" indent="2"/>
    </xf>
    <xf numFmtId="0" fontId="30" fillId="0" borderId="0" xfId="6" applyFont="1" applyAlignment="1">
      <alignment horizontal="center" vertical="top" wrapText="1"/>
    </xf>
    <xf numFmtId="0" fontId="30" fillId="0" borderId="0" xfId="6" applyFont="1" applyAlignment="1">
      <alignment horizontal="center" vertical="top"/>
    </xf>
    <xf numFmtId="171" fontId="28" fillId="0" borderId="0" xfId="6" applyNumberFormat="1" applyFont="1" applyAlignment="1">
      <alignment horizontal="left" vertical="center" indent="2"/>
    </xf>
    <xf numFmtId="41" fontId="28" fillId="0" borderId="0" xfId="1" applyFont="1" applyFill="1" applyBorder="1" applyAlignment="1">
      <alignment horizontal="left" vertical="top"/>
    </xf>
    <xf numFmtId="41" fontId="28" fillId="0" borderId="0" xfId="1" applyFont="1" applyFill="1" applyBorder="1" applyAlignment="1">
      <alignment vertical="top"/>
    </xf>
    <xf numFmtId="164" fontId="28" fillId="0" borderId="0" xfId="1" applyNumberFormat="1" applyFont="1" applyFill="1" applyBorder="1" applyAlignment="1">
      <alignment vertical="top"/>
    </xf>
    <xf numFmtId="49" fontId="28" fillId="0" borderId="14" xfId="6" applyNumberFormat="1" applyFont="1" applyBorder="1" applyAlignment="1">
      <alignment horizontal="left" vertical="top"/>
    </xf>
    <xf numFmtId="0" fontId="28" fillId="0" borderId="0" xfId="1" applyNumberFormat="1" applyFont="1" applyFill="1" applyBorder="1" applyAlignment="1">
      <alignment vertical="top"/>
    </xf>
    <xf numFmtId="0" fontId="30" fillId="0" borderId="7" xfId="6" applyFont="1" applyBorder="1" applyAlignment="1">
      <alignment horizontal="center" vertical="top" wrapText="1"/>
    </xf>
    <xf numFmtId="0" fontId="28" fillId="0" borderId="7" xfId="7" applyFont="1" applyBorder="1" applyAlignment="1">
      <alignment vertical="top" wrapText="1"/>
    </xf>
    <xf numFmtId="0" fontId="28" fillId="0" borderId="20" xfId="7" applyFont="1" applyBorder="1" applyAlignment="1">
      <alignment vertical="top" wrapText="1"/>
    </xf>
    <xf numFmtId="0" fontId="15" fillId="0" borderId="19" xfId="0" applyFont="1" applyBorder="1" applyAlignment="1">
      <alignment horizontal="left" vertical="center"/>
    </xf>
    <xf numFmtId="0" fontId="32" fillId="0" borderId="0" xfId="0" quotePrefix="1" applyFont="1" applyAlignment="1">
      <alignment vertical="center" wrapText="1"/>
    </xf>
    <xf numFmtId="0" fontId="28" fillId="0" borderId="25" xfId="6" applyFont="1" applyBorder="1" applyAlignment="1">
      <alignment horizontal="right" vertical="top" wrapText="1" indent="1"/>
    </xf>
    <xf numFmtId="0" fontId="28" fillId="0" borderId="23" xfId="6" applyFont="1" applyBorder="1" applyAlignment="1">
      <alignment horizontal="right" vertical="top" wrapText="1" indent="1"/>
    </xf>
    <xf numFmtId="0" fontId="28" fillId="0" borderId="23" xfId="6" applyFont="1" applyBorder="1" applyAlignment="1">
      <alignment horizontal="right" vertical="top" indent="1"/>
    </xf>
    <xf numFmtId="0" fontId="28" fillId="0" borderId="21" xfId="6" applyFont="1" applyBorder="1" applyAlignment="1">
      <alignment horizontal="right" vertical="top" wrapText="1" indent="1"/>
    </xf>
    <xf numFmtId="0" fontId="35" fillId="0" borderId="7" xfId="7" applyFont="1" applyBorder="1" applyAlignment="1">
      <alignment horizontal="left" vertical="top"/>
    </xf>
    <xf numFmtId="41" fontId="2" fillId="0" borderId="0" xfId="0" applyNumberFormat="1" applyFont="1" applyAlignment="1">
      <alignment horizontal="left" vertical="center"/>
    </xf>
    <xf numFmtId="0" fontId="0" fillId="0" borderId="0" xfId="0" applyAlignment="1">
      <alignment horizontal="left" vertical="center" wrapText="1"/>
    </xf>
    <xf numFmtId="0" fontId="36" fillId="0" borderId="0" xfId="0" applyFont="1" applyAlignment="1">
      <alignment horizontal="left" vertical="top" wrapText="1"/>
    </xf>
    <xf numFmtId="0" fontId="8" fillId="0" borderId="0" xfId="0" applyFont="1">
      <alignment vertical="center"/>
    </xf>
    <xf numFmtId="0" fontId="8" fillId="0" borderId="0" xfId="0" applyFont="1" applyAlignment="1">
      <alignment vertical="center" wrapText="1"/>
    </xf>
    <xf numFmtId="41" fontId="2" fillId="0" borderId="18" xfId="0" applyNumberFormat="1" applyFont="1" applyBorder="1" applyAlignment="1">
      <alignment horizontal="left" vertical="center"/>
    </xf>
    <xf numFmtId="14" fontId="8" fillId="0" borderId="7" xfId="3" applyNumberFormat="1" applyFont="1" applyBorder="1" applyAlignment="1">
      <alignment vertical="center"/>
    </xf>
    <xf numFmtId="14" fontId="40" fillId="0" borderId="0" xfId="0" applyNumberFormat="1" applyFont="1">
      <alignment vertical="center"/>
    </xf>
    <xf numFmtId="14" fontId="2" fillId="0" borderId="0" xfId="0" quotePrefix="1" applyNumberFormat="1" applyFont="1" applyAlignment="1">
      <alignment horizontal="left" vertical="center"/>
    </xf>
    <xf numFmtId="14" fontId="12" fillId="0" borderId="0" xfId="0" quotePrefix="1" applyNumberFormat="1" applyFont="1" applyAlignment="1">
      <alignment horizontal="left" vertical="center"/>
    </xf>
    <xf numFmtId="15" fontId="12" fillId="0" borderId="0" xfId="0" applyNumberFormat="1" applyFont="1" applyAlignment="1">
      <alignment horizontal="left" vertical="center"/>
    </xf>
    <xf numFmtId="0" fontId="2" fillId="0" borderId="0" xfId="0" applyFont="1" applyAlignment="1">
      <alignment horizontal="left" vertical="center" wrapText="1"/>
    </xf>
    <xf numFmtId="0" fontId="2" fillId="0" borderId="0" xfId="0" quotePrefix="1" applyFont="1">
      <alignment vertical="center"/>
    </xf>
    <xf numFmtId="0" fontId="2" fillId="0" borderId="17" xfId="0" quotePrefix="1" applyFont="1" applyBorder="1">
      <alignment vertical="center"/>
    </xf>
    <xf numFmtId="0" fontId="4" fillId="0" borderId="0" xfId="0" applyFont="1">
      <alignment vertical="center"/>
    </xf>
    <xf numFmtId="0" fontId="4" fillId="0" borderId="0" xfId="0" applyFont="1" applyAlignment="1">
      <alignment horizontal="center" vertical="center"/>
    </xf>
    <xf numFmtId="0" fontId="12" fillId="0" borderId="30" xfId="0" applyFont="1" applyBorder="1" applyAlignment="1">
      <alignment horizontal="center" vertical="center"/>
    </xf>
    <xf numFmtId="0" fontId="12" fillId="0" borderId="26" xfId="0" quotePrefix="1" applyFont="1" applyBorder="1" applyAlignment="1">
      <alignment horizontal="center" vertical="center"/>
    </xf>
    <xf numFmtId="164" fontId="12" fillId="0" borderId="26" xfId="1" applyNumberFormat="1" applyFont="1" applyFill="1" applyBorder="1" applyAlignment="1">
      <alignment horizontal="center" vertical="center"/>
    </xf>
    <xf numFmtId="41" fontId="14" fillId="0" borderId="26" xfId="1" applyFont="1" applyBorder="1" applyAlignment="1">
      <alignment horizontal="center" vertical="center"/>
    </xf>
    <xf numFmtId="41" fontId="12" fillId="0" borderId="0" xfId="1" applyFont="1">
      <alignment vertical="center"/>
    </xf>
    <xf numFmtId="41" fontId="12" fillId="0" borderId="0" xfId="1" applyFont="1" applyAlignment="1">
      <alignment horizontal="left" vertical="center"/>
    </xf>
    <xf numFmtId="41" fontId="12" fillId="0" borderId="0" xfId="1" applyFont="1" applyAlignment="1">
      <alignment horizontal="center" vertical="center"/>
    </xf>
    <xf numFmtId="41" fontId="12" fillId="0" borderId="0" xfId="1" applyFont="1" applyAlignment="1">
      <alignment vertical="center" wrapText="1"/>
    </xf>
    <xf numFmtId="164" fontId="12" fillId="0" borderId="26" xfId="1" applyNumberFormat="1" applyFont="1" applyBorder="1" applyAlignment="1">
      <alignment horizontal="center" vertical="center"/>
    </xf>
    <xf numFmtId="2" fontId="14" fillId="0" borderId="0" xfId="0" applyNumberFormat="1" applyFont="1" applyAlignment="1">
      <alignment horizontal="center" vertical="center"/>
    </xf>
    <xf numFmtId="0" fontId="2" fillId="0" borderId="26" xfId="0" quotePrefix="1" applyFont="1" applyBorder="1" applyAlignment="1">
      <alignment horizontal="center" vertical="center"/>
    </xf>
    <xf numFmtId="41" fontId="2" fillId="0" borderId="26" xfId="0" applyNumberFormat="1" applyFont="1" applyBorder="1" applyAlignment="1">
      <alignment horizontal="center" vertical="center"/>
    </xf>
    <xf numFmtId="0" fontId="12" fillId="0" borderId="21" xfId="0" applyFont="1" applyBorder="1" applyAlignment="1">
      <alignment horizontal="center" vertical="center" wrapText="1"/>
    </xf>
    <xf numFmtId="0" fontId="12" fillId="0" borderId="15" xfId="0" applyFont="1" applyBorder="1" applyAlignment="1">
      <alignment horizontal="center" vertical="center"/>
    </xf>
    <xf numFmtId="0" fontId="12" fillId="0" borderId="21" xfId="0" applyFont="1" applyBorder="1" applyAlignment="1">
      <alignment horizontal="center" vertical="center"/>
    </xf>
    <xf numFmtId="0" fontId="8" fillId="0" borderId="5" xfId="0" applyFont="1" applyBorder="1" applyAlignment="1">
      <alignment vertical="center" wrapText="1"/>
    </xf>
    <xf numFmtId="0" fontId="43" fillId="0" borderId="0" xfId="0" applyFont="1">
      <alignment vertical="center"/>
    </xf>
    <xf numFmtId="0" fontId="43" fillId="0" borderId="0" xfId="0" applyFont="1" applyAlignment="1">
      <alignment vertical="center" wrapText="1"/>
    </xf>
    <xf numFmtId="172" fontId="43" fillId="0" borderId="0" xfId="1" applyNumberFormat="1" applyFont="1">
      <alignment vertical="center"/>
    </xf>
    <xf numFmtId="0" fontId="43" fillId="0" borderId="0" xfId="0" applyFont="1" applyAlignment="1">
      <alignment horizontal="center" vertical="center"/>
    </xf>
    <xf numFmtId="0" fontId="45" fillId="0" borderId="0" xfId="9" applyFont="1">
      <alignment vertical="center"/>
    </xf>
    <xf numFmtId="0" fontId="12" fillId="0" borderId="0" xfId="0" applyFont="1" applyAlignment="1">
      <alignment vertical="center" wrapText="1"/>
    </xf>
    <xf numFmtId="0" fontId="46" fillId="0" borderId="0" xfId="0" applyFont="1">
      <alignment vertical="center"/>
    </xf>
    <xf numFmtId="0" fontId="21" fillId="0" borderId="0" xfId="0" applyFont="1" applyAlignment="1">
      <alignment vertical="center" wrapText="1"/>
    </xf>
    <xf numFmtId="173" fontId="43" fillId="0" borderId="0" xfId="0" applyNumberFormat="1" applyFont="1" applyAlignment="1">
      <alignment horizontal="left" vertical="center"/>
    </xf>
    <xf numFmtId="0" fontId="48" fillId="0" borderId="0" xfId="0" applyFont="1" applyAlignment="1">
      <alignment vertical="center" wrapText="1"/>
    </xf>
    <xf numFmtId="0" fontId="48" fillId="0" borderId="0" xfId="0" applyFont="1">
      <alignment vertical="center"/>
    </xf>
    <xf numFmtId="173" fontId="48" fillId="0" borderId="21" xfId="0" applyNumberFormat="1" applyFont="1" applyBorder="1" applyAlignment="1">
      <alignment horizontal="center" vertical="center" wrapText="1"/>
    </xf>
    <xf numFmtId="0" fontId="49" fillId="0" borderId="44" xfId="0" applyFont="1" applyBorder="1" applyAlignment="1">
      <alignment horizontal="center" vertical="center"/>
    </xf>
    <xf numFmtId="40" fontId="49" fillId="2" borderId="30" xfId="1" applyNumberFormat="1" applyFont="1" applyFill="1" applyBorder="1" applyAlignment="1">
      <alignment horizontal="center" vertical="center"/>
    </xf>
    <xf numFmtId="4" fontId="48" fillId="2" borderId="29" xfId="0" applyNumberFormat="1" applyFont="1" applyFill="1" applyBorder="1" applyAlignment="1">
      <alignment horizontal="center" vertical="center"/>
    </xf>
    <xf numFmtId="0" fontId="51" fillId="0" borderId="0" xfId="0" applyFont="1" applyAlignment="1">
      <alignment vertical="center" wrapText="1"/>
    </xf>
    <xf numFmtId="0" fontId="52" fillId="0" borderId="0" xfId="0" applyFont="1" applyAlignment="1">
      <alignment vertical="center" wrapText="1"/>
    </xf>
    <xf numFmtId="0" fontId="52" fillId="0" borderId="0" xfId="0" applyFont="1">
      <alignment vertical="center"/>
    </xf>
    <xf numFmtId="40" fontId="53" fillId="2" borderId="30" xfId="1" applyNumberFormat="1" applyFont="1" applyFill="1" applyBorder="1" applyAlignment="1">
      <alignment horizontal="center" vertical="center"/>
    </xf>
    <xf numFmtId="40" fontId="53" fillId="2" borderId="12" xfId="1" applyNumberFormat="1" applyFont="1" applyFill="1" applyBorder="1" applyAlignment="1">
      <alignment horizontal="center" vertical="center"/>
    </xf>
    <xf numFmtId="0" fontId="43" fillId="0" borderId="0" xfId="0" applyFont="1" applyAlignment="1">
      <alignment horizontal="left" vertical="center"/>
    </xf>
    <xf numFmtId="172" fontId="43" fillId="0" borderId="0" xfId="1" applyNumberFormat="1" applyFont="1" applyFill="1" applyBorder="1" applyAlignment="1">
      <alignment horizontal="left" vertical="center"/>
    </xf>
    <xf numFmtId="174" fontId="43" fillId="0" borderId="0" xfId="11" applyNumberFormat="1" applyFont="1" applyAlignment="1">
      <alignment horizontal="center" vertical="center"/>
      <protection locked="0"/>
    </xf>
    <xf numFmtId="40" fontId="53" fillId="2" borderId="2" xfId="1" applyNumberFormat="1" applyFont="1" applyFill="1" applyBorder="1" applyAlignment="1">
      <alignment horizontal="center" vertical="center"/>
    </xf>
    <xf numFmtId="173" fontId="43" fillId="2" borderId="0" xfId="0" applyNumberFormat="1" applyFont="1" applyFill="1" applyAlignment="1">
      <alignment horizontal="left" vertical="center"/>
    </xf>
    <xf numFmtId="175" fontId="43" fillId="0" borderId="0" xfId="0" applyNumberFormat="1" applyFont="1" applyAlignment="1">
      <alignment horizontal="left" vertical="center"/>
    </xf>
    <xf numFmtId="0" fontId="43" fillId="0" borderId="0" xfId="0" applyFont="1" applyAlignment="1">
      <alignment horizontal="left" vertical="center" wrapText="1"/>
    </xf>
    <xf numFmtId="172" fontId="43" fillId="0" borderId="0" xfId="1" applyNumberFormat="1" applyFont="1" applyFill="1" applyBorder="1" applyAlignment="1">
      <alignment horizontal="center" vertical="center"/>
    </xf>
    <xf numFmtId="173" fontId="43" fillId="0" borderId="0" xfId="0" applyNumberFormat="1" applyFont="1" applyAlignment="1">
      <alignment horizontal="center" vertical="center"/>
    </xf>
    <xf numFmtId="175" fontId="43" fillId="0" borderId="0" xfId="0" applyNumberFormat="1" applyFont="1" applyAlignment="1">
      <alignment horizontal="center" vertical="center"/>
    </xf>
    <xf numFmtId="172" fontId="43" fillId="0" borderId="0" xfId="1" applyNumberFormat="1" applyFont="1" applyBorder="1" applyAlignment="1">
      <alignment horizontal="center" vertical="center"/>
    </xf>
    <xf numFmtId="173" fontId="56" fillId="0" borderId="0" xfId="0" applyNumberFormat="1" applyFont="1" applyAlignment="1">
      <alignment horizontal="center" vertical="center"/>
    </xf>
    <xf numFmtId="172" fontId="12" fillId="0" borderId="0" xfId="1" applyNumberFormat="1" applyFont="1" applyBorder="1">
      <alignment vertical="center"/>
    </xf>
    <xf numFmtId="173" fontId="12" fillId="0" borderId="0" xfId="0" applyNumberFormat="1" applyFont="1">
      <alignment vertical="center"/>
    </xf>
    <xf numFmtId="172" fontId="12" fillId="0" borderId="0" xfId="1" applyNumberFormat="1" applyFont="1">
      <alignment vertical="center"/>
    </xf>
    <xf numFmtId="0" fontId="12" fillId="0" borderId="31" xfId="0" applyFont="1" applyBorder="1" applyAlignment="1">
      <alignment horizontal="center" vertical="center"/>
    </xf>
    <xf numFmtId="41" fontId="12" fillId="0" borderId="26" xfId="1" applyFont="1" applyBorder="1" applyAlignment="1">
      <alignment horizontal="center" vertical="center"/>
    </xf>
    <xf numFmtId="0" fontId="12" fillId="0" borderId="26" xfId="0" applyFont="1" applyBorder="1" applyAlignment="1">
      <alignment horizontal="center" vertical="center" wrapText="1"/>
    </xf>
    <xf numFmtId="169" fontId="12" fillId="0" borderId="26" xfId="0" applyNumberFormat="1" applyFont="1" applyBorder="1" applyAlignment="1">
      <alignment horizontal="center" vertical="center" wrapText="1"/>
    </xf>
    <xf numFmtId="164" fontId="12" fillId="0" borderId="21" xfId="1" applyNumberFormat="1" applyFont="1" applyBorder="1" applyAlignment="1">
      <alignment horizontal="center" vertical="center" wrapText="1"/>
    </xf>
    <xf numFmtId="41" fontId="12" fillId="3" borderId="26" xfId="1" applyFont="1" applyFill="1" applyBorder="1" applyAlignment="1">
      <alignment horizontal="center" vertical="center"/>
    </xf>
    <xf numFmtId="0" fontId="12" fillId="3" borderId="26" xfId="0" applyFont="1" applyFill="1" applyBorder="1" applyAlignment="1">
      <alignment horizontal="center" vertical="center"/>
    </xf>
    <xf numFmtId="0" fontId="12" fillId="3" borderId="21" xfId="0" applyFont="1" applyFill="1" applyBorder="1" applyAlignment="1">
      <alignment horizontal="center" vertical="center" wrapText="1"/>
    </xf>
    <xf numFmtId="0" fontId="12" fillId="3" borderId="26" xfId="0" applyFont="1" applyFill="1" applyBorder="1" applyAlignment="1">
      <alignment horizontal="center" vertical="center" wrapText="1"/>
    </xf>
    <xf numFmtId="169" fontId="12" fillId="3" borderId="26" xfId="0" applyNumberFormat="1" applyFont="1" applyFill="1" applyBorder="1" applyAlignment="1">
      <alignment horizontal="center" vertical="center" wrapText="1"/>
    </xf>
    <xf numFmtId="164" fontId="12" fillId="3" borderId="21" xfId="1" applyNumberFormat="1" applyFont="1" applyFill="1" applyBorder="1" applyAlignment="1">
      <alignment horizontal="center" vertical="center" wrapText="1"/>
    </xf>
    <xf numFmtId="0" fontId="12" fillId="3" borderId="15" xfId="0" applyFont="1" applyFill="1" applyBorder="1" applyAlignment="1">
      <alignment horizontal="center" vertical="center"/>
    </xf>
    <xf numFmtId="41" fontId="12" fillId="4" borderId="26" xfId="1" applyFont="1" applyFill="1" applyBorder="1" applyAlignment="1">
      <alignment horizontal="center" vertical="center"/>
    </xf>
    <xf numFmtId="0" fontId="12" fillId="4" borderId="26" xfId="0" applyFont="1" applyFill="1" applyBorder="1" applyAlignment="1">
      <alignment horizontal="center" vertical="center"/>
    </xf>
    <xf numFmtId="0" fontId="12" fillId="4" borderId="21" xfId="0" applyFont="1" applyFill="1" applyBorder="1" applyAlignment="1">
      <alignment horizontal="center" vertical="center" wrapText="1"/>
    </xf>
    <xf numFmtId="0" fontId="12" fillId="4" borderId="26" xfId="0" applyFont="1" applyFill="1" applyBorder="1" applyAlignment="1">
      <alignment horizontal="center" vertical="center" wrapText="1"/>
    </xf>
    <xf numFmtId="169" fontId="12" fillId="4" borderId="26" xfId="0" applyNumberFormat="1" applyFont="1" applyFill="1" applyBorder="1" applyAlignment="1">
      <alignment horizontal="center" vertical="center" wrapText="1"/>
    </xf>
    <xf numFmtId="164" fontId="12" fillId="4" borderId="21" xfId="1" applyNumberFormat="1" applyFont="1" applyFill="1" applyBorder="1" applyAlignment="1">
      <alignment horizontal="center" vertical="center" wrapText="1"/>
    </xf>
    <xf numFmtId="0" fontId="12" fillId="4" borderId="15" xfId="0" applyFont="1" applyFill="1" applyBorder="1" applyAlignment="1">
      <alignment horizontal="center" vertical="center"/>
    </xf>
    <xf numFmtId="0" fontId="2" fillId="2" borderId="20" xfId="0" applyFont="1" applyFill="1" applyBorder="1" applyAlignment="1">
      <alignment vertical="center" wrapText="1"/>
    </xf>
    <xf numFmtId="0" fontId="2" fillId="2" borderId="15" xfId="0" applyFont="1" applyFill="1" applyBorder="1">
      <alignment vertical="center"/>
    </xf>
    <xf numFmtId="0" fontId="12" fillId="0" borderId="30" xfId="0" quotePrefix="1" applyFont="1" applyBorder="1" applyAlignment="1">
      <alignment horizontal="center" vertical="center"/>
    </xf>
    <xf numFmtId="0" fontId="12" fillId="0" borderId="28" xfId="0" applyFont="1" applyBorder="1" applyAlignment="1">
      <alignment horizontal="center" vertical="center" wrapText="1"/>
    </xf>
    <xf numFmtId="41" fontId="12" fillId="0" borderId="26" xfId="0" quotePrefix="1" applyNumberFormat="1" applyFont="1" applyBorder="1" applyAlignment="1">
      <alignment horizontal="center" vertical="center"/>
    </xf>
    <xf numFmtId="0" fontId="28" fillId="2" borderId="0" xfId="6" applyFont="1" applyFill="1" applyAlignment="1">
      <alignment horizontal="left" vertical="top" wrapText="1"/>
    </xf>
    <xf numFmtId="0" fontId="28" fillId="2" borderId="14" xfId="6" applyFont="1" applyFill="1" applyBorder="1" applyAlignment="1">
      <alignment horizontal="left" vertical="top" wrapText="1"/>
    </xf>
    <xf numFmtId="41" fontId="12" fillId="0" borderId="0" xfId="0" applyNumberFormat="1" applyFont="1">
      <alignment vertical="center"/>
    </xf>
    <xf numFmtId="176" fontId="12" fillId="0" borderId="0" xfId="0" applyNumberFormat="1" applyFont="1">
      <alignment vertical="center"/>
    </xf>
    <xf numFmtId="177" fontId="12" fillId="0" borderId="26" xfId="1" applyNumberFormat="1" applyFont="1" applyFill="1" applyBorder="1" applyAlignment="1">
      <alignment horizontal="center" vertical="center"/>
    </xf>
    <xf numFmtId="0" fontId="11" fillId="0" borderId="4" xfId="0" applyFont="1" applyBorder="1">
      <alignment vertical="center"/>
    </xf>
    <xf numFmtId="0" fontId="11" fillId="0" borderId="0" xfId="0" applyFont="1">
      <alignment vertical="center"/>
    </xf>
    <xf numFmtId="0" fontId="11" fillId="0" borderId="14" xfId="0" applyFont="1" applyBorder="1">
      <alignment vertical="center"/>
    </xf>
    <xf numFmtId="0" fontId="28" fillId="2" borderId="23" xfId="6" applyFont="1" applyFill="1" applyBorder="1" applyAlignment="1">
      <alignment horizontal="right" vertical="top" wrapText="1" indent="1"/>
    </xf>
    <xf numFmtId="0" fontId="30" fillId="2" borderId="0" xfId="6" applyFont="1" applyFill="1" applyAlignment="1">
      <alignment horizontal="center" vertical="top" wrapText="1"/>
    </xf>
    <xf numFmtId="0" fontId="12" fillId="2" borderId="26" xfId="0" applyFont="1" applyFill="1" applyBorder="1" applyAlignment="1">
      <alignment horizontal="center" vertical="center" wrapText="1"/>
    </xf>
    <xf numFmtId="0" fontId="12" fillId="2" borderId="21" xfId="0" applyFont="1" applyFill="1" applyBorder="1" applyAlignment="1">
      <alignment horizontal="center" vertical="center"/>
    </xf>
    <xf numFmtId="164" fontId="12" fillId="2" borderId="26" xfId="1" applyNumberFormat="1" applyFont="1" applyFill="1" applyBorder="1" applyAlignment="1">
      <alignment horizontal="center" vertical="center"/>
    </xf>
    <xf numFmtId="0" fontId="8" fillId="2" borderId="0" xfId="0" applyFont="1" applyFill="1">
      <alignment vertical="center"/>
    </xf>
    <xf numFmtId="0" fontId="9" fillId="2" borderId="0" xfId="0" applyFont="1" applyFill="1">
      <alignment vertical="center"/>
    </xf>
    <xf numFmtId="0" fontId="9" fillId="2" borderId="14" xfId="0" applyFont="1" applyFill="1" applyBorder="1">
      <alignment vertical="center"/>
    </xf>
    <xf numFmtId="0" fontId="8" fillId="2" borderId="19" xfId="0" applyFont="1" applyFill="1" applyBorder="1" applyAlignment="1">
      <alignment horizontal="left" vertical="center"/>
    </xf>
    <xf numFmtId="0" fontId="8" fillId="2" borderId="5" xfId="0" applyFont="1" applyFill="1" applyBorder="1" applyAlignment="1">
      <alignment vertical="center" wrapText="1"/>
    </xf>
    <xf numFmtId="0" fontId="2" fillId="2" borderId="4" xfId="0" applyFont="1" applyFill="1" applyBorder="1">
      <alignment vertical="center"/>
    </xf>
    <xf numFmtId="41" fontId="2" fillId="2" borderId="0" xfId="0" applyNumberFormat="1" applyFont="1" applyFill="1" applyAlignment="1">
      <alignment horizontal="center" vertical="center"/>
    </xf>
    <xf numFmtId="0" fontId="2" fillId="2" borderId="0" xfId="0" applyFont="1" applyFill="1">
      <alignment vertical="center"/>
    </xf>
    <xf numFmtId="41" fontId="2" fillId="2" borderId="19" xfId="0" applyNumberFormat="1" applyFont="1" applyFill="1" applyBorder="1" applyAlignment="1">
      <alignment horizontal="center" vertical="center"/>
    </xf>
    <xf numFmtId="0" fontId="2" fillId="2" borderId="19" xfId="0" applyFont="1" applyFill="1" applyBorder="1" applyAlignment="1">
      <alignment horizontal="left" vertical="center"/>
    </xf>
    <xf numFmtId="0" fontId="3" fillId="2" borderId="4" xfId="0" applyFont="1" applyFill="1" applyBorder="1">
      <alignment vertical="center"/>
    </xf>
    <xf numFmtId="41" fontId="2" fillId="2" borderId="14" xfId="0" applyNumberFormat="1" applyFont="1" applyFill="1" applyBorder="1" applyAlignment="1">
      <alignment horizontal="center" vertical="center"/>
    </xf>
    <xf numFmtId="41" fontId="2" fillId="2" borderId="23" xfId="0" applyNumberFormat="1" applyFont="1" applyFill="1" applyBorder="1" applyAlignment="1">
      <alignment horizontal="center" vertical="center"/>
    </xf>
    <xf numFmtId="41" fontId="2" fillId="2" borderId="24" xfId="0" applyNumberFormat="1" applyFont="1" applyFill="1" applyBorder="1" applyAlignment="1">
      <alignment horizontal="center" vertical="center"/>
    </xf>
    <xf numFmtId="165" fontId="2" fillId="2" borderId="0" xfId="0" applyNumberFormat="1" applyFont="1" applyFill="1" applyAlignment="1">
      <alignment horizontal="center" vertical="center"/>
    </xf>
    <xf numFmtId="0" fontId="2" fillId="2" borderId="0" xfId="0" applyFont="1" applyFill="1" applyAlignment="1">
      <alignment horizontal="center" vertical="center"/>
    </xf>
    <xf numFmtId="166" fontId="2" fillId="2" borderId="0" xfId="0" applyNumberFormat="1" applyFont="1" applyFill="1" applyAlignment="1">
      <alignment horizontal="center" vertical="center"/>
    </xf>
    <xf numFmtId="0" fontId="2" fillId="2" borderId="0" xfId="0" applyFont="1" applyFill="1" applyAlignment="1">
      <alignment vertical="center" wrapText="1"/>
    </xf>
    <xf numFmtId="0" fontId="12" fillId="2" borderId="26" xfId="0" applyFont="1" applyFill="1" applyBorder="1" applyAlignment="1">
      <alignment horizontal="center" vertical="center"/>
    </xf>
    <xf numFmtId="164" fontId="2" fillId="0" borderId="21" xfId="1" applyNumberFormat="1" applyFont="1" applyBorder="1" applyAlignment="1">
      <alignment horizontal="center" vertical="center"/>
    </xf>
    <xf numFmtId="164" fontId="2" fillId="0" borderId="26" xfId="1" applyNumberFormat="1" applyFont="1" applyBorder="1" applyAlignment="1">
      <alignment horizontal="center" vertical="center" wrapText="1"/>
    </xf>
    <xf numFmtId="164" fontId="2" fillId="0" borderId="23" xfId="1" applyNumberFormat="1" applyFont="1" applyBorder="1" applyAlignment="1">
      <alignment horizontal="center" vertical="center"/>
    </xf>
    <xf numFmtId="164" fontId="2" fillId="0" borderId="19" xfId="1" applyNumberFormat="1" applyFont="1" applyBorder="1" applyAlignment="1">
      <alignment horizontal="center" vertical="center"/>
    </xf>
    <xf numFmtId="164" fontId="2" fillId="0" borderId="24" xfId="1" applyNumberFormat="1" applyFont="1" applyBorder="1" applyAlignment="1">
      <alignment horizontal="center" vertical="center"/>
    </xf>
    <xf numFmtId="164" fontId="2" fillId="2" borderId="23" xfId="1" applyNumberFormat="1" applyFont="1" applyFill="1" applyBorder="1" applyAlignment="1">
      <alignment horizontal="center" vertical="center"/>
    </xf>
    <xf numFmtId="164" fontId="2" fillId="2" borderId="24" xfId="1" applyNumberFormat="1" applyFont="1" applyFill="1" applyBorder="1" applyAlignment="1">
      <alignment horizontal="center" vertical="center"/>
    </xf>
    <xf numFmtId="164" fontId="2" fillId="0" borderId="22" xfId="1" applyNumberFormat="1" applyFont="1" applyBorder="1" applyAlignment="1">
      <alignment horizontal="center" vertical="center"/>
    </xf>
    <xf numFmtId="164" fontId="3" fillId="0" borderId="26" xfId="1" applyNumberFormat="1" applyFont="1" applyBorder="1" applyAlignment="1">
      <alignment horizontal="center" vertical="center"/>
    </xf>
    <xf numFmtId="164" fontId="3" fillId="0" borderId="29" xfId="1" applyNumberFormat="1" applyFont="1" applyBorder="1" applyAlignment="1">
      <alignment horizontal="center" vertical="center"/>
    </xf>
    <xf numFmtId="0" fontId="2" fillId="2" borderId="26" xfId="0" applyFont="1" applyFill="1" applyBorder="1" applyAlignment="1">
      <alignment horizontal="center" vertical="center"/>
    </xf>
    <xf numFmtId="0" fontId="2" fillId="2" borderId="26" xfId="0" applyFont="1" applyFill="1" applyBorder="1" applyAlignment="1">
      <alignment horizontal="center" vertical="center" wrapText="1"/>
    </xf>
    <xf numFmtId="0" fontId="12" fillId="2" borderId="15" xfId="0" applyFont="1" applyFill="1" applyBorder="1" applyAlignment="1">
      <alignment horizontal="center" vertical="center" wrapText="1"/>
    </xf>
    <xf numFmtId="37" fontId="37" fillId="2" borderId="0" xfId="6" applyNumberFormat="1" applyFont="1" applyFill="1" applyAlignment="1">
      <alignment vertical="top" wrapText="1"/>
    </xf>
    <xf numFmtId="0" fontId="38" fillId="2" borderId="0" xfId="0" applyFont="1" applyFill="1" applyAlignment="1">
      <alignment vertical="top" wrapText="1"/>
    </xf>
    <xf numFmtId="0" fontId="38" fillId="2" borderId="14" xfId="0" applyFont="1" applyFill="1" applyBorder="1" applyAlignment="1">
      <alignment vertical="top" wrapText="1"/>
    </xf>
    <xf numFmtId="0" fontId="28" fillId="2" borderId="0" xfId="6" applyFont="1" applyFill="1" applyAlignment="1">
      <alignment horizontal="left" vertical="center" indent="2"/>
    </xf>
    <xf numFmtId="0" fontId="30" fillId="2" borderId="0" xfId="6" applyFont="1" applyFill="1" applyAlignment="1">
      <alignment horizontal="center" vertical="top"/>
    </xf>
    <xf numFmtId="170" fontId="28" fillId="2" borderId="0" xfId="6" applyNumberFormat="1" applyFont="1" applyFill="1" applyAlignment="1">
      <alignment horizontal="left" vertical="top"/>
    </xf>
    <xf numFmtId="171" fontId="28" fillId="2" borderId="0" xfId="6" applyNumberFormat="1" applyFont="1" applyFill="1" applyAlignment="1">
      <alignment horizontal="left" vertical="center" indent="2"/>
    </xf>
    <xf numFmtId="167" fontId="28" fillId="2" borderId="0" xfId="1" applyNumberFormat="1" applyFont="1" applyFill="1" applyBorder="1" applyAlignment="1">
      <alignment vertical="top"/>
    </xf>
    <xf numFmtId="41" fontId="28" fillId="2" borderId="0" xfId="1" applyFont="1" applyFill="1" applyBorder="1" applyAlignment="1">
      <alignment horizontal="left" vertical="top"/>
    </xf>
    <xf numFmtId="41" fontId="28" fillId="2" borderId="0" xfId="1" applyFont="1" applyFill="1" applyBorder="1" applyAlignment="1">
      <alignment vertical="top"/>
    </xf>
    <xf numFmtId="0" fontId="28" fillId="2" borderId="14" xfId="6" applyFont="1" applyFill="1" applyBorder="1" applyAlignment="1">
      <alignment vertical="top"/>
    </xf>
    <xf numFmtId="0" fontId="28" fillId="2" borderId="0" xfId="6" applyFont="1" applyFill="1" applyAlignment="1">
      <alignment horizontal="left" vertical="top"/>
    </xf>
    <xf numFmtId="172" fontId="28" fillId="2" borderId="14" xfId="6" applyNumberFormat="1" applyFont="1" applyFill="1" applyBorder="1" applyAlignment="1">
      <alignment vertical="top"/>
    </xf>
    <xf numFmtId="49" fontId="28" fillId="2" borderId="0" xfId="1" applyNumberFormat="1" applyFont="1" applyFill="1" applyBorder="1" applyAlignment="1">
      <alignment horizontal="left" vertical="top"/>
    </xf>
    <xf numFmtId="164" fontId="28" fillId="2" borderId="0" xfId="1" applyNumberFormat="1" applyFont="1" applyFill="1" applyBorder="1" applyAlignment="1">
      <alignment vertical="top"/>
    </xf>
    <xf numFmtId="49" fontId="28" fillId="2" borderId="14" xfId="6" applyNumberFormat="1" applyFont="1" applyFill="1" applyBorder="1" applyAlignment="1">
      <alignment horizontal="left" vertical="top"/>
    </xf>
    <xf numFmtId="41" fontId="8" fillId="2" borderId="5" xfId="0" applyNumberFormat="1" applyFont="1" applyFill="1" applyBorder="1" applyAlignment="1">
      <alignment vertical="center" wrapText="1"/>
    </xf>
    <xf numFmtId="43" fontId="58" fillId="0" borderId="0" xfId="0" applyNumberFormat="1" applyFont="1">
      <alignment vertical="center"/>
    </xf>
    <xf numFmtId="0" fontId="28" fillId="2" borderId="0" xfId="6" applyFont="1" applyFill="1" applyAlignment="1">
      <alignment horizontal="center" vertical="top" wrapText="1"/>
    </xf>
    <xf numFmtId="37" fontId="59" fillId="2" borderId="0" xfId="6" applyNumberFormat="1" applyFont="1" applyFill="1" applyAlignment="1">
      <alignment vertical="top" wrapText="1"/>
    </xf>
    <xf numFmtId="0" fontId="60" fillId="2" borderId="0" xfId="0" applyFont="1" applyFill="1" applyAlignment="1">
      <alignment vertical="top" wrapText="1"/>
    </xf>
    <xf numFmtId="0" fontId="60" fillId="2" borderId="14" xfId="0" applyFont="1" applyFill="1" applyBorder="1" applyAlignment="1">
      <alignment vertical="top" wrapText="1"/>
    </xf>
    <xf numFmtId="37" fontId="28" fillId="2" borderId="0" xfId="6" applyNumberFormat="1" applyFont="1" applyFill="1" applyAlignment="1">
      <alignment vertical="top" wrapText="1"/>
    </xf>
    <xf numFmtId="0" fontId="57" fillId="2" borderId="0" xfId="0" applyFont="1" applyFill="1" applyAlignment="1">
      <alignment vertical="top" wrapText="1"/>
    </xf>
    <xf numFmtId="0" fontId="57" fillId="2" borderId="14" xfId="0" applyFont="1" applyFill="1" applyBorder="1" applyAlignment="1">
      <alignment vertical="top" wrapText="1"/>
    </xf>
    <xf numFmtId="0" fontId="28" fillId="2" borderId="0" xfId="1" applyNumberFormat="1" applyFont="1" applyFill="1" applyBorder="1" applyAlignment="1">
      <alignment vertical="top"/>
    </xf>
    <xf numFmtId="164" fontId="2" fillId="0" borderId="26" xfId="1" applyNumberFormat="1" applyFont="1" applyFill="1" applyBorder="1" applyAlignment="1">
      <alignment horizontal="center" vertical="center" wrapText="1"/>
    </xf>
    <xf numFmtId="2" fontId="2" fillId="0" borderId="26" xfId="0" applyNumberFormat="1" applyFont="1" applyBorder="1" applyAlignment="1">
      <alignment horizontal="center" vertical="center" wrapText="1"/>
    </xf>
    <xf numFmtId="37" fontId="47" fillId="2" borderId="0" xfId="0" applyNumberFormat="1" applyFont="1" applyFill="1">
      <alignment vertical="center"/>
    </xf>
    <xf numFmtId="0" fontId="21" fillId="2" borderId="0" xfId="0" applyFont="1" applyFill="1" applyAlignment="1">
      <alignment vertical="center" wrapText="1"/>
    </xf>
    <xf numFmtId="172" fontId="21" fillId="2" borderId="0" xfId="1" applyNumberFormat="1" applyFont="1" applyFill="1">
      <alignment vertical="center"/>
    </xf>
    <xf numFmtId="0" fontId="21" fillId="2" borderId="0" xfId="0" applyFont="1" applyFill="1" applyAlignment="1">
      <alignment horizontal="center" vertical="center"/>
    </xf>
    <xf numFmtId="172" fontId="48" fillId="2" borderId="21" xfId="1" applyNumberFormat="1" applyFont="1" applyFill="1" applyBorder="1" applyAlignment="1">
      <alignment horizontal="center" vertical="center" wrapText="1"/>
    </xf>
    <xf numFmtId="0" fontId="48" fillId="2" borderId="21" xfId="0" applyFont="1" applyFill="1" applyBorder="1" applyAlignment="1">
      <alignment horizontal="center" vertical="center" wrapText="1"/>
    </xf>
    <xf numFmtId="0" fontId="48" fillId="2" borderId="26" xfId="10" applyFont="1" applyFill="1" applyBorder="1" applyAlignment="1">
      <alignment horizontal="center" vertical="center"/>
    </xf>
    <xf numFmtId="0" fontId="48" fillId="2" borderId="26" xfId="0" applyFont="1" applyFill="1" applyBorder="1" applyAlignment="1">
      <alignment horizontal="center" vertical="center" wrapText="1"/>
    </xf>
    <xf numFmtId="41" fontId="48" fillId="2" borderId="26" xfId="1" applyFont="1" applyFill="1" applyBorder="1" applyAlignment="1">
      <alignment horizontal="center" vertical="center"/>
    </xf>
    <xf numFmtId="0" fontId="48" fillId="2" borderId="26" xfId="0" applyFont="1" applyFill="1" applyBorder="1" applyAlignment="1">
      <alignment horizontal="center" vertical="center"/>
    </xf>
    <xf numFmtId="0" fontId="12" fillId="0" borderId="21" xfId="0" quotePrefix="1" applyFont="1" applyBorder="1" applyAlignment="1">
      <alignment horizontal="center" vertical="center"/>
    </xf>
    <xf numFmtId="2" fontId="2" fillId="2" borderId="0" xfId="0" applyNumberFormat="1" applyFont="1" applyFill="1">
      <alignment vertical="center"/>
    </xf>
    <xf numFmtId="41" fontId="2" fillId="2" borderId="23" xfId="0" applyNumberFormat="1" applyFont="1" applyFill="1" applyBorder="1" applyAlignment="1">
      <alignment horizontal="center" vertical="center" wrapText="1"/>
    </xf>
    <xf numFmtId="0" fontId="12" fillId="2" borderId="0" xfId="0" applyFont="1" applyFill="1" applyAlignment="1">
      <alignment horizontal="left" vertical="center"/>
    </xf>
    <xf numFmtId="0" fontId="12" fillId="2" borderId="0" xfId="0" applyFont="1" applyFill="1">
      <alignment vertical="center"/>
    </xf>
    <xf numFmtId="0" fontId="14" fillId="2" borderId="0" xfId="0" applyFont="1" applyFill="1" applyAlignment="1">
      <alignment horizontal="left" vertical="center"/>
    </xf>
    <xf numFmtId="164" fontId="12" fillId="0" borderId="0" xfId="1" applyNumberFormat="1" applyFont="1">
      <alignment vertical="center"/>
    </xf>
    <xf numFmtId="164" fontId="12" fillId="0" borderId="0" xfId="0" applyNumberFormat="1" applyFont="1">
      <alignment vertical="center"/>
    </xf>
    <xf numFmtId="0" fontId="61" fillId="0" borderId="0" xfId="0" applyFont="1">
      <alignment vertical="center"/>
    </xf>
    <xf numFmtId="0" fontId="12" fillId="3" borderId="28" xfId="0" applyFont="1" applyFill="1" applyBorder="1" applyAlignment="1">
      <alignment horizontal="center" vertical="center" wrapText="1"/>
    </xf>
    <xf numFmtId="0" fontId="12" fillId="3" borderId="21" xfId="0" applyFont="1" applyFill="1" applyBorder="1" applyAlignment="1">
      <alignment horizontal="center" vertical="center"/>
    </xf>
    <xf numFmtId="41" fontId="12" fillId="3" borderId="26" xfId="0" quotePrefix="1" applyNumberFormat="1" applyFont="1" applyFill="1" applyBorder="1" applyAlignment="1">
      <alignment horizontal="center" vertical="center"/>
    </xf>
    <xf numFmtId="0" fontId="12" fillId="3" borderId="26" xfId="0" quotePrefix="1" applyFont="1" applyFill="1" applyBorder="1" applyAlignment="1">
      <alignment horizontal="center" vertical="center"/>
    </xf>
    <xf numFmtId="177" fontId="12" fillId="3" borderId="26" xfId="1" applyNumberFormat="1" applyFont="1" applyFill="1" applyBorder="1" applyAlignment="1">
      <alignment horizontal="center" vertical="center"/>
    </xf>
    <xf numFmtId="164" fontId="12" fillId="3" borderId="26" xfId="1" applyNumberFormat="1" applyFont="1" applyFill="1" applyBorder="1" applyAlignment="1">
      <alignment horizontal="center" vertical="center"/>
    </xf>
    <xf numFmtId="0" fontId="0" fillId="0" borderId="0" xfId="0" applyAlignment="1">
      <alignment horizontal="center" vertical="center"/>
    </xf>
    <xf numFmtId="0" fontId="12" fillId="0" borderId="25" xfId="0" applyFont="1" applyBorder="1" applyAlignment="1">
      <alignment horizontal="center" vertical="center" wrapText="1"/>
    </xf>
    <xf numFmtId="0" fontId="0" fillId="3" borderId="0" xfId="0" applyFill="1" applyAlignment="1">
      <alignment horizontal="center" vertical="center"/>
    </xf>
    <xf numFmtId="0" fontId="12" fillId="3" borderId="0" xfId="0" applyFont="1" applyFill="1" applyAlignment="1">
      <alignment horizontal="center" vertical="center"/>
    </xf>
    <xf numFmtId="0" fontId="12" fillId="3" borderId="10" xfId="0" applyFont="1" applyFill="1" applyBorder="1">
      <alignment vertical="center"/>
    </xf>
    <xf numFmtId="0" fontId="12" fillId="3" borderId="7" xfId="0" applyFont="1" applyFill="1" applyBorder="1" applyAlignment="1">
      <alignment horizontal="center" vertical="center"/>
    </xf>
    <xf numFmtId="177" fontId="12" fillId="4" borderId="26" xfId="1" applyNumberFormat="1" applyFont="1" applyFill="1" applyBorder="1" applyAlignment="1">
      <alignment horizontal="center" vertical="center"/>
    </xf>
    <xf numFmtId="2" fontId="12" fillId="0" borderId="0" xfId="0" applyNumberFormat="1" applyFont="1">
      <alignment vertical="center"/>
    </xf>
    <xf numFmtId="0" fontId="12" fillId="0" borderId="26" xfId="0" applyFont="1" applyBorder="1" applyAlignment="1">
      <alignment horizontal="center" vertical="center"/>
    </xf>
    <xf numFmtId="0" fontId="14" fillId="0" borderId="25" xfId="0" applyFont="1" applyBorder="1" applyAlignment="1">
      <alignment horizontal="center" vertical="center" wrapText="1"/>
    </xf>
    <xf numFmtId="0" fontId="14" fillId="0" borderId="21" xfId="0" applyFont="1" applyBorder="1" applyAlignment="1">
      <alignment horizontal="center" vertical="center" wrapText="1"/>
    </xf>
    <xf numFmtId="0" fontId="12" fillId="3" borderId="30" xfId="4" applyFont="1" applyFill="1" applyBorder="1" applyAlignment="1">
      <alignment horizontal="center" vertical="center"/>
    </xf>
    <xf numFmtId="0" fontId="12" fillId="3" borderId="28" xfId="4" applyFont="1" applyFill="1" applyBorder="1" applyAlignment="1">
      <alignment horizontal="center" vertical="center"/>
    </xf>
    <xf numFmtId="0" fontId="12" fillId="3" borderId="31" xfId="4" applyFont="1" applyFill="1" applyBorder="1" applyAlignment="1">
      <alignment horizontal="center" vertical="center"/>
    </xf>
    <xf numFmtId="0" fontId="12" fillId="4" borderId="30" xfId="4" applyFont="1" applyFill="1" applyBorder="1" applyAlignment="1">
      <alignment horizontal="center" vertical="center"/>
    </xf>
    <xf numFmtId="0" fontId="12" fillId="4" borderId="28" xfId="4" applyFont="1" applyFill="1" applyBorder="1" applyAlignment="1">
      <alignment horizontal="center" vertical="center"/>
    </xf>
    <xf numFmtId="0" fontId="12" fillId="4" borderId="31" xfId="4" applyFont="1" applyFill="1" applyBorder="1" applyAlignment="1">
      <alignment horizontal="center" vertical="center"/>
    </xf>
    <xf numFmtId="0" fontId="14" fillId="0" borderId="25" xfId="0" applyFont="1" applyBorder="1" applyAlignment="1">
      <alignment horizontal="center" vertical="center"/>
    </xf>
    <xf numFmtId="0" fontId="14" fillId="0" borderId="21" xfId="0" applyFont="1" applyBorder="1" applyAlignment="1">
      <alignment horizontal="center" vertical="center"/>
    </xf>
    <xf numFmtId="0" fontId="14" fillId="0" borderId="12" xfId="0" applyFont="1" applyBorder="1" applyAlignment="1">
      <alignment horizontal="center" vertical="center"/>
    </xf>
    <xf numFmtId="0" fontId="14" fillId="0" borderId="15" xfId="0" applyFont="1" applyBorder="1" applyAlignment="1">
      <alignment horizontal="center" vertical="center"/>
    </xf>
    <xf numFmtId="0" fontId="19" fillId="0" borderId="0" xfId="0" applyFont="1" applyAlignment="1">
      <alignment horizontal="center" vertical="center"/>
    </xf>
    <xf numFmtId="0" fontId="12" fillId="0" borderId="0" xfId="0" applyFont="1" applyAlignment="1">
      <alignment horizontal="left" vertical="center" wrapText="1"/>
    </xf>
    <xf numFmtId="0" fontId="19" fillId="0" borderId="33" xfId="0" applyFont="1" applyBorder="1" applyAlignment="1">
      <alignment horizontal="center" vertical="center"/>
    </xf>
    <xf numFmtId="0" fontId="19" fillId="0" borderId="34" xfId="0" applyFont="1" applyBorder="1" applyAlignment="1">
      <alignment horizontal="center" vertical="center"/>
    </xf>
    <xf numFmtId="0" fontId="19" fillId="0" borderId="35" xfId="0" applyFont="1" applyBorder="1" applyAlignment="1">
      <alignment horizontal="center" vertical="center"/>
    </xf>
    <xf numFmtId="0" fontId="14" fillId="0" borderId="10" xfId="0" applyFont="1" applyBorder="1" applyAlignment="1">
      <alignment horizontal="center" vertical="center"/>
    </xf>
    <xf numFmtId="0" fontId="14" fillId="0" borderId="7"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28" xfId="0" applyFont="1" applyBorder="1" applyAlignment="1">
      <alignment horizontal="center" vertical="center"/>
    </xf>
    <xf numFmtId="0" fontId="36" fillId="0" borderId="0" xfId="0" applyFont="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10" fillId="0" borderId="12" xfId="0" applyFont="1" applyBorder="1" applyAlignment="1">
      <alignment horizontal="center" vertical="center"/>
    </xf>
    <xf numFmtId="0" fontId="10" fillId="0" borderId="10" xfId="0" applyFont="1" applyBorder="1" applyAlignment="1">
      <alignment horizontal="center" vertical="center"/>
    </xf>
    <xf numFmtId="0" fontId="10" fillId="0" borderId="13" xfId="0" applyFont="1" applyBorder="1" applyAlignment="1">
      <alignment horizontal="center" vertical="center"/>
    </xf>
    <xf numFmtId="0" fontId="18" fillId="0" borderId="0" xfId="2" applyFont="1" applyAlignment="1">
      <alignment vertical="top" wrapText="1"/>
    </xf>
    <xf numFmtId="0" fontId="39" fillId="0" borderId="0" xfId="0" applyFont="1" applyAlignment="1">
      <alignment vertical="top"/>
    </xf>
    <xf numFmtId="0" fontId="39" fillId="0" borderId="14" xfId="0" applyFont="1" applyBorder="1" applyAlignment="1">
      <alignment vertical="top"/>
    </xf>
    <xf numFmtId="0" fontId="39" fillId="0" borderId="7" xfId="0" applyFont="1" applyBorder="1" applyAlignment="1">
      <alignment vertical="top"/>
    </xf>
    <xf numFmtId="0" fontId="39" fillId="0" borderId="20" xfId="0" applyFont="1" applyBorder="1" applyAlignment="1">
      <alignment vertical="top"/>
    </xf>
    <xf numFmtId="41" fontId="42" fillId="0" borderId="1" xfId="0" applyNumberFormat="1" applyFont="1" applyBorder="1" applyAlignment="1">
      <alignment horizontal="center" vertical="center"/>
    </xf>
    <xf numFmtId="41" fontId="42" fillId="0" borderId="2" xfId="0" applyNumberFormat="1" applyFont="1" applyBorder="1" applyAlignment="1">
      <alignment horizontal="center" vertical="center"/>
    </xf>
    <xf numFmtId="41" fontId="42" fillId="0" borderId="3" xfId="0" applyNumberFormat="1" applyFont="1" applyBorder="1" applyAlignment="1">
      <alignment horizontal="center" vertical="center"/>
    </xf>
    <xf numFmtId="41" fontId="42" fillId="0" borderId="4" xfId="0" applyNumberFormat="1" applyFont="1" applyBorder="1" applyAlignment="1">
      <alignment horizontal="center" vertical="center"/>
    </xf>
    <xf numFmtId="41" fontId="42" fillId="0" borderId="0" xfId="0" applyNumberFormat="1" applyFont="1" applyAlignment="1">
      <alignment horizontal="center" vertical="center"/>
    </xf>
    <xf numFmtId="41" fontId="42" fillId="0" borderId="5" xfId="0" applyNumberFormat="1" applyFont="1" applyBorder="1" applyAlignment="1">
      <alignment horizontal="center" vertical="center"/>
    </xf>
    <xf numFmtId="41" fontId="42" fillId="0" borderId="16" xfId="0" applyNumberFormat="1" applyFont="1" applyBorder="1" applyAlignment="1">
      <alignment horizontal="center" vertical="center"/>
    </xf>
    <xf numFmtId="41" fontId="42" fillId="0" borderId="17" xfId="0" applyNumberFormat="1" applyFont="1" applyBorder="1" applyAlignment="1">
      <alignment horizontal="center" vertical="center"/>
    </xf>
    <xf numFmtId="41" fontId="42" fillId="0" borderId="18" xfId="0" applyNumberFormat="1" applyFont="1" applyBorder="1" applyAlignment="1">
      <alignment horizontal="center" vertical="center"/>
    </xf>
    <xf numFmtId="0" fontId="2" fillId="0" borderId="0" xfId="0" applyFont="1" applyAlignment="1">
      <alignment horizontal="left" vertical="center"/>
    </xf>
    <xf numFmtId="0" fontId="2" fillId="0" borderId="5" xfId="0" applyFont="1" applyBorder="1" applyAlignment="1">
      <alignment horizontal="left" vertical="center"/>
    </xf>
    <xf numFmtId="37" fontId="8" fillId="2" borderId="0" xfId="0" applyNumberFormat="1" applyFont="1" applyFill="1" applyAlignment="1">
      <alignment horizontal="left" vertical="center" wrapText="1"/>
    </xf>
    <xf numFmtId="0" fontId="8" fillId="2" borderId="0" xfId="0" applyFont="1" applyFill="1" applyAlignment="1">
      <alignment horizontal="left" vertical="center" wrapText="1"/>
    </xf>
    <xf numFmtId="0" fontId="8" fillId="2" borderId="5" xfId="0" applyFont="1" applyFill="1" applyBorder="1" applyAlignment="1">
      <alignment horizontal="left" vertical="center" wrapText="1"/>
    </xf>
    <xf numFmtId="41" fontId="8" fillId="2" borderId="0" xfId="0" applyNumberFormat="1" applyFont="1" applyFill="1" applyAlignment="1">
      <alignment horizontal="left" vertical="center" wrapText="1"/>
    </xf>
    <xf numFmtId="41" fontId="8" fillId="2" borderId="5" xfId="0" applyNumberFormat="1" applyFont="1" applyFill="1" applyBorder="1" applyAlignment="1">
      <alignment horizontal="left" vertical="center" wrapText="1"/>
    </xf>
    <xf numFmtId="0" fontId="3" fillId="0" borderId="0" xfId="0" applyFont="1" applyAlignment="1">
      <alignment vertical="top" wrapText="1"/>
    </xf>
    <xf numFmtId="0" fontId="3" fillId="0" borderId="5" xfId="0" applyFont="1" applyBorder="1" applyAlignment="1">
      <alignment vertical="top" wrapText="1"/>
    </xf>
    <xf numFmtId="0" fontId="3" fillId="0" borderId="7" xfId="0" applyFont="1" applyBorder="1" applyAlignment="1">
      <alignment vertical="top" wrapText="1"/>
    </xf>
    <xf numFmtId="0" fontId="3" fillId="0" borderId="8" xfId="0" applyFont="1" applyBorder="1" applyAlignment="1">
      <alignment vertical="top" wrapText="1"/>
    </xf>
    <xf numFmtId="0" fontId="2" fillId="2" borderId="0" xfId="0" applyFont="1" applyFill="1" applyAlignment="1">
      <alignment vertical="top" wrapText="1"/>
    </xf>
    <xf numFmtId="0" fontId="26" fillId="2" borderId="0" xfId="0" applyFont="1" applyFill="1" applyAlignment="1">
      <alignment vertical="top"/>
    </xf>
    <xf numFmtId="0" fontId="26" fillId="2" borderId="14" xfId="0" applyFont="1" applyFill="1" applyBorder="1" applyAlignment="1">
      <alignment vertical="top"/>
    </xf>
    <xf numFmtId="0" fontId="26" fillId="2" borderId="7" xfId="0" applyFont="1" applyFill="1" applyBorder="1" applyAlignment="1">
      <alignment vertical="top"/>
    </xf>
    <xf numFmtId="0" fontId="26" fillId="2" borderId="20" xfId="0" applyFont="1" applyFill="1" applyBorder="1" applyAlignment="1">
      <alignment vertical="top"/>
    </xf>
    <xf numFmtId="41" fontId="2" fillId="2" borderId="10" xfId="0" applyNumberFormat="1" applyFont="1" applyFill="1" applyBorder="1" applyAlignment="1">
      <alignment horizontal="center" vertical="center"/>
    </xf>
    <xf numFmtId="41" fontId="2" fillId="0" borderId="0" xfId="0" applyNumberFormat="1" applyFont="1" applyAlignment="1">
      <alignment horizontal="left" vertical="center" wrapText="1"/>
    </xf>
    <xf numFmtId="41" fontId="2" fillId="0" borderId="5" xfId="0" applyNumberFormat="1" applyFont="1" applyBorder="1" applyAlignment="1">
      <alignment horizontal="left" vertical="center" wrapText="1"/>
    </xf>
    <xf numFmtId="14" fontId="8" fillId="0" borderId="7" xfId="3" applyNumberFormat="1" applyFont="1" applyBorder="1" applyAlignment="1">
      <alignment horizontal="left" vertical="center"/>
    </xf>
    <xf numFmtId="14" fontId="8" fillId="0" borderId="20" xfId="3" applyNumberFormat="1" applyFont="1" applyBorder="1" applyAlignment="1">
      <alignment horizontal="left" vertical="center"/>
    </xf>
    <xf numFmtId="0" fontId="3" fillId="0" borderId="10" xfId="0" applyFont="1" applyBorder="1" applyAlignment="1">
      <alignment horizontal="center" vertical="center"/>
    </xf>
    <xf numFmtId="0" fontId="3" fillId="0" borderId="7" xfId="0" applyFont="1" applyBorder="1" applyAlignment="1">
      <alignment horizontal="center" vertical="center"/>
    </xf>
    <xf numFmtId="15" fontId="2" fillId="2" borderId="7" xfId="3" applyNumberFormat="1" applyFont="1" applyFill="1" applyBorder="1" applyAlignment="1">
      <alignment horizontal="left" vertical="center"/>
    </xf>
    <xf numFmtId="15" fontId="2" fillId="2" borderId="20" xfId="3" applyNumberFormat="1" applyFont="1" applyFill="1" applyBorder="1" applyAlignment="1">
      <alignment horizontal="left" vertical="center"/>
    </xf>
    <xf numFmtId="0" fontId="2" fillId="0" borderId="7" xfId="0" applyFont="1" applyBorder="1" applyAlignment="1">
      <alignment horizontal="left" vertical="center" wrapText="1"/>
    </xf>
    <xf numFmtId="0" fontId="2" fillId="0" borderId="20" xfId="0" applyFont="1" applyBorder="1" applyAlignment="1">
      <alignment horizontal="left" vertical="center" wrapText="1"/>
    </xf>
    <xf numFmtId="0" fontId="3" fillId="0" borderId="6" xfId="0" applyFont="1" applyBorder="1" applyAlignment="1">
      <alignment horizontal="center" vertical="center"/>
    </xf>
    <xf numFmtId="0" fontId="3" fillId="0" borderId="20" xfId="0" applyFont="1" applyBorder="1" applyAlignment="1">
      <alignment horizontal="center" vertical="center"/>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11" fillId="2" borderId="0" xfId="0" applyFont="1" applyFill="1" applyAlignment="1">
      <alignment horizontal="center" vertical="center" wrapText="1"/>
    </xf>
    <xf numFmtId="0" fontId="11" fillId="2" borderId="14" xfId="0" applyFont="1" applyFill="1" applyBorder="1" applyAlignment="1">
      <alignment horizontal="center" vertical="center" wrapText="1"/>
    </xf>
    <xf numFmtId="15" fontId="12" fillId="0" borderId="0" xfId="0" applyNumberFormat="1" applyFont="1" applyAlignment="1">
      <alignment horizontal="center" vertical="center"/>
    </xf>
    <xf numFmtId="0" fontId="0" fillId="0" borderId="0" xfId="0" applyAlignment="1">
      <alignment horizontal="center" vertical="center"/>
    </xf>
    <xf numFmtId="0" fontId="12" fillId="0" borderId="25"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25" xfId="0" applyFont="1" applyBorder="1" applyAlignment="1">
      <alignment horizontal="center" vertical="center"/>
    </xf>
    <xf numFmtId="0" fontId="12" fillId="0" borderId="21" xfId="0" applyFont="1" applyBorder="1" applyAlignment="1">
      <alignment horizontal="center" vertical="center"/>
    </xf>
    <xf numFmtId="0" fontId="12" fillId="0" borderId="12" xfId="0" applyFont="1" applyBorder="1" applyAlignment="1">
      <alignment horizontal="center" vertical="center"/>
    </xf>
    <xf numFmtId="0" fontId="12" fillId="0" borderId="15" xfId="0" applyFont="1" applyBorder="1" applyAlignment="1">
      <alignment horizontal="center" vertical="center"/>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2" fillId="3" borderId="25" xfId="0" applyFont="1" applyFill="1" applyBorder="1" applyAlignment="1">
      <alignment horizontal="center" vertical="center" wrapText="1"/>
    </xf>
    <xf numFmtId="0" fontId="12" fillId="3" borderId="21" xfId="0" applyFont="1" applyFill="1" applyBorder="1" applyAlignment="1">
      <alignment horizontal="center" vertical="center" wrapText="1"/>
    </xf>
    <xf numFmtId="0" fontId="34" fillId="0" borderId="0" xfId="0" applyFont="1" applyAlignment="1">
      <alignment horizontal="left" vertical="center" wrapText="1"/>
    </xf>
    <xf numFmtId="0" fontId="36" fillId="0" borderId="0" xfId="0" applyFont="1" applyAlignment="1">
      <alignment horizontal="left" vertical="center" wrapText="1" indent="3"/>
    </xf>
    <xf numFmtId="0" fontId="0" fillId="0" borderId="0" xfId="0" applyAlignment="1">
      <alignment horizontal="left" vertical="center" wrapText="1" indent="3"/>
    </xf>
    <xf numFmtId="0" fontId="0" fillId="0" borderId="5" xfId="0" applyBorder="1" applyAlignment="1">
      <alignment horizontal="left" vertical="center" wrapText="1" indent="3"/>
    </xf>
    <xf numFmtId="41" fontId="3" fillId="0" borderId="30" xfId="0" applyNumberFormat="1" applyFont="1" applyBorder="1" applyAlignment="1">
      <alignment horizontal="center" vertical="center"/>
    </xf>
    <xf numFmtId="41" fontId="3" fillId="0" borderId="31" xfId="0" applyNumberFormat="1" applyFont="1" applyBorder="1" applyAlignment="1">
      <alignment horizontal="center" vertical="center"/>
    </xf>
    <xf numFmtId="41" fontId="8" fillId="0" borderId="0" xfId="0" applyNumberFormat="1" applyFont="1" applyAlignment="1">
      <alignment horizontal="left" vertical="center" wrapText="1"/>
    </xf>
    <xf numFmtId="41" fontId="8" fillId="0" borderId="5" xfId="0" applyNumberFormat="1" applyFont="1" applyBorder="1" applyAlignment="1">
      <alignment horizontal="left" vertical="center" wrapText="1"/>
    </xf>
    <xf numFmtId="41" fontId="15" fillId="0" borderId="0" xfId="0" applyNumberFormat="1" applyFont="1" applyAlignment="1">
      <alignment horizontal="left" vertical="center" wrapText="1"/>
    </xf>
    <xf numFmtId="41" fontId="15" fillId="0" borderId="5" xfId="0" applyNumberFormat="1" applyFont="1" applyBorder="1" applyAlignment="1">
      <alignment horizontal="left" vertical="center" wrapText="1"/>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16" fillId="2" borderId="10" xfId="0" applyFont="1" applyFill="1" applyBorder="1" applyAlignment="1">
      <alignment horizontal="center" vertical="center" wrapText="1"/>
    </xf>
    <xf numFmtId="0" fontId="16" fillId="2" borderId="11" xfId="0" applyFont="1" applyFill="1" applyBorder="1" applyAlignment="1">
      <alignment horizontal="center" vertical="center" wrapText="1"/>
    </xf>
    <xf numFmtId="0" fontId="9" fillId="0" borderId="0" xfId="0" applyFont="1">
      <alignment vertical="center"/>
    </xf>
    <xf numFmtId="0" fontId="9" fillId="0" borderId="5" xfId="0" applyFont="1" applyBorder="1">
      <alignment vertical="center"/>
    </xf>
    <xf numFmtId="41" fontId="8" fillId="2" borderId="0" xfId="0" applyNumberFormat="1" applyFont="1" applyFill="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center" vertical="center"/>
    </xf>
    <xf numFmtId="0" fontId="11" fillId="0" borderId="14" xfId="0" applyFont="1" applyBorder="1" applyAlignment="1">
      <alignment horizontal="center" vertical="center"/>
    </xf>
    <xf numFmtId="0" fontId="3" fillId="2" borderId="0" xfId="0" applyFont="1" applyFill="1" applyAlignment="1">
      <alignment vertical="top" wrapText="1"/>
    </xf>
    <xf numFmtId="0" fontId="41" fillId="2" borderId="0" xfId="0" applyFont="1" applyFill="1" applyAlignment="1">
      <alignment vertical="top"/>
    </xf>
    <xf numFmtId="0" fontId="41" fillId="2" borderId="5" xfId="0" applyFont="1" applyFill="1" applyBorder="1" applyAlignment="1">
      <alignment vertical="top"/>
    </xf>
    <xf numFmtId="0" fontId="41" fillId="2" borderId="7" xfId="0" applyFont="1" applyFill="1" applyBorder="1" applyAlignment="1">
      <alignment vertical="top"/>
    </xf>
    <xf numFmtId="0" fontId="41" fillId="2" borderId="8" xfId="0" applyFont="1" applyFill="1" applyBorder="1" applyAlignment="1">
      <alignment vertical="top"/>
    </xf>
    <xf numFmtId="0" fontId="18" fillId="2" borderId="0" xfId="2" applyFont="1" applyFill="1" applyAlignment="1">
      <alignment vertical="top" wrapText="1"/>
    </xf>
    <xf numFmtId="0" fontId="39" fillId="2" borderId="0" xfId="0" applyFont="1" applyFill="1" applyAlignment="1">
      <alignment vertical="top"/>
    </xf>
    <xf numFmtId="0" fontId="39" fillId="2" borderId="14" xfId="0" applyFont="1" applyFill="1" applyBorder="1" applyAlignment="1">
      <alignment vertical="top"/>
    </xf>
    <xf numFmtId="0" fontId="39" fillId="2" borderId="7" xfId="0" applyFont="1" applyFill="1" applyBorder="1" applyAlignment="1">
      <alignment vertical="top"/>
    </xf>
    <xf numFmtId="0" fontId="39" fillId="2" borderId="20" xfId="0" applyFont="1" applyFill="1" applyBorder="1" applyAlignment="1">
      <alignment vertical="top"/>
    </xf>
    <xf numFmtId="0" fontId="3" fillId="2" borderId="25"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3" fillId="0" borderId="25"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2" fillId="0" borderId="0" xfId="0" applyFont="1" applyAlignment="1">
      <alignment horizontal="left" vertical="center" wrapText="1"/>
    </xf>
    <xf numFmtId="0" fontId="4" fillId="0" borderId="33" xfId="0" applyFont="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horizontal="center" vertical="center"/>
    </xf>
    <xf numFmtId="0" fontId="3" fillId="0" borderId="25" xfId="0" applyFont="1" applyBorder="1" applyAlignment="1">
      <alignment horizontal="center" vertical="center"/>
    </xf>
    <xf numFmtId="0" fontId="3" fillId="0" borderId="21" xfId="0" applyFont="1" applyBorder="1" applyAlignment="1">
      <alignment horizontal="center" vertical="center"/>
    </xf>
    <xf numFmtId="0" fontId="3" fillId="0" borderId="12" xfId="0" applyFont="1" applyBorder="1" applyAlignment="1">
      <alignment horizontal="center" vertical="center"/>
    </xf>
    <xf numFmtId="0" fontId="3" fillId="0" borderId="15" xfId="0" applyFont="1" applyBorder="1" applyAlignment="1">
      <alignment horizontal="center" vertical="center"/>
    </xf>
    <xf numFmtId="0" fontId="28" fillId="2" borderId="0" xfId="6" applyFont="1" applyFill="1" applyAlignment="1">
      <alignment horizontal="left" vertical="top" wrapText="1"/>
    </xf>
    <xf numFmtId="0" fontId="28" fillId="2" borderId="14" xfId="6" applyFont="1" applyFill="1" applyBorder="1" applyAlignment="1">
      <alignment horizontal="left" vertical="top" wrapText="1"/>
    </xf>
    <xf numFmtId="0" fontId="28" fillId="0" borderId="0" xfId="6" applyFont="1" applyAlignment="1">
      <alignment horizontal="left" vertical="top" wrapText="1"/>
    </xf>
    <xf numFmtId="0" fontId="28" fillId="0" borderId="14" xfId="6" applyFont="1" applyBorder="1" applyAlignment="1">
      <alignment horizontal="left" vertical="top" wrapText="1"/>
    </xf>
    <xf numFmtId="0" fontId="27" fillId="0" borderId="17" xfId="6" applyFont="1" applyBorder="1" applyAlignment="1">
      <alignment horizontal="center" vertical="center"/>
    </xf>
    <xf numFmtId="0" fontId="29" fillId="0" borderId="1" xfId="6" applyFont="1" applyBorder="1" applyAlignment="1">
      <alignment horizontal="center" vertical="center" wrapText="1"/>
    </xf>
    <xf numFmtId="0" fontId="29" fillId="0" borderId="2" xfId="6" applyFont="1" applyBorder="1" applyAlignment="1">
      <alignment horizontal="center" vertical="center" wrapText="1"/>
    </xf>
    <xf numFmtId="0" fontId="29" fillId="0" borderId="3" xfId="6" applyFont="1" applyBorder="1" applyAlignment="1">
      <alignment horizontal="center" vertical="center" wrapText="1"/>
    </xf>
    <xf numFmtId="0" fontId="29" fillId="0" borderId="6" xfId="6" applyFont="1" applyBorder="1" applyAlignment="1">
      <alignment horizontal="center" vertical="center" wrapText="1"/>
    </xf>
    <xf numFmtId="0" fontId="29" fillId="0" borderId="7" xfId="6" applyFont="1" applyBorder="1" applyAlignment="1">
      <alignment horizontal="center" vertical="center" wrapText="1"/>
    </xf>
    <xf numFmtId="0" fontId="29" fillId="0" borderId="8" xfId="6" applyFont="1" applyBorder="1" applyAlignment="1">
      <alignment horizontal="center" vertical="center" wrapText="1"/>
    </xf>
    <xf numFmtId="0" fontId="28" fillId="2" borderId="10" xfId="6" applyFont="1" applyFill="1" applyBorder="1" applyAlignment="1">
      <alignment horizontal="left" vertical="top" wrapText="1"/>
    </xf>
    <xf numFmtId="0" fontId="28" fillId="2" borderId="10" xfId="6" applyFont="1" applyFill="1" applyBorder="1" applyAlignment="1">
      <alignment horizontal="left" vertical="top"/>
    </xf>
    <xf numFmtId="0" fontId="28" fillId="2" borderId="11" xfId="6" applyFont="1" applyFill="1" applyBorder="1" applyAlignment="1">
      <alignment horizontal="left" vertical="top"/>
    </xf>
    <xf numFmtId="37" fontId="59" fillId="2" borderId="0" xfId="6" applyNumberFormat="1" applyFont="1" applyFill="1" applyAlignment="1">
      <alignment horizontal="left" vertical="top" wrapText="1"/>
    </xf>
    <xf numFmtId="0" fontId="55" fillId="0" borderId="0" xfId="0" applyFont="1" applyAlignment="1">
      <alignment horizontal="center" vertical="center"/>
    </xf>
    <xf numFmtId="0" fontId="48" fillId="0" borderId="36" xfId="0" applyFont="1" applyBorder="1" applyAlignment="1">
      <alignment horizontal="center" vertical="center"/>
    </xf>
    <xf numFmtId="0" fontId="48" fillId="0" borderId="43" xfId="0" applyFont="1" applyBorder="1" applyAlignment="1">
      <alignment horizontal="center" vertical="center"/>
    </xf>
    <xf numFmtId="0" fontId="48" fillId="2" borderId="37" xfId="0" applyFont="1" applyFill="1" applyBorder="1" applyAlignment="1">
      <alignment horizontal="center" vertical="center" wrapText="1"/>
    </xf>
    <xf numFmtId="0" fontId="48" fillId="2" borderId="21" xfId="0" applyFont="1" applyFill="1" applyBorder="1" applyAlignment="1">
      <alignment horizontal="center" vertical="center" wrapText="1"/>
    </xf>
    <xf numFmtId="41" fontId="48" fillId="2" borderId="38" xfId="1" applyFont="1" applyFill="1" applyBorder="1" applyAlignment="1">
      <alignment horizontal="center" vertical="center" wrapText="1"/>
    </xf>
    <xf numFmtId="41" fontId="48" fillId="2" borderId="39" xfId="1" applyFont="1" applyFill="1" applyBorder="1" applyAlignment="1">
      <alignment horizontal="center" vertical="center" wrapText="1"/>
    </xf>
    <xf numFmtId="173" fontId="48" fillId="0" borderId="40" xfId="0" applyNumberFormat="1" applyFont="1" applyBorder="1" applyAlignment="1">
      <alignment horizontal="center" vertical="center" wrapText="1"/>
    </xf>
    <xf numFmtId="173" fontId="48" fillId="0" borderId="41" xfId="0" applyNumberFormat="1" applyFont="1" applyBorder="1" applyAlignment="1">
      <alignment horizontal="center" vertical="center" wrapText="1"/>
    </xf>
    <xf numFmtId="0" fontId="48" fillId="0" borderId="42" xfId="0" applyFont="1" applyBorder="1" applyAlignment="1">
      <alignment horizontal="center" vertical="center" wrapText="1"/>
    </xf>
    <xf numFmtId="0" fontId="48" fillId="0" borderId="22" xfId="0" applyFont="1" applyBorder="1" applyAlignment="1">
      <alignment horizontal="center" vertical="center" wrapText="1"/>
    </xf>
  </cellXfs>
  <cellStyles count="12">
    <cellStyle name="Bình thường" xfId="0" builtinId="0"/>
    <cellStyle name="Comma" xfId="11" xr:uid="{00000000-0005-0000-0000-000000000000}"/>
    <cellStyle name="Dấu phẩy [0]" xfId="1" builtinId="6"/>
    <cellStyle name="Normal 3" xfId="8" xr:uid="{00000000-0005-0000-0000-000001000000}"/>
    <cellStyle name="Siêu kết nối" xfId="9" builtinId="8"/>
    <cellStyle name="쉼표 [0] 6" xfId="5" xr:uid="{00000000-0005-0000-0000-000003000000}"/>
    <cellStyle name="표준 6" xfId="4" xr:uid="{00000000-0005-0000-0000-000005000000}"/>
    <cellStyle name="표준_080407 3항차 final packing List(r3)통합" xfId="10" xr:uid="{00000000-0005-0000-0000-000006000000}"/>
    <cellStyle name="표준_Cirebon Grating Pk'g list(서흥)_080910_final" xfId="6" xr:uid="{00000000-0005-0000-0000-000007000000}"/>
    <cellStyle name="표준_PACKINGLIST (철골_1항차)" xfId="7" xr:uid="{00000000-0005-0000-0000-000008000000}"/>
    <cellStyle name="표준_STG-PKL" xfId="3" xr:uid="{00000000-0005-0000-0000-00000A000000}"/>
    <cellStyle name="標準_Proforma PL cirebon 2" xfId="2" xr:uid="{00000000-0005-0000-0000-000009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xdr:col>
      <xdr:colOff>402</xdr:colOff>
      <xdr:row>0</xdr:row>
      <xdr:rowOff>108912</xdr:rowOff>
    </xdr:from>
    <xdr:to>
      <xdr:col>8</xdr:col>
      <xdr:colOff>455532</xdr:colOff>
      <xdr:row>3</xdr:row>
      <xdr:rowOff>57150</xdr:rowOff>
    </xdr:to>
    <xdr:sp macro="" textlink="">
      <xdr:nvSpPr>
        <xdr:cNvPr id="2" name="TextBox 1">
          <a:extLst>
            <a:ext uri="{FF2B5EF4-FFF2-40B4-BE49-F238E27FC236}">
              <a16:creationId xmlns:a16="http://schemas.microsoft.com/office/drawing/2014/main" id="{F8AEE470-DCE2-4D18-881B-F891B5EF8496}"/>
            </a:ext>
          </a:extLst>
        </xdr:cNvPr>
        <xdr:cNvSpPr txBox="1"/>
      </xdr:nvSpPr>
      <xdr:spPr>
        <a:xfrm>
          <a:off x="2415942" y="108912"/>
          <a:ext cx="5141430" cy="47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600" b="1" u="sng"/>
            <a:t>BREAK DOWN of COMMERCIAL INVOICE</a:t>
          </a:r>
          <a:endParaRPr lang="ko-KR" altLang="en-US" sz="1600" b="1" u="sng"/>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3969</xdr:rowOff>
    </xdr:from>
    <xdr:to>
      <xdr:col>2</xdr:col>
      <xdr:colOff>1503826</xdr:colOff>
      <xdr:row>1</xdr:row>
      <xdr:rowOff>282734</xdr:rowOff>
    </xdr:to>
    <xdr:pic>
      <xdr:nvPicPr>
        <xdr:cNvPr id="2" name="그림 2">
          <a:extLst>
            <a:ext uri="{FF2B5EF4-FFF2-40B4-BE49-F238E27FC236}">
              <a16:creationId xmlns:a16="http://schemas.microsoft.com/office/drawing/2014/main" id="{A8E7A8E0-A754-4482-AF74-876E703A6BF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400050" y="118269"/>
          <a:ext cx="1508271" cy="276225"/>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19</xdr:col>
      <xdr:colOff>46353</xdr:colOff>
      <xdr:row>1</xdr:row>
      <xdr:rowOff>71120</xdr:rowOff>
    </xdr:from>
    <xdr:to>
      <xdr:col>20</xdr:col>
      <xdr:colOff>475315</xdr:colOff>
      <xdr:row>2</xdr:row>
      <xdr:rowOff>36512</xdr:rowOff>
    </xdr:to>
    <xdr:pic>
      <xdr:nvPicPr>
        <xdr:cNvPr id="3" name="Picture 2">
          <a:extLst>
            <a:ext uri="{FF2B5EF4-FFF2-40B4-BE49-F238E27FC236}">
              <a16:creationId xmlns:a16="http://schemas.microsoft.com/office/drawing/2014/main" id="{92708511-8760-4245-8514-006096CE83F1}"/>
            </a:ext>
          </a:extLst>
        </xdr:cNvPr>
        <xdr:cNvPicPr>
          <a:picLocks noChangeAspect="1"/>
        </xdr:cNvPicPr>
      </xdr:nvPicPr>
      <xdr:blipFill>
        <a:blip xmlns:r="http://schemas.openxmlformats.org/officeDocument/2006/relationships" r:embed="rId2"/>
        <a:stretch>
          <a:fillRect/>
        </a:stretch>
      </xdr:blipFill>
      <xdr:spPr>
        <a:xfrm>
          <a:off x="15123793" y="182880"/>
          <a:ext cx="972522" cy="2905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0</xdr:row>
      <xdr:rowOff>181769</xdr:rowOff>
    </xdr:from>
    <xdr:to>
      <xdr:col>1</xdr:col>
      <xdr:colOff>1431436</xdr:colOff>
      <xdr:row>1</xdr:row>
      <xdr:rowOff>170022</xdr:rowOff>
    </xdr:to>
    <xdr:pic>
      <xdr:nvPicPr>
        <xdr:cNvPr id="2" name="그림 2">
          <a:extLst>
            <a:ext uri="{FF2B5EF4-FFF2-40B4-BE49-F238E27FC236}">
              <a16:creationId xmlns:a16="http://schemas.microsoft.com/office/drawing/2014/main" id="{27CA2308-17CA-4D43-B181-58F345A242B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57150" y="181769"/>
          <a:ext cx="1510811" cy="272733"/>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9</xdr:col>
      <xdr:colOff>327023</xdr:colOff>
      <xdr:row>0</xdr:row>
      <xdr:rowOff>247650</xdr:rowOff>
    </xdr:from>
    <xdr:to>
      <xdr:col>10</xdr:col>
      <xdr:colOff>650189</xdr:colOff>
      <xdr:row>2</xdr:row>
      <xdr:rowOff>20955</xdr:rowOff>
    </xdr:to>
    <xdr:pic>
      <xdr:nvPicPr>
        <xdr:cNvPr id="3" name="Picture 2">
          <a:extLst>
            <a:ext uri="{FF2B5EF4-FFF2-40B4-BE49-F238E27FC236}">
              <a16:creationId xmlns:a16="http://schemas.microsoft.com/office/drawing/2014/main" id="{C95DA5F6-69D3-43AF-BC51-61335CF238DA}"/>
            </a:ext>
          </a:extLst>
        </xdr:cNvPr>
        <xdr:cNvPicPr>
          <a:picLocks noChangeAspect="1"/>
        </xdr:cNvPicPr>
      </xdr:nvPicPr>
      <xdr:blipFill>
        <a:blip xmlns:r="http://schemas.openxmlformats.org/officeDocument/2006/relationships" r:embed="rId2"/>
        <a:stretch>
          <a:fillRect/>
        </a:stretch>
      </xdr:blipFill>
      <xdr:spPr>
        <a:xfrm>
          <a:off x="6979283" y="247650"/>
          <a:ext cx="1008966" cy="332740"/>
        </a:xfrm>
        <a:prstGeom prst="rect">
          <a:avLst/>
        </a:prstGeom>
      </xdr:spPr>
    </xdr:pic>
    <xdr:clientData/>
  </xdr:twoCellAnchor>
  <xdr:twoCellAnchor editAs="oneCell">
    <xdr:from>
      <xdr:col>7</xdr:col>
      <xdr:colOff>91440</xdr:colOff>
      <xdr:row>44</xdr:row>
      <xdr:rowOff>60960</xdr:rowOff>
    </xdr:from>
    <xdr:to>
      <xdr:col>9</xdr:col>
      <xdr:colOff>517177</xdr:colOff>
      <xdr:row>49</xdr:row>
      <xdr:rowOff>132290</xdr:rowOff>
    </xdr:to>
    <xdr:pic>
      <xdr:nvPicPr>
        <xdr:cNvPr id="4" name="그림 3">
          <a:extLst>
            <a:ext uri="{FF2B5EF4-FFF2-40B4-BE49-F238E27FC236}">
              <a16:creationId xmlns:a16="http://schemas.microsoft.com/office/drawing/2014/main" id="{446F3F29-7BF5-4174-BFBC-8A176CA661CB}"/>
            </a:ext>
          </a:extLst>
        </xdr:cNvPr>
        <xdr:cNvPicPr>
          <a:picLocks noChangeAspect="1"/>
        </xdr:cNvPicPr>
      </xdr:nvPicPr>
      <xdr:blipFill>
        <a:blip xmlns:r="http://schemas.openxmlformats.org/officeDocument/2006/relationships" r:embed="rId3"/>
        <a:stretch>
          <a:fillRect/>
        </a:stretch>
      </xdr:blipFill>
      <xdr:spPr>
        <a:xfrm>
          <a:off x="5623560" y="11193780"/>
          <a:ext cx="1846867" cy="9609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76200</xdr:colOff>
      <xdr:row>0</xdr:row>
      <xdr:rowOff>118269</xdr:rowOff>
    </xdr:from>
    <xdr:to>
      <xdr:col>1</xdr:col>
      <xdr:colOff>1431436</xdr:colOff>
      <xdr:row>1</xdr:row>
      <xdr:rowOff>134144</xdr:rowOff>
    </xdr:to>
    <xdr:pic>
      <xdr:nvPicPr>
        <xdr:cNvPr id="2" name="그림 2">
          <a:extLst>
            <a:ext uri="{FF2B5EF4-FFF2-40B4-BE49-F238E27FC236}">
              <a16:creationId xmlns:a16="http://schemas.microsoft.com/office/drawing/2014/main" id="{EE735AB2-DA11-45E9-BFF6-D446C78AB92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76200" y="118269"/>
          <a:ext cx="1486874" cy="281609"/>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9</xdr:col>
      <xdr:colOff>651563</xdr:colOff>
      <xdr:row>0</xdr:row>
      <xdr:rowOff>187187</xdr:rowOff>
    </xdr:from>
    <xdr:to>
      <xdr:col>10</xdr:col>
      <xdr:colOff>821113</xdr:colOff>
      <xdr:row>1</xdr:row>
      <xdr:rowOff>210999</xdr:rowOff>
    </xdr:to>
    <xdr:pic>
      <xdr:nvPicPr>
        <xdr:cNvPr id="3" name="Picture 2">
          <a:extLst>
            <a:ext uri="{FF2B5EF4-FFF2-40B4-BE49-F238E27FC236}">
              <a16:creationId xmlns:a16="http://schemas.microsoft.com/office/drawing/2014/main" id="{A341C86E-6CD9-43A1-80BE-F58BD5375AD8}"/>
            </a:ext>
          </a:extLst>
        </xdr:cNvPr>
        <xdr:cNvPicPr>
          <a:picLocks noChangeAspect="1"/>
        </xdr:cNvPicPr>
      </xdr:nvPicPr>
      <xdr:blipFill>
        <a:blip xmlns:r="http://schemas.openxmlformats.org/officeDocument/2006/relationships" r:embed="rId2"/>
        <a:stretch>
          <a:fillRect/>
        </a:stretch>
      </xdr:blipFill>
      <xdr:spPr>
        <a:xfrm>
          <a:off x="8576363" y="187187"/>
          <a:ext cx="994415" cy="290512"/>
        </a:xfrm>
        <a:prstGeom prst="rect">
          <a:avLst/>
        </a:prstGeom>
      </xdr:spPr>
    </xdr:pic>
    <xdr:clientData/>
  </xdr:twoCellAnchor>
  <xdr:twoCellAnchor editAs="oneCell">
    <xdr:from>
      <xdr:col>7</xdr:col>
      <xdr:colOff>76200</xdr:colOff>
      <xdr:row>52</xdr:row>
      <xdr:rowOff>7620</xdr:rowOff>
    </xdr:from>
    <xdr:to>
      <xdr:col>9</xdr:col>
      <xdr:colOff>307627</xdr:colOff>
      <xdr:row>57</xdr:row>
      <xdr:rowOff>96096</xdr:rowOff>
    </xdr:to>
    <xdr:pic>
      <xdr:nvPicPr>
        <xdr:cNvPr id="4" name="그림 3">
          <a:extLst>
            <a:ext uri="{FF2B5EF4-FFF2-40B4-BE49-F238E27FC236}">
              <a16:creationId xmlns:a16="http://schemas.microsoft.com/office/drawing/2014/main" id="{2423DBB0-6848-42FE-A640-2117E182D749}"/>
            </a:ext>
          </a:extLst>
        </xdr:cNvPr>
        <xdr:cNvPicPr>
          <a:picLocks noChangeAspect="1"/>
        </xdr:cNvPicPr>
      </xdr:nvPicPr>
      <xdr:blipFill>
        <a:blip xmlns:r="http://schemas.openxmlformats.org/officeDocument/2006/relationships" r:embed="rId3"/>
        <a:stretch>
          <a:fillRect/>
        </a:stretch>
      </xdr:blipFill>
      <xdr:spPr>
        <a:xfrm>
          <a:off x="5463540" y="11971020"/>
          <a:ext cx="1846867" cy="9609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1</xdr:row>
      <xdr:rowOff>3969</xdr:rowOff>
    </xdr:from>
    <xdr:to>
      <xdr:col>2</xdr:col>
      <xdr:colOff>1507001</xdr:colOff>
      <xdr:row>1</xdr:row>
      <xdr:rowOff>287179</xdr:rowOff>
    </xdr:to>
    <xdr:pic>
      <xdr:nvPicPr>
        <xdr:cNvPr id="2" name="그림 2">
          <a:extLst>
            <a:ext uri="{FF2B5EF4-FFF2-40B4-BE49-F238E27FC236}">
              <a16:creationId xmlns:a16="http://schemas.microsoft.com/office/drawing/2014/main" id="{043A71AE-9FDB-4AFE-8BA5-7F72736D887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400050" y="118269"/>
          <a:ext cx="1508271" cy="276225"/>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18</xdr:col>
      <xdr:colOff>33800</xdr:colOff>
      <xdr:row>1</xdr:row>
      <xdr:rowOff>26894</xdr:rowOff>
    </xdr:from>
    <xdr:to>
      <xdr:col>19</xdr:col>
      <xdr:colOff>248394</xdr:colOff>
      <xdr:row>2</xdr:row>
      <xdr:rowOff>3558</xdr:rowOff>
    </xdr:to>
    <xdr:pic>
      <xdr:nvPicPr>
        <xdr:cNvPr id="3" name="Picture 2">
          <a:extLst>
            <a:ext uri="{FF2B5EF4-FFF2-40B4-BE49-F238E27FC236}">
              <a16:creationId xmlns:a16="http://schemas.microsoft.com/office/drawing/2014/main" id="{E6D5D902-1B22-4E79-8CDB-6FBE06D6B3AC}"/>
            </a:ext>
          </a:extLst>
        </xdr:cNvPr>
        <xdr:cNvPicPr>
          <a:picLocks noChangeAspect="1"/>
        </xdr:cNvPicPr>
      </xdr:nvPicPr>
      <xdr:blipFill>
        <a:blip xmlns:r="http://schemas.openxmlformats.org/officeDocument/2006/relationships" r:embed="rId2"/>
        <a:stretch>
          <a:fillRect/>
        </a:stretch>
      </xdr:blipFill>
      <xdr:spPr>
        <a:xfrm>
          <a:off x="14520765" y="143435"/>
          <a:ext cx="945889" cy="29051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53</xdr:row>
      <xdr:rowOff>0</xdr:rowOff>
    </xdr:from>
    <xdr:to>
      <xdr:col>5</xdr:col>
      <xdr:colOff>0</xdr:colOff>
      <xdr:row>53</xdr:row>
      <xdr:rowOff>0</xdr:rowOff>
    </xdr:to>
    <xdr:sp macro="" textlink="">
      <xdr:nvSpPr>
        <xdr:cNvPr id="2" name="Text Box 3">
          <a:extLst>
            <a:ext uri="{FF2B5EF4-FFF2-40B4-BE49-F238E27FC236}">
              <a16:creationId xmlns:a16="http://schemas.microsoft.com/office/drawing/2014/main" id="{174A1CA9-C052-4A72-BA92-5F52C3A8B05C}"/>
            </a:ext>
          </a:extLst>
        </xdr:cNvPr>
        <xdr:cNvSpPr txBox="1">
          <a:spLocks noChangeArrowheads="1"/>
        </xdr:cNvSpPr>
      </xdr:nvSpPr>
      <xdr:spPr bwMode="auto">
        <a:xfrm>
          <a:off x="3048000" y="313105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0</xdr:colOff>
      <xdr:row>53</xdr:row>
      <xdr:rowOff>0</xdr:rowOff>
    </xdr:from>
    <xdr:to>
      <xdr:col>5</xdr:col>
      <xdr:colOff>0</xdr:colOff>
      <xdr:row>53</xdr:row>
      <xdr:rowOff>0</xdr:rowOff>
    </xdr:to>
    <xdr:sp macro="" textlink="">
      <xdr:nvSpPr>
        <xdr:cNvPr id="3" name="Text Box 4">
          <a:extLst>
            <a:ext uri="{FF2B5EF4-FFF2-40B4-BE49-F238E27FC236}">
              <a16:creationId xmlns:a16="http://schemas.microsoft.com/office/drawing/2014/main" id="{42CF3817-54AB-46A2-960D-BD8CEB377AD4}"/>
            </a:ext>
          </a:extLst>
        </xdr:cNvPr>
        <xdr:cNvSpPr txBox="1">
          <a:spLocks noChangeArrowheads="1"/>
        </xdr:cNvSpPr>
      </xdr:nvSpPr>
      <xdr:spPr bwMode="auto">
        <a:xfrm>
          <a:off x="3048000" y="313105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0</xdr:colOff>
      <xdr:row>53</xdr:row>
      <xdr:rowOff>0</xdr:rowOff>
    </xdr:from>
    <xdr:to>
      <xdr:col>5</xdr:col>
      <xdr:colOff>0</xdr:colOff>
      <xdr:row>53</xdr:row>
      <xdr:rowOff>0</xdr:rowOff>
    </xdr:to>
    <xdr:sp macro="" textlink="">
      <xdr:nvSpPr>
        <xdr:cNvPr id="4" name="Text Box 5">
          <a:extLst>
            <a:ext uri="{FF2B5EF4-FFF2-40B4-BE49-F238E27FC236}">
              <a16:creationId xmlns:a16="http://schemas.microsoft.com/office/drawing/2014/main" id="{593BFF94-DD68-42F0-AAD7-42B7D46FE8A5}"/>
            </a:ext>
          </a:extLst>
        </xdr:cNvPr>
        <xdr:cNvSpPr txBox="1">
          <a:spLocks noChangeArrowheads="1"/>
        </xdr:cNvSpPr>
      </xdr:nvSpPr>
      <xdr:spPr bwMode="auto">
        <a:xfrm>
          <a:off x="3048000" y="313105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0</xdr:colOff>
      <xdr:row>31</xdr:row>
      <xdr:rowOff>0</xdr:rowOff>
    </xdr:from>
    <xdr:to>
      <xdr:col>5</xdr:col>
      <xdr:colOff>0</xdr:colOff>
      <xdr:row>31</xdr:row>
      <xdr:rowOff>0</xdr:rowOff>
    </xdr:to>
    <xdr:sp macro="" textlink="">
      <xdr:nvSpPr>
        <xdr:cNvPr id="5" name="Text Box 6">
          <a:extLst>
            <a:ext uri="{FF2B5EF4-FFF2-40B4-BE49-F238E27FC236}">
              <a16:creationId xmlns:a16="http://schemas.microsoft.com/office/drawing/2014/main" id="{2B077CD0-E5FD-4516-B1F3-5005C7409AEE}"/>
            </a:ext>
          </a:extLst>
        </xdr:cNvPr>
        <xdr:cNvSpPr txBox="1">
          <a:spLocks noChangeArrowheads="1"/>
        </xdr:cNvSpPr>
      </xdr:nvSpPr>
      <xdr:spPr bwMode="auto">
        <a:xfrm>
          <a:off x="3048000" y="274243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oneCellAnchor>
    <xdr:from>
      <xdr:col>0</xdr:col>
      <xdr:colOff>0</xdr:colOff>
      <xdr:row>0</xdr:row>
      <xdr:rowOff>0</xdr:rowOff>
    </xdr:from>
    <xdr:ext cx="1472453" cy="504265"/>
    <xdr:pic>
      <xdr:nvPicPr>
        <xdr:cNvPr id="6" name="그림 6">
          <a:extLst>
            <a:ext uri="{FF2B5EF4-FFF2-40B4-BE49-F238E27FC236}">
              <a16:creationId xmlns:a16="http://schemas.microsoft.com/office/drawing/2014/main" id="{4F858FDC-69C0-47FB-84A5-F0BC56724B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472453" cy="504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296061</xdr:colOff>
      <xdr:row>42</xdr:row>
      <xdr:rowOff>105795</xdr:rowOff>
    </xdr:to>
    <xdr:pic>
      <xdr:nvPicPr>
        <xdr:cNvPr id="2" name="Picture 1">
          <a:extLst>
            <a:ext uri="{FF2B5EF4-FFF2-40B4-BE49-F238E27FC236}">
              <a16:creationId xmlns:a16="http://schemas.microsoft.com/office/drawing/2014/main" id="{5B384E68-F239-7CF8-8E0C-4636EAD95363}"/>
            </a:ext>
          </a:extLst>
        </xdr:cNvPr>
        <xdr:cNvPicPr>
          <a:picLocks noChangeAspect="1"/>
        </xdr:cNvPicPr>
      </xdr:nvPicPr>
      <xdr:blipFill>
        <a:blip xmlns:r="http://schemas.openxmlformats.org/officeDocument/2006/relationships" r:embed="rId1"/>
        <a:stretch>
          <a:fillRect/>
        </a:stretch>
      </xdr:blipFill>
      <xdr:spPr>
        <a:xfrm>
          <a:off x="0" y="0"/>
          <a:ext cx="5630061" cy="730669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69850</xdr:rowOff>
    </xdr:from>
    <xdr:to>
      <xdr:col>7</xdr:col>
      <xdr:colOff>101600</xdr:colOff>
      <xdr:row>39</xdr:row>
      <xdr:rowOff>5108</xdr:rowOff>
    </xdr:to>
    <xdr:pic>
      <xdr:nvPicPr>
        <xdr:cNvPr id="3" name="그림 2">
          <a:extLst>
            <a:ext uri="{FF2B5EF4-FFF2-40B4-BE49-F238E27FC236}">
              <a16:creationId xmlns:a16="http://schemas.microsoft.com/office/drawing/2014/main" id="{CC591DF6-CC67-2F33-F4D5-8B2D32DAD8F3}"/>
            </a:ext>
          </a:extLst>
        </xdr:cNvPr>
        <xdr:cNvPicPr>
          <a:picLocks noChangeAspect="1"/>
        </xdr:cNvPicPr>
      </xdr:nvPicPr>
      <xdr:blipFill>
        <a:blip xmlns:r="http://schemas.openxmlformats.org/officeDocument/2006/relationships" r:embed="rId1"/>
        <a:stretch>
          <a:fillRect/>
        </a:stretch>
      </xdr:blipFill>
      <xdr:spPr>
        <a:xfrm>
          <a:off x="0" y="247650"/>
          <a:ext cx="4724400" cy="669165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277008</xdr:colOff>
      <xdr:row>38</xdr:row>
      <xdr:rowOff>86745</xdr:rowOff>
    </xdr:to>
    <xdr:pic>
      <xdr:nvPicPr>
        <xdr:cNvPr id="2" name="Picture 1">
          <a:extLst>
            <a:ext uri="{FF2B5EF4-FFF2-40B4-BE49-F238E27FC236}">
              <a16:creationId xmlns:a16="http://schemas.microsoft.com/office/drawing/2014/main" id="{FAF6769A-280A-914F-EDCC-3763FC93F948}"/>
            </a:ext>
          </a:extLst>
        </xdr:cNvPr>
        <xdr:cNvPicPr>
          <a:picLocks noChangeAspect="1"/>
        </xdr:cNvPicPr>
      </xdr:nvPicPr>
      <xdr:blipFill>
        <a:blip xmlns:r="http://schemas.openxmlformats.org/officeDocument/2006/relationships" r:embed="rId1"/>
        <a:stretch>
          <a:fillRect/>
        </a:stretch>
      </xdr:blipFill>
      <xdr:spPr>
        <a:xfrm>
          <a:off x="0" y="0"/>
          <a:ext cx="5611008" cy="730669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177800</xdr:colOff>
      <xdr:row>0</xdr:row>
      <xdr:rowOff>0</xdr:rowOff>
    </xdr:from>
    <xdr:to>
      <xdr:col>9</xdr:col>
      <xdr:colOff>514350</xdr:colOff>
      <xdr:row>49</xdr:row>
      <xdr:rowOff>70080</xdr:rowOff>
    </xdr:to>
    <xdr:pic>
      <xdr:nvPicPr>
        <xdr:cNvPr id="6" name="그림 5">
          <a:extLst>
            <a:ext uri="{FF2B5EF4-FFF2-40B4-BE49-F238E27FC236}">
              <a16:creationId xmlns:a16="http://schemas.microsoft.com/office/drawing/2014/main" id="{7CF006AE-F715-0CFA-8C16-7FB6CAE2FA8A}"/>
            </a:ext>
          </a:extLst>
        </xdr:cNvPr>
        <xdr:cNvPicPr>
          <a:picLocks noChangeAspect="1"/>
        </xdr:cNvPicPr>
      </xdr:nvPicPr>
      <xdr:blipFill>
        <a:blip xmlns:r="http://schemas.openxmlformats.org/officeDocument/2006/relationships" r:embed="rId1"/>
        <a:stretch>
          <a:fillRect/>
        </a:stretch>
      </xdr:blipFill>
      <xdr:spPr>
        <a:xfrm>
          <a:off x="177800" y="0"/>
          <a:ext cx="6280150" cy="89092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1204;&#50689;&#44428;/C/WIN98/TEMP/REPORT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0724;&#51008;&#49892;/&#49345;&#48120;&#51452;&#51076;&#45784;/WIN98/TEMP/REPORT0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50724;&#51008;&#49892;/&#49345;&#48120;&#51452;&#51076;&#45784;/temp/WIN98/TEMP/REPORT0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50689;&#49689;/D/share/loss&#44228;&#49328;-TAWEELAH-msf-jan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35.daum.net/WIN98/TEMP/REPORT0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80C4F2C1/OM4_Payment%20Form%2004,%2005%20-%20Commercial%20invoice%20and%20Packing%20list,%20rev%202507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
      <sheetName val="TTL"/>
      <sheetName val="성광벤드"/>
      <sheetName val="REPORT07"/>
      <sheetName val="GRP PIPING"/>
      <sheetName val="Sheet1"/>
      <sheetName val="현장지지물물량"/>
      <sheetName val="#REF"/>
      <sheetName val="견적기준"/>
      <sheetName val="P-LIST"/>
      <sheetName val="물가자료"/>
      <sheetName val="일위대가"/>
      <sheetName val="M-EQPT-Z"/>
      <sheetName val="2000년1차"/>
      <sheetName val="단가집"/>
      <sheetName val="전열면적"/>
      <sheetName val="SEPARATOR"/>
      <sheetName val="BM "/>
      <sheetName val="DWG LIST"/>
      <sheetName val="자격 땡겨오기"/>
      <sheetName val="VAE264_VALVES"/>
      <sheetName val="5.소재"/>
      <sheetName val="소화실적"/>
      <sheetName val="Summary"/>
      <sheetName val="BM"/>
      <sheetName val="B101"/>
      <sheetName val="카메라"/>
      <sheetName val="COA-17"/>
      <sheetName val="C-18"/>
      <sheetName val="당초"/>
      <sheetName val="MOB-MAN1"/>
      <sheetName val="예제"/>
      <sheetName val="실행예산SHEET도장재검토"/>
      <sheetName val="기준표"/>
      <sheetName val="규격"/>
      <sheetName val="노점수분"/>
      <sheetName val="자재사용현황"/>
      <sheetName val="w't table"/>
      <sheetName val="INDEX"/>
      <sheetName val="DI-ESTI"/>
      <sheetName val="KH-Q1,Q2,01"/>
      <sheetName val="NYS"/>
      <sheetName val="CAT_5"/>
      <sheetName val="kich thuoc"/>
      <sheetName val="DTHH"/>
      <sheetName val="WE'T"/>
      <sheetName val="REDUCER"/>
      <sheetName val="임율 Data"/>
      <sheetName val="Lists"/>
      <sheetName val="REV 4"/>
      <sheetName val="COL"/>
      <sheetName val="Sheet5"/>
      <sheetName val="BEND LOSS"/>
      <sheetName val="CI "/>
      <sheetName val="CI"/>
      <sheetName val="FM"/>
      <sheetName val="내역서"/>
      <sheetName val="노임단가"/>
      <sheetName val="품셈표"/>
      <sheetName val="추가예산"/>
      <sheetName val="자바라1"/>
      <sheetName val="해외 연수비용 계산-삭제"/>
      <sheetName val="Wind Load(3.1) (2)"/>
      <sheetName val="Wind Load(3.2)"/>
      <sheetName val="Wind Load(3.4)"/>
      <sheetName val="Ord"/>
      <sheetName val="Key Data"/>
      <sheetName val="INPUT"/>
      <sheetName val="2.2 띠장의 설계"/>
      <sheetName val="Assembly_list"/>
      <sheetName val="간접비 총괄표"/>
      <sheetName val="ﾀｰﾋﾞﾝ"/>
      <sheetName val="Setup"/>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GRP_PIPING"/>
      <sheetName val="BM_"/>
      <sheetName val="DWG_LIST"/>
      <sheetName val="자격_땡겨오기"/>
      <sheetName val="5_소재"/>
      <sheetName val="表二"/>
      <sheetName val="EQUIPOS"/>
      <sheetName val="石炭性状"/>
      <sheetName val="증감내역서"/>
      <sheetName val="表三(首站)"/>
      <sheetName val="代码表"/>
      <sheetName val="Z- GENERAL PRICE SUMMARY"/>
      <sheetName val="WITHOUT C&amp;I PROFIT (3)"/>
      <sheetName val="목표세부명세"/>
      <sheetName val="Rate Analysis"/>
      <sheetName val="Earthwork"/>
      <sheetName val="2020 회원명부"/>
      <sheetName val="대비표"/>
      <sheetName val="산근"/>
      <sheetName val="집계표(OPTION)"/>
      <sheetName val="DRUM"/>
      <sheetName val="Cash2"/>
      <sheetName val="Z"/>
      <sheetName val="w't_table"/>
      <sheetName val="kich_thuoc"/>
      <sheetName val="임율_Data"/>
      <sheetName val="해외_연수비용_계산-삭제"/>
      <sheetName val="Wind_Load(3_1)_(2)"/>
      <sheetName val="Wind_Load(3_2)"/>
      <sheetName val="Wind_Load(3_4)"/>
      <sheetName val="Key_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견적기준"/>
      <sheetName val="CI "/>
      <sheetName val="CI"/>
      <sheetName val=""/>
      <sheetName val="TTL"/>
      <sheetName val="성광벤드"/>
      <sheetName val="REPORT07"/>
      <sheetName val="GRP PIPING"/>
      <sheetName val="Sheet1"/>
      <sheetName val="P-LIST"/>
      <sheetName val="물가자료"/>
      <sheetName val="일위대가"/>
      <sheetName val="M-EQPT-Z"/>
      <sheetName val="2000년1차"/>
      <sheetName val="단가집"/>
      <sheetName val="전열면적"/>
      <sheetName val="SEPARATOR"/>
      <sheetName val="BM "/>
      <sheetName val="DWG LIST"/>
      <sheetName val="자격 땡겨오기"/>
      <sheetName val="VAE264_VALVES"/>
      <sheetName val="5.소재"/>
      <sheetName val="소화실적"/>
      <sheetName val="현장지지물물량"/>
      <sheetName val="#REF"/>
      <sheetName val="Summary"/>
      <sheetName val="BM"/>
      <sheetName val="B101"/>
      <sheetName val="카메라"/>
      <sheetName val="COA-17"/>
      <sheetName val="C-18"/>
      <sheetName val="당초"/>
      <sheetName val="MOB-MAN1"/>
      <sheetName val="예제"/>
      <sheetName val="실행예산SHEET도장재검토"/>
      <sheetName val="기준표"/>
      <sheetName val="규격"/>
      <sheetName val="노점수분"/>
      <sheetName val="자재사용현황"/>
      <sheetName val="w't table"/>
      <sheetName val="INDEX"/>
      <sheetName val="DI-ESTI"/>
      <sheetName val="KH-Q1,Q2,01"/>
      <sheetName val="NYS"/>
      <sheetName val="CAT_5"/>
      <sheetName val="kich thuoc"/>
      <sheetName val="DTHH"/>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산근터빈"/>
      <sheetName val="2.대외공문"/>
      <sheetName val="XZLC004_PART2"/>
      <sheetName val="XZLC003_PART1"/>
      <sheetName val="수량산출"/>
      <sheetName val="burner-spare"/>
      <sheetName val="일위대가표(DEE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P-LIST"/>
      <sheetName val="물가자료"/>
      <sheetName val="B101"/>
      <sheetName val="카메라"/>
      <sheetName val="COA-17"/>
      <sheetName val="C-18"/>
      <sheetName val=""/>
      <sheetName val="TTL"/>
      <sheetName val="성광벤드"/>
      <sheetName val="REPORT07"/>
      <sheetName val="GRP PIPING"/>
      <sheetName val="Sheet1"/>
      <sheetName val="견적기준"/>
      <sheetName val="일위대가"/>
      <sheetName val="M-EQPT-Z"/>
      <sheetName val="2000년1차"/>
      <sheetName val="단가집"/>
      <sheetName val="전열면적"/>
      <sheetName val="SEPARATOR"/>
      <sheetName val="BM "/>
      <sheetName val="DWG LIST"/>
      <sheetName val="자격 땡겨오기"/>
      <sheetName val="VAE264_VALVES"/>
      <sheetName val="5.소재"/>
      <sheetName val="소화실적"/>
      <sheetName val="현장지지물물량"/>
      <sheetName val="#REF"/>
      <sheetName val="Summary"/>
      <sheetName val="BM"/>
      <sheetName val="당초"/>
      <sheetName val="MOB-MAN1"/>
      <sheetName val="예제"/>
      <sheetName val="실행예산SHEET도장재검토"/>
      <sheetName val="기준표"/>
      <sheetName val="규격"/>
      <sheetName val="노점수분"/>
      <sheetName val="자재사용현황"/>
      <sheetName val="w't table"/>
      <sheetName val="INDEX"/>
      <sheetName val="DI-ESTI"/>
      <sheetName val="KH-Q1,Q2,01"/>
      <sheetName val="NYS"/>
      <sheetName val="CAT_5"/>
      <sheetName val="보일러"/>
      <sheetName val="Renc.Prod"/>
      <sheetName val="Tabel Kode"/>
      <sheetName val="PLN Ags"/>
      <sheetName val="PLN Apr"/>
      <sheetName val="Biaya Tot PLN TDL 2003"/>
      <sheetName val="PLN Des"/>
      <sheetName val="PLN Feb"/>
      <sheetName val="PLN Jan"/>
      <sheetName val="PLN Jul"/>
      <sheetName val="PLN Jun"/>
      <sheetName val="PLN Mar"/>
      <sheetName val="PLN Mei"/>
      <sheetName val="PLN Nov"/>
      <sheetName val="PLN Okt"/>
      <sheetName val="PLN Sep"/>
      <sheetName val="Renc.Semen Keluar prod kantong"/>
      <sheetName val="kich thuoc"/>
      <sheetName val="DTH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lar bundle"/>
      <sheetName val="steam table"/>
      <sheetName val="loss계산-TAWEELAH-msf-jan6"/>
      <sheetName val="DJ1"/>
      <sheetName val="정부노임단가"/>
      <sheetName val="fitting"/>
      <sheetName val="환율표"/>
      <sheetName val="Evap-기타"/>
      <sheetName val="P-LIST"/>
      <sheetName val="대비"/>
      <sheetName val="BID"/>
      <sheetName val="Testing"/>
      <sheetName val="eq_data"/>
      <sheetName val="BLR 1"/>
      <sheetName val="GEN"/>
      <sheetName val="GAS"/>
      <sheetName val="DEAE"/>
      <sheetName val="BLR2"/>
      <sheetName val="BLR3"/>
      <sheetName val="BLR4"/>
      <sheetName val="BLR5"/>
      <sheetName val="DEM"/>
      <sheetName val="SAM"/>
      <sheetName val="CHEM"/>
      <sheetName val="COP"/>
      <sheetName val="八幡"/>
      <sheetName val="GM 000"/>
      <sheetName val="csdim"/>
      <sheetName val="cdsload"/>
      <sheetName val="chsload"/>
      <sheetName val="CLAMP"/>
      <sheetName val="cvsload"/>
      <sheetName val="pipe"/>
      <sheetName val="Cash2"/>
      <sheetName val="Z"/>
      <sheetName val="BSD _2_"/>
      <sheetName val="BSD (2)"/>
      <sheetName val="환산표"/>
      <sheetName val="MOTOR"/>
      <sheetName val="95신규호표"/>
      <sheetName val="BM"/>
      <sheetName val="CBL_OD"/>
      <sheetName val="MOB-MAN1"/>
      <sheetName val="giathanh1"/>
      <sheetName val="6-2차"/>
      <sheetName val="Code 02"/>
      <sheetName val="Code 03"/>
      <sheetName val="Code 04"/>
      <sheetName val="Code 05"/>
      <sheetName val="Code 06"/>
      <sheetName val="Code 07"/>
      <sheetName val="Code 09"/>
      <sheetName val="Code03"/>
      <sheetName val="Summary"/>
      <sheetName val="5-Digit"/>
      <sheetName val="MixBed"/>
      <sheetName val="CondPol"/>
      <sheetName val="Inputs"/>
      <sheetName val="BD"/>
      <sheetName val="당초"/>
      <sheetName val="LAB"/>
      <sheetName val="노임단가"/>
      <sheetName val="공사계획서"/>
      <sheetName val="품셈표"/>
      <sheetName val="H-shape"/>
      <sheetName val="Dieuchinh"/>
      <sheetName val="gvl"/>
      <sheetName val="IBASE"/>
      <sheetName val="예산M12A"/>
      <sheetName val="JOINT1"/>
      <sheetName val="XL4Poppy"/>
      <sheetName val="현장지지물물량"/>
      <sheetName val="INSULTABLE"/>
      <sheetName val="ex-shell"/>
      <sheetName val="001"/>
      <sheetName val="TTL"/>
      <sheetName val="입력값"/>
      <sheetName val="NEWDRAW"/>
      <sheetName val="내역"/>
      <sheetName val="Sheet3 (2)"/>
      <sheetName val="circular_bundle1"/>
      <sheetName val="steam_table1"/>
      <sheetName val="circular_bundle"/>
      <sheetName val="steam_table"/>
      <sheetName val="ADL DATA"/>
      <sheetName val="FIRE FIGHTING"/>
      <sheetName val="Wind Load(3.1) (2)"/>
      <sheetName val="Wind Load(3.2)"/>
      <sheetName val="Wind Load(3.4)"/>
      <sheetName val="REDUCER"/>
      <sheetName val="Data"/>
      <sheetName val="BM "/>
      <sheetName val="DWG LIST"/>
      <sheetName val="#REF"/>
      <sheetName val="PNT-QUOT-#3"/>
      <sheetName val="COAT&amp;WRAP-QIOT-#3"/>
      <sheetName val="CAT_5"/>
      <sheetName val="COA-17"/>
      <sheetName val="C-18"/>
      <sheetName val="list"/>
      <sheetName val="Break Down Price"/>
      <sheetName val="1100"/>
      <sheetName val="Mech CIF"/>
      <sheetName val="환율-LIBOR"/>
      <sheetName val="JOB特定"/>
      <sheetName val="VL"/>
      <sheetName val="산근"/>
      <sheetName val="PBS"/>
      <sheetName val="LGBOM1절_CheckList"/>
      <sheetName val="카메라"/>
      <sheetName val="보일러"/>
      <sheetName val="ITEM-LIST"/>
      <sheetName val="Eq. Mobilization"/>
      <sheetName val="Proposal"/>
      <sheetName val="적용환율"/>
      <sheetName val="circular_bundle4"/>
      <sheetName val="steam_table4"/>
      <sheetName val="BLR_12"/>
      <sheetName val="GM_0002"/>
      <sheetName val="BSD__2_2"/>
      <sheetName val="BSD_(2)2"/>
      <sheetName val="Code_022"/>
      <sheetName val="Code_032"/>
      <sheetName val="Code_042"/>
      <sheetName val="Code_052"/>
      <sheetName val="Code_062"/>
      <sheetName val="Code_072"/>
      <sheetName val="Code_092"/>
      <sheetName val="Sheet3_(2)2"/>
      <sheetName val="ADL_DATA2"/>
      <sheetName val="FIRE_FIGHTING2"/>
      <sheetName val="BM_2"/>
      <sheetName val="DWG_LIST2"/>
      <sheetName val="Wind_Load(3_1)_(2)2"/>
      <sheetName val="Wind_Load(3_2)2"/>
      <sheetName val="Wind_Load(3_4)2"/>
      <sheetName val="Break_Down_Price2"/>
      <sheetName val="circular_bundle2"/>
      <sheetName val="steam_table2"/>
      <sheetName val="BLR_1"/>
      <sheetName val="GM_000"/>
      <sheetName val="BSD__2_"/>
      <sheetName val="BSD_(2)"/>
      <sheetName val="Code_02"/>
      <sheetName val="Code_03"/>
      <sheetName val="Code_04"/>
      <sheetName val="Code_05"/>
      <sheetName val="Code_06"/>
      <sheetName val="Code_07"/>
      <sheetName val="Code_09"/>
      <sheetName val="Sheet3_(2)"/>
      <sheetName val="ADL_DATA"/>
      <sheetName val="FIRE_FIGHTING"/>
      <sheetName val="BM_"/>
      <sheetName val="DWG_LIST"/>
      <sheetName val="Wind_Load(3_1)_(2)"/>
      <sheetName val="Wind_Load(3_2)"/>
      <sheetName val="Wind_Load(3_4)"/>
      <sheetName val="Break_Down_Price"/>
      <sheetName val="circular_bundle3"/>
      <sheetName val="steam_table3"/>
      <sheetName val="BLR_11"/>
      <sheetName val="GM_0001"/>
      <sheetName val="BSD__2_1"/>
      <sheetName val="BSD_(2)1"/>
      <sheetName val="Code_021"/>
      <sheetName val="Code_031"/>
      <sheetName val="Code_041"/>
      <sheetName val="Code_051"/>
      <sheetName val="Code_061"/>
      <sheetName val="Code_071"/>
      <sheetName val="Code_091"/>
      <sheetName val="Sheet3_(2)1"/>
      <sheetName val="ADL_DATA1"/>
      <sheetName val="FIRE_FIGHTING1"/>
      <sheetName val="BM_1"/>
      <sheetName val="DWG_LIST1"/>
      <sheetName val="Wind_Load(3_1)_(2)1"/>
      <sheetName val="Wind_Load(3_2)1"/>
      <sheetName val="Wind_Load(3_4)1"/>
      <sheetName val="Break_Down_Price1"/>
      <sheetName val="circular_bundle6"/>
      <sheetName val="steam_table6"/>
      <sheetName val="BLR_14"/>
      <sheetName val="GM_0004"/>
      <sheetName val="BSD__2_4"/>
      <sheetName val="BSD_(2)4"/>
      <sheetName val="Code_024"/>
      <sheetName val="Code_034"/>
      <sheetName val="Code_044"/>
      <sheetName val="Code_054"/>
      <sheetName val="Code_064"/>
      <sheetName val="Code_074"/>
      <sheetName val="Code_094"/>
      <sheetName val="Sheet3_(2)4"/>
      <sheetName val="ADL_DATA4"/>
      <sheetName val="FIRE_FIGHTING4"/>
      <sheetName val="BM_4"/>
      <sheetName val="DWG_LIST4"/>
      <sheetName val="Wind_Load(3_1)_(2)4"/>
      <sheetName val="Wind_Load(3_2)4"/>
      <sheetName val="Wind_Load(3_4)4"/>
      <sheetName val="Break_Down_Price4"/>
      <sheetName val="circular_bundle5"/>
      <sheetName val="steam_table5"/>
      <sheetName val="BLR_13"/>
      <sheetName val="GM_0003"/>
      <sheetName val="BSD__2_3"/>
      <sheetName val="BSD_(2)3"/>
      <sheetName val="Code_023"/>
      <sheetName val="Code_033"/>
      <sheetName val="Code_043"/>
      <sheetName val="Code_053"/>
      <sheetName val="Code_063"/>
      <sheetName val="Code_073"/>
      <sheetName val="Code_093"/>
      <sheetName val="Sheet3_(2)3"/>
      <sheetName val="ADL_DATA3"/>
      <sheetName val="FIRE_FIGHTING3"/>
      <sheetName val="BM_3"/>
      <sheetName val="DWG_LIST3"/>
      <sheetName val="Wind_Load(3_1)_(2)3"/>
      <sheetName val="Wind_Load(3_2)3"/>
      <sheetName val="Wind_Load(3_4)3"/>
      <sheetName val="Break_Down_Price3"/>
      <sheetName val="w't table"/>
      <sheetName val="갑지"/>
      <sheetName val="Erection"/>
      <sheetName val="Sheet2"/>
      <sheetName val="circular_bundle7"/>
      <sheetName val="steam_table7"/>
      <sheetName val="BLR_15"/>
      <sheetName val="GM_0005"/>
      <sheetName val="BSD__2_5"/>
      <sheetName val="BSD_(2)5"/>
      <sheetName val="Code_025"/>
      <sheetName val="Code_035"/>
      <sheetName val="Code_045"/>
      <sheetName val="Code_055"/>
      <sheetName val="Code_065"/>
      <sheetName val="Code_075"/>
      <sheetName val="Code_095"/>
      <sheetName val="Sheet3_(2)5"/>
      <sheetName val="ADL_DATA5"/>
      <sheetName val="FIRE_FIGHTING5"/>
      <sheetName val="Wind_Load(3_1)_(2)5"/>
      <sheetName val="Wind_Load(3_2)5"/>
      <sheetName val="Wind_Load(3_4)5"/>
      <sheetName val="BM_5"/>
      <sheetName val="DWG_LIST5"/>
      <sheetName val="Break_Down_Price5"/>
      <sheetName val="Mech_CIF"/>
      <sheetName val="Eq__Mobilization"/>
      <sheetName val="w't_table"/>
      <sheetName val="circular_bundle8"/>
      <sheetName val="steam_table8"/>
      <sheetName val="BLR_16"/>
      <sheetName val="GM_0006"/>
      <sheetName val="BSD__2_6"/>
      <sheetName val="BSD_(2)6"/>
      <sheetName val="Code_026"/>
      <sheetName val="Code_036"/>
      <sheetName val="Code_046"/>
      <sheetName val="Code_056"/>
      <sheetName val="Code_066"/>
      <sheetName val="Code_076"/>
      <sheetName val="Code_096"/>
      <sheetName val="Sheet3_(2)6"/>
      <sheetName val="ADL_DATA6"/>
      <sheetName val="FIRE_FIGHTING6"/>
      <sheetName val="Wind_Load(3_1)_(2)6"/>
      <sheetName val="Wind_Load(3_2)6"/>
      <sheetName val="Wind_Load(3_4)6"/>
      <sheetName val="BM_6"/>
      <sheetName val="DWG_LIST6"/>
      <sheetName val="Break_Down_Price6"/>
      <sheetName val="Mech_CIF1"/>
      <sheetName val="Eq__Mobilization1"/>
      <sheetName val="w't_table1"/>
      <sheetName val="circular_bundle9"/>
      <sheetName val="steam_table9"/>
      <sheetName val="BLR_17"/>
      <sheetName val="GM_0007"/>
      <sheetName val="BSD__2_7"/>
      <sheetName val="BSD_(2)7"/>
      <sheetName val="Code_027"/>
      <sheetName val="Code_037"/>
      <sheetName val="Code_047"/>
      <sheetName val="Code_057"/>
      <sheetName val="Code_067"/>
      <sheetName val="Code_077"/>
      <sheetName val="Code_097"/>
      <sheetName val="Sheet3_(2)7"/>
      <sheetName val="Wind_Load(3_1)_(2)7"/>
      <sheetName val="Wind_Load(3_2)7"/>
      <sheetName val="Wind_Load(3_4)7"/>
      <sheetName val="ADL_DATA7"/>
      <sheetName val="FIRE_FIGHTING7"/>
      <sheetName val="BM_7"/>
      <sheetName val="DWG_LIST7"/>
      <sheetName val="Break_Down_Price7"/>
      <sheetName val="Mech_CIF2"/>
      <sheetName val="Eq__Mobilization2"/>
      <sheetName val="w't_table2"/>
      <sheetName val="circular_bundle10"/>
      <sheetName val="steam_table10"/>
      <sheetName val="BLR_18"/>
      <sheetName val="GM_0008"/>
      <sheetName val="BSD__2_8"/>
      <sheetName val="BSD_(2)8"/>
      <sheetName val="Code_028"/>
      <sheetName val="Code_038"/>
      <sheetName val="Code_048"/>
      <sheetName val="Code_058"/>
      <sheetName val="Code_068"/>
      <sheetName val="Code_078"/>
      <sheetName val="Code_098"/>
      <sheetName val="Sheet3_(2)8"/>
      <sheetName val="Wind_Load(3_1)_(2)8"/>
      <sheetName val="Wind_Load(3_2)8"/>
      <sheetName val="Wind_Load(3_4)8"/>
      <sheetName val="ADL_DATA8"/>
      <sheetName val="FIRE_FIGHTING8"/>
      <sheetName val="BM_8"/>
      <sheetName val="DWG_LIST8"/>
      <sheetName val="Break_Down_Price8"/>
      <sheetName val="Mech_CIF3"/>
      <sheetName val="Eq__Mobilization3"/>
      <sheetName val="w't_table3"/>
      <sheetName val="Labor"/>
      <sheetName val="WT-LIST"/>
      <sheetName val="labor1"/>
      <sheetName val="index"/>
      <sheetName val="22-Plant"/>
      <sheetName val="Supervision List"/>
      <sheetName val="기계내역서"/>
      <sheetName val="사진"/>
      <sheetName val="ancillary"/>
      <sheetName val="DATA LISTS"/>
      <sheetName val="BQ"/>
      <sheetName val="Sheet1"/>
      <sheetName val="PLAN_FEB97"/>
      <sheetName val="차액보증"/>
      <sheetName val="3D-HOR"/>
      <sheetName val="3D-PEN"/>
      <sheetName val="ELE3D"/>
      <sheetName val="ELE DATA"/>
      <sheetName val="ELEMENT BM"/>
      <sheetName val="TubePR"/>
      <sheetName val="UPPER-CP(표지)"/>
      <sheetName val="UPPER-CP(상세)"/>
      <sheetName val="LOWER-CP(표지)"/>
      <sheetName val="LOWER-CP(상세)"/>
      <sheetName val="PENDANT-CP(표지)"/>
      <sheetName val="PENDANT-CP(상세)"/>
      <sheetName val="hotwell_sizing"/>
      <sheetName val="Tubesheet Th'k"/>
      <sheetName val="ESTI."/>
      <sheetName val="DI-ESTI"/>
      <sheetName val="설산1.나"/>
      <sheetName val="본사S"/>
      <sheetName val="PumpSpec"/>
      <sheetName val="co-no.2"/>
      <sheetName val="h-013211-2"/>
      <sheetName val="Table"/>
      <sheetName val="산근터빈"/>
    </sheetNames>
    <sheetDataSet>
      <sheetData sheetId="0" refreshError="1"/>
      <sheetData sheetId="1" refreshError="1">
        <row r="5">
          <cell r="N5">
            <v>20</v>
          </cell>
          <cell r="O5">
            <v>2454.3000000000002</v>
          </cell>
          <cell r="P5">
            <v>21</v>
          </cell>
          <cell r="Q5">
            <v>2452</v>
          </cell>
        </row>
        <row r="6">
          <cell r="N6">
            <v>21</v>
          </cell>
          <cell r="O6">
            <v>2452</v>
          </cell>
          <cell r="P6">
            <v>22</v>
          </cell>
          <cell r="Q6">
            <v>2449.6</v>
          </cell>
        </row>
        <row r="7">
          <cell r="N7">
            <v>22</v>
          </cell>
          <cell r="O7">
            <v>2449.6</v>
          </cell>
          <cell r="P7">
            <v>23</v>
          </cell>
          <cell r="Q7">
            <v>2447.1999999999998</v>
          </cell>
        </row>
        <row r="8">
          <cell r="N8">
            <v>23</v>
          </cell>
          <cell r="O8">
            <v>2447.1999999999998</v>
          </cell>
          <cell r="P8">
            <v>24</v>
          </cell>
          <cell r="Q8">
            <v>2444.9</v>
          </cell>
        </row>
        <row r="9">
          <cell r="N9">
            <v>24</v>
          </cell>
          <cell r="O9">
            <v>2444.9</v>
          </cell>
          <cell r="P9">
            <v>25</v>
          </cell>
          <cell r="Q9">
            <v>2442.5</v>
          </cell>
        </row>
        <row r="10">
          <cell r="N10">
            <v>25</v>
          </cell>
          <cell r="O10">
            <v>2442.5</v>
          </cell>
          <cell r="P10">
            <v>26</v>
          </cell>
          <cell r="Q10">
            <v>2440.1999999999998</v>
          </cell>
        </row>
        <row r="11">
          <cell r="N11">
            <v>26</v>
          </cell>
          <cell r="O11">
            <v>2440.1999999999998</v>
          </cell>
          <cell r="P11">
            <v>27</v>
          </cell>
          <cell r="Q11">
            <v>2437.8000000000002</v>
          </cell>
        </row>
        <row r="12">
          <cell r="N12">
            <v>27</v>
          </cell>
          <cell r="O12">
            <v>2437.8000000000002</v>
          </cell>
          <cell r="P12">
            <v>28</v>
          </cell>
          <cell r="Q12">
            <v>2435.4</v>
          </cell>
        </row>
        <row r="13">
          <cell r="N13">
            <v>28</v>
          </cell>
          <cell r="O13">
            <v>2435.4</v>
          </cell>
          <cell r="P13">
            <v>29</v>
          </cell>
          <cell r="Q13">
            <v>2433.1</v>
          </cell>
        </row>
        <row r="14">
          <cell r="N14">
            <v>29</v>
          </cell>
          <cell r="O14">
            <v>2433.1</v>
          </cell>
          <cell r="P14">
            <v>30</v>
          </cell>
          <cell r="Q14">
            <v>2430.6999999999998</v>
          </cell>
        </row>
        <row r="15">
          <cell r="N15">
            <v>30</v>
          </cell>
          <cell r="O15">
            <v>2430.6999999999998</v>
          </cell>
          <cell r="P15">
            <v>31</v>
          </cell>
          <cell r="Q15">
            <v>2428.3000000000002</v>
          </cell>
        </row>
        <row r="16">
          <cell r="N16">
            <v>31</v>
          </cell>
          <cell r="O16">
            <v>2428.3000000000002</v>
          </cell>
          <cell r="P16">
            <v>32</v>
          </cell>
          <cell r="Q16">
            <v>2425.9</v>
          </cell>
        </row>
        <row r="17">
          <cell r="N17">
            <v>32</v>
          </cell>
          <cell r="O17">
            <v>2425.9</v>
          </cell>
          <cell r="P17">
            <v>33</v>
          </cell>
          <cell r="Q17">
            <v>2423.6</v>
          </cell>
        </row>
        <row r="18">
          <cell r="N18">
            <v>33</v>
          </cell>
          <cell r="O18">
            <v>2423.6</v>
          </cell>
          <cell r="P18">
            <v>34</v>
          </cell>
          <cell r="Q18">
            <v>2421.1999999999998</v>
          </cell>
        </row>
        <row r="19">
          <cell r="N19">
            <v>34</v>
          </cell>
          <cell r="O19">
            <v>2421.1999999999998</v>
          </cell>
          <cell r="P19">
            <v>35</v>
          </cell>
          <cell r="Q19">
            <v>2418.8000000000002</v>
          </cell>
        </row>
        <row r="20">
          <cell r="N20">
            <v>35</v>
          </cell>
          <cell r="O20">
            <v>2418.8000000000002</v>
          </cell>
          <cell r="P20">
            <v>36</v>
          </cell>
          <cell r="Q20">
            <v>2416.4</v>
          </cell>
        </row>
        <row r="21">
          <cell r="N21">
            <v>36</v>
          </cell>
          <cell r="O21">
            <v>2416.4</v>
          </cell>
          <cell r="P21">
            <v>37</v>
          </cell>
          <cell r="Q21">
            <v>2414.1</v>
          </cell>
        </row>
        <row r="22">
          <cell r="N22">
            <v>37</v>
          </cell>
          <cell r="O22">
            <v>2414.1</v>
          </cell>
          <cell r="P22">
            <v>38</v>
          </cell>
          <cell r="Q22">
            <v>2411.6999999999998</v>
          </cell>
        </row>
        <row r="23">
          <cell r="N23">
            <v>38</v>
          </cell>
          <cell r="O23">
            <v>2411.6999999999998</v>
          </cell>
          <cell r="P23">
            <v>39</v>
          </cell>
          <cell r="Q23">
            <v>2409.3000000000002</v>
          </cell>
        </row>
        <row r="24">
          <cell r="N24">
            <v>39</v>
          </cell>
          <cell r="O24">
            <v>2409.3000000000002</v>
          </cell>
          <cell r="P24">
            <v>40</v>
          </cell>
          <cell r="Q24">
            <v>2406.9</v>
          </cell>
        </row>
        <row r="25">
          <cell r="N25">
            <v>40</v>
          </cell>
          <cell r="O25">
            <v>2406.9</v>
          </cell>
          <cell r="P25">
            <v>41</v>
          </cell>
          <cell r="Q25">
            <v>2404.5</v>
          </cell>
        </row>
        <row r="26">
          <cell r="N26">
            <v>41</v>
          </cell>
          <cell r="O26">
            <v>2404.5</v>
          </cell>
          <cell r="P26">
            <v>42</v>
          </cell>
          <cell r="Q26">
            <v>2402.1</v>
          </cell>
        </row>
        <row r="27">
          <cell r="N27">
            <v>42</v>
          </cell>
          <cell r="O27">
            <v>2402.1</v>
          </cell>
          <cell r="P27">
            <v>43</v>
          </cell>
          <cell r="Q27">
            <v>2399.6999999999998</v>
          </cell>
        </row>
        <row r="28">
          <cell r="N28">
            <v>43</v>
          </cell>
          <cell r="O28">
            <v>2399.6999999999998</v>
          </cell>
          <cell r="P28">
            <v>44</v>
          </cell>
          <cell r="Q28">
            <v>2397.3000000000002</v>
          </cell>
        </row>
        <row r="29">
          <cell r="N29">
            <v>44</v>
          </cell>
          <cell r="O29">
            <v>2397.3000000000002</v>
          </cell>
          <cell r="P29">
            <v>45</v>
          </cell>
          <cell r="Q29">
            <v>2394.9</v>
          </cell>
        </row>
        <row r="30">
          <cell r="N30">
            <v>45</v>
          </cell>
          <cell r="O30">
            <v>2394.9</v>
          </cell>
          <cell r="P30">
            <v>46</v>
          </cell>
          <cell r="Q30">
            <v>2392.5</v>
          </cell>
        </row>
        <row r="31">
          <cell r="N31">
            <v>46</v>
          </cell>
          <cell r="O31">
            <v>2392.5</v>
          </cell>
          <cell r="P31">
            <v>47</v>
          </cell>
          <cell r="Q31">
            <v>2390.1</v>
          </cell>
        </row>
        <row r="32">
          <cell r="N32">
            <v>47</v>
          </cell>
          <cell r="O32">
            <v>2390.1</v>
          </cell>
          <cell r="P32">
            <v>48</v>
          </cell>
          <cell r="Q32">
            <v>2387.6999999999998</v>
          </cell>
        </row>
        <row r="33">
          <cell r="N33">
            <v>48</v>
          </cell>
          <cell r="O33">
            <v>2387.6999999999998</v>
          </cell>
          <cell r="P33">
            <v>49</v>
          </cell>
          <cell r="Q33">
            <v>2385.3000000000002</v>
          </cell>
        </row>
        <row r="34">
          <cell r="N34">
            <v>49</v>
          </cell>
          <cell r="O34">
            <v>2385.3000000000002</v>
          </cell>
          <cell r="P34">
            <v>50</v>
          </cell>
          <cell r="Q34">
            <v>2382.9</v>
          </cell>
        </row>
        <row r="35">
          <cell r="N35">
            <v>50</v>
          </cell>
          <cell r="O35">
            <v>2382.9</v>
          </cell>
          <cell r="P35">
            <v>51</v>
          </cell>
          <cell r="Q35">
            <v>2380.5</v>
          </cell>
        </row>
        <row r="36">
          <cell r="N36">
            <v>51</v>
          </cell>
          <cell r="O36">
            <v>2380.5</v>
          </cell>
          <cell r="P36">
            <v>52</v>
          </cell>
          <cell r="Q36">
            <v>2378.1</v>
          </cell>
        </row>
        <row r="37">
          <cell r="N37">
            <v>52</v>
          </cell>
          <cell r="O37">
            <v>2378.1</v>
          </cell>
          <cell r="P37">
            <v>53</v>
          </cell>
          <cell r="Q37">
            <v>2375.6999999999998</v>
          </cell>
        </row>
        <row r="38">
          <cell r="N38">
            <v>53</v>
          </cell>
          <cell r="O38">
            <v>2375.6999999999998</v>
          </cell>
          <cell r="P38">
            <v>54</v>
          </cell>
          <cell r="Q38">
            <v>2373.1999999999998</v>
          </cell>
        </row>
        <row r="39">
          <cell r="N39">
            <v>54</v>
          </cell>
          <cell r="O39">
            <v>2373.1999999999998</v>
          </cell>
          <cell r="P39">
            <v>55</v>
          </cell>
          <cell r="Q39">
            <v>2370.8000000000002</v>
          </cell>
        </row>
        <row r="40">
          <cell r="N40">
            <v>55</v>
          </cell>
          <cell r="O40">
            <v>2370.8000000000002</v>
          </cell>
          <cell r="P40">
            <v>56</v>
          </cell>
          <cell r="Q40">
            <v>2368.4</v>
          </cell>
        </row>
        <row r="41">
          <cell r="N41">
            <v>56</v>
          </cell>
          <cell r="O41">
            <v>2368.4</v>
          </cell>
          <cell r="P41">
            <v>57</v>
          </cell>
          <cell r="Q41">
            <v>2365.9</v>
          </cell>
        </row>
        <row r="42">
          <cell r="N42">
            <v>57</v>
          </cell>
          <cell r="O42">
            <v>2365.9</v>
          </cell>
          <cell r="P42">
            <v>58</v>
          </cell>
          <cell r="Q42">
            <v>2363.5</v>
          </cell>
        </row>
        <row r="43">
          <cell r="N43">
            <v>58</v>
          </cell>
          <cell r="O43">
            <v>2363.5</v>
          </cell>
          <cell r="P43">
            <v>59</v>
          </cell>
          <cell r="Q43">
            <v>2361.1</v>
          </cell>
        </row>
        <row r="44">
          <cell r="N44">
            <v>59</v>
          </cell>
          <cell r="O44">
            <v>2361.1</v>
          </cell>
          <cell r="P44">
            <v>60</v>
          </cell>
          <cell r="Q44">
            <v>2358.6</v>
          </cell>
        </row>
        <row r="45">
          <cell r="N45">
            <v>60</v>
          </cell>
          <cell r="O45">
            <v>2358.6</v>
          </cell>
          <cell r="P45">
            <v>61</v>
          </cell>
          <cell r="Q45">
            <v>2356.1999999999998</v>
          </cell>
        </row>
        <row r="46">
          <cell r="N46">
            <v>61</v>
          </cell>
          <cell r="O46">
            <v>2356.1999999999998</v>
          </cell>
          <cell r="P46">
            <v>62</v>
          </cell>
          <cell r="Q46">
            <v>2353.6999999999998</v>
          </cell>
        </row>
        <row r="47">
          <cell r="N47">
            <v>62</v>
          </cell>
          <cell r="O47">
            <v>2353.6999999999998</v>
          </cell>
          <cell r="P47">
            <v>63</v>
          </cell>
          <cell r="Q47">
            <v>2351.3000000000002</v>
          </cell>
        </row>
        <row r="48">
          <cell r="N48">
            <v>63</v>
          </cell>
          <cell r="O48">
            <v>2351.3000000000002</v>
          </cell>
          <cell r="P48">
            <v>64</v>
          </cell>
          <cell r="Q48">
            <v>2348.8000000000002</v>
          </cell>
        </row>
        <row r="49">
          <cell r="N49">
            <v>64</v>
          </cell>
          <cell r="O49">
            <v>2348.8000000000002</v>
          </cell>
          <cell r="P49">
            <v>65</v>
          </cell>
          <cell r="Q49">
            <v>2346.3000000000002</v>
          </cell>
        </row>
        <row r="50">
          <cell r="N50">
            <v>65</v>
          </cell>
          <cell r="O50">
            <v>2346.3000000000002</v>
          </cell>
          <cell r="P50">
            <v>66</v>
          </cell>
          <cell r="Q50">
            <v>2343.9</v>
          </cell>
        </row>
        <row r="51">
          <cell r="N51">
            <v>66</v>
          </cell>
          <cell r="O51">
            <v>2343.9</v>
          </cell>
          <cell r="P51">
            <v>67</v>
          </cell>
          <cell r="Q51">
            <v>2341.4</v>
          </cell>
        </row>
        <row r="52">
          <cell r="N52">
            <v>67</v>
          </cell>
          <cell r="O52">
            <v>2341.4</v>
          </cell>
          <cell r="P52">
            <v>68</v>
          </cell>
          <cell r="Q52">
            <v>2338.9</v>
          </cell>
        </row>
        <row r="53">
          <cell r="N53">
            <v>68</v>
          </cell>
          <cell r="O53">
            <v>2338.9</v>
          </cell>
          <cell r="P53">
            <v>69</v>
          </cell>
          <cell r="Q53">
            <v>2336.4</v>
          </cell>
        </row>
        <row r="54">
          <cell r="N54">
            <v>69</v>
          </cell>
          <cell r="O54">
            <v>2336.4</v>
          </cell>
          <cell r="P54">
            <v>70</v>
          </cell>
          <cell r="Q54">
            <v>2334</v>
          </cell>
        </row>
        <row r="55">
          <cell r="N55">
            <v>70</v>
          </cell>
          <cell r="O55">
            <v>2334</v>
          </cell>
          <cell r="P55">
            <v>71</v>
          </cell>
          <cell r="Q55">
            <v>2331.5</v>
          </cell>
        </row>
        <row r="56">
          <cell r="N56">
            <v>71</v>
          </cell>
          <cell r="O56">
            <v>2331.5</v>
          </cell>
          <cell r="P56">
            <v>72</v>
          </cell>
          <cell r="Q56">
            <v>2329</v>
          </cell>
        </row>
        <row r="57">
          <cell r="N57">
            <v>72</v>
          </cell>
          <cell r="O57">
            <v>2329</v>
          </cell>
          <cell r="P57">
            <v>73</v>
          </cell>
          <cell r="Q57">
            <v>2326.5</v>
          </cell>
        </row>
        <row r="58">
          <cell r="N58">
            <v>73</v>
          </cell>
          <cell r="O58">
            <v>2326.5</v>
          </cell>
          <cell r="P58">
            <v>74</v>
          </cell>
          <cell r="Q58">
            <v>2324</v>
          </cell>
        </row>
        <row r="59">
          <cell r="N59">
            <v>74</v>
          </cell>
          <cell r="O59">
            <v>2324</v>
          </cell>
          <cell r="P59">
            <v>75</v>
          </cell>
          <cell r="Q59">
            <v>2321.5</v>
          </cell>
        </row>
        <row r="60">
          <cell r="N60">
            <v>75</v>
          </cell>
          <cell r="O60">
            <v>2321.5</v>
          </cell>
          <cell r="P60">
            <v>76</v>
          </cell>
          <cell r="Q60">
            <v>2318.9</v>
          </cell>
        </row>
        <row r="61">
          <cell r="N61">
            <v>76</v>
          </cell>
          <cell r="O61">
            <v>2318.9</v>
          </cell>
          <cell r="P61">
            <v>77</v>
          </cell>
          <cell r="Q61">
            <v>2316.4</v>
          </cell>
        </row>
        <row r="62">
          <cell r="N62">
            <v>77</v>
          </cell>
          <cell r="O62">
            <v>2316.4</v>
          </cell>
          <cell r="P62">
            <v>78</v>
          </cell>
          <cell r="Q62">
            <v>2313.9</v>
          </cell>
        </row>
        <row r="63">
          <cell r="N63">
            <v>78</v>
          </cell>
          <cell r="O63">
            <v>2313.9</v>
          </cell>
          <cell r="P63">
            <v>79</v>
          </cell>
          <cell r="Q63">
            <v>2311.4</v>
          </cell>
        </row>
        <row r="64">
          <cell r="N64">
            <v>79</v>
          </cell>
          <cell r="O64">
            <v>2311.4</v>
          </cell>
          <cell r="P64">
            <v>80</v>
          </cell>
          <cell r="Q64">
            <v>2308.8000000000002</v>
          </cell>
        </row>
        <row r="65">
          <cell r="N65">
            <v>80</v>
          </cell>
          <cell r="O65">
            <v>2308.8000000000002</v>
          </cell>
          <cell r="P65">
            <v>81</v>
          </cell>
          <cell r="Q65">
            <v>2306.3000000000002</v>
          </cell>
        </row>
        <row r="66">
          <cell r="N66">
            <v>81</v>
          </cell>
          <cell r="O66">
            <v>2306.3000000000002</v>
          </cell>
          <cell r="P66">
            <v>82</v>
          </cell>
          <cell r="Q66">
            <v>2303.8000000000002</v>
          </cell>
        </row>
        <row r="67">
          <cell r="N67">
            <v>82</v>
          </cell>
          <cell r="O67">
            <v>2303.8000000000002</v>
          </cell>
          <cell r="P67">
            <v>83</v>
          </cell>
          <cell r="Q67">
            <v>2301.1999999999998</v>
          </cell>
        </row>
        <row r="68">
          <cell r="N68">
            <v>83</v>
          </cell>
          <cell r="O68">
            <v>2301.1999999999998</v>
          </cell>
          <cell r="P68">
            <v>84</v>
          </cell>
          <cell r="Q68">
            <v>2298.6999999999998</v>
          </cell>
        </row>
        <row r="69">
          <cell r="N69">
            <v>84</v>
          </cell>
          <cell r="O69">
            <v>2298.6999999999998</v>
          </cell>
          <cell r="P69">
            <v>85</v>
          </cell>
          <cell r="Q69">
            <v>2296.5</v>
          </cell>
        </row>
        <row r="70">
          <cell r="N70">
            <v>85</v>
          </cell>
          <cell r="O70">
            <v>2296.5</v>
          </cell>
          <cell r="P70">
            <v>86</v>
          </cell>
          <cell r="Q70">
            <v>2293.1</v>
          </cell>
        </row>
        <row r="71">
          <cell r="N71">
            <v>86</v>
          </cell>
          <cell r="O71">
            <v>2293.1</v>
          </cell>
          <cell r="P71">
            <v>87</v>
          </cell>
          <cell r="Q71">
            <v>2290.9</v>
          </cell>
        </row>
        <row r="72">
          <cell r="N72">
            <v>87</v>
          </cell>
          <cell r="O72">
            <v>2290.9</v>
          </cell>
          <cell r="P72">
            <v>88</v>
          </cell>
          <cell r="Q72">
            <v>2288.4</v>
          </cell>
        </row>
        <row r="73">
          <cell r="N73">
            <v>88</v>
          </cell>
          <cell r="O73">
            <v>2288.4</v>
          </cell>
          <cell r="P73">
            <v>89</v>
          </cell>
          <cell r="Q73">
            <v>2285.8000000000002</v>
          </cell>
        </row>
        <row r="74">
          <cell r="N74">
            <v>89</v>
          </cell>
          <cell r="O74">
            <v>2285.8000000000002</v>
          </cell>
          <cell r="P74">
            <v>90</v>
          </cell>
          <cell r="Q74">
            <v>2283.1999999999998</v>
          </cell>
        </row>
        <row r="75">
          <cell r="N75">
            <v>90</v>
          </cell>
          <cell r="O75">
            <v>2283.1999999999998</v>
          </cell>
          <cell r="P75">
            <v>91</v>
          </cell>
          <cell r="Q75">
            <v>2280.6</v>
          </cell>
        </row>
        <row r="76">
          <cell r="N76">
            <v>91</v>
          </cell>
          <cell r="O76">
            <v>2280.6</v>
          </cell>
          <cell r="P76">
            <v>92</v>
          </cell>
          <cell r="Q76">
            <v>2278</v>
          </cell>
        </row>
        <row r="77">
          <cell r="N77">
            <v>92</v>
          </cell>
          <cell r="O77">
            <v>2278</v>
          </cell>
          <cell r="P77">
            <v>93</v>
          </cell>
          <cell r="Q77">
            <v>2275.4</v>
          </cell>
        </row>
        <row r="78">
          <cell r="N78">
            <v>93</v>
          </cell>
          <cell r="O78">
            <v>2275.4</v>
          </cell>
          <cell r="P78">
            <v>94</v>
          </cell>
          <cell r="Q78">
            <v>2272.8000000000002</v>
          </cell>
        </row>
        <row r="79">
          <cell r="N79">
            <v>94</v>
          </cell>
          <cell r="O79">
            <v>2272.8000000000002</v>
          </cell>
          <cell r="P79">
            <v>95</v>
          </cell>
          <cell r="Q79">
            <v>2270.1999999999998</v>
          </cell>
        </row>
        <row r="80">
          <cell r="N80">
            <v>95</v>
          </cell>
          <cell r="O80">
            <v>2270.1999999999998</v>
          </cell>
          <cell r="P80">
            <v>96</v>
          </cell>
          <cell r="Q80">
            <v>2267.5</v>
          </cell>
        </row>
        <row r="81">
          <cell r="N81">
            <v>96</v>
          </cell>
          <cell r="O81">
            <v>2267.5</v>
          </cell>
          <cell r="P81">
            <v>97</v>
          </cell>
          <cell r="Q81">
            <v>2264.9</v>
          </cell>
        </row>
        <row r="82">
          <cell r="N82">
            <v>97</v>
          </cell>
          <cell r="O82">
            <v>2264.9</v>
          </cell>
          <cell r="P82">
            <v>98</v>
          </cell>
          <cell r="Q82">
            <v>2262.1999999999998</v>
          </cell>
        </row>
        <row r="83">
          <cell r="N83">
            <v>98</v>
          </cell>
          <cell r="O83">
            <v>2262.1999999999998</v>
          </cell>
          <cell r="P83">
            <v>99</v>
          </cell>
          <cell r="Q83">
            <v>2259.6</v>
          </cell>
        </row>
        <row r="84">
          <cell r="N84">
            <v>99</v>
          </cell>
          <cell r="O84">
            <v>2259.6</v>
          </cell>
          <cell r="P84">
            <v>100</v>
          </cell>
          <cell r="Q84">
            <v>2256.9</v>
          </cell>
        </row>
        <row r="85">
          <cell r="N85">
            <v>100</v>
          </cell>
          <cell r="O85">
            <v>2256.9</v>
          </cell>
          <cell r="P85">
            <v>101</v>
          </cell>
          <cell r="Q85">
            <v>2254.3000000000002</v>
          </cell>
        </row>
        <row r="86">
          <cell r="N86">
            <v>101</v>
          </cell>
          <cell r="O86">
            <v>2254.3000000000002</v>
          </cell>
          <cell r="P86">
            <v>102</v>
          </cell>
          <cell r="Q86">
            <v>2251.6</v>
          </cell>
        </row>
        <row r="87">
          <cell r="N87">
            <v>102</v>
          </cell>
          <cell r="O87">
            <v>2251.6</v>
          </cell>
          <cell r="P87">
            <v>103</v>
          </cell>
          <cell r="Q87">
            <v>2248.9</v>
          </cell>
        </row>
        <row r="88">
          <cell r="N88">
            <v>103</v>
          </cell>
          <cell r="O88">
            <v>2248.9</v>
          </cell>
          <cell r="P88">
            <v>104</v>
          </cell>
          <cell r="Q88">
            <v>2246.3000000000002</v>
          </cell>
        </row>
        <row r="89">
          <cell r="N89">
            <v>104</v>
          </cell>
          <cell r="O89">
            <v>2246.3000000000002</v>
          </cell>
          <cell r="P89">
            <v>105</v>
          </cell>
          <cell r="Q89">
            <v>2243.6</v>
          </cell>
        </row>
        <row r="90">
          <cell r="N90">
            <v>105</v>
          </cell>
          <cell r="O90">
            <v>2243.6</v>
          </cell>
          <cell r="P90">
            <v>106</v>
          </cell>
          <cell r="Q90">
            <v>2240.9</v>
          </cell>
        </row>
        <row r="91">
          <cell r="N91">
            <v>106</v>
          </cell>
          <cell r="O91">
            <v>2240.9</v>
          </cell>
          <cell r="P91">
            <v>107</v>
          </cell>
          <cell r="Q91">
            <v>2238.1999999999998</v>
          </cell>
        </row>
        <row r="92">
          <cell r="N92">
            <v>107</v>
          </cell>
          <cell r="O92">
            <v>2238.1999999999998</v>
          </cell>
          <cell r="P92">
            <v>108</v>
          </cell>
          <cell r="Q92">
            <v>2235.4</v>
          </cell>
        </row>
        <row r="93">
          <cell r="N93">
            <v>108</v>
          </cell>
          <cell r="O93">
            <v>2235.4</v>
          </cell>
          <cell r="P93">
            <v>109</v>
          </cell>
          <cell r="Q93">
            <v>2232.6999999999998</v>
          </cell>
        </row>
        <row r="94">
          <cell r="N94">
            <v>109</v>
          </cell>
          <cell r="O94">
            <v>2232.6999999999998</v>
          </cell>
          <cell r="P94">
            <v>110</v>
          </cell>
          <cell r="Q94">
            <v>2230</v>
          </cell>
        </row>
        <row r="95">
          <cell r="N95">
            <v>110</v>
          </cell>
          <cell r="O95">
            <v>2230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ow r="5">
          <cell r="N5">
            <v>20</v>
          </cell>
        </row>
      </sheetData>
      <sheetData sheetId="116">
        <row r="5">
          <cell r="N5">
            <v>20</v>
          </cell>
        </row>
      </sheetData>
      <sheetData sheetId="117">
        <row r="5">
          <cell r="N5">
            <v>20</v>
          </cell>
        </row>
      </sheetData>
      <sheetData sheetId="118">
        <row r="5">
          <cell r="N5">
            <v>20</v>
          </cell>
        </row>
      </sheetData>
      <sheetData sheetId="119">
        <row r="5">
          <cell r="N5">
            <v>20</v>
          </cell>
        </row>
      </sheetData>
      <sheetData sheetId="120">
        <row r="5">
          <cell r="N5">
            <v>20</v>
          </cell>
        </row>
      </sheetData>
      <sheetData sheetId="121">
        <row r="5">
          <cell r="N5">
            <v>20</v>
          </cell>
        </row>
      </sheetData>
      <sheetData sheetId="122">
        <row r="5">
          <cell r="N5">
            <v>20</v>
          </cell>
        </row>
      </sheetData>
      <sheetData sheetId="123">
        <row r="5">
          <cell r="N5">
            <v>20</v>
          </cell>
        </row>
      </sheetData>
      <sheetData sheetId="124">
        <row r="5">
          <cell r="N5">
            <v>20</v>
          </cell>
        </row>
      </sheetData>
      <sheetData sheetId="125">
        <row r="5">
          <cell r="N5">
            <v>20</v>
          </cell>
        </row>
      </sheetData>
      <sheetData sheetId="126">
        <row r="5">
          <cell r="N5">
            <v>20</v>
          </cell>
        </row>
      </sheetData>
      <sheetData sheetId="127">
        <row r="5">
          <cell r="N5">
            <v>20</v>
          </cell>
        </row>
      </sheetData>
      <sheetData sheetId="128">
        <row r="5">
          <cell r="N5">
            <v>20</v>
          </cell>
        </row>
      </sheetData>
      <sheetData sheetId="129">
        <row r="5">
          <cell r="N5">
            <v>20</v>
          </cell>
        </row>
      </sheetData>
      <sheetData sheetId="130">
        <row r="5">
          <cell r="N5">
            <v>20</v>
          </cell>
        </row>
      </sheetData>
      <sheetData sheetId="131">
        <row r="5">
          <cell r="N5">
            <v>20</v>
          </cell>
        </row>
      </sheetData>
      <sheetData sheetId="132">
        <row r="5">
          <cell r="N5">
            <v>20</v>
          </cell>
        </row>
      </sheetData>
      <sheetData sheetId="133">
        <row r="5">
          <cell r="N5">
            <v>20</v>
          </cell>
        </row>
      </sheetData>
      <sheetData sheetId="134">
        <row r="5">
          <cell r="N5">
            <v>20</v>
          </cell>
        </row>
      </sheetData>
      <sheetData sheetId="135">
        <row r="5">
          <cell r="N5">
            <v>20</v>
          </cell>
        </row>
      </sheetData>
      <sheetData sheetId="136">
        <row r="5">
          <cell r="N5">
            <v>20</v>
          </cell>
        </row>
      </sheetData>
      <sheetData sheetId="137">
        <row r="5">
          <cell r="N5">
            <v>20</v>
          </cell>
        </row>
      </sheetData>
      <sheetData sheetId="138">
        <row r="5">
          <cell r="N5">
            <v>20</v>
          </cell>
        </row>
      </sheetData>
      <sheetData sheetId="139">
        <row r="5">
          <cell r="N5">
            <v>20</v>
          </cell>
        </row>
      </sheetData>
      <sheetData sheetId="140">
        <row r="5">
          <cell r="N5">
            <v>20</v>
          </cell>
        </row>
      </sheetData>
      <sheetData sheetId="141">
        <row r="5">
          <cell r="N5">
            <v>20</v>
          </cell>
        </row>
      </sheetData>
      <sheetData sheetId="142">
        <row r="5">
          <cell r="N5">
            <v>20</v>
          </cell>
        </row>
      </sheetData>
      <sheetData sheetId="143">
        <row r="5">
          <cell r="N5">
            <v>20</v>
          </cell>
        </row>
      </sheetData>
      <sheetData sheetId="144">
        <row r="5">
          <cell r="N5">
            <v>20</v>
          </cell>
        </row>
      </sheetData>
      <sheetData sheetId="145">
        <row r="5">
          <cell r="N5">
            <v>20</v>
          </cell>
        </row>
      </sheetData>
      <sheetData sheetId="146">
        <row r="5">
          <cell r="N5">
            <v>20</v>
          </cell>
        </row>
      </sheetData>
      <sheetData sheetId="147">
        <row r="5">
          <cell r="N5">
            <v>20</v>
          </cell>
        </row>
      </sheetData>
      <sheetData sheetId="148">
        <row r="5">
          <cell r="N5">
            <v>20</v>
          </cell>
        </row>
      </sheetData>
      <sheetData sheetId="149">
        <row r="5">
          <cell r="N5">
            <v>20</v>
          </cell>
        </row>
      </sheetData>
      <sheetData sheetId="150">
        <row r="5">
          <cell r="N5">
            <v>20</v>
          </cell>
        </row>
      </sheetData>
      <sheetData sheetId="151">
        <row r="5">
          <cell r="N5">
            <v>20</v>
          </cell>
        </row>
      </sheetData>
      <sheetData sheetId="152">
        <row r="5">
          <cell r="N5">
            <v>20</v>
          </cell>
        </row>
      </sheetData>
      <sheetData sheetId="153">
        <row r="5">
          <cell r="N5">
            <v>20</v>
          </cell>
        </row>
      </sheetData>
      <sheetData sheetId="154">
        <row r="5">
          <cell r="N5">
            <v>20</v>
          </cell>
        </row>
      </sheetData>
      <sheetData sheetId="155">
        <row r="5">
          <cell r="N5">
            <v>20</v>
          </cell>
        </row>
      </sheetData>
      <sheetData sheetId="156">
        <row r="5">
          <cell r="N5">
            <v>20</v>
          </cell>
        </row>
      </sheetData>
      <sheetData sheetId="157">
        <row r="5">
          <cell r="N5">
            <v>20</v>
          </cell>
        </row>
      </sheetData>
      <sheetData sheetId="158">
        <row r="5">
          <cell r="N5">
            <v>20</v>
          </cell>
        </row>
      </sheetData>
      <sheetData sheetId="159">
        <row r="5">
          <cell r="N5">
            <v>20</v>
          </cell>
        </row>
      </sheetData>
      <sheetData sheetId="160">
        <row r="5">
          <cell r="N5">
            <v>20</v>
          </cell>
        </row>
      </sheetData>
      <sheetData sheetId="161">
        <row r="5">
          <cell r="N5">
            <v>20</v>
          </cell>
        </row>
      </sheetData>
      <sheetData sheetId="162">
        <row r="5">
          <cell r="N5">
            <v>20</v>
          </cell>
        </row>
      </sheetData>
      <sheetData sheetId="163">
        <row r="5">
          <cell r="N5">
            <v>20</v>
          </cell>
        </row>
      </sheetData>
      <sheetData sheetId="164">
        <row r="5">
          <cell r="N5">
            <v>20</v>
          </cell>
        </row>
      </sheetData>
      <sheetData sheetId="165">
        <row r="5">
          <cell r="N5">
            <v>20</v>
          </cell>
        </row>
      </sheetData>
      <sheetData sheetId="166">
        <row r="5">
          <cell r="N5">
            <v>20</v>
          </cell>
        </row>
      </sheetData>
      <sheetData sheetId="167">
        <row r="5">
          <cell r="N5">
            <v>20</v>
          </cell>
        </row>
      </sheetData>
      <sheetData sheetId="168">
        <row r="5">
          <cell r="N5">
            <v>20</v>
          </cell>
        </row>
      </sheetData>
      <sheetData sheetId="169">
        <row r="5">
          <cell r="N5">
            <v>20</v>
          </cell>
        </row>
      </sheetData>
      <sheetData sheetId="170">
        <row r="5">
          <cell r="N5">
            <v>20</v>
          </cell>
        </row>
      </sheetData>
      <sheetData sheetId="171">
        <row r="5">
          <cell r="N5">
            <v>20</v>
          </cell>
        </row>
      </sheetData>
      <sheetData sheetId="172">
        <row r="5">
          <cell r="N5">
            <v>20</v>
          </cell>
        </row>
      </sheetData>
      <sheetData sheetId="173">
        <row r="5">
          <cell r="N5">
            <v>20</v>
          </cell>
        </row>
      </sheetData>
      <sheetData sheetId="174">
        <row r="5">
          <cell r="N5">
            <v>20</v>
          </cell>
        </row>
      </sheetData>
      <sheetData sheetId="175">
        <row r="5">
          <cell r="N5">
            <v>20</v>
          </cell>
        </row>
      </sheetData>
      <sheetData sheetId="176">
        <row r="5">
          <cell r="N5">
            <v>20</v>
          </cell>
        </row>
      </sheetData>
      <sheetData sheetId="177">
        <row r="5">
          <cell r="N5">
            <v>20</v>
          </cell>
        </row>
      </sheetData>
      <sheetData sheetId="178">
        <row r="5">
          <cell r="N5">
            <v>20</v>
          </cell>
        </row>
      </sheetData>
      <sheetData sheetId="179">
        <row r="5">
          <cell r="N5">
            <v>20</v>
          </cell>
        </row>
      </sheetData>
      <sheetData sheetId="180">
        <row r="5">
          <cell r="N5">
            <v>20</v>
          </cell>
        </row>
      </sheetData>
      <sheetData sheetId="181">
        <row r="5">
          <cell r="N5">
            <v>20</v>
          </cell>
        </row>
      </sheetData>
      <sheetData sheetId="182">
        <row r="5">
          <cell r="N5">
            <v>20</v>
          </cell>
        </row>
      </sheetData>
      <sheetData sheetId="183">
        <row r="5">
          <cell r="N5">
            <v>20</v>
          </cell>
        </row>
      </sheetData>
      <sheetData sheetId="184">
        <row r="5">
          <cell r="N5">
            <v>20</v>
          </cell>
        </row>
      </sheetData>
      <sheetData sheetId="185">
        <row r="5">
          <cell r="N5">
            <v>20</v>
          </cell>
        </row>
      </sheetData>
      <sheetData sheetId="186">
        <row r="5">
          <cell r="N5">
            <v>20</v>
          </cell>
        </row>
      </sheetData>
      <sheetData sheetId="187">
        <row r="5">
          <cell r="N5">
            <v>20</v>
          </cell>
        </row>
      </sheetData>
      <sheetData sheetId="188">
        <row r="5">
          <cell r="N5">
            <v>20</v>
          </cell>
        </row>
      </sheetData>
      <sheetData sheetId="189">
        <row r="5">
          <cell r="N5">
            <v>20</v>
          </cell>
        </row>
      </sheetData>
      <sheetData sheetId="190">
        <row r="5">
          <cell r="N5">
            <v>20</v>
          </cell>
        </row>
      </sheetData>
      <sheetData sheetId="191">
        <row r="5">
          <cell r="N5">
            <v>20</v>
          </cell>
        </row>
      </sheetData>
      <sheetData sheetId="192">
        <row r="5">
          <cell r="N5">
            <v>20</v>
          </cell>
        </row>
      </sheetData>
      <sheetData sheetId="193">
        <row r="5">
          <cell r="N5">
            <v>20</v>
          </cell>
        </row>
      </sheetData>
      <sheetData sheetId="194">
        <row r="5">
          <cell r="N5">
            <v>20</v>
          </cell>
        </row>
      </sheetData>
      <sheetData sheetId="195">
        <row r="5">
          <cell r="N5">
            <v>20</v>
          </cell>
        </row>
      </sheetData>
      <sheetData sheetId="196">
        <row r="5">
          <cell r="N5">
            <v>20</v>
          </cell>
        </row>
      </sheetData>
      <sheetData sheetId="197">
        <row r="5">
          <cell r="N5">
            <v>20</v>
          </cell>
        </row>
      </sheetData>
      <sheetData sheetId="198">
        <row r="5">
          <cell r="N5">
            <v>20</v>
          </cell>
        </row>
      </sheetData>
      <sheetData sheetId="199">
        <row r="5">
          <cell r="N5">
            <v>20</v>
          </cell>
        </row>
      </sheetData>
      <sheetData sheetId="200">
        <row r="5">
          <cell r="N5">
            <v>20</v>
          </cell>
        </row>
      </sheetData>
      <sheetData sheetId="201">
        <row r="5">
          <cell r="N5">
            <v>20</v>
          </cell>
        </row>
      </sheetData>
      <sheetData sheetId="202">
        <row r="5">
          <cell r="N5">
            <v>20</v>
          </cell>
        </row>
      </sheetData>
      <sheetData sheetId="203">
        <row r="5">
          <cell r="N5">
            <v>20</v>
          </cell>
        </row>
      </sheetData>
      <sheetData sheetId="204">
        <row r="5">
          <cell r="N5">
            <v>20</v>
          </cell>
        </row>
      </sheetData>
      <sheetData sheetId="205">
        <row r="5">
          <cell r="N5">
            <v>20</v>
          </cell>
        </row>
      </sheetData>
      <sheetData sheetId="206">
        <row r="5">
          <cell r="N5">
            <v>20</v>
          </cell>
        </row>
      </sheetData>
      <sheetData sheetId="207">
        <row r="5">
          <cell r="N5">
            <v>20</v>
          </cell>
        </row>
      </sheetData>
      <sheetData sheetId="208">
        <row r="5">
          <cell r="N5">
            <v>20</v>
          </cell>
        </row>
      </sheetData>
      <sheetData sheetId="209">
        <row r="5">
          <cell r="N5">
            <v>20</v>
          </cell>
        </row>
      </sheetData>
      <sheetData sheetId="210">
        <row r="5">
          <cell r="N5">
            <v>20</v>
          </cell>
        </row>
      </sheetData>
      <sheetData sheetId="211">
        <row r="5">
          <cell r="N5">
            <v>20</v>
          </cell>
        </row>
      </sheetData>
      <sheetData sheetId="212">
        <row r="5">
          <cell r="N5">
            <v>20</v>
          </cell>
        </row>
      </sheetData>
      <sheetData sheetId="213">
        <row r="5">
          <cell r="N5">
            <v>20</v>
          </cell>
        </row>
      </sheetData>
      <sheetData sheetId="214">
        <row r="5">
          <cell r="N5">
            <v>20</v>
          </cell>
        </row>
      </sheetData>
      <sheetData sheetId="215">
        <row r="5">
          <cell r="N5">
            <v>20</v>
          </cell>
        </row>
      </sheetData>
      <sheetData sheetId="216">
        <row r="5">
          <cell r="N5">
            <v>20</v>
          </cell>
        </row>
      </sheetData>
      <sheetData sheetId="217">
        <row r="5">
          <cell r="N5">
            <v>20</v>
          </cell>
        </row>
      </sheetData>
      <sheetData sheetId="218">
        <row r="5">
          <cell r="N5">
            <v>20</v>
          </cell>
        </row>
      </sheetData>
      <sheetData sheetId="219">
        <row r="5">
          <cell r="N5">
            <v>20</v>
          </cell>
        </row>
      </sheetData>
      <sheetData sheetId="220">
        <row r="5">
          <cell r="N5">
            <v>20</v>
          </cell>
        </row>
      </sheetData>
      <sheetData sheetId="221">
        <row r="5">
          <cell r="N5">
            <v>20</v>
          </cell>
        </row>
      </sheetData>
      <sheetData sheetId="222" refreshError="1"/>
      <sheetData sheetId="223" refreshError="1"/>
      <sheetData sheetId="224" refreshError="1"/>
      <sheetData sheetId="225" refreshError="1"/>
      <sheetData sheetId="226" refreshError="1"/>
      <sheetData sheetId="227" refreshError="1"/>
      <sheetData sheetId="228" refreshError="1"/>
      <sheetData sheetId="229">
        <row r="5">
          <cell r="N5">
            <v>20</v>
          </cell>
        </row>
      </sheetData>
      <sheetData sheetId="230">
        <row r="5">
          <cell r="N5">
            <v>20</v>
          </cell>
        </row>
      </sheetData>
      <sheetData sheetId="231">
        <row r="5">
          <cell r="N5">
            <v>20</v>
          </cell>
        </row>
      </sheetData>
      <sheetData sheetId="232">
        <row r="5">
          <cell r="N5">
            <v>20</v>
          </cell>
        </row>
      </sheetData>
      <sheetData sheetId="233">
        <row r="5">
          <cell r="N5">
            <v>20</v>
          </cell>
        </row>
      </sheetData>
      <sheetData sheetId="234">
        <row r="5">
          <cell r="N5">
            <v>20</v>
          </cell>
        </row>
      </sheetData>
      <sheetData sheetId="235">
        <row r="5">
          <cell r="N5">
            <v>20</v>
          </cell>
        </row>
      </sheetData>
      <sheetData sheetId="236">
        <row r="5">
          <cell r="N5">
            <v>20</v>
          </cell>
        </row>
      </sheetData>
      <sheetData sheetId="237">
        <row r="5">
          <cell r="N5">
            <v>20</v>
          </cell>
        </row>
      </sheetData>
      <sheetData sheetId="238">
        <row r="5">
          <cell r="N5">
            <v>20</v>
          </cell>
        </row>
      </sheetData>
      <sheetData sheetId="239">
        <row r="5">
          <cell r="N5">
            <v>20</v>
          </cell>
        </row>
      </sheetData>
      <sheetData sheetId="240">
        <row r="5">
          <cell r="N5">
            <v>20</v>
          </cell>
        </row>
      </sheetData>
      <sheetData sheetId="241">
        <row r="5">
          <cell r="N5">
            <v>20</v>
          </cell>
        </row>
      </sheetData>
      <sheetData sheetId="242">
        <row r="5">
          <cell r="N5">
            <v>20</v>
          </cell>
        </row>
      </sheetData>
      <sheetData sheetId="243">
        <row r="5">
          <cell r="N5">
            <v>20</v>
          </cell>
        </row>
      </sheetData>
      <sheetData sheetId="244">
        <row r="5">
          <cell r="N5">
            <v>20</v>
          </cell>
        </row>
      </sheetData>
      <sheetData sheetId="245">
        <row r="5">
          <cell r="N5">
            <v>20</v>
          </cell>
        </row>
      </sheetData>
      <sheetData sheetId="246">
        <row r="5">
          <cell r="N5">
            <v>20</v>
          </cell>
        </row>
      </sheetData>
      <sheetData sheetId="247">
        <row r="5">
          <cell r="N5">
            <v>20</v>
          </cell>
        </row>
      </sheetData>
      <sheetData sheetId="248">
        <row r="5">
          <cell r="N5">
            <v>20</v>
          </cell>
        </row>
      </sheetData>
      <sheetData sheetId="249">
        <row r="5">
          <cell r="N5">
            <v>20</v>
          </cell>
        </row>
      </sheetData>
      <sheetData sheetId="250">
        <row r="5">
          <cell r="N5">
            <v>20</v>
          </cell>
        </row>
      </sheetData>
      <sheetData sheetId="251">
        <row r="5">
          <cell r="N5">
            <v>20</v>
          </cell>
        </row>
      </sheetData>
      <sheetData sheetId="252">
        <row r="5">
          <cell r="N5">
            <v>20</v>
          </cell>
        </row>
      </sheetData>
      <sheetData sheetId="253">
        <row r="5">
          <cell r="N5">
            <v>20</v>
          </cell>
        </row>
      </sheetData>
      <sheetData sheetId="254">
        <row r="5">
          <cell r="N5">
            <v>20</v>
          </cell>
        </row>
      </sheetData>
      <sheetData sheetId="255">
        <row r="5">
          <cell r="N5">
            <v>20</v>
          </cell>
        </row>
      </sheetData>
      <sheetData sheetId="256">
        <row r="5">
          <cell r="N5">
            <v>20</v>
          </cell>
        </row>
      </sheetData>
      <sheetData sheetId="257">
        <row r="5">
          <cell r="N5">
            <v>20</v>
          </cell>
        </row>
      </sheetData>
      <sheetData sheetId="258">
        <row r="5">
          <cell r="N5">
            <v>20</v>
          </cell>
        </row>
      </sheetData>
      <sheetData sheetId="259">
        <row r="5">
          <cell r="N5">
            <v>20</v>
          </cell>
        </row>
      </sheetData>
      <sheetData sheetId="260">
        <row r="5">
          <cell r="N5">
            <v>20</v>
          </cell>
        </row>
      </sheetData>
      <sheetData sheetId="261">
        <row r="5">
          <cell r="N5">
            <v>20</v>
          </cell>
        </row>
      </sheetData>
      <sheetData sheetId="262">
        <row r="5">
          <cell r="N5">
            <v>20</v>
          </cell>
        </row>
      </sheetData>
      <sheetData sheetId="263">
        <row r="5">
          <cell r="N5">
            <v>20</v>
          </cell>
        </row>
      </sheetData>
      <sheetData sheetId="264">
        <row r="5">
          <cell r="N5">
            <v>20</v>
          </cell>
        </row>
      </sheetData>
      <sheetData sheetId="265">
        <row r="5">
          <cell r="N5">
            <v>20</v>
          </cell>
        </row>
      </sheetData>
      <sheetData sheetId="266">
        <row r="5">
          <cell r="N5">
            <v>20</v>
          </cell>
        </row>
      </sheetData>
      <sheetData sheetId="267">
        <row r="5">
          <cell r="N5">
            <v>20</v>
          </cell>
        </row>
      </sheetData>
      <sheetData sheetId="268">
        <row r="5">
          <cell r="N5">
            <v>20</v>
          </cell>
        </row>
      </sheetData>
      <sheetData sheetId="269">
        <row r="5">
          <cell r="N5">
            <v>20</v>
          </cell>
        </row>
      </sheetData>
      <sheetData sheetId="270">
        <row r="5">
          <cell r="N5">
            <v>20</v>
          </cell>
        </row>
      </sheetData>
      <sheetData sheetId="271">
        <row r="5">
          <cell r="N5">
            <v>20</v>
          </cell>
        </row>
      </sheetData>
      <sheetData sheetId="272">
        <row r="5">
          <cell r="N5">
            <v>20</v>
          </cell>
        </row>
      </sheetData>
      <sheetData sheetId="273">
        <row r="5">
          <cell r="N5">
            <v>20</v>
          </cell>
        </row>
      </sheetData>
      <sheetData sheetId="274">
        <row r="5">
          <cell r="N5">
            <v>20</v>
          </cell>
        </row>
      </sheetData>
      <sheetData sheetId="275">
        <row r="5">
          <cell r="N5">
            <v>20</v>
          </cell>
        </row>
      </sheetData>
      <sheetData sheetId="276">
        <row r="5">
          <cell r="N5">
            <v>20</v>
          </cell>
        </row>
      </sheetData>
      <sheetData sheetId="277">
        <row r="5">
          <cell r="N5">
            <v>20</v>
          </cell>
        </row>
      </sheetData>
      <sheetData sheetId="278">
        <row r="5">
          <cell r="N5">
            <v>20</v>
          </cell>
        </row>
      </sheetData>
      <sheetData sheetId="279">
        <row r="5">
          <cell r="N5">
            <v>20</v>
          </cell>
        </row>
      </sheetData>
      <sheetData sheetId="280">
        <row r="5">
          <cell r="N5">
            <v>20</v>
          </cell>
        </row>
      </sheetData>
      <sheetData sheetId="281">
        <row r="5">
          <cell r="N5">
            <v>20</v>
          </cell>
        </row>
      </sheetData>
      <sheetData sheetId="282">
        <row r="5">
          <cell r="N5">
            <v>20</v>
          </cell>
        </row>
      </sheetData>
      <sheetData sheetId="283"/>
      <sheetData sheetId="284">
        <row r="5">
          <cell r="N5">
            <v>20</v>
          </cell>
        </row>
      </sheetData>
      <sheetData sheetId="285">
        <row r="5">
          <cell r="N5">
            <v>20</v>
          </cell>
        </row>
      </sheetData>
      <sheetData sheetId="286">
        <row r="5">
          <cell r="N5">
            <v>20</v>
          </cell>
        </row>
      </sheetData>
      <sheetData sheetId="287"/>
      <sheetData sheetId="288">
        <row r="5">
          <cell r="N5">
            <v>20</v>
          </cell>
        </row>
      </sheetData>
      <sheetData sheetId="289">
        <row r="5">
          <cell r="N5">
            <v>20</v>
          </cell>
        </row>
      </sheetData>
      <sheetData sheetId="290">
        <row r="5">
          <cell r="N5">
            <v>20</v>
          </cell>
        </row>
      </sheetData>
      <sheetData sheetId="291"/>
      <sheetData sheetId="292">
        <row r="5">
          <cell r="N5">
            <v>20</v>
          </cell>
        </row>
      </sheetData>
      <sheetData sheetId="293"/>
      <sheetData sheetId="294"/>
      <sheetData sheetId="295"/>
      <sheetData sheetId="296">
        <row r="5">
          <cell r="N5">
            <v>20</v>
          </cell>
        </row>
      </sheetData>
      <sheetData sheetId="297"/>
      <sheetData sheetId="298"/>
      <sheetData sheetId="299"/>
      <sheetData sheetId="300">
        <row r="5">
          <cell r="N5">
            <v>20</v>
          </cell>
        </row>
      </sheetData>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row r="5">
          <cell r="N5">
            <v>20</v>
          </cell>
        </row>
      </sheetData>
      <sheetData sheetId="326">
        <row r="5">
          <cell r="N5">
            <v>20</v>
          </cell>
        </row>
      </sheetData>
      <sheetData sheetId="327">
        <row r="5">
          <cell r="N5">
            <v>20</v>
          </cell>
        </row>
      </sheetData>
      <sheetData sheetId="328">
        <row r="5">
          <cell r="N5">
            <v>20</v>
          </cell>
        </row>
      </sheetData>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ow r="14">
          <cell r="EK14" t="str">
            <v>SP-01-1</v>
          </cell>
        </row>
      </sheetData>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일위대가"/>
      <sheetName val="전열면적"/>
      <sheetName val="SEPARATOR"/>
      <sheetName val="2000년1차"/>
      <sheetName val="M-EQPT-Z"/>
      <sheetName val="REPORT07"/>
      <sheetName val="단가집"/>
      <sheetName val="BM "/>
      <sheetName val="DWG LIST"/>
      <sheetName val="자격 땡겨오기"/>
      <sheetName val="VAE264_VALVES"/>
      <sheetName val="5.소재"/>
      <sheetName val="소화실적"/>
      <sheetName val="현장지지물물량"/>
      <sheetName val="sheet1"/>
      <sheetName val="당초"/>
      <sheetName val="실행예산SHEET도장재검토"/>
      <sheetName val="MOB-MAN1"/>
      <sheetName val="예제"/>
      <sheetName val="기준표"/>
      <sheetName val="규격"/>
      <sheetName val="노점수분"/>
      <sheetName val="견적기준"/>
      <sheetName val="자재사용현황"/>
      <sheetName val="w't table"/>
      <sheetName val="INDEX"/>
      <sheetName val="DI-ESTI"/>
      <sheetName val="NYS"/>
      <sheetName val="KH-Q1,Q2,01"/>
      <sheetName val="CAT_5"/>
      <sheetName val="#REF"/>
      <sheetName val=""/>
      <sheetName val="TTL"/>
      <sheetName val="성광벤드"/>
      <sheetName val="GRP PIPING"/>
      <sheetName val="P-LIST"/>
      <sheetName val="물가자료"/>
      <sheetName val="WE'T"/>
      <sheetName val="REDUCER"/>
      <sheetName val="Summary"/>
      <sheetName val="BM"/>
      <sheetName val="B101"/>
      <sheetName val="카메라"/>
      <sheetName val="COA-17"/>
      <sheetName val="C-18"/>
      <sheetName val="임율 Data"/>
      <sheetName val="kich thuoc"/>
      <sheetName val="DTHH"/>
      <sheetName val="REV 4"/>
      <sheetName val="COL"/>
      <sheetName val="Sheet5"/>
      <sheetName val="BEND LOSS"/>
      <sheetName val="FM"/>
      <sheetName val="내역서"/>
      <sheetName val="노임단가"/>
      <sheetName val="품셈표"/>
      <sheetName val="추가예산"/>
      <sheetName val="간접비 총괄표"/>
      <sheetName val="ﾀｰﾋﾞﾝ"/>
      <sheetName val="Setup"/>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BM_"/>
      <sheetName val="DWG_LIST"/>
      <sheetName val="자격_땡겨오기"/>
      <sheetName val="5_소재"/>
      <sheetName val="w't_table"/>
      <sheetName val="임율_Data"/>
      <sheetName val="GRP_PIPING"/>
      <sheetName val="REV_4"/>
      <sheetName val="BEND_LOSS"/>
      <sheetName val="SPARE PART"/>
      <sheetName val="연환"/>
      <sheetName val="부서코드표"/>
      <sheetName val="WXY"/>
      <sheetName val="입찰안"/>
      <sheetName val="CAUDIT"/>
      <sheetName val="골재산출"/>
      <sheetName val="http___www35_daum_net_WIN98_T_2"/>
      <sheetName val="Lists"/>
      <sheetName val="CI "/>
      <sheetName val="CI"/>
      <sheetName val="골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sheetName val="Break Down CI"/>
      <sheetName val="PL(1_2)"/>
      <sheetName val="PL(2_2)"/>
      <sheetName val="Detailed PL"/>
      <sheetName val="SHIPPING MARK"/>
      <sheetName val="SHIPPING MARK1"/>
      <sheetName val="SHIPPING MARK2"/>
    </sheetNames>
    <sheetDataSet>
      <sheetData sheetId="0" refreshError="1">
        <row r="8">
          <cell r="G8" t="str">
            <v>DATE:</v>
          </cell>
        </row>
        <row r="9">
          <cell r="G9" t="str">
            <v>SHIPPING MARK</v>
          </cell>
        </row>
        <row r="26">
          <cell r="B26" t="str">
            <v>Address: O Mon Power Complex at Phuoc Thoi wards, O Mon district, Can Tho city</v>
          </cell>
        </row>
        <row r="28">
          <cell r="B28" t="str">
            <v>PLANT/ EQUIPMENT AND MATERIALS FOR O MON IV THERMAL</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FFC000"/>
    <pageSetUpPr fitToPage="1"/>
  </sheetPr>
  <dimension ref="A5:X99"/>
  <sheetViews>
    <sheetView showGridLines="0" tabSelected="1" view="pageBreakPreview" topLeftCell="C23" zoomScale="115" zoomScaleNormal="100" zoomScaleSheetLayoutView="115" workbookViewId="0">
      <selection activeCell="C12" sqref="C12"/>
    </sheetView>
  </sheetViews>
  <sheetFormatPr defaultColWidth="8.76953125" defaultRowHeight="14.25"/>
  <cols>
    <col min="1" max="1" width="8.76953125" style="73"/>
    <col min="2" max="2" width="16.60546875" style="73" bestFit="1" customWidth="1"/>
    <col min="3" max="3" width="40.2265625" style="73" customWidth="1"/>
    <col min="4" max="4" width="20.11328125" style="73" customWidth="1"/>
    <col min="5" max="5" width="11.34375" style="73" customWidth="1"/>
    <col min="6" max="6" width="8.06640625" style="73" bestFit="1" customWidth="1"/>
    <col min="7" max="7" width="8.41796875" style="73" bestFit="1" customWidth="1"/>
    <col min="8" max="8" width="9.703125" style="73" customWidth="1"/>
    <col min="9" max="9" width="8.06640625" style="78" customWidth="1"/>
    <col min="10" max="10" width="8.06640625" style="78" hidden="1" customWidth="1"/>
    <col min="11" max="11" width="7.71484375" style="379" customWidth="1"/>
    <col min="12" max="12" width="7.71484375" style="78" hidden="1" customWidth="1"/>
    <col min="13" max="13" width="9.23828125" style="73" customWidth="1"/>
    <col min="14" max="14" width="11.92578125" style="73" bestFit="1" customWidth="1"/>
    <col min="15" max="15" width="10.171875" style="73" bestFit="1" customWidth="1"/>
    <col min="16" max="16" width="8.76953125" style="73"/>
    <col min="17" max="17" width="12.27734375" style="73" bestFit="1" customWidth="1"/>
    <col min="18" max="18" width="13.09765625" style="73" bestFit="1" customWidth="1"/>
    <col min="19" max="19" width="8.76953125" style="73"/>
    <col min="20" max="20" width="12.51171875" style="73" customWidth="1"/>
    <col min="21" max="16384" width="8.76953125" style="73"/>
  </cols>
  <sheetData>
    <row r="5" spans="1:22">
      <c r="B5" s="74" t="str">
        <f>'Commercial Invoice'!G5</f>
        <v>INVOICE NO. :</v>
      </c>
      <c r="C5" s="74" t="str">
        <f>'Commercial Invoice'!H5</f>
        <v>OM4-DE-IS-0003</v>
      </c>
      <c r="D5" s="74"/>
      <c r="E5" s="75"/>
      <c r="F5" s="74"/>
      <c r="G5" s="74"/>
      <c r="H5" s="74"/>
      <c r="I5" s="463"/>
      <c r="J5" s="464"/>
      <c r="K5" s="378"/>
      <c r="L5" s="376"/>
      <c r="M5" s="76" t="s">
        <v>127</v>
      </c>
      <c r="N5" s="76"/>
      <c r="O5" s="194">
        <f>'Commercial Invoice'!H6</f>
        <v>46157</v>
      </c>
    </row>
    <row r="6" spans="1:22">
      <c r="B6" s="77"/>
      <c r="C6" s="77"/>
      <c r="D6" s="77"/>
    </row>
    <row r="7" spans="1:22" ht="47.25" customHeight="1">
      <c r="A7" s="465" t="s">
        <v>29</v>
      </c>
      <c r="B7" s="467" t="s">
        <v>30</v>
      </c>
      <c r="C7" s="469" t="s">
        <v>20</v>
      </c>
      <c r="D7" s="467" t="s">
        <v>201</v>
      </c>
      <c r="E7" s="465" t="s">
        <v>31</v>
      </c>
      <c r="F7" s="471" t="s">
        <v>202</v>
      </c>
      <c r="G7" s="472"/>
      <c r="H7" s="465" t="s">
        <v>203</v>
      </c>
      <c r="I7" s="465" t="s">
        <v>210</v>
      </c>
      <c r="J7" s="465" t="s">
        <v>209</v>
      </c>
      <c r="K7" s="473" t="s">
        <v>412</v>
      </c>
      <c r="L7" s="377"/>
      <c r="M7" s="465" t="s">
        <v>204</v>
      </c>
      <c r="N7" s="465" t="s">
        <v>205</v>
      </c>
      <c r="O7" s="469" t="s">
        <v>206</v>
      </c>
    </row>
    <row r="8" spans="1:22" ht="14.45" customHeight="1">
      <c r="A8" s="466"/>
      <c r="B8" s="468"/>
      <c r="C8" s="470"/>
      <c r="D8" s="468"/>
      <c r="E8" s="466"/>
      <c r="F8" s="204" t="s">
        <v>207</v>
      </c>
      <c r="G8" s="204" t="s">
        <v>208</v>
      </c>
      <c r="H8" s="466"/>
      <c r="I8" s="466"/>
      <c r="J8" s="466"/>
      <c r="K8" s="474"/>
      <c r="L8" s="215"/>
      <c r="M8" s="466"/>
      <c r="N8" s="466"/>
      <c r="O8" s="470"/>
      <c r="Q8" s="73" t="s">
        <v>358</v>
      </c>
    </row>
    <row r="9" spans="1:22" ht="14.45" customHeight="1">
      <c r="A9" s="275" t="s">
        <v>185</v>
      </c>
      <c r="B9" s="79" t="s">
        <v>237</v>
      </c>
      <c r="C9" s="276" t="s">
        <v>238</v>
      </c>
      <c r="D9" s="288" t="s">
        <v>212</v>
      </c>
      <c r="E9" s="79" t="s">
        <v>357</v>
      </c>
      <c r="F9" s="277">
        <v>150</v>
      </c>
      <c r="G9" s="204" t="s">
        <v>147</v>
      </c>
      <c r="H9" s="204" t="s">
        <v>272</v>
      </c>
      <c r="I9" s="282">
        <v>3375</v>
      </c>
      <c r="J9" s="282">
        <v>3575</v>
      </c>
      <c r="K9" s="374">
        <v>3575</v>
      </c>
      <c r="L9" s="282">
        <f>J9-K9</f>
        <v>0</v>
      </c>
      <c r="M9" s="205">
        <v>34.020000000000003</v>
      </c>
      <c r="N9" s="205">
        <f>M9*F9</f>
        <v>5103.0000000000009</v>
      </c>
      <c r="O9" s="290" t="s">
        <v>220</v>
      </c>
      <c r="Q9" s="369" t="s">
        <v>359</v>
      </c>
      <c r="T9" s="367"/>
      <c r="U9" s="367"/>
      <c r="V9" s="367"/>
    </row>
    <row r="10" spans="1:22" ht="14.45" customHeight="1">
      <c r="A10" s="275" t="s">
        <v>186</v>
      </c>
      <c r="B10" s="79" t="s">
        <v>239</v>
      </c>
      <c r="C10" s="276" t="s">
        <v>238</v>
      </c>
      <c r="D10" s="288" t="s">
        <v>212</v>
      </c>
      <c r="E10" s="79" t="s">
        <v>357</v>
      </c>
      <c r="F10" s="277">
        <v>150</v>
      </c>
      <c r="G10" s="204" t="s">
        <v>147</v>
      </c>
      <c r="H10" s="204" t="s">
        <v>272</v>
      </c>
      <c r="I10" s="282">
        <v>3375</v>
      </c>
      <c r="J10" s="282">
        <v>3575</v>
      </c>
      <c r="K10" s="374">
        <v>3575</v>
      </c>
      <c r="L10" s="282">
        <f t="shared" ref="L10:L73" si="0">J10-K10</f>
        <v>0</v>
      </c>
      <c r="M10" s="205">
        <v>34.020000000000003</v>
      </c>
      <c r="N10" s="205">
        <f t="shared" ref="N10:N73" si="1">M10*F10</f>
        <v>5103.0000000000009</v>
      </c>
      <c r="O10" s="290" t="s">
        <v>356</v>
      </c>
      <c r="Q10" s="369" t="s">
        <v>359</v>
      </c>
      <c r="T10" s="367">
        <f>M9*F9</f>
        <v>5103.0000000000009</v>
      </c>
      <c r="U10" s="367"/>
      <c r="V10" s="367"/>
    </row>
    <row r="11" spans="1:22" ht="15">
      <c r="A11" s="275" t="s">
        <v>187</v>
      </c>
      <c r="B11" s="79" t="s">
        <v>240</v>
      </c>
      <c r="C11" s="276" t="s">
        <v>238</v>
      </c>
      <c r="D11" s="288" t="s">
        <v>212</v>
      </c>
      <c r="E11" s="79" t="s">
        <v>357</v>
      </c>
      <c r="F11" s="277">
        <v>150</v>
      </c>
      <c r="G11" s="204" t="s">
        <v>147</v>
      </c>
      <c r="H11" s="204" t="s">
        <v>272</v>
      </c>
      <c r="I11" s="282">
        <v>3375</v>
      </c>
      <c r="J11" s="282">
        <v>3575</v>
      </c>
      <c r="K11" s="374">
        <v>3575</v>
      </c>
      <c r="L11" s="282">
        <f t="shared" si="0"/>
        <v>0</v>
      </c>
      <c r="M11" s="205">
        <v>34.020000000000003</v>
      </c>
      <c r="N11" s="205">
        <f t="shared" si="1"/>
        <v>5103.0000000000009</v>
      </c>
      <c r="O11" s="290" t="s">
        <v>356</v>
      </c>
      <c r="Q11" s="369" t="s">
        <v>359</v>
      </c>
      <c r="T11" s="367">
        <f t="shared" ref="T11:T74" si="2">M10*F10</f>
        <v>5103.0000000000009</v>
      </c>
      <c r="U11" s="367"/>
      <c r="V11" s="367"/>
    </row>
    <row r="12" spans="1:22" ht="15">
      <c r="A12" s="275" t="s">
        <v>188</v>
      </c>
      <c r="B12" s="79" t="s">
        <v>241</v>
      </c>
      <c r="C12" s="276" t="s">
        <v>238</v>
      </c>
      <c r="D12" s="288" t="s">
        <v>212</v>
      </c>
      <c r="E12" s="217" t="s">
        <v>357</v>
      </c>
      <c r="F12" s="277">
        <v>150</v>
      </c>
      <c r="G12" s="204" t="s">
        <v>147</v>
      </c>
      <c r="H12" s="204" t="s">
        <v>272</v>
      </c>
      <c r="I12" s="282">
        <v>3375</v>
      </c>
      <c r="J12" s="282">
        <v>3575</v>
      </c>
      <c r="K12" s="374">
        <v>3575</v>
      </c>
      <c r="L12" s="282">
        <f t="shared" si="0"/>
        <v>0</v>
      </c>
      <c r="M12" s="205">
        <v>34.020000000000003</v>
      </c>
      <c r="N12" s="205">
        <f t="shared" si="1"/>
        <v>5103.0000000000009</v>
      </c>
      <c r="O12" s="290" t="s">
        <v>356</v>
      </c>
      <c r="Q12" s="369" t="s">
        <v>359</v>
      </c>
      <c r="T12" s="367">
        <f t="shared" si="2"/>
        <v>5103.0000000000009</v>
      </c>
      <c r="U12" s="367"/>
      <c r="V12" s="367"/>
    </row>
    <row r="13" spans="1:22" ht="15">
      <c r="A13" s="275" t="s">
        <v>189</v>
      </c>
      <c r="B13" s="79" t="s">
        <v>242</v>
      </c>
      <c r="C13" s="276" t="s">
        <v>238</v>
      </c>
      <c r="D13" s="289" t="s">
        <v>212</v>
      </c>
      <c r="E13" s="217" t="s">
        <v>357</v>
      </c>
      <c r="F13" s="277">
        <v>150</v>
      </c>
      <c r="G13" s="204" t="s">
        <v>147</v>
      </c>
      <c r="H13" s="204" t="s">
        <v>272</v>
      </c>
      <c r="I13" s="282">
        <v>3375</v>
      </c>
      <c r="J13" s="282">
        <v>3575</v>
      </c>
      <c r="K13" s="374">
        <v>3575</v>
      </c>
      <c r="L13" s="282">
        <f t="shared" si="0"/>
        <v>0</v>
      </c>
      <c r="M13" s="205">
        <v>34.020000000000003</v>
      </c>
      <c r="N13" s="205">
        <f t="shared" si="1"/>
        <v>5103.0000000000009</v>
      </c>
      <c r="O13" s="290" t="s">
        <v>356</v>
      </c>
      <c r="Q13" s="369" t="s">
        <v>359</v>
      </c>
      <c r="T13" s="367">
        <f t="shared" si="2"/>
        <v>5103.0000000000009</v>
      </c>
      <c r="U13" s="367"/>
      <c r="V13" s="367"/>
    </row>
    <row r="14" spans="1:22" ht="15">
      <c r="A14" s="275" t="s">
        <v>190</v>
      </c>
      <c r="B14" s="79" t="s">
        <v>243</v>
      </c>
      <c r="C14" s="276" t="s">
        <v>238</v>
      </c>
      <c r="D14" s="289" t="s">
        <v>212</v>
      </c>
      <c r="E14" s="217" t="s">
        <v>357</v>
      </c>
      <c r="F14" s="277">
        <v>150</v>
      </c>
      <c r="G14" s="204" t="s">
        <v>147</v>
      </c>
      <c r="H14" s="204" t="s">
        <v>272</v>
      </c>
      <c r="I14" s="282">
        <v>3375</v>
      </c>
      <c r="J14" s="282">
        <v>3575</v>
      </c>
      <c r="K14" s="374">
        <v>3575</v>
      </c>
      <c r="L14" s="282">
        <f t="shared" si="0"/>
        <v>0</v>
      </c>
      <c r="M14" s="205">
        <v>34.020000000000003</v>
      </c>
      <c r="N14" s="205">
        <f t="shared" si="1"/>
        <v>5103.0000000000009</v>
      </c>
      <c r="O14" s="290" t="s">
        <v>356</v>
      </c>
      <c r="Q14" s="369" t="s">
        <v>359</v>
      </c>
      <c r="T14" s="367">
        <f t="shared" si="2"/>
        <v>5103.0000000000009</v>
      </c>
      <c r="U14" s="367"/>
      <c r="V14" s="367"/>
    </row>
    <row r="15" spans="1:22" ht="15">
      <c r="A15" s="275" t="s">
        <v>191</v>
      </c>
      <c r="B15" s="79" t="s">
        <v>244</v>
      </c>
      <c r="C15" s="276" t="s">
        <v>238</v>
      </c>
      <c r="D15" s="289" t="s">
        <v>212</v>
      </c>
      <c r="E15" s="217" t="s">
        <v>357</v>
      </c>
      <c r="F15" s="277">
        <v>100</v>
      </c>
      <c r="G15" s="204" t="s">
        <v>147</v>
      </c>
      <c r="H15" s="204" t="s">
        <v>272</v>
      </c>
      <c r="I15" s="282">
        <v>2250</v>
      </c>
      <c r="J15" s="282">
        <v>2450</v>
      </c>
      <c r="K15" s="374">
        <v>2450</v>
      </c>
      <c r="L15" s="282">
        <f t="shared" si="0"/>
        <v>0</v>
      </c>
      <c r="M15" s="205">
        <v>34.020000000000003</v>
      </c>
      <c r="N15" s="205">
        <f t="shared" si="1"/>
        <v>3402.0000000000005</v>
      </c>
      <c r="O15" s="290" t="s">
        <v>356</v>
      </c>
      <c r="Q15" s="369" t="s">
        <v>359</v>
      </c>
      <c r="T15" s="367">
        <f t="shared" si="2"/>
        <v>5103.0000000000009</v>
      </c>
      <c r="U15" s="367"/>
      <c r="V15" s="367"/>
    </row>
    <row r="16" spans="1:22" ht="15">
      <c r="A16" s="275" t="s">
        <v>192</v>
      </c>
      <c r="B16" s="79" t="s">
        <v>245</v>
      </c>
      <c r="C16" s="276" t="s">
        <v>363</v>
      </c>
      <c r="D16" s="289" t="s">
        <v>212</v>
      </c>
      <c r="E16" s="217" t="s">
        <v>357</v>
      </c>
      <c r="F16" s="277">
        <v>100</v>
      </c>
      <c r="G16" s="204" t="s">
        <v>147</v>
      </c>
      <c r="H16" s="204" t="s">
        <v>272</v>
      </c>
      <c r="I16" s="282">
        <v>1120</v>
      </c>
      <c r="J16" s="282">
        <v>1320</v>
      </c>
      <c r="K16" s="374">
        <v>1320</v>
      </c>
      <c r="L16" s="282">
        <f t="shared" si="0"/>
        <v>0</v>
      </c>
      <c r="M16" s="205">
        <v>19.440000000000001</v>
      </c>
      <c r="N16" s="205">
        <f t="shared" si="1"/>
        <v>1944.0000000000002</v>
      </c>
      <c r="O16" s="290" t="s">
        <v>356</v>
      </c>
      <c r="Q16" s="369" t="s">
        <v>359</v>
      </c>
      <c r="T16" s="367">
        <f t="shared" si="2"/>
        <v>3402.0000000000005</v>
      </c>
      <c r="U16" s="367"/>
      <c r="V16" s="367"/>
    </row>
    <row r="17" spans="1:24" ht="15">
      <c r="A17" s="275" t="s">
        <v>193</v>
      </c>
      <c r="B17" s="79" t="s">
        <v>246</v>
      </c>
      <c r="C17" s="276" t="s">
        <v>364</v>
      </c>
      <c r="D17" s="289" t="s">
        <v>212</v>
      </c>
      <c r="E17" s="217" t="s">
        <v>357</v>
      </c>
      <c r="F17" s="277">
        <v>200</v>
      </c>
      <c r="G17" s="204" t="s">
        <v>147</v>
      </c>
      <c r="H17" s="204" t="s">
        <v>272</v>
      </c>
      <c r="I17" s="282">
        <v>392</v>
      </c>
      <c r="J17" s="282">
        <v>425.33333333333331</v>
      </c>
      <c r="K17" s="374">
        <v>425.33</v>
      </c>
      <c r="L17" s="282">
        <f t="shared" si="0"/>
        <v>3.3333333333303017E-3</v>
      </c>
      <c r="M17" s="205">
        <v>7.78</v>
      </c>
      <c r="N17" s="205">
        <f t="shared" si="1"/>
        <v>1556</v>
      </c>
      <c r="O17" s="290" t="s">
        <v>356</v>
      </c>
      <c r="Q17" s="369" t="s">
        <v>359</v>
      </c>
      <c r="T17" s="367">
        <f t="shared" si="2"/>
        <v>1944.0000000000002</v>
      </c>
      <c r="U17" s="367"/>
      <c r="V17" s="367"/>
    </row>
    <row r="18" spans="1:24" ht="15">
      <c r="A18" s="275" t="s">
        <v>194</v>
      </c>
      <c r="B18" s="79" t="s">
        <v>246</v>
      </c>
      <c r="C18" s="276" t="s">
        <v>365</v>
      </c>
      <c r="D18" s="289" t="s">
        <v>212</v>
      </c>
      <c r="E18" s="217" t="s">
        <v>357</v>
      </c>
      <c r="F18" s="277">
        <v>80</v>
      </c>
      <c r="G18" s="204" t="s">
        <v>147</v>
      </c>
      <c r="H18" s="204" t="s">
        <v>272</v>
      </c>
      <c r="I18" s="282">
        <v>211.20000000000002</v>
      </c>
      <c r="J18" s="282">
        <v>244.53333333333336</v>
      </c>
      <c r="K18" s="374">
        <v>244.53</v>
      </c>
      <c r="L18" s="282">
        <f t="shared" si="0"/>
        <v>3.3333333333587234E-3</v>
      </c>
      <c r="M18" s="205">
        <v>7.78</v>
      </c>
      <c r="N18" s="205">
        <f t="shared" si="1"/>
        <v>622.4</v>
      </c>
      <c r="O18" s="290" t="s">
        <v>356</v>
      </c>
      <c r="Q18" s="369" t="s">
        <v>359</v>
      </c>
      <c r="T18" s="367">
        <f t="shared" si="2"/>
        <v>1556</v>
      </c>
      <c r="U18" s="367"/>
      <c r="V18" s="367"/>
      <c r="W18" s="80"/>
      <c r="X18" s="80"/>
    </row>
    <row r="19" spans="1:24" ht="14.85" customHeight="1">
      <c r="A19" s="275" t="s">
        <v>195</v>
      </c>
      <c r="B19" s="79" t="s">
        <v>246</v>
      </c>
      <c r="C19" s="276" t="s">
        <v>366</v>
      </c>
      <c r="D19" s="289" t="s">
        <v>212</v>
      </c>
      <c r="E19" s="217" t="s">
        <v>357</v>
      </c>
      <c r="F19" s="277">
        <v>100</v>
      </c>
      <c r="G19" s="204" t="s">
        <v>147</v>
      </c>
      <c r="H19" s="204" t="s">
        <v>272</v>
      </c>
      <c r="I19" s="282">
        <v>316</v>
      </c>
      <c r="J19" s="282">
        <v>349.33333333333331</v>
      </c>
      <c r="K19" s="374">
        <v>349.33</v>
      </c>
      <c r="L19" s="282">
        <f t="shared" si="0"/>
        <v>3.3333333333303017E-3</v>
      </c>
      <c r="M19" s="205">
        <v>7.78</v>
      </c>
      <c r="N19" s="205">
        <f t="shared" si="1"/>
        <v>778</v>
      </c>
      <c r="O19" s="290" t="s">
        <v>356</v>
      </c>
      <c r="Q19" s="369" t="s">
        <v>359</v>
      </c>
      <c r="T19" s="367">
        <f t="shared" si="2"/>
        <v>622.4</v>
      </c>
      <c r="U19" s="367"/>
      <c r="V19" s="367"/>
      <c r="W19" s="368"/>
      <c r="X19" s="80"/>
    </row>
    <row r="20" spans="1:24" ht="15">
      <c r="A20" s="275" t="s">
        <v>196</v>
      </c>
      <c r="B20" s="79" t="s">
        <v>246</v>
      </c>
      <c r="C20" s="276" t="s">
        <v>367</v>
      </c>
      <c r="D20" s="289" t="s">
        <v>212</v>
      </c>
      <c r="E20" s="217" t="s">
        <v>357</v>
      </c>
      <c r="F20" s="277">
        <v>70</v>
      </c>
      <c r="G20" s="204" t="s">
        <v>147</v>
      </c>
      <c r="H20" s="204" t="s">
        <v>272</v>
      </c>
      <c r="I20" s="282">
        <v>296.8</v>
      </c>
      <c r="J20" s="282">
        <v>330.13333333333333</v>
      </c>
      <c r="K20" s="374">
        <v>330.13</v>
      </c>
      <c r="L20" s="282">
        <f t="shared" si="0"/>
        <v>3.3333333333303017E-3</v>
      </c>
      <c r="M20" s="205">
        <v>7.78</v>
      </c>
      <c r="N20" s="205">
        <f t="shared" si="1"/>
        <v>544.6</v>
      </c>
      <c r="O20" s="290" t="s">
        <v>356</v>
      </c>
      <c r="Q20" s="369" t="s">
        <v>359</v>
      </c>
      <c r="T20" s="367">
        <f t="shared" si="2"/>
        <v>778</v>
      </c>
      <c r="U20" s="367"/>
      <c r="V20" s="367"/>
      <c r="W20" s="80"/>
      <c r="X20" s="80"/>
    </row>
    <row r="21" spans="1:24" ht="15">
      <c r="A21" s="275" t="s">
        <v>197</v>
      </c>
      <c r="B21" s="79" t="s">
        <v>246</v>
      </c>
      <c r="C21" s="276" t="s">
        <v>368</v>
      </c>
      <c r="D21" s="289" t="s">
        <v>212</v>
      </c>
      <c r="E21" s="217" t="s">
        <v>357</v>
      </c>
      <c r="F21" s="277">
        <v>50</v>
      </c>
      <c r="G21" s="204" t="s">
        <v>147</v>
      </c>
      <c r="H21" s="204" t="s">
        <v>272</v>
      </c>
      <c r="I21" s="282">
        <v>436.00000000000006</v>
      </c>
      <c r="J21" s="282">
        <v>469.33333333333337</v>
      </c>
      <c r="K21" s="382">
        <v>469.34</v>
      </c>
      <c r="L21" s="282">
        <f t="shared" si="0"/>
        <v>-6.6666666666037599E-3</v>
      </c>
      <c r="M21" s="205">
        <v>7.78</v>
      </c>
      <c r="N21" s="205">
        <f t="shared" si="1"/>
        <v>389</v>
      </c>
      <c r="O21" s="290" t="s">
        <v>356</v>
      </c>
      <c r="Q21" s="369" t="s">
        <v>359</v>
      </c>
      <c r="T21" s="367">
        <f t="shared" si="2"/>
        <v>544.6</v>
      </c>
      <c r="U21" s="367"/>
      <c r="V21" s="367"/>
    </row>
    <row r="22" spans="1:24" ht="15">
      <c r="A22" s="275" t="s">
        <v>198</v>
      </c>
      <c r="B22" s="79" t="s">
        <v>246</v>
      </c>
      <c r="C22" s="276" t="s">
        <v>369</v>
      </c>
      <c r="D22" s="289" t="s">
        <v>212</v>
      </c>
      <c r="E22" s="217" t="s">
        <v>357</v>
      </c>
      <c r="F22" s="277">
        <v>50</v>
      </c>
      <c r="G22" s="204" t="s">
        <v>147</v>
      </c>
      <c r="H22" s="204" t="s">
        <v>272</v>
      </c>
      <c r="I22" s="282">
        <v>620</v>
      </c>
      <c r="J22" s="282">
        <v>653.33333333333337</v>
      </c>
      <c r="K22" s="382">
        <v>653.34</v>
      </c>
      <c r="L22" s="282">
        <f t="shared" si="0"/>
        <v>-6.6666666666606034E-3</v>
      </c>
      <c r="M22" s="205">
        <v>7.78</v>
      </c>
      <c r="N22" s="205">
        <f t="shared" si="1"/>
        <v>389</v>
      </c>
      <c r="O22" s="290" t="s">
        <v>356</v>
      </c>
      <c r="Q22" s="369" t="s">
        <v>359</v>
      </c>
      <c r="T22" s="367">
        <f t="shared" si="2"/>
        <v>389</v>
      </c>
      <c r="U22" s="367"/>
      <c r="V22" s="367"/>
    </row>
    <row r="23" spans="1:24" ht="15">
      <c r="A23" s="275" t="s">
        <v>306</v>
      </c>
      <c r="B23" s="79" t="s">
        <v>248</v>
      </c>
      <c r="C23" s="276" t="s">
        <v>380</v>
      </c>
      <c r="D23" s="289" t="s">
        <v>212</v>
      </c>
      <c r="E23" s="217" t="s">
        <v>357</v>
      </c>
      <c r="F23" s="277">
        <v>120</v>
      </c>
      <c r="G23" s="204" t="s">
        <v>147</v>
      </c>
      <c r="H23" s="204" t="s">
        <v>247</v>
      </c>
      <c r="I23" s="282">
        <v>79.2</v>
      </c>
      <c r="J23" s="282">
        <v>90.311111111111117</v>
      </c>
      <c r="K23" s="374">
        <v>90.31</v>
      </c>
      <c r="L23" s="282">
        <f t="shared" si="0"/>
        <v>1.1111111111148375E-3</v>
      </c>
      <c r="M23" s="205">
        <v>2.14</v>
      </c>
      <c r="N23" s="205">
        <f t="shared" si="1"/>
        <v>256.8</v>
      </c>
      <c r="O23" s="290" t="s">
        <v>356</v>
      </c>
      <c r="Q23" s="369" t="s">
        <v>360</v>
      </c>
      <c r="T23" s="367">
        <f t="shared" si="2"/>
        <v>389</v>
      </c>
      <c r="V23" s="367"/>
    </row>
    <row r="24" spans="1:24" ht="15">
      <c r="A24" s="275" t="s">
        <v>307</v>
      </c>
      <c r="B24" s="79" t="s">
        <v>248</v>
      </c>
      <c r="C24" s="276" t="s">
        <v>381</v>
      </c>
      <c r="D24" s="289" t="s">
        <v>212</v>
      </c>
      <c r="E24" s="217" t="s">
        <v>357</v>
      </c>
      <c r="F24" s="277">
        <v>60</v>
      </c>
      <c r="G24" s="204" t="s">
        <v>147</v>
      </c>
      <c r="H24" s="204" t="s">
        <v>247</v>
      </c>
      <c r="I24" s="282">
        <v>47.400000000000006</v>
      </c>
      <c r="J24" s="282">
        <v>58.51111111111112</v>
      </c>
      <c r="K24" s="374">
        <v>58.51</v>
      </c>
      <c r="L24" s="282">
        <f t="shared" si="0"/>
        <v>1.1111111111219429E-3</v>
      </c>
      <c r="M24" s="205">
        <v>2.14</v>
      </c>
      <c r="N24" s="205">
        <f t="shared" si="1"/>
        <v>128.4</v>
      </c>
      <c r="O24" s="290" t="s">
        <v>356</v>
      </c>
      <c r="Q24" s="369" t="s">
        <v>360</v>
      </c>
      <c r="T24" s="367">
        <f t="shared" si="2"/>
        <v>256.8</v>
      </c>
      <c r="V24" s="367"/>
    </row>
    <row r="25" spans="1:24" ht="15">
      <c r="A25" s="275" t="s">
        <v>199</v>
      </c>
      <c r="B25" s="79" t="s">
        <v>248</v>
      </c>
      <c r="C25" s="276" t="s">
        <v>382</v>
      </c>
      <c r="D25" s="289" t="s">
        <v>212</v>
      </c>
      <c r="E25" s="217" t="s">
        <v>357</v>
      </c>
      <c r="F25" s="277">
        <v>20</v>
      </c>
      <c r="G25" s="204" t="s">
        <v>147</v>
      </c>
      <c r="H25" s="204" t="s">
        <v>247</v>
      </c>
      <c r="I25" s="282">
        <v>21.200000000000003</v>
      </c>
      <c r="J25" s="282">
        <v>32.311111111111117</v>
      </c>
      <c r="K25" s="374">
        <v>32.31</v>
      </c>
      <c r="L25" s="282">
        <f t="shared" si="0"/>
        <v>1.1111111111148375E-3</v>
      </c>
      <c r="M25" s="205">
        <v>2.14</v>
      </c>
      <c r="N25" s="205">
        <f t="shared" si="1"/>
        <v>42.800000000000004</v>
      </c>
      <c r="O25" s="290" t="s">
        <v>356</v>
      </c>
      <c r="Q25" s="369" t="s">
        <v>360</v>
      </c>
      <c r="T25" s="367">
        <f t="shared" si="2"/>
        <v>128.4</v>
      </c>
      <c r="V25" s="367"/>
    </row>
    <row r="26" spans="1:24" ht="15">
      <c r="A26" s="275" t="s">
        <v>276</v>
      </c>
      <c r="B26" s="79" t="s">
        <v>248</v>
      </c>
      <c r="C26" s="276" t="s">
        <v>383</v>
      </c>
      <c r="D26" s="289" t="s">
        <v>212</v>
      </c>
      <c r="E26" s="217" t="s">
        <v>357</v>
      </c>
      <c r="F26" s="277">
        <v>30</v>
      </c>
      <c r="G26" s="204" t="s">
        <v>147</v>
      </c>
      <c r="H26" s="204" t="s">
        <v>247</v>
      </c>
      <c r="I26" s="282">
        <v>65.400000000000006</v>
      </c>
      <c r="J26" s="282">
        <v>76.51111111111112</v>
      </c>
      <c r="K26" s="374">
        <v>76.510000000000005</v>
      </c>
      <c r="L26" s="282">
        <f t="shared" si="0"/>
        <v>1.1111111111148375E-3</v>
      </c>
      <c r="M26" s="205">
        <v>2.14</v>
      </c>
      <c r="N26" s="205">
        <f t="shared" si="1"/>
        <v>64.2</v>
      </c>
      <c r="O26" s="290" t="s">
        <v>356</v>
      </c>
      <c r="Q26" s="369" t="s">
        <v>360</v>
      </c>
      <c r="T26" s="367">
        <f t="shared" si="2"/>
        <v>42.800000000000004</v>
      </c>
      <c r="V26" s="367"/>
    </row>
    <row r="27" spans="1:24" ht="15">
      <c r="A27" s="275" t="s">
        <v>277</v>
      </c>
      <c r="B27" s="79" t="s">
        <v>248</v>
      </c>
      <c r="C27" s="276" t="s">
        <v>384</v>
      </c>
      <c r="D27" s="289" t="s">
        <v>212</v>
      </c>
      <c r="E27" s="217" t="s">
        <v>357</v>
      </c>
      <c r="F27" s="277">
        <v>30</v>
      </c>
      <c r="G27" s="204" t="s">
        <v>147</v>
      </c>
      <c r="H27" s="204" t="s">
        <v>247</v>
      </c>
      <c r="I27" s="282">
        <v>93</v>
      </c>
      <c r="J27" s="282">
        <v>104.11111111111111</v>
      </c>
      <c r="K27" s="374">
        <v>104.11</v>
      </c>
      <c r="L27" s="282">
        <f t="shared" si="0"/>
        <v>1.1111111111148375E-3</v>
      </c>
      <c r="M27" s="205">
        <v>2.14</v>
      </c>
      <c r="N27" s="205">
        <f t="shared" si="1"/>
        <v>64.2</v>
      </c>
      <c r="O27" s="290" t="s">
        <v>356</v>
      </c>
      <c r="Q27" s="369" t="s">
        <v>360</v>
      </c>
      <c r="T27" s="367">
        <f t="shared" si="2"/>
        <v>64.2</v>
      </c>
      <c r="V27" s="367"/>
    </row>
    <row r="28" spans="1:24" ht="15">
      <c r="A28" s="275" t="s">
        <v>278</v>
      </c>
      <c r="B28" s="79" t="s">
        <v>248</v>
      </c>
      <c r="C28" s="276" t="s">
        <v>385</v>
      </c>
      <c r="D28" s="289" t="s">
        <v>212</v>
      </c>
      <c r="E28" s="217" t="s">
        <v>357</v>
      </c>
      <c r="F28" s="277">
        <v>30</v>
      </c>
      <c r="G28" s="204" t="s">
        <v>147</v>
      </c>
      <c r="H28" s="204" t="s">
        <v>247</v>
      </c>
      <c r="I28" s="282">
        <v>84</v>
      </c>
      <c r="J28" s="282">
        <v>95.111111111111114</v>
      </c>
      <c r="K28" s="374">
        <v>95.11</v>
      </c>
      <c r="L28" s="282">
        <f t="shared" si="0"/>
        <v>1.1111111111148375E-3</v>
      </c>
      <c r="M28" s="205">
        <v>2.14</v>
      </c>
      <c r="N28" s="205">
        <f t="shared" si="1"/>
        <v>64.2</v>
      </c>
      <c r="O28" s="290" t="s">
        <v>356</v>
      </c>
      <c r="Q28" s="369" t="s">
        <v>360</v>
      </c>
      <c r="T28" s="367">
        <f t="shared" si="2"/>
        <v>64.2</v>
      </c>
      <c r="V28" s="367"/>
    </row>
    <row r="29" spans="1:24" ht="15">
      <c r="A29" s="275" t="s">
        <v>279</v>
      </c>
      <c r="B29" s="79" t="s">
        <v>248</v>
      </c>
      <c r="C29" s="276" t="s">
        <v>251</v>
      </c>
      <c r="D29" s="289" t="s">
        <v>212</v>
      </c>
      <c r="E29" s="217" t="s">
        <v>357</v>
      </c>
      <c r="F29" s="277">
        <v>150</v>
      </c>
      <c r="G29" s="204" t="s">
        <v>147</v>
      </c>
      <c r="H29" s="204" t="s">
        <v>247</v>
      </c>
      <c r="I29" s="282">
        <v>9</v>
      </c>
      <c r="J29" s="282">
        <v>20.111111111111111</v>
      </c>
      <c r="K29" s="374">
        <v>20.11</v>
      </c>
      <c r="L29" s="282">
        <f t="shared" si="0"/>
        <v>1.1111111111112848E-3</v>
      </c>
      <c r="M29" s="205">
        <v>3.63</v>
      </c>
      <c r="N29" s="205">
        <f t="shared" si="1"/>
        <v>544.5</v>
      </c>
      <c r="O29" s="290" t="s">
        <v>356</v>
      </c>
      <c r="Q29" s="369" t="s">
        <v>360</v>
      </c>
      <c r="T29" s="367">
        <f t="shared" si="2"/>
        <v>64.2</v>
      </c>
      <c r="V29" s="367"/>
    </row>
    <row r="30" spans="1:24" ht="15">
      <c r="A30" s="275" t="s">
        <v>280</v>
      </c>
      <c r="B30" s="79" t="s">
        <v>248</v>
      </c>
      <c r="C30" s="276" t="s">
        <v>252</v>
      </c>
      <c r="D30" s="289" t="s">
        <v>212</v>
      </c>
      <c r="E30" s="217" t="s">
        <v>357</v>
      </c>
      <c r="F30" s="277">
        <v>80</v>
      </c>
      <c r="G30" s="204" t="s">
        <v>147</v>
      </c>
      <c r="H30" s="204" t="s">
        <v>247</v>
      </c>
      <c r="I30" s="282">
        <v>7.6</v>
      </c>
      <c r="J30" s="282">
        <v>18.711111111111109</v>
      </c>
      <c r="K30" s="374">
        <v>18.71</v>
      </c>
      <c r="L30" s="282">
        <f t="shared" si="0"/>
        <v>1.1111111111077321E-3</v>
      </c>
      <c r="M30" s="205">
        <v>2.72</v>
      </c>
      <c r="N30" s="205">
        <f t="shared" si="1"/>
        <v>217.60000000000002</v>
      </c>
      <c r="O30" s="290" t="s">
        <v>356</v>
      </c>
      <c r="Q30" s="369" t="s">
        <v>360</v>
      </c>
      <c r="T30" s="367">
        <f t="shared" si="2"/>
        <v>544.5</v>
      </c>
      <c r="V30" s="367"/>
    </row>
    <row r="31" spans="1:24" ht="15">
      <c r="A31" s="275" t="s">
        <v>281</v>
      </c>
      <c r="B31" s="79" t="s">
        <v>248</v>
      </c>
      <c r="C31" s="276" t="s">
        <v>253</v>
      </c>
      <c r="D31" s="289" t="s">
        <v>212</v>
      </c>
      <c r="E31" s="217" t="s">
        <v>357</v>
      </c>
      <c r="F31" s="277">
        <v>50</v>
      </c>
      <c r="G31" s="204" t="s">
        <v>147</v>
      </c>
      <c r="H31" s="204" t="s">
        <v>247</v>
      </c>
      <c r="I31" s="282">
        <v>5.5</v>
      </c>
      <c r="J31" s="282">
        <v>16.611111111111111</v>
      </c>
      <c r="K31" s="374">
        <v>16.61</v>
      </c>
      <c r="L31" s="282">
        <f t="shared" si="0"/>
        <v>1.1111111111112848E-3</v>
      </c>
      <c r="M31" s="205">
        <v>5.44</v>
      </c>
      <c r="N31" s="205">
        <f t="shared" si="1"/>
        <v>272</v>
      </c>
      <c r="O31" s="290" t="s">
        <v>356</v>
      </c>
      <c r="Q31" s="369" t="s">
        <v>360</v>
      </c>
      <c r="T31" s="367">
        <f t="shared" si="2"/>
        <v>217.60000000000002</v>
      </c>
      <c r="U31" s="367"/>
      <c r="V31" s="367"/>
      <c r="W31" s="80"/>
      <c r="X31" s="80"/>
    </row>
    <row r="32" spans="1:24" ht="15">
      <c r="A32" s="275" t="s">
        <v>282</v>
      </c>
      <c r="B32" s="79" t="s">
        <v>248</v>
      </c>
      <c r="C32" s="276" t="s">
        <v>254</v>
      </c>
      <c r="D32" s="289" t="s">
        <v>212</v>
      </c>
      <c r="E32" s="217" t="s">
        <v>357</v>
      </c>
      <c r="F32" s="277">
        <v>30</v>
      </c>
      <c r="G32" s="204" t="s">
        <v>147</v>
      </c>
      <c r="H32" s="204" t="s">
        <v>247</v>
      </c>
      <c r="I32" s="282">
        <v>4.95</v>
      </c>
      <c r="J32" s="282">
        <v>16.06111111111111</v>
      </c>
      <c r="K32" s="374">
        <v>16.059999999999999</v>
      </c>
      <c r="L32" s="282">
        <f t="shared" si="0"/>
        <v>1.1111111111112848E-3</v>
      </c>
      <c r="M32" s="205">
        <v>6.35</v>
      </c>
      <c r="N32" s="205">
        <f t="shared" si="1"/>
        <v>190.5</v>
      </c>
      <c r="O32" s="290" t="s">
        <v>356</v>
      </c>
      <c r="Q32" s="369" t="s">
        <v>360</v>
      </c>
      <c r="T32" s="367">
        <f t="shared" si="2"/>
        <v>272</v>
      </c>
      <c r="U32" s="367"/>
      <c r="V32" s="367"/>
      <c r="W32" s="368"/>
      <c r="X32" s="80"/>
    </row>
    <row r="33" spans="1:24" ht="15">
      <c r="A33" s="275" t="s">
        <v>283</v>
      </c>
      <c r="B33" s="79" t="s">
        <v>248</v>
      </c>
      <c r="C33" s="276" t="s">
        <v>255</v>
      </c>
      <c r="D33" s="289" t="s">
        <v>212</v>
      </c>
      <c r="E33" s="217" t="s">
        <v>357</v>
      </c>
      <c r="F33" s="277">
        <v>20</v>
      </c>
      <c r="G33" s="204" t="s">
        <v>147</v>
      </c>
      <c r="H33" s="204" t="s">
        <v>247</v>
      </c>
      <c r="I33" s="282">
        <v>9.8000000000000007</v>
      </c>
      <c r="J33" s="282">
        <v>20.911111111111111</v>
      </c>
      <c r="K33" s="374">
        <v>20.91</v>
      </c>
      <c r="L33" s="282">
        <f t="shared" si="0"/>
        <v>1.1111111111112848E-3</v>
      </c>
      <c r="M33" s="205">
        <v>6.8</v>
      </c>
      <c r="N33" s="205">
        <f t="shared" si="1"/>
        <v>136</v>
      </c>
      <c r="O33" s="290" t="s">
        <v>356</v>
      </c>
      <c r="Q33" s="369" t="s">
        <v>360</v>
      </c>
      <c r="T33" s="367">
        <f t="shared" si="2"/>
        <v>190.5</v>
      </c>
      <c r="U33" s="367"/>
      <c r="V33" s="367"/>
      <c r="W33" s="80"/>
      <c r="X33" s="80"/>
    </row>
    <row r="34" spans="1:24" ht="15">
      <c r="A34" s="275" t="s">
        <v>284</v>
      </c>
      <c r="B34" s="79" t="s">
        <v>248</v>
      </c>
      <c r="C34" s="276" t="s">
        <v>370</v>
      </c>
      <c r="D34" s="289" t="s">
        <v>212</v>
      </c>
      <c r="E34" s="217" t="s">
        <v>357</v>
      </c>
      <c r="F34" s="277">
        <v>20</v>
      </c>
      <c r="G34" s="204" t="s">
        <v>147</v>
      </c>
      <c r="H34" s="204" t="s">
        <v>247</v>
      </c>
      <c r="I34" s="282">
        <v>12.5</v>
      </c>
      <c r="J34" s="282">
        <v>23.611111111111111</v>
      </c>
      <c r="K34" s="374">
        <v>23.61</v>
      </c>
      <c r="L34" s="282">
        <f t="shared" si="0"/>
        <v>1.1111111111112848E-3</v>
      </c>
      <c r="M34" s="205">
        <v>6.8</v>
      </c>
      <c r="N34" s="205">
        <f t="shared" si="1"/>
        <v>136</v>
      </c>
      <c r="O34" s="290" t="s">
        <v>356</v>
      </c>
      <c r="Q34" s="369" t="s">
        <v>360</v>
      </c>
      <c r="T34" s="367">
        <f t="shared" si="2"/>
        <v>136</v>
      </c>
      <c r="U34" s="367"/>
      <c r="V34" s="367"/>
    </row>
    <row r="35" spans="1:24" ht="15">
      <c r="A35" s="275" t="s">
        <v>285</v>
      </c>
      <c r="B35" s="79" t="s">
        <v>248</v>
      </c>
      <c r="C35" s="276" t="s">
        <v>371</v>
      </c>
      <c r="D35" s="289" t="s">
        <v>212</v>
      </c>
      <c r="E35" s="217" t="s">
        <v>357</v>
      </c>
      <c r="F35" s="277">
        <v>20</v>
      </c>
      <c r="G35" s="204" t="s">
        <v>147</v>
      </c>
      <c r="H35" s="204" t="s">
        <v>247</v>
      </c>
      <c r="I35" s="282">
        <v>16</v>
      </c>
      <c r="J35" s="282">
        <v>27.111111111111111</v>
      </c>
      <c r="K35" s="374">
        <v>27.11</v>
      </c>
      <c r="L35" s="282">
        <f t="shared" si="0"/>
        <v>1.1111111111112848E-3</v>
      </c>
      <c r="M35" s="205">
        <v>13.61</v>
      </c>
      <c r="N35" s="205">
        <f t="shared" si="1"/>
        <v>272.2</v>
      </c>
      <c r="O35" s="290" t="s">
        <v>356</v>
      </c>
      <c r="Q35" s="369" t="s">
        <v>360</v>
      </c>
      <c r="T35" s="367">
        <f t="shared" si="2"/>
        <v>136</v>
      </c>
      <c r="U35" s="367"/>
      <c r="V35" s="367"/>
    </row>
    <row r="36" spans="1:24" ht="15">
      <c r="A36" s="275" t="s">
        <v>302</v>
      </c>
      <c r="B36" s="79" t="s">
        <v>248</v>
      </c>
      <c r="C36" s="276" t="s">
        <v>400</v>
      </c>
      <c r="D36" s="289" t="s">
        <v>212</v>
      </c>
      <c r="E36" s="217" t="s">
        <v>357</v>
      </c>
      <c r="F36" s="277">
        <v>200</v>
      </c>
      <c r="G36" s="204" t="s">
        <v>147</v>
      </c>
      <c r="H36" s="204" t="s">
        <v>247</v>
      </c>
      <c r="I36" s="282">
        <v>12</v>
      </c>
      <c r="J36" s="282">
        <v>23.111111111111111</v>
      </c>
      <c r="K36" s="374">
        <v>23.11</v>
      </c>
      <c r="L36" s="282">
        <f t="shared" si="0"/>
        <v>1.1111111111112848E-3</v>
      </c>
      <c r="M36" s="205">
        <v>1.36</v>
      </c>
      <c r="N36" s="205">
        <f t="shared" si="1"/>
        <v>272</v>
      </c>
      <c r="O36" s="290" t="s">
        <v>356</v>
      </c>
      <c r="Q36" s="369" t="s">
        <v>360</v>
      </c>
      <c r="T36" s="367">
        <f t="shared" si="2"/>
        <v>272.2</v>
      </c>
      <c r="V36" s="367"/>
    </row>
    <row r="37" spans="1:24" ht="15">
      <c r="A37" s="275" t="s">
        <v>286</v>
      </c>
      <c r="B37" s="79" t="s">
        <v>248</v>
      </c>
      <c r="C37" s="276" t="s">
        <v>401</v>
      </c>
      <c r="D37" s="289" t="s">
        <v>212</v>
      </c>
      <c r="E37" s="217" t="s">
        <v>357</v>
      </c>
      <c r="F37" s="277">
        <v>80</v>
      </c>
      <c r="G37" s="204" t="s">
        <v>147</v>
      </c>
      <c r="H37" s="204" t="s">
        <v>247</v>
      </c>
      <c r="I37" s="282">
        <v>7.6</v>
      </c>
      <c r="J37" s="282">
        <v>18.711111111111109</v>
      </c>
      <c r="K37" s="374">
        <v>18.71</v>
      </c>
      <c r="L37" s="282">
        <f t="shared" si="0"/>
        <v>1.1111111111077321E-3</v>
      </c>
      <c r="M37" s="205">
        <v>1.7</v>
      </c>
      <c r="N37" s="205">
        <f t="shared" si="1"/>
        <v>136</v>
      </c>
      <c r="O37" s="290" t="s">
        <v>356</v>
      </c>
      <c r="Q37" s="369" t="s">
        <v>360</v>
      </c>
      <c r="T37" s="367">
        <f t="shared" si="2"/>
        <v>272</v>
      </c>
      <c r="V37" s="367"/>
    </row>
    <row r="38" spans="1:24" ht="15">
      <c r="A38" s="275" t="s">
        <v>287</v>
      </c>
      <c r="B38" s="79" t="s">
        <v>248</v>
      </c>
      <c r="C38" s="276" t="s">
        <v>402</v>
      </c>
      <c r="D38" s="289" t="s">
        <v>212</v>
      </c>
      <c r="E38" s="217" t="s">
        <v>357</v>
      </c>
      <c r="F38" s="277">
        <v>100</v>
      </c>
      <c r="G38" s="204" t="s">
        <v>147</v>
      </c>
      <c r="H38" s="204" t="s">
        <v>247</v>
      </c>
      <c r="I38" s="282">
        <v>11</v>
      </c>
      <c r="J38" s="282">
        <v>22.111111111111111</v>
      </c>
      <c r="K38" s="374">
        <v>22.11</v>
      </c>
      <c r="L38" s="282">
        <f t="shared" si="0"/>
        <v>1.1111111111112848E-3</v>
      </c>
      <c r="M38" s="205">
        <v>1.36</v>
      </c>
      <c r="N38" s="205">
        <f t="shared" si="1"/>
        <v>136</v>
      </c>
      <c r="O38" s="290" t="s">
        <v>356</v>
      </c>
      <c r="Q38" s="369" t="s">
        <v>360</v>
      </c>
      <c r="T38" s="367">
        <f t="shared" si="2"/>
        <v>136</v>
      </c>
      <c r="V38" s="367"/>
    </row>
    <row r="39" spans="1:24" ht="15">
      <c r="A39" s="275" t="s">
        <v>288</v>
      </c>
      <c r="B39" s="79" t="s">
        <v>248</v>
      </c>
      <c r="C39" s="276" t="s">
        <v>403</v>
      </c>
      <c r="D39" s="289" t="s">
        <v>212</v>
      </c>
      <c r="E39" s="217" t="s">
        <v>357</v>
      </c>
      <c r="F39" s="277">
        <v>70</v>
      </c>
      <c r="G39" s="204" t="s">
        <v>147</v>
      </c>
      <c r="H39" s="204" t="s">
        <v>247</v>
      </c>
      <c r="I39" s="282">
        <v>11.55</v>
      </c>
      <c r="J39" s="282">
        <v>22.661111111111111</v>
      </c>
      <c r="K39" s="374">
        <v>22.66</v>
      </c>
      <c r="L39" s="282">
        <f t="shared" si="0"/>
        <v>1.1111111111112848E-3</v>
      </c>
      <c r="M39" s="205">
        <v>1.94</v>
      </c>
      <c r="N39" s="205">
        <f t="shared" si="1"/>
        <v>135.79999999999998</v>
      </c>
      <c r="O39" s="290" t="s">
        <v>356</v>
      </c>
      <c r="Q39" s="369" t="s">
        <v>360</v>
      </c>
      <c r="T39" s="367">
        <f t="shared" si="2"/>
        <v>136</v>
      </c>
      <c r="V39" s="367"/>
    </row>
    <row r="40" spans="1:24" ht="15">
      <c r="A40" s="275" t="s">
        <v>289</v>
      </c>
      <c r="B40" s="79" t="s">
        <v>248</v>
      </c>
      <c r="C40" s="276" t="s">
        <v>404</v>
      </c>
      <c r="D40" s="289" t="s">
        <v>212</v>
      </c>
      <c r="E40" s="217" t="s">
        <v>357</v>
      </c>
      <c r="F40" s="277">
        <v>50</v>
      </c>
      <c r="G40" s="204" t="s">
        <v>147</v>
      </c>
      <c r="H40" s="204" t="s">
        <v>247</v>
      </c>
      <c r="I40" s="282">
        <v>24.5</v>
      </c>
      <c r="J40" s="282">
        <v>35.611111111111114</v>
      </c>
      <c r="K40" s="374">
        <v>35.61</v>
      </c>
      <c r="L40" s="282">
        <f t="shared" si="0"/>
        <v>1.1111111111148375E-3</v>
      </c>
      <c r="M40" s="205">
        <v>1.0900000000000001</v>
      </c>
      <c r="N40" s="205">
        <f t="shared" si="1"/>
        <v>54.500000000000007</v>
      </c>
      <c r="O40" s="290" t="s">
        <v>356</v>
      </c>
      <c r="Q40" s="369" t="s">
        <v>360</v>
      </c>
      <c r="T40" s="367">
        <f t="shared" si="2"/>
        <v>135.79999999999998</v>
      </c>
      <c r="V40" s="367"/>
    </row>
    <row r="41" spans="1:24" ht="15">
      <c r="A41" s="275" t="s">
        <v>290</v>
      </c>
      <c r="B41" s="79" t="s">
        <v>248</v>
      </c>
      <c r="C41" s="276" t="s">
        <v>405</v>
      </c>
      <c r="D41" s="289" t="s">
        <v>212</v>
      </c>
      <c r="E41" s="217" t="s">
        <v>357</v>
      </c>
      <c r="F41" s="277">
        <v>50</v>
      </c>
      <c r="G41" s="204" t="s">
        <v>147</v>
      </c>
      <c r="H41" s="204" t="s">
        <v>247</v>
      </c>
      <c r="I41" s="282">
        <v>31.25</v>
      </c>
      <c r="J41" s="282">
        <v>42.361111111111114</v>
      </c>
      <c r="K41" s="374">
        <v>42.36</v>
      </c>
      <c r="L41" s="282">
        <f t="shared" si="0"/>
        <v>1.1111111111148375E-3</v>
      </c>
      <c r="M41" s="205">
        <v>1.63</v>
      </c>
      <c r="N41" s="205">
        <f t="shared" si="1"/>
        <v>81.5</v>
      </c>
      <c r="O41" s="290" t="s">
        <v>356</v>
      </c>
      <c r="Q41" s="369" t="s">
        <v>360</v>
      </c>
      <c r="T41" s="367">
        <f>M40*F40</f>
        <v>54.500000000000007</v>
      </c>
      <c r="V41" s="367"/>
    </row>
    <row r="42" spans="1:24" ht="15">
      <c r="A42" s="275" t="s">
        <v>291</v>
      </c>
      <c r="B42" s="79" t="s">
        <v>248</v>
      </c>
      <c r="C42" s="276" t="s">
        <v>406</v>
      </c>
      <c r="D42" s="289" t="s">
        <v>212</v>
      </c>
      <c r="E42" s="217" t="s">
        <v>357</v>
      </c>
      <c r="F42" s="277">
        <v>100</v>
      </c>
      <c r="G42" s="204" t="s">
        <v>147</v>
      </c>
      <c r="H42" s="204" t="s">
        <v>247</v>
      </c>
      <c r="I42" s="282">
        <v>80</v>
      </c>
      <c r="J42" s="282">
        <v>91.111111111111114</v>
      </c>
      <c r="K42" s="374">
        <v>91.11</v>
      </c>
      <c r="L42" s="282">
        <f t="shared" si="0"/>
        <v>1.1111111111148375E-3</v>
      </c>
      <c r="M42" s="205">
        <v>0.82</v>
      </c>
      <c r="N42" s="205">
        <f t="shared" si="1"/>
        <v>82</v>
      </c>
      <c r="O42" s="290" t="s">
        <v>356</v>
      </c>
      <c r="Q42" s="369" t="s">
        <v>360</v>
      </c>
      <c r="T42" s="367">
        <f t="shared" si="2"/>
        <v>81.5</v>
      </c>
      <c r="V42" s="367"/>
    </row>
    <row r="43" spans="1:24" ht="15">
      <c r="A43" s="275" t="s">
        <v>292</v>
      </c>
      <c r="B43" s="79" t="s">
        <v>248</v>
      </c>
      <c r="C43" s="276" t="s">
        <v>386</v>
      </c>
      <c r="D43" s="289" t="s">
        <v>212</v>
      </c>
      <c r="E43" s="217" t="s">
        <v>357</v>
      </c>
      <c r="F43" s="277">
        <v>100</v>
      </c>
      <c r="G43" s="204" t="s">
        <v>147</v>
      </c>
      <c r="H43" s="204" t="s">
        <v>247</v>
      </c>
      <c r="I43" s="282">
        <v>6</v>
      </c>
      <c r="J43" s="282">
        <v>17.111111111111111</v>
      </c>
      <c r="K43" s="374">
        <v>17.11</v>
      </c>
      <c r="L43" s="282">
        <f t="shared" si="0"/>
        <v>1.1111111111112848E-3</v>
      </c>
      <c r="M43" s="205">
        <v>5.83</v>
      </c>
      <c r="N43" s="205">
        <f t="shared" si="1"/>
        <v>583</v>
      </c>
      <c r="O43" s="290" t="s">
        <v>356</v>
      </c>
      <c r="Q43" s="369" t="s">
        <v>360</v>
      </c>
      <c r="T43" s="367">
        <f t="shared" si="2"/>
        <v>82</v>
      </c>
      <c r="V43" s="367"/>
    </row>
    <row r="44" spans="1:24" ht="15">
      <c r="A44" s="275" t="s">
        <v>293</v>
      </c>
      <c r="B44" s="79" t="s">
        <v>248</v>
      </c>
      <c r="C44" s="276" t="s">
        <v>387</v>
      </c>
      <c r="D44" s="289" t="s">
        <v>212</v>
      </c>
      <c r="E44" s="217" t="s">
        <v>357</v>
      </c>
      <c r="F44" s="277">
        <v>50</v>
      </c>
      <c r="G44" s="204" t="s">
        <v>147</v>
      </c>
      <c r="H44" s="204" t="s">
        <v>247</v>
      </c>
      <c r="I44" s="282">
        <v>4.75</v>
      </c>
      <c r="J44" s="282">
        <v>15.861111111111111</v>
      </c>
      <c r="K44" s="374">
        <v>15.86</v>
      </c>
      <c r="L44" s="282">
        <f t="shared" si="0"/>
        <v>1.1111111111112848E-3</v>
      </c>
      <c r="M44" s="205">
        <v>6.22</v>
      </c>
      <c r="N44" s="205">
        <f t="shared" si="1"/>
        <v>311</v>
      </c>
      <c r="O44" s="290" t="s">
        <v>356</v>
      </c>
      <c r="Q44" s="369" t="s">
        <v>360</v>
      </c>
      <c r="T44" s="367">
        <f t="shared" si="2"/>
        <v>583</v>
      </c>
      <c r="V44" s="367"/>
    </row>
    <row r="45" spans="1:24" ht="15">
      <c r="A45" s="275" t="s">
        <v>294</v>
      </c>
      <c r="B45" s="79" t="s">
        <v>248</v>
      </c>
      <c r="C45" s="276" t="s">
        <v>388</v>
      </c>
      <c r="D45" s="289" t="s">
        <v>212</v>
      </c>
      <c r="E45" s="217" t="s">
        <v>357</v>
      </c>
      <c r="F45" s="277">
        <v>50</v>
      </c>
      <c r="G45" s="204" t="s">
        <v>147</v>
      </c>
      <c r="H45" s="204" t="s">
        <v>247</v>
      </c>
      <c r="I45" s="282">
        <v>5.5</v>
      </c>
      <c r="J45" s="282">
        <v>16.611111111111111</v>
      </c>
      <c r="K45" s="374">
        <v>16.61</v>
      </c>
      <c r="L45" s="282">
        <f t="shared" si="0"/>
        <v>1.1111111111112848E-3</v>
      </c>
      <c r="M45" s="205">
        <v>3.89</v>
      </c>
      <c r="N45" s="205">
        <f t="shared" si="1"/>
        <v>194.5</v>
      </c>
      <c r="O45" s="290" t="s">
        <v>356</v>
      </c>
      <c r="Q45" s="369" t="s">
        <v>360</v>
      </c>
      <c r="T45" s="367">
        <f t="shared" si="2"/>
        <v>311</v>
      </c>
      <c r="V45" s="367"/>
    </row>
    <row r="46" spans="1:24" ht="15">
      <c r="A46" s="275" t="s">
        <v>295</v>
      </c>
      <c r="B46" s="79" t="s">
        <v>248</v>
      </c>
      <c r="C46" s="276" t="s">
        <v>389</v>
      </c>
      <c r="D46" s="289" t="s">
        <v>212</v>
      </c>
      <c r="E46" s="217" t="s">
        <v>357</v>
      </c>
      <c r="F46" s="277">
        <v>50</v>
      </c>
      <c r="G46" s="204" t="s">
        <v>147</v>
      </c>
      <c r="H46" s="204" t="s">
        <v>247</v>
      </c>
      <c r="I46" s="282">
        <v>8.25</v>
      </c>
      <c r="J46" s="282">
        <v>19.361111111111111</v>
      </c>
      <c r="K46" s="374">
        <v>19.36</v>
      </c>
      <c r="L46" s="282">
        <f t="shared" si="0"/>
        <v>1.1111111111112848E-3</v>
      </c>
      <c r="M46" s="205">
        <v>2.33</v>
      </c>
      <c r="N46" s="205">
        <f t="shared" si="1"/>
        <v>116.5</v>
      </c>
      <c r="O46" s="290" t="s">
        <v>356</v>
      </c>
      <c r="Q46" s="369" t="s">
        <v>360</v>
      </c>
      <c r="T46" s="367">
        <f t="shared" si="2"/>
        <v>194.5</v>
      </c>
      <c r="V46" s="367"/>
    </row>
    <row r="47" spans="1:24" ht="15">
      <c r="A47" s="275" t="s">
        <v>296</v>
      </c>
      <c r="B47" s="79" t="s">
        <v>248</v>
      </c>
      <c r="C47" s="276" t="s">
        <v>390</v>
      </c>
      <c r="D47" s="289" t="s">
        <v>212</v>
      </c>
      <c r="E47" s="217" t="s">
        <v>357</v>
      </c>
      <c r="F47" s="277">
        <v>20</v>
      </c>
      <c r="G47" s="204" t="s">
        <v>147</v>
      </c>
      <c r="H47" s="204" t="s">
        <v>247</v>
      </c>
      <c r="I47" s="282">
        <v>9.8000000000000007</v>
      </c>
      <c r="J47" s="282">
        <v>20.911111111111111</v>
      </c>
      <c r="K47" s="382">
        <v>20.92</v>
      </c>
      <c r="L47" s="282">
        <f t="shared" si="0"/>
        <v>-8.8888888888902784E-3</v>
      </c>
      <c r="M47" s="205">
        <v>3.89</v>
      </c>
      <c r="N47" s="205">
        <f t="shared" si="1"/>
        <v>77.8</v>
      </c>
      <c r="O47" s="290" t="s">
        <v>356</v>
      </c>
      <c r="Q47" s="369" t="s">
        <v>360</v>
      </c>
      <c r="T47" s="367">
        <f t="shared" si="2"/>
        <v>116.5</v>
      </c>
      <c r="V47" s="367"/>
    </row>
    <row r="48" spans="1:24" ht="15">
      <c r="A48" s="275" t="s">
        <v>297</v>
      </c>
      <c r="B48" s="79" t="s">
        <v>248</v>
      </c>
      <c r="C48" s="276" t="s">
        <v>391</v>
      </c>
      <c r="D48" s="289" t="s">
        <v>212</v>
      </c>
      <c r="E48" s="217" t="s">
        <v>357</v>
      </c>
      <c r="F48" s="277">
        <v>30</v>
      </c>
      <c r="G48" s="204" t="s">
        <v>147</v>
      </c>
      <c r="H48" s="204" t="s">
        <v>247</v>
      </c>
      <c r="I48" s="282">
        <v>18.75</v>
      </c>
      <c r="J48" s="282">
        <v>29.861111111111111</v>
      </c>
      <c r="K48" s="382">
        <v>29.87</v>
      </c>
      <c r="L48" s="282">
        <f t="shared" si="0"/>
        <v>-8.8888888888902784E-3</v>
      </c>
      <c r="M48" s="205">
        <v>2.59</v>
      </c>
      <c r="N48" s="205">
        <f t="shared" si="1"/>
        <v>77.699999999999989</v>
      </c>
      <c r="O48" s="290" t="s">
        <v>356</v>
      </c>
      <c r="Q48" s="369" t="s">
        <v>360</v>
      </c>
      <c r="T48" s="367">
        <f t="shared" si="2"/>
        <v>77.8</v>
      </c>
      <c r="V48" s="367"/>
    </row>
    <row r="49" spans="1:22" ht="15">
      <c r="A49" s="275" t="s">
        <v>298</v>
      </c>
      <c r="B49" s="79" t="s">
        <v>248</v>
      </c>
      <c r="C49" s="276" t="s">
        <v>392</v>
      </c>
      <c r="D49" s="289" t="s">
        <v>212</v>
      </c>
      <c r="E49" s="217" t="s">
        <v>357</v>
      </c>
      <c r="F49" s="277">
        <v>30</v>
      </c>
      <c r="G49" s="204" t="s">
        <v>147</v>
      </c>
      <c r="H49" s="204" t="s">
        <v>247</v>
      </c>
      <c r="I49" s="282">
        <v>24</v>
      </c>
      <c r="J49" s="282">
        <v>35.111111111111114</v>
      </c>
      <c r="K49" s="382">
        <v>35.119999999999997</v>
      </c>
      <c r="L49" s="282">
        <f t="shared" si="0"/>
        <v>-8.888888888883173E-3</v>
      </c>
      <c r="M49" s="205">
        <v>2.59</v>
      </c>
      <c r="N49" s="205">
        <f t="shared" si="1"/>
        <v>77.699999999999989</v>
      </c>
      <c r="O49" s="290" t="s">
        <v>356</v>
      </c>
      <c r="Q49" s="369" t="s">
        <v>360</v>
      </c>
      <c r="T49" s="367">
        <f t="shared" si="2"/>
        <v>77.699999999999989</v>
      </c>
      <c r="V49" s="367"/>
    </row>
    <row r="50" spans="1:22" ht="15">
      <c r="A50" s="275" t="s">
        <v>308</v>
      </c>
      <c r="B50" s="79" t="s">
        <v>249</v>
      </c>
      <c r="C50" s="276" t="s">
        <v>407</v>
      </c>
      <c r="D50" s="289" t="s">
        <v>212</v>
      </c>
      <c r="E50" s="217" t="s">
        <v>357</v>
      </c>
      <c r="F50" s="277">
        <v>1000</v>
      </c>
      <c r="G50" s="204" t="s">
        <v>147</v>
      </c>
      <c r="H50" s="204" t="s">
        <v>247</v>
      </c>
      <c r="I50" s="282">
        <v>1000</v>
      </c>
      <c r="J50" s="282">
        <v>1150</v>
      </c>
      <c r="K50" s="374">
        <v>1150</v>
      </c>
      <c r="L50" s="282">
        <f t="shared" si="0"/>
        <v>0</v>
      </c>
      <c r="M50" s="205">
        <v>2.72</v>
      </c>
      <c r="N50" s="205">
        <f t="shared" si="1"/>
        <v>2720</v>
      </c>
      <c r="O50" s="290" t="s">
        <v>356</v>
      </c>
      <c r="Q50" s="369" t="s">
        <v>360</v>
      </c>
      <c r="T50" s="367">
        <f t="shared" si="2"/>
        <v>77.699999999999989</v>
      </c>
      <c r="V50" s="367"/>
    </row>
    <row r="51" spans="1:22" ht="15">
      <c r="A51" s="275" t="s">
        <v>299</v>
      </c>
      <c r="B51" s="79" t="s">
        <v>249</v>
      </c>
      <c r="C51" s="276" t="s">
        <v>393</v>
      </c>
      <c r="D51" s="289" t="s">
        <v>212</v>
      </c>
      <c r="E51" s="217" t="s">
        <v>357</v>
      </c>
      <c r="F51" s="277">
        <v>300</v>
      </c>
      <c r="G51" s="204" t="s">
        <v>147</v>
      </c>
      <c r="H51" s="204" t="s">
        <v>247</v>
      </c>
      <c r="I51" s="282">
        <v>300</v>
      </c>
      <c r="J51" s="282">
        <v>450</v>
      </c>
      <c r="K51" s="374">
        <v>450</v>
      </c>
      <c r="L51" s="282">
        <f t="shared" si="0"/>
        <v>0</v>
      </c>
      <c r="M51" s="205">
        <v>2.72</v>
      </c>
      <c r="N51" s="205">
        <f t="shared" si="1"/>
        <v>816.00000000000011</v>
      </c>
      <c r="O51" s="290" t="s">
        <v>356</v>
      </c>
      <c r="Q51" s="369" t="s">
        <v>360</v>
      </c>
      <c r="T51" s="367">
        <f t="shared" si="2"/>
        <v>2720</v>
      </c>
      <c r="V51" s="367"/>
    </row>
    <row r="52" spans="1:22" ht="15">
      <c r="A52" s="275" t="s">
        <v>309</v>
      </c>
      <c r="B52" s="79" t="s">
        <v>250</v>
      </c>
      <c r="C52" s="276" t="s">
        <v>372</v>
      </c>
      <c r="D52" s="289" t="s">
        <v>212</v>
      </c>
      <c r="E52" s="217" t="s">
        <v>357</v>
      </c>
      <c r="F52" s="277">
        <v>3000</v>
      </c>
      <c r="G52" s="204" t="s">
        <v>147</v>
      </c>
      <c r="H52" s="204" t="s">
        <v>247</v>
      </c>
      <c r="I52" s="282">
        <v>1050</v>
      </c>
      <c r="J52" s="282">
        <v>1150</v>
      </c>
      <c r="K52" s="374">
        <v>1150</v>
      </c>
      <c r="L52" s="282">
        <f t="shared" si="0"/>
        <v>0</v>
      </c>
      <c r="M52" s="205">
        <v>2.14</v>
      </c>
      <c r="N52" s="205">
        <f t="shared" si="1"/>
        <v>6420</v>
      </c>
      <c r="O52" s="290" t="s">
        <v>356</v>
      </c>
      <c r="Q52" s="369" t="s">
        <v>361</v>
      </c>
      <c r="T52" s="367">
        <f t="shared" si="2"/>
        <v>816.00000000000011</v>
      </c>
      <c r="V52" s="367"/>
    </row>
    <row r="53" spans="1:22" ht="15">
      <c r="A53" s="275" t="s">
        <v>310</v>
      </c>
      <c r="B53" s="79" t="s">
        <v>250</v>
      </c>
      <c r="C53" s="276" t="s">
        <v>373</v>
      </c>
      <c r="D53" s="289" t="s">
        <v>212</v>
      </c>
      <c r="E53" s="217" t="s">
        <v>357</v>
      </c>
      <c r="F53" s="277">
        <v>800</v>
      </c>
      <c r="G53" s="204" t="s">
        <v>147</v>
      </c>
      <c r="H53" s="204" t="s">
        <v>247</v>
      </c>
      <c r="I53" s="282">
        <v>800</v>
      </c>
      <c r="J53" s="282">
        <v>900</v>
      </c>
      <c r="K53" s="374">
        <v>900</v>
      </c>
      <c r="L53" s="282">
        <f t="shared" si="0"/>
        <v>0</v>
      </c>
      <c r="M53" s="205">
        <v>3.89</v>
      </c>
      <c r="N53" s="205">
        <f t="shared" si="1"/>
        <v>3112</v>
      </c>
      <c r="O53" s="290" t="s">
        <v>356</v>
      </c>
      <c r="Q53" s="369" t="s">
        <v>360</v>
      </c>
      <c r="T53" s="367">
        <f t="shared" si="2"/>
        <v>6420</v>
      </c>
      <c r="V53" s="367"/>
    </row>
    <row r="54" spans="1:22" ht="15">
      <c r="A54" s="275" t="s">
        <v>311</v>
      </c>
      <c r="B54" s="260" t="s">
        <v>250</v>
      </c>
      <c r="C54" s="370" t="s">
        <v>256</v>
      </c>
      <c r="D54" s="371" t="s">
        <v>212</v>
      </c>
      <c r="E54" s="371" t="s">
        <v>357</v>
      </c>
      <c r="F54" s="372">
        <v>5</v>
      </c>
      <c r="G54" s="373" t="s">
        <v>147</v>
      </c>
      <c r="H54" s="373" t="s">
        <v>247</v>
      </c>
      <c r="I54" s="374">
        <v>10</v>
      </c>
      <c r="J54" s="374">
        <v>110</v>
      </c>
      <c r="K54" s="374">
        <v>110</v>
      </c>
      <c r="L54" s="282">
        <f t="shared" si="0"/>
        <v>0</v>
      </c>
      <c r="M54" s="375">
        <v>2.97</v>
      </c>
      <c r="N54" s="375">
        <f>M54*F54</f>
        <v>14.850000000000001</v>
      </c>
      <c r="O54" s="290" t="s">
        <v>356</v>
      </c>
      <c r="Q54" s="369" t="s">
        <v>362</v>
      </c>
      <c r="T54" s="367">
        <f t="shared" si="2"/>
        <v>3112</v>
      </c>
      <c r="V54" s="367"/>
    </row>
    <row r="55" spans="1:22" ht="15">
      <c r="A55" s="275" t="s">
        <v>312</v>
      </c>
      <c r="B55" s="79" t="s">
        <v>257</v>
      </c>
      <c r="C55" s="276" t="s">
        <v>374</v>
      </c>
      <c r="D55" s="289" t="s">
        <v>212</v>
      </c>
      <c r="E55" s="217" t="s">
        <v>357</v>
      </c>
      <c r="F55" s="277">
        <v>50</v>
      </c>
      <c r="G55" s="204" t="s">
        <v>147</v>
      </c>
      <c r="H55" s="204" t="s">
        <v>272</v>
      </c>
      <c r="I55" s="282">
        <v>68</v>
      </c>
      <c r="J55" s="282">
        <v>96.571428571428569</v>
      </c>
      <c r="K55" s="374">
        <v>96.57</v>
      </c>
      <c r="L55" s="282">
        <f t="shared" si="0"/>
        <v>1.4285714285762197E-3</v>
      </c>
      <c r="M55" s="205">
        <v>8.26</v>
      </c>
      <c r="N55" s="205">
        <f t="shared" si="1"/>
        <v>413</v>
      </c>
      <c r="O55" s="290" t="s">
        <v>356</v>
      </c>
      <c r="Q55" s="369" t="s">
        <v>359</v>
      </c>
      <c r="T55" s="367">
        <f t="shared" si="2"/>
        <v>14.850000000000001</v>
      </c>
      <c r="V55" s="367"/>
    </row>
    <row r="56" spans="1:22" ht="15">
      <c r="A56" s="275" t="s">
        <v>313</v>
      </c>
      <c r="B56" s="79" t="s">
        <v>257</v>
      </c>
      <c r="C56" s="276" t="s">
        <v>364</v>
      </c>
      <c r="D56" s="289" t="s">
        <v>212</v>
      </c>
      <c r="E56" s="217" t="s">
        <v>357</v>
      </c>
      <c r="F56" s="277">
        <v>25</v>
      </c>
      <c r="G56" s="204" t="s">
        <v>147</v>
      </c>
      <c r="H56" s="204" t="s">
        <v>272</v>
      </c>
      <c r="I56" s="282">
        <v>49</v>
      </c>
      <c r="J56" s="282">
        <v>77.571428571428569</v>
      </c>
      <c r="K56" s="374">
        <v>77.569999999999993</v>
      </c>
      <c r="L56" s="282">
        <f t="shared" si="0"/>
        <v>1.4285714285762197E-3</v>
      </c>
      <c r="M56" s="205">
        <v>8.26</v>
      </c>
      <c r="N56" s="205">
        <f t="shared" si="1"/>
        <v>206.5</v>
      </c>
      <c r="O56" s="290" t="s">
        <v>356</v>
      </c>
      <c r="Q56" s="369" t="s">
        <v>359</v>
      </c>
      <c r="T56" s="367">
        <f t="shared" si="2"/>
        <v>413</v>
      </c>
      <c r="V56" s="367"/>
    </row>
    <row r="57" spans="1:22" ht="15">
      <c r="A57" s="275" t="s">
        <v>314</v>
      </c>
      <c r="B57" s="79" t="s">
        <v>257</v>
      </c>
      <c r="C57" s="276" t="s">
        <v>365</v>
      </c>
      <c r="D57" s="289" t="s">
        <v>212</v>
      </c>
      <c r="E57" s="217" t="s">
        <v>357</v>
      </c>
      <c r="F57" s="277">
        <v>50</v>
      </c>
      <c r="G57" s="204" t="s">
        <v>147</v>
      </c>
      <c r="H57" s="204" t="s">
        <v>272</v>
      </c>
      <c r="I57" s="282">
        <v>132</v>
      </c>
      <c r="J57" s="282">
        <v>160.57142857142858</v>
      </c>
      <c r="K57" s="374">
        <v>160.57</v>
      </c>
      <c r="L57" s="282">
        <f t="shared" si="0"/>
        <v>1.4285714285904305E-3</v>
      </c>
      <c r="M57" s="205">
        <v>8.26</v>
      </c>
      <c r="N57" s="205">
        <f t="shared" si="1"/>
        <v>413</v>
      </c>
      <c r="O57" s="290" t="s">
        <v>356</v>
      </c>
      <c r="Q57" s="369" t="s">
        <v>359</v>
      </c>
      <c r="T57" s="367">
        <f t="shared" si="2"/>
        <v>206.5</v>
      </c>
      <c r="V57" s="367"/>
    </row>
    <row r="58" spans="1:22" ht="15">
      <c r="A58" s="275" t="s">
        <v>315</v>
      </c>
      <c r="B58" s="79" t="s">
        <v>257</v>
      </c>
      <c r="C58" s="276" t="s">
        <v>366</v>
      </c>
      <c r="D58" s="289" t="s">
        <v>212</v>
      </c>
      <c r="E58" s="217" t="s">
        <v>357</v>
      </c>
      <c r="F58" s="277">
        <v>13</v>
      </c>
      <c r="G58" s="204" t="s">
        <v>147</v>
      </c>
      <c r="H58" s="204" t="s">
        <v>272</v>
      </c>
      <c r="I58" s="282">
        <v>41.08</v>
      </c>
      <c r="J58" s="282">
        <v>69.651428571428568</v>
      </c>
      <c r="K58" s="374">
        <v>69.650000000000006</v>
      </c>
      <c r="L58" s="282">
        <f t="shared" si="0"/>
        <v>1.4285714285620088E-3</v>
      </c>
      <c r="M58" s="205">
        <v>8.26</v>
      </c>
      <c r="N58" s="205">
        <f t="shared" si="1"/>
        <v>107.38</v>
      </c>
      <c r="O58" s="290" t="s">
        <v>356</v>
      </c>
      <c r="Q58" s="369" t="s">
        <v>359</v>
      </c>
      <c r="T58" s="367">
        <f t="shared" si="2"/>
        <v>413</v>
      </c>
      <c r="V58" s="367"/>
    </row>
    <row r="59" spans="1:22" ht="15">
      <c r="A59" s="275" t="s">
        <v>316</v>
      </c>
      <c r="B59" s="79" t="s">
        <v>257</v>
      </c>
      <c r="C59" s="276" t="s">
        <v>367</v>
      </c>
      <c r="D59" s="289" t="s">
        <v>212</v>
      </c>
      <c r="E59" s="217" t="s">
        <v>357</v>
      </c>
      <c r="F59" s="277">
        <v>75</v>
      </c>
      <c r="G59" s="204" t="s">
        <v>147</v>
      </c>
      <c r="H59" s="204" t="s">
        <v>272</v>
      </c>
      <c r="I59" s="282">
        <v>318</v>
      </c>
      <c r="J59" s="282">
        <v>346.57142857142856</v>
      </c>
      <c r="K59" s="374">
        <v>346.57</v>
      </c>
      <c r="L59" s="282">
        <f t="shared" si="0"/>
        <v>1.4285714285620088E-3</v>
      </c>
      <c r="M59" s="205">
        <v>8.26</v>
      </c>
      <c r="N59" s="205">
        <f t="shared" si="1"/>
        <v>619.5</v>
      </c>
      <c r="O59" s="290" t="s">
        <v>356</v>
      </c>
      <c r="Q59" s="369" t="s">
        <v>359</v>
      </c>
      <c r="T59" s="367">
        <f t="shared" si="2"/>
        <v>107.38</v>
      </c>
      <c r="V59" s="367"/>
    </row>
    <row r="60" spans="1:22" ht="15">
      <c r="A60" s="275" t="s">
        <v>317</v>
      </c>
      <c r="B60" s="79" t="s">
        <v>257</v>
      </c>
      <c r="C60" s="276" t="s">
        <v>368</v>
      </c>
      <c r="D60" s="289" t="s">
        <v>212</v>
      </c>
      <c r="E60" s="217" t="s">
        <v>357</v>
      </c>
      <c r="F60" s="277">
        <v>25</v>
      </c>
      <c r="G60" s="204" t="s">
        <v>147</v>
      </c>
      <c r="H60" s="204" t="s">
        <v>272</v>
      </c>
      <c r="I60" s="282">
        <v>218.00000000000003</v>
      </c>
      <c r="J60" s="282">
        <v>246.57142857142861</v>
      </c>
      <c r="K60" s="374">
        <v>246.57</v>
      </c>
      <c r="L60" s="282">
        <f t="shared" si="0"/>
        <v>1.4285714286188522E-3</v>
      </c>
      <c r="M60" s="205">
        <v>8.26</v>
      </c>
      <c r="N60" s="205">
        <f t="shared" si="1"/>
        <v>206.5</v>
      </c>
      <c r="O60" s="290" t="s">
        <v>356</v>
      </c>
      <c r="Q60" s="369" t="s">
        <v>359</v>
      </c>
      <c r="T60" s="367">
        <f t="shared" si="2"/>
        <v>619.5</v>
      </c>
      <c r="V60" s="367"/>
    </row>
    <row r="61" spans="1:22" ht="15">
      <c r="A61" s="275" t="s">
        <v>318</v>
      </c>
      <c r="B61" s="79" t="s">
        <v>257</v>
      </c>
      <c r="C61" s="276" t="s">
        <v>375</v>
      </c>
      <c r="D61" s="289" t="s">
        <v>212</v>
      </c>
      <c r="E61" s="217" t="s">
        <v>357</v>
      </c>
      <c r="F61" s="277">
        <v>13</v>
      </c>
      <c r="G61" s="204" t="s">
        <v>147</v>
      </c>
      <c r="H61" s="204" t="s">
        <v>272</v>
      </c>
      <c r="I61" s="282">
        <v>161.20000000000002</v>
      </c>
      <c r="J61" s="282">
        <v>189.7714285714286</v>
      </c>
      <c r="K61" s="382">
        <v>189.78</v>
      </c>
      <c r="L61" s="282">
        <f t="shared" si="0"/>
        <v>-8.5714285714004745E-3</v>
      </c>
      <c r="M61" s="205">
        <v>8.26</v>
      </c>
      <c r="N61" s="205">
        <f t="shared" si="1"/>
        <v>107.38</v>
      </c>
      <c r="O61" s="290" t="s">
        <v>356</v>
      </c>
      <c r="Q61" s="369" t="s">
        <v>359</v>
      </c>
      <c r="T61" s="367">
        <f t="shared" si="2"/>
        <v>206.5</v>
      </c>
      <c r="V61" s="367"/>
    </row>
    <row r="62" spans="1:22" ht="15">
      <c r="A62" s="275" t="s">
        <v>319</v>
      </c>
      <c r="B62" s="79" t="s">
        <v>267</v>
      </c>
      <c r="C62" s="276" t="s">
        <v>394</v>
      </c>
      <c r="D62" s="289" t="s">
        <v>212</v>
      </c>
      <c r="E62" s="217" t="s">
        <v>357</v>
      </c>
      <c r="F62" s="277">
        <v>100</v>
      </c>
      <c r="G62" s="204" t="s">
        <v>147</v>
      </c>
      <c r="H62" s="204" t="s">
        <v>247</v>
      </c>
      <c r="I62" s="282">
        <v>34</v>
      </c>
      <c r="J62" s="282">
        <v>42.333333333333336</v>
      </c>
      <c r="K62" s="374">
        <v>42.33</v>
      </c>
      <c r="L62" s="282">
        <f t="shared" si="0"/>
        <v>3.3333333333374071E-3</v>
      </c>
      <c r="M62" s="205">
        <v>2.58</v>
      </c>
      <c r="N62" s="205">
        <f t="shared" si="1"/>
        <v>258</v>
      </c>
      <c r="O62" s="290" t="s">
        <v>356</v>
      </c>
      <c r="P62" s="280"/>
      <c r="Q62" s="369" t="s">
        <v>360</v>
      </c>
      <c r="R62" s="281"/>
      <c r="T62" s="367">
        <f t="shared" si="2"/>
        <v>107.38</v>
      </c>
      <c r="V62" s="367"/>
    </row>
    <row r="63" spans="1:22" ht="15">
      <c r="A63" s="275" t="s">
        <v>320</v>
      </c>
      <c r="B63" s="79" t="s">
        <v>267</v>
      </c>
      <c r="C63" s="276" t="s">
        <v>395</v>
      </c>
      <c r="D63" s="289" t="s">
        <v>212</v>
      </c>
      <c r="E63" s="217" t="s">
        <v>357</v>
      </c>
      <c r="F63" s="277">
        <v>50</v>
      </c>
      <c r="G63" s="204" t="s">
        <v>147</v>
      </c>
      <c r="H63" s="204" t="s">
        <v>247</v>
      </c>
      <c r="I63" s="282">
        <v>24.5</v>
      </c>
      <c r="J63" s="282">
        <v>32.833333333333336</v>
      </c>
      <c r="K63" s="374">
        <v>32.83</v>
      </c>
      <c r="L63" s="282">
        <f t="shared" si="0"/>
        <v>3.3333333333374071E-3</v>
      </c>
      <c r="M63" s="205">
        <v>2.58</v>
      </c>
      <c r="N63" s="205">
        <f t="shared" si="1"/>
        <v>129</v>
      </c>
      <c r="O63" s="290" t="s">
        <v>356</v>
      </c>
      <c r="P63" s="280"/>
      <c r="Q63" s="369" t="s">
        <v>360</v>
      </c>
      <c r="R63" s="281"/>
      <c r="T63" s="367">
        <f t="shared" si="2"/>
        <v>258</v>
      </c>
      <c r="V63" s="367"/>
    </row>
    <row r="64" spans="1:22" ht="15">
      <c r="A64" s="275" t="s">
        <v>321</v>
      </c>
      <c r="B64" s="79" t="s">
        <v>267</v>
      </c>
      <c r="C64" s="276" t="s">
        <v>380</v>
      </c>
      <c r="D64" s="289" t="s">
        <v>212</v>
      </c>
      <c r="E64" s="217" t="s">
        <v>357</v>
      </c>
      <c r="F64" s="277">
        <v>100</v>
      </c>
      <c r="G64" s="204" t="s">
        <v>147</v>
      </c>
      <c r="H64" s="204" t="s">
        <v>247</v>
      </c>
      <c r="I64" s="282">
        <v>66</v>
      </c>
      <c r="J64" s="282">
        <v>74.333333333333329</v>
      </c>
      <c r="K64" s="374">
        <v>74.33</v>
      </c>
      <c r="L64" s="282">
        <f t="shared" si="0"/>
        <v>3.3333333333303017E-3</v>
      </c>
      <c r="M64" s="205">
        <v>2.58</v>
      </c>
      <c r="N64" s="205">
        <f t="shared" si="1"/>
        <v>258</v>
      </c>
      <c r="O64" s="290" t="s">
        <v>356</v>
      </c>
      <c r="P64" s="280"/>
      <c r="Q64" s="369" t="s">
        <v>360</v>
      </c>
      <c r="R64" s="281"/>
      <c r="T64" s="367">
        <f t="shared" si="2"/>
        <v>129</v>
      </c>
      <c r="V64" s="367"/>
    </row>
    <row r="65" spans="1:22" ht="15">
      <c r="A65" s="275" t="s">
        <v>322</v>
      </c>
      <c r="B65" s="79" t="s">
        <v>267</v>
      </c>
      <c r="C65" s="276" t="s">
        <v>381</v>
      </c>
      <c r="D65" s="289" t="s">
        <v>212</v>
      </c>
      <c r="E65" s="217" t="s">
        <v>357</v>
      </c>
      <c r="F65" s="277">
        <v>25</v>
      </c>
      <c r="G65" s="204" t="s">
        <v>147</v>
      </c>
      <c r="H65" s="204" t="s">
        <v>247</v>
      </c>
      <c r="I65" s="282">
        <v>19.75</v>
      </c>
      <c r="J65" s="282">
        <v>28.083333333333336</v>
      </c>
      <c r="K65" s="374">
        <v>28.08</v>
      </c>
      <c r="L65" s="282">
        <f t="shared" si="0"/>
        <v>3.3333333333374071E-3</v>
      </c>
      <c r="M65" s="205">
        <v>2.58</v>
      </c>
      <c r="N65" s="205">
        <f t="shared" si="1"/>
        <v>64.5</v>
      </c>
      <c r="O65" s="290" t="s">
        <v>356</v>
      </c>
      <c r="P65" s="280"/>
      <c r="Q65" s="369" t="s">
        <v>360</v>
      </c>
      <c r="R65" s="281"/>
      <c r="T65" s="367">
        <f>M64*F64</f>
        <v>258</v>
      </c>
      <c r="V65" s="367"/>
    </row>
    <row r="66" spans="1:22" ht="15">
      <c r="A66" s="275" t="s">
        <v>323</v>
      </c>
      <c r="B66" s="79" t="s">
        <v>267</v>
      </c>
      <c r="C66" s="276" t="s">
        <v>382</v>
      </c>
      <c r="D66" s="289" t="s">
        <v>212</v>
      </c>
      <c r="E66" s="217" t="s">
        <v>357</v>
      </c>
      <c r="F66" s="277">
        <v>150</v>
      </c>
      <c r="G66" s="204" t="s">
        <v>147</v>
      </c>
      <c r="H66" s="204" t="s">
        <v>247</v>
      </c>
      <c r="I66" s="282">
        <v>159</v>
      </c>
      <c r="J66" s="282">
        <v>167.33333333333334</v>
      </c>
      <c r="K66" s="374">
        <v>167.33</v>
      </c>
      <c r="L66" s="282">
        <f t="shared" si="0"/>
        <v>3.3333333333303017E-3</v>
      </c>
      <c r="M66" s="205">
        <v>2.58</v>
      </c>
      <c r="N66" s="205">
        <f t="shared" si="1"/>
        <v>387</v>
      </c>
      <c r="O66" s="290" t="s">
        <v>356</v>
      </c>
      <c r="P66" s="280"/>
      <c r="Q66" s="369" t="s">
        <v>360</v>
      </c>
      <c r="R66" s="281"/>
      <c r="T66" s="367">
        <f t="shared" si="2"/>
        <v>64.5</v>
      </c>
      <c r="V66" s="367"/>
    </row>
    <row r="67" spans="1:22" ht="15">
      <c r="A67" s="275" t="s">
        <v>324</v>
      </c>
      <c r="B67" s="79" t="s">
        <v>267</v>
      </c>
      <c r="C67" s="276" t="s">
        <v>383</v>
      </c>
      <c r="D67" s="289" t="s">
        <v>212</v>
      </c>
      <c r="E67" s="217" t="s">
        <v>357</v>
      </c>
      <c r="F67" s="277">
        <v>50</v>
      </c>
      <c r="G67" s="204" t="s">
        <v>147</v>
      </c>
      <c r="H67" s="204" t="s">
        <v>247</v>
      </c>
      <c r="I67" s="282">
        <v>109.00000000000001</v>
      </c>
      <c r="J67" s="282">
        <v>117.33333333333334</v>
      </c>
      <c r="K67" s="374">
        <v>117.33</v>
      </c>
      <c r="L67" s="282">
        <f t="shared" si="0"/>
        <v>3.3333333333445125E-3</v>
      </c>
      <c r="M67" s="205">
        <v>2.58</v>
      </c>
      <c r="N67" s="205">
        <f t="shared" si="1"/>
        <v>129</v>
      </c>
      <c r="O67" s="290" t="s">
        <v>356</v>
      </c>
      <c r="P67" s="280"/>
      <c r="Q67" s="369" t="s">
        <v>360</v>
      </c>
      <c r="R67" s="281"/>
      <c r="T67" s="367">
        <f t="shared" si="2"/>
        <v>387</v>
      </c>
      <c r="V67" s="367"/>
    </row>
    <row r="68" spans="1:22" ht="15">
      <c r="A68" s="275" t="s">
        <v>325</v>
      </c>
      <c r="B68" s="79" t="s">
        <v>267</v>
      </c>
      <c r="C68" s="276" t="s">
        <v>396</v>
      </c>
      <c r="D68" s="289" t="s">
        <v>212</v>
      </c>
      <c r="E68" s="217" t="s">
        <v>357</v>
      </c>
      <c r="F68" s="277">
        <v>25</v>
      </c>
      <c r="G68" s="204" t="s">
        <v>147</v>
      </c>
      <c r="H68" s="204" t="s">
        <v>247</v>
      </c>
      <c r="I68" s="282">
        <v>77.5</v>
      </c>
      <c r="J68" s="282">
        <v>85.833333333333329</v>
      </c>
      <c r="K68" s="374">
        <v>85.83</v>
      </c>
      <c r="L68" s="282">
        <f t="shared" si="0"/>
        <v>3.3333333333303017E-3</v>
      </c>
      <c r="M68" s="205">
        <v>2.58</v>
      </c>
      <c r="N68" s="205">
        <f t="shared" si="1"/>
        <v>64.5</v>
      </c>
      <c r="O68" s="290" t="s">
        <v>356</v>
      </c>
      <c r="P68" s="280"/>
      <c r="Q68" s="369" t="s">
        <v>360</v>
      </c>
      <c r="R68" s="281"/>
      <c r="T68" s="367">
        <f t="shared" si="2"/>
        <v>129</v>
      </c>
      <c r="V68" s="367"/>
    </row>
    <row r="69" spans="1:22" ht="15">
      <c r="A69" s="275" t="s">
        <v>326</v>
      </c>
      <c r="B69" s="79" t="s">
        <v>267</v>
      </c>
      <c r="C69" s="276" t="s">
        <v>408</v>
      </c>
      <c r="D69" s="289" t="s">
        <v>212</v>
      </c>
      <c r="E69" s="217" t="s">
        <v>357</v>
      </c>
      <c r="F69" s="277">
        <v>50</v>
      </c>
      <c r="G69" s="204" t="s">
        <v>147</v>
      </c>
      <c r="H69" s="204" t="s">
        <v>247</v>
      </c>
      <c r="I69" s="282">
        <v>1.7500000000000002</v>
      </c>
      <c r="J69" s="282">
        <v>10.083333333333334</v>
      </c>
      <c r="K69" s="374">
        <v>10.08</v>
      </c>
      <c r="L69" s="282">
        <f t="shared" si="0"/>
        <v>3.3333333333338544E-3</v>
      </c>
      <c r="M69" s="205">
        <v>2.58</v>
      </c>
      <c r="N69" s="205">
        <f t="shared" si="1"/>
        <v>129</v>
      </c>
      <c r="O69" s="290" t="s">
        <v>356</v>
      </c>
      <c r="P69" s="280"/>
      <c r="Q69" s="369" t="s">
        <v>360</v>
      </c>
      <c r="R69" s="281"/>
      <c r="T69" s="367">
        <f t="shared" si="2"/>
        <v>64.5</v>
      </c>
      <c r="V69" s="367"/>
    </row>
    <row r="70" spans="1:22" ht="15">
      <c r="A70" s="275" t="s">
        <v>327</v>
      </c>
      <c r="B70" s="79" t="s">
        <v>267</v>
      </c>
      <c r="C70" s="276" t="s">
        <v>400</v>
      </c>
      <c r="D70" s="289" t="s">
        <v>212</v>
      </c>
      <c r="E70" s="217" t="s">
        <v>357</v>
      </c>
      <c r="F70" s="277">
        <v>25</v>
      </c>
      <c r="G70" s="204" t="s">
        <v>147</v>
      </c>
      <c r="H70" s="204" t="s">
        <v>247</v>
      </c>
      <c r="I70" s="282">
        <v>1.5</v>
      </c>
      <c r="J70" s="282">
        <v>9.8333333333333339</v>
      </c>
      <c r="K70" s="374">
        <v>9.83</v>
      </c>
      <c r="L70" s="282">
        <f t="shared" si="0"/>
        <v>3.3333333333338544E-3</v>
      </c>
      <c r="M70" s="205">
        <v>2.58</v>
      </c>
      <c r="N70" s="205">
        <f t="shared" si="1"/>
        <v>64.5</v>
      </c>
      <c r="O70" s="290" t="s">
        <v>356</v>
      </c>
      <c r="P70" s="280"/>
      <c r="Q70" s="369" t="s">
        <v>360</v>
      </c>
      <c r="R70" s="281"/>
      <c r="T70" s="367">
        <f t="shared" si="2"/>
        <v>129</v>
      </c>
      <c r="V70" s="367"/>
    </row>
    <row r="71" spans="1:22" ht="15">
      <c r="A71" s="275" t="s">
        <v>328</v>
      </c>
      <c r="B71" s="79" t="s">
        <v>267</v>
      </c>
      <c r="C71" s="276" t="s">
        <v>401</v>
      </c>
      <c r="D71" s="289" t="s">
        <v>212</v>
      </c>
      <c r="E71" s="217" t="s">
        <v>357</v>
      </c>
      <c r="F71" s="277">
        <v>50</v>
      </c>
      <c r="G71" s="204" t="s">
        <v>147</v>
      </c>
      <c r="H71" s="204" t="s">
        <v>247</v>
      </c>
      <c r="I71" s="282">
        <v>4.75</v>
      </c>
      <c r="J71" s="282">
        <v>13.083333333333334</v>
      </c>
      <c r="K71" s="374">
        <v>13.08</v>
      </c>
      <c r="L71" s="282">
        <f t="shared" si="0"/>
        <v>3.3333333333338544E-3</v>
      </c>
      <c r="M71" s="205">
        <v>2.58</v>
      </c>
      <c r="N71" s="205">
        <f t="shared" si="1"/>
        <v>129</v>
      </c>
      <c r="O71" s="290" t="s">
        <v>356</v>
      </c>
      <c r="P71" s="280"/>
      <c r="Q71" s="369" t="s">
        <v>360</v>
      </c>
      <c r="R71" s="281"/>
      <c r="T71" s="367">
        <f t="shared" si="2"/>
        <v>64.5</v>
      </c>
      <c r="V71" s="367"/>
    </row>
    <row r="72" spans="1:22" ht="15">
      <c r="A72" s="275" t="s">
        <v>329</v>
      </c>
      <c r="B72" s="79" t="s">
        <v>267</v>
      </c>
      <c r="C72" s="276" t="s">
        <v>402</v>
      </c>
      <c r="D72" s="289" t="s">
        <v>212</v>
      </c>
      <c r="E72" s="217" t="s">
        <v>357</v>
      </c>
      <c r="F72" s="277">
        <v>13</v>
      </c>
      <c r="G72" s="204" t="s">
        <v>147</v>
      </c>
      <c r="H72" s="204" t="s">
        <v>247</v>
      </c>
      <c r="I72" s="282">
        <v>1.43</v>
      </c>
      <c r="J72" s="282">
        <v>9.7633333333333336</v>
      </c>
      <c r="K72" s="374">
        <v>9.76</v>
      </c>
      <c r="L72" s="282">
        <f t="shared" si="0"/>
        <v>3.3333333333338544E-3</v>
      </c>
      <c r="M72" s="205">
        <v>2.58</v>
      </c>
      <c r="N72" s="205">
        <f t="shared" si="1"/>
        <v>33.54</v>
      </c>
      <c r="O72" s="290" t="s">
        <v>356</v>
      </c>
      <c r="P72" s="280"/>
      <c r="Q72" s="369" t="s">
        <v>360</v>
      </c>
      <c r="R72" s="281"/>
      <c r="T72" s="367">
        <f t="shared" si="2"/>
        <v>129</v>
      </c>
      <c r="V72" s="367"/>
    </row>
    <row r="73" spans="1:22" ht="15">
      <c r="A73" s="275" t="s">
        <v>330</v>
      </c>
      <c r="B73" s="79" t="s">
        <v>267</v>
      </c>
      <c r="C73" s="276" t="s">
        <v>403</v>
      </c>
      <c r="D73" s="289" t="s">
        <v>212</v>
      </c>
      <c r="E73" s="217" t="s">
        <v>357</v>
      </c>
      <c r="F73" s="277">
        <v>75</v>
      </c>
      <c r="G73" s="204" t="s">
        <v>147</v>
      </c>
      <c r="H73" s="204" t="s">
        <v>247</v>
      </c>
      <c r="I73" s="282">
        <v>12.375</v>
      </c>
      <c r="J73" s="282">
        <v>20.708333333333336</v>
      </c>
      <c r="K73" s="374">
        <v>20.71</v>
      </c>
      <c r="L73" s="282">
        <f t="shared" si="0"/>
        <v>-1.6666666666651508E-3</v>
      </c>
      <c r="M73" s="205">
        <v>2.58</v>
      </c>
      <c r="N73" s="205">
        <f t="shared" si="1"/>
        <v>193.5</v>
      </c>
      <c r="O73" s="290" t="s">
        <v>356</v>
      </c>
      <c r="P73" s="280"/>
      <c r="Q73" s="369" t="s">
        <v>360</v>
      </c>
      <c r="R73" s="281"/>
      <c r="T73" s="367">
        <f t="shared" si="2"/>
        <v>33.54</v>
      </c>
      <c r="V73" s="367"/>
    </row>
    <row r="74" spans="1:22" ht="15">
      <c r="A74" s="275" t="s">
        <v>331</v>
      </c>
      <c r="B74" s="79" t="s">
        <v>267</v>
      </c>
      <c r="C74" s="276" t="s">
        <v>404</v>
      </c>
      <c r="D74" s="289" t="s">
        <v>212</v>
      </c>
      <c r="E74" s="217" t="s">
        <v>357</v>
      </c>
      <c r="F74" s="277">
        <v>25</v>
      </c>
      <c r="G74" s="204" t="s">
        <v>147</v>
      </c>
      <c r="H74" s="204" t="s">
        <v>247</v>
      </c>
      <c r="I74" s="282">
        <v>12.25</v>
      </c>
      <c r="J74" s="282">
        <v>20.583333333333336</v>
      </c>
      <c r="K74" s="374">
        <v>20.58</v>
      </c>
      <c r="L74" s="282">
        <f t="shared" ref="L74:L97" si="3">J74-K74</f>
        <v>3.3333333333374071E-3</v>
      </c>
      <c r="M74" s="205">
        <v>2.58</v>
      </c>
      <c r="N74" s="205">
        <f t="shared" ref="N74:N80" si="4">M74*F74</f>
        <v>64.5</v>
      </c>
      <c r="O74" s="290" t="s">
        <v>356</v>
      </c>
      <c r="P74" s="280"/>
      <c r="Q74" s="369" t="s">
        <v>360</v>
      </c>
      <c r="R74" s="281"/>
      <c r="T74" s="367">
        <f t="shared" si="2"/>
        <v>193.5</v>
      </c>
      <c r="V74" s="367"/>
    </row>
    <row r="75" spans="1:22" ht="15">
      <c r="A75" s="275" t="s">
        <v>332</v>
      </c>
      <c r="B75" s="79" t="s">
        <v>267</v>
      </c>
      <c r="C75" s="276" t="s">
        <v>409</v>
      </c>
      <c r="D75" s="289" t="s">
        <v>212</v>
      </c>
      <c r="E75" s="217" t="s">
        <v>357</v>
      </c>
      <c r="F75" s="277">
        <v>13</v>
      </c>
      <c r="G75" s="204" t="s">
        <v>147</v>
      </c>
      <c r="H75" s="204" t="s">
        <v>247</v>
      </c>
      <c r="I75" s="282">
        <v>8.125</v>
      </c>
      <c r="J75" s="282">
        <v>16.458333333333336</v>
      </c>
      <c r="K75" s="374">
        <v>16.46</v>
      </c>
      <c r="L75" s="282">
        <f t="shared" si="3"/>
        <v>-1.6666666666651508E-3</v>
      </c>
      <c r="M75" s="205">
        <v>2.58</v>
      </c>
      <c r="N75" s="205">
        <f t="shared" si="4"/>
        <v>33.54</v>
      </c>
      <c r="O75" s="290" t="s">
        <v>356</v>
      </c>
      <c r="P75" s="280"/>
      <c r="Q75" s="369" t="s">
        <v>360</v>
      </c>
      <c r="R75" s="281"/>
      <c r="T75" s="367">
        <f t="shared" ref="T75:T77" si="5">M74*F74</f>
        <v>64.5</v>
      </c>
      <c r="V75" s="367"/>
    </row>
    <row r="76" spans="1:22" ht="15">
      <c r="A76" s="275" t="s">
        <v>333</v>
      </c>
      <c r="B76" s="79" t="s">
        <v>267</v>
      </c>
      <c r="C76" s="276" t="s">
        <v>397</v>
      </c>
      <c r="D76" s="289" t="s">
        <v>212</v>
      </c>
      <c r="E76" s="217" t="s">
        <v>357</v>
      </c>
      <c r="F76" s="277">
        <v>60</v>
      </c>
      <c r="G76" s="204" t="s">
        <v>147</v>
      </c>
      <c r="H76" s="204" t="s">
        <v>247</v>
      </c>
      <c r="I76" s="282">
        <v>2.1</v>
      </c>
      <c r="J76" s="282">
        <v>10.433333333333334</v>
      </c>
      <c r="K76" s="374">
        <v>10.43</v>
      </c>
      <c r="L76" s="282">
        <f t="shared" si="3"/>
        <v>3.3333333333338544E-3</v>
      </c>
      <c r="M76" s="205">
        <v>2.58</v>
      </c>
      <c r="N76" s="205">
        <f t="shared" si="4"/>
        <v>154.80000000000001</v>
      </c>
      <c r="O76" s="290" t="s">
        <v>356</v>
      </c>
      <c r="P76" s="280"/>
      <c r="Q76" s="369" t="s">
        <v>360</v>
      </c>
      <c r="R76" s="281"/>
      <c r="T76" s="367">
        <f t="shared" si="5"/>
        <v>33.54</v>
      </c>
      <c r="V76" s="367"/>
    </row>
    <row r="77" spans="1:22" ht="15">
      <c r="A77" s="275" t="s">
        <v>334</v>
      </c>
      <c r="B77" s="79" t="s">
        <v>267</v>
      </c>
      <c r="C77" s="276" t="s">
        <v>386</v>
      </c>
      <c r="D77" s="289" t="s">
        <v>212</v>
      </c>
      <c r="E77" s="217" t="s">
        <v>357</v>
      </c>
      <c r="F77" s="277">
        <v>30</v>
      </c>
      <c r="G77" s="204" t="s">
        <v>147</v>
      </c>
      <c r="H77" s="204" t="s">
        <v>247</v>
      </c>
      <c r="I77" s="282">
        <v>1.7999999999999998</v>
      </c>
      <c r="J77" s="282">
        <v>10.133333333333333</v>
      </c>
      <c r="K77" s="374">
        <v>10.130000000000001</v>
      </c>
      <c r="L77" s="282">
        <f t="shared" si="3"/>
        <v>3.333333333332078E-3</v>
      </c>
      <c r="M77" s="205">
        <v>2.58</v>
      </c>
      <c r="N77" s="205">
        <f t="shared" si="4"/>
        <v>77.400000000000006</v>
      </c>
      <c r="O77" s="290" t="s">
        <v>356</v>
      </c>
      <c r="P77" s="280"/>
      <c r="Q77" s="369" t="s">
        <v>360</v>
      </c>
      <c r="R77" s="281"/>
      <c r="T77" s="367">
        <f t="shared" si="5"/>
        <v>154.80000000000001</v>
      </c>
      <c r="V77" s="367"/>
    </row>
    <row r="78" spans="1:22" ht="15">
      <c r="A78" s="275" t="s">
        <v>335</v>
      </c>
      <c r="B78" s="79" t="s">
        <v>267</v>
      </c>
      <c r="C78" s="276" t="s">
        <v>387</v>
      </c>
      <c r="D78" s="289" t="s">
        <v>212</v>
      </c>
      <c r="E78" s="217" t="s">
        <v>357</v>
      </c>
      <c r="F78" s="277">
        <v>60</v>
      </c>
      <c r="G78" s="204" t="s">
        <v>147</v>
      </c>
      <c r="H78" s="204" t="s">
        <v>247</v>
      </c>
      <c r="I78" s="282">
        <v>5.7</v>
      </c>
      <c r="J78" s="282">
        <v>14.033333333333335</v>
      </c>
      <c r="K78" s="374">
        <v>14.03</v>
      </c>
      <c r="L78" s="282">
        <f t="shared" si="3"/>
        <v>3.3333333333356308E-3</v>
      </c>
      <c r="M78" s="205">
        <v>2.58</v>
      </c>
      <c r="N78" s="205">
        <f t="shared" si="4"/>
        <v>154.80000000000001</v>
      </c>
      <c r="O78" s="290" t="s">
        <v>356</v>
      </c>
      <c r="P78" s="280"/>
      <c r="Q78" s="369" t="s">
        <v>360</v>
      </c>
      <c r="R78" s="281"/>
      <c r="T78" s="367">
        <f>M77*F77</f>
        <v>77.400000000000006</v>
      </c>
      <c r="V78" s="367"/>
    </row>
    <row r="79" spans="1:22" ht="15">
      <c r="A79" s="275" t="s">
        <v>336</v>
      </c>
      <c r="B79" s="79" t="s">
        <v>267</v>
      </c>
      <c r="C79" s="276" t="s">
        <v>388</v>
      </c>
      <c r="D79" s="289" t="s">
        <v>212</v>
      </c>
      <c r="E79" s="217" t="s">
        <v>357</v>
      </c>
      <c r="F79" s="277">
        <v>15</v>
      </c>
      <c r="G79" s="204" t="s">
        <v>147</v>
      </c>
      <c r="H79" s="204" t="s">
        <v>247</v>
      </c>
      <c r="I79" s="282">
        <v>1.65</v>
      </c>
      <c r="J79" s="282">
        <v>9.9833333333333343</v>
      </c>
      <c r="K79" s="374">
        <v>9.98</v>
      </c>
      <c r="L79" s="282">
        <f t="shared" si="3"/>
        <v>3.3333333333338544E-3</v>
      </c>
      <c r="M79" s="205">
        <v>2.58</v>
      </c>
      <c r="N79" s="205">
        <f t="shared" si="4"/>
        <v>38.700000000000003</v>
      </c>
      <c r="O79" s="290" t="s">
        <v>356</v>
      </c>
      <c r="P79" s="280"/>
      <c r="Q79" s="369" t="s">
        <v>360</v>
      </c>
      <c r="R79" s="281"/>
      <c r="T79" s="367">
        <f t="shared" ref="T79:T97" si="6">M78*F78</f>
        <v>154.80000000000001</v>
      </c>
      <c r="V79" s="367"/>
    </row>
    <row r="80" spans="1:22" ht="15">
      <c r="A80" s="275" t="s">
        <v>337</v>
      </c>
      <c r="B80" s="79" t="s">
        <v>267</v>
      </c>
      <c r="C80" s="276" t="s">
        <v>389</v>
      </c>
      <c r="D80" s="289" t="s">
        <v>212</v>
      </c>
      <c r="E80" s="217" t="s">
        <v>357</v>
      </c>
      <c r="F80" s="277">
        <v>90</v>
      </c>
      <c r="G80" s="204" t="s">
        <v>147</v>
      </c>
      <c r="H80" s="204" t="s">
        <v>247</v>
      </c>
      <c r="I80" s="282">
        <v>14.850000000000001</v>
      </c>
      <c r="J80" s="282">
        <v>23.183333333333337</v>
      </c>
      <c r="K80" s="374">
        <v>23.18</v>
      </c>
      <c r="L80" s="282">
        <f t="shared" si="3"/>
        <v>3.3333333333374071E-3</v>
      </c>
      <c r="M80" s="205">
        <v>2.58</v>
      </c>
      <c r="N80" s="205">
        <f t="shared" si="4"/>
        <v>232.20000000000002</v>
      </c>
      <c r="O80" s="290" t="s">
        <v>356</v>
      </c>
      <c r="P80" s="280"/>
      <c r="Q80" s="369" t="s">
        <v>360</v>
      </c>
      <c r="R80" s="281"/>
      <c r="T80" s="367">
        <f t="shared" si="6"/>
        <v>38.700000000000003</v>
      </c>
      <c r="V80" s="367"/>
    </row>
    <row r="81" spans="1:22" ht="15">
      <c r="A81" s="275" t="s">
        <v>338</v>
      </c>
      <c r="B81" s="79" t="s">
        <v>267</v>
      </c>
      <c r="C81" s="276" t="s">
        <v>390</v>
      </c>
      <c r="D81" s="289" t="s">
        <v>212</v>
      </c>
      <c r="E81" s="217" t="s">
        <v>357</v>
      </c>
      <c r="F81" s="277">
        <v>30</v>
      </c>
      <c r="G81" s="204" t="s">
        <v>147</v>
      </c>
      <c r="H81" s="204" t="s">
        <v>247</v>
      </c>
      <c r="I81" s="282">
        <v>14.7</v>
      </c>
      <c r="J81" s="282">
        <v>23.033333333333331</v>
      </c>
      <c r="K81" s="374">
        <v>23.03</v>
      </c>
      <c r="L81" s="282">
        <f t="shared" si="3"/>
        <v>3.3333333333303017E-3</v>
      </c>
      <c r="M81" s="205">
        <v>2.58</v>
      </c>
      <c r="N81" s="205">
        <f>M81*F81</f>
        <v>77.400000000000006</v>
      </c>
      <c r="O81" s="290" t="s">
        <v>356</v>
      </c>
      <c r="P81" s="280"/>
      <c r="Q81" s="369" t="s">
        <v>360</v>
      </c>
      <c r="R81" s="281"/>
      <c r="T81" s="367">
        <f t="shared" si="6"/>
        <v>232.20000000000002</v>
      </c>
      <c r="V81" s="367"/>
    </row>
    <row r="82" spans="1:22" ht="15">
      <c r="A82" s="275" t="s">
        <v>339</v>
      </c>
      <c r="B82" s="79" t="s">
        <v>267</v>
      </c>
      <c r="C82" s="276" t="s">
        <v>398</v>
      </c>
      <c r="D82" s="289" t="s">
        <v>212</v>
      </c>
      <c r="E82" s="217" t="s">
        <v>357</v>
      </c>
      <c r="F82" s="277">
        <v>15</v>
      </c>
      <c r="G82" s="204" t="s">
        <v>147</v>
      </c>
      <c r="H82" s="204" t="s">
        <v>247</v>
      </c>
      <c r="I82" s="282">
        <v>9.375</v>
      </c>
      <c r="J82" s="282">
        <v>17.708333333333336</v>
      </c>
      <c r="K82" s="374">
        <v>17.71</v>
      </c>
      <c r="L82" s="282">
        <f t="shared" si="3"/>
        <v>-1.6666666666651508E-3</v>
      </c>
      <c r="M82" s="205">
        <v>2.58</v>
      </c>
      <c r="N82" s="205">
        <f t="shared" ref="N82:N97" si="7">M82*F82</f>
        <v>38.700000000000003</v>
      </c>
      <c r="O82" s="290" t="s">
        <v>356</v>
      </c>
      <c r="P82" s="280"/>
      <c r="Q82" s="369" t="s">
        <v>360</v>
      </c>
      <c r="R82" s="281"/>
      <c r="T82" s="367">
        <f t="shared" si="6"/>
        <v>77.400000000000006</v>
      </c>
      <c r="V82" s="367"/>
    </row>
    <row r="83" spans="1:22" ht="15">
      <c r="A83" s="275" t="s">
        <v>340</v>
      </c>
      <c r="B83" s="79" t="s">
        <v>267</v>
      </c>
      <c r="C83" s="276" t="s">
        <v>258</v>
      </c>
      <c r="D83" s="289" t="s">
        <v>212</v>
      </c>
      <c r="E83" s="217" t="s">
        <v>357</v>
      </c>
      <c r="F83" s="277">
        <v>10</v>
      </c>
      <c r="G83" s="204" t="s">
        <v>147</v>
      </c>
      <c r="H83" s="204" t="s">
        <v>247</v>
      </c>
      <c r="I83" s="282">
        <v>0.35000000000000003</v>
      </c>
      <c r="J83" s="282">
        <v>8.6833333333333336</v>
      </c>
      <c r="K83" s="374">
        <v>8.68</v>
      </c>
      <c r="L83" s="282">
        <f t="shared" si="3"/>
        <v>3.3333333333338544E-3</v>
      </c>
      <c r="M83" s="205">
        <v>2.58</v>
      </c>
      <c r="N83" s="205">
        <f t="shared" si="7"/>
        <v>25.8</v>
      </c>
      <c r="O83" s="290" t="s">
        <v>356</v>
      </c>
      <c r="P83" s="280"/>
      <c r="Q83" s="369" t="s">
        <v>360</v>
      </c>
      <c r="R83" s="281"/>
      <c r="T83" s="367">
        <f t="shared" si="6"/>
        <v>38.700000000000003</v>
      </c>
      <c r="V83" s="367"/>
    </row>
    <row r="84" spans="1:22" ht="15">
      <c r="A84" s="275" t="s">
        <v>341</v>
      </c>
      <c r="B84" s="79" t="s">
        <v>267</v>
      </c>
      <c r="C84" s="276" t="s">
        <v>259</v>
      </c>
      <c r="D84" s="289" t="s">
        <v>212</v>
      </c>
      <c r="E84" s="217" t="s">
        <v>357</v>
      </c>
      <c r="F84" s="277">
        <v>10</v>
      </c>
      <c r="G84" s="204" t="s">
        <v>147</v>
      </c>
      <c r="H84" s="204" t="s">
        <v>247</v>
      </c>
      <c r="I84" s="282">
        <v>0.6</v>
      </c>
      <c r="J84" s="282">
        <v>8.9333333333333336</v>
      </c>
      <c r="K84" s="374">
        <v>8.93</v>
      </c>
      <c r="L84" s="282">
        <f t="shared" si="3"/>
        <v>3.3333333333338544E-3</v>
      </c>
      <c r="M84" s="205">
        <v>2.58</v>
      </c>
      <c r="N84" s="205">
        <f t="shared" si="7"/>
        <v>25.8</v>
      </c>
      <c r="O84" s="290" t="s">
        <v>356</v>
      </c>
      <c r="P84" s="280"/>
      <c r="Q84" s="369" t="s">
        <v>360</v>
      </c>
      <c r="R84" s="281"/>
      <c r="T84" s="367">
        <f t="shared" si="6"/>
        <v>25.8</v>
      </c>
      <c r="V84" s="367"/>
    </row>
    <row r="85" spans="1:22" ht="15">
      <c r="A85" s="275" t="s">
        <v>342</v>
      </c>
      <c r="B85" s="79" t="s">
        <v>267</v>
      </c>
      <c r="C85" s="276" t="s">
        <v>260</v>
      </c>
      <c r="D85" s="289" t="s">
        <v>212</v>
      </c>
      <c r="E85" s="217" t="s">
        <v>357</v>
      </c>
      <c r="F85" s="277">
        <v>10</v>
      </c>
      <c r="G85" s="204" t="s">
        <v>147</v>
      </c>
      <c r="H85" s="204" t="s">
        <v>247</v>
      </c>
      <c r="I85" s="282">
        <v>0.95</v>
      </c>
      <c r="J85" s="282">
        <v>9.2833333333333332</v>
      </c>
      <c r="K85" s="374">
        <v>9.2799999999999994</v>
      </c>
      <c r="L85" s="282">
        <f t="shared" si="3"/>
        <v>3.3333333333338544E-3</v>
      </c>
      <c r="M85" s="205">
        <v>2.58</v>
      </c>
      <c r="N85" s="205">
        <f t="shared" si="7"/>
        <v>25.8</v>
      </c>
      <c r="O85" s="290" t="s">
        <v>356</v>
      </c>
      <c r="P85" s="280"/>
      <c r="Q85" s="369" t="s">
        <v>360</v>
      </c>
      <c r="R85" s="281"/>
      <c r="T85" s="367">
        <f t="shared" si="6"/>
        <v>25.8</v>
      </c>
      <c r="V85" s="367"/>
    </row>
    <row r="86" spans="1:22" ht="15">
      <c r="A86" s="275" t="s">
        <v>343</v>
      </c>
      <c r="B86" s="79" t="s">
        <v>267</v>
      </c>
      <c r="C86" s="276" t="s">
        <v>261</v>
      </c>
      <c r="D86" s="289" t="s">
        <v>212</v>
      </c>
      <c r="E86" s="217" t="s">
        <v>357</v>
      </c>
      <c r="F86" s="277">
        <v>5</v>
      </c>
      <c r="G86" s="204" t="s">
        <v>147</v>
      </c>
      <c r="H86" s="204" t="s">
        <v>247</v>
      </c>
      <c r="I86" s="282">
        <v>0.55000000000000004</v>
      </c>
      <c r="J86" s="282">
        <v>8.8833333333333346</v>
      </c>
      <c r="K86" s="374">
        <v>8.8800000000000008</v>
      </c>
      <c r="L86" s="282">
        <f t="shared" si="3"/>
        <v>3.3333333333338544E-3</v>
      </c>
      <c r="M86" s="205">
        <v>2.58</v>
      </c>
      <c r="N86" s="205">
        <f t="shared" si="7"/>
        <v>12.9</v>
      </c>
      <c r="O86" s="290" t="s">
        <v>356</v>
      </c>
      <c r="P86" s="280"/>
      <c r="Q86" s="369" t="s">
        <v>360</v>
      </c>
      <c r="R86" s="281"/>
      <c r="T86" s="367">
        <f t="shared" si="6"/>
        <v>25.8</v>
      </c>
      <c r="V86" s="367"/>
    </row>
    <row r="87" spans="1:22" ht="15">
      <c r="A87" s="275" t="s">
        <v>344</v>
      </c>
      <c r="B87" s="79" t="s">
        <v>267</v>
      </c>
      <c r="C87" s="276" t="s">
        <v>262</v>
      </c>
      <c r="D87" s="289" t="s">
        <v>212</v>
      </c>
      <c r="E87" s="217" t="s">
        <v>357</v>
      </c>
      <c r="F87" s="277">
        <v>10</v>
      </c>
      <c r="G87" s="204" t="s">
        <v>147</v>
      </c>
      <c r="H87" s="204" t="s">
        <v>247</v>
      </c>
      <c r="I87" s="282">
        <v>1.6500000000000001</v>
      </c>
      <c r="J87" s="282">
        <v>9.9833333333333343</v>
      </c>
      <c r="K87" s="374">
        <v>9.98</v>
      </c>
      <c r="L87" s="282">
        <f t="shared" si="3"/>
        <v>3.3333333333338544E-3</v>
      </c>
      <c r="M87" s="205">
        <v>2.58</v>
      </c>
      <c r="N87" s="205">
        <f t="shared" si="7"/>
        <v>25.8</v>
      </c>
      <c r="O87" s="290" t="s">
        <v>356</v>
      </c>
      <c r="P87" s="280"/>
      <c r="Q87" s="369" t="s">
        <v>360</v>
      </c>
      <c r="R87" s="281"/>
      <c r="T87" s="367">
        <f t="shared" si="6"/>
        <v>12.9</v>
      </c>
      <c r="V87" s="367"/>
    </row>
    <row r="88" spans="1:22" ht="15">
      <c r="A88" s="275" t="s">
        <v>345</v>
      </c>
      <c r="B88" s="79" t="s">
        <v>267</v>
      </c>
      <c r="C88" s="276" t="s">
        <v>263</v>
      </c>
      <c r="D88" s="289" t="s">
        <v>212</v>
      </c>
      <c r="E88" s="217" t="s">
        <v>357</v>
      </c>
      <c r="F88" s="277">
        <v>5</v>
      </c>
      <c r="G88" s="204" t="s">
        <v>147</v>
      </c>
      <c r="H88" s="204" t="s">
        <v>247</v>
      </c>
      <c r="I88" s="282">
        <v>2.4500000000000002</v>
      </c>
      <c r="J88" s="282">
        <v>10.783333333333335</v>
      </c>
      <c r="K88" s="374">
        <v>10.78</v>
      </c>
      <c r="L88" s="282">
        <f t="shared" si="3"/>
        <v>3.3333333333356308E-3</v>
      </c>
      <c r="M88" s="205">
        <v>2.58</v>
      </c>
      <c r="N88" s="205">
        <f t="shared" si="7"/>
        <v>12.9</v>
      </c>
      <c r="O88" s="290" t="s">
        <v>356</v>
      </c>
      <c r="P88" s="280"/>
      <c r="Q88" s="369" t="s">
        <v>360</v>
      </c>
      <c r="R88" s="281"/>
      <c r="T88" s="367">
        <f t="shared" si="6"/>
        <v>25.8</v>
      </c>
      <c r="V88" s="367"/>
    </row>
    <row r="89" spans="1:22" ht="15">
      <c r="A89" s="275" t="s">
        <v>346</v>
      </c>
      <c r="B89" s="79" t="s">
        <v>267</v>
      </c>
      <c r="C89" s="276" t="s">
        <v>264</v>
      </c>
      <c r="D89" s="289" t="s">
        <v>212</v>
      </c>
      <c r="E89" s="217" t="s">
        <v>357</v>
      </c>
      <c r="F89" s="277">
        <v>5</v>
      </c>
      <c r="G89" s="204" t="s">
        <v>147</v>
      </c>
      <c r="H89" s="204" t="s">
        <v>247</v>
      </c>
      <c r="I89" s="282">
        <v>3.125</v>
      </c>
      <c r="J89" s="282">
        <v>11.458333333333334</v>
      </c>
      <c r="K89" s="374">
        <v>11.46</v>
      </c>
      <c r="L89" s="282">
        <f t="shared" si="3"/>
        <v>-1.6666666666669272E-3</v>
      </c>
      <c r="M89" s="205">
        <v>2.58</v>
      </c>
      <c r="N89" s="205">
        <f t="shared" si="7"/>
        <v>12.9</v>
      </c>
      <c r="O89" s="290" t="s">
        <v>356</v>
      </c>
      <c r="P89" s="280"/>
      <c r="Q89" s="369" t="s">
        <v>360</v>
      </c>
      <c r="R89" s="281"/>
      <c r="T89" s="367">
        <f t="shared" si="6"/>
        <v>12.9</v>
      </c>
      <c r="V89" s="367"/>
    </row>
    <row r="90" spans="1:22" ht="15">
      <c r="A90" s="275" t="s">
        <v>347</v>
      </c>
      <c r="B90" s="79" t="s">
        <v>267</v>
      </c>
      <c r="C90" s="276" t="s">
        <v>265</v>
      </c>
      <c r="D90" s="289" t="s">
        <v>212</v>
      </c>
      <c r="E90" s="217" t="s">
        <v>357</v>
      </c>
      <c r="F90" s="277">
        <v>10</v>
      </c>
      <c r="G90" s="204" t="s">
        <v>147</v>
      </c>
      <c r="H90" s="204" t="s">
        <v>247</v>
      </c>
      <c r="I90" s="282">
        <v>0.35000000000000003</v>
      </c>
      <c r="J90" s="282">
        <v>8.6833333333333336</v>
      </c>
      <c r="K90" s="374">
        <v>8.68</v>
      </c>
      <c r="L90" s="282">
        <f t="shared" si="3"/>
        <v>3.3333333333338544E-3</v>
      </c>
      <c r="M90" s="205">
        <v>2.58</v>
      </c>
      <c r="N90" s="205">
        <f t="shared" si="7"/>
        <v>25.8</v>
      </c>
      <c r="O90" s="290" t="s">
        <v>356</v>
      </c>
      <c r="P90" s="280"/>
      <c r="Q90" s="369" t="s">
        <v>360</v>
      </c>
      <c r="R90" s="281"/>
      <c r="T90" s="367">
        <f t="shared" si="6"/>
        <v>12.9</v>
      </c>
      <c r="V90" s="367"/>
    </row>
    <row r="91" spans="1:22" ht="15">
      <c r="A91" s="275" t="s">
        <v>348</v>
      </c>
      <c r="B91" s="79" t="s">
        <v>267</v>
      </c>
      <c r="C91" s="276" t="s">
        <v>251</v>
      </c>
      <c r="D91" s="289" t="s">
        <v>212</v>
      </c>
      <c r="E91" s="217" t="s">
        <v>357</v>
      </c>
      <c r="F91" s="277">
        <v>10</v>
      </c>
      <c r="G91" s="204" t="s">
        <v>147</v>
      </c>
      <c r="H91" s="204" t="s">
        <v>247</v>
      </c>
      <c r="I91" s="282">
        <v>0.6</v>
      </c>
      <c r="J91" s="282">
        <v>8.9333333333333336</v>
      </c>
      <c r="K91" s="382">
        <v>8.92</v>
      </c>
      <c r="L91" s="282">
        <f t="shared" si="3"/>
        <v>1.3333333333333641E-2</v>
      </c>
      <c r="M91" s="205">
        <v>2.58</v>
      </c>
      <c r="N91" s="205">
        <f t="shared" si="7"/>
        <v>25.8</v>
      </c>
      <c r="O91" s="290" t="s">
        <v>356</v>
      </c>
      <c r="P91" s="280"/>
      <c r="Q91" s="369" t="s">
        <v>360</v>
      </c>
      <c r="R91" s="281"/>
      <c r="T91" s="367">
        <f t="shared" si="6"/>
        <v>25.8</v>
      </c>
      <c r="V91" s="367"/>
    </row>
    <row r="92" spans="1:22" ht="15">
      <c r="A92" s="275" t="s">
        <v>349</v>
      </c>
      <c r="B92" s="79" t="s">
        <v>267</v>
      </c>
      <c r="C92" s="276" t="s">
        <v>252</v>
      </c>
      <c r="D92" s="289" t="s">
        <v>212</v>
      </c>
      <c r="E92" s="217" t="s">
        <v>357</v>
      </c>
      <c r="F92" s="277">
        <v>10</v>
      </c>
      <c r="G92" s="204" t="s">
        <v>147</v>
      </c>
      <c r="H92" s="204" t="s">
        <v>247</v>
      </c>
      <c r="I92" s="282">
        <v>0.95</v>
      </c>
      <c r="J92" s="282">
        <v>9.2833333333333332</v>
      </c>
      <c r="K92" s="382">
        <v>9.27</v>
      </c>
      <c r="L92" s="282">
        <f t="shared" si="3"/>
        <v>1.3333333333333641E-2</v>
      </c>
      <c r="M92" s="205">
        <v>2.58</v>
      </c>
      <c r="N92" s="205">
        <f t="shared" si="7"/>
        <v>25.8</v>
      </c>
      <c r="O92" s="290" t="s">
        <v>356</v>
      </c>
      <c r="P92" s="280"/>
      <c r="Q92" s="369" t="s">
        <v>360</v>
      </c>
      <c r="R92" s="281"/>
      <c r="T92" s="367">
        <f t="shared" si="6"/>
        <v>25.8</v>
      </c>
      <c r="V92" s="367"/>
    </row>
    <row r="93" spans="1:22" ht="15">
      <c r="A93" s="275" t="s">
        <v>350</v>
      </c>
      <c r="B93" s="79" t="s">
        <v>267</v>
      </c>
      <c r="C93" s="276" t="s">
        <v>253</v>
      </c>
      <c r="D93" s="289" t="s">
        <v>212</v>
      </c>
      <c r="E93" s="217" t="s">
        <v>357</v>
      </c>
      <c r="F93" s="277">
        <v>5</v>
      </c>
      <c r="G93" s="204" t="s">
        <v>147</v>
      </c>
      <c r="H93" s="204" t="s">
        <v>247</v>
      </c>
      <c r="I93" s="282">
        <v>0.55000000000000004</v>
      </c>
      <c r="J93" s="282">
        <v>8.8833333333333346</v>
      </c>
      <c r="K93" s="382">
        <v>8.8699999999999992</v>
      </c>
      <c r="L93" s="282">
        <f t="shared" si="3"/>
        <v>1.3333333333335418E-2</v>
      </c>
      <c r="M93" s="205">
        <v>2.58</v>
      </c>
      <c r="N93" s="205">
        <f t="shared" si="7"/>
        <v>12.9</v>
      </c>
      <c r="O93" s="290" t="s">
        <v>356</v>
      </c>
      <c r="P93" s="280"/>
      <c r="Q93" s="369" t="s">
        <v>360</v>
      </c>
      <c r="R93" s="281"/>
      <c r="T93" s="367">
        <f t="shared" si="6"/>
        <v>25.8</v>
      </c>
      <c r="V93" s="367"/>
    </row>
    <row r="94" spans="1:22" ht="15">
      <c r="A94" s="275" t="s">
        <v>351</v>
      </c>
      <c r="B94" s="79" t="s">
        <v>267</v>
      </c>
      <c r="C94" s="276" t="s">
        <v>254</v>
      </c>
      <c r="D94" s="289" t="s">
        <v>212</v>
      </c>
      <c r="E94" s="217" t="s">
        <v>357</v>
      </c>
      <c r="F94" s="277">
        <v>10</v>
      </c>
      <c r="G94" s="204" t="s">
        <v>147</v>
      </c>
      <c r="H94" s="204" t="s">
        <v>247</v>
      </c>
      <c r="I94" s="282">
        <v>1.6500000000000001</v>
      </c>
      <c r="J94" s="282">
        <v>9.9833333333333343</v>
      </c>
      <c r="K94" s="382">
        <v>9.9700000000000006</v>
      </c>
      <c r="L94" s="282">
        <f t="shared" si="3"/>
        <v>1.3333333333333641E-2</v>
      </c>
      <c r="M94" s="205">
        <v>2.58</v>
      </c>
      <c r="N94" s="205">
        <f t="shared" si="7"/>
        <v>25.8</v>
      </c>
      <c r="O94" s="290" t="s">
        <v>356</v>
      </c>
      <c r="P94" s="280"/>
      <c r="Q94" s="369" t="s">
        <v>360</v>
      </c>
      <c r="R94" s="281"/>
      <c r="T94" s="367">
        <f t="shared" si="6"/>
        <v>12.9</v>
      </c>
      <c r="V94" s="367"/>
    </row>
    <row r="95" spans="1:22" ht="15">
      <c r="A95" s="275" t="s">
        <v>352</v>
      </c>
      <c r="B95" s="79" t="s">
        <v>267</v>
      </c>
      <c r="C95" s="276" t="s">
        <v>255</v>
      </c>
      <c r="D95" s="289" t="s">
        <v>212</v>
      </c>
      <c r="E95" s="217" t="s">
        <v>357</v>
      </c>
      <c r="F95" s="277">
        <v>5</v>
      </c>
      <c r="G95" s="204" t="s">
        <v>147</v>
      </c>
      <c r="H95" s="204" t="s">
        <v>247</v>
      </c>
      <c r="I95" s="282">
        <v>2.4500000000000002</v>
      </c>
      <c r="J95" s="282">
        <v>10.783333333333335</v>
      </c>
      <c r="K95" s="382">
        <v>10.77</v>
      </c>
      <c r="L95" s="282">
        <f t="shared" si="3"/>
        <v>1.3333333333335418E-2</v>
      </c>
      <c r="M95" s="205">
        <v>2.58</v>
      </c>
      <c r="N95" s="205">
        <f t="shared" si="7"/>
        <v>12.9</v>
      </c>
      <c r="O95" s="290" t="s">
        <v>356</v>
      </c>
      <c r="P95" s="280"/>
      <c r="Q95" s="369" t="s">
        <v>360</v>
      </c>
      <c r="R95" s="281"/>
      <c r="T95" s="367">
        <f t="shared" si="6"/>
        <v>25.8</v>
      </c>
      <c r="V95" s="367"/>
    </row>
    <row r="96" spans="1:22" ht="15">
      <c r="A96" s="275" t="s">
        <v>353</v>
      </c>
      <c r="B96" s="79" t="s">
        <v>267</v>
      </c>
      <c r="C96" s="276" t="s">
        <v>266</v>
      </c>
      <c r="D96" s="289" t="s">
        <v>212</v>
      </c>
      <c r="E96" s="217" t="s">
        <v>357</v>
      </c>
      <c r="F96" s="277">
        <v>5</v>
      </c>
      <c r="G96" s="204" t="s">
        <v>147</v>
      </c>
      <c r="H96" s="204" t="s">
        <v>247</v>
      </c>
      <c r="I96" s="282">
        <v>3.125</v>
      </c>
      <c r="J96" s="282">
        <v>11.458333333333334</v>
      </c>
      <c r="K96" s="382">
        <v>11.45</v>
      </c>
      <c r="L96" s="282">
        <f t="shared" si="3"/>
        <v>8.333333333334636E-3</v>
      </c>
      <c r="M96" s="205">
        <v>2.58</v>
      </c>
      <c r="N96" s="205">
        <f t="shared" si="7"/>
        <v>12.9</v>
      </c>
      <c r="O96" s="290" t="s">
        <v>356</v>
      </c>
      <c r="P96" s="280"/>
      <c r="Q96" s="369" t="s">
        <v>360</v>
      </c>
      <c r="R96" s="281"/>
      <c r="T96" s="367">
        <f t="shared" si="6"/>
        <v>12.9</v>
      </c>
      <c r="V96" s="367"/>
    </row>
    <row r="97" spans="1:22" ht="15">
      <c r="A97" s="275" t="s">
        <v>354</v>
      </c>
      <c r="B97" s="260" t="s">
        <v>267</v>
      </c>
      <c r="C97" s="370" t="s">
        <v>256</v>
      </c>
      <c r="D97" s="371" t="s">
        <v>212</v>
      </c>
      <c r="E97" s="371" t="s">
        <v>357</v>
      </c>
      <c r="F97" s="372">
        <v>1</v>
      </c>
      <c r="G97" s="373" t="s">
        <v>147</v>
      </c>
      <c r="H97" s="373" t="s">
        <v>247</v>
      </c>
      <c r="I97" s="374">
        <v>2</v>
      </c>
      <c r="J97" s="374">
        <v>10.333333333333334</v>
      </c>
      <c r="K97" s="382">
        <v>10.49</v>
      </c>
      <c r="L97" s="282">
        <f t="shared" si="3"/>
        <v>-0.15666666666666629</v>
      </c>
      <c r="M97" s="375">
        <v>2.5499999999999998</v>
      </c>
      <c r="N97" s="375">
        <f t="shared" si="7"/>
        <v>2.5499999999999998</v>
      </c>
      <c r="O97" s="290" t="s">
        <v>356</v>
      </c>
      <c r="P97" s="280"/>
      <c r="Q97" s="369" t="s">
        <v>362</v>
      </c>
      <c r="R97" s="281"/>
      <c r="T97" s="367">
        <f t="shared" si="6"/>
        <v>12.9</v>
      </c>
      <c r="V97" s="367"/>
    </row>
    <row r="98" spans="1:22" ht="14.1" hidden="1" customHeight="1">
      <c r="A98" s="82"/>
      <c r="B98" s="83"/>
      <c r="C98" s="84"/>
      <c r="D98" s="84"/>
      <c r="E98" s="85"/>
      <c r="F98" s="86"/>
      <c r="G98" s="86"/>
      <c r="H98" s="87" t="s">
        <v>32</v>
      </c>
      <c r="I98" s="88"/>
      <c r="J98" s="84"/>
      <c r="K98" s="380"/>
      <c r="L98" s="84"/>
      <c r="M98" s="84"/>
      <c r="N98" s="89">
        <f>SUM(N9:N97)</f>
        <v>63122.440000000031</v>
      </c>
      <c r="O98" s="89"/>
      <c r="T98" s="367">
        <f>M97*F97</f>
        <v>2.5499999999999998</v>
      </c>
      <c r="V98" s="383"/>
    </row>
    <row r="99" spans="1:22" ht="14.1" customHeight="1">
      <c r="A99" s="90"/>
      <c r="B99" s="91"/>
      <c r="C99" s="81"/>
      <c r="D99" s="81"/>
      <c r="E99" s="92"/>
      <c r="F99" s="93"/>
      <c r="G99" s="93"/>
      <c r="H99" s="93"/>
      <c r="I99" s="94"/>
      <c r="J99" s="94"/>
      <c r="K99" s="381"/>
      <c r="L99" s="94"/>
      <c r="M99" s="81"/>
      <c r="N99" s="81"/>
      <c r="O99" s="91"/>
      <c r="P99" s="80"/>
      <c r="T99" s="368">
        <f>SUM(T10:T98)</f>
        <v>63122.440000000031</v>
      </c>
      <c r="V99" s="383"/>
    </row>
  </sheetData>
  <autoFilter ref="A8:R98" xr:uid="{00000000-0001-0000-0100-000000000000}">
    <filterColumn colId="16">
      <customFilters>
        <customFilter operator="notEqual" val=" "/>
      </customFilters>
    </filterColumn>
  </autoFilter>
  <mergeCells count="14">
    <mergeCell ref="M7:M8"/>
    <mergeCell ref="N7:N8"/>
    <mergeCell ref="O7:O8"/>
    <mergeCell ref="F7:G7"/>
    <mergeCell ref="H7:H8"/>
    <mergeCell ref="I7:I8"/>
    <mergeCell ref="J7:J8"/>
    <mergeCell ref="K7:K8"/>
    <mergeCell ref="I5:J5"/>
    <mergeCell ref="A7:A8"/>
    <mergeCell ref="B7:B8"/>
    <mergeCell ref="C7:C8"/>
    <mergeCell ref="D7:D8"/>
    <mergeCell ref="E7:E8"/>
  </mergeCells>
  <phoneticPr fontId="34" type="noConversion"/>
  <printOptions horizontalCentered="1"/>
  <pageMargins left="0.70866141732283472" right="0.31496062992125984" top="0.74803149606299213" bottom="0.74803149606299213" header="0.31496062992125984" footer="0.31496062992125984"/>
  <pageSetup paperSize="9" scale="69"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B1:AM118"/>
  <sheetViews>
    <sheetView showGridLines="0" view="pageBreakPreview" topLeftCell="E21" zoomScale="80" zoomScaleNormal="100" zoomScaleSheetLayoutView="80" workbookViewId="0">
      <selection activeCell="B4" sqref="B4:U4"/>
    </sheetView>
  </sheetViews>
  <sheetFormatPr defaultColWidth="8.76953125" defaultRowHeight="18" customHeight="1"/>
  <cols>
    <col min="1" max="1" width="1.05078125" style="142" customWidth="1"/>
    <col min="2" max="2" width="3.5078125" style="78" customWidth="1"/>
    <col min="3" max="3" width="21.1640625" style="152" customWidth="1"/>
    <col min="4" max="4" width="23.62109375" style="162" customWidth="1"/>
    <col min="5" max="5" width="21.6328125" style="162" customWidth="1"/>
    <col min="6" max="6" width="14.3828125" style="78" customWidth="1"/>
    <col min="7" max="7" width="21.6328125" style="162" customWidth="1"/>
    <col min="8" max="8" width="9.703125" style="73" customWidth="1"/>
    <col min="9" max="9" width="6.1953125" style="210" customWidth="1"/>
    <col min="10" max="10" width="5.37890625" style="73" customWidth="1"/>
    <col min="11" max="11" width="7.6015625" style="73" customWidth="1"/>
    <col min="12" max="14" width="6.3125" style="73" customWidth="1"/>
    <col min="15" max="15" width="7.3671875" style="163" customWidth="1"/>
    <col min="16" max="16" width="9.703125" style="73" customWidth="1"/>
    <col min="17" max="17" width="9.9375" style="73" customWidth="1"/>
    <col min="18" max="18" width="8.53515625" style="73" customWidth="1"/>
    <col min="19" max="19" width="10.0546875" style="78" customWidth="1"/>
    <col min="20" max="20" width="6.8984375" style="78" customWidth="1"/>
    <col min="21" max="21" width="6.6640625" style="164" customWidth="1"/>
    <col min="22" max="22" width="1.05078125" style="140" customWidth="1"/>
    <col min="23" max="26" width="8.76953125" style="141" customWidth="1"/>
    <col min="27" max="27" width="7.484375" style="141" bestFit="1" customWidth="1"/>
    <col min="28" max="28" width="8.76953125" style="141" customWidth="1"/>
    <col min="29" max="34" width="8.76953125" style="142" customWidth="1"/>
    <col min="35" max="39" width="8.76953125" style="141"/>
    <col min="40" max="16384" width="8.76953125" style="142"/>
  </cols>
  <sheetData>
    <row r="1" spans="2:39" ht="9.1999999999999993" customHeight="1">
      <c r="B1" s="397"/>
      <c r="C1" s="397"/>
      <c r="D1" s="397"/>
      <c r="E1" s="397"/>
      <c r="F1" s="397"/>
      <c r="G1" s="397"/>
      <c r="H1" s="397"/>
      <c r="I1" s="397"/>
      <c r="J1" s="397"/>
      <c r="K1" s="397"/>
      <c r="L1" s="397"/>
      <c r="M1" s="397"/>
      <c r="N1" s="397"/>
      <c r="O1" s="397"/>
      <c r="P1" s="397"/>
      <c r="Q1" s="397"/>
      <c r="R1" s="397"/>
      <c r="S1" s="397"/>
      <c r="T1" s="397"/>
      <c r="U1" s="397"/>
    </row>
    <row r="2" spans="2:39" ht="26.1" customHeight="1">
      <c r="B2" s="139"/>
      <c r="C2" s="73"/>
      <c r="D2" s="73"/>
      <c r="E2" s="73"/>
      <c r="F2" s="142"/>
      <c r="G2" s="73"/>
      <c r="I2" s="207"/>
      <c r="J2" s="143"/>
      <c r="K2" s="143"/>
      <c r="L2" s="143"/>
      <c r="M2" s="144"/>
      <c r="N2" s="145"/>
      <c r="O2" s="139"/>
      <c r="P2" s="139"/>
      <c r="Q2" s="139"/>
      <c r="R2" s="139"/>
      <c r="S2" s="139"/>
      <c r="T2" s="142"/>
      <c r="U2" s="142"/>
      <c r="V2" s="142"/>
      <c r="W2" s="142"/>
      <c r="X2" s="142"/>
      <c r="Y2" s="142"/>
      <c r="Z2" s="142"/>
      <c r="AA2" s="142"/>
      <c r="AB2" s="142"/>
      <c r="AI2" s="142"/>
      <c r="AJ2" s="142"/>
      <c r="AK2" s="142"/>
      <c r="AL2" s="142"/>
      <c r="AM2" s="142"/>
    </row>
    <row r="3" spans="2:39" ht="27.75" customHeight="1" thickBot="1">
      <c r="B3" s="139"/>
      <c r="C3" s="398" t="s">
        <v>0</v>
      </c>
      <c r="D3" s="398"/>
      <c r="E3" s="398"/>
      <c r="F3" s="398"/>
      <c r="G3" s="398"/>
      <c r="H3" s="398"/>
      <c r="I3" s="398"/>
      <c r="J3" s="398"/>
      <c r="K3" s="398"/>
      <c r="L3" s="143"/>
      <c r="M3" s="144"/>
      <c r="N3" s="145"/>
      <c r="O3" s="146"/>
      <c r="P3" s="139"/>
      <c r="Q3" s="139"/>
      <c r="R3" s="139"/>
      <c r="S3" s="139"/>
      <c r="T3" s="142"/>
      <c r="U3" s="142"/>
      <c r="V3" s="142"/>
      <c r="W3" s="142"/>
      <c r="X3" s="142"/>
      <c r="Y3" s="142"/>
      <c r="Z3" s="142"/>
      <c r="AA3" s="142"/>
      <c r="AB3" s="142"/>
      <c r="AI3" s="142"/>
      <c r="AJ3" s="142"/>
      <c r="AK3" s="142"/>
      <c r="AL3" s="142"/>
      <c r="AM3" s="142"/>
    </row>
    <row r="4" spans="2:39" ht="33.75" customHeight="1" thickTop="1" thickBot="1">
      <c r="B4" s="399" t="s">
        <v>87</v>
      </c>
      <c r="C4" s="400"/>
      <c r="D4" s="400"/>
      <c r="E4" s="400"/>
      <c r="F4" s="400"/>
      <c r="G4" s="400"/>
      <c r="H4" s="400"/>
      <c r="I4" s="400"/>
      <c r="J4" s="400"/>
      <c r="K4" s="400"/>
      <c r="L4" s="400"/>
      <c r="M4" s="400"/>
      <c r="N4" s="400"/>
      <c r="O4" s="400"/>
      <c r="P4" s="400"/>
      <c r="Q4" s="400"/>
      <c r="R4" s="400"/>
      <c r="S4" s="400"/>
      <c r="T4" s="400"/>
      <c r="U4" s="401"/>
    </row>
    <row r="5" spans="2:39" s="73" customFormat="1" ht="17.25" customHeight="1" thickTop="1">
      <c r="B5" s="78"/>
      <c r="C5" s="147" t="s">
        <v>88</v>
      </c>
      <c r="D5" s="148" t="str">
        <f>'PL(2_2)'!D5</f>
        <v>OM4-DE-IS-0003</v>
      </c>
      <c r="F5" s="150"/>
      <c r="H5" s="78"/>
      <c r="I5" s="208"/>
      <c r="J5" s="78"/>
      <c r="K5" s="78"/>
      <c r="L5" s="78"/>
      <c r="M5" s="78"/>
      <c r="N5" s="78"/>
      <c r="O5" s="149"/>
      <c r="P5" s="78"/>
      <c r="Q5" s="78"/>
      <c r="R5" s="78"/>
      <c r="S5" s="150"/>
      <c r="T5" s="78"/>
      <c r="U5" s="78"/>
      <c r="V5" s="151"/>
      <c r="AI5" s="78"/>
      <c r="AJ5" s="78"/>
      <c r="AK5" s="78"/>
      <c r="AL5" s="78"/>
      <c r="AM5" s="78"/>
    </row>
    <row r="6" spans="2:39" s="73" customFormat="1" ht="17.25" customHeight="1">
      <c r="B6" s="78"/>
      <c r="C6" s="147" t="s">
        <v>41</v>
      </c>
      <c r="D6" s="196">
        <f>'PL(2_2)'!D6</f>
        <v>46157</v>
      </c>
      <c r="F6" s="78"/>
      <c r="H6" s="78"/>
      <c r="I6" s="209"/>
      <c r="J6" s="152" t="s">
        <v>42</v>
      </c>
      <c r="K6" s="78"/>
      <c r="L6" s="78"/>
      <c r="M6" s="78"/>
      <c r="N6" s="78"/>
      <c r="O6" s="153" t="s">
        <v>43</v>
      </c>
      <c r="P6" s="78"/>
      <c r="Q6" s="78"/>
      <c r="R6" s="78"/>
      <c r="S6" s="78"/>
      <c r="T6" s="78"/>
      <c r="U6" s="78"/>
      <c r="V6" s="151"/>
      <c r="AI6" s="78"/>
      <c r="AJ6" s="78"/>
      <c r="AK6" s="78"/>
      <c r="AL6" s="78"/>
      <c r="AM6" s="78"/>
    </row>
    <row r="7" spans="2:39" s="73" customFormat="1" ht="17.25" customHeight="1">
      <c r="B7" s="78"/>
      <c r="C7" s="147" t="s">
        <v>44</v>
      </c>
      <c r="D7" s="197" t="str">
        <f>'PL(2_2)'!D7</f>
        <v>O MON IV THERMAL POWER PLANT</v>
      </c>
      <c r="F7" s="78"/>
      <c r="H7" s="78"/>
      <c r="I7" s="209"/>
      <c r="J7" s="75" t="s">
        <v>45</v>
      </c>
      <c r="K7" s="152" t="s">
        <v>46</v>
      </c>
      <c r="L7" s="78"/>
      <c r="M7" s="78"/>
      <c r="N7" s="78"/>
      <c r="O7" s="154"/>
      <c r="P7" s="79" t="s">
        <v>214</v>
      </c>
      <c r="Q7" s="79" t="s">
        <v>216</v>
      </c>
      <c r="R7" s="79" t="s">
        <v>218</v>
      </c>
      <c r="S7" s="79" t="s">
        <v>47</v>
      </c>
      <c r="T7" s="78"/>
      <c r="U7" s="78"/>
      <c r="V7" s="151"/>
      <c r="W7" s="78"/>
      <c r="X7" s="78"/>
      <c r="Y7" s="78"/>
      <c r="Z7" s="78"/>
      <c r="AA7" s="78"/>
      <c r="AB7" s="78"/>
      <c r="AI7" s="78"/>
      <c r="AJ7" s="78"/>
      <c r="AK7" s="78"/>
      <c r="AL7" s="78"/>
      <c r="AM7" s="78"/>
    </row>
    <row r="8" spans="2:39" s="73" customFormat="1" ht="17.25" customHeight="1">
      <c r="B8" s="78"/>
      <c r="C8" s="147" t="s">
        <v>89</v>
      </c>
      <c r="D8" s="364"/>
      <c r="E8" s="365"/>
      <c r="F8" s="78"/>
      <c r="H8" s="78"/>
      <c r="I8" s="209"/>
      <c r="J8" s="75" t="s">
        <v>48</v>
      </c>
      <c r="K8" s="152" t="s">
        <v>49</v>
      </c>
      <c r="L8" s="78"/>
      <c r="M8" s="78"/>
      <c r="N8" s="78"/>
      <c r="O8" s="155" t="s">
        <v>50</v>
      </c>
      <c r="P8" s="79" t="s">
        <v>51</v>
      </c>
      <c r="Q8" s="79" t="s">
        <v>52</v>
      </c>
      <c r="R8" s="79" t="s">
        <v>53</v>
      </c>
      <c r="S8" s="79" t="s">
        <v>54</v>
      </c>
      <c r="T8" s="78"/>
      <c r="U8" s="78"/>
      <c r="V8" s="151"/>
      <c r="W8" s="78"/>
      <c r="X8" s="78"/>
      <c r="Y8" s="78"/>
      <c r="Z8" s="78"/>
      <c r="AA8" s="78"/>
      <c r="AB8" s="78"/>
      <c r="AI8" s="78"/>
      <c r="AJ8" s="78"/>
      <c r="AK8" s="78"/>
      <c r="AL8" s="78"/>
      <c r="AM8" s="78"/>
    </row>
    <row r="9" spans="2:39" s="73" customFormat="1" ht="17.25" customHeight="1">
      <c r="B9" s="78"/>
      <c r="D9" s="365"/>
      <c r="E9" s="366"/>
      <c r="F9" s="78"/>
      <c r="G9" s="147"/>
      <c r="H9" s="78"/>
      <c r="I9" s="209"/>
      <c r="J9" s="75" t="s">
        <v>55</v>
      </c>
      <c r="K9" s="152" t="s">
        <v>56</v>
      </c>
      <c r="L9" s="78"/>
      <c r="M9" s="78"/>
      <c r="N9" s="78"/>
      <c r="O9" s="155" t="s">
        <v>57</v>
      </c>
      <c r="P9" s="79" t="s">
        <v>58</v>
      </c>
      <c r="Q9" s="79" t="s">
        <v>59</v>
      </c>
      <c r="R9" s="79" t="s">
        <v>60</v>
      </c>
      <c r="S9" s="79" t="s">
        <v>61</v>
      </c>
      <c r="T9" s="78"/>
      <c r="U9" s="78"/>
      <c r="V9" s="151"/>
      <c r="W9" s="78"/>
      <c r="X9" s="78"/>
      <c r="Y9" s="78"/>
      <c r="Z9" s="78"/>
      <c r="AA9" s="78"/>
      <c r="AB9" s="78"/>
      <c r="AI9" s="78"/>
      <c r="AJ9" s="78"/>
      <c r="AK9" s="78"/>
      <c r="AL9" s="78"/>
      <c r="AM9" s="78"/>
    </row>
    <row r="10" spans="2:39" s="73" customFormat="1" ht="17.25" customHeight="1">
      <c r="B10" s="78"/>
      <c r="C10" s="147"/>
      <c r="D10" s="366"/>
      <c r="E10" s="366"/>
      <c r="F10" s="78"/>
      <c r="G10" s="147"/>
      <c r="H10" s="78"/>
      <c r="I10" s="209"/>
      <c r="J10" s="75" t="s">
        <v>62</v>
      </c>
      <c r="K10" s="152" t="s">
        <v>63</v>
      </c>
      <c r="L10" s="78"/>
      <c r="M10" s="78"/>
      <c r="N10" s="78"/>
      <c r="O10" s="155" t="s">
        <v>64</v>
      </c>
      <c r="P10" s="79" t="s">
        <v>65</v>
      </c>
      <c r="Q10" s="79" t="s">
        <v>66</v>
      </c>
      <c r="R10" s="79" t="s">
        <v>67</v>
      </c>
      <c r="S10" s="309" t="s">
        <v>68</v>
      </c>
      <c r="T10" s="78"/>
      <c r="U10" s="78"/>
      <c r="V10" s="151"/>
      <c r="W10" s="78"/>
      <c r="X10" s="78"/>
      <c r="Y10" s="78"/>
      <c r="Z10" s="78"/>
      <c r="AA10" s="78"/>
      <c r="AB10" s="78"/>
      <c r="AI10" s="78"/>
      <c r="AJ10" s="78"/>
      <c r="AK10" s="78"/>
      <c r="AL10" s="78"/>
      <c r="AM10" s="78"/>
    </row>
    <row r="11" spans="2:39" s="73" customFormat="1" ht="17.25" customHeight="1">
      <c r="B11" s="78"/>
      <c r="C11" s="147"/>
      <c r="D11" s="147"/>
      <c r="E11" s="147"/>
      <c r="F11" s="78"/>
      <c r="G11" s="147"/>
      <c r="H11" s="78"/>
      <c r="I11" s="209"/>
      <c r="J11" s="75" t="s">
        <v>69</v>
      </c>
      <c r="K11" s="152" t="s">
        <v>70</v>
      </c>
      <c r="L11" s="78"/>
      <c r="M11" s="78"/>
      <c r="N11" s="78"/>
      <c r="O11" s="149"/>
      <c r="P11" s="78"/>
      <c r="Q11" s="78"/>
      <c r="R11" s="78"/>
      <c r="S11" s="78"/>
      <c r="T11" s="78"/>
      <c r="U11" s="78"/>
      <c r="V11" s="151"/>
      <c r="W11" s="78"/>
      <c r="X11" s="78"/>
      <c r="Y11" s="78"/>
      <c r="Z11" s="78"/>
      <c r="AA11" s="78"/>
      <c r="AB11" s="78"/>
      <c r="AI11" s="78"/>
      <c r="AJ11" s="78"/>
      <c r="AK11" s="78"/>
      <c r="AL11" s="78"/>
      <c r="AM11" s="78"/>
    </row>
    <row r="12" spans="2:39" s="73" customFormat="1" ht="17.25" customHeight="1">
      <c r="B12" s="78"/>
      <c r="C12" s="147"/>
      <c r="D12" s="78"/>
      <c r="E12" s="78"/>
      <c r="F12" s="78"/>
      <c r="G12" s="78"/>
      <c r="H12" s="78"/>
      <c r="I12" s="209"/>
      <c r="J12" s="78"/>
      <c r="K12" s="78"/>
      <c r="L12" s="78"/>
      <c r="M12" s="78"/>
      <c r="N12" s="78"/>
      <c r="O12" s="149"/>
      <c r="P12" s="78"/>
      <c r="Q12" s="78"/>
      <c r="R12" s="78"/>
      <c r="S12" s="78"/>
      <c r="T12" s="78"/>
      <c r="U12" s="78"/>
      <c r="V12" s="151"/>
      <c r="W12" s="78"/>
      <c r="X12" s="78"/>
      <c r="Y12" s="78"/>
      <c r="Z12" s="78"/>
      <c r="AA12" s="78"/>
      <c r="AB12" s="78"/>
      <c r="AI12" s="78"/>
      <c r="AJ12" s="78"/>
      <c r="AK12" s="78"/>
      <c r="AL12" s="78"/>
      <c r="AM12" s="78"/>
    </row>
    <row r="13" spans="2:39" s="158" customFormat="1" ht="20.25" customHeight="1">
      <c r="B13" s="385" t="s">
        <v>29</v>
      </c>
      <c r="C13" s="393" t="s">
        <v>30</v>
      </c>
      <c r="D13" s="395" t="s">
        <v>71</v>
      </c>
      <c r="E13" s="402"/>
      <c r="F13" s="385" t="s">
        <v>90</v>
      </c>
      <c r="G13" s="393" t="s">
        <v>145</v>
      </c>
      <c r="H13" s="385" t="s">
        <v>146</v>
      </c>
      <c r="I13" s="404" t="s">
        <v>72</v>
      </c>
      <c r="J13" s="405"/>
      <c r="K13" s="385" t="s">
        <v>73</v>
      </c>
      <c r="L13" s="404" t="s">
        <v>74</v>
      </c>
      <c r="M13" s="406"/>
      <c r="N13" s="406"/>
      <c r="O13" s="405"/>
      <c r="P13" s="385" t="s">
        <v>75</v>
      </c>
      <c r="Q13" s="385" t="s">
        <v>76</v>
      </c>
      <c r="R13" s="385" t="s">
        <v>77</v>
      </c>
      <c r="S13" s="385" t="s">
        <v>78</v>
      </c>
      <c r="T13" s="395" t="s">
        <v>91</v>
      </c>
      <c r="U13" s="385" t="s">
        <v>79</v>
      </c>
      <c r="V13" s="156"/>
      <c r="W13" s="157"/>
      <c r="X13" s="157"/>
      <c r="Y13" s="157"/>
      <c r="Z13" s="157"/>
      <c r="AA13" s="157"/>
      <c r="AB13" s="157"/>
      <c r="AI13" s="157"/>
      <c r="AJ13" s="157"/>
      <c r="AK13" s="157"/>
      <c r="AL13" s="157"/>
      <c r="AM13" s="157"/>
    </row>
    <row r="14" spans="2:39" s="158" customFormat="1" ht="28.7" customHeight="1">
      <c r="B14" s="394"/>
      <c r="C14" s="394"/>
      <c r="D14" s="396"/>
      <c r="E14" s="403"/>
      <c r="F14" s="386"/>
      <c r="G14" s="394"/>
      <c r="H14" s="386"/>
      <c r="I14" s="206" t="s">
        <v>80</v>
      </c>
      <c r="J14" s="159" t="s">
        <v>81</v>
      </c>
      <c r="K14" s="386"/>
      <c r="L14" s="160" t="s">
        <v>82</v>
      </c>
      <c r="M14" s="160" t="s">
        <v>83</v>
      </c>
      <c r="N14" s="160" t="s">
        <v>84</v>
      </c>
      <c r="O14" s="161" t="s">
        <v>85</v>
      </c>
      <c r="P14" s="386"/>
      <c r="Q14" s="386"/>
      <c r="R14" s="386"/>
      <c r="S14" s="386"/>
      <c r="T14" s="396"/>
      <c r="U14" s="386"/>
      <c r="W14" s="157"/>
      <c r="X14" s="157"/>
      <c r="Y14" s="157"/>
      <c r="Z14" s="157"/>
      <c r="AA14" s="157"/>
      <c r="AB14" s="157"/>
      <c r="AI14" s="157"/>
      <c r="AJ14" s="157"/>
      <c r="AK14" s="157"/>
      <c r="AL14" s="157"/>
      <c r="AM14" s="157"/>
    </row>
    <row r="15" spans="2:39" s="158" customFormat="1" ht="28.7" customHeight="1">
      <c r="B15" s="217">
        <v>1</v>
      </c>
      <c r="C15" s="217" t="s">
        <v>152</v>
      </c>
      <c r="D15" s="216" t="s">
        <v>143</v>
      </c>
      <c r="E15" s="94" t="s">
        <v>144</v>
      </c>
      <c r="F15" s="322" t="s">
        <v>222</v>
      </c>
      <c r="G15" s="289" t="s">
        <v>212</v>
      </c>
      <c r="H15" s="215"/>
      <c r="I15" s="255">
        <v>150</v>
      </c>
      <c r="J15" s="79" t="s">
        <v>148</v>
      </c>
      <c r="K15" s="215"/>
      <c r="L15" s="256"/>
      <c r="M15" s="256"/>
      <c r="N15" s="256"/>
      <c r="O15" s="257"/>
      <c r="P15" s="258">
        <f>W15*I15</f>
        <v>3375</v>
      </c>
      <c r="Q15" s="258"/>
      <c r="R15" s="215"/>
      <c r="S15" s="215"/>
      <c r="T15" s="216"/>
      <c r="U15" s="215"/>
      <c r="W15" s="212">
        <f>3.75*6</f>
        <v>22.5</v>
      </c>
      <c r="X15" s="157"/>
      <c r="Y15" s="157"/>
      <c r="Z15" s="157"/>
      <c r="AA15" s="157"/>
      <c r="AB15" s="157"/>
      <c r="AI15" s="157"/>
      <c r="AJ15" s="157"/>
      <c r="AK15" s="157"/>
      <c r="AL15" s="157"/>
      <c r="AM15" s="157"/>
    </row>
    <row r="16" spans="2:39" s="158" customFormat="1" ht="28.7" customHeight="1">
      <c r="B16" s="387" t="s">
        <v>92</v>
      </c>
      <c r="C16" s="388"/>
      <c r="D16" s="388"/>
      <c r="E16" s="388"/>
      <c r="F16" s="388"/>
      <c r="G16" s="388"/>
      <c r="H16" s="389"/>
      <c r="I16" s="259">
        <f>SUM(I15)</f>
        <v>150</v>
      </c>
      <c r="J16" s="260"/>
      <c r="K16" s="261" t="s">
        <v>149</v>
      </c>
      <c r="L16" s="262">
        <v>620</v>
      </c>
      <c r="M16" s="262">
        <v>220</v>
      </c>
      <c r="N16" s="262">
        <v>235</v>
      </c>
      <c r="O16" s="263">
        <f>(L16*M16*N16)/10^6</f>
        <v>32.054000000000002</v>
      </c>
      <c r="P16" s="264">
        <f>P15</f>
        <v>3375</v>
      </c>
      <c r="Q16" s="264">
        <f>P16+200</f>
        <v>3575</v>
      </c>
      <c r="R16" s="261" t="s">
        <v>150</v>
      </c>
      <c r="S16" s="261" t="s">
        <v>151</v>
      </c>
      <c r="T16" s="265"/>
      <c r="U16" s="261" t="s">
        <v>220</v>
      </c>
      <c r="W16" s="212"/>
      <c r="X16" s="157"/>
      <c r="Y16" s="157"/>
      <c r="Z16" s="157"/>
      <c r="AA16" s="157"/>
      <c r="AB16" s="157"/>
      <c r="AI16" s="157"/>
      <c r="AJ16" s="157"/>
      <c r="AK16" s="157"/>
      <c r="AL16" s="157"/>
      <c r="AM16" s="157"/>
    </row>
    <row r="17" spans="2:39" s="158" customFormat="1" ht="28.7" customHeight="1">
      <c r="B17" s="217">
        <v>2</v>
      </c>
      <c r="C17" s="217" t="s">
        <v>153</v>
      </c>
      <c r="D17" s="216" t="s">
        <v>143</v>
      </c>
      <c r="E17" s="94" t="s">
        <v>144</v>
      </c>
      <c r="F17" s="322" t="s">
        <v>222</v>
      </c>
      <c r="G17" s="289" t="s">
        <v>212</v>
      </c>
      <c r="H17" s="215"/>
      <c r="I17" s="255">
        <v>150</v>
      </c>
      <c r="J17" s="79" t="s">
        <v>148</v>
      </c>
      <c r="K17" s="215"/>
      <c r="L17" s="256"/>
      <c r="M17" s="256"/>
      <c r="N17" s="256"/>
      <c r="O17" s="257"/>
      <c r="P17" s="258">
        <f>W17*I17</f>
        <v>3375</v>
      </c>
      <c r="Q17" s="258"/>
      <c r="R17" s="215"/>
      <c r="S17" s="215"/>
      <c r="T17" s="216"/>
      <c r="U17" s="215"/>
      <c r="W17" s="212">
        <f>3.75*6</f>
        <v>22.5</v>
      </c>
      <c r="X17" s="157"/>
      <c r="Y17" s="157"/>
      <c r="Z17" s="157"/>
      <c r="AA17" s="157"/>
      <c r="AB17" s="157"/>
      <c r="AI17" s="157"/>
      <c r="AJ17" s="157"/>
      <c r="AK17" s="157"/>
      <c r="AL17" s="157"/>
      <c r="AM17" s="157"/>
    </row>
    <row r="18" spans="2:39" s="158" customFormat="1" ht="28.7" customHeight="1">
      <c r="B18" s="387" t="s">
        <v>92</v>
      </c>
      <c r="C18" s="388"/>
      <c r="D18" s="388"/>
      <c r="E18" s="388"/>
      <c r="F18" s="388"/>
      <c r="G18" s="388"/>
      <c r="H18" s="389"/>
      <c r="I18" s="259">
        <f>SUM(I17)</f>
        <v>150</v>
      </c>
      <c r="J18" s="260"/>
      <c r="K18" s="261" t="s">
        <v>149</v>
      </c>
      <c r="L18" s="262">
        <v>620</v>
      </c>
      <c r="M18" s="262">
        <v>220</v>
      </c>
      <c r="N18" s="262">
        <v>235</v>
      </c>
      <c r="O18" s="263">
        <f>(L18*M18*N18)/10^6</f>
        <v>32.054000000000002</v>
      </c>
      <c r="P18" s="264">
        <f>P17</f>
        <v>3375</v>
      </c>
      <c r="Q18" s="264">
        <f>P18+200</f>
        <v>3575</v>
      </c>
      <c r="R18" s="261" t="s">
        <v>150</v>
      </c>
      <c r="S18" s="261" t="s">
        <v>151</v>
      </c>
      <c r="T18" s="265"/>
      <c r="U18" s="261" t="s">
        <v>220</v>
      </c>
      <c r="W18" s="212"/>
      <c r="X18" s="157"/>
      <c r="Y18" s="157"/>
      <c r="Z18" s="157"/>
      <c r="AA18" s="157"/>
      <c r="AB18" s="157"/>
      <c r="AI18" s="157"/>
      <c r="AJ18" s="157"/>
      <c r="AK18" s="157"/>
      <c r="AL18" s="157"/>
      <c r="AM18" s="157"/>
    </row>
    <row r="19" spans="2:39" s="158" customFormat="1" ht="28.7" customHeight="1">
      <c r="B19" s="217">
        <v>3</v>
      </c>
      <c r="C19" s="217" t="s">
        <v>154</v>
      </c>
      <c r="D19" s="216" t="s">
        <v>143</v>
      </c>
      <c r="E19" s="94" t="s">
        <v>144</v>
      </c>
      <c r="F19" s="322" t="s">
        <v>222</v>
      </c>
      <c r="G19" s="289" t="s">
        <v>212</v>
      </c>
      <c r="H19" s="215"/>
      <c r="I19" s="255">
        <v>150</v>
      </c>
      <c r="J19" s="79" t="s">
        <v>148</v>
      </c>
      <c r="K19" s="215"/>
      <c r="L19" s="256"/>
      <c r="M19" s="256"/>
      <c r="N19" s="256"/>
      <c r="O19" s="257"/>
      <c r="P19" s="258">
        <f>W19*I19</f>
        <v>3375</v>
      </c>
      <c r="Q19" s="258"/>
      <c r="R19" s="215"/>
      <c r="S19" s="215"/>
      <c r="T19" s="216"/>
      <c r="U19" s="215"/>
      <c r="W19" s="212">
        <f>3.75*6</f>
        <v>22.5</v>
      </c>
      <c r="X19" s="157"/>
      <c r="Y19" s="157"/>
      <c r="Z19" s="157"/>
      <c r="AA19" s="157"/>
      <c r="AB19" s="157"/>
      <c r="AI19" s="157"/>
      <c r="AJ19" s="157"/>
      <c r="AK19" s="157"/>
      <c r="AL19" s="157"/>
      <c r="AM19" s="157"/>
    </row>
    <row r="20" spans="2:39" s="158" customFormat="1" ht="28.7" customHeight="1">
      <c r="B20" s="387" t="s">
        <v>92</v>
      </c>
      <c r="C20" s="388"/>
      <c r="D20" s="388"/>
      <c r="E20" s="388"/>
      <c r="F20" s="388"/>
      <c r="G20" s="388"/>
      <c r="H20" s="389"/>
      <c r="I20" s="259">
        <f>SUM(I19)</f>
        <v>150</v>
      </c>
      <c r="J20" s="260"/>
      <c r="K20" s="261" t="s">
        <v>149</v>
      </c>
      <c r="L20" s="262">
        <v>620</v>
      </c>
      <c r="M20" s="262">
        <v>220</v>
      </c>
      <c r="N20" s="262">
        <v>235</v>
      </c>
      <c r="O20" s="263">
        <f>(L20*M20*N20)/10^6</f>
        <v>32.054000000000002</v>
      </c>
      <c r="P20" s="264">
        <f>P19</f>
        <v>3375</v>
      </c>
      <c r="Q20" s="264">
        <f>P20+200</f>
        <v>3575</v>
      </c>
      <c r="R20" s="261" t="s">
        <v>150</v>
      </c>
      <c r="S20" s="261" t="s">
        <v>151</v>
      </c>
      <c r="T20" s="265"/>
      <c r="U20" s="261" t="s">
        <v>220</v>
      </c>
      <c r="W20" s="212"/>
      <c r="X20" s="157"/>
      <c r="Y20" s="157"/>
      <c r="Z20" s="157"/>
      <c r="AA20" s="157"/>
      <c r="AB20" s="157"/>
      <c r="AI20" s="157"/>
      <c r="AJ20" s="157"/>
      <c r="AK20" s="157"/>
      <c r="AL20" s="157"/>
      <c r="AM20" s="157"/>
    </row>
    <row r="21" spans="2:39" s="158" customFormat="1" ht="28.7" customHeight="1">
      <c r="B21" s="217">
        <v>4</v>
      </c>
      <c r="C21" s="217" t="s">
        <v>155</v>
      </c>
      <c r="D21" s="216" t="s">
        <v>143</v>
      </c>
      <c r="E21" s="94" t="s">
        <v>144</v>
      </c>
      <c r="F21" s="322" t="s">
        <v>222</v>
      </c>
      <c r="G21" s="289" t="s">
        <v>212</v>
      </c>
      <c r="H21" s="215"/>
      <c r="I21" s="255">
        <v>150</v>
      </c>
      <c r="J21" s="79" t="s">
        <v>148</v>
      </c>
      <c r="K21" s="215"/>
      <c r="L21" s="256"/>
      <c r="M21" s="256"/>
      <c r="N21" s="256"/>
      <c r="O21" s="257"/>
      <c r="P21" s="258">
        <f>W21*I21</f>
        <v>3375</v>
      </c>
      <c r="Q21" s="258"/>
      <c r="R21" s="215"/>
      <c r="S21" s="215"/>
      <c r="T21" s="216"/>
      <c r="U21" s="215"/>
      <c r="W21" s="212">
        <f>3.75*6</f>
        <v>22.5</v>
      </c>
      <c r="X21" s="157"/>
      <c r="Y21" s="157"/>
      <c r="Z21" s="157"/>
      <c r="AA21" s="157"/>
      <c r="AB21" s="157"/>
      <c r="AI21" s="157"/>
      <c r="AJ21" s="157"/>
      <c r="AK21" s="157"/>
      <c r="AL21" s="157"/>
      <c r="AM21" s="157"/>
    </row>
    <row r="22" spans="2:39" s="158" customFormat="1" ht="28.7" customHeight="1">
      <c r="B22" s="387" t="s">
        <v>92</v>
      </c>
      <c r="C22" s="388"/>
      <c r="D22" s="388"/>
      <c r="E22" s="388"/>
      <c r="F22" s="388"/>
      <c r="G22" s="388"/>
      <c r="H22" s="389"/>
      <c r="I22" s="259">
        <f>SUM(I21)</f>
        <v>150</v>
      </c>
      <c r="J22" s="260"/>
      <c r="K22" s="261" t="s">
        <v>149</v>
      </c>
      <c r="L22" s="262">
        <v>620</v>
      </c>
      <c r="M22" s="262">
        <v>220</v>
      </c>
      <c r="N22" s="262">
        <v>235</v>
      </c>
      <c r="O22" s="263">
        <f>(L22*M22*N22)/10^6</f>
        <v>32.054000000000002</v>
      </c>
      <c r="P22" s="264">
        <f>P21</f>
        <v>3375</v>
      </c>
      <c r="Q22" s="264">
        <f>P22+200</f>
        <v>3575</v>
      </c>
      <c r="R22" s="261" t="s">
        <v>150</v>
      </c>
      <c r="S22" s="261" t="s">
        <v>151</v>
      </c>
      <c r="T22" s="265"/>
      <c r="U22" s="261" t="s">
        <v>220</v>
      </c>
      <c r="W22" s="212"/>
      <c r="X22" s="157"/>
      <c r="Y22" s="157"/>
      <c r="Z22" s="157"/>
      <c r="AA22" s="157"/>
      <c r="AB22" s="157"/>
      <c r="AI22" s="157"/>
      <c r="AJ22" s="157"/>
      <c r="AK22" s="157"/>
      <c r="AL22" s="157"/>
      <c r="AM22" s="157"/>
    </row>
    <row r="23" spans="2:39" s="158" customFormat="1" ht="28.7" customHeight="1">
      <c r="B23" s="217">
        <v>5</v>
      </c>
      <c r="C23" s="217" t="s">
        <v>156</v>
      </c>
      <c r="D23" s="216" t="s">
        <v>143</v>
      </c>
      <c r="E23" s="94" t="s">
        <v>144</v>
      </c>
      <c r="F23" s="322" t="s">
        <v>222</v>
      </c>
      <c r="G23" s="289" t="s">
        <v>212</v>
      </c>
      <c r="H23" s="215"/>
      <c r="I23" s="255">
        <v>150</v>
      </c>
      <c r="J23" s="79" t="s">
        <v>148</v>
      </c>
      <c r="K23" s="215"/>
      <c r="L23" s="256"/>
      <c r="M23" s="256"/>
      <c r="N23" s="256"/>
      <c r="O23" s="257"/>
      <c r="P23" s="258">
        <f>W23*I23</f>
        <v>3375</v>
      </c>
      <c r="Q23" s="258"/>
      <c r="R23" s="215"/>
      <c r="S23" s="215"/>
      <c r="T23" s="216"/>
      <c r="U23" s="215"/>
      <c r="W23" s="212">
        <f>3.75*6</f>
        <v>22.5</v>
      </c>
      <c r="X23" s="157"/>
      <c r="Y23" s="157"/>
      <c r="Z23" s="157"/>
      <c r="AA23" s="157"/>
      <c r="AB23" s="157"/>
      <c r="AI23" s="157"/>
      <c r="AJ23" s="157"/>
      <c r="AK23" s="157"/>
      <c r="AL23" s="157"/>
      <c r="AM23" s="157"/>
    </row>
    <row r="24" spans="2:39" s="158" customFormat="1" ht="28.7" customHeight="1">
      <c r="B24" s="387" t="s">
        <v>92</v>
      </c>
      <c r="C24" s="388"/>
      <c r="D24" s="388"/>
      <c r="E24" s="388"/>
      <c r="F24" s="388"/>
      <c r="G24" s="388"/>
      <c r="H24" s="389"/>
      <c r="I24" s="259">
        <f>SUM(I23)</f>
        <v>150</v>
      </c>
      <c r="J24" s="260"/>
      <c r="K24" s="261" t="s">
        <v>149</v>
      </c>
      <c r="L24" s="262">
        <v>620</v>
      </c>
      <c r="M24" s="262">
        <v>220</v>
      </c>
      <c r="N24" s="262">
        <v>235</v>
      </c>
      <c r="O24" s="263">
        <f>(L24*M24*N24)/10^6</f>
        <v>32.054000000000002</v>
      </c>
      <c r="P24" s="264">
        <f>P23</f>
        <v>3375</v>
      </c>
      <c r="Q24" s="264">
        <f>P24+200</f>
        <v>3575</v>
      </c>
      <c r="R24" s="261" t="s">
        <v>150</v>
      </c>
      <c r="S24" s="261" t="s">
        <v>151</v>
      </c>
      <c r="T24" s="265"/>
      <c r="U24" s="261" t="s">
        <v>220</v>
      </c>
      <c r="W24" s="212"/>
      <c r="X24" s="157"/>
      <c r="Y24" s="157"/>
      <c r="Z24" s="157"/>
      <c r="AA24" s="157"/>
      <c r="AB24" s="157"/>
      <c r="AI24" s="157"/>
      <c r="AJ24" s="157"/>
      <c r="AK24" s="157"/>
      <c r="AL24" s="157"/>
      <c r="AM24" s="157"/>
    </row>
    <row r="25" spans="2:39" s="158" customFormat="1" ht="28.7" customHeight="1">
      <c r="B25" s="217">
        <v>6</v>
      </c>
      <c r="C25" s="217" t="s">
        <v>157</v>
      </c>
      <c r="D25" s="216" t="s">
        <v>143</v>
      </c>
      <c r="E25" s="94" t="s">
        <v>144</v>
      </c>
      <c r="F25" s="322" t="s">
        <v>222</v>
      </c>
      <c r="G25" s="289" t="s">
        <v>212</v>
      </c>
      <c r="H25" s="215"/>
      <c r="I25" s="255">
        <v>150</v>
      </c>
      <c r="J25" s="79" t="s">
        <v>148</v>
      </c>
      <c r="K25" s="215"/>
      <c r="L25" s="256"/>
      <c r="M25" s="256"/>
      <c r="N25" s="256"/>
      <c r="O25" s="257"/>
      <c r="P25" s="258">
        <f>W25*I25</f>
        <v>3375</v>
      </c>
      <c r="Q25" s="258"/>
      <c r="R25" s="215"/>
      <c r="S25" s="215"/>
      <c r="T25" s="216"/>
      <c r="U25" s="215"/>
      <c r="W25" s="212">
        <f>3.75*6</f>
        <v>22.5</v>
      </c>
      <c r="X25" s="157"/>
      <c r="Y25" s="157"/>
      <c r="Z25" s="157"/>
      <c r="AA25" s="157"/>
      <c r="AB25" s="157"/>
      <c r="AI25" s="157"/>
      <c r="AJ25" s="157"/>
      <c r="AK25" s="157"/>
      <c r="AL25" s="157"/>
      <c r="AM25" s="157"/>
    </row>
    <row r="26" spans="2:39" s="158" customFormat="1" ht="28.7" customHeight="1">
      <c r="B26" s="387" t="s">
        <v>92</v>
      </c>
      <c r="C26" s="388"/>
      <c r="D26" s="388"/>
      <c r="E26" s="388"/>
      <c r="F26" s="388"/>
      <c r="G26" s="388"/>
      <c r="H26" s="389"/>
      <c r="I26" s="259">
        <f>SUM(I25)</f>
        <v>150</v>
      </c>
      <c r="J26" s="260"/>
      <c r="K26" s="261" t="s">
        <v>149</v>
      </c>
      <c r="L26" s="262">
        <v>620</v>
      </c>
      <c r="M26" s="262">
        <v>220</v>
      </c>
      <c r="N26" s="262">
        <v>235</v>
      </c>
      <c r="O26" s="263">
        <f>(L26*M26*N26)/10^6</f>
        <v>32.054000000000002</v>
      </c>
      <c r="P26" s="264">
        <f>P25</f>
        <v>3375</v>
      </c>
      <c r="Q26" s="264">
        <f>P26+200</f>
        <v>3575</v>
      </c>
      <c r="R26" s="261" t="s">
        <v>150</v>
      </c>
      <c r="S26" s="261" t="s">
        <v>151</v>
      </c>
      <c r="T26" s="265"/>
      <c r="U26" s="261" t="s">
        <v>220</v>
      </c>
      <c r="W26" s="212"/>
      <c r="X26" s="157"/>
      <c r="Y26" s="157"/>
      <c r="Z26" s="157"/>
      <c r="AA26" s="157"/>
      <c r="AB26" s="157"/>
      <c r="AI26" s="157"/>
      <c r="AJ26" s="157"/>
      <c r="AK26" s="157"/>
      <c r="AL26" s="157"/>
      <c r="AM26" s="157"/>
    </row>
    <row r="27" spans="2:39" s="158" customFormat="1" ht="28.7" customHeight="1">
      <c r="B27" s="217">
        <v>7</v>
      </c>
      <c r="C27" s="217" t="s">
        <v>158</v>
      </c>
      <c r="D27" s="216" t="s">
        <v>143</v>
      </c>
      <c r="E27" s="94" t="s">
        <v>144</v>
      </c>
      <c r="F27" s="322" t="s">
        <v>222</v>
      </c>
      <c r="G27" s="289" t="s">
        <v>212</v>
      </c>
      <c r="H27" s="215"/>
      <c r="I27" s="255">
        <v>100</v>
      </c>
      <c r="J27" s="79" t="s">
        <v>148</v>
      </c>
      <c r="K27" s="215"/>
      <c r="L27" s="256"/>
      <c r="M27" s="256"/>
      <c r="N27" s="256"/>
      <c r="O27" s="257"/>
      <c r="P27" s="258">
        <f>W27*I27</f>
        <v>2250</v>
      </c>
      <c r="Q27" s="258"/>
      <c r="R27" s="215"/>
      <c r="S27" s="215"/>
      <c r="T27" s="216"/>
      <c r="U27" s="215"/>
      <c r="W27" s="212">
        <f>3.75*6</f>
        <v>22.5</v>
      </c>
      <c r="X27" s="157"/>
      <c r="Y27" s="157"/>
      <c r="Z27" s="157"/>
      <c r="AA27" s="157"/>
      <c r="AB27" s="157"/>
      <c r="AI27" s="157"/>
      <c r="AJ27" s="157"/>
      <c r="AK27" s="157"/>
      <c r="AL27" s="157"/>
      <c r="AM27" s="157"/>
    </row>
    <row r="28" spans="2:39" s="158" customFormat="1" ht="28.7" customHeight="1">
      <c r="B28" s="387" t="s">
        <v>92</v>
      </c>
      <c r="C28" s="388"/>
      <c r="D28" s="388"/>
      <c r="E28" s="388"/>
      <c r="F28" s="388"/>
      <c r="G28" s="388"/>
      <c r="H28" s="389"/>
      <c r="I28" s="259">
        <f>SUM(I27)</f>
        <v>100</v>
      </c>
      <c r="J28" s="260"/>
      <c r="K28" s="261" t="s">
        <v>149</v>
      </c>
      <c r="L28" s="262">
        <v>620</v>
      </c>
      <c r="M28" s="262">
        <v>220</v>
      </c>
      <c r="N28" s="262">
        <v>180</v>
      </c>
      <c r="O28" s="263">
        <f>(L28*M28*N28)/10^6</f>
        <v>24.552</v>
      </c>
      <c r="P28" s="264">
        <f>P27</f>
        <v>2250</v>
      </c>
      <c r="Q28" s="264">
        <f>P28+200</f>
        <v>2450</v>
      </c>
      <c r="R28" s="261" t="s">
        <v>150</v>
      </c>
      <c r="S28" s="261" t="s">
        <v>151</v>
      </c>
      <c r="T28" s="265"/>
      <c r="U28" s="261" t="s">
        <v>220</v>
      </c>
      <c r="W28" s="212"/>
      <c r="X28" s="157"/>
      <c r="Y28" s="157"/>
      <c r="Z28" s="157"/>
      <c r="AA28" s="157"/>
      <c r="AB28" s="157"/>
      <c r="AI28" s="157"/>
      <c r="AJ28" s="157"/>
      <c r="AK28" s="157"/>
      <c r="AL28" s="157"/>
      <c r="AM28" s="157"/>
    </row>
    <row r="29" spans="2:39" s="158" customFormat="1" ht="28.7" customHeight="1">
      <c r="B29" s="217">
        <v>8</v>
      </c>
      <c r="C29" s="217" t="s">
        <v>169</v>
      </c>
      <c r="D29" s="203" t="s">
        <v>143</v>
      </c>
      <c r="E29" s="254" t="s">
        <v>160</v>
      </c>
      <c r="F29" s="322" t="s">
        <v>222</v>
      </c>
      <c r="G29" s="289" t="s">
        <v>212</v>
      </c>
      <c r="H29" s="215"/>
      <c r="I29" s="255">
        <v>100</v>
      </c>
      <c r="J29" s="79" t="s">
        <v>148</v>
      </c>
      <c r="K29" s="215"/>
      <c r="L29" s="256"/>
      <c r="M29" s="256"/>
      <c r="N29" s="256"/>
      <c r="O29" s="257"/>
      <c r="P29" s="258">
        <f>W29*I29</f>
        <v>1120</v>
      </c>
      <c r="Q29" s="258"/>
      <c r="R29" s="215"/>
      <c r="S29" s="215"/>
      <c r="T29" s="216"/>
      <c r="U29" s="215"/>
      <c r="W29" s="212">
        <f>2.8*4</f>
        <v>11.2</v>
      </c>
      <c r="X29" s="157"/>
      <c r="Y29" s="157"/>
      <c r="Z29" s="157"/>
      <c r="AA29" s="157"/>
      <c r="AB29" s="157"/>
      <c r="AI29" s="157"/>
      <c r="AJ29" s="157"/>
      <c r="AK29" s="157"/>
      <c r="AL29" s="157"/>
      <c r="AM29" s="157"/>
    </row>
    <row r="30" spans="2:39" s="158" customFormat="1" ht="28.7" customHeight="1">
      <c r="B30" s="387" t="s">
        <v>92</v>
      </c>
      <c r="C30" s="388"/>
      <c r="D30" s="388"/>
      <c r="E30" s="388"/>
      <c r="F30" s="388"/>
      <c r="G30" s="388"/>
      <c r="H30" s="389"/>
      <c r="I30" s="259">
        <f>SUM(I29)</f>
        <v>100</v>
      </c>
      <c r="J30" s="260"/>
      <c r="K30" s="261" t="s">
        <v>149</v>
      </c>
      <c r="L30" s="262">
        <v>420</v>
      </c>
      <c r="M30" s="262">
        <v>220</v>
      </c>
      <c r="N30" s="262">
        <v>140</v>
      </c>
      <c r="O30" s="263">
        <f>(L30*M30*N30)/10^6</f>
        <v>12.936</v>
      </c>
      <c r="P30" s="264">
        <f>P29</f>
        <v>1120</v>
      </c>
      <c r="Q30" s="264">
        <f>P30+200</f>
        <v>1320</v>
      </c>
      <c r="R30" s="261" t="s">
        <v>150</v>
      </c>
      <c r="S30" s="261" t="s">
        <v>151</v>
      </c>
      <c r="T30" s="265"/>
      <c r="U30" s="261" t="s">
        <v>220</v>
      </c>
      <c r="W30" s="212"/>
      <c r="X30" s="157"/>
      <c r="Y30" s="157"/>
      <c r="Z30" s="157"/>
      <c r="AA30" s="157"/>
      <c r="AB30" s="157"/>
      <c r="AI30" s="157"/>
      <c r="AJ30" s="157"/>
      <c r="AK30" s="157"/>
      <c r="AL30" s="157"/>
      <c r="AM30" s="157"/>
    </row>
    <row r="31" spans="2:39" s="158" customFormat="1" ht="28.7" customHeight="1">
      <c r="B31" s="217">
        <v>9</v>
      </c>
      <c r="C31" s="217" t="s">
        <v>170</v>
      </c>
      <c r="D31" s="216" t="s">
        <v>143</v>
      </c>
      <c r="E31" s="94" t="s">
        <v>161</v>
      </c>
      <c r="F31" s="322" t="s">
        <v>222</v>
      </c>
      <c r="G31" s="289" t="s">
        <v>212</v>
      </c>
      <c r="H31" s="215"/>
      <c r="I31" s="255">
        <v>200</v>
      </c>
      <c r="J31" s="79" t="s">
        <v>148</v>
      </c>
      <c r="K31" s="215"/>
      <c r="L31" s="256"/>
      <c r="M31" s="256"/>
      <c r="N31" s="256"/>
      <c r="O31" s="257"/>
      <c r="P31" s="258">
        <f>W31*I31</f>
        <v>392</v>
      </c>
      <c r="Q31" s="258"/>
      <c r="R31" s="215"/>
      <c r="S31" s="215"/>
      <c r="T31" s="216"/>
      <c r="U31" s="215"/>
      <c r="W31" s="212">
        <f>0.49*4</f>
        <v>1.96</v>
      </c>
      <c r="X31" s="157"/>
      <c r="Y31" s="157"/>
      <c r="Z31" s="157"/>
      <c r="AA31" s="157"/>
      <c r="AB31" s="157"/>
      <c r="AI31" s="157"/>
      <c r="AJ31" s="157"/>
      <c r="AK31" s="157"/>
      <c r="AL31" s="157"/>
      <c r="AM31" s="157"/>
    </row>
    <row r="32" spans="2:39" s="158" customFormat="1" ht="28.7" customHeight="1">
      <c r="B32" s="217">
        <v>10</v>
      </c>
      <c r="C32" s="217" t="str">
        <f>C31</f>
        <v>OM4-DE-IS-0003-009</v>
      </c>
      <c r="D32" s="216" t="s">
        <v>143</v>
      </c>
      <c r="E32" s="94" t="s">
        <v>162</v>
      </c>
      <c r="F32" s="322" t="s">
        <v>222</v>
      </c>
      <c r="G32" s="289" t="s">
        <v>212</v>
      </c>
      <c r="H32" s="215"/>
      <c r="I32" s="255">
        <v>80</v>
      </c>
      <c r="J32" s="79" t="s">
        <v>148</v>
      </c>
      <c r="K32" s="215"/>
      <c r="L32" s="256"/>
      <c r="M32" s="256"/>
      <c r="N32" s="256"/>
      <c r="O32" s="257"/>
      <c r="P32" s="258">
        <f t="shared" ref="P32:P95" si="0">W32*I32</f>
        <v>211.20000000000002</v>
      </c>
      <c r="Q32" s="258"/>
      <c r="R32" s="215"/>
      <c r="S32" s="215"/>
      <c r="T32" s="216"/>
      <c r="U32" s="215"/>
      <c r="W32" s="212">
        <f>0.66*4</f>
        <v>2.64</v>
      </c>
      <c r="X32" s="157"/>
      <c r="Y32" s="157"/>
      <c r="Z32" s="157"/>
      <c r="AA32" s="157"/>
      <c r="AB32" s="157"/>
      <c r="AI32" s="157"/>
      <c r="AJ32" s="157"/>
      <c r="AK32" s="157"/>
      <c r="AL32" s="157"/>
      <c r="AM32" s="157"/>
    </row>
    <row r="33" spans="2:39" s="158" customFormat="1" ht="28.7" customHeight="1">
      <c r="B33" s="217">
        <v>11</v>
      </c>
      <c r="C33" s="217" t="str">
        <f t="shared" ref="C33:C36" si="1">C32</f>
        <v>OM4-DE-IS-0003-009</v>
      </c>
      <c r="D33" s="216" t="s">
        <v>143</v>
      </c>
      <c r="E33" s="94" t="s">
        <v>163</v>
      </c>
      <c r="F33" s="322" t="s">
        <v>222</v>
      </c>
      <c r="G33" s="289" t="s">
        <v>212</v>
      </c>
      <c r="H33" s="215"/>
      <c r="I33" s="255">
        <v>100</v>
      </c>
      <c r="J33" s="79" t="s">
        <v>148</v>
      </c>
      <c r="K33" s="215"/>
      <c r="L33" s="256"/>
      <c r="M33" s="256"/>
      <c r="N33" s="256"/>
      <c r="O33" s="257"/>
      <c r="P33" s="258">
        <f t="shared" si="0"/>
        <v>316</v>
      </c>
      <c r="Q33" s="258"/>
      <c r="R33" s="215"/>
      <c r="S33" s="215"/>
      <c r="T33" s="216"/>
      <c r="U33" s="215"/>
      <c r="W33" s="212">
        <f>0.79*4</f>
        <v>3.16</v>
      </c>
      <c r="X33" s="157"/>
      <c r="Y33" s="157"/>
      <c r="Z33" s="157"/>
      <c r="AA33" s="157"/>
      <c r="AB33" s="157"/>
      <c r="AI33" s="157"/>
      <c r="AJ33" s="157"/>
      <c r="AK33" s="157"/>
      <c r="AL33" s="157"/>
      <c r="AM33" s="157"/>
    </row>
    <row r="34" spans="2:39" s="158" customFormat="1" ht="28.7" customHeight="1">
      <c r="B34" s="217">
        <v>12</v>
      </c>
      <c r="C34" s="217" t="str">
        <f t="shared" si="1"/>
        <v>OM4-DE-IS-0003-009</v>
      </c>
      <c r="D34" s="216" t="s">
        <v>143</v>
      </c>
      <c r="E34" s="94" t="s">
        <v>164</v>
      </c>
      <c r="F34" s="322" t="s">
        <v>222</v>
      </c>
      <c r="G34" s="289" t="s">
        <v>212</v>
      </c>
      <c r="H34" s="215"/>
      <c r="I34" s="255">
        <v>70</v>
      </c>
      <c r="J34" s="79" t="s">
        <v>148</v>
      </c>
      <c r="K34" s="215"/>
      <c r="L34" s="256"/>
      <c r="M34" s="256"/>
      <c r="N34" s="256"/>
      <c r="O34" s="257"/>
      <c r="P34" s="258">
        <f t="shared" si="0"/>
        <v>296.8</v>
      </c>
      <c r="Q34" s="258"/>
      <c r="R34" s="215"/>
      <c r="S34" s="215"/>
      <c r="T34" s="216"/>
      <c r="U34" s="215"/>
      <c r="W34" s="212">
        <f>1.06*4</f>
        <v>4.24</v>
      </c>
      <c r="X34" s="157"/>
      <c r="Y34" s="157"/>
      <c r="Z34" s="157"/>
      <c r="AA34" s="157"/>
      <c r="AB34" s="157"/>
      <c r="AI34" s="157"/>
      <c r="AJ34" s="157"/>
      <c r="AK34" s="157"/>
      <c r="AL34" s="157"/>
      <c r="AM34" s="157"/>
    </row>
    <row r="35" spans="2:39" s="158" customFormat="1" ht="28.7" customHeight="1">
      <c r="B35" s="217">
        <v>13</v>
      </c>
      <c r="C35" s="217" t="str">
        <f t="shared" si="1"/>
        <v>OM4-DE-IS-0003-009</v>
      </c>
      <c r="D35" s="216" t="s">
        <v>143</v>
      </c>
      <c r="E35" s="94" t="s">
        <v>165</v>
      </c>
      <c r="F35" s="322" t="s">
        <v>222</v>
      </c>
      <c r="G35" s="289" t="s">
        <v>212</v>
      </c>
      <c r="H35" s="215"/>
      <c r="I35" s="255">
        <v>50</v>
      </c>
      <c r="J35" s="79" t="s">
        <v>148</v>
      </c>
      <c r="K35" s="215"/>
      <c r="L35" s="256"/>
      <c r="M35" s="256"/>
      <c r="N35" s="256"/>
      <c r="O35" s="257"/>
      <c r="P35" s="258">
        <f t="shared" si="0"/>
        <v>436.00000000000006</v>
      </c>
      <c r="Q35" s="258"/>
      <c r="R35" s="215"/>
      <c r="S35" s="215"/>
      <c r="T35" s="216"/>
      <c r="U35" s="215"/>
      <c r="W35" s="212">
        <f>2.18*4</f>
        <v>8.7200000000000006</v>
      </c>
      <c r="X35" s="157"/>
      <c r="Y35" s="157"/>
      <c r="Z35" s="157"/>
      <c r="AA35" s="157"/>
      <c r="AB35" s="157"/>
      <c r="AI35" s="157"/>
      <c r="AJ35" s="157"/>
      <c r="AK35" s="157"/>
      <c r="AL35" s="157"/>
      <c r="AM35" s="157"/>
    </row>
    <row r="36" spans="2:39" s="158" customFormat="1" ht="28.7" customHeight="1">
      <c r="B36" s="217">
        <v>14</v>
      </c>
      <c r="C36" s="217" t="str">
        <f t="shared" si="1"/>
        <v>OM4-DE-IS-0003-009</v>
      </c>
      <c r="D36" s="216" t="s">
        <v>143</v>
      </c>
      <c r="E36" s="94" t="s">
        <v>166</v>
      </c>
      <c r="F36" s="322" t="s">
        <v>222</v>
      </c>
      <c r="G36" s="289" t="s">
        <v>212</v>
      </c>
      <c r="H36" s="215"/>
      <c r="I36" s="255">
        <v>50</v>
      </c>
      <c r="J36" s="79" t="s">
        <v>148</v>
      </c>
      <c r="K36" s="215"/>
      <c r="L36" s="256"/>
      <c r="M36" s="256"/>
      <c r="N36" s="256"/>
      <c r="O36" s="257"/>
      <c r="P36" s="258">
        <f t="shared" si="0"/>
        <v>620</v>
      </c>
      <c r="Q36" s="258"/>
      <c r="R36" s="215"/>
      <c r="S36" s="215"/>
      <c r="T36" s="216"/>
      <c r="U36" s="215"/>
      <c r="W36" s="212">
        <f>3.1*4</f>
        <v>12.4</v>
      </c>
      <c r="X36" s="157"/>
      <c r="Y36" s="157"/>
      <c r="Z36" s="157"/>
      <c r="AA36" s="157"/>
      <c r="AB36" s="157"/>
      <c r="AI36" s="157"/>
      <c r="AJ36" s="157"/>
      <c r="AK36" s="157"/>
      <c r="AL36" s="157"/>
      <c r="AM36" s="157"/>
    </row>
    <row r="37" spans="2:39" s="158" customFormat="1" ht="28.7" customHeight="1">
      <c r="B37" s="387" t="s">
        <v>92</v>
      </c>
      <c r="C37" s="388"/>
      <c r="D37" s="388"/>
      <c r="E37" s="388"/>
      <c r="F37" s="388"/>
      <c r="G37" s="388"/>
      <c r="H37" s="389"/>
      <c r="I37" s="259">
        <f>SUM(I31:I36)</f>
        <v>550</v>
      </c>
      <c r="J37" s="260"/>
      <c r="K37" s="261" t="s">
        <v>149</v>
      </c>
      <c r="L37" s="262">
        <v>420</v>
      </c>
      <c r="M37" s="262">
        <v>220</v>
      </c>
      <c r="N37" s="262">
        <v>140</v>
      </c>
      <c r="O37" s="263">
        <f>(L37*M37*N37)/10^6</f>
        <v>12.936</v>
      </c>
      <c r="P37" s="264">
        <f>SUM(P31:P36)</f>
        <v>2272</v>
      </c>
      <c r="Q37" s="264">
        <f>P37+200</f>
        <v>2472</v>
      </c>
      <c r="R37" s="261" t="s">
        <v>150</v>
      </c>
      <c r="S37" s="261" t="s">
        <v>151</v>
      </c>
      <c r="T37" s="265"/>
      <c r="U37" s="261" t="s">
        <v>220</v>
      </c>
      <c r="W37" s="212"/>
      <c r="X37" s="157"/>
      <c r="Y37" s="157"/>
      <c r="Z37" s="157"/>
      <c r="AA37" s="157"/>
      <c r="AB37" s="157"/>
      <c r="AI37" s="157"/>
      <c r="AJ37" s="157"/>
      <c r="AK37" s="157"/>
      <c r="AL37" s="157"/>
      <c r="AM37" s="157"/>
    </row>
    <row r="38" spans="2:39" s="158" customFormat="1" ht="28.7" customHeight="1">
      <c r="B38" s="361" t="s">
        <v>274</v>
      </c>
      <c r="C38" s="217" t="s">
        <v>171</v>
      </c>
      <c r="D38" s="216" t="s">
        <v>376</v>
      </c>
      <c r="E38" s="94" t="s">
        <v>162</v>
      </c>
      <c r="F38" s="322" t="s">
        <v>222</v>
      </c>
      <c r="G38" s="289" t="s">
        <v>212</v>
      </c>
      <c r="H38" s="215"/>
      <c r="I38" s="255">
        <v>120</v>
      </c>
      <c r="J38" s="79" t="s">
        <v>147</v>
      </c>
      <c r="K38" s="215"/>
      <c r="L38" s="256"/>
      <c r="M38" s="256"/>
      <c r="N38" s="256"/>
      <c r="O38" s="257"/>
      <c r="P38" s="258">
        <f t="shared" si="0"/>
        <v>79.2</v>
      </c>
      <c r="Q38" s="258"/>
      <c r="R38" s="215"/>
      <c r="S38" s="215"/>
      <c r="T38" s="216"/>
      <c r="U38" s="215"/>
      <c r="W38" s="212">
        <v>0.66</v>
      </c>
      <c r="X38" s="157"/>
      <c r="Y38" s="157"/>
      <c r="Z38" s="157"/>
      <c r="AA38" s="157"/>
      <c r="AB38" s="157"/>
      <c r="AI38" s="157"/>
      <c r="AJ38" s="157"/>
      <c r="AK38" s="157"/>
      <c r="AL38" s="157"/>
      <c r="AM38" s="157"/>
    </row>
    <row r="39" spans="2:39" s="158" customFormat="1" ht="28.7" customHeight="1">
      <c r="B39" s="361" t="s">
        <v>275</v>
      </c>
      <c r="C39" s="217" t="str">
        <f>C38</f>
        <v>OM4-DE-IS-0003-010</v>
      </c>
      <c r="D39" s="216" t="s">
        <v>376</v>
      </c>
      <c r="E39" s="94" t="s">
        <v>163</v>
      </c>
      <c r="F39" s="322" t="s">
        <v>222</v>
      </c>
      <c r="G39" s="289" t="s">
        <v>212</v>
      </c>
      <c r="H39" s="215"/>
      <c r="I39" s="255">
        <v>60</v>
      </c>
      <c r="J39" s="79" t="s">
        <v>147</v>
      </c>
      <c r="K39" s="215"/>
      <c r="L39" s="256"/>
      <c r="M39" s="256"/>
      <c r="N39" s="256"/>
      <c r="O39" s="257"/>
      <c r="P39" s="258">
        <f t="shared" si="0"/>
        <v>47.400000000000006</v>
      </c>
      <c r="Q39" s="258"/>
      <c r="R39" s="215"/>
      <c r="S39" s="215"/>
      <c r="T39" s="216"/>
      <c r="U39" s="215"/>
      <c r="W39" s="212">
        <v>0.79</v>
      </c>
      <c r="X39" s="157"/>
      <c r="Y39" s="157"/>
      <c r="Z39" s="157"/>
      <c r="AA39" s="157"/>
      <c r="AB39" s="157"/>
      <c r="AI39" s="157"/>
      <c r="AJ39" s="157"/>
      <c r="AK39" s="157"/>
      <c r="AL39" s="157"/>
      <c r="AM39" s="157"/>
    </row>
    <row r="40" spans="2:39" s="158" customFormat="1" ht="28.7" customHeight="1">
      <c r="B40" s="361" t="s">
        <v>199</v>
      </c>
      <c r="C40" s="217" t="str">
        <f t="shared" ref="C40:C49" si="2">C39</f>
        <v>OM4-DE-IS-0003-010</v>
      </c>
      <c r="D40" s="216" t="s">
        <v>376</v>
      </c>
      <c r="E40" s="94" t="s">
        <v>164</v>
      </c>
      <c r="F40" s="322" t="s">
        <v>222</v>
      </c>
      <c r="G40" s="289" t="s">
        <v>212</v>
      </c>
      <c r="H40" s="215"/>
      <c r="I40" s="255">
        <v>20</v>
      </c>
      <c r="J40" s="79" t="s">
        <v>147</v>
      </c>
      <c r="K40" s="215"/>
      <c r="L40" s="256"/>
      <c r="M40" s="256"/>
      <c r="N40" s="256"/>
      <c r="O40" s="257"/>
      <c r="P40" s="258">
        <f t="shared" si="0"/>
        <v>21.200000000000003</v>
      </c>
      <c r="Q40" s="258"/>
      <c r="R40" s="215"/>
      <c r="S40" s="215"/>
      <c r="T40" s="216"/>
      <c r="U40" s="215"/>
      <c r="W40" s="212">
        <v>1.06</v>
      </c>
      <c r="X40" s="157"/>
      <c r="Y40" s="157"/>
      <c r="Z40" s="157"/>
      <c r="AA40" s="157"/>
      <c r="AB40" s="157"/>
      <c r="AI40" s="157"/>
      <c r="AJ40" s="157"/>
      <c r="AK40" s="157"/>
      <c r="AL40" s="157"/>
      <c r="AM40" s="157"/>
    </row>
    <row r="41" spans="2:39" s="158" customFormat="1" ht="28.7" customHeight="1">
      <c r="B41" s="361" t="s">
        <v>276</v>
      </c>
      <c r="C41" s="217" t="str">
        <f t="shared" si="2"/>
        <v>OM4-DE-IS-0003-010</v>
      </c>
      <c r="D41" s="216" t="s">
        <v>376</v>
      </c>
      <c r="E41" s="94" t="s">
        <v>165</v>
      </c>
      <c r="F41" s="322" t="s">
        <v>222</v>
      </c>
      <c r="G41" s="289" t="s">
        <v>212</v>
      </c>
      <c r="H41" s="215"/>
      <c r="I41" s="255">
        <v>30</v>
      </c>
      <c r="J41" s="79" t="s">
        <v>147</v>
      </c>
      <c r="K41" s="215"/>
      <c r="L41" s="256"/>
      <c r="M41" s="256"/>
      <c r="N41" s="256"/>
      <c r="O41" s="257"/>
      <c r="P41" s="258">
        <f t="shared" si="0"/>
        <v>65.400000000000006</v>
      </c>
      <c r="Q41" s="258"/>
      <c r="R41" s="215"/>
      <c r="S41" s="215"/>
      <c r="T41" s="216"/>
      <c r="U41" s="215"/>
      <c r="W41" s="212">
        <v>2.1800000000000002</v>
      </c>
      <c r="X41" s="157"/>
      <c r="Y41" s="157"/>
      <c r="Z41" s="157"/>
      <c r="AA41" s="157"/>
      <c r="AB41" s="157"/>
      <c r="AI41" s="157"/>
      <c r="AJ41" s="157"/>
      <c r="AK41" s="157"/>
      <c r="AL41" s="157"/>
      <c r="AM41" s="157"/>
    </row>
    <row r="42" spans="2:39" s="158" customFormat="1" ht="28.7" customHeight="1">
      <c r="B42" s="361" t="s">
        <v>277</v>
      </c>
      <c r="C42" s="217" t="str">
        <f t="shared" si="2"/>
        <v>OM4-DE-IS-0003-010</v>
      </c>
      <c r="D42" s="216" t="s">
        <v>376</v>
      </c>
      <c r="E42" s="94" t="s">
        <v>166</v>
      </c>
      <c r="F42" s="322" t="s">
        <v>222</v>
      </c>
      <c r="G42" s="289" t="s">
        <v>212</v>
      </c>
      <c r="H42" s="215"/>
      <c r="I42" s="255">
        <v>30</v>
      </c>
      <c r="J42" s="79" t="s">
        <v>147</v>
      </c>
      <c r="K42" s="215"/>
      <c r="L42" s="256"/>
      <c r="M42" s="256"/>
      <c r="N42" s="256"/>
      <c r="O42" s="257"/>
      <c r="P42" s="258">
        <f t="shared" si="0"/>
        <v>93</v>
      </c>
      <c r="Q42" s="258"/>
      <c r="R42" s="215"/>
      <c r="S42" s="215"/>
      <c r="T42" s="216"/>
      <c r="U42" s="215"/>
      <c r="W42" s="212">
        <v>3.1</v>
      </c>
      <c r="X42" s="157"/>
      <c r="Y42" s="157"/>
      <c r="Z42" s="157"/>
      <c r="AA42" s="157"/>
      <c r="AB42" s="157"/>
      <c r="AI42" s="157"/>
      <c r="AJ42" s="157"/>
      <c r="AK42" s="157"/>
      <c r="AL42" s="157"/>
      <c r="AM42" s="157"/>
    </row>
    <row r="43" spans="2:39" s="158" customFormat="1" ht="28.7" customHeight="1">
      <c r="B43" s="361" t="s">
        <v>278</v>
      </c>
      <c r="C43" s="217" t="str">
        <f t="shared" si="2"/>
        <v>OM4-DE-IS-0003-010</v>
      </c>
      <c r="D43" s="216" t="s">
        <v>376</v>
      </c>
      <c r="E43" s="94" t="s">
        <v>159</v>
      </c>
      <c r="F43" s="322" t="s">
        <v>222</v>
      </c>
      <c r="G43" s="289" t="s">
        <v>212</v>
      </c>
      <c r="H43" s="215"/>
      <c r="I43" s="255">
        <v>30</v>
      </c>
      <c r="J43" s="79" t="s">
        <v>147</v>
      </c>
      <c r="K43" s="215"/>
      <c r="L43" s="256"/>
      <c r="M43" s="256"/>
      <c r="N43" s="256"/>
      <c r="O43" s="257"/>
      <c r="P43" s="258">
        <f t="shared" si="0"/>
        <v>84</v>
      </c>
      <c r="Q43" s="258"/>
      <c r="R43" s="215"/>
      <c r="S43" s="215"/>
      <c r="T43" s="216"/>
      <c r="U43" s="215"/>
      <c r="W43" s="212">
        <f>2.8</f>
        <v>2.8</v>
      </c>
      <c r="X43" s="157"/>
      <c r="Y43" s="157"/>
      <c r="Z43" s="157"/>
      <c r="AA43" s="157"/>
      <c r="AB43" s="157"/>
      <c r="AI43" s="157"/>
      <c r="AJ43" s="157"/>
      <c r="AK43" s="157"/>
      <c r="AL43" s="157"/>
      <c r="AM43" s="157"/>
    </row>
    <row r="44" spans="2:39" s="158" customFormat="1" ht="28.7" customHeight="1">
      <c r="B44" s="361" t="s">
        <v>279</v>
      </c>
      <c r="C44" s="217" t="str">
        <f t="shared" si="2"/>
        <v>OM4-DE-IS-0003-010</v>
      </c>
      <c r="D44" s="216" t="s">
        <v>174</v>
      </c>
      <c r="E44" s="94" t="s">
        <v>161</v>
      </c>
      <c r="F44" s="322" t="s">
        <v>222</v>
      </c>
      <c r="G44" s="289" t="s">
        <v>212</v>
      </c>
      <c r="H44" s="215"/>
      <c r="I44" s="255">
        <v>150</v>
      </c>
      <c r="J44" s="79" t="s">
        <v>147</v>
      </c>
      <c r="K44" s="215"/>
      <c r="L44" s="256"/>
      <c r="M44" s="256"/>
      <c r="N44" s="256"/>
      <c r="O44" s="257"/>
      <c r="P44" s="258">
        <f t="shared" ref="P44:P49" si="3">W44*I44</f>
        <v>9</v>
      </c>
      <c r="Q44" s="258"/>
      <c r="R44" s="215"/>
      <c r="S44" s="215"/>
      <c r="T44" s="216"/>
      <c r="U44" s="215"/>
      <c r="W44" s="212">
        <v>0.06</v>
      </c>
      <c r="X44" s="157"/>
      <c r="Y44" s="157"/>
      <c r="Z44" s="157"/>
      <c r="AA44" s="157"/>
      <c r="AB44" s="157"/>
      <c r="AI44" s="157"/>
      <c r="AJ44" s="157"/>
      <c r="AK44" s="157"/>
      <c r="AL44" s="157"/>
      <c r="AM44" s="157"/>
    </row>
    <row r="45" spans="2:39" s="158" customFormat="1" ht="28.7" customHeight="1">
      <c r="B45" s="361" t="s">
        <v>280</v>
      </c>
      <c r="C45" s="217" t="str">
        <f t="shared" si="2"/>
        <v>OM4-DE-IS-0003-010</v>
      </c>
      <c r="D45" s="216" t="s">
        <v>174</v>
      </c>
      <c r="E45" s="94" t="s">
        <v>162</v>
      </c>
      <c r="F45" s="322" t="s">
        <v>222</v>
      </c>
      <c r="G45" s="289" t="s">
        <v>212</v>
      </c>
      <c r="H45" s="215"/>
      <c r="I45" s="255">
        <v>80</v>
      </c>
      <c r="J45" s="79" t="s">
        <v>147</v>
      </c>
      <c r="K45" s="215"/>
      <c r="L45" s="256"/>
      <c r="M45" s="256"/>
      <c r="N45" s="256"/>
      <c r="O45" s="257"/>
      <c r="P45" s="258">
        <f t="shared" si="3"/>
        <v>7.6</v>
      </c>
      <c r="Q45" s="258"/>
      <c r="R45" s="215"/>
      <c r="S45" s="215"/>
      <c r="T45" s="216"/>
      <c r="U45" s="215"/>
      <c r="W45" s="212">
        <v>9.5000000000000001E-2</v>
      </c>
      <c r="X45" s="157"/>
      <c r="Y45" s="157"/>
      <c r="Z45" s="157"/>
      <c r="AA45" s="157"/>
      <c r="AB45" s="157"/>
      <c r="AI45" s="157"/>
      <c r="AJ45" s="157"/>
      <c r="AK45" s="157"/>
      <c r="AL45" s="157"/>
      <c r="AM45" s="157"/>
    </row>
    <row r="46" spans="2:39" s="158" customFormat="1" ht="28.7" customHeight="1">
      <c r="B46" s="361" t="s">
        <v>281</v>
      </c>
      <c r="C46" s="217" t="str">
        <f t="shared" si="2"/>
        <v>OM4-DE-IS-0003-010</v>
      </c>
      <c r="D46" s="216" t="s">
        <v>174</v>
      </c>
      <c r="E46" s="94" t="s">
        <v>163</v>
      </c>
      <c r="F46" s="322" t="s">
        <v>222</v>
      </c>
      <c r="G46" s="289" t="s">
        <v>212</v>
      </c>
      <c r="H46" s="215"/>
      <c r="I46" s="255">
        <v>50</v>
      </c>
      <c r="J46" s="79" t="s">
        <v>147</v>
      </c>
      <c r="K46" s="215"/>
      <c r="L46" s="256"/>
      <c r="M46" s="256"/>
      <c r="N46" s="256"/>
      <c r="O46" s="257"/>
      <c r="P46" s="258">
        <f t="shared" si="3"/>
        <v>5.5</v>
      </c>
      <c r="Q46" s="258"/>
      <c r="R46" s="215"/>
      <c r="S46" s="215"/>
      <c r="T46" s="216"/>
      <c r="U46" s="215"/>
      <c r="W46" s="212">
        <v>0.11</v>
      </c>
      <c r="X46" s="157"/>
      <c r="Y46" s="157"/>
      <c r="Z46" s="157"/>
      <c r="AA46" s="157"/>
      <c r="AB46" s="157"/>
      <c r="AI46" s="157"/>
      <c r="AJ46" s="157"/>
      <c r="AK46" s="157"/>
      <c r="AL46" s="157"/>
      <c r="AM46" s="157"/>
    </row>
    <row r="47" spans="2:39" s="158" customFormat="1" ht="28.7" customHeight="1">
      <c r="B47" s="361" t="s">
        <v>282</v>
      </c>
      <c r="C47" s="217" t="str">
        <f t="shared" si="2"/>
        <v>OM4-DE-IS-0003-010</v>
      </c>
      <c r="D47" s="216" t="s">
        <v>174</v>
      </c>
      <c r="E47" s="94" t="s">
        <v>164</v>
      </c>
      <c r="F47" s="322" t="s">
        <v>222</v>
      </c>
      <c r="G47" s="289" t="s">
        <v>212</v>
      </c>
      <c r="H47" s="215"/>
      <c r="I47" s="255">
        <v>30</v>
      </c>
      <c r="J47" s="79" t="s">
        <v>147</v>
      </c>
      <c r="K47" s="215"/>
      <c r="L47" s="256"/>
      <c r="M47" s="256"/>
      <c r="N47" s="256"/>
      <c r="O47" s="257"/>
      <c r="P47" s="258">
        <f t="shared" si="3"/>
        <v>4.95</v>
      </c>
      <c r="Q47" s="258"/>
      <c r="R47" s="215"/>
      <c r="S47" s="215"/>
      <c r="T47" s="216"/>
      <c r="U47" s="215"/>
      <c r="W47" s="212">
        <v>0.16500000000000001</v>
      </c>
      <c r="X47" s="157"/>
      <c r="Y47" s="157"/>
      <c r="Z47" s="157"/>
      <c r="AA47" s="157"/>
      <c r="AB47" s="157"/>
      <c r="AI47" s="157"/>
      <c r="AJ47" s="157"/>
      <c r="AK47" s="157"/>
      <c r="AL47" s="157"/>
      <c r="AM47" s="157"/>
    </row>
    <row r="48" spans="2:39" s="158" customFormat="1" ht="28.7" customHeight="1">
      <c r="B48" s="361" t="s">
        <v>283</v>
      </c>
      <c r="C48" s="217" t="str">
        <f t="shared" si="2"/>
        <v>OM4-DE-IS-0003-010</v>
      </c>
      <c r="D48" s="216" t="s">
        <v>174</v>
      </c>
      <c r="E48" s="94" t="s">
        <v>165</v>
      </c>
      <c r="F48" s="322" t="s">
        <v>222</v>
      </c>
      <c r="G48" s="289" t="s">
        <v>212</v>
      </c>
      <c r="H48" s="215"/>
      <c r="I48" s="255">
        <v>20</v>
      </c>
      <c r="J48" s="79" t="s">
        <v>147</v>
      </c>
      <c r="K48" s="215"/>
      <c r="L48" s="256"/>
      <c r="M48" s="256"/>
      <c r="N48" s="256"/>
      <c r="O48" s="257"/>
      <c r="P48" s="258">
        <f t="shared" si="3"/>
        <v>9.8000000000000007</v>
      </c>
      <c r="Q48" s="258"/>
      <c r="R48" s="215"/>
      <c r="S48" s="215"/>
      <c r="T48" s="216"/>
      <c r="U48" s="215"/>
      <c r="W48" s="212">
        <v>0.49</v>
      </c>
      <c r="X48" s="157"/>
      <c r="Y48" s="157"/>
      <c r="Z48" s="157"/>
      <c r="AA48" s="157"/>
      <c r="AB48" s="157"/>
      <c r="AI48" s="157"/>
      <c r="AJ48" s="157"/>
      <c r="AK48" s="157"/>
      <c r="AL48" s="157"/>
      <c r="AM48" s="157"/>
    </row>
    <row r="49" spans="2:39" s="158" customFormat="1" ht="28.7" customHeight="1">
      <c r="B49" s="361" t="s">
        <v>284</v>
      </c>
      <c r="C49" s="217" t="str">
        <f t="shared" si="2"/>
        <v>OM4-DE-IS-0003-010</v>
      </c>
      <c r="D49" s="216" t="s">
        <v>174</v>
      </c>
      <c r="E49" s="94" t="s">
        <v>166</v>
      </c>
      <c r="F49" s="322" t="s">
        <v>222</v>
      </c>
      <c r="G49" s="289" t="s">
        <v>212</v>
      </c>
      <c r="H49" s="215"/>
      <c r="I49" s="255">
        <v>20</v>
      </c>
      <c r="J49" s="79" t="s">
        <v>147</v>
      </c>
      <c r="K49" s="215"/>
      <c r="L49" s="256"/>
      <c r="M49" s="256"/>
      <c r="N49" s="256"/>
      <c r="O49" s="257"/>
      <c r="P49" s="258">
        <f t="shared" si="3"/>
        <v>12.5</v>
      </c>
      <c r="Q49" s="258"/>
      <c r="R49" s="215"/>
      <c r="S49" s="215"/>
      <c r="T49" s="216"/>
      <c r="U49" s="215"/>
      <c r="W49" s="212">
        <v>0.625</v>
      </c>
      <c r="X49" s="157"/>
      <c r="Y49" s="157"/>
      <c r="Z49" s="157"/>
      <c r="AA49" s="157"/>
      <c r="AB49" s="157"/>
      <c r="AI49" s="157"/>
      <c r="AJ49" s="157"/>
      <c r="AK49" s="157"/>
      <c r="AL49" s="157"/>
      <c r="AM49" s="157"/>
    </row>
    <row r="50" spans="2:39" s="158" customFormat="1" ht="28.7" customHeight="1">
      <c r="B50" s="361" t="s">
        <v>285</v>
      </c>
      <c r="C50" s="217" t="str">
        <f>C49</f>
        <v>OM4-DE-IS-0003-010</v>
      </c>
      <c r="D50" s="216" t="s">
        <v>174</v>
      </c>
      <c r="E50" s="94" t="s">
        <v>159</v>
      </c>
      <c r="F50" s="322" t="s">
        <v>222</v>
      </c>
      <c r="G50" s="289" t="s">
        <v>212</v>
      </c>
      <c r="H50" s="215"/>
      <c r="I50" s="255">
        <v>20</v>
      </c>
      <c r="J50" s="79" t="s">
        <v>147</v>
      </c>
      <c r="K50" s="215"/>
      <c r="L50" s="256"/>
      <c r="M50" s="256"/>
      <c r="N50" s="256"/>
      <c r="O50" s="257"/>
      <c r="P50" s="258">
        <f t="shared" ref="P50:P64" si="4">W50*I50</f>
        <v>16</v>
      </c>
      <c r="Q50" s="258"/>
      <c r="R50" s="215"/>
      <c r="S50" s="215"/>
      <c r="T50" s="216"/>
      <c r="U50" s="215"/>
      <c r="W50" s="212">
        <v>0.8</v>
      </c>
      <c r="X50" s="157"/>
      <c r="Y50" s="157"/>
      <c r="Z50" s="157"/>
      <c r="AA50" s="157"/>
      <c r="AB50" s="157"/>
      <c r="AI50" s="157"/>
      <c r="AJ50" s="157"/>
      <c r="AK50" s="157"/>
      <c r="AL50" s="157"/>
      <c r="AM50" s="157"/>
    </row>
    <row r="51" spans="2:39" s="158" customFormat="1" ht="28.7" customHeight="1">
      <c r="B51" s="361" t="s">
        <v>302</v>
      </c>
      <c r="C51" s="217" t="str">
        <f>C50</f>
        <v>OM4-DE-IS-0003-010</v>
      </c>
      <c r="D51" s="216" t="s">
        <v>399</v>
      </c>
      <c r="E51" s="94" t="s">
        <v>161</v>
      </c>
      <c r="F51" s="322" t="s">
        <v>222</v>
      </c>
      <c r="G51" s="289" t="s">
        <v>212</v>
      </c>
      <c r="H51" s="215"/>
      <c r="I51" s="255">
        <v>200</v>
      </c>
      <c r="J51" s="79" t="s">
        <v>147</v>
      </c>
      <c r="K51" s="215"/>
      <c r="L51" s="256"/>
      <c r="M51" s="256"/>
      <c r="N51" s="256"/>
      <c r="O51" s="257"/>
      <c r="P51" s="258">
        <f t="shared" si="4"/>
        <v>12</v>
      </c>
      <c r="Q51" s="258"/>
      <c r="R51" s="215"/>
      <c r="S51" s="215"/>
      <c r="T51" s="216"/>
      <c r="U51" s="215"/>
      <c r="W51" s="212">
        <v>0.06</v>
      </c>
      <c r="X51" s="157"/>
      <c r="Y51" s="157"/>
      <c r="Z51" s="157"/>
      <c r="AA51" s="157"/>
      <c r="AB51" s="157"/>
      <c r="AI51" s="157"/>
      <c r="AJ51" s="157"/>
      <c r="AK51" s="157"/>
      <c r="AL51" s="157"/>
      <c r="AM51" s="157"/>
    </row>
    <row r="52" spans="2:39" s="158" customFormat="1" ht="28.7" customHeight="1">
      <c r="B52" s="361" t="s">
        <v>286</v>
      </c>
      <c r="C52" s="217" t="str">
        <f>C51</f>
        <v>OM4-DE-IS-0003-010</v>
      </c>
      <c r="D52" s="216" t="s">
        <v>399</v>
      </c>
      <c r="E52" s="94" t="s">
        <v>162</v>
      </c>
      <c r="F52" s="322" t="s">
        <v>222</v>
      </c>
      <c r="G52" s="289" t="s">
        <v>212</v>
      </c>
      <c r="H52" s="215"/>
      <c r="I52" s="255">
        <v>80</v>
      </c>
      <c r="J52" s="79" t="s">
        <v>147</v>
      </c>
      <c r="K52" s="215"/>
      <c r="L52" s="256"/>
      <c r="M52" s="256"/>
      <c r="N52" s="256"/>
      <c r="O52" s="257"/>
      <c r="P52" s="258">
        <f t="shared" si="4"/>
        <v>7.6</v>
      </c>
      <c r="Q52" s="258"/>
      <c r="R52" s="215"/>
      <c r="S52" s="215"/>
      <c r="T52" s="216"/>
      <c r="U52" s="215"/>
      <c r="W52" s="212">
        <v>9.5000000000000001E-2</v>
      </c>
      <c r="X52" s="157"/>
      <c r="Y52" s="157"/>
      <c r="Z52" s="157"/>
      <c r="AA52" s="157"/>
      <c r="AB52" s="157"/>
      <c r="AI52" s="157"/>
      <c r="AJ52" s="157"/>
      <c r="AK52" s="157"/>
      <c r="AL52" s="157"/>
      <c r="AM52" s="157"/>
    </row>
    <row r="53" spans="2:39" s="158" customFormat="1" ht="28.7" customHeight="1">
      <c r="B53" s="361" t="s">
        <v>287</v>
      </c>
      <c r="C53" s="217" t="str">
        <f t="shared" ref="C53:C64" si="5">C52</f>
        <v>OM4-DE-IS-0003-010</v>
      </c>
      <c r="D53" s="216" t="s">
        <v>399</v>
      </c>
      <c r="E53" s="94" t="s">
        <v>163</v>
      </c>
      <c r="F53" s="322" t="s">
        <v>222</v>
      </c>
      <c r="G53" s="289" t="s">
        <v>212</v>
      </c>
      <c r="H53" s="215"/>
      <c r="I53" s="255">
        <v>100</v>
      </c>
      <c r="J53" s="79" t="s">
        <v>147</v>
      </c>
      <c r="K53" s="215"/>
      <c r="L53" s="256"/>
      <c r="M53" s="256"/>
      <c r="N53" s="256"/>
      <c r="O53" s="257"/>
      <c r="P53" s="258">
        <f t="shared" si="4"/>
        <v>11</v>
      </c>
      <c r="Q53" s="258"/>
      <c r="R53" s="215"/>
      <c r="S53" s="215"/>
      <c r="T53" s="216"/>
      <c r="U53" s="215"/>
      <c r="W53" s="212">
        <v>0.11</v>
      </c>
      <c r="X53" s="157"/>
      <c r="Y53" s="157"/>
      <c r="Z53" s="157"/>
      <c r="AA53" s="157"/>
      <c r="AB53" s="157"/>
      <c r="AI53" s="157"/>
      <c r="AJ53" s="157"/>
      <c r="AK53" s="157"/>
      <c r="AL53" s="157"/>
      <c r="AM53" s="157"/>
    </row>
    <row r="54" spans="2:39" s="158" customFormat="1" ht="28.7" customHeight="1">
      <c r="B54" s="361" t="s">
        <v>288</v>
      </c>
      <c r="C54" s="217" t="str">
        <f t="shared" si="5"/>
        <v>OM4-DE-IS-0003-010</v>
      </c>
      <c r="D54" s="216" t="s">
        <v>399</v>
      </c>
      <c r="E54" s="94" t="s">
        <v>164</v>
      </c>
      <c r="F54" s="322" t="s">
        <v>222</v>
      </c>
      <c r="G54" s="289" t="s">
        <v>212</v>
      </c>
      <c r="H54" s="215"/>
      <c r="I54" s="255">
        <v>70</v>
      </c>
      <c r="J54" s="79" t="s">
        <v>147</v>
      </c>
      <c r="K54" s="215"/>
      <c r="L54" s="256"/>
      <c r="M54" s="256"/>
      <c r="N54" s="256"/>
      <c r="O54" s="257"/>
      <c r="P54" s="258">
        <f t="shared" si="4"/>
        <v>11.55</v>
      </c>
      <c r="Q54" s="258"/>
      <c r="R54" s="215"/>
      <c r="S54" s="215"/>
      <c r="T54" s="216"/>
      <c r="U54" s="215"/>
      <c r="W54" s="212">
        <v>0.16500000000000001</v>
      </c>
      <c r="X54" s="157"/>
      <c r="Y54" s="157"/>
      <c r="Z54" s="157"/>
      <c r="AA54" s="157"/>
      <c r="AB54" s="157"/>
      <c r="AI54" s="157"/>
      <c r="AJ54" s="157"/>
      <c r="AK54" s="157"/>
      <c r="AL54" s="157"/>
      <c r="AM54" s="157"/>
    </row>
    <row r="55" spans="2:39" s="158" customFormat="1" ht="28.7" customHeight="1">
      <c r="B55" s="361" t="s">
        <v>289</v>
      </c>
      <c r="C55" s="217" t="str">
        <f t="shared" si="5"/>
        <v>OM4-DE-IS-0003-010</v>
      </c>
      <c r="D55" s="216" t="s">
        <v>399</v>
      </c>
      <c r="E55" s="94" t="s">
        <v>165</v>
      </c>
      <c r="F55" s="322" t="s">
        <v>222</v>
      </c>
      <c r="G55" s="289" t="s">
        <v>212</v>
      </c>
      <c r="H55" s="215"/>
      <c r="I55" s="255">
        <v>50</v>
      </c>
      <c r="J55" s="79" t="s">
        <v>147</v>
      </c>
      <c r="K55" s="215"/>
      <c r="L55" s="256"/>
      <c r="M55" s="256"/>
      <c r="N55" s="256"/>
      <c r="O55" s="257"/>
      <c r="P55" s="258">
        <f t="shared" si="4"/>
        <v>24.5</v>
      </c>
      <c r="Q55" s="258"/>
      <c r="R55" s="215"/>
      <c r="S55" s="215"/>
      <c r="T55" s="216"/>
      <c r="U55" s="215"/>
      <c r="W55" s="212">
        <v>0.49</v>
      </c>
      <c r="X55" s="157"/>
      <c r="Y55" s="157"/>
      <c r="Z55" s="157"/>
      <c r="AA55" s="157"/>
      <c r="AB55" s="157"/>
      <c r="AI55" s="157"/>
      <c r="AJ55" s="157"/>
      <c r="AK55" s="157"/>
      <c r="AL55" s="157"/>
      <c r="AM55" s="157"/>
    </row>
    <row r="56" spans="2:39" s="158" customFormat="1" ht="28.7" customHeight="1">
      <c r="B56" s="361" t="s">
        <v>290</v>
      </c>
      <c r="C56" s="217" t="str">
        <f t="shared" si="5"/>
        <v>OM4-DE-IS-0003-010</v>
      </c>
      <c r="D56" s="216" t="s">
        <v>399</v>
      </c>
      <c r="E56" s="94" t="s">
        <v>166</v>
      </c>
      <c r="F56" s="322" t="s">
        <v>222</v>
      </c>
      <c r="G56" s="289" t="s">
        <v>212</v>
      </c>
      <c r="H56" s="215"/>
      <c r="I56" s="255">
        <v>50</v>
      </c>
      <c r="J56" s="79" t="s">
        <v>147</v>
      </c>
      <c r="K56" s="215"/>
      <c r="L56" s="256"/>
      <c r="M56" s="256"/>
      <c r="N56" s="256"/>
      <c r="O56" s="257"/>
      <c r="P56" s="258">
        <f t="shared" si="4"/>
        <v>31.25</v>
      </c>
      <c r="Q56" s="258"/>
      <c r="R56" s="215"/>
      <c r="S56" s="215"/>
      <c r="T56" s="216"/>
      <c r="U56" s="215"/>
      <c r="W56" s="212">
        <v>0.625</v>
      </c>
      <c r="X56" s="157"/>
      <c r="Y56" s="157"/>
      <c r="Z56" s="157"/>
      <c r="AA56" s="157"/>
      <c r="AB56" s="157"/>
      <c r="AI56" s="157"/>
      <c r="AJ56" s="157"/>
      <c r="AK56" s="157"/>
      <c r="AL56" s="157"/>
      <c r="AM56" s="157"/>
    </row>
    <row r="57" spans="2:39" s="158" customFormat="1" ht="28.7" customHeight="1">
      <c r="B57" s="361" t="s">
        <v>291</v>
      </c>
      <c r="C57" s="217" t="str">
        <f t="shared" si="5"/>
        <v>OM4-DE-IS-0003-010</v>
      </c>
      <c r="D57" s="216" t="s">
        <v>399</v>
      </c>
      <c r="E57" s="94" t="s">
        <v>159</v>
      </c>
      <c r="F57" s="322" t="s">
        <v>222</v>
      </c>
      <c r="G57" s="289" t="s">
        <v>212</v>
      </c>
      <c r="H57" s="215"/>
      <c r="I57" s="255">
        <v>100</v>
      </c>
      <c r="J57" s="79" t="s">
        <v>147</v>
      </c>
      <c r="K57" s="215"/>
      <c r="L57" s="256"/>
      <c r="M57" s="256"/>
      <c r="N57" s="256"/>
      <c r="O57" s="257"/>
      <c r="P57" s="258">
        <f t="shared" si="4"/>
        <v>80</v>
      </c>
      <c r="Q57" s="258"/>
      <c r="R57" s="215"/>
      <c r="S57" s="215"/>
      <c r="T57" s="216"/>
      <c r="U57" s="215"/>
      <c r="W57" s="212">
        <v>0.8</v>
      </c>
      <c r="X57" s="157"/>
      <c r="Y57" s="157"/>
      <c r="Z57" s="157"/>
      <c r="AA57" s="157"/>
      <c r="AB57" s="157"/>
      <c r="AI57" s="157"/>
      <c r="AJ57" s="157"/>
      <c r="AK57" s="157"/>
      <c r="AL57" s="157"/>
      <c r="AM57" s="157"/>
    </row>
    <row r="58" spans="2:39" s="158" customFormat="1" ht="28.7" customHeight="1">
      <c r="B58" s="361" t="s">
        <v>292</v>
      </c>
      <c r="C58" s="217" t="str">
        <f t="shared" si="5"/>
        <v>OM4-DE-IS-0003-010</v>
      </c>
      <c r="D58" s="216" t="s">
        <v>377</v>
      </c>
      <c r="E58" s="94" t="s">
        <v>161</v>
      </c>
      <c r="F58" s="322" t="s">
        <v>222</v>
      </c>
      <c r="G58" s="289" t="s">
        <v>212</v>
      </c>
      <c r="H58" s="215"/>
      <c r="I58" s="255">
        <v>100</v>
      </c>
      <c r="J58" s="79" t="s">
        <v>147</v>
      </c>
      <c r="K58" s="215"/>
      <c r="L58" s="256"/>
      <c r="M58" s="256"/>
      <c r="N58" s="256"/>
      <c r="O58" s="257"/>
      <c r="P58" s="258">
        <f t="shared" si="4"/>
        <v>6</v>
      </c>
      <c r="Q58" s="258"/>
      <c r="R58" s="215"/>
      <c r="S58" s="215"/>
      <c r="T58" s="216"/>
      <c r="U58" s="215"/>
      <c r="W58" s="212">
        <v>0.06</v>
      </c>
      <c r="X58" s="157"/>
      <c r="Y58" s="157"/>
      <c r="Z58" s="157"/>
      <c r="AA58" s="157"/>
      <c r="AB58" s="157"/>
      <c r="AI58" s="157"/>
      <c r="AJ58" s="157"/>
      <c r="AK58" s="157"/>
      <c r="AL58" s="157"/>
      <c r="AM58" s="157"/>
    </row>
    <row r="59" spans="2:39" s="158" customFormat="1" ht="28.7" customHeight="1">
      <c r="B59" s="361" t="s">
        <v>293</v>
      </c>
      <c r="C59" s="217" t="str">
        <f t="shared" si="5"/>
        <v>OM4-DE-IS-0003-010</v>
      </c>
      <c r="D59" s="216" t="s">
        <v>377</v>
      </c>
      <c r="E59" s="94" t="s">
        <v>162</v>
      </c>
      <c r="F59" s="322" t="s">
        <v>222</v>
      </c>
      <c r="G59" s="289" t="s">
        <v>212</v>
      </c>
      <c r="H59" s="215"/>
      <c r="I59" s="255">
        <v>50</v>
      </c>
      <c r="J59" s="79" t="s">
        <v>147</v>
      </c>
      <c r="K59" s="215"/>
      <c r="L59" s="256"/>
      <c r="M59" s="256"/>
      <c r="N59" s="256"/>
      <c r="O59" s="257"/>
      <c r="P59" s="258">
        <f t="shared" si="4"/>
        <v>4.75</v>
      </c>
      <c r="Q59" s="258"/>
      <c r="R59" s="215"/>
      <c r="S59" s="215"/>
      <c r="T59" s="216"/>
      <c r="U59" s="215"/>
      <c r="W59" s="212">
        <v>9.5000000000000001E-2</v>
      </c>
      <c r="X59" s="157"/>
      <c r="Y59" s="157"/>
      <c r="Z59" s="157"/>
      <c r="AA59" s="157"/>
      <c r="AB59" s="157"/>
      <c r="AI59" s="157"/>
      <c r="AJ59" s="157"/>
      <c r="AK59" s="157"/>
      <c r="AL59" s="157"/>
      <c r="AM59" s="157"/>
    </row>
    <row r="60" spans="2:39" s="158" customFormat="1" ht="28.7" customHeight="1">
      <c r="B60" s="361" t="s">
        <v>294</v>
      </c>
      <c r="C60" s="217" t="str">
        <f t="shared" si="5"/>
        <v>OM4-DE-IS-0003-010</v>
      </c>
      <c r="D60" s="216" t="s">
        <v>377</v>
      </c>
      <c r="E60" s="94" t="s">
        <v>163</v>
      </c>
      <c r="F60" s="322" t="s">
        <v>222</v>
      </c>
      <c r="G60" s="289" t="s">
        <v>212</v>
      </c>
      <c r="H60" s="215"/>
      <c r="I60" s="255">
        <v>50</v>
      </c>
      <c r="J60" s="79" t="s">
        <v>147</v>
      </c>
      <c r="K60" s="215"/>
      <c r="L60" s="256"/>
      <c r="M60" s="256"/>
      <c r="N60" s="256"/>
      <c r="O60" s="257"/>
      <c r="P60" s="258">
        <f t="shared" si="4"/>
        <v>5.5</v>
      </c>
      <c r="Q60" s="258"/>
      <c r="R60" s="215"/>
      <c r="S60" s="215"/>
      <c r="T60" s="216"/>
      <c r="U60" s="215"/>
      <c r="W60" s="212">
        <v>0.11</v>
      </c>
      <c r="X60" s="157"/>
      <c r="Y60" s="157"/>
      <c r="Z60" s="157"/>
      <c r="AA60" s="157"/>
      <c r="AB60" s="157"/>
      <c r="AI60" s="157"/>
      <c r="AJ60" s="157"/>
      <c r="AK60" s="157"/>
      <c r="AL60" s="157"/>
      <c r="AM60" s="157"/>
    </row>
    <row r="61" spans="2:39" s="158" customFormat="1" ht="28.7" customHeight="1">
      <c r="B61" s="361" t="s">
        <v>295</v>
      </c>
      <c r="C61" s="217" t="str">
        <f t="shared" si="5"/>
        <v>OM4-DE-IS-0003-010</v>
      </c>
      <c r="D61" s="216" t="s">
        <v>377</v>
      </c>
      <c r="E61" s="94" t="s">
        <v>164</v>
      </c>
      <c r="F61" s="322" t="s">
        <v>222</v>
      </c>
      <c r="G61" s="289" t="s">
        <v>212</v>
      </c>
      <c r="H61" s="215"/>
      <c r="I61" s="255">
        <v>50</v>
      </c>
      <c r="J61" s="79" t="s">
        <v>147</v>
      </c>
      <c r="K61" s="215"/>
      <c r="L61" s="256"/>
      <c r="M61" s="256"/>
      <c r="N61" s="256"/>
      <c r="O61" s="257"/>
      <c r="P61" s="258">
        <f t="shared" si="4"/>
        <v>8.25</v>
      </c>
      <c r="Q61" s="258"/>
      <c r="R61" s="215"/>
      <c r="S61" s="215"/>
      <c r="T61" s="216"/>
      <c r="U61" s="215"/>
      <c r="W61" s="212">
        <v>0.16500000000000001</v>
      </c>
      <c r="X61" s="157"/>
      <c r="Y61" s="157"/>
      <c r="Z61" s="157"/>
      <c r="AA61" s="157"/>
      <c r="AB61" s="157"/>
      <c r="AI61" s="157"/>
      <c r="AJ61" s="157"/>
      <c r="AK61" s="157"/>
      <c r="AL61" s="157"/>
      <c r="AM61" s="157"/>
    </row>
    <row r="62" spans="2:39" s="158" customFormat="1" ht="28.7" customHeight="1">
      <c r="B62" s="361" t="s">
        <v>296</v>
      </c>
      <c r="C62" s="217" t="str">
        <f t="shared" si="5"/>
        <v>OM4-DE-IS-0003-010</v>
      </c>
      <c r="D62" s="216" t="s">
        <v>377</v>
      </c>
      <c r="E62" s="94" t="s">
        <v>165</v>
      </c>
      <c r="F62" s="322" t="s">
        <v>222</v>
      </c>
      <c r="G62" s="289" t="s">
        <v>212</v>
      </c>
      <c r="H62" s="215"/>
      <c r="I62" s="255">
        <v>20</v>
      </c>
      <c r="J62" s="79" t="s">
        <v>147</v>
      </c>
      <c r="K62" s="215"/>
      <c r="L62" s="256"/>
      <c r="M62" s="256"/>
      <c r="N62" s="256"/>
      <c r="O62" s="257"/>
      <c r="P62" s="258">
        <f t="shared" si="4"/>
        <v>9.8000000000000007</v>
      </c>
      <c r="Q62" s="258"/>
      <c r="R62" s="215"/>
      <c r="S62" s="215"/>
      <c r="T62" s="216"/>
      <c r="U62" s="215"/>
      <c r="W62" s="212">
        <v>0.49</v>
      </c>
      <c r="X62" s="157"/>
      <c r="Y62" s="157"/>
      <c r="Z62" s="157"/>
      <c r="AA62" s="157"/>
      <c r="AB62" s="157"/>
      <c r="AI62" s="157"/>
      <c r="AJ62" s="157"/>
      <c r="AK62" s="157"/>
      <c r="AL62" s="157"/>
      <c r="AM62" s="157"/>
    </row>
    <row r="63" spans="2:39" s="158" customFormat="1" ht="28.7" customHeight="1">
      <c r="B63" s="361" t="s">
        <v>297</v>
      </c>
      <c r="C63" s="217" t="str">
        <f t="shared" si="5"/>
        <v>OM4-DE-IS-0003-010</v>
      </c>
      <c r="D63" s="216" t="s">
        <v>377</v>
      </c>
      <c r="E63" s="94" t="s">
        <v>166</v>
      </c>
      <c r="F63" s="322" t="s">
        <v>222</v>
      </c>
      <c r="G63" s="289" t="s">
        <v>212</v>
      </c>
      <c r="H63" s="215"/>
      <c r="I63" s="255">
        <v>30</v>
      </c>
      <c r="J63" s="79" t="s">
        <v>147</v>
      </c>
      <c r="K63" s="215"/>
      <c r="L63" s="256"/>
      <c r="M63" s="256"/>
      <c r="N63" s="256"/>
      <c r="O63" s="257"/>
      <c r="P63" s="258">
        <f t="shared" si="4"/>
        <v>18.75</v>
      </c>
      <c r="Q63" s="258"/>
      <c r="R63" s="215"/>
      <c r="S63" s="215"/>
      <c r="T63" s="216"/>
      <c r="U63" s="215"/>
      <c r="W63" s="212">
        <v>0.625</v>
      </c>
      <c r="X63" s="157"/>
      <c r="Y63" s="157"/>
      <c r="Z63" s="157"/>
      <c r="AA63" s="157"/>
      <c r="AB63" s="157"/>
      <c r="AI63" s="157"/>
      <c r="AJ63" s="157"/>
      <c r="AK63" s="157"/>
      <c r="AL63" s="157"/>
      <c r="AM63" s="157"/>
    </row>
    <row r="64" spans="2:39" s="158" customFormat="1" ht="28.7" customHeight="1">
      <c r="B64" s="361" t="s">
        <v>298</v>
      </c>
      <c r="C64" s="217" t="str">
        <f t="shared" si="5"/>
        <v>OM4-DE-IS-0003-010</v>
      </c>
      <c r="D64" s="216" t="s">
        <v>377</v>
      </c>
      <c r="E64" s="94" t="s">
        <v>159</v>
      </c>
      <c r="F64" s="322" t="s">
        <v>222</v>
      </c>
      <c r="G64" s="289" t="s">
        <v>212</v>
      </c>
      <c r="H64" s="215"/>
      <c r="I64" s="255">
        <v>30</v>
      </c>
      <c r="J64" s="79" t="s">
        <v>147</v>
      </c>
      <c r="K64" s="215"/>
      <c r="L64" s="256"/>
      <c r="M64" s="256"/>
      <c r="N64" s="256"/>
      <c r="O64" s="257"/>
      <c r="P64" s="258">
        <f t="shared" si="4"/>
        <v>24</v>
      </c>
      <c r="Q64" s="258"/>
      <c r="R64" s="215"/>
      <c r="S64" s="215"/>
      <c r="T64" s="216"/>
      <c r="U64" s="215"/>
      <c r="W64" s="212">
        <v>0.8</v>
      </c>
      <c r="X64" s="157"/>
      <c r="Y64" s="157"/>
      <c r="Z64" s="157"/>
      <c r="AA64" s="157"/>
      <c r="AB64" s="157"/>
      <c r="AI64" s="157"/>
      <c r="AJ64" s="157"/>
      <c r="AK64" s="157"/>
      <c r="AL64" s="157"/>
      <c r="AM64" s="157"/>
    </row>
    <row r="65" spans="2:39" s="158" customFormat="1" ht="28.7" customHeight="1">
      <c r="B65" s="387" t="s">
        <v>92</v>
      </c>
      <c r="C65" s="388"/>
      <c r="D65" s="388"/>
      <c r="E65" s="388"/>
      <c r="F65" s="388"/>
      <c r="G65" s="388"/>
      <c r="H65" s="389"/>
      <c r="I65" s="259">
        <f>SUM(I38:I64)</f>
        <v>1640</v>
      </c>
      <c r="J65" s="260"/>
      <c r="K65" s="261" t="s">
        <v>168</v>
      </c>
      <c r="L65" s="262">
        <v>420</v>
      </c>
      <c r="M65" s="262">
        <v>220</v>
      </c>
      <c r="N65" s="262">
        <v>120</v>
      </c>
      <c r="O65" s="263">
        <f>(L65*M65*N65)/10^6</f>
        <v>11.087999999999999</v>
      </c>
      <c r="P65" s="264">
        <f>SUM(P38:P64)</f>
        <v>710.5</v>
      </c>
      <c r="Q65" s="264">
        <f>P65+300</f>
        <v>1010.5</v>
      </c>
      <c r="R65" s="261" t="s">
        <v>150</v>
      </c>
      <c r="S65" s="261" t="s">
        <v>151</v>
      </c>
      <c r="T65" s="265"/>
      <c r="U65" s="261" t="s">
        <v>220</v>
      </c>
      <c r="W65" s="212"/>
      <c r="X65" s="157"/>
      <c r="Y65" s="157"/>
      <c r="Z65" s="157"/>
      <c r="AA65" s="157"/>
      <c r="AB65" s="157"/>
      <c r="AI65" s="157"/>
      <c r="AJ65" s="157"/>
      <c r="AK65" s="157"/>
      <c r="AL65" s="157"/>
      <c r="AM65" s="157"/>
    </row>
    <row r="66" spans="2:39" s="158" customFormat="1" ht="28.7" customHeight="1">
      <c r="B66" s="361" t="s">
        <v>303</v>
      </c>
      <c r="C66" s="217" t="s">
        <v>172</v>
      </c>
      <c r="D66" s="216" t="s">
        <v>399</v>
      </c>
      <c r="E66" s="94" t="s">
        <v>144</v>
      </c>
      <c r="F66" s="322" t="s">
        <v>222</v>
      </c>
      <c r="G66" s="289" t="s">
        <v>212</v>
      </c>
      <c r="H66" s="215"/>
      <c r="I66" s="255">
        <v>1000</v>
      </c>
      <c r="J66" s="79" t="s">
        <v>147</v>
      </c>
      <c r="K66" s="215"/>
      <c r="L66" s="256"/>
      <c r="M66" s="256"/>
      <c r="N66" s="256"/>
      <c r="O66" s="257"/>
      <c r="P66" s="258">
        <f t="shared" ref="P66" si="6">W66*I66</f>
        <v>1000</v>
      </c>
      <c r="Q66" s="258"/>
      <c r="R66" s="215"/>
      <c r="S66" s="215"/>
      <c r="T66" s="216"/>
      <c r="U66" s="215"/>
      <c r="W66" s="212">
        <v>1</v>
      </c>
      <c r="X66" s="157"/>
      <c r="Y66" s="157"/>
      <c r="Z66" s="157"/>
      <c r="AA66" s="157"/>
      <c r="AB66" s="157"/>
      <c r="AI66" s="157"/>
      <c r="AJ66" s="157"/>
      <c r="AK66" s="157"/>
      <c r="AL66" s="157"/>
      <c r="AM66" s="157"/>
    </row>
    <row r="67" spans="2:39" s="158" customFormat="1" ht="28.7" customHeight="1">
      <c r="B67" s="361" t="s">
        <v>299</v>
      </c>
      <c r="C67" s="217" t="str">
        <f>C66</f>
        <v>OM4-DE-IS-0003-011</v>
      </c>
      <c r="D67" s="216" t="s">
        <v>377</v>
      </c>
      <c r="E67" s="94" t="s">
        <v>144</v>
      </c>
      <c r="F67" s="322" t="s">
        <v>222</v>
      </c>
      <c r="G67" s="289" t="s">
        <v>212</v>
      </c>
      <c r="H67" s="215"/>
      <c r="I67" s="255">
        <v>300</v>
      </c>
      <c r="J67" s="79" t="s">
        <v>147</v>
      </c>
      <c r="K67" s="215"/>
      <c r="L67" s="256"/>
      <c r="M67" s="256"/>
      <c r="N67" s="256"/>
      <c r="O67" s="257"/>
      <c r="P67" s="258">
        <f t="shared" si="0"/>
        <v>300</v>
      </c>
      <c r="Q67" s="258"/>
      <c r="R67" s="215"/>
      <c r="S67" s="215"/>
      <c r="T67" s="216"/>
      <c r="U67" s="215"/>
      <c r="W67" s="212">
        <v>1</v>
      </c>
      <c r="X67" s="157"/>
      <c r="Y67" s="157"/>
      <c r="Z67" s="157"/>
      <c r="AA67" s="157"/>
      <c r="AB67" s="157"/>
      <c r="AI67" s="157"/>
      <c r="AJ67" s="157"/>
      <c r="AK67" s="157"/>
      <c r="AL67" s="157"/>
      <c r="AM67" s="157"/>
    </row>
    <row r="68" spans="2:39" s="158" customFormat="1" ht="28.7" customHeight="1">
      <c r="B68" s="387" t="s">
        <v>92</v>
      </c>
      <c r="C68" s="388"/>
      <c r="D68" s="388"/>
      <c r="E68" s="388"/>
      <c r="F68" s="388"/>
      <c r="G68" s="388"/>
      <c r="H68" s="389"/>
      <c r="I68" s="259">
        <f>SUM(I66:I67)</f>
        <v>1300</v>
      </c>
      <c r="J68" s="260"/>
      <c r="K68" s="261" t="s">
        <v>168</v>
      </c>
      <c r="L68" s="262">
        <v>420</v>
      </c>
      <c r="M68" s="262">
        <v>220</v>
      </c>
      <c r="N68" s="262">
        <v>170</v>
      </c>
      <c r="O68" s="263">
        <f>(L68*M68*N68)/10^6</f>
        <v>15.708</v>
      </c>
      <c r="P68" s="264">
        <f>SUM(P66:P67)</f>
        <v>1300</v>
      </c>
      <c r="Q68" s="264">
        <f>P68+300</f>
        <v>1600</v>
      </c>
      <c r="R68" s="261" t="s">
        <v>150</v>
      </c>
      <c r="S68" s="261" t="s">
        <v>151</v>
      </c>
      <c r="T68" s="265"/>
      <c r="U68" s="261" t="s">
        <v>220</v>
      </c>
      <c r="W68" s="212"/>
      <c r="X68" s="157"/>
      <c r="Y68" s="157"/>
      <c r="Z68" s="157"/>
      <c r="AA68" s="157"/>
      <c r="AB68" s="157"/>
      <c r="AI68" s="157"/>
      <c r="AJ68" s="157"/>
      <c r="AK68" s="157"/>
      <c r="AL68" s="157"/>
      <c r="AM68" s="157"/>
    </row>
    <row r="69" spans="2:39" s="158" customFormat="1" ht="28.7" customHeight="1">
      <c r="B69" s="361" t="s">
        <v>300</v>
      </c>
      <c r="C69" s="217" t="s">
        <v>173</v>
      </c>
      <c r="D69" s="216" t="s">
        <v>167</v>
      </c>
      <c r="E69" s="94" t="s">
        <v>378</v>
      </c>
      <c r="F69" s="322" t="s">
        <v>222</v>
      </c>
      <c r="G69" s="289" t="s">
        <v>212</v>
      </c>
      <c r="H69" s="215"/>
      <c r="I69" s="255">
        <v>3000</v>
      </c>
      <c r="J69" s="79" t="s">
        <v>147</v>
      </c>
      <c r="K69" s="215"/>
      <c r="L69" s="256"/>
      <c r="M69" s="256"/>
      <c r="N69" s="256"/>
      <c r="O69" s="257"/>
      <c r="P69" s="258">
        <f t="shared" ref="P69" si="7">W69*I69</f>
        <v>1050</v>
      </c>
      <c r="Q69" s="258"/>
      <c r="R69" s="215"/>
      <c r="S69" s="215"/>
      <c r="T69" s="216"/>
      <c r="U69" s="215"/>
      <c r="W69" s="212">
        <v>0.35</v>
      </c>
      <c r="X69" s="157"/>
      <c r="Y69" s="157"/>
      <c r="Z69" s="157"/>
      <c r="AA69" s="157"/>
      <c r="AB69" s="157"/>
      <c r="AI69" s="157"/>
      <c r="AJ69" s="157"/>
      <c r="AK69" s="157"/>
      <c r="AL69" s="157"/>
      <c r="AM69" s="157"/>
    </row>
    <row r="70" spans="2:39" s="158" customFormat="1" ht="28.7" customHeight="1">
      <c r="B70" s="217">
        <v>45</v>
      </c>
      <c r="C70" s="217" t="str">
        <f>C69</f>
        <v>OM4-DE-IS-0003-012</v>
      </c>
      <c r="D70" s="216" t="s">
        <v>174</v>
      </c>
      <c r="E70" s="94" t="s">
        <v>144</v>
      </c>
      <c r="F70" s="322" t="s">
        <v>222</v>
      </c>
      <c r="G70" s="289" t="s">
        <v>212</v>
      </c>
      <c r="H70" s="215"/>
      <c r="I70" s="255">
        <v>800</v>
      </c>
      <c r="J70" s="79" t="s">
        <v>147</v>
      </c>
      <c r="K70" s="215"/>
      <c r="L70" s="256"/>
      <c r="M70" s="256"/>
      <c r="N70" s="256"/>
      <c r="O70" s="257"/>
      <c r="P70" s="258">
        <f t="shared" si="0"/>
        <v>800</v>
      </c>
      <c r="Q70" s="258"/>
      <c r="R70" s="215"/>
      <c r="S70" s="215"/>
      <c r="T70" s="216"/>
      <c r="U70" s="215"/>
      <c r="W70" s="212">
        <v>1</v>
      </c>
      <c r="X70" s="157"/>
      <c r="Y70" s="157"/>
      <c r="Z70" s="157"/>
      <c r="AA70" s="157"/>
      <c r="AB70" s="157"/>
      <c r="AI70" s="157"/>
      <c r="AJ70" s="157"/>
      <c r="AK70" s="157"/>
      <c r="AL70" s="157"/>
      <c r="AM70" s="157"/>
    </row>
    <row r="71" spans="2:39" s="158" customFormat="1" ht="28.7" customHeight="1">
      <c r="B71" s="217">
        <v>46</v>
      </c>
      <c r="C71" s="217" t="str">
        <f t="shared" ref="C71" si="8">C70</f>
        <v>OM4-DE-IS-0003-012</v>
      </c>
      <c r="D71" s="216" t="s">
        <v>175</v>
      </c>
      <c r="E71" s="94" t="s">
        <v>176</v>
      </c>
      <c r="F71" s="322" t="s">
        <v>222</v>
      </c>
      <c r="G71" s="289" t="s">
        <v>212</v>
      </c>
      <c r="H71" s="215"/>
      <c r="I71" s="255">
        <v>5</v>
      </c>
      <c r="J71" s="79" t="s">
        <v>147</v>
      </c>
      <c r="K71" s="215"/>
      <c r="L71" s="256"/>
      <c r="M71" s="256"/>
      <c r="N71" s="256"/>
      <c r="O71" s="257"/>
      <c r="P71" s="258">
        <f t="shared" si="0"/>
        <v>10</v>
      </c>
      <c r="Q71" s="258"/>
      <c r="R71" s="215"/>
      <c r="S71" s="215"/>
      <c r="T71" s="216"/>
      <c r="U71" s="215"/>
      <c r="W71" s="212">
        <v>2</v>
      </c>
      <c r="X71" s="157"/>
      <c r="Y71" s="157"/>
      <c r="Z71" s="157"/>
      <c r="AA71" s="157"/>
      <c r="AB71" s="157"/>
      <c r="AI71" s="157"/>
      <c r="AJ71" s="157"/>
      <c r="AK71" s="157"/>
      <c r="AL71" s="157"/>
      <c r="AM71" s="157"/>
    </row>
    <row r="72" spans="2:39" s="158" customFormat="1" ht="28.7" customHeight="1">
      <c r="B72" s="387" t="s">
        <v>92</v>
      </c>
      <c r="C72" s="388"/>
      <c r="D72" s="388"/>
      <c r="E72" s="388"/>
      <c r="F72" s="388"/>
      <c r="G72" s="388"/>
      <c r="H72" s="389"/>
      <c r="I72" s="259">
        <f>SUM(I69:I71)</f>
        <v>3805</v>
      </c>
      <c r="J72" s="260"/>
      <c r="K72" s="261" t="s">
        <v>168</v>
      </c>
      <c r="L72" s="262">
        <v>420</v>
      </c>
      <c r="M72" s="262">
        <v>220</v>
      </c>
      <c r="N72" s="262">
        <v>200</v>
      </c>
      <c r="O72" s="263">
        <f>(L72*M72*N72)/10^6</f>
        <v>18.48</v>
      </c>
      <c r="P72" s="264">
        <f>SUM(P69:P71)</f>
        <v>1860</v>
      </c>
      <c r="Q72" s="264">
        <f>P72+300</f>
        <v>2160</v>
      </c>
      <c r="R72" s="261" t="s">
        <v>150</v>
      </c>
      <c r="S72" s="261" t="s">
        <v>151</v>
      </c>
      <c r="T72" s="265"/>
      <c r="U72" s="261" t="s">
        <v>220</v>
      </c>
      <c r="W72" s="212"/>
      <c r="X72" s="157"/>
      <c r="Y72" s="157"/>
      <c r="Z72" s="157"/>
      <c r="AA72" s="157"/>
      <c r="AB72" s="157"/>
      <c r="AI72" s="157"/>
      <c r="AJ72" s="157"/>
      <c r="AK72" s="157"/>
      <c r="AL72" s="157"/>
      <c r="AM72" s="157"/>
    </row>
    <row r="73" spans="2:39" s="158" customFormat="1" ht="28.7" customHeight="1">
      <c r="B73" s="217">
        <v>47</v>
      </c>
      <c r="C73" s="217" t="s">
        <v>181</v>
      </c>
      <c r="D73" s="216" t="s">
        <v>379</v>
      </c>
      <c r="E73" s="94" t="s">
        <v>177</v>
      </c>
      <c r="F73" s="322" t="s">
        <v>222</v>
      </c>
      <c r="G73" s="289" t="s">
        <v>212</v>
      </c>
      <c r="H73" s="215"/>
      <c r="I73" s="255">
        <v>50</v>
      </c>
      <c r="J73" s="79" t="s">
        <v>147</v>
      </c>
      <c r="K73" s="215"/>
      <c r="L73" s="256"/>
      <c r="M73" s="256"/>
      <c r="N73" s="256"/>
      <c r="O73" s="257"/>
      <c r="P73" s="258">
        <f t="shared" si="0"/>
        <v>68</v>
      </c>
      <c r="Q73" s="258"/>
      <c r="R73" s="215"/>
      <c r="S73" s="215"/>
      <c r="T73" s="216"/>
      <c r="U73" s="215"/>
      <c r="W73" s="212">
        <f>0.34*4</f>
        <v>1.36</v>
      </c>
      <c r="X73" s="157"/>
      <c r="Y73" s="157"/>
      <c r="Z73" s="157"/>
      <c r="AA73" s="157"/>
      <c r="AB73" s="157"/>
      <c r="AI73" s="157"/>
      <c r="AJ73" s="157"/>
      <c r="AK73" s="157"/>
      <c r="AL73" s="157"/>
      <c r="AM73" s="157"/>
    </row>
    <row r="74" spans="2:39" s="158" customFormat="1" ht="28.7" customHeight="1">
      <c r="B74" s="217">
        <v>48</v>
      </c>
      <c r="C74" s="217" t="str">
        <f>C73</f>
        <v>OM4-DE-IS-0003-013</v>
      </c>
      <c r="D74" s="216" t="s">
        <v>379</v>
      </c>
      <c r="E74" s="94" t="s">
        <v>161</v>
      </c>
      <c r="F74" s="322" t="s">
        <v>222</v>
      </c>
      <c r="G74" s="289" t="s">
        <v>212</v>
      </c>
      <c r="H74" s="215"/>
      <c r="I74" s="255">
        <v>25</v>
      </c>
      <c r="J74" s="79" t="s">
        <v>147</v>
      </c>
      <c r="K74" s="215"/>
      <c r="L74" s="256"/>
      <c r="M74" s="256"/>
      <c r="N74" s="256"/>
      <c r="O74" s="257"/>
      <c r="P74" s="258">
        <f t="shared" si="0"/>
        <v>49</v>
      </c>
      <c r="Q74" s="258"/>
      <c r="R74" s="215"/>
      <c r="S74" s="215"/>
      <c r="T74" s="216"/>
      <c r="U74" s="215"/>
      <c r="W74" s="212">
        <f>0.49*4</f>
        <v>1.96</v>
      </c>
      <c r="X74" s="157"/>
      <c r="Y74" s="157"/>
      <c r="Z74" s="157"/>
      <c r="AA74" s="157"/>
      <c r="AB74" s="157"/>
      <c r="AI74" s="157"/>
      <c r="AJ74" s="157"/>
      <c r="AK74" s="157"/>
      <c r="AL74" s="157"/>
      <c r="AM74" s="157"/>
    </row>
    <row r="75" spans="2:39" s="158" customFormat="1" ht="28.7" customHeight="1">
      <c r="B75" s="217">
        <v>49</v>
      </c>
      <c r="C75" s="217" t="str">
        <f t="shared" ref="C75:C79" si="9">C74</f>
        <v>OM4-DE-IS-0003-013</v>
      </c>
      <c r="D75" s="216" t="s">
        <v>379</v>
      </c>
      <c r="E75" s="94" t="s">
        <v>162</v>
      </c>
      <c r="F75" s="322" t="s">
        <v>222</v>
      </c>
      <c r="G75" s="289" t="s">
        <v>212</v>
      </c>
      <c r="H75" s="215"/>
      <c r="I75" s="255">
        <v>50</v>
      </c>
      <c r="J75" s="79" t="s">
        <v>147</v>
      </c>
      <c r="K75" s="215"/>
      <c r="L75" s="256"/>
      <c r="M75" s="256"/>
      <c r="N75" s="256"/>
      <c r="O75" s="257"/>
      <c r="P75" s="258">
        <f t="shared" si="0"/>
        <v>132</v>
      </c>
      <c r="Q75" s="258"/>
      <c r="R75" s="215"/>
      <c r="S75" s="215"/>
      <c r="T75" s="216"/>
      <c r="U75" s="215"/>
      <c r="W75" s="212">
        <f>0.66*4</f>
        <v>2.64</v>
      </c>
      <c r="X75" s="157"/>
      <c r="Y75" s="157"/>
      <c r="Z75" s="157"/>
      <c r="AA75" s="157"/>
      <c r="AB75" s="157"/>
      <c r="AI75" s="157"/>
      <c r="AJ75" s="157"/>
      <c r="AK75" s="157"/>
      <c r="AL75" s="157"/>
      <c r="AM75" s="157"/>
    </row>
    <row r="76" spans="2:39" s="158" customFormat="1" ht="28.7" customHeight="1">
      <c r="B76" s="217">
        <v>50</v>
      </c>
      <c r="C76" s="217" t="str">
        <f t="shared" si="9"/>
        <v>OM4-DE-IS-0003-013</v>
      </c>
      <c r="D76" s="216" t="s">
        <v>379</v>
      </c>
      <c r="E76" s="94" t="s">
        <v>163</v>
      </c>
      <c r="F76" s="322" t="s">
        <v>222</v>
      </c>
      <c r="G76" s="289" t="s">
        <v>212</v>
      </c>
      <c r="H76" s="215"/>
      <c r="I76" s="255">
        <v>13</v>
      </c>
      <c r="J76" s="79" t="s">
        <v>147</v>
      </c>
      <c r="K76" s="215"/>
      <c r="L76" s="256"/>
      <c r="M76" s="256"/>
      <c r="N76" s="256"/>
      <c r="O76" s="257"/>
      <c r="P76" s="258">
        <f t="shared" si="0"/>
        <v>41.08</v>
      </c>
      <c r="Q76" s="258"/>
      <c r="R76" s="215"/>
      <c r="S76" s="215"/>
      <c r="T76" s="216"/>
      <c r="U76" s="215"/>
      <c r="W76" s="212">
        <f>0.79*4</f>
        <v>3.16</v>
      </c>
      <c r="X76" s="157"/>
      <c r="Y76" s="157"/>
      <c r="Z76" s="157"/>
      <c r="AA76" s="157"/>
      <c r="AB76" s="157"/>
      <c r="AI76" s="157"/>
      <c r="AJ76" s="157"/>
      <c r="AK76" s="157"/>
      <c r="AL76" s="157"/>
      <c r="AM76" s="157"/>
    </row>
    <row r="77" spans="2:39" s="158" customFormat="1" ht="28.7" customHeight="1">
      <c r="B77" s="217">
        <v>51</v>
      </c>
      <c r="C77" s="217" t="str">
        <f t="shared" si="9"/>
        <v>OM4-DE-IS-0003-013</v>
      </c>
      <c r="D77" s="216" t="s">
        <v>379</v>
      </c>
      <c r="E77" s="94" t="s">
        <v>164</v>
      </c>
      <c r="F77" s="322" t="s">
        <v>222</v>
      </c>
      <c r="G77" s="289" t="s">
        <v>212</v>
      </c>
      <c r="H77" s="215"/>
      <c r="I77" s="255">
        <v>75</v>
      </c>
      <c r="J77" s="79" t="s">
        <v>147</v>
      </c>
      <c r="K77" s="215"/>
      <c r="L77" s="256"/>
      <c r="M77" s="256"/>
      <c r="N77" s="256"/>
      <c r="O77" s="257"/>
      <c r="P77" s="258">
        <f t="shared" si="0"/>
        <v>318</v>
      </c>
      <c r="Q77" s="258"/>
      <c r="R77" s="215"/>
      <c r="S77" s="215"/>
      <c r="T77" s="216"/>
      <c r="U77" s="215"/>
      <c r="W77" s="212">
        <f>1.06*4</f>
        <v>4.24</v>
      </c>
      <c r="X77" s="157"/>
      <c r="Y77" s="157"/>
      <c r="Z77" s="157"/>
      <c r="AA77" s="157"/>
      <c r="AB77" s="157"/>
      <c r="AI77" s="157"/>
      <c r="AJ77" s="157"/>
      <c r="AK77" s="157"/>
      <c r="AL77" s="157"/>
      <c r="AM77" s="157"/>
    </row>
    <row r="78" spans="2:39" s="158" customFormat="1" ht="28.7" customHeight="1">
      <c r="B78" s="217">
        <v>52</v>
      </c>
      <c r="C78" s="217" t="str">
        <f t="shared" si="9"/>
        <v>OM4-DE-IS-0003-013</v>
      </c>
      <c r="D78" s="216" t="s">
        <v>379</v>
      </c>
      <c r="E78" s="94" t="s">
        <v>165</v>
      </c>
      <c r="F78" s="322" t="s">
        <v>222</v>
      </c>
      <c r="G78" s="289" t="s">
        <v>212</v>
      </c>
      <c r="H78" s="215"/>
      <c r="I78" s="255">
        <v>25</v>
      </c>
      <c r="J78" s="79" t="s">
        <v>147</v>
      </c>
      <c r="K78" s="215"/>
      <c r="L78" s="256"/>
      <c r="M78" s="256"/>
      <c r="N78" s="256"/>
      <c r="O78" s="257"/>
      <c r="P78" s="258">
        <f t="shared" si="0"/>
        <v>218.00000000000003</v>
      </c>
      <c r="Q78" s="258"/>
      <c r="R78" s="215"/>
      <c r="S78" s="215"/>
      <c r="T78" s="216"/>
      <c r="U78" s="215"/>
      <c r="W78" s="212">
        <f>2.18*4</f>
        <v>8.7200000000000006</v>
      </c>
      <c r="X78" s="157"/>
      <c r="Y78" s="157"/>
      <c r="Z78" s="157"/>
      <c r="AA78" s="157"/>
      <c r="AB78" s="157"/>
      <c r="AI78" s="157"/>
      <c r="AJ78" s="157"/>
      <c r="AK78" s="157"/>
      <c r="AL78" s="157"/>
      <c r="AM78" s="157"/>
    </row>
    <row r="79" spans="2:39" s="158" customFormat="1" ht="28.7" customHeight="1">
      <c r="B79" s="217">
        <v>53</v>
      </c>
      <c r="C79" s="217" t="str">
        <f t="shared" si="9"/>
        <v>OM4-DE-IS-0003-013</v>
      </c>
      <c r="D79" s="216" t="s">
        <v>379</v>
      </c>
      <c r="E79" s="94" t="s">
        <v>178</v>
      </c>
      <c r="F79" s="322" t="s">
        <v>222</v>
      </c>
      <c r="G79" s="289" t="s">
        <v>212</v>
      </c>
      <c r="H79" s="215"/>
      <c r="I79" s="255">
        <v>13</v>
      </c>
      <c r="J79" s="79" t="s">
        <v>147</v>
      </c>
      <c r="K79" s="215"/>
      <c r="L79" s="256"/>
      <c r="M79" s="256"/>
      <c r="N79" s="256"/>
      <c r="O79" s="257"/>
      <c r="P79" s="258">
        <f t="shared" si="0"/>
        <v>161.20000000000002</v>
      </c>
      <c r="Q79" s="258"/>
      <c r="R79" s="215"/>
      <c r="S79" s="215"/>
      <c r="T79" s="216"/>
      <c r="U79" s="215"/>
      <c r="W79" s="212">
        <f>3.1*4</f>
        <v>12.4</v>
      </c>
      <c r="X79" s="157"/>
      <c r="Y79" s="157"/>
      <c r="Z79" s="157"/>
      <c r="AA79" s="157"/>
      <c r="AB79" s="157"/>
      <c r="AI79" s="157"/>
      <c r="AJ79" s="157"/>
      <c r="AK79" s="157"/>
      <c r="AL79" s="157"/>
      <c r="AM79" s="157"/>
    </row>
    <row r="80" spans="2:39" s="158" customFormat="1" ht="28.7" customHeight="1">
      <c r="B80" s="390" t="s">
        <v>92</v>
      </c>
      <c r="C80" s="391"/>
      <c r="D80" s="391"/>
      <c r="E80" s="391"/>
      <c r="F80" s="391"/>
      <c r="G80" s="391"/>
      <c r="H80" s="392"/>
      <c r="I80" s="266">
        <f>SUM(I73:I79)</f>
        <v>251</v>
      </c>
      <c r="J80" s="267"/>
      <c r="K80" s="268" t="s">
        <v>149</v>
      </c>
      <c r="L80" s="269">
        <v>420</v>
      </c>
      <c r="M80" s="269">
        <v>220</v>
      </c>
      <c r="N80" s="269">
        <v>80</v>
      </c>
      <c r="O80" s="270">
        <f>(L80*M80*N80)/10^6</f>
        <v>7.3920000000000003</v>
      </c>
      <c r="P80" s="271">
        <f>SUM(P73:P79)</f>
        <v>987.28</v>
      </c>
      <c r="Q80" s="271">
        <f>P80+200</f>
        <v>1187.28</v>
      </c>
      <c r="R80" s="268" t="s">
        <v>150</v>
      </c>
      <c r="S80" s="268" t="s">
        <v>151</v>
      </c>
      <c r="T80" s="272"/>
      <c r="U80" s="268" t="s">
        <v>220</v>
      </c>
      <c r="W80" s="212"/>
      <c r="X80" s="157"/>
      <c r="Y80" s="157"/>
      <c r="Z80" s="157"/>
      <c r="AA80" s="157"/>
      <c r="AB80" s="157"/>
      <c r="AI80" s="157"/>
      <c r="AJ80" s="157"/>
      <c r="AK80" s="157"/>
      <c r="AL80" s="157"/>
      <c r="AM80" s="157"/>
    </row>
    <row r="81" spans="2:39" s="158" customFormat="1" ht="28.7" customHeight="1">
      <c r="B81" s="217">
        <v>54</v>
      </c>
      <c r="C81" s="217" t="s">
        <v>182</v>
      </c>
      <c r="D81" s="216" t="s">
        <v>376</v>
      </c>
      <c r="E81" s="94" t="s">
        <v>177</v>
      </c>
      <c r="F81" s="322" t="s">
        <v>222</v>
      </c>
      <c r="G81" s="289" t="s">
        <v>212</v>
      </c>
      <c r="H81" s="215"/>
      <c r="I81" s="255">
        <v>100</v>
      </c>
      <c r="J81" s="79" t="s">
        <v>147</v>
      </c>
      <c r="K81" s="215"/>
      <c r="L81" s="256"/>
      <c r="M81" s="256"/>
      <c r="N81" s="256"/>
      <c r="O81" s="257"/>
      <c r="P81" s="258">
        <f t="shared" si="0"/>
        <v>34</v>
      </c>
      <c r="Q81" s="258"/>
      <c r="R81" s="215"/>
      <c r="S81" s="215"/>
      <c r="T81" s="216"/>
      <c r="U81" s="215"/>
      <c r="W81" s="212">
        <v>0.34</v>
      </c>
      <c r="X81" s="157"/>
      <c r="Y81" s="157"/>
      <c r="Z81" s="157"/>
      <c r="AA81" s="157"/>
      <c r="AB81" s="157"/>
      <c r="AI81" s="157"/>
      <c r="AJ81" s="157"/>
      <c r="AK81" s="157"/>
      <c r="AL81" s="157"/>
      <c r="AM81" s="157"/>
    </row>
    <row r="82" spans="2:39" s="158" customFormat="1" ht="28.7" customHeight="1">
      <c r="B82" s="217">
        <v>55</v>
      </c>
      <c r="C82" s="217" t="str">
        <f>C81</f>
        <v>OM4-DE-IS-0003-014</v>
      </c>
      <c r="D82" s="216" t="s">
        <v>376</v>
      </c>
      <c r="E82" s="94" t="s">
        <v>161</v>
      </c>
      <c r="F82" s="322" t="s">
        <v>222</v>
      </c>
      <c r="G82" s="289" t="s">
        <v>212</v>
      </c>
      <c r="H82" s="215"/>
      <c r="I82" s="255">
        <v>50</v>
      </c>
      <c r="J82" s="79" t="s">
        <v>147</v>
      </c>
      <c r="K82" s="215"/>
      <c r="L82" s="256"/>
      <c r="M82" s="256"/>
      <c r="N82" s="256"/>
      <c r="O82" s="257"/>
      <c r="P82" s="258">
        <f t="shared" si="0"/>
        <v>24.5</v>
      </c>
      <c r="Q82" s="258"/>
      <c r="R82" s="215"/>
      <c r="S82" s="215"/>
      <c r="T82" s="216"/>
      <c r="U82" s="215"/>
      <c r="W82" s="212">
        <v>0.49</v>
      </c>
      <c r="X82" s="157"/>
      <c r="Y82" s="157"/>
      <c r="Z82" s="157"/>
      <c r="AA82" s="157"/>
      <c r="AB82" s="157"/>
      <c r="AI82" s="157"/>
      <c r="AJ82" s="157"/>
      <c r="AK82" s="157"/>
      <c r="AL82" s="157"/>
      <c r="AM82" s="157"/>
    </row>
    <row r="83" spans="2:39" s="158" customFormat="1" ht="28.7" customHeight="1">
      <c r="B83" s="217">
        <v>56</v>
      </c>
      <c r="C83" s="217" t="str">
        <f t="shared" ref="C83:C116" si="10">C82</f>
        <v>OM4-DE-IS-0003-014</v>
      </c>
      <c r="D83" s="216" t="s">
        <v>376</v>
      </c>
      <c r="E83" s="94" t="s">
        <v>162</v>
      </c>
      <c r="F83" s="322" t="s">
        <v>222</v>
      </c>
      <c r="G83" s="289" t="s">
        <v>212</v>
      </c>
      <c r="H83" s="215"/>
      <c r="I83" s="255">
        <v>100</v>
      </c>
      <c r="J83" s="79" t="s">
        <v>147</v>
      </c>
      <c r="K83" s="215"/>
      <c r="L83" s="256"/>
      <c r="M83" s="256"/>
      <c r="N83" s="256"/>
      <c r="O83" s="257"/>
      <c r="P83" s="258">
        <f t="shared" si="0"/>
        <v>66</v>
      </c>
      <c r="Q83" s="258"/>
      <c r="R83" s="215"/>
      <c r="S83" s="215"/>
      <c r="T83" s="216"/>
      <c r="U83" s="215"/>
      <c r="W83" s="212">
        <v>0.66</v>
      </c>
      <c r="X83" s="157"/>
      <c r="Y83" s="157"/>
      <c r="Z83" s="157"/>
      <c r="AA83" s="157"/>
      <c r="AB83" s="157"/>
      <c r="AI83" s="157"/>
      <c r="AJ83" s="157"/>
      <c r="AK83" s="157"/>
      <c r="AL83" s="157"/>
      <c r="AM83" s="157"/>
    </row>
    <row r="84" spans="2:39" s="158" customFormat="1" ht="28.7" customHeight="1">
      <c r="B84" s="217">
        <v>57</v>
      </c>
      <c r="C84" s="217" t="str">
        <f t="shared" si="10"/>
        <v>OM4-DE-IS-0003-014</v>
      </c>
      <c r="D84" s="216" t="s">
        <v>376</v>
      </c>
      <c r="E84" s="94" t="s">
        <v>163</v>
      </c>
      <c r="F84" s="322" t="s">
        <v>222</v>
      </c>
      <c r="G84" s="289" t="s">
        <v>212</v>
      </c>
      <c r="H84" s="215"/>
      <c r="I84" s="255">
        <v>25</v>
      </c>
      <c r="J84" s="79" t="s">
        <v>147</v>
      </c>
      <c r="K84" s="215"/>
      <c r="L84" s="256"/>
      <c r="M84" s="256"/>
      <c r="N84" s="256"/>
      <c r="O84" s="257"/>
      <c r="P84" s="258">
        <f t="shared" si="0"/>
        <v>19.75</v>
      </c>
      <c r="Q84" s="258"/>
      <c r="R84" s="215"/>
      <c r="S84" s="215"/>
      <c r="T84" s="216"/>
      <c r="U84" s="215"/>
      <c r="W84" s="212">
        <v>0.79</v>
      </c>
      <c r="X84" s="157"/>
      <c r="Y84" s="157"/>
      <c r="Z84" s="157"/>
      <c r="AA84" s="157"/>
      <c r="AB84" s="157"/>
      <c r="AI84" s="157"/>
      <c r="AJ84" s="157"/>
      <c r="AK84" s="157"/>
      <c r="AL84" s="157"/>
      <c r="AM84" s="157"/>
    </row>
    <row r="85" spans="2:39" s="158" customFormat="1" ht="28.7" customHeight="1">
      <c r="B85" s="217">
        <v>58</v>
      </c>
      <c r="C85" s="217" t="str">
        <f t="shared" si="10"/>
        <v>OM4-DE-IS-0003-014</v>
      </c>
      <c r="D85" s="216" t="s">
        <v>376</v>
      </c>
      <c r="E85" s="94" t="s">
        <v>164</v>
      </c>
      <c r="F85" s="322" t="s">
        <v>222</v>
      </c>
      <c r="G85" s="289" t="s">
        <v>212</v>
      </c>
      <c r="H85" s="215"/>
      <c r="I85" s="255">
        <v>150</v>
      </c>
      <c r="J85" s="79" t="s">
        <v>147</v>
      </c>
      <c r="K85" s="215"/>
      <c r="L85" s="256"/>
      <c r="M85" s="256"/>
      <c r="N85" s="256"/>
      <c r="O85" s="257"/>
      <c r="P85" s="258">
        <f t="shared" si="0"/>
        <v>159</v>
      </c>
      <c r="Q85" s="258"/>
      <c r="R85" s="215"/>
      <c r="S85" s="215"/>
      <c r="T85" s="216"/>
      <c r="U85" s="215"/>
      <c r="W85" s="212">
        <v>1.06</v>
      </c>
      <c r="X85" s="157"/>
      <c r="Y85" s="157"/>
      <c r="Z85" s="157"/>
      <c r="AA85" s="157"/>
      <c r="AB85" s="157"/>
      <c r="AI85" s="157"/>
      <c r="AJ85" s="157"/>
      <c r="AK85" s="157"/>
      <c r="AL85" s="157"/>
      <c r="AM85" s="157"/>
    </row>
    <row r="86" spans="2:39" s="158" customFormat="1" ht="28.7" customHeight="1">
      <c r="B86" s="217">
        <v>59</v>
      </c>
      <c r="C86" s="217" t="str">
        <f t="shared" si="10"/>
        <v>OM4-DE-IS-0003-014</v>
      </c>
      <c r="D86" s="216" t="s">
        <v>376</v>
      </c>
      <c r="E86" s="94" t="s">
        <v>165</v>
      </c>
      <c r="F86" s="322" t="s">
        <v>222</v>
      </c>
      <c r="G86" s="289" t="s">
        <v>212</v>
      </c>
      <c r="H86" s="215"/>
      <c r="I86" s="255">
        <v>50</v>
      </c>
      <c r="J86" s="79" t="s">
        <v>147</v>
      </c>
      <c r="K86" s="215"/>
      <c r="L86" s="256"/>
      <c r="M86" s="256"/>
      <c r="N86" s="256"/>
      <c r="O86" s="257"/>
      <c r="P86" s="258">
        <f t="shared" si="0"/>
        <v>109.00000000000001</v>
      </c>
      <c r="Q86" s="258"/>
      <c r="R86" s="215"/>
      <c r="S86" s="215"/>
      <c r="T86" s="216"/>
      <c r="U86" s="215"/>
      <c r="W86" s="212">
        <v>2.1800000000000002</v>
      </c>
      <c r="X86" s="157"/>
      <c r="Y86" s="157"/>
      <c r="Z86" s="157"/>
      <c r="AA86" s="157"/>
      <c r="AB86" s="157"/>
      <c r="AI86" s="157"/>
      <c r="AJ86" s="157"/>
      <c r="AK86" s="157"/>
      <c r="AL86" s="157"/>
      <c r="AM86" s="157"/>
    </row>
    <row r="87" spans="2:39" s="158" customFormat="1" ht="28.7" customHeight="1">
      <c r="B87" s="217">
        <v>60</v>
      </c>
      <c r="C87" s="217" t="str">
        <f t="shared" si="10"/>
        <v>OM4-DE-IS-0003-014</v>
      </c>
      <c r="D87" s="216" t="s">
        <v>376</v>
      </c>
      <c r="E87" s="94" t="s">
        <v>178</v>
      </c>
      <c r="F87" s="322" t="s">
        <v>222</v>
      </c>
      <c r="G87" s="289" t="s">
        <v>212</v>
      </c>
      <c r="H87" s="215"/>
      <c r="I87" s="255">
        <v>25</v>
      </c>
      <c r="J87" s="79" t="s">
        <v>147</v>
      </c>
      <c r="K87" s="215"/>
      <c r="L87" s="256"/>
      <c r="M87" s="256"/>
      <c r="N87" s="256"/>
      <c r="O87" s="257"/>
      <c r="P87" s="258">
        <f t="shared" si="0"/>
        <v>77.5</v>
      </c>
      <c r="Q87" s="258"/>
      <c r="R87" s="215"/>
      <c r="S87" s="215"/>
      <c r="T87" s="216"/>
      <c r="U87" s="215"/>
      <c r="W87" s="212">
        <v>3.1</v>
      </c>
      <c r="X87" s="157"/>
      <c r="Y87" s="157"/>
      <c r="Z87" s="157"/>
      <c r="AA87" s="157"/>
      <c r="AB87" s="157"/>
      <c r="AI87" s="157"/>
      <c r="AJ87" s="157"/>
      <c r="AK87" s="157"/>
      <c r="AL87" s="157"/>
      <c r="AM87" s="157"/>
    </row>
    <row r="88" spans="2:39" s="158" customFormat="1" ht="28.7" customHeight="1">
      <c r="B88" s="217">
        <v>61</v>
      </c>
      <c r="C88" s="217" t="str">
        <f t="shared" si="10"/>
        <v>OM4-DE-IS-0003-014</v>
      </c>
      <c r="D88" s="216" t="s">
        <v>399</v>
      </c>
      <c r="E88" s="94" t="s">
        <v>177</v>
      </c>
      <c r="F88" s="322" t="s">
        <v>222</v>
      </c>
      <c r="G88" s="289" t="s">
        <v>212</v>
      </c>
      <c r="H88" s="215"/>
      <c r="I88" s="255">
        <v>50</v>
      </c>
      <c r="J88" s="79" t="s">
        <v>147</v>
      </c>
      <c r="K88" s="215"/>
      <c r="L88" s="256"/>
      <c r="M88" s="256"/>
      <c r="N88" s="256"/>
      <c r="O88" s="257"/>
      <c r="P88" s="258">
        <f t="shared" si="0"/>
        <v>1.7500000000000002</v>
      </c>
      <c r="Q88" s="258"/>
      <c r="R88" s="215"/>
      <c r="S88" s="215"/>
      <c r="T88" s="216"/>
      <c r="U88" s="215"/>
      <c r="W88" s="212">
        <v>3.5000000000000003E-2</v>
      </c>
      <c r="X88" s="157"/>
      <c r="Y88" s="157"/>
      <c r="Z88" s="157"/>
      <c r="AA88" s="157"/>
      <c r="AB88" s="157"/>
      <c r="AI88" s="157"/>
      <c r="AJ88" s="157"/>
      <c r="AK88" s="157"/>
      <c r="AL88" s="157"/>
      <c r="AM88" s="157"/>
    </row>
    <row r="89" spans="2:39" s="158" customFormat="1" ht="28.7" customHeight="1">
      <c r="B89" s="217">
        <v>62</v>
      </c>
      <c r="C89" s="217" t="str">
        <f t="shared" si="10"/>
        <v>OM4-DE-IS-0003-014</v>
      </c>
      <c r="D89" s="216" t="s">
        <v>399</v>
      </c>
      <c r="E89" s="94" t="s">
        <v>161</v>
      </c>
      <c r="F89" s="322" t="s">
        <v>222</v>
      </c>
      <c r="G89" s="289" t="s">
        <v>212</v>
      </c>
      <c r="H89" s="215"/>
      <c r="I89" s="255">
        <v>25</v>
      </c>
      <c r="J89" s="79" t="s">
        <v>147</v>
      </c>
      <c r="K89" s="215"/>
      <c r="L89" s="256"/>
      <c r="M89" s="256"/>
      <c r="N89" s="256"/>
      <c r="O89" s="257"/>
      <c r="P89" s="258">
        <f t="shared" si="0"/>
        <v>1.5</v>
      </c>
      <c r="Q89" s="258"/>
      <c r="R89" s="215"/>
      <c r="S89" s="215"/>
      <c r="T89" s="216"/>
      <c r="U89" s="215"/>
      <c r="W89" s="212">
        <v>0.06</v>
      </c>
      <c r="X89" s="157"/>
      <c r="Y89" s="157"/>
      <c r="Z89" s="157"/>
      <c r="AA89" s="157"/>
      <c r="AB89" s="157"/>
      <c r="AI89" s="157"/>
      <c r="AJ89" s="157"/>
      <c r="AK89" s="157"/>
      <c r="AL89" s="157"/>
      <c r="AM89" s="157"/>
    </row>
    <row r="90" spans="2:39" s="158" customFormat="1" ht="28.7" customHeight="1">
      <c r="B90" s="217">
        <v>63</v>
      </c>
      <c r="C90" s="217" t="str">
        <f t="shared" si="10"/>
        <v>OM4-DE-IS-0003-014</v>
      </c>
      <c r="D90" s="216" t="s">
        <v>399</v>
      </c>
      <c r="E90" s="94" t="s">
        <v>162</v>
      </c>
      <c r="F90" s="322" t="s">
        <v>222</v>
      </c>
      <c r="G90" s="289" t="s">
        <v>212</v>
      </c>
      <c r="H90" s="215"/>
      <c r="I90" s="255">
        <v>50</v>
      </c>
      <c r="J90" s="79" t="s">
        <v>147</v>
      </c>
      <c r="K90" s="215"/>
      <c r="L90" s="256"/>
      <c r="M90" s="256"/>
      <c r="N90" s="256"/>
      <c r="O90" s="257"/>
      <c r="P90" s="258">
        <f t="shared" si="0"/>
        <v>4.75</v>
      </c>
      <c r="Q90" s="258"/>
      <c r="R90" s="215"/>
      <c r="S90" s="215"/>
      <c r="T90" s="216"/>
      <c r="U90" s="215"/>
      <c r="W90" s="212">
        <v>9.5000000000000001E-2</v>
      </c>
      <c r="X90" s="157"/>
      <c r="Y90" s="157"/>
      <c r="Z90" s="157"/>
      <c r="AA90" s="157"/>
      <c r="AB90" s="157"/>
      <c r="AI90" s="157"/>
      <c r="AJ90" s="157"/>
      <c r="AK90" s="157"/>
      <c r="AL90" s="157"/>
      <c r="AM90" s="157"/>
    </row>
    <row r="91" spans="2:39" s="158" customFormat="1" ht="28.7" customHeight="1">
      <c r="B91" s="217">
        <v>64</v>
      </c>
      <c r="C91" s="217" t="str">
        <f t="shared" si="10"/>
        <v>OM4-DE-IS-0003-014</v>
      </c>
      <c r="D91" s="216" t="s">
        <v>399</v>
      </c>
      <c r="E91" s="94" t="s">
        <v>163</v>
      </c>
      <c r="F91" s="322" t="s">
        <v>222</v>
      </c>
      <c r="G91" s="289" t="s">
        <v>212</v>
      </c>
      <c r="H91" s="215"/>
      <c r="I91" s="255">
        <v>13</v>
      </c>
      <c r="J91" s="79" t="s">
        <v>147</v>
      </c>
      <c r="K91" s="215"/>
      <c r="L91" s="256"/>
      <c r="M91" s="256"/>
      <c r="N91" s="256"/>
      <c r="O91" s="257"/>
      <c r="P91" s="258">
        <f t="shared" si="0"/>
        <v>1.43</v>
      </c>
      <c r="Q91" s="258"/>
      <c r="R91" s="215"/>
      <c r="S91" s="215"/>
      <c r="T91" s="216"/>
      <c r="U91" s="215"/>
      <c r="W91" s="212">
        <v>0.11</v>
      </c>
      <c r="X91" s="157"/>
      <c r="Y91" s="157"/>
      <c r="Z91" s="157"/>
      <c r="AA91" s="157"/>
      <c r="AB91" s="157"/>
      <c r="AI91" s="157"/>
      <c r="AJ91" s="157"/>
      <c r="AK91" s="157"/>
      <c r="AL91" s="157"/>
      <c r="AM91" s="157"/>
    </row>
    <row r="92" spans="2:39" s="158" customFormat="1" ht="28.7" customHeight="1">
      <c r="B92" s="217">
        <v>65</v>
      </c>
      <c r="C92" s="217" t="str">
        <f t="shared" si="10"/>
        <v>OM4-DE-IS-0003-014</v>
      </c>
      <c r="D92" s="216" t="s">
        <v>399</v>
      </c>
      <c r="E92" s="94" t="s">
        <v>164</v>
      </c>
      <c r="F92" s="322" t="s">
        <v>222</v>
      </c>
      <c r="G92" s="289" t="s">
        <v>212</v>
      </c>
      <c r="H92" s="215"/>
      <c r="I92" s="255">
        <v>75</v>
      </c>
      <c r="J92" s="79" t="s">
        <v>147</v>
      </c>
      <c r="K92" s="215"/>
      <c r="L92" s="256"/>
      <c r="M92" s="256"/>
      <c r="N92" s="256"/>
      <c r="O92" s="257"/>
      <c r="P92" s="258">
        <f t="shared" si="0"/>
        <v>12.375</v>
      </c>
      <c r="Q92" s="258"/>
      <c r="R92" s="215"/>
      <c r="S92" s="215"/>
      <c r="T92" s="216"/>
      <c r="U92" s="215"/>
      <c r="W92" s="212">
        <v>0.16500000000000001</v>
      </c>
      <c r="X92" s="157"/>
      <c r="Y92" s="157"/>
      <c r="Z92" s="157"/>
      <c r="AA92" s="157"/>
      <c r="AB92" s="157"/>
      <c r="AI92" s="157"/>
      <c r="AJ92" s="157"/>
      <c r="AK92" s="157"/>
      <c r="AL92" s="157"/>
      <c r="AM92" s="157"/>
    </row>
    <row r="93" spans="2:39" s="158" customFormat="1" ht="28.7" customHeight="1">
      <c r="B93" s="217">
        <v>66</v>
      </c>
      <c r="C93" s="217" t="str">
        <f t="shared" si="10"/>
        <v>OM4-DE-IS-0003-014</v>
      </c>
      <c r="D93" s="216" t="s">
        <v>399</v>
      </c>
      <c r="E93" s="94" t="s">
        <v>165</v>
      </c>
      <c r="F93" s="322" t="s">
        <v>222</v>
      </c>
      <c r="G93" s="289" t="s">
        <v>212</v>
      </c>
      <c r="H93" s="215"/>
      <c r="I93" s="255">
        <v>25</v>
      </c>
      <c r="J93" s="79" t="s">
        <v>147</v>
      </c>
      <c r="K93" s="215"/>
      <c r="L93" s="256"/>
      <c r="M93" s="256"/>
      <c r="N93" s="256"/>
      <c r="O93" s="257"/>
      <c r="P93" s="258">
        <f t="shared" si="0"/>
        <v>12.25</v>
      </c>
      <c r="Q93" s="258"/>
      <c r="R93" s="215"/>
      <c r="S93" s="215"/>
      <c r="T93" s="216"/>
      <c r="U93" s="215"/>
      <c r="W93" s="212">
        <v>0.49</v>
      </c>
      <c r="X93" s="157"/>
      <c r="Y93" s="157"/>
      <c r="Z93" s="157"/>
      <c r="AA93" s="157"/>
      <c r="AB93" s="157"/>
      <c r="AI93" s="157"/>
      <c r="AJ93" s="157"/>
      <c r="AK93" s="157"/>
      <c r="AL93" s="157"/>
      <c r="AM93" s="157"/>
    </row>
    <row r="94" spans="2:39" s="158" customFormat="1" ht="28.7" customHeight="1">
      <c r="B94" s="217">
        <v>67</v>
      </c>
      <c r="C94" s="217" t="str">
        <f t="shared" si="10"/>
        <v>OM4-DE-IS-0003-014</v>
      </c>
      <c r="D94" s="216" t="s">
        <v>399</v>
      </c>
      <c r="E94" s="94" t="s">
        <v>178</v>
      </c>
      <c r="F94" s="322" t="s">
        <v>222</v>
      </c>
      <c r="G94" s="289" t="s">
        <v>212</v>
      </c>
      <c r="H94" s="215"/>
      <c r="I94" s="255">
        <v>13</v>
      </c>
      <c r="J94" s="79" t="s">
        <v>147</v>
      </c>
      <c r="K94" s="215"/>
      <c r="L94" s="256"/>
      <c r="M94" s="256"/>
      <c r="N94" s="256"/>
      <c r="O94" s="257"/>
      <c r="P94" s="258">
        <f t="shared" si="0"/>
        <v>8.125</v>
      </c>
      <c r="Q94" s="258"/>
      <c r="R94" s="215"/>
      <c r="S94" s="215"/>
      <c r="T94" s="216"/>
      <c r="U94" s="215"/>
      <c r="W94" s="212">
        <v>0.625</v>
      </c>
      <c r="X94" s="157"/>
      <c r="Y94" s="157"/>
      <c r="Z94" s="157"/>
      <c r="AA94" s="157"/>
      <c r="AB94" s="157"/>
      <c r="AI94" s="157"/>
      <c r="AJ94" s="157"/>
      <c r="AK94" s="157"/>
      <c r="AL94" s="157"/>
      <c r="AM94" s="157"/>
    </row>
    <row r="95" spans="2:39" s="158" customFormat="1" ht="28.7" customHeight="1">
      <c r="B95" s="217">
        <v>68</v>
      </c>
      <c r="C95" s="217" t="str">
        <f t="shared" si="10"/>
        <v>OM4-DE-IS-0003-014</v>
      </c>
      <c r="D95" s="216" t="s">
        <v>377</v>
      </c>
      <c r="E95" s="94" t="s">
        <v>177</v>
      </c>
      <c r="F95" s="322" t="s">
        <v>222</v>
      </c>
      <c r="G95" s="289" t="s">
        <v>212</v>
      </c>
      <c r="H95" s="215"/>
      <c r="I95" s="255">
        <v>60</v>
      </c>
      <c r="J95" s="79" t="s">
        <v>147</v>
      </c>
      <c r="K95" s="215"/>
      <c r="L95" s="256"/>
      <c r="M95" s="256"/>
      <c r="N95" s="256"/>
      <c r="O95" s="257"/>
      <c r="P95" s="258">
        <f t="shared" si="0"/>
        <v>2.1</v>
      </c>
      <c r="Q95" s="258"/>
      <c r="R95" s="215"/>
      <c r="S95" s="215"/>
      <c r="T95" s="216"/>
      <c r="U95" s="215"/>
      <c r="W95" s="212">
        <v>3.5000000000000003E-2</v>
      </c>
      <c r="X95" s="157"/>
      <c r="Y95" s="157"/>
      <c r="Z95" s="157"/>
      <c r="AA95" s="157"/>
      <c r="AB95" s="157"/>
      <c r="AI95" s="157"/>
      <c r="AJ95" s="157"/>
      <c r="AK95" s="157"/>
      <c r="AL95" s="157"/>
      <c r="AM95" s="157"/>
    </row>
    <row r="96" spans="2:39" s="158" customFormat="1" ht="28.7" customHeight="1">
      <c r="B96" s="217">
        <v>69</v>
      </c>
      <c r="C96" s="217" t="str">
        <f t="shared" si="10"/>
        <v>OM4-DE-IS-0003-014</v>
      </c>
      <c r="D96" s="216" t="s">
        <v>377</v>
      </c>
      <c r="E96" s="94" t="s">
        <v>161</v>
      </c>
      <c r="F96" s="322" t="s">
        <v>222</v>
      </c>
      <c r="G96" s="289" t="s">
        <v>212</v>
      </c>
      <c r="H96" s="215"/>
      <c r="I96" s="255">
        <v>30</v>
      </c>
      <c r="J96" s="79" t="s">
        <v>147</v>
      </c>
      <c r="K96" s="215"/>
      <c r="L96" s="256"/>
      <c r="M96" s="256"/>
      <c r="N96" s="256"/>
      <c r="O96" s="257"/>
      <c r="P96" s="258">
        <f t="shared" ref="P96:P116" si="11">W96*I96</f>
        <v>1.7999999999999998</v>
      </c>
      <c r="Q96" s="258"/>
      <c r="R96" s="215"/>
      <c r="S96" s="215"/>
      <c r="T96" s="216"/>
      <c r="U96" s="215"/>
      <c r="W96" s="212">
        <v>0.06</v>
      </c>
      <c r="X96" s="157"/>
      <c r="Y96" s="157"/>
      <c r="Z96" s="157"/>
      <c r="AA96" s="157"/>
      <c r="AB96" s="157"/>
      <c r="AI96" s="157"/>
      <c r="AJ96" s="157"/>
      <c r="AK96" s="157"/>
      <c r="AL96" s="157"/>
      <c r="AM96" s="157"/>
    </row>
    <row r="97" spans="2:39" s="158" customFormat="1" ht="28.7" customHeight="1">
      <c r="B97" s="217">
        <v>70</v>
      </c>
      <c r="C97" s="217" t="str">
        <f t="shared" si="10"/>
        <v>OM4-DE-IS-0003-014</v>
      </c>
      <c r="D97" s="216" t="s">
        <v>377</v>
      </c>
      <c r="E97" s="94" t="s">
        <v>162</v>
      </c>
      <c r="F97" s="322" t="s">
        <v>222</v>
      </c>
      <c r="G97" s="289" t="s">
        <v>212</v>
      </c>
      <c r="H97" s="215"/>
      <c r="I97" s="255">
        <v>60</v>
      </c>
      <c r="J97" s="79" t="s">
        <v>147</v>
      </c>
      <c r="K97" s="215"/>
      <c r="L97" s="256"/>
      <c r="M97" s="256"/>
      <c r="N97" s="256"/>
      <c r="O97" s="257"/>
      <c r="P97" s="258">
        <f t="shared" si="11"/>
        <v>5.7</v>
      </c>
      <c r="Q97" s="258"/>
      <c r="R97" s="215"/>
      <c r="S97" s="215"/>
      <c r="T97" s="216"/>
      <c r="U97" s="215"/>
      <c r="W97" s="212">
        <v>9.5000000000000001E-2</v>
      </c>
      <c r="X97" s="157"/>
      <c r="Y97" s="157"/>
      <c r="Z97" s="157"/>
      <c r="AA97" s="157"/>
      <c r="AB97" s="157"/>
      <c r="AI97" s="157"/>
      <c r="AJ97" s="157"/>
      <c r="AK97" s="157"/>
      <c r="AL97" s="157"/>
      <c r="AM97" s="157"/>
    </row>
    <row r="98" spans="2:39" s="158" customFormat="1" ht="28.7" customHeight="1">
      <c r="B98" s="217">
        <v>71</v>
      </c>
      <c r="C98" s="217" t="str">
        <f t="shared" si="10"/>
        <v>OM4-DE-IS-0003-014</v>
      </c>
      <c r="D98" s="216" t="s">
        <v>377</v>
      </c>
      <c r="E98" s="94" t="s">
        <v>163</v>
      </c>
      <c r="F98" s="322" t="s">
        <v>222</v>
      </c>
      <c r="G98" s="289" t="s">
        <v>212</v>
      </c>
      <c r="H98" s="215"/>
      <c r="I98" s="255">
        <v>15</v>
      </c>
      <c r="J98" s="79" t="s">
        <v>147</v>
      </c>
      <c r="K98" s="215"/>
      <c r="L98" s="256"/>
      <c r="M98" s="256"/>
      <c r="N98" s="256"/>
      <c r="O98" s="257"/>
      <c r="P98" s="258">
        <f t="shared" si="11"/>
        <v>1.65</v>
      </c>
      <c r="Q98" s="258"/>
      <c r="R98" s="215"/>
      <c r="S98" s="215"/>
      <c r="T98" s="216"/>
      <c r="U98" s="215"/>
      <c r="W98" s="212">
        <v>0.11</v>
      </c>
      <c r="X98" s="157"/>
      <c r="Y98" s="157"/>
      <c r="Z98" s="157"/>
      <c r="AA98" s="157"/>
      <c r="AB98" s="157"/>
      <c r="AI98" s="157"/>
      <c r="AJ98" s="157"/>
      <c r="AK98" s="157"/>
      <c r="AL98" s="157"/>
      <c r="AM98" s="157"/>
    </row>
    <row r="99" spans="2:39" s="158" customFormat="1" ht="28.7" customHeight="1">
      <c r="B99" s="217">
        <v>72</v>
      </c>
      <c r="C99" s="217" t="str">
        <f t="shared" si="10"/>
        <v>OM4-DE-IS-0003-014</v>
      </c>
      <c r="D99" s="216" t="s">
        <v>377</v>
      </c>
      <c r="E99" s="94" t="s">
        <v>164</v>
      </c>
      <c r="F99" s="322" t="s">
        <v>222</v>
      </c>
      <c r="G99" s="289" t="s">
        <v>212</v>
      </c>
      <c r="H99" s="215"/>
      <c r="I99" s="255">
        <v>90</v>
      </c>
      <c r="J99" s="79" t="s">
        <v>147</v>
      </c>
      <c r="K99" s="215"/>
      <c r="L99" s="256"/>
      <c r="M99" s="256"/>
      <c r="N99" s="256"/>
      <c r="O99" s="257"/>
      <c r="P99" s="258">
        <f t="shared" si="11"/>
        <v>14.850000000000001</v>
      </c>
      <c r="Q99" s="258"/>
      <c r="R99" s="215"/>
      <c r="S99" s="215"/>
      <c r="T99" s="216"/>
      <c r="U99" s="215"/>
      <c r="W99" s="212">
        <v>0.16500000000000001</v>
      </c>
      <c r="X99" s="157"/>
      <c r="Y99" s="157"/>
      <c r="Z99" s="157"/>
      <c r="AA99" s="157"/>
      <c r="AB99" s="157"/>
      <c r="AI99" s="157"/>
      <c r="AJ99" s="157"/>
      <c r="AK99" s="157"/>
      <c r="AL99" s="157"/>
      <c r="AM99" s="157"/>
    </row>
    <row r="100" spans="2:39" s="158" customFormat="1" ht="28.7" customHeight="1">
      <c r="B100" s="217">
        <v>73</v>
      </c>
      <c r="C100" s="217" t="str">
        <f t="shared" si="10"/>
        <v>OM4-DE-IS-0003-014</v>
      </c>
      <c r="D100" s="216" t="s">
        <v>377</v>
      </c>
      <c r="E100" s="94" t="s">
        <v>165</v>
      </c>
      <c r="F100" s="322" t="s">
        <v>222</v>
      </c>
      <c r="G100" s="289" t="s">
        <v>212</v>
      </c>
      <c r="H100" s="215"/>
      <c r="I100" s="255">
        <v>30</v>
      </c>
      <c r="J100" s="79" t="s">
        <v>147</v>
      </c>
      <c r="K100" s="215"/>
      <c r="L100" s="256"/>
      <c r="M100" s="256"/>
      <c r="N100" s="256"/>
      <c r="O100" s="257"/>
      <c r="P100" s="258">
        <f t="shared" si="11"/>
        <v>14.7</v>
      </c>
      <c r="Q100" s="258"/>
      <c r="R100" s="215"/>
      <c r="S100" s="215"/>
      <c r="T100" s="216"/>
      <c r="U100" s="215"/>
      <c r="W100" s="212">
        <v>0.49</v>
      </c>
      <c r="X100" s="157"/>
      <c r="Y100" s="157"/>
      <c r="Z100" s="157"/>
      <c r="AA100" s="157"/>
      <c r="AB100" s="157"/>
      <c r="AI100" s="157"/>
      <c r="AJ100" s="157"/>
      <c r="AK100" s="157"/>
      <c r="AL100" s="157"/>
      <c r="AM100" s="157"/>
    </row>
    <row r="101" spans="2:39" s="158" customFormat="1" ht="28.7" customHeight="1">
      <c r="B101" s="217">
        <v>74</v>
      </c>
      <c r="C101" s="217" t="str">
        <f t="shared" si="10"/>
        <v>OM4-DE-IS-0003-014</v>
      </c>
      <c r="D101" s="216" t="s">
        <v>377</v>
      </c>
      <c r="E101" s="94" t="s">
        <v>178</v>
      </c>
      <c r="F101" s="322" t="s">
        <v>222</v>
      </c>
      <c r="G101" s="289" t="s">
        <v>212</v>
      </c>
      <c r="H101" s="215"/>
      <c r="I101" s="255">
        <v>15</v>
      </c>
      <c r="J101" s="79" t="s">
        <v>147</v>
      </c>
      <c r="K101" s="215"/>
      <c r="L101" s="256"/>
      <c r="M101" s="256"/>
      <c r="N101" s="256"/>
      <c r="O101" s="257"/>
      <c r="P101" s="258">
        <f t="shared" si="11"/>
        <v>9.375</v>
      </c>
      <c r="Q101" s="258"/>
      <c r="R101" s="215"/>
      <c r="S101" s="215"/>
      <c r="T101" s="216"/>
      <c r="U101" s="215"/>
      <c r="W101" s="212">
        <v>0.625</v>
      </c>
      <c r="X101" s="157"/>
      <c r="Y101" s="157"/>
      <c r="Z101" s="157"/>
      <c r="AA101" s="157"/>
      <c r="AB101" s="157"/>
      <c r="AI101" s="157"/>
      <c r="AJ101" s="157"/>
      <c r="AK101" s="157"/>
      <c r="AL101" s="157"/>
      <c r="AM101" s="157"/>
    </row>
    <row r="102" spans="2:39" s="158" customFormat="1" ht="28.7" customHeight="1">
      <c r="B102" s="217">
        <v>75</v>
      </c>
      <c r="C102" s="217" t="str">
        <f t="shared" si="10"/>
        <v>OM4-DE-IS-0003-014</v>
      </c>
      <c r="D102" s="216" t="s">
        <v>179</v>
      </c>
      <c r="E102" s="94" t="s">
        <v>177</v>
      </c>
      <c r="F102" s="322" t="s">
        <v>222</v>
      </c>
      <c r="G102" s="289" t="s">
        <v>212</v>
      </c>
      <c r="H102" s="215"/>
      <c r="I102" s="255">
        <v>10</v>
      </c>
      <c r="J102" s="79" t="s">
        <v>147</v>
      </c>
      <c r="K102" s="215"/>
      <c r="L102" s="256"/>
      <c r="M102" s="256"/>
      <c r="N102" s="256"/>
      <c r="O102" s="257"/>
      <c r="P102" s="258">
        <f t="shared" si="11"/>
        <v>0.35000000000000003</v>
      </c>
      <c r="Q102" s="258"/>
      <c r="R102" s="215"/>
      <c r="S102" s="215"/>
      <c r="T102" s="216"/>
      <c r="U102" s="215"/>
      <c r="W102" s="212">
        <v>3.5000000000000003E-2</v>
      </c>
      <c r="X102" s="157"/>
      <c r="Y102" s="157"/>
      <c r="Z102" s="157"/>
      <c r="AA102" s="157"/>
      <c r="AB102" s="157"/>
      <c r="AI102" s="157"/>
      <c r="AJ102" s="157"/>
      <c r="AK102" s="157"/>
      <c r="AL102" s="157"/>
      <c r="AM102" s="157"/>
    </row>
    <row r="103" spans="2:39" s="158" customFormat="1" ht="28.7" customHeight="1">
      <c r="B103" s="217">
        <v>76</v>
      </c>
      <c r="C103" s="217" t="str">
        <f t="shared" si="10"/>
        <v>OM4-DE-IS-0003-014</v>
      </c>
      <c r="D103" s="216" t="s">
        <v>179</v>
      </c>
      <c r="E103" s="94" t="s">
        <v>161</v>
      </c>
      <c r="F103" s="322" t="s">
        <v>222</v>
      </c>
      <c r="G103" s="289" t="s">
        <v>212</v>
      </c>
      <c r="H103" s="215"/>
      <c r="I103" s="255">
        <v>10</v>
      </c>
      <c r="J103" s="79" t="s">
        <v>147</v>
      </c>
      <c r="K103" s="215"/>
      <c r="L103" s="256"/>
      <c r="M103" s="256"/>
      <c r="N103" s="256"/>
      <c r="O103" s="257"/>
      <c r="P103" s="258">
        <f t="shared" si="11"/>
        <v>0.6</v>
      </c>
      <c r="Q103" s="258"/>
      <c r="R103" s="215"/>
      <c r="S103" s="215"/>
      <c r="T103" s="216"/>
      <c r="U103" s="215"/>
      <c r="W103" s="212">
        <v>0.06</v>
      </c>
      <c r="X103" s="157"/>
      <c r="Y103" s="157"/>
      <c r="Z103" s="157"/>
      <c r="AA103" s="157"/>
      <c r="AB103" s="157"/>
      <c r="AI103" s="157"/>
      <c r="AJ103" s="157"/>
      <c r="AK103" s="157"/>
      <c r="AL103" s="157"/>
      <c r="AM103" s="157"/>
    </row>
    <row r="104" spans="2:39" s="158" customFormat="1" ht="28.7" customHeight="1">
      <c r="B104" s="217">
        <v>77</v>
      </c>
      <c r="C104" s="217" t="str">
        <f t="shared" si="10"/>
        <v>OM4-DE-IS-0003-014</v>
      </c>
      <c r="D104" s="216" t="s">
        <v>179</v>
      </c>
      <c r="E104" s="94" t="s">
        <v>162</v>
      </c>
      <c r="F104" s="322" t="s">
        <v>222</v>
      </c>
      <c r="G104" s="289" t="s">
        <v>212</v>
      </c>
      <c r="H104" s="215"/>
      <c r="I104" s="255">
        <v>10</v>
      </c>
      <c r="J104" s="79" t="s">
        <v>147</v>
      </c>
      <c r="K104" s="215"/>
      <c r="L104" s="256"/>
      <c r="M104" s="256"/>
      <c r="N104" s="256"/>
      <c r="O104" s="257"/>
      <c r="P104" s="258">
        <f t="shared" si="11"/>
        <v>0.95</v>
      </c>
      <c r="Q104" s="258"/>
      <c r="R104" s="215"/>
      <c r="S104" s="215"/>
      <c r="T104" s="216"/>
      <c r="U104" s="215"/>
      <c r="W104" s="212">
        <v>9.5000000000000001E-2</v>
      </c>
      <c r="X104" s="157"/>
      <c r="Y104" s="157"/>
      <c r="Z104" s="157"/>
      <c r="AA104" s="157"/>
      <c r="AB104" s="157"/>
      <c r="AI104" s="157"/>
      <c r="AJ104" s="157"/>
      <c r="AK104" s="157"/>
      <c r="AL104" s="157"/>
      <c r="AM104" s="157"/>
    </row>
    <row r="105" spans="2:39" s="158" customFormat="1" ht="28.7" customHeight="1">
      <c r="B105" s="217">
        <v>78</v>
      </c>
      <c r="C105" s="217" t="str">
        <f t="shared" si="10"/>
        <v>OM4-DE-IS-0003-014</v>
      </c>
      <c r="D105" s="216" t="s">
        <v>179</v>
      </c>
      <c r="E105" s="94" t="s">
        <v>163</v>
      </c>
      <c r="F105" s="322" t="s">
        <v>222</v>
      </c>
      <c r="G105" s="289" t="s">
        <v>212</v>
      </c>
      <c r="H105" s="215"/>
      <c r="I105" s="255">
        <v>5</v>
      </c>
      <c r="J105" s="79" t="s">
        <v>147</v>
      </c>
      <c r="K105" s="215"/>
      <c r="L105" s="256"/>
      <c r="M105" s="256"/>
      <c r="N105" s="256"/>
      <c r="O105" s="257"/>
      <c r="P105" s="258">
        <f t="shared" si="11"/>
        <v>0.55000000000000004</v>
      </c>
      <c r="Q105" s="258"/>
      <c r="R105" s="215"/>
      <c r="S105" s="215"/>
      <c r="T105" s="216"/>
      <c r="U105" s="215"/>
      <c r="W105" s="212">
        <v>0.11</v>
      </c>
      <c r="X105" s="157"/>
      <c r="Y105" s="157"/>
      <c r="Z105" s="157"/>
      <c r="AA105" s="157"/>
      <c r="AB105" s="157"/>
      <c r="AI105" s="157"/>
      <c r="AJ105" s="157"/>
      <c r="AK105" s="157"/>
      <c r="AL105" s="157"/>
      <c r="AM105" s="157"/>
    </row>
    <row r="106" spans="2:39" s="158" customFormat="1" ht="28.7" customHeight="1">
      <c r="B106" s="217">
        <v>79</v>
      </c>
      <c r="C106" s="217" t="str">
        <f t="shared" si="10"/>
        <v>OM4-DE-IS-0003-014</v>
      </c>
      <c r="D106" s="216" t="s">
        <v>179</v>
      </c>
      <c r="E106" s="94" t="s">
        <v>164</v>
      </c>
      <c r="F106" s="322" t="s">
        <v>222</v>
      </c>
      <c r="G106" s="289" t="s">
        <v>212</v>
      </c>
      <c r="H106" s="215"/>
      <c r="I106" s="255">
        <v>10</v>
      </c>
      <c r="J106" s="79" t="s">
        <v>147</v>
      </c>
      <c r="K106" s="215"/>
      <c r="L106" s="256"/>
      <c r="M106" s="256"/>
      <c r="N106" s="256"/>
      <c r="O106" s="257"/>
      <c r="P106" s="258">
        <f t="shared" si="11"/>
        <v>1.6500000000000001</v>
      </c>
      <c r="Q106" s="258"/>
      <c r="R106" s="215"/>
      <c r="S106" s="215"/>
      <c r="T106" s="216"/>
      <c r="U106" s="215"/>
      <c r="W106" s="212">
        <v>0.16500000000000001</v>
      </c>
      <c r="X106" s="157"/>
      <c r="Y106" s="157"/>
      <c r="Z106" s="157"/>
      <c r="AA106" s="157"/>
      <c r="AB106" s="157"/>
      <c r="AI106" s="157"/>
      <c r="AJ106" s="157"/>
      <c r="AK106" s="157"/>
      <c r="AL106" s="157"/>
      <c r="AM106" s="157"/>
    </row>
    <row r="107" spans="2:39" s="158" customFormat="1" ht="28.7" customHeight="1">
      <c r="B107" s="217">
        <v>80</v>
      </c>
      <c r="C107" s="217" t="str">
        <f t="shared" si="10"/>
        <v>OM4-DE-IS-0003-014</v>
      </c>
      <c r="D107" s="216" t="s">
        <v>179</v>
      </c>
      <c r="E107" s="94" t="s">
        <v>165</v>
      </c>
      <c r="F107" s="322" t="s">
        <v>222</v>
      </c>
      <c r="G107" s="289" t="s">
        <v>212</v>
      </c>
      <c r="H107" s="215"/>
      <c r="I107" s="255">
        <v>5</v>
      </c>
      <c r="J107" s="79" t="s">
        <v>147</v>
      </c>
      <c r="K107" s="215"/>
      <c r="L107" s="256"/>
      <c r="M107" s="256"/>
      <c r="N107" s="256"/>
      <c r="O107" s="257"/>
      <c r="P107" s="258">
        <f t="shared" si="11"/>
        <v>2.4500000000000002</v>
      </c>
      <c r="Q107" s="258"/>
      <c r="R107" s="215"/>
      <c r="S107" s="215"/>
      <c r="T107" s="216"/>
      <c r="U107" s="215"/>
      <c r="W107" s="212">
        <v>0.49</v>
      </c>
      <c r="X107" s="157"/>
      <c r="Y107" s="157"/>
      <c r="Z107" s="157"/>
      <c r="AA107" s="157"/>
      <c r="AB107" s="157"/>
      <c r="AI107" s="157"/>
      <c r="AJ107" s="157"/>
      <c r="AK107" s="157"/>
      <c r="AL107" s="157"/>
      <c r="AM107" s="157"/>
    </row>
    <row r="108" spans="2:39" s="158" customFormat="1" ht="28.7" customHeight="1">
      <c r="B108" s="217">
        <v>81</v>
      </c>
      <c r="C108" s="217" t="str">
        <f t="shared" si="10"/>
        <v>OM4-DE-IS-0003-014</v>
      </c>
      <c r="D108" s="216" t="s">
        <v>179</v>
      </c>
      <c r="E108" s="94" t="s">
        <v>178</v>
      </c>
      <c r="F108" s="322" t="s">
        <v>222</v>
      </c>
      <c r="G108" s="289" t="s">
        <v>212</v>
      </c>
      <c r="H108" s="215"/>
      <c r="I108" s="255">
        <v>5</v>
      </c>
      <c r="J108" s="79" t="s">
        <v>147</v>
      </c>
      <c r="K108" s="215"/>
      <c r="L108" s="256"/>
      <c r="M108" s="256"/>
      <c r="N108" s="256"/>
      <c r="O108" s="257"/>
      <c r="P108" s="258">
        <f t="shared" si="11"/>
        <v>3.125</v>
      </c>
      <c r="Q108" s="258"/>
      <c r="R108" s="215"/>
      <c r="S108" s="215"/>
      <c r="T108" s="216"/>
      <c r="U108" s="215"/>
      <c r="W108" s="212">
        <v>0.625</v>
      </c>
      <c r="X108" s="157"/>
      <c r="Y108" s="157"/>
      <c r="Z108" s="157"/>
      <c r="AA108" s="157"/>
      <c r="AB108" s="157"/>
      <c r="AI108" s="157"/>
      <c r="AJ108" s="157"/>
      <c r="AK108" s="157"/>
      <c r="AL108" s="157"/>
      <c r="AM108" s="157"/>
    </row>
    <row r="109" spans="2:39" s="158" customFormat="1" ht="28.7" customHeight="1">
      <c r="B109" s="217">
        <v>82</v>
      </c>
      <c r="C109" s="217" t="str">
        <f t="shared" si="10"/>
        <v>OM4-DE-IS-0003-014</v>
      </c>
      <c r="D109" s="216" t="s">
        <v>174</v>
      </c>
      <c r="E109" s="94" t="s">
        <v>177</v>
      </c>
      <c r="F109" s="322" t="s">
        <v>222</v>
      </c>
      <c r="G109" s="289" t="s">
        <v>212</v>
      </c>
      <c r="H109" s="215"/>
      <c r="I109" s="255">
        <v>10</v>
      </c>
      <c r="J109" s="79" t="s">
        <v>147</v>
      </c>
      <c r="K109" s="215"/>
      <c r="L109" s="256"/>
      <c r="M109" s="256"/>
      <c r="N109" s="256"/>
      <c r="O109" s="257"/>
      <c r="P109" s="258">
        <f t="shared" si="11"/>
        <v>0.35000000000000003</v>
      </c>
      <c r="Q109" s="258"/>
      <c r="R109" s="215"/>
      <c r="S109" s="215"/>
      <c r="T109" s="216"/>
      <c r="U109" s="215"/>
      <c r="W109" s="212">
        <v>3.5000000000000003E-2</v>
      </c>
      <c r="X109" s="157"/>
      <c r="Y109" s="157"/>
      <c r="Z109" s="157"/>
      <c r="AA109" s="157"/>
      <c r="AB109" s="157"/>
      <c r="AI109" s="157"/>
      <c r="AJ109" s="157"/>
      <c r="AK109" s="157"/>
      <c r="AL109" s="157"/>
      <c r="AM109" s="157"/>
    </row>
    <row r="110" spans="2:39" s="158" customFormat="1" ht="28.7" customHeight="1">
      <c r="B110" s="217">
        <v>83</v>
      </c>
      <c r="C110" s="217" t="str">
        <f t="shared" si="10"/>
        <v>OM4-DE-IS-0003-014</v>
      </c>
      <c r="D110" s="216" t="s">
        <v>174</v>
      </c>
      <c r="E110" s="94" t="s">
        <v>161</v>
      </c>
      <c r="F110" s="322" t="s">
        <v>222</v>
      </c>
      <c r="G110" s="289" t="s">
        <v>212</v>
      </c>
      <c r="H110" s="215"/>
      <c r="I110" s="255">
        <v>10</v>
      </c>
      <c r="J110" s="79" t="s">
        <v>147</v>
      </c>
      <c r="K110" s="215"/>
      <c r="L110" s="256"/>
      <c r="M110" s="256"/>
      <c r="N110" s="256"/>
      <c r="O110" s="257"/>
      <c r="P110" s="258">
        <f t="shared" si="11"/>
        <v>0.6</v>
      </c>
      <c r="Q110" s="258"/>
      <c r="R110" s="215"/>
      <c r="S110" s="215"/>
      <c r="T110" s="216"/>
      <c r="U110" s="215"/>
      <c r="W110" s="212">
        <v>0.06</v>
      </c>
      <c r="X110" s="157"/>
      <c r="Y110" s="157"/>
      <c r="Z110" s="157"/>
      <c r="AA110" s="157"/>
      <c r="AB110" s="157"/>
      <c r="AI110" s="157"/>
      <c r="AJ110" s="157"/>
      <c r="AK110" s="157"/>
      <c r="AL110" s="157"/>
      <c r="AM110" s="157"/>
    </row>
    <row r="111" spans="2:39" s="158" customFormat="1" ht="28.7" customHeight="1">
      <c r="B111" s="217">
        <v>84</v>
      </c>
      <c r="C111" s="217" t="str">
        <f t="shared" si="10"/>
        <v>OM4-DE-IS-0003-014</v>
      </c>
      <c r="D111" s="216" t="s">
        <v>174</v>
      </c>
      <c r="E111" s="94" t="s">
        <v>162</v>
      </c>
      <c r="F111" s="322" t="s">
        <v>222</v>
      </c>
      <c r="G111" s="289" t="s">
        <v>212</v>
      </c>
      <c r="H111" s="215"/>
      <c r="I111" s="255">
        <v>10</v>
      </c>
      <c r="J111" s="79" t="s">
        <v>147</v>
      </c>
      <c r="K111" s="215"/>
      <c r="L111" s="256"/>
      <c r="M111" s="256"/>
      <c r="N111" s="256"/>
      <c r="O111" s="257"/>
      <c r="P111" s="258">
        <f t="shared" si="11"/>
        <v>0.95</v>
      </c>
      <c r="Q111" s="258"/>
      <c r="R111" s="215"/>
      <c r="S111" s="215"/>
      <c r="T111" s="216"/>
      <c r="U111" s="215"/>
      <c r="W111" s="212">
        <v>9.5000000000000001E-2</v>
      </c>
      <c r="X111" s="157"/>
      <c r="Y111" s="157"/>
      <c r="Z111" s="157"/>
      <c r="AA111" s="157"/>
      <c r="AB111" s="157"/>
      <c r="AI111" s="157"/>
      <c r="AJ111" s="157"/>
      <c r="AK111" s="157"/>
      <c r="AL111" s="157"/>
      <c r="AM111" s="157"/>
    </row>
    <row r="112" spans="2:39" s="158" customFormat="1" ht="28.7" customHeight="1">
      <c r="B112" s="217">
        <v>85</v>
      </c>
      <c r="C112" s="217" t="str">
        <f t="shared" si="10"/>
        <v>OM4-DE-IS-0003-014</v>
      </c>
      <c r="D112" s="216" t="s">
        <v>174</v>
      </c>
      <c r="E112" s="94" t="s">
        <v>163</v>
      </c>
      <c r="F112" s="322" t="s">
        <v>222</v>
      </c>
      <c r="G112" s="289" t="s">
        <v>212</v>
      </c>
      <c r="H112" s="215"/>
      <c r="I112" s="255">
        <v>5</v>
      </c>
      <c r="J112" s="79" t="s">
        <v>147</v>
      </c>
      <c r="K112" s="215"/>
      <c r="L112" s="256"/>
      <c r="M112" s="256"/>
      <c r="N112" s="256"/>
      <c r="O112" s="257"/>
      <c r="P112" s="258">
        <f t="shared" si="11"/>
        <v>0.55000000000000004</v>
      </c>
      <c r="Q112" s="258"/>
      <c r="R112" s="215"/>
      <c r="S112" s="215"/>
      <c r="T112" s="216"/>
      <c r="U112" s="215"/>
      <c r="W112" s="212">
        <v>0.11</v>
      </c>
      <c r="X112" s="157"/>
      <c r="Y112" s="157"/>
      <c r="Z112" s="157"/>
      <c r="AA112" s="157"/>
      <c r="AB112" s="157"/>
      <c r="AI112" s="157"/>
      <c r="AJ112" s="157"/>
      <c r="AK112" s="157"/>
      <c r="AL112" s="157"/>
      <c r="AM112" s="157"/>
    </row>
    <row r="113" spans="2:39" s="158" customFormat="1" ht="28.7" customHeight="1">
      <c r="B113" s="217">
        <v>86</v>
      </c>
      <c r="C113" s="217" t="str">
        <f t="shared" si="10"/>
        <v>OM4-DE-IS-0003-014</v>
      </c>
      <c r="D113" s="216" t="s">
        <v>174</v>
      </c>
      <c r="E113" s="94" t="s">
        <v>164</v>
      </c>
      <c r="F113" s="322" t="s">
        <v>222</v>
      </c>
      <c r="G113" s="289" t="s">
        <v>212</v>
      </c>
      <c r="H113" s="215"/>
      <c r="I113" s="255">
        <v>10</v>
      </c>
      <c r="J113" s="79" t="s">
        <v>147</v>
      </c>
      <c r="K113" s="215"/>
      <c r="L113" s="256"/>
      <c r="M113" s="256"/>
      <c r="N113" s="256"/>
      <c r="O113" s="257"/>
      <c r="P113" s="258">
        <f t="shared" si="11"/>
        <v>1.6500000000000001</v>
      </c>
      <c r="Q113" s="258"/>
      <c r="R113" s="215"/>
      <c r="S113" s="215"/>
      <c r="T113" s="216"/>
      <c r="U113" s="215"/>
      <c r="W113" s="212">
        <v>0.16500000000000001</v>
      </c>
      <c r="X113" s="157"/>
      <c r="Y113" s="157"/>
      <c r="Z113" s="157"/>
      <c r="AA113" s="157"/>
      <c r="AB113" s="157"/>
      <c r="AI113" s="157"/>
      <c r="AJ113" s="157"/>
      <c r="AK113" s="157"/>
      <c r="AL113" s="157"/>
      <c r="AM113" s="157"/>
    </row>
    <row r="114" spans="2:39" s="158" customFormat="1" ht="28.7" customHeight="1">
      <c r="B114" s="217">
        <v>87</v>
      </c>
      <c r="C114" s="217" t="str">
        <f t="shared" si="10"/>
        <v>OM4-DE-IS-0003-014</v>
      </c>
      <c r="D114" s="216" t="s">
        <v>174</v>
      </c>
      <c r="E114" s="94" t="s">
        <v>165</v>
      </c>
      <c r="F114" s="322" t="s">
        <v>222</v>
      </c>
      <c r="G114" s="289" t="s">
        <v>212</v>
      </c>
      <c r="H114" s="215"/>
      <c r="I114" s="255">
        <v>5</v>
      </c>
      <c r="J114" s="79" t="s">
        <v>147</v>
      </c>
      <c r="K114" s="215"/>
      <c r="L114" s="256"/>
      <c r="M114" s="256"/>
      <c r="N114" s="256"/>
      <c r="O114" s="257"/>
      <c r="P114" s="258">
        <f t="shared" si="11"/>
        <v>2.4500000000000002</v>
      </c>
      <c r="Q114" s="258"/>
      <c r="R114" s="215"/>
      <c r="S114" s="215"/>
      <c r="T114" s="216"/>
      <c r="U114" s="215"/>
      <c r="W114" s="212">
        <v>0.49</v>
      </c>
      <c r="X114" s="157"/>
      <c r="Y114" s="157"/>
      <c r="Z114" s="157"/>
      <c r="AA114" s="157"/>
      <c r="AB114" s="157"/>
      <c r="AI114" s="157"/>
      <c r="AJ114" s="157"/>
      <c r="AK114" s="157"/>
      <c r="AL114" s="157"/>
      <c r="AM114" s="157"/>
    </row>
    <row r="115" spans="2:39" s="158" customFormat="1" ht="28.7" customHeight="1">
      <c r="B115" s="217">
        <v>88</v>
      </c>
      <c r="C115" s="217" t="str">
        <f t="shared" si="10"/>
        <v>OM4-DE-IS-0003-014</v>
      </c>
      <c r="D115" s="216" t="s">
        <v>174</v>
      </c>
      <c r="E115" s="94" t="s">
        <v>178</v>
      </c>
      <c r="F115" s="322" t="s">
        <v>222</v>
      </c>
      <c r="G115" s="289" t="s">
        <v>212</v>
      </c>
      <c r="H115" s="215"/>
      <c r="I115" s="255">
        <v>5</v>
      </c>
      <c r="J115" s="79" t="s">
        <v>147</v>
      </c>
      <c r="K115" s="215"/>
      <c r="L115" s="256"/>
      <c r="M115" s="256"/>
      <c r="N115" s="256"/>
      <c r="O115" s="257"/>
      <c r="P115" s="258">
        <f t="shared" si="11"/>
        <v>3.125</v>
      </c>
      <c r="Q115" s="258"/>
      <c r="R115" s="215"/>
      <c r="S115" s="215"/>
      <c r="T115" s="216"/>
      <c r="U115" s="215"/>
      <c r="W115" s="212">
        <v>0.625</v>
      </c>
      <c r="X115" s="157"/>
      <c r="Y115" s="157"/>
      <c r="Z115" s="157"/>
      <c r="AA115" s="157"/>
      <c r="AB115" s="157"/>
      <c r="AI115" s="157"/>
      <c r="AJ115" s="157"/>
      <c r="AK115" s="157"/>
      <c r="AL115" s="157"/>
      <c r="AM115" s="157"/>
    </row>
    <row r="116" spans="2:39" s="158" customFormat="1" ht="28.7" customHeight="1">
      <c r="B116" s="217">
        <v>89</v>
      </c>
      <c r="C116" s="217" t="str">
        <f t="shared" si="10"/>
        <v>OM4-DE-IS-0003-014</v>
      </c>
      <c r="D116" s="216" t="s">
        <v>175</v>
      </c>
      <c r="E116" s="94" t="s">
        <v>176</v>
      </c>
      <c r="F116" s="322" t="s">
        <v>222</v>
      </c>
      <c r="G116" s="289" t="s">
        <v>212</v>
      </c>
      <c r="H116" s="215"/>
      <c r="I116" s="255">
        <v>1</v>
      </c>
      <c r="J116" s="79" t="s">
        <v>147</v>
      </c>
      <c r="K116" s="215"/>
      <c r="L116" s="256"/>
      <c r="M116" s="256"/>
      <c r="N116" s="256"/>
      <c r="O116" s="257"/>
      <c r="P116" s="258">
        <f t="shared" si="11"/>
        <v>2</v>
      </c>
      <c r="Q116" s="258"/>
      <c r="R116" s="215"/>
      <c r="S116" s="215"/>
      <c r="T116" s="216"/>
      <c r="U116" s="215"/>
      <c r="W116" s="212">
        <v>2</v>
      </c>
      <c r="X116" s="157"/>
      <c r="Y116" s="157"/>
      <c r="Z116" s="157"/>
      <c r="AA116" s="157"/>
      <c r="AB116" s="157"/>
      <c r="AI116" s="157"/>
      <c r="AJ116" s="157"/>
      <c r="AK116" s="157"/>
      <c r="AL116" s="157"/>
      <c r="AM116" s="157"/>
    </row>
    <row r="117" spans="2:39" s="158" customFormat="1" ht="28.7" customHeight="1">
      <c r="B117" s="390" t="s">
        <v>92</v>
      </c>
      <c r="C117" s="391"/>
      <c r="D117" s="391"/>
      <c r="E117" s="391"/>
      <c r="F117" s="391"/>
      <c r="G117" s="391"/>
      <c r="H117" s="392"/>
      <c r="I117" s="266">
        <f>SUM(I81:I116)</f>
        <v>1162</v>
      </c>
      <c r="J117" s="267"/>
      <c r="K117" s="268" t="s">
        <v>168</v>
      </c>
      <c r="L117" s="269">
        <v>200</v>
      </c>
      <c r="M117" s="269">
        <v>200</v>
      </c>
      <c r="N117" s="269">
        <v>150</v>
      </c>
      <c r="O117" s="270">
        <f>(L117*M117*N117)/10^6</f>
        <v>6</v>
      </c>
      <c r="P117" s="271">
        <f>SUM(P81:P116)</f>
        <v>603.45500000000027</v>
      </c>
      <c r="Q117" s="271">
        <f>P117+300</f>
        <v>903.45500000000027</v>
      </c>
      <c r="R117" s="268" t="s">
        <v>150</v>
      </c>
      <c r="S117" s="268" t="s">
        <v>151</v>
      </c>
      <c r="T117" s="272"/>
      <c r="U117" s="268" t="s">
        <v>220</v>
      </c>
      <c r="W117" s="212"/>
      <c r="X117" s="157"/>
      <c r="Y117" s="157"/>
      <c r="Z117" s="157"/>
      <c r="AA117" s="157"/>
      <c r="AB117" s="157"/>
      <c r="AI117" s="157"/>
      <c r="AJ117" s="157"/>
      <c r="AK117" s="157"/>
      <c r="AL117" s="157"/>
      <c r="AM117" s="157"/>
    </row>
    <row r="118" spans="2:39" s="73" customFormat="1" ht="32.25" customHeight="1">
      <c r="B118" s="384" t="s">
        <v>93</v>
      </c>
      <c r="C118" s="384"/>
      <c r="D118" s="384"/>
      <c r="E118" s="384"/>
      <c r="F118" s="384"/>
      <c r="G118" s="384"/>
      <c r="H118" s="384"/>
      <c r="I118" s="384"/>
      <c r="J118" s="384"/>
      <c r="K118" s="79"/>
      <c r="L118" s="79"/>
      <c r="M118" s="79"/>
      <c r="N118" s="79"/>
      <c r="O118" s="211">
        <f>SUM(O15:O117)</f>
        <v>301.41600000000005</v>
      </c>
      <c r="P118" s="211">
        <f>SUM(P16,P18,P20,P22,P24,P26,P28,P30,P37,P65,P68,P72,P80,P117)</f>
        <v>31353.235000000001</v>
      </c>
      <c r="Q118" s="211">
        <f>SUM(Q15:Q117)</f>
        <v>34553.235000000001</v>
      </c>
      <c r="R118" s="79"/>
      <c r="S118" s="79"/>
      <c r="T118" s="79"/>
      <c r="U118" s="79"/>
      <c r="V118" s="151"/>
      <c r="W118" s="78"/>
      <c r="X118" s="78"/>
      <c r="Y118" s="78"/>
      <c r="Z118" s="78"/>
      <c r="AA118" s="78"/>
      <c r="AB118" s="78"/>
      <c r="AI118" s="78"/>
      <c r="AJ118" s="78"/>
      <c r="AK118" s="78"/>
      <c r="AL118" s="78"/>
      <c r="AM118" s="78"/>
    </row>
  </sheetData>
  <mergeCells count="33">
    <mergeCell ref="T13:T14"/>
    <mergeCell ref="B18:H18"/>
    <mergeCell ref="B16:H16"/>
    <mergeCell ref="B68:H68"/>
    <mergeCell ref="B1:U1"/>
    <mergeCell ref="C3:K3"/>
    <mergeCell ref="B4:U4"/>
    <mergeCell ref="B13:B14"/>
    <mergeCell ref="C13:C14"/>
    <mergeCell ref="D13:E14"/>
    <mergeCell ref="H13:H14"/>
    <mergeCell ref="I13:J13"/>
    <mergeCell ref="K13:K14"/>
    <mergeCell ref="L13:O13"/>
    <mergeCell ref="U13:U14"/>
    <mergeCell ref="S13:S14"/>
    <mergeCell ref="Q13:Q14"/>
    <mergeCell ref="B72:H72"/>
    <mergeCell ref="G13:G14"/>
    <mergeCell ref="B80:H80"/>
    <mergeCell ref="R13:R14"/>
    <mergeCell ref="B118:J118"/>
    <mergeCell ref="P13:P14"/>
    <mergeCell ref="B20:H20"/>
    <mergeCell ref="B22:H22"/>
    <mergeCell ref="B24:H24"/>
    <mergeCell ref="B26:H26"/>
    <mergeCell ref="B28:H28"/>
    <mergeCell ref="B30:H30"/>
    <mergeCell ref="B37:H37"/>
    <mergeCell ref="B117:H117"/>
    <mergeCell ref="B65:H65"/>
    <mergeCell ref="F13:F14"/>
  </mergeCells>
  <phoneticPr fontId="34" type="noConversion"/>
  <printOptions horizontalCentered="1"/>
  <pageMargins left="0.23622047244094491" right="0.23622047244094491" top="0.47244094488188981" bottom="0.51181102362204722" header="0.31496062992125984" footer="0.31496062992125984"/>
  <pageSetup paperSize="9" scale="58" fitToHeight="0" orientation="landscape" r:id="rId1"/>
  <headerFooter alignWithMargins="0">
    <oddFooter>&amp;C&amp;P/&amp;N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O52"/>
  <sheetViews>
    <sheetView showGridLines="0" view="pageBreakPreview" zoomScale="70" zoomScaleNormal="100" zoomScaleSheetLayoutView="70" workbookViewId="0">
      <selection activeCell="H19" sqref="H19:K19"/>
    </sheetView>
  </sheetViews>
  <sheetFormatPr defaultColWidth="9.5859375" defaultRowHeight="17.25" customHeight="1"/>
  <cols>
    <col min="1" max="1" width="1.51953125" style="7" customWidth="1"/>
    <col min="2" max="2" width="27.36328125" style="7" customWidth="1"/>
    <col min="3" max="3" width="1.75390625" style="7" customWidth="1"/>
    <col min="4" max="4" width="6.3125" style="7" customWidth="1"/>
    <col min="5" max="5" width="4.32421875" style="7" customWidth="1"/>
    <col min="6" max="6" width="13.5625" style="7" customWidth="1"/>
    <col min="7" max="7" width="17.65625" style="6" customWidth="1"/>
    <col min="8" max="8" width="9.5859375" style="6" customWidth="1"/>
    <col min="9" max="10" width="9.00390625" style="6" customWidth="1"/>
    <col min="11" max="11" width="10.875" style="72" customWidth="1"/>
    <col min="12" max="12" width="7.71484375" style="6" customWidth="1"/>
    <col min="13" max="13" width="9.5859375" style="7"/>
    <col min="14" max="14" width="12.86328125" style="7" bestFit="1" customWidth="1"/>
    <col min="15" max="16384" width="9.5859375" style="7"/>
  </cols>
  <sheetData>
    <row r="1" spans="1:14" ht="22.15" customHeight="1">
      <c r="A1" s="1"/>
      <c r="B1" s="2"/>
      <c r="C1" s="2"/>
      <c r="D1" s="2"/>
      <c r="E1" s="2"/>
      <c r="F1" s="2"/>
      <c r="G1" s="3"/>
      <c r="H1" s="3"/>
      <c r="I1" s="3"/>
      <c r="J1" s="4"/>
      <c r="K1" s="5"/>
    </row>
    <row r="2" spans="1:14" ht="22.15" customHeight="1">
      <c r="A2" s="8"/>
      <c r="J2" s="187"/>
      <c r="K2" s="9"/>
    </row>
    <row r="3" spans="1:14" ht="37.5" customHeight="1">
      <c r="A3" s="10"/>
      <c r="B3" s="407" t="s">
        <v>114</v>
      </c>
      <c r="C3" s="408"/>
      <c r="D3" s="408"/>
      <c r="E3" s="408"/>
      <c r="F3" s="188"/>
      <c r="G3" s="189"/>
      <c r="H3" s="407"/>
      <c r="I3" s="408"/>
      <c r="J3" s="408"/>
      <c r="K3" s="409"/>
    </row>
    <row r="4" spans="1:14" s="13" customFormat="1" ht="24.75" customHeight="1">
      <c r="A4" s="410" t="s">
        <v>1</v>
      </c>
      <c r="B4" s="411"/>
      <c r="C4" s="411"/>
      <c r="D4" s="411"/>
      <c r="E4" s="411"/>
      <c r="F4" s="411"/>
      <c r="G4" s="411"/>
      <c r="H4" s="411"/>
      <c r="I4" s="411"/>
      <c r="J4" s="411"/>
      <c r="K4" s="412"/>
      <c r="L4" s="11"/>
      <c r="M4" s="12"/>
      <c r="N4" s="12"/>
    </row>
    <row r="5" spans="1:14" s="13" customFormat="1" ht="16.149999999999999" customHeight="1">
      <c r="A5" s="14" t="s">
        <v>2</v>
      </c>
      <c r="B5" s="15"/>
      <c r="C5" s="15"/>
      <c r="D5" s="15"/>
      <c r="E5" s="16"/>
      <c r="F5" s="17"/>
      <c r="G5" s="18" t="s">
        <v>3</v>
      </c>
      <c r="H5" s="19" t="s">
        <v>183</v>
      </c>
      <c r="I5" s="19"/>
      <c r="J5" s="19"/>
      <c r="K5" s="20"/>
      <c r="L5" s="21"/>
      <c r="M5" s="22"/>
      <c r="N5" s="12"/>
    </row>
    <row r="6" spans="1:14" s="13" customFormat="1" ht="12.75">
      <c r="A6" s="23"/>
      <c r="B6" s="416" t="s">
        <v>129</v>
      </c>
      <c r="C6" s="417"/>
      <c r="D6" s="417"/>
      <c r="E6" s="417"/>
      <c r="F6" s="418"/>
      <c r="G6" s="24" t="s">
        <v>4</v>
      </c>
      <c r="H6" s="193">
        <v>46157</v>
      </c>
      <c r="I6" s="25"/>
      <c r="J6" s="26"/>
      <c r="K6" s="27"/>
      <c r="L6" s="21"/>
      <c r="M6" s="12"/>
      <c r="N6" s="12"/>
    </row>
    <row r="7" spans="1:14" ht="15.4" customHeight="1">
      <c r="A7" s="8"/>
      <c r="B7" s="417"/>
      <c r="C7" s="417"/>
      <c r="D7" s="417"/>
      <c r="E7" s="417"/>
      <c r="F7" s="418"/>
      <c r="G7" s="29" t="s">
        <v>5</v>
      </c>
      <c r="H7" s="30" t="s">
        <v>115</v>
      </c>
      <c r="I7" s="30"/>
      <c r="J7" s="30"/>
      <c r="K7" s="31"/>
    </row>
    <row r="8" spans="1:14" ht="16.5" customHeight="1">
      <c r="A8" s="8"/>
      <c r="B8" s="419"/>
      <c r="C8" s="419"/>
      <c r="D8" s="419"/>
      <c r="E8" s="419"/>
      <c r="F8" s="420"/>
      <c r="G8" s="24" t="s">
        <v>4</v>
      </c>
      <c r="H8" s="193">
        <v>45814</v>
      </c>
      <c r="I8" s="32"/>
      <c r="J8" s="32"/>
      <c r="K8" s="27"/>
    </row>
    <row r="9" spans="1:14" ht="21" thickBot="1">
      <c r="A9" s="33" t="s">
        <v>7</v>
      </c>
      <c r="B9" s="30"/>
      <c r="C9" s="30"/>
      <c r="D9" s="30"/>
      <c r="E9" s="30"/>
      <c r="F9" s="34"/>
      <c r="G9" s="413" t="s">
        <v>8</v>
      </c>
      <c r="H9" s="414"/>
      <c r="I9" s="414"/>
      <c r="J9" s="414"/>
      <c r="K9" s="415"/>
    </row>
    <row r="10" spans="1:14" ht="14.1" customHeight="1">
      <c r="A10" s="8"/>
      <c r="B10" s="437" t="s">
        <v>136</v>
      </c>
      <c r="C10" s="437"/>
      <c r="D10" s="437"/>
      <c r="E10" s="437"/>
      <c r="F10" s="438"/>
      <c r="G10" s="421" t="s">
        <v>126</v>
      </c>
      <c r="H10" s="422"/>
      <c r="I10" s="422"/>
      <c r="J10" s="422"/>
      <c r="K10" s="423"/>
    </row>
    <row r="11" spans="1:14" ht="14.1" customHeight="1">
      <c r="A11" s="8"/>
      <c r="B11" s="437"/>
      <c r="C11" s="437"/>
      <c r="D11" s="437"/>
      <c r="E11" s="437"/>
      <c r="F11" s="438"/>
      <c r="G11" s="424"/>
      <c r="H11" s="425"/>
      <c r="I11" s="425"/>
      <c r="J11" s="425"/>
      <c r="K11" s="426"/>
    </row>
    <row r="12" spans="1:14" ht="28.35" customHeight="1" thickBot="1">
      <c r="A12" s="35"/>
      <c r="B12" s="439"/>
      <c r="C12" s="439"/>
      <c r="D12" s="439"/>
      <c r="E12" s="439"/>
      <c r="F12" s="440"/>
      <c r="G12" s="427"/>
      <c r="H12" s="428"/>
      <c r="I12" s="428"/>
      <c r="J12" s="428"/>
      <c r="K12" s="429"/>
    </row>
    <row r="13" spans="1:14" ht="14.1" customHeight="1">
      <c r="A13" s="36" t="s">
        <v>10</v>
      </c>
      <c r="B13" s="28"/>
      <c r="G13" s="37"/>
      <c r="H13" s="7"/>
      <c r="I13" s="7"/>
      <c r="J13" s="187"/>
      <c r="K13" s="9"/>
    </row>
    <row r="14" spans="1:14" ht="14.1" customHeight="1">
      <c r="A14" s="8"/>
      <c r="B14" s="441" t="s">
        <v>130</v>
      </c>
      <c r="C14" s="442"/>
      <c r="D14" s="442"/>
      <c r="E14" s="442"/>
      <c r="F14" s="443"/>
      <c r="G14" s="38"/>
      <c r="H14" s="430"/>
      <c r="I14" s="430"/>
      <c r="J14" s="430"/>
      <c r="K14" s="431"/>
    </row>
    <row r="15" spans="1:14" s="298" customFormat="1" ht="14.1" customHeight="1">
      <c r="A15" s="296"/>
      <c r="B15" s="442"/>
      <c r="C15" s="442"/>
      <c r="D15" s="442"/>
      <c r="E15" s="442"/>
      <c r="F15" s="443"/>
      <c r="G15" s="294" t="s">
        <v>11</v>
      </c>
      <c r="H15" s="432" t="str">
        <f>H5</f>
        <v>OM4-DE-IS-0003</v>
      </c>
      <c r="I15" s="433"/>
      <c r="J15" s="433"/>
      <c r="K15" s="434"/>
      <c r="L15" s="297"/>
    </row>
    <row r="16" spans="1:14" ht="9.1999999999999993" customHeight="1">
      <c r="A16" s="8"/>
      <c r="B16" s="442"/>
      <c r="C16" s="442"/>
      <c r="D16" s="442"/>
      <c r="E16" s="442"/>
      <c r="F16" s="443"/>
      <c r="G16" s="38"/>
      <c r="H16" s="433"/>
      <c r="I16" s="433"/>
      <c r="J16" s="433"/>
      <c r="K16" s="434"/>
    </row>
    <row r="17" spans="1:15" ht="100.35" customHeight="1">
      <c r="A17" s="8"/>
      <c r="B17" s="444"/>
      <c r="C17" s="444"/>
      <c r="D17" s="444"/>
      <c r="E17" s="444"/>
      <c r="F17" s="445"/>
      <c r="G17" s="294" t="s">
        <v>12</v>
      </c>
      <c r="H17" s="435" t="s">
        <v>411</v>
      </c>
      <c r="I17" s="435"/>
      <c r="J17" s="435"/>
      <c r="K17" s="436"/>
    </row>
    <row r="18" spans="1:15" ht="18.600000000000001" customHeight="1">
      <c r="A18" s="33" t="s">
        <v>13</v>
      </c>
      <c r="B18" s="40"/>
      <c r="C18" s="29" t="s">
        <v>14</v>
      </c>
      <c r="D18" s="30"/>
      <c r="E18" s="30"/>
      <c r="F18" s="34"/>
      <c r="G18" s="37"/>
      <c r="H18" s="447"/>
      <c r="I18" s="447"/>
      <c r="J18" s="447"/>
      <c r="K18" s="448"/>
    </row>
    <row r="19" spans="1:15" s="6" customFormat="1" ht="11.65" customHeight="1">
      <c r="A19" s="35"/>
      <c r="B19" s="273" t="s">
        <v>410</v>
      </c>
      <c r="C19" s="274"/>
      <c r="D19" s="449">
        <v>46169</v>
      </c>
      <c r="E19" s="449"/>
      <c r="F19" s="450"/>
      <c r="G19" s="37" t="s">
        <v>110</v>
      </c>
      <c r="H19" s="447" t="s">
        <v>111</v>
      </c>
      <c r="I19" s="447"/>
      <c r="J19" s="447"/>
      <c r="K19" s="448"/>
      <c r="M19" s="7"/>
      <c r="N19" s="7"/>
      <c r="O19" s="7"/>
    </row>
    <row r="20" spans="1:15" s="6" customFormat="1" ht="18.600000000000001" customHeight="1">
      <c r="A20" s="33" t="s">
        <v>15</v>
      </c>
      <c r="B20" s="30"/>
      <c r="C20" s="29" t="s">
        <v>16</v>
      </c>
      <c r="D20" s="30"/>
      <c r="E20" s="30"/>
      <c r="F20" s="34"/>
      <c r="G20" s="300" t="s">
        <v>271</v>
      </c>
      <c r="H20" s="435" t="s">
        <v>270</v>
      </c>
      <c r="I20" s="435"/>
      <c r="J20" s="435"/>
      <c r="K20" s="436"/>
      <c r="M20" s="7"/>
      <c r="N20" s="7"/>
      <c r="O20" s="7"/>
    </row>
    <row r="21" spans="1:15" s="6" customFormat="1" ht="13.15" customHeight="1">
      <c r="A21" s="296"/>
      <c r="B21" s="298" t="s">
        <v>273</v>
      </c>
      <c r="C21" s="299"/>
      <c r="D21" s="291" t="s">
        <v>138</v>
      </c>
      <c r="E21" s="292"/>
      <c r="F21" s="293"/>
      <c r="G21" s="300"/>
      <c r="H21" s="187"/>
      <c r="K21" s="9"/>
      <c r="M21" s="7"/>
      <c r="N21" s="7"/>
      <c r="O21" s="7"/>
    </row>
    <row r="22" spans="1:15" s="6" customFormat="1" ht="18.600000000000001" customHeight="1">
      <c r="A22" s="33" t="s">
        <v>17</v>
      </c>
      <c r="B22" s="40"/>
      <c r="C22" s="29" t="s">
        <v>18</v>
      </c>
      <c r="D22" s="30"/>
      <c r="E22" s="30"/>
      <c r="F22" s="34"/>
      <c r="G22" s="37"/>
      <c r="H22" s="187"/>
      <c r="K22" s="9"/>
      <c r="M22" s="7"/>
      <c r="N22" s="7"/>
      <c r="O22" s="7"/>
    </row>
    <row r="23" spans="1:15" s="6" customFormat="1" ht="13.9" customHeight="1">
      <c r="A23" s="35"/>
      <c r="B23" s="273"/>
      <c r="C23" s="274"/>
      <c r="D23" s="453"/>
      <c r="E23" s="453"/>
      <c r="F23" s="454"/>
      <c r="G23" s="37"/>
      <c r="K23" s="9"/>
      <c r="M23" s="7"/>
      <c r="N23" s="7"/>
      <c r="O23" s="7"/>
    </row>
    <row r="24" spans="1:15" s="6" customFormat="1" ht="19.149999999999999" customHeight="1">
      <c r="A24" s="33" t="s">
        <v>19</v>
      </c>
      <c r="B24" s="30"/>
      <c r="C24" s="30"/>
      <c r="D24" s="30"/>
      <c r="E24" s="30"/>
      <c r="F24" s="30"/>
      <c r="G24" s="43"/>
      <c r="H24" s="44"/>
      <c r="I24" s="45"/>
      <c r="J24" s="44"/>
      <c r="K24" s="46"/>
      <c r="M24" s="7"/>
      <c r="N24" s="7"/>
      <c r="O24" s="7"/>
    </row>
    <row r="25" spans="1:15" s="6" customFormat="1" ht="12.75">
      <c r="A25" s="8"/>
      <c r="B25" s="28" t="s">
        <v>9</v>
      </c>
      <c r="C25" s="7"/>
      <c r="D25" s="7"/>
      <c r="E25" s="7"/>
      <c r="F25" s="7"/>
      <c r="G25" s="37"/>
      <c r="K25" s="9"/>
      <c r="M25" s="7"/>
      <c r="N25" s="7"/>
      <c r="O25" s="7"/>
    </row>
    <row r="26" spans="1:15" s="6" customFormat="1" ht="12.75">
      <c r="A26" s="35"/>
      <c r="B26" s="455" t="s">
        <v>131</v>
      </c>
      <c r="C26" s="455"/>
      <c r="D26" s="455"/>
      <c r="E26" s="455"/>
      <c r="F26" s="456"/>
      <c r="G26" s="47"/>
      <c r="H26" s="48"/>
      <c r="I26" s="48"/>
      <c r="J26" s="48"/>
      <c r="K26" s="49"/>
      <c r="M26" s="7"/>
      <c r="N26" s="7"/>
      <c r="O26" s="7"/>
    </row>
    <row r="27" spans="1:15" ht="45.2" customHeight="1">
      <c r="A27" s="457" t="s">
        <v>20</v>
      </c>
      <c r="B27" s="452"/>
      <c r="C27" s="452"/>
      <c r="D27" s="452"/>
      <c r="E27" s="452"/>
      <c r="F27" s="452"/>
      <c r="G27" s="458"/>
      <c r="H27" s="50" t="s">
        <v>21</v>
      </c>
      <c r="I27" s="50" t="s">
        <v>22</v>
      </c>
      <c r="J27" s="51" t="s">
        <v>23</v>
      </c>
      <c r="K27" s="52" t="s">
        <v>24</v>
      </c>
    </row>
    <row r="28" spans="1:15" ht="36" customHeight="1">
      <c r="A28" s="36"/>
      <c r="B28" s="459" t="s">
        <v>132</v>
      </c>
      <c r="C28" s="459"/>
      <c r="D28" s="459"/>
      <c r="E28" s="459"/>
      <c r="F28" s="459"/>
      <c r="G28" s="460"/>
      <c r="H28" s="53"/>
      <c r="I28" s="53"/>
      <c r="J28" s="53"/>
      <c r="K28" s="54"/>
    </row>
    <row r="29" spans="1:15" ht="12.6" customHeight="1">
      <c r="A29" s="36"/>
      <c r="B29" s="28"/>
      <c r="G29" s="55"/>
      <c r="H29" s="53"/>
      <c r="I29" s="53"/>
      <c r="J29" s="53"/>
      <c r="K29" s="56"/>
    </row>
    <row r="30" spans="1:15" ht="15" customHeight="1">
      <c r="A30" s="283"/>
      <c r="B30" s="461" t="s">
        <v>355</v>
      </c>
      <c r="C30" s="461"/>
      <c r="D30" s="461"/>
      <c r="E30" s="461"/>
      <c r="F30" s="461"/>
      <c r="G30" s="462"/>
      <c r="H30" s="303" t="s">
        <v>148</v>
      </c>
      <c r="I30" s="363">
        <v>9808</v>
      </c>
      <c r="J30" s="303"/>
      <c r="K30" s="316">
        <f>'Break Down CI'!N98</f>
        <v>63122.440000000031</v>
      </c>
      <c r="M30" s="340"/>
    </row>
    <row r="31" spans="1:15" ht="15" customHeight="1">
      <c r="A31" s="283"/>
      <c r="B31" s="461"/>
      <c r="C31" s="461"/>
      <c r="D31" s="461"/>
      <c r="E31" s="461"/>
      <c r="F31" s="461"/>
      <c r="G31" s="462"/>
      <c r="H31" s="53"/>
      <c r="I31" s="53"/>
      <c r="J31" s="53"/>
      <c r="K31" s="314"/>
    </row>
    <row r="32" spans="1:15" ht="15" customHeight="1">
      <c r="A32" s="283"/>
      <c r="B32" s="284"/>
      <c r="C32" s="284"/>
      <c r="E32" s="284"/>
      <c r="F32" s="284"/>
      <c r="G32" s="285"/>
      <c r="H32" s="53"/>
      <c r="I32" s="53"/>
      <c r="J32" s="53"/>
      <c r="K32" s="314"/>
    </row>
    <row r="33" spans="1:14" ht="15" customHeight="1">
      <c r="A33" s="283"/>
      <c r="B33" s="284"/>
      <c r="C33" s="284"/>
      <c r="E33" s="284"/>
      <c r="F33" s="284"/>
      <c r="G33" s="285"/>
      <c r="H33" s="53"/>
      <c r="I33" s="53"/>
      <c r="J33" s="53"/>
      <c r="K33" s="314"/>
    </row>
    <row r="34" spans="1:14" ht="15" customHeight="1">
      <c r="A34" s="283"/>
      <c r="B34" s="284"/>
      <c r="C34" s="284"/>
      <c r="E34" s="284"/>
      <c r="F34" s="284"/>
      <c r="G34" s="285"/>
      <c r="H34" s="53"/>
      <c r="I34" s="53"/>
      <c r="J34" s="53"/>
      <c r="K34" s="314"/>
    </row>
    <row r="35" spans="1:14" ht="15" customHeight="1">
      <c r="A35" s="283"/>
      <c r="B35" s="284"/>
      <c r="C35" s="284"/>
      <c r="E35" s="284"/>
      <c r="F35" s="284"/>
      <c r="G35" s="285"/>
      <c r="H35" s="53"/>
      <c r="I35" s="53"/>
      <c r="J35" s="53"/>
      <c r="K35" s="314"/>
    </row>
    <row r="36" spans="1:14" ht="15" customHeight="1">
      <c r="A36" s="283"/>
      <c r="B36" s="284"/>
      <c r="C36" s="284"/>
      <c r="E36" s="284"/>
      <c r="F36" s="284"/>
      <c r="G36" s="285"/>
      <c r="H36" s="53"/>
      <c r="I36" s="53"/>
      <c r="J36" s="53"/>
      <c r="K36" s="314"/>
    </row>
    <row r="37" spans="1:14" ht="15" customHeight="1">
      <c r="A37" s="283"/>
      <c r="B37" s="284"/>
      <c r="C37" s="284"/>
      <c r="E37" s="284"/>
      <c r="F37" s="284"/>
      <c r="G37" s="285"/>
      <c r="H37" s="53"/>
      <c r="I37" s="53"/>
      <c r="J37" s="53"/>
      <c r="K37" s="314"/>
    </row>
    <row r="38" spans="1:14" s="298" customFormat="1" ht="12.75">
      <c r="A38" s="301"/>
      <c r="B38" s="298" t="s">
        <v>25</v>
      </c>
      <c r="D38" s="298">
        <v>14</v>
      </c>
      <c r="E38" s="298" t="s">
        <v>26</v>
      </c>
      <c r="G38" s="302"/>
      <c r="H38" s="303"/>
      <c r="I38" s="303"/>
      <c r="J38" s="303"/>
      <c r="K38" s="304"/>
      <c r="L38" s="297"/>
      <c r="M38" s="7"/>
    </row>
    <row r="39" spans="1:14" ht="18" customHeight="1">
      <c r="A39" s="36"/>
      <c r="G39" s="55"/>
      <c r="H39" s="53"/>
      <c r="I39" s="53"/>
      <c r="J39" s="53"/>
      <c r="K39" s="56"/>
      <c r="N39" s="362"/>
    </row>
    <row r="40" spans="1:14" ht="18" customHeight="1">
      <c r="A40" s="36"/>
      <c r="G40" s="55"/>
      <c r="H40" s="53"/>
      <c r="I40" s="53"/>
      <c r="J40" s="53"/>
      <c r="K40" s="56"/>
    </row>
    <row r="41" spans="1:14" ht="18" customHeight="1">
      <c r="A41" s="36"/>
      <c r="G41" s="55"/>
      <c r="H41" s="53"/>
      <c r="I41" s="53"/>
      <c r="J41" s="53"/>
      <c r="K41" s="56"/>
    </row>
    <row r="42" spans="1:14" ht="18" customHeight="1">
      <c r="A42" s="57"/>
      <c r="B42" s="58"/>
      <c r="C42" s="58"/>
      <c r="D42" s="58"/>
      <c r="E42" s="58"/>
      <c r="F42" s="58"/>
      <c r="G42" s="59"/>
      <c r="H42" s="60"/>
      <c r="I42" s="60"/>
      <c r="J42" s="60"/>
      <c r="K42" s="61"/>
    </row>
    <row r="43" spans="1:14" ht="14.1" customHeight="1">
      <c r="A43" s="33"/>
      <c r="B43" s="451" t="s">
        <v>27</v>
      </c>
      <c r="C43" s="451"/>
      <c r="D43" s="451"/>
      <c r="E43" s="451"/>
      <c r="F43" s="451"/>
      <c r="G43" s="451"/>
      <c r="H43" s="62"/>
      <c r="I43" s="45"/>
      <c r="J43" s="45"/>
      <c r="K43" s="63">
        <f>SUM(K30:K37)</f>
        <v>63122.440000000031</v>
      </c>
    </row>
    <row r="44" spans="1:14" ht="14.1" customHeight="1">
      <c r="A44" s="57"/>
      <c r="B44" s="452"/>
      <c r="C44" s="452"/>
      <c r="D44" s="452"/>
      <c r="E44" s="452"/>
      <c r="F44" s="452"/>
      <c r="G44" s="452"/>
      <c r="H44" s="64"/>
      <c r="I44" s="64"/>
      <c r="J44" s="64"/>
      <c r="K44" s="65"/>
    </row>
    <row r="45" spans="1:14" ht="14.1" customHeight="1">
      <c r="A45" s="36"/>
      <c r="K45" s="9"/>
    </row>
    <row r="46" spans="1:14" ht="14.1" customHeight="1">
      <c r="A46" s="36"/>
      <c r="K46" s="9"/>
    </row>
    <row r="47" spans="1:14" ht="14.1" customHeight="1">
      <c r="A47" s="8"/>
      <c r="K47" s="9"/>
    </row>
    <row r="48" spans="1:14" ht="14.1" customHeight="1">
      <c r="A48" s="8"/>
      <c r="K48" s="9"/>
    </row>
    <row r="49" spans="1:11" ht="14.1" customHeight="1">
      <c r="A49" s="8"/>
      <c r="K49" s="9"/>
    </row>
    <row r="50" spans="1:11" ht="14.1" customHeight="1">
      <c r="A50" s="8"/>
      <c r="G50" s="66" t="s">
        <v>28</v>
      </c>
      <c r="H50" s="48"/>
      <c r="I50" s="48"/>
      <c r="J50" s="48"/>
      <c r="K50" s="9"/>
    </row>
    <row r="51" spans="1:11" ht="14.1" customHeight="1">
      <c r="A51" s="8"/>
      <c r="H51" s="446" t="s">
        <v>268</v>
      </c>
      <c r="I51" s="446"/>
      <c r="J51" s="446"/>
      <c r="K51" s="9"/>
    </row>
    <row r="52" spans="1:11" ht="14.1" customHeight="1" thickBot="1">
      <c r="A52" s="116"/>
      <c r="B52" s="68"/>
      <c r="C52" s="68"/>
      <c r="D52" s="68"/>
      <c r="E52" s="68"/>
      <c r="F52" s="68"/>
      <c r="G52" s="69"/>
      <c r="H52" s="70"/>
      <c r="I52" s="70"/>
      <c r="J52" s="70"/>
      <c r="K52" s="192"/>
    </row>
  </sheetData>
  <sheetProtection selectLockedCells="1" selectUnlockedCells="1"/>
  <mergeCells count="22">
    <mergeCell ref="H51:J51"/>
    <mergeCell ref="H18:K18"/>
    <mergeCell ref="D19:F19"/>
    <mergeCell ref="H19:K19"/>
    <mergeCell ref="B43:G44"/>
    <mergeCell ref="H20:K20"/>
    <mergeCell ref="D23:F23"/>
    <mergeCell ref="B26:F26"/>
    <mergeCell ref="A27:G27"/>
    <mergeCell ref="B28:G28"/>
    <mergeCell ref="B30:G31"/>
    <mergeCell ref="G10:K12"/>
    <mergeCell ref="H14:K14"/>
    <mergeCell ref="H15:K16"/>
    <mergeCell ref="H17:K17"/>
    <mergeCell ref="B10:F12"/>
    <mergeCell ref="B14:F17"/>
    <mergeCell ref="B3:E3"/>
    <mergeCell ref="H3:K3"/>
    <mergeCell ref="A4:K4"/>
    <mergeCell ref="G9:K9"/>
    <mergeCell ref="B6:F8"/>
  </mergeCells>
  <phoneticPr fontId="34" type="noConversion"/>
  <printOptions horizontalCentered="1" verticalCentered="1"/>
  <pageMargins left="0.49" right="0.53" top="0.41" bottom="0.57999999999999996" header="0.31496062992125984" footer="0.31496062992125984"/>
  <pageSetup paperSize="9" scale="72" fitToHeight="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V60"/>
  <sheetViews>
    <sheetView showGridLines="0" view="pageBreakPreview" topLeftCell="A4" zoomScale="80" zoomScaleNormal="100" zoomScaleSheetLayoutView="80" workbookViewId="0">
      <selection activeCell="O50" sqref="O50"/>
    </sheetView>
  </sheetViews>
  <sheetFormatPr defaultColWidth="9.5859375" defaultRowHeight="17.25" customHeight="1"/>
  <cols>
    <col min="1" max="1" width="1.51953125" style="7" customWidth="1"/>
    <col min="2" max="2" width="27.12890625" style="7" customWidth="1"/>
    <col min="3" max="3" width="3.5078125" style="7" customWidth="1"/>
    <col min="4" max="4" width="6.6640625" style="7" customWidth="1"/>
    <col min="5" max="5" width="7.6015625" style="7" customWidth="1"/>
    <col min="6" max="6" width="9.8203125" style="7" customWidth="1"/>
    <col min="7" max="7" width="17.3046875" style="6" customWidth="1"/>
    <col min="8" max="8" width="11.57421875" style="6" customWidth="1"/>
    <col min="9" max="10" width="9.5859375" style="6" customWidth="1"/>
    <col min="11" max="11" width="14.3828125" style="72" bestFit="1" customWidth="1"/>
    <col min="12" max="12" width="7.71484375" style="6" customWidth="1"/>
    <col min="13" max="13" width="7.71484375" style="95" customWidth="1"/>
    <col min="14" max="14" width="7.71484375" style="66" customWidth="1"/>
    <col min="15" max="15" width="9.5859375" style="96"/>
    <col min="16" max="17" width="9.5859375" style="66"/>
    <col min="18" max="16384" width="9.5859375" style="7"/>
  </cols>
  <sheetData>
    <row r="1" spans="1:21" ht="22.15" customHeight="1">
      <c r="A1" s="1"/>
      <c r="B1" s="2"/>
      <c r="C1" s="2"/>
      <c r="D1" s="2"/>
      <c r="E1" s="2"/>
      <c r="F1" s="2"/>
      <c r="G1" s="3"/>
      <c r="H1" s="3"/>
      <c r="I1" s="3"/>
      <c r="J1" s="4"/>
      <c r="K1" s="5"/>
    </row>
    <row r="2" spans="1:21" ht="22.15" customHeight="1">
      <c r="A2" s="8"/>
      <c r="J2" s="187"/>
      <c r="K2" s="9"/>
    </row>
    <row r="3" spans="1:21" ht="37.5" customHeight="1">
      <c r="A3" s="10"/>
      <c r="B3" s="407" t="s">
        <v>125</v>
      </c>
      <c r="C3" s="475"/>
      <c r="D3" s="475"/>
      <c r="E3" s="475"/>
      <c r="F3" s="475"/>
      <c r="G3" s="198"/>
      <c r="H3" s="476"/>
      <c r="I3" s="477"/>
      <c r="J3" s="477"/>
      <c r="K3" s="478"/>
    </row>
    <row r="4" spans="1:21" s="13" customFormat="1" ht="22.15" customHeight="1">
      <c r="A4" s="410" t="s">
        <v>33</v>
      </c>
      <c r="B4" s="411"/>
      <c r="C4" s="411"/>
      <c r="D4" s="411"/>
      <c r="E4" s="411"/>
      <c r="F4" s="411"/>
      <c r="G4" s="411"/>
      <c r="H4" s="411"/>
      <c r="I4" s="411"/>
      <c r="J4" s="411"/>
      <c r="K4" s="412"/>
      <c r="L4" s="11"/>
      <c r="M4" s="11"/>
      <c r="N4" s="97"/>
      <c r="O4" s="97"/>
      <c r="P4" s="98"/>
      <c r="R4" s="12"/>
      <c r="S4" s="12"/>
      <c r="T4" s="12"/>
      <c r="U4" s="12"/>
    </row>
    <row r="5" spans="1:21" s="13" customFormat="1" ht="12.75">
      <c r="A5" s="14" t="s">
        <v>2</v>
      </c>
      <c r="B5" s="15"/>
      <c r="C5" s="15"/>
      <c r="D5" s="15"/>
      <c r="E5" s="16"/>
      <c r="F5" s="17"/>
      <c r="G5" s="18" t="s">
        <v>34</v>
      </c>
      <c r="H5" s="19" t="s">
        <v>183</v>
      </c>
      <c r="I5" s="19"/>
      <c r="J5" s="19"/>
      <c r="K5" s="20"/>
      <c r="L5" s="21"/>
      <c r="M5" s="21"/>
      <c r="N5" s="21"/>
      <c r="O5" s="21"/>
      <c r="P5" s="21"/>
      <c r="Q5" s="21"/>
      <c r="R5" s="12"/>
      <c r="S5" s="12"/>
      <c r="T5" s="12"/>
      <c r="U5" s="12"/>
    </row>
    <row r="6" spans="1:21" s="13" customFormat="1" ht="12.75">
      <c r="A6" s="99"/>
      <c r="B6" s="500" t="s">
        <v>129</v>
      </c>
      <c r="C6" s="501"/>
      <c r="D6" s="501"/>
      <c r="E6" s="501"/>
      <c r="F6" s="502"/>
      <c r="G6" s="24" t="s">
        <v>4</v>
      </c>
      <c r="H6" s="193">
        <f>'Commercial Invoice'!H6</f>
        <v>46157</v>
      </c>
      <c r="I6" s="32"/>
      <c r="J6" s="41"/>
      <c r="K6" s="27"/>
      <c r="L6" s="21"/>
      <c r="M6" s="21"/>
      <c r="N6" s="21"/>
      <c r="O6" s="21"/>
      <c r="P6" s="21"/>
      <c r="Q6" s="21"/>
      <c r="R6" s="12"/>
      <c r="S6" s="12"/>
      <c r="T6" s="12"/>
      <c r="U6" s="12"/>
    </row>
    <row r="7" spans="1:21" ht="12.75">
      <c r="A7" s="8"/>
      <c r="B7" s="501"/>
      <c r="C7" s="501"/>
      <c r="D7" s="501"/>
      <c r="E7" s="501"/>
      <c r="F7" s="502"/>
      <c r="G7" s="29" t="s">
        <v>5</v>
      </c>
      <c r="H7" s="30" t="s">
        <v>6</v>
      </c>
      <c r="I7" s="30"/>
      <c r="J7" s="30"/>
      <c r="K7" s="100"/>
    </row>
    <row r="8" spans="1:21" ht="12.75">
      <c r="A8" s="8"/>
      <c r="B8" s="503"/>
      <c r="C8" s="503"/>
      <c r="D8" s="503"/>
      <c r="E8" s="503"/>
      <c r="F8" s="504"/>
      <c r="G8" s="24" t="s">
        <v>4</v>
      </c>
      <c r="H8" s="193">
        <f>'Commercial Invoice'!H8</f>
        <v>45814</v>
      </c>
      <c r="I8" s="32"/>
      <c r="J8" s="32"/>
      <c r="K8" s="100"/>
    </row>
    <row r="9" spans="1:21" ht="21" thickBot="1">
      <c r="A9" s="33" t="s">
        <v>7</v>
      </c>
      <c r="B9" s="30"/>
      <c r="C9" s="30"/>
      <c r="D9" s="30"/>
      <c r="E9" s="30"/>
      <c r="F9" s="34"/>
      <c r="G9" s="413" t="str">
        <f>[6]CI!G9</f>
        <v>SHIPPING MARK</v>
      </c>
      <c r="H9" s="414"/>
      <c r="I9" s="414"/>
      <c r="J9" s="414"/>
      <c r="K9" s="415"/>
    </row>
    <row r="10" spans="1:21" ht="17.649999999999999" customHeight="1">
      <c r="A10" s="8"/>
      <c r="B10" s="495" t="s">
        <v>128</v>
      </c>
      <c r="C10" s="496"/>
      <c r="D10" s="496"/>
      <c r="E10" s="496"/>
      <c r="F10" s="497"/>
      <c r="G10" s="421" t="s">
        <v>9</v>
      </c>
      <c r="H10" s="422"/>
      <c r="I10" s="422"/>
      <c r="J10" s="422"/>
      <c r="K10" s="423"/>
    </row>
    <row r="11" spans="1:21" ht="17.649999999999999" customHeight="1">
      <c r="A11" s="8"/>
      <c r="B11" s="496"/>
      <c r="C11" s="496"/>
      <c r="D11" s="496"/>
      <c r="E11" s="496"/>
      <c r="F11" s="497"/>
      <c r="G11" s="424"/>
      <c r="H11" s="425"/>
      <c r="I11" s="425"/>
      <c r="J11" s="425"/>
      <c r="K11" s="426"/>
    </row>
    <row r="12" spans="1:21" ht="24" customHeight="1" thickBot="1">
      <c r="A12" s="35"/>
      <c r="B12" s="498"/>
      <c r="C12" s="498"/>
      <c r="D12" s="498"/>
      <c r="E12" s="498"/>
      <c r="F12" s="499"/>
      <c r="G12" s="427"/>
      <c r="H12" s="428"/>
      <c r="I12" s="428"/>
      <c r="J12" s="428"/>
      <c r="K12" s="429"/>
    </row>
    <row r="13" spans="1:21" ht="21.6" customHeight="1">
      <c r="A13" s="36" t="s">
        <v>10</v>
      </c>
      <c r="B13" s="28"/>
      <c r="G13" s="101"/>
      <c r="H13" s="489"/>
      <c r="I13" s="489"/>
      <c r="J13" s="489"/>
      <c r="K13" s="490"/>
    </row>
    <row r="14" spans="1:21" ht="14.1" customHeight="1">
      <c r="A14" s="8"/>
      <c r="B14" s="441" t="s">
        <v>130</v>
      </c>
      <c r="C14" s="442"/>
      <c r="D14" s="442"/>
      <c r="E14" s="442"/>
      <c r="F14" s="443"/>
      <c r="G14" s="38"/>
      <c r="H14" s="430"/>
      <c r="I14" s="430"/>
      <c r="J14" s="430"/>
      <c r="K14" s="431"/>
    </row>
    <row r="15" spans="1:21" ht="14.1" customHeight="1">
      <c r="A15" s="8"/>
      <c r="B15" s="442"/>
      <c r="C15" s="442"/>
      <c r="D15" s="442"/>
      <c r="E15" s="442"/>
      <c r="F15" s="443"/>
      <c r="G15" s="294" t="s">
        <v>184</v>
      </c>
      <c r="H15" s="432" t="str">
        <f>H5</f>
        <v>OM4-DE-IS-0003</v>
      </c>
      <c r="I15" s="432"/>
      <c r="J15" s="432"/>
      <c r="K15" s="295"/>
    </row>
    <row r="16" spans="1:21" ht="13.9" customHeight="1">
      <c r="A16" s="8"/>
      <c r="B16" s="442"/>
      <c r="C16" s="442"/>
      <c r="D16" s="442"/>
      <c r="E16" s="442"/>
      <c r="F16" s="443"/>
      <c r="G16" s="38"/>
      <c r="H16" s="191"/>
      <c r="I16" s="191"/>
      <c r="J16" s="191"/>
      <c r="K16" s="218"/>
    </row>
    <row r="17" spans="1:22" ht="99.6" customHeight="1">
      <c r="A17" s="8"/>
      <c r="B17" s="444"/>
      <c r="C17" s="444"/>
      <c r="D17" s="444"/>
      <c r="E17" s="444"/>
      <c r="F17" s="445"/>
      <c r="G17" s="294" t="s">
        <v>12</v>
      </c>
      <c r="H17" s="491" t="s">
        <v>411</v>
      </c>
      <c r="I17" s="491"/>
      <c r="J17" s="491"/>
      <c r="K17" s="339"/>
    </row>
    <row r="18" spans="1:22" ht="18.600000000000001" customHeight="1">
      <c r="A18" s="33" t="s">
        <v>13</v>
      </c>
      <c r="B18" s="40"/>
      <c r="C18" s="29" t="s">
        <v>14</v>
      </c>
      <c r="D18" s="30"/>
      <c r="E18" s="30"/>
      <c r="F18" s="34"/>
      <c r="G18" s="38"/>
      <c r="H18" s="481"/>
      <c r="I18" s="481"/>
      <c r="J18" s="481"/>
      <c r="K18" s="482"/>
    </row>
    <row r="19" spans="1:22" s="6" customFormat="1" ht="12.75">
      <c r="A19" s="35"/>
      <c r="B19" s="273" t="s">
        <v>410</v>
      </c>
      <c r="C19" s="274"/>
      <c r="D19" s="449">
        <v>46169</v>
      </c>
      <c r="E19" s="449"/>
      <c r="F19" s="450"/>
      <c r="G19" s="180" t="s">
        <v>110</v>
      </c>
      <c r="H19" s="483" t="s">
        <v>111</v>
      </c>
      <c r="I19" s="483"/>
      <c r="J19" s="483"/>
      <c r="K19" s="484"/>
      <c r="M19" s="95"/>
      <c r="N19" s="66"/>
      <c r="O19" s="96"/>
      <c r="P19" s="66"/>
      <c r="Q19" s="66"/>
      <c r="R19" s="7"/>
      <c r="S19" s="7"/>
      <c r="T19" s="7"/>
      <c r="U19" s="7"/>
      <c r="V19" s="7"/>
    </row>
    <row r="20" spans="1:22" s="6" customFormat="1" ht="18.600000000000001" customHeight="1">
      <c r="A20" s="33" t="s">
        <v>15</v>
      </c>
      <c r="B20" s="30"/>
      <c r="C20" s="29" t="s">
        <v>16</v>
      </c>
      <c r="D20" s="30"/>
      <c r="E20" s="30"/>
      <c r="F20" s="34"/>
      <c r="G20" s="37"/>
      <c r="H20" s="481"/>
      <c r="I20" s="481"/>
      <c r="J20" s="481"/>
      <c r="K20" s="482"/>
      <c r="M20" s="95"/>
      <c r="N20" s="66"/>
      <c r="O20" s="96"/>
      <c r="P20" s="66"/>
      <c r="Q20" s="66"/>
      <c r="R20" s="7"/>
      <c r="S20" s="7"/>
      <c r="T20" s="7"/>
      <c r="U20" s="7"/>
      <c r="V20" s="7"/>
    </row>
    <row r="21" spans="1:22" s="6" customFormat="1" ht="12.75">
      <c r="A21" s="8"/>
      <c r="B21" s="298" t="s">
        <v>269</v>
      </c>
      <c r="C21" s="42"/>
      <c r="D21" s="291" t="s">
        <v>138</v>
      </c>
      <c r="E21" s="292"/>
      <c r="F21" s="293"/>
      <c r="G21" s="37"/>
      <c r="H21" s="187"/>
      <c r="K21" s="9"/>
      <c r="M21" s="95"/>
      <c r="N21" s="66"/>
      <c r="O21" s="96"/>
      <c r="P21" s="66"/>
      <c r="Q21" s="66"/>
      <c r="R21" s="7"/>
      <c r="S21" s="7"/>
      <c r="T21" s="7"/>
      <c r="U21" s="7"/>
      <c r="V21" s="7"/>
    </row>
    <row r="22" spans="1:22" s="6" customFormat="1" ht="18.600000000000001" customHeight="1">
      <c r="A22" s="33" t="s">
        <v>17</v>
      </c>
      <c r="B22" s="40"/>
      <c r="C22" s="29" t="s">
        <v>18</v>
      </c>
      <c r="D22" s="30"/>
      <c r="E22" s="30"/>
      <c r="F22" s="34"/>
      <c r="G22" s="37"/>
      <c r="H22" s="187"/>
      <c r="K22" s="9"/>
      <c r="M22" s="95"/>
      <c r="N22" s="66"/>
      <c r="O22" s="96"/>
      <c r="P22" s="66"/>
      <c r="Q22" s="66"/>
      <c r="R22" s="7"/>
      <c r="S22" s="7"/>
      <c r="T22" s="7"/>
      <c r="U22" s="7"/>
      <c r="V22" s="7"/>
    </row>
    <row r="23" spans="1:22" s="6" customFormat="1" ht="12.75">
      <c r="A23" s="35"/>
      <c r="B23" s="273"/>
      <c r="C23" s="274"/>
      <c r="D23" s="453"/>
      <c r="E23" s="453"/>
      <c r="F23" s="454"/>
      <c r="G23" s="37"/>
      <c r="K23" s="9"/>
      <c r="M23" s="95"/>
      <c r="N23" s="66"/>
      <c r="O23" s="96"/>
      <c r="P23" s="66"/>
      <c r="Q23" s="66"/>
      <c r="R23" s="7"/>
      <c r="S23" s="7"/>
      <c r="T23" s="7"/>
      <c r="U23" s="7"/>
      <c r="V23" s="7"/>
    </row>
    <row r="24" spans="1:22" s="6" customFormat="1" ht="18.600000000000001" customHeight="1">
      <c r="A24" s="33" t="s">
        <v>19</v>
      </c>
      <c r="B24" s="30"/>
      <c r="C24" s="30"/>
      <c r="D24" s="30"/>
      <c r="E24" s="30"/>
      <c r="F24" s="30"/>
      <c r="G24" s="43"/>
      <c r="H24" s="44"/>
      <c r="I24" s="44"/>
      <c r="J24" s="44"/>
      <c r="K24" s="46"/>
      <c r="M24" s="95"/>
      <c r="N24" s="66"/>
      <c r="O24" s="96"/>
      <c r="P24" s="66"/>
      <c r="Q24" s="66"/>
      <c r="R24" s="7"/>
      <c r="S24" s="7"/>
      <c r="T24" s="7"/>
      <c r="U24" s="7"/>
      <c r="V24" s="7"/>
    </row>
    <row r="25" spans="1:22" s="6" customFormat="1" ht="12.75">
      <c r="A25" s="8"/>
      <c r="B25" s="28" t="s">
        <v>9</v>
      </c>
      <c r="C25" s="7"/>
      <c r="D25" s="7"/>
      <c r="E25" s="7"/>
      <c r="F25" s="7"/>
      <c r="G25" s="37"/>
      <c r="K25" s="9"/>
      <c r="M25" s="95"/>
      <c r="N25" s="66"/>
      <c r="O25" s="96"/>
      <c r="P25" s="66"/>
      <c r="Q25" s="66"/>
      <c r="R25" s="7"/>
      <c r="S25" s="7"/>
      <c r="T25" s="7"/>
      <c r="U25" s="7"/>
      <c r="V25" s="7"/>
    </row>
    <row r="26" spans="1:22" s="6" customFormat="1" ht="12.75">
      <c r="A26" s="35"/>
      <c r="B26" s="455" t="s">
        <v>131</v>
      </c>
      <c r="C26" s="455"/>
      <c r="D26" s="455"/>
      <c r="E26" s="455"/>
      <c r="F26" s="456"/>
      <c r="G26" s="47"/>
      <c r="H26" s="48"/>
      <c r="I26" s="48"/>
      <c r="J26" s="48"/>
      <c r="K26" s="49"/>
      <c r="M26" s="95"/>
      <c r="N26" s="66"/>
      <c r="O26" s="96"/>
      <c r="P26" s="66"/>
      <c r="Q26" s="66"/>
      <c r="R26" s="7"/>
      <c r="S26" s="7"/>
      <c r="T26" s="7"/>
      <c r="U26" s="7"/>
      <c r="V26" s="7"/>
    </row>
    <row r="27" spans="1:22" s="28" customFormat="1" ht="35.25">
      <c r="A27" s="485" t="s">
        <v>20</v>
      </c>
      <c r="B27" s="486"/>
      <c r="C27" s="486"/>
      <c r="D27" s="486"/>
      <c r="E27" s="486"/>
      <c r="F27" s="486"/>
      <c r="G27" s="102" t="s">
        <v>21</v>
      </c>
      <c r="H27" s="102" t="s">
        <v>22</v>
      </c>
      <c r="I27" s="103" t="s">
        <v>35</v>
      </c>
      <c r="J27" s="103" t="s">
        <v>36</v>
      </c>
      <c r="K27" s="104" t="s">
        <v>37</v>
      </c>
      <c r="L27" s="105"/>
      <c r="M27" s="106"/>
      <c r="N27" s="107"/>
      <c r="O27" s="108"/>
      <c r="P27" s="107"/>
      <c r="Q27" s="107"/>
    </row>
    <row r="28" spans="1:22" ht="52.9" customHeight="1">
      <c r="A28" s="36"/>
      <c r="B28" s="487" t="s">
        <v>133</v>
      </c>
      <c r="C28" s="487"/>
      <c r="D28" s="487"/>
      <c r="E28" s="487"/>
      <c r="F28" s="488"/>
      <c r="G28" s="53"/>
      <c r="H28" s="53"/>
      <c r="I28" s="109"/>
      <c r="J28" s="109"/>
      <c r="K28" s="110"/>
    </row>
    <row r="29" spans="1:22" ht="14.1" customHeight="1">
      <c r="A29" s="36"/>
      <c r="B29" s="28"/>
      <c r="G29" s="53"/>
      <c r="H29" s="53"/>
      <c r="I29" s="53"/>
      <c r="J29" s="53"/>
      <c r="K29" s="56"/>
    </row>
    <row r="30" spans="1:22" ht="14.1" customHeight="1">
      <c r="A30" s="492" t="s">
        <v>355</v>
      </c>
      <c r="B30" s="493"/>
      <c r="C30" s="493"/>
      <c r="D30" s="493"/>
      <c r="E30" s="493"/>
      <c r="F30" s="494"/>
      <c r="G30" s="111"/>
      <c r="H30" s="111"/>
      <c r="I30" s="53"/>
      <c r="J30" s="53"/>
      <c r="K30" s="56"/>
    </row>
    <row r="31" spans="1:22" ht="14.1" customHeight="1">
      <c r="A31" s="493"/>
      <c r="B31" s="493"/>
      <c r="C31" s="493"/>
      <c r="D31" s="493"/>
      <c r="E31" s="493"/>
      <c r="F31" s="494"/>
      <c r="G31" s="53" t="s">
        <v>148</v>
      </c>
      <c r="H31" s="53">
        <v>150</v>
      </c>
      <c r="I31" s="312">
        <v>3375</v>
      </c>
      <c r="J31" s="312">
        <v>3575</v>
      </c>
      <c r="K31" s="313">
        <v>32.054000000000002</v>
      </c>
    </row>
    <row r="32" spans="1:22" ht="14.1" customHeight="1">
      <c r="A32" s="493"/>
      <c r="B32" s="493"/>
      <c r="C32" s="493"/>
      <c r="D32" s="493"/>
      <c r="E32" s="493"/>
      <c r="F32" s="494"/>
      <c r="G32" s="53" t="s">
        <v>148</v>
      </c>
      <c r="H32" s="53">
        <v>150</v>
      </c>
      <c r="I32" s="312">
        <v>3375</v>
      </c>
      <c r="J32" s="312">
        <v>3575</v>
      </c>
      <c r="K32" s="313">
        <v>32.054000000000002</v>
      </c>
    </row>
    <row r="33" spans="1:17" ht="14.1" customHeight="1">
      <c r="A33" s="493"/>
      <c r="B33" s="493"/>
      <c r="C33" s="493"/>
      <c r="D33" s="493"/>
      <c r="E33" s="493"/>
      <c r="F33" s="494"/>
      <c r="G33" s="53" t="s">
        <v>148</v>
      </c>
      <c r="H33" s="53">
        <v>150</v>
      </c>
      <c r="I33" s="312">
        <v>3375</v>
      </c>
      <c r="J33" s="312">
        <v>3575</v>
      </c>
      <c r="K33" s="313">
        <v>32.054000000000002</v>
      </c>
    </row>
    <row r="34" spans="1:17" ht="14.1" customHeight="1">
      <c r="A34" s="493"/>
      <c r="B34" s="493"/>
      <c r="C34" s="493"/>
      <c r="D34" s="493"/>
      <c r="E34" s="493"/>
      <c r="F34" s="494"/>
      <c r="G34" s="53" t="s">
        <v>148</v>
      </c>
      <c r="H34" s="53">
        <v>150</v>
      </c>
      <c r="I34" s="312">
        <v>3375</v>
      </c>
      <c r="J34" s="312">
        <v>3575</v>
      </c>
      <c r="K34" s="313">
        <v>32.054000000000002</v>
      </c>
    </row>
    <row r="35" spans="1:17" ht="14.1" customHeight="1">
      <c r="A35" s="493"/>
      <c r="B35" s="493"/>
      <c r="C35" s="493"/>
      <c r="D35" s="493"/>
      <c r="E35" s="493"/>
      <c r="F35" s="494"/>
      <c r="G35" s="53" t="s">
        <v>148</v>
      </c>
      <c r="H35" s="53">
        <v>150</v>
      </c>
      <c r="I35" s="312">
        <v>3375</v>
      </c>
      <c r="J35" s="312">
        <v>3575</v>
      </c>
      <c r="K35" s="313">
        <v>32.054000000000002</v>
      </c>
    </row>
    <row r="36" spans="1:17" ht="14.1" customHeight="1">
      <c r="A36" s="493"/>
      <c r="B36" s="493"/>
      <c r="C36" s="493"/>
      <c r="D36" s="493"/>
      <c r="E36" s="493"/>
      <c r="F36" s="494"/>
      <c r="G36" s="53" t="s">
        <v>148</v>
      </c>
      <c r="H36" s="53">
        <v>150</v>
      </c>
      <c r="I36" s="312">
        <v>3375</v>
      </c>
      <c r="J36" s="312">
        <v>3575</v>
      </c>
      <c r="K36" s="313">
        <v>32.054000000000002</v>
      </c>
    </row>
    <row r="37" spans="1:17" ht="14.1" customHeight="1">
      <c r="A37" s="493"/>
      <c r="B37" s="493"/>
      <c r="C37" s="493"/>
      <c r="D37" s="493"/>
      <c r="E37" s="493"/>
      <c r="F37" s="494"/>
      <c r="G37" s="53" t="s">
        <v>148</v>
      </c>
      <c r="H37" s="53">
        <v>100</v>
      </c>
      <c r="I37" s="312">
        <v>2250</v>
      </c>
      <c r="J37" s="312">
        <v>2450</v>
      </c>
      <c r="K37" s="313">
        <v>24.552</v>
      </c>
    </row>
    <row r="38" spans="1:17" ht="14.1" customHeight="1">
      <c r="A38" s="493"/>
      <c r="B38" s="493"/>
      <c r="C38" s="493"/>
      <c r="D38" s="493"/>
      <c r="E38" s="493"/>
      <c r="F38" s="494"/>
      <c r="G38" s="53" t="s">
        <v>148</v>
      </c>
      <c r="H38" s="53">
        <v>100</v>
      </c>
      <c r="I38" s="312">
        <v>1120</v>
      </c>
      <c r="J38" s="312">
        <v>1320</v>
      </c>
      <c r="K38" s="312">
        <v>12.936</v>
      </c>
    </row>
    <row r="39" spans="1:17" ht="14.1" customHeight="1">
      <c r="A39" s="493"/>
      <c r="B39" s="493"/>
      <c r="C39" s="493"/>
      <c r="D39" s="493"/>
      <c r="E39" s="493"/>
      <c r="F39" s="494"/>
      <c r="G39" s="53" t="s">
        <v>148</v>
      </c>
      <c r="H39" s="53">
        <v>550</v>
      </c>
      <c r="I39" s="312">
        <v>2272</v>
      </c>
      <c r="J39" s="312">
        <v>2472</v>
      </c>
      <c r="K39" s="312">
        <v>12.936</v>
      </c>
    </row>
    <row r="40" spans="1:17" ht="14.1" customHeight="1">
      <c r="A40" s="493"/>
      <c r="B40" s="493"/>
      <c r="C40" s="493"/>
      <c r="D40" s="493"/>
      <c r="E40" s="493"/>
      <c r="F40" s="494"/>
      <c r="G40" s="53" t="s">
        <v>148</v>
      </c>
      <c r="H40" s="53">
        <v>1640</v>
      </c>
      <c r="I40" s="312">
        <v>710.5</v>
      </c>
      <c r="J40" s="312">
        <v>1010.5</v>
      </c>
      <c r="K40" s="312">
        <v>11.087999999999999</v>
      </c>
    </row>
    <row r="41" spans="1:17" ht="14.1" customHeight="1">
      <c r="A41" s="493"/>
      <c r="B41" s="493"/>
      <c r="C41" s="493"/>
      <c r="D41" s="493"/>
      <c r="E41" s="493"/>
      <c r="F41" s="494"/>
      <c r="G41" s="53" t="s">
        <v>148</v>
      </c>
      <c r="H41" s="53">
        <v>1300</v>
      </c>
      <c r="I41" s="312">
        <v>1300</v>
      </c>
      <c r="J41" s="312">
        <v>1600</v>
      </c>
      <c r="K41" s="312">
        <v>15.708</v>
      </c>
    </row>
    <row r="42" spans="1:17" ht="14.1" customHeight="1">
      <c r="A42" s="493"/>
      <c r="B42" s="493"/>
      <c r="C42" s="493"/>
      <c r="D42" s="493"/>
      <c r="E42" s="493"/>
      <c r="F42" s="494"/>
      <c r="G42" s="53" t="s">
        <v>148</v>
      </c>
      <c r="H42" s="53">
        <v>3805</v>
      </c>
      <c r="I42" s="312">
        <v>1860</v>
      </c>
      <c r="J42" s="312">
        <v>2160</v>
      </c>
      <c r="K42" s="312">
        <v>18.48</v>
      </c>
    </row>
    <row r="43" spans="1:17" ht="14.1" customHeight="1">
      <c r="A43" s="493"/>
      <c r="B43" s="493"/>
      <c r="C43" s="493"/>
      <c r="D43" s="493"/>
      <c r="E43" s="493"/>
      <c r="F43" s="494"/>
      <c r="G43" s="53" t="s">
        <v>148</v>
      </c>
      <c r="H43" s="53">
        <v>251</v>
      </c>
      <c r="I43" s="312">
        <v>987.28</v>
      </c>
      <c r="J43" s="312">
        <v>1187.28</v>
      </c>
      <c r="K43" s="314">
        <v>7.3920000000000003</v>
      </c>
    </row>
    <row r="44" spans="1:17" ht="14.1" customHeight="1">
      <c r="A44" s="493"/>
      <c r="B44" s="493"/>
      <c r="C44" s="493"/>
      <c r="D44" s="493"/>
      <c r="E44" s="493"/>
      <c r="F44" s="494"/>
      <c r="G44" s="53" t="s">
        <v>148</v>
      </c>
      <c r="H44" s="53">
        <v>1162</v>
      </c>
      <c r="I44" s="312">
        <v>603.45500000000027</v>
      </c>
      <c r="J44" s="312">
        <v>903.45500000000027</v>
      </c>
      <c r="K44" s="314">
        <v>6</v>
      </c>
    </row>
    <row r="45" spans="1:17" ht="14.1" customHeight="1">
      <c r="A45" s="493"/>
      <c r="B45" s="493"/>
      <c r="C45" s="493"/>
      <c r="D45" s="493"/>
      <c r="E45" s="493"/>
      <c r="F45" s="494"/>
      <c r="G45" s="53"/>
      <c r="H45" s="53"/>
      <c r="I45" s="312"/>
      <c r="J45" s="312"/>
      <c r="K45" s="314"/>
    </row>
    <row r="46" spans="1:17" s="298" customFormat="1" ht="14.1" customHeight="1">
      <c r="A46" s="301"/>
      <c r="B46" s="308" t="s">
        <v>25</v>
      </c>
      <c r="D46" s="298">
        <v>14</v>
      </c>
      <c r="E46" s="298" t="s">
        <v>26</v>
      </c>
      <c r="G46" s="303"/>
      <c r="H46" s="303"/>
      <c r="I46" s="315"/>
      <c r="J46" s="315"/>
      <c r="K46" s="316"/>
      <c r="L46" s="297"/>
      <c r="M46" s="305"/>
      <c r="N46" s="306"/>
      <c r="O46" s="307"/>
      <c r="P46" s="306"/>
      <c r="Q46" s="306"/>
    </row>
    <row r="47" spans="1:17" ht="14.1" customHeight="1">
      <c r="A47" s="36"/>
      <c r="G47" s="53"/>
      <c r="H47" s="53"/>
      <c r="I47" s="312"/>
      <c r="J47" s="312"/>
      <c r="K47" s="314"/>
    </row>
    <row r="48" spans="1:17" ht="14.1" customHeight="1">
      <c r="A48" s="36"/>
      <c r="B48" s="191"/>
      <c r="D48" s="190"/>
      <c r="G48" s="53"/>
      <c r="H48" s="53"/>
      <c r="I48" s="312"/>
      <c r="J48" s="312"/>
      <c r="K48" s="314"/>
    </row>
    <row r="49" spans="1:22" ht="14.1" customHeight="1">
      <c r="A49" s="57"/>
      <c r="B49" s="58"/>
      <c r="C49" s="58"/>
      <c r="D49" s="58"/>
      <c r="E49" s="58"/>
      <c r="F49" s="58"/>
      <c r="G49" s="60"/>
      <c r="H49" s="60"/>
      <c r="I49" s="310"/>
      <c r="J49" s="310"/>
      <c r="K49" s="317"/>
    </row>
    <row r="50" spans="1:22" s="105" customFormat="1" ht="22.9" customHeight="1">
      <c r="A50" s="112"/>
      <c r="B50" s="113"/>
      <c r="C50" s="113"/>
      <c r="D50" s="113"/>
      <c r="E50" s="113"/>
      <c r="F50" s="113"/>
      <c r="G50" s="479" t="s">
        <v>38</v>
      </c>
      <c r="H50" s="480"/>
      <c r="I50" s="318">
        <f>SUM(I28:I49)</f>
        <v>31353.235000000001</v>
      </c>
      <c r="J50" s="318">
        <f>SUM(J28:J49)</f>
        <v>34553.235000000001</v>
      </c>
      <c r="K50" s="319">
        <f>SUM(K28:K49)</f>
        <v>301.41600000000005</v>
      </c>
      <c r="M50" s="106"/>
      <c r="N50" s="107"/>
      <c r="O50" s="108"/>
      <c r="P50" s="107"/>
      <c r="Q50" s="107"/>
      <c r="R50" s="28"/>
      <c r="S50" s="28"/>
      <c r="T50" s="28"/>
      <c r="U50" s="28"/>
      <c r="V50" s="28"/>
    </row>
    <row r="51" spans="1:22" s="6" customFormat="1" ht="14.1" customHeight="1">
      <c r="A51" s="36"/>
      <c r="B51" s="7"/>
      <c r="C51" s="7"/>
      <c r="D51" s="7"/>
      <c r="E51" s="7"/>
      <c r="F51" s="7"/>
      <c r="K51" s="9"/>
      <c r="M51" s="95"/>
      <c r="N51" s="66"/>
      <c r="O51" s="96"/>
      <c r="P51" s="66"/>
      <c r="Q51" s="66"/>
      <c r="R51" s="7"/>
      <c r="S51" s="7"/>
      <c r="T51" s="7"/>
      <c r="U51" s="7"/>
      <c r="V51" s="7"/>
    </row>
    <row r="52" spans="1:22" s="6" customFormat="1" ht="14.1" customHeight="1">
      <c r="A52" s="36"/>
      <c r="B52" s="7"/>
      <c r="C52" s="7"/>
      <c r="D52" s="7"/>
      <c r="E52" s="7"/>
      <c r="F52" s="7"/>
      <c r="K52" s="9"/>
      <c r="M52" s="95"/>
      <c r="N52" s="66"/>
      <c r="O52" s="96"/>
      <c r="P52" s="66"/>
      <c r="Q52" s="66"/>
      <c r="R52" s="7"/>
      <c r="S52" s="7"/>
      <c r="T52" s="7"/>
      <c r="U52" s="7"/>
      <c r="V52" s="7"/>
    </row>
    <row r="53" spans="1:22" s="6" customFormat="1" ht="14.1" customHeight="1">
      <c r="A53" s="36"/>
      <c r="B53" s="7"/>
      <c r="C53" s="7"/>
      <c r="D53" s="7"/>
      <c r="E53" s="7"/>
      <c r="F53" s="7"/>
      <c r="K53" s="9"/>
      <c r="M53" s="95"/>
      <c r="N53" s="66"/>
      <c r="O53" s="96"/>
      <c r="P53" s="66"/>
      <c r="Q53" s="66"/>
      <c r="R53" s="7"/>
      <c r="S53" s="7"/>
      <c r="T53" s="7"/>
      <c r="U53" s="7"/>
      <c r="V53" s="7"/>
    </row>
    <row r="54" spans="1:22" s="6" customFormat="1" ht="14.1" customHeight="1">
      <c r="A54" s="36"/>
      <c r="B54" s="7"/>
      <c r="C54" s="7"/>
      <c r="D54" s="7"/>
      <c r="E54" s="7"/>
      <c r="F54" s="7"/>
      <c r="K54" s="9"/>
      <c r="M54" s="95"/>
      <c r="N54" s="66"/>
      <c r="O54" s="96"/>
      <c r="P54" s="66"/>
      <c r="Q54" s="66"/>
      <c r="R54" s="7"/>
      <c r="S54" s="7"/>
      <c r="T54" s="7"/>
      <c r="U54" s="7"/>
      <c r="V54" s="7"/>
    </row>
    <row r="55" spans="1:22" s="6" customFormat="1" ht="14.1" customHeight="1">
      <c r="A55" s="8"/>
      <c r="B55" s="7"/>
      <c r="C55" s="7"/>
      <c r="D55" s="7"/>
      <c r="E55" s="7"/>
      <c r="F55" s="7"/>
      <c r="K55" s="9"/>
      <c r="M55" s="95"/>
      <c r="N55" s="66"/>
      <c r="O55" s="96"/>
      <c r="P55" s="66"/>
      <c r="Q55" s="66"/>
      <c r="R55" s="7"/>
      <c r="S55" s="7"/>
      <c r="T55" s="7"/>
      <c r="U55" s="7"/>
      <c r="V55" s="7"/>
    </row>
    <row r="56" spans="1:22" s="6" customFormat="1" ht="14.1" customHeight="1">
      <c r="A56" s="114"/>
      <c r="B56" s="7"/>
      <c r="C56" s="7"/>
      <c r="D56" s="7"/>
      <c r="E56" s="7"/>
      <c r="F56" s="7"/>
      <c r="K56" s="9"/>
      <c r="M56" s="95"/>
      <c r="N56" s="66"/>
      <c r="O56" s="96"/>
      <c r="P56" s="66"/>
      <c r="Q56" s="66"/>
      <c r="R56" s="7"/>
      <c r="S56" s="7"/>
      <c r="T56" s="7"/>
      <c r="U56" s="7"/>
      <c r="V56" s="7"/>
    </row>
    <row r="57" spans="1:22" s="6" customFormat="1" ht="14.1" customHeight="1">
      <c r="A57" s="115"/>
      <c r="B57" s="7"/>
      <c r="C57" s="7"/>
      <c r="D57" s="7"/>
      <c r="E57" s="7"/>
      <c r="F57" s="7"/>
      <c r="K57" s="9"/>
      <c r="M57" s="95"/>
      <c r="N57" s="66"/>
      <c r="O57" s="96"/>
      <c r="P57" s="66"/>
      <c r="Q57" s="66"/>
      <c r="R57" s="7"/>
      <c r="S57" s="7"/>
      <c r="T57" s="7"/>
      <c r="U57" s="7"/>
      <c r="V57" s="7"/>
    </row>
    <row r="58" spans="1:22" s="6" customFormat="1" ht="14.1" customHeight="1">
      <c r="A58" s="115"/>
      <c r="B58" s="199"/>
      <c r="C58" s="7"/>
      <c r="D58" s="7"/>
      <c r="E58" s="7"/>
      <c r="F58" s="7"/>
      <c r="G58" s="66" t="s">
        <v>28</v>
      </c>
      <c r="H58" s="48"/>
      <c r="I58" s="48"/>
      <c r="J58" s="48"/>
      <c r="K58" s="9"/>
      <c r="M58" s="95"/>
      <c r="N58" s="66"/>
      <c r="O58" s="96"/>
      <c r="P58" s="66"/>
      <c r="Q58" s="66"/>
      <c r="R58" s="7"/>
      <c r="S58" s="7"/>
      <c r="T58" s="7"/>
      <c r="U58" s="7"/>
      <c r="V58" s="7"/>
    </row>
    <row r="59" spans="1:22" s="6" customFormat="1" ht="14.1" customHeight="1">
      <c r="A59" s="115"/>
      <c r="B59" s="199"/>
      <c r="C59" s="7"/>
      <c r="D59" s="7"/>
      <c r="E59" s="7"/>
      <c r="F59" s="7"/>
      <c r="G59" s="66"/>
      <c r="H59" s="446" t="s">
        <v>268</v>
      </c>
      <c r="I59" s="446"/>
      <c r="J59" s="446"/>
      <c r="K59" s="9"/>
      <c r="M59" s="95"/>
      <c r="N59" s="66"/>
      <c r="O59" s="96"/>
      <c r="P59" s="66"/>
      <c r="Q59" s="66"/>
      <c r="R59" s="7"/>
      <c r="S59" s="7"/>
      <c r="T59" s="7"/>
      <c r="U59" s="7"/>
      <c r="V59" s="7"/>
    </row>
    <row r="60" spans="1:22" s="6" customFormat="1" ht="13.5" thickBot="1">
      <c r="A60" s="67"/>
      <c r="B60" s="200"/>
      <c r="C60" s="68"/>
      <c r="D60" s="68"/>
      <c r="E60" s="68"/>
      <c r="F60" s="68"/>
      <c r="G60" s="69"/>
      <c r="H60" s="70"/>
      <c r="I60" s="70"/>
      <c r="J60" s="69"/>
      <c r="K60" s="71"/>
      <c r="M60" s="95"/>
      <c r="N60" s="66"/>
      <c r="O60" s="96"/>
      <c r="P60" s="66"/>
      <c r="Q60" s="66"/>
      <c r="R60" s="7"/>
      <c r="S60" s="7"/>
      <c r="T60" s="7"/>
      <c r="U60" s="7"/>
      <c r="V60" s="7"/>
    </row>
  </sheetData>
  <mergeCells count="23">
    <mergeCell ref="H59:J59"/>
    <mergeCell ref="A30:F45"/>
    <mergeCell ref="A4:K4"/>
    <mergeCell ref="G9:K9"/>
    <mergeCell ref="G10:K12"/>
    <mergeCell ref="B10:F12"/>
    <mergeCell ref="B6:F8"/>
    <mergeCell ref="H15:J15"/>
    <mergeCell ref="B3:F3"/>
    <mergeCell ref="H3:K3"/>
    <mergeCell ref="G50:H50"/>
    <mergeCell ref="H14:K14"/>
    <mergeCell ref="H18:K18"/>
    <mergeCell ref="D19:F19"/>
    <mergeCell ref="H19:K19"/>
    <mergeCell ref="H20:K20"/>
    <mergeCell ref="D23:F23"/>
    <mergeCell ref="B26:F26"/>
    <mergeCell ref="A27:F27"/>
    <mergeCell ref="B28:F28"/>
    <mergeCell ref="B14:F17"/>
    <mergeCell ref="H13:K13"/>
    <mergeCell ref="H17:J17"/>
  </mergeCells>
  <phoneticPr fontId="34" type="noConversion"/>
  <printOptions horizontalCentered="1"/>
  <pageMargins left="0.70866141732283505" right="0.52" top="0.59" bottom="0.74803149606299202" header="0.31496062992126" footer="0.31496062992126"/>
  <pageSetup paperSize="9" scale="65" fitToHeight="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B1:T39"/>
  <sheetViews>
    <sheetView showGridLines="0" view="pageBreakPreview" topLeftCell="D1" zoomScale="80" zoomScaleNormal="100" zoomScaleSheetLayoutView="80" workbookViewId="0">
      <selection activeCell="D15" sqref="D15"/>
    </sheetView>
  </sheetViews>
  <sheetFormatPr defaultColWidth="8.76953125" defaultRowHeight="18" customHeight="1"/>
  <cols>
    <col min="1" max="1" width="1.05078125" style="117" customWidth="1"/>
    <col min="2" max="2" width="3.5078125" style="66" customWidth="1"/>
    <col min="3" max="3" width="22.3359375" style="39" customWidth="1"/>
    <col min="4" max="4" width="45.609375" style="137" bestFit="1" customWidth="1"/>
    <col min="5" max="5" width="8.65234375" style="7" hidden="1" customWidth="1"/>
    <col min="6" max="6" width="6.546875" style="135" bestFit="1" customWidth="1"/>
    <col min="7" max="7" width="5.37890625" style="7" customWidth="1"/>
    <col min="8" max="8" width="8.30078125" style="7" customWidth="1"/>
    <col min="9" max="11" width="7.3671875" style="7" customWidth="1"/>
    <col min="12" max="12" width="8.53515625" style="7" customWidth="1"/>
    <col min="13" max="14" width="9.9375" style="7" bestFit="1" customWidth="1"/>
    <col min="15" max="15" width="10.0546875" style="7" customWidth="1"/>
    <col min="16" max="19" width="9.5859375" style="66" customWidth="1"/>
    <col min="20" max="20" width="7.71484375" style="138" customWidth="1"/>
    <col min="21" max="21" width="7.25" style="117" customWidth="1"/>
    <col min="22" max="16384" width="8.76953125" style="117"/>
  </cols>
  <sheetData>
    <row r="1" spans="2:20" ht="9.1999999999999993" customHeight="1">
      <c r="B1" s="201"/>
      <c r="C1" s="7"/>
      <c r="D1" s="7"/>
      <c r="F1" s="7"/>
      <c r="H1" s="6"/>
      <c r="I1" s="6"/>
      <c r="J1" s="6"/>
      <c r="K1" s="187"/>
      <c r="L1" s="118"/>
      <c r="M1" s="201"/>
      <c r="N1" s="201"/>
      <c r="O1" s="201"/>
      <c r="P1" s="201"/>
      <c r="Q1" s="201"/>
      <c r="R1" s="201"/>
      <c r="S1" s="201"/>
      <c r="T1" s="201"/>
    </row>
    <row r="2" spans="2:20" ht="26.1" customHeight="1">
      <c r="B2" s="202"/>
      <c r="C2" s="7"/>
      <c r="D2" s="7"/>
      <c r="F2" s="7"/>
      <c r="H2" s="6"/>
      <c r="I2" s="6"/>
      <c r="J2" s="6"/>
      <c r="K2" s="187"/>
      <c r="L2" s="118"/>
      <c r="M2" s="202"/>
      <c r="N2" s="202"/>
      <c r="O2" s="202"/>
      <c r="P2" s="202"/>
      <c r="Q2" s="202"/>
      <c r="R2" s="202"/>
      <c r="S2" s="202"/>
      <c r="T2" s="202"/>
    </row>
    <row r="3" spans="2:20" ht="27.75" customHeight="1" thickBot="1">
      <c r="B3" s="202"/>
      <c r="C3" s="511" t="s">
        <v>0</v>
      </c>
      <c r="D3" s="511"/>
      <c r="E3" s="511"/>
      <c r="F3" s="511"/>
      <c r="G3" s="511"/>
      <c r="H3" s="511"/>
      <c r="I3" s="511"/>
      <c r="J3" s="6"/>
      <c r="K3" s="187"/>
      <c r="L3" s="118"/>
      <c r="M3" s="119"/>
      <c r="N3" s="202"/>
      <c r="O3" s="202"/>
      <c r="P3" s="202"/>
      <c r="Q3" s="202"/>
      <c r="R3" s="202"/>
      <c r="S3" s="202"/>
      <c r="T3" s="202"/>
    </row>
    <row r="4" spans="2:20" ht="33.75" customHeight="1" thickTop="1" thickBot="1">
      <c r="B4" s="512" t="s">
        <v>39</v>
      </c>
      <c r="C4" s="513"/>
      <c r="D4" s="513"/>
      <c r="E4" s="513"/>
      <c r="F4" s="513"/>
      <c r="G4" s="513"/>
      <c r="H4" s="513"/>
      <c r="I4" s="513"/>
      <c r="J4" s="513"/>
      <c r="K4" s="513"/>
      <c r="L4" s="513"/>
      <c r="M4" s="513"/>
      <c r="N4" s="513"/>
      <c r="O4" s="513"/>
      <c r="P4" s="513"/>
      <c r="Q4" s="513"/>
      <c r="R4" s="513"/>
      <c r="S4" s="513"/>
      <c r="T4" s="514"/>
    </row>
    <row r="5" spans="2:20" s="7" customFormat="1" ht="17.25" customHeight="1" thickTop="1">
      <c r="B5" s="66"/>
      <c r="C5" s="120" t="s">
        <v>40</v>
      </c>
      <c r="D5" s="121" t="str">
        <f>'Packing List (1_2)'!H5</f>
        <v>OM4-DE-IS-0003</v>
      </c>
      <c r="E5" s="66"/>
      <c r="F5" s="66"/>
      <c r="G5" s="66"/>
      <c r="H5" s="66"/>
      <c r="I5" s="66"/>
      <c r="J5" s="66"/>
      <c r="K5" s="66"/>
      <c r="L5" s="66"/>
      <c r="M5" s="66"/>
      <c r="N5" s="66"/>
      <c r="O5" s="66"/>
      <c r="P5" s="122"/>
      <c r="Q5" s="122"/>
      <c r="R5" s="122"/>
      <c r="S5" s="122"/>
      <c r="T5" s="66"/>
    </row>
    <row r="6" spans="2:20" s="7" customFormat="1" ht="17.25" customHeight="1">
      <c r="B6" s="66"/>
      <c r="C6" s="120" t="s">
        <v>41</v>
      </c>
      <c r="D6" s="195">
        <f>'Packing List (1_2)'!H6</f>
        <v>46157</v>
      </c>
      <c r="E6" s="66"/>
      <c r="F6" s="66"/>
      <c r="G6" s="39"/>
      <c r="H6" s="66"/>
      <c r="I6" s="39" t="s">
        <v>42</v>
      </c>
      <c r="J6" s="66"/>
      <c r="K6" s="66"/>
      <c r="L6" s="66"/>
      <c r="M6" s="66"/>
      <c r="N6" s="39" t="s">
        <v>43</v>
      </c>
      <c r="O6" s="66"/>
      <c r="P6" s="66"/>
      <c r="Q6" s="66"/>
      <c r="R6" s="66"/>
      <c r="S6" s="66"/>
      <c r="T6" s="66"/>
    </row>
    <row r="7" spans="2:20" s="7" customFormat="1" ht="17.25" customHeight="1">
      <c r="B7" s="66"/>
      <c r="C7" s="120" t="s">
        <v>44</v>
      </c>
      <c r="D7" s="123" t="s">
        <v>126</v>
      </c>
      <c r="E7" s="66"/>
      <c r="F7" s="66"/>
      <c r="G7" s="124"/>
      <c r="H7" s="39"/>
      <c r="I7" s="124" t="s">
        <v>45</v>
      </c>
      <c r="J7" s="39" t="s">
        <v>46</v>
      </c>
      <c r="K7" s="66"/>
      <c r="L7" s="66"/>
      <c r="M7" s="66"/>
      <c r="N7" s="125"/>
      <c r="O7" s="126" t="s">
        <v>213</v>
      </c>
      <c r="P7" s="126" t="s">
        <v>215</v>
      </c>
      <c r="Q7" s="126" t="s">
        <v>217</v>
      </c>
      <c r="R7" s="126" t="s">
        <v>211</v>
      </c>
      <c r="S7" s="66"/>
      <c r="T7" s="66"/>
    </row>
    <row r="8" spans="2:20" s="7" customFormat="1" ht="17.25" customHeight="1">
      <c r="B8" s="66"/>
      <c r="D8" s="120"/>
      <c r="E8" s="66"/>
      <c r="F8" s="66"/>
      <c r="G8" s="124"/>
      <c r="H8" s="39"/>
      <c r="I8" s="124" t="s">
        <v>48</v>
      </c>
      <c r="J8" s="39" t="s">
        <v>49</v>
      </c>
      <c r="K8" s="66"/>
      <c r="L8" s="66"/>
      <c r="M8" s="66"/>
      <c r="N8" s="126" t="s">
        <v>50</v>
      </c>
      <c r="O8" s="126" t="s">
        <v>51</v>
      </c>
      <c r="P8" s="126" t="s">
        <v>52</v>
      </c>
      <c r="Q8" s="126" t="s">
        <v>53</v>
      </c>
      <c r="R8" s="126" t="s">
        <v>54</v>
      </c>
      <c r="S8" s="66"/>
      <c r="T8" s="66"/>
    </row>
    <row r="9" spans="2:20" s="7" customFormat="1" ht="17.25" customHeight="1">
      <c r="B9" s="66"/>
      <c r="C9" s="120"/>
      <c r="D9" s="120"/>
      <c r="E9" s="66"/>
      <c r="F9" s="66"/>
      <c r="G9" s="124"/>
      <c r="H9" s="39"/>
      <c r="I9" s="124" t="s">
        <v>55</v>
      </c>
      <c r="J9" s="39" t="s">
        <v>56</v>
      </c>
      <c r="K9" s="66"/>
      <c r="L9" s="66"/>
      <c r="M9" s="66"/>
      <c r="N9" s="126" t="s">
        <v>57</v>
      </c>
      <c r="O9" s="126" t="s">
        <v>58</v>
      </c>
      <c r="P9" s="126" t="s">
        <v>59</v>
      </c>
      <c r="Q9" s="126" t="s">
        <v>60</v>
      </c>
      <c r="R9" s="126" t="s">
        <v>61</v>
      </c>
      <c r="S9" s="66"/>
      <c r="T9" s="66"/>
    </row>
    <row r="10" spans="2:20" s="7" customFormat="1" ht="17.25" customHeight="1">
      <c r="B10" s="66"/>
      <c r="D10" s="120"/>
      <c r="E10" s="66"/>
      <c r="F10" s="66"/>
      <c r="G10" s="124"/>
      <c r="H10" s="39"/>
      <c r="I10" s="124" t="s">
        <v>62</v>
      </c>
      <c r="J10" s="39" t="s">
        <v>63</v>
      </c>
      <c r="K10" s="66"/>
      <c r="L10" s="66"/>
      <c r="M10" s="66"/>
      <c r="N10" s="126" t="s">
        <v>64</v>
      </c>
      <c r="O10" s="126" t="s">
        <v>65</v>
      </c>
      <c r="P10" s="126" t="s">
        <v>66</v>
      </c>
      <c r="Q10" s="126" t="s">
        <v>67</v>
      </c>
      <c r="R10" s="320" t="s">
        <v>68</v>
      </c>
      <c r="S10" s="66"/>
      <c r="T10" s="66"/>
    </row>
    <row r="11" spans="2:20" s="7" customFormat="1" ht="17.25" customHeight="1">
      <c r="B11" s="66"/>
      <c r="D11" s="120"/>
      <c r="E11" s="66"/>
      <c r="F11" s="66"/>
      <c r="G11" s="124"/>
      <c r="H11" s="39"/>
      <c r="I11" s="124" t="s">
        <v>69</v>
      </c>
      <c r="J11" s="39" t="s">
        <v>70</v>
      </c>
      <c r="K11" s="66"/>
      <c r="L11" s="66"/>
      <c r="M11" s="66"/>
      <c r="N11" s="66"/>
      <c r="O11" s="66"/>
      <c r="P11" s="66"/>
      <c r="Q11" s="66"/>
      <c r="R11" s="66"/>
      <c r="S11" s="66"/>
      <c r="T11" s="66"/>
    </row>
    <row r="12" spans="2:20" s="7" customFormat="1" ht="17.25" customHeight="1">
      <c r="B12" s="66"/>
      <c r="C12" s="120"/>
      <c r="D12" s="66"/>
      <c r="E12" s="66"/>
      <c r="F12" s="66"/>
      <c r="I12" s="66"/>
      <c r="J12" s="66"/>
      <c r="K12" s="66"/>
      <c r="L12" s="66"/>
      <c r="M12" s="66"/>
      <c r="N12" s="66"/>
      <c r="O12" s="66"/>
      <c r="P12" s="66"/>
      <c r="Q12" s="66"/>
      <c r="R12" s="66"/>
      <c r="S12" s="66"/>
      <c r="T12" s="66"/>
    </row>
    <row r="13" spans="2:20" s="28" customFormat="1" ht="20.25" customHeight="1">
      <c r="B13" s="507" t="s">
        <v>29</v>
      </c>
      <c r="C13" s="515" t="s">
        <v>30</v>
      </c>
      <c r="D13" s="517" t="s">
        <v>71</v>
      </c>
      <c r="E13" s="507" t="s">
        <v>146</v>
      </c>
      <c r="F13" s="509" t="s">
        <v>72</v>
      </c>
      <c r="G13" s="510"/>
      <c r="H13" s="507" t="s">
        <v>73</v>
      </c>
      <c r="I13" s="509" t="s">
        <v>74</v>
      </c>
      <c r="J13" s="486"/>
      <c r="K13" s="486"/>
      <c r="L13" s="510"/>
      <c r="M13" s="507" t="s">
        <v>75</v>
      </c>
      <c r="N13" s="507" t="s">
        <v>76</v>
      </c>
      <c r="O13" s="507" t="s">
        <v>77</v>
      </c>
      <c r="P13" s="505" t="s">
        <v>139</v>
      </c>
      <c r="Q13" s="505" t="s">
        <v>140</v>
      </c>
      <c r="R13" s="505" t="s">
        <v>141</v>
      </c>
      <c r="S13" s="507" t="s">
        <v>78</v>
      </c>
      <c r="T13" s="507" t="s">
        <v>79</v>
      </c>
    </row>
    <row r="14" spans="2:20" s="28" customFormat="1" ht="33" customHeight="1">
      <c r="B14" s="508"/>
      <c r="C14" s="516"/>
      <c r="D14" s="518"/>
      <c r="E14" s="508"/>
      <c r="F14" s="127" t="s">
        <v>80</v>
      </c>
      <c r="G14" s="127" t="s">
        <v>81</v>
      </c>
      <c r="H14" s="508"/>
      <c r="I14" s="128" t="s">
        <v>82</v>
      </c>
      <c r="J14" s="128" t="s">
        <v>83</v>
      </c>
      <c r="K14" s="128" t="s">
        <v>84</v>
      </c>
      <c r="L14" s="128" t="s">
        <v>85</v>
      </c>
      <c r="M14" s="508"/>
      <c r="N14" s="508"/>
      <c r="O14" s="508"/>
      <c r="P14" s="506"/>
      <c r="Q14" s="506"/>
      <c r="R14" s="506"/>
      <c r="S14" s="508"/>
      <c r="T14" s="508"/>
    </row>
    <row r="15" spans="2:20" s="7" customFormat="1" ht="47.25" customHeight="1">
      <c r="B15" s="213" t="s">
        <v>185</v>
      </c>
      <c r="C15" s="129" t="str">
        <f>'Detailed PL'!C15</f>
        <v>OM4-DE-IS-0003-001</v>
      </c>
      <c r="D15" s="133" t="s">
        <v>143</v>
      </c>
      <c r="E15" s="126"/>
      <c r="F15" s="214">
        <f>SUM('Detailed PL'!I16)</f>
        <v>150</v>
      </c>
      <c r="G15" s="126" t="s">
        <v>148</v>
      </c>
      <c r="H15" s="130" t="str">
        <f>'Detailed PL'!K16</f>
        <v>SKID</v>
      </c>
      <c r="I15" s="350">
        <f>'Detailed PL'!L16</f>
        <v>620</v>
      </c>
      <c r="J15" s="350">
        <f>'Detailed PL'!M16</f>
        <v>220</v>
      </c>
      <c r="K15" s="350">
        <f>'Detailed PL'!N16</f>
        <v>235</v>
      </c>
      <c r="L15" s="311">
        <f>'Detailed PL'!O16</f>
        <v>32.054000000000002</v>
      </c>
      <c r="M15" s="349">
        <f>'Detailed PL'!P16</f>
        <v>3375</v>
      </c>
      <c r="N15" s="349">
        <f>'Detailed PL'!Q16</f>
        <v>3575</v>
      </c>
      <c r="O15" s="132" t="str">
        <f>'Detailed PL'!R16</f>
        <v>N</v>
      </c>
      <c r="P15" s="133" t="s">
        <v>180</v>
      </c>
      <c r="Q15" s="133" t="s">
        <v>180</v>
      </c>
      <c r="R15" s="133" t="s">
        <v>150</v>
      </c>
      <c r="S15" s="133" t="str">
        <f>'Detailed PL'!S16</f>
        <v>D</v>
      </c>
      <c r="T15" s="321" t="str">
        <f>'Detailed PL'!U16</f>
        <v>P0</v>
      </c>
    </row>
    <row r="16" spans="2:20" s="7" customFormat="1" ht="47.25" customHeight="1">
      <c r="B16" s="213" t="s">
        <v>186</v>
      </c>
      <c r="C16" s="129" t="str">
        <f>'Detailed PL'!C17</f>
        <v>OM4-DE-IS-0003-002</v>
      </c>
      <c r="D16" s="133" t="s">
        <v>143</v>
      </c>
      <c r="E16" s="126"/>
      <c r="F16" s="214">
        <f>SUM('Detailed PL'!I18)</f>
        <v>150</v>
      </c>
      <c r="G16" s="126" t="s">
        <v>148</v>
      </c>
      <c r="H16" s="130" t="str">
        <f>'Detailed PL'!K18</f>
        <v>SKID</v>
      </c>
      <c r="I16" s="350">
        <f>'Detailed PL'!L18</f>
        <v>620</v>
      </c>
      <c r="J16" s="350">
        <f>'Detailed PL'!M18</f>
        <v>220</v>
      </c>
      <c r="K16" s="350">
        <f>'Detailed PL'!N18</f>
        <v>235</v>
      </c>
      <c r="L16" s="311">
        <f>'Detailed PL'!O18</f>
        <v>32.054000000000002</v>
      </c>
      <c r="M16" s="311">
        <f>'Detailed PL'!P18</f>
        <v>3375</v>
      </c>
      <c r="N16" s="311">
        <f>'Detailed PL'!Q18</f>
        <v>3575</v>
      </c>
      <c r="O16" s="132" t="str">
        <f>'Detailed PL'!R18</f>
        <v>N</v>
      </c>
      <c r="P16" s="133" t="s">
        <v>180</v>
      </c>
      <c r="Q16" s="133" t="s">
        <v>180</v>
      </c>
      <c r="R16" s="133" t="s">
        <v>150</v>
      </c>
      <c r="S16" s="133" t="str">
        <f>'Detailed PL'!S18</f>
        <v>D</v>
      </c>
      <c r="T16" s="321" t="str">
        <f>'Detailed PL'!U18</f>
        <v>P0</v>
      </c>
    </row>
    <row r="17" spans="2:20" s="7" customFormat="1" ht="47.25" customHeight="1">
      <c r="B17" s="213" t="s">
        <v>187</v>
      </c>
      <c r="C17" s="129" t="str">
        <f>'Detailed PL'!C19</f>
        <v>OM4-DE-IS-0003-003</v>
      </c>
      <c r="D17" s="133" t="s">
        <v>143</v>
      </c>
      <c r="E17" s="126"/>
      <c r="F17" s="214">
        <f>SUM('Detailed PL'!I20)</f>
        <v>150</v>
      </c>
      <c r="G17" s="126" t="s">
        <v>148</v>
      </c>
      <c r="H17" s="130" t="str">
        <f>'Detailed PL'!K20</f>
        <v>SKID</v>
      </c>
      <c r="I17" s="350">
        <f>'Detailed PL'!L20</f>
        <v>620</v>
      </c>
      <c r="J17" s="350">
        <f>'Detailed PL'!M20</f>
        <v>220</v>
      </c>
      <c r="K17" s="350">
        <f>'Detailed PL'!N20</f>
        <v>235</v>
      </c>
      <c r="L17" s="311">
        <f>'Detailed PL'!O20</f>
        <v>32.054000000000002</v>
      </c>
      <c r="M17" s="311">
        <f>'Detailed PL'!P20</f>
        <v>3375</v>
      </c>
      <c r="N17" s="311">
        <f>'Detailed PL'!Q20</f>
        <v>3575</v>
      </c>
      <c r="O17" s="132" t="str">
        <f>'Detailed PL'!R20</f>
        <v>N</v>
      </c>
      <c r="P17" s="133" t="s">
        <v>180</v>
      </c>
      <c r="Q17" s="133" t="s">
        <v>180</v>
      </c>
      <c r="R17" s="133" t="s">
        <v>150</v>
      </c>
      <c r="S17" s="133" t="str">
        <f>'Detailed PL'!S20</f>
        <v>D</v>
      </c>
      <c r="T17" s="321" t="str">
        <f>'Detailed PL'!U20</f>
        <v>P0</v>
      </c>
    </row>
    <row r="18" spans="2:20" s="7" customFormat="1" ht="47.25" customHeight="1">
      <c r="B18" s="213" t="s">
        <v>188</v>
      </c>
      <c r="C18" s="129" t="str">
        <f>'Detailed PL'!C21</f>
        <v>OM4-DE-IS-0003-004</v>
      </c>
      <c r="D18" s="133" t="s">
        <v>143</v>
      </c>
      <c r="E18" s="126"/>
      <c r="F18" s="214">
        <f>SUM('Detailed PL'!I22)</f>
        <v>150</v>
      </c>
      <c r="G18" s="126" t="s">
        <v>148</v>
      </c>
      <c r="H18" s="130" t="str">
        <f>'Detailed PL'!K22</f>
        <v>SKID</v>
      </c>
      <c r="I18" s="350">
        <f>'Detailed PL'!L22</f>
        <v>620</v>
      </c>
      <c r="J18" s="350">
        <f>'Detailed PL'!M22</f>
        <v>220</v>
      </c>
      <c r="K18" s="350">
        <f>'Detailed PL'!N22</f>
        <v>235</v>
      </c>
      <c r="L18" s="311">
        <f>'Detailed PL'!O22</f>
        <v>32.054000000000002</v>
      </c>
      <c r="M18" s="311">
        <f>'Detailed PL'!P22</f>
        <v>3375</v>
      </c>
      <c r="N18" s="311">
        <f>'Detailed PL'!Q22</f>
        <v>3575</v>
      </c>
      <c r="O18" s="132" t="str">
        <f>'Detailed PL'!R22</f>
        <v>N</v>
      </c>
      <c r="P18" s="133" t="s">
        <v>180</v>
      </c>
      <c r="Q18" s="133" t="s">
        <v>180</v>
      </c>
      <c r="R18" s="133" t="s">
        <v>150</v>
      </c>
      <c r="S18" s="133" t="str">
        <f>'Detailed PL'!S22</f>
        <v>D</v>
      </c>
      <c r="T18" s="321" t="str">
        <f>'Detailed PL'!U22</f>
        <v>P0</v>
      </c>
    </row>
    <row r="19" spans="2:20" s="7" customFormat="1" ht="47.25" customHeight="1">
      <c r="B19" s="213" t="s">
        <v>189</v>
      </c>
      <c r="C19" s="129" t="str">
        <f>'Detailed PL'!C23</f>
        <v>OM4-DE-IS-0003-005</v>
      </c>
      <c r="D19" s="133" t="s">
        <v>143</v>
      </c>
      <c r="E19" s="126"/>
      <c r="F19" s="214">
        <f>SUM('Detailed PL'!I24)</f>
        <v>150</v>
      </c>
      <c r="G19" s="126" t="s">
        <v>148</v>
      </c>
      <c r="H19" s="130" t="str">
        <f>'Detailed PL'!K24</f>
        <v>SKID</v>
      </c>
      <c r="I19" s="350">
        <f>'Detailed PL'!L24</f>
        <v>620</v>
      </c>
      <c r="J19" s="350">
        <f>'Detailed PL'!M24</f>
        <v>220</v>
      </c>
      <c r="K19" s="350">
        <f>'Detailed PL'!N24</f>
        <v>235</v>
      </c>
      <c r="L19" s="311">
        <f>'Detailed PL'!O24</f>
        <v>32.054000000000002</v>
      </c>
      <c r="M19" s="311">
        <f>'Detailed PL'!P24</f>
        <v>3375</v>
      </c>
      <c r="N19" s="311">
        <f>'Detailed PL'!Q24</f>
        <v>3575</v>
      </c>
      <c r="O19" s="132" t="str">
        <f>'Detailed PL'!R24</f>
        <v>N</v>
      </c>
      <c r="P19" s="133" t="s">
        <v>180</v>
      </c>
      <c r="Q19" s="133" t="s">
        <v>180</v>
      </c>
      <c r="R19" s="133" t="s">
        <v>150</v>
      </c>
      <c r="S19" s="133" t="str">
        <f>'Detailed PL'!S24</f>
        <v>D</v>
      </c>
      <c r="T19" s="321" t="str">
        <f>'Detailed PL'!U24</f>
        <v>P0</v>
      </c>
    </row>
    <row r="20" spans="2:20" s="7" customFormat="1" ht="47.25" customHeight="1">
      <c r="B20" s="213" t="s">
        <v>190</v>
      </c>
      <c r="C20" s="129" t="str">
        <f>'Detailed PL'!C25</f>
        <v>OM4-DE-IS-0003-006</v>
      </c>
      <c r="D20" s="133" t="s">
        <v>143</v>
      </c>
      <c r="E20" s="126"/>
      <c r="F20" s="214">
        <f>SUM('Detailed PL'!I26)</f>
        <v>150</v>
      </c>
      <c r="G20" s="126" t="s">
        <v>148</v>
      </c>
      <c r="H20" s="130" t="str">
        <f>'Detailed PL'!K26</f>
        <v>SKID</v>
      </c>
      <c r="I20" s="350">
        <f>'Detailed PL'!L26</f>
        <v>620</v>
      </c>
      <c r="J20" s="350">
        <f>'Detailed PL'!M26</f>
        <v>220</v>
      </c>
      <c r="K20" s="350">
        <f>'Detailed PL'!N26</f>
        <v>235</v>
      </c>
      <c r="L20" s="311">
        <f>'Detailed PL'!O26</f>
        <v>32.054000000000002</v>
      </c>
      <c r="M20" s="311">
        <f>'Detailed PL'!P26</f>
        <v>3375</v>
      </c>
      <c r="N20" s="311">
        <f>'Detailed PL'!Q26</f>
        <v>3575</v>
      </c>
      <c r="O20" s="132" t="str">
        <f>'Detailed PL'!R26</f>
        <v>N</v>
      </c>
      <c r="P20" s="133" t="s">
        <v>180</v>
      </c>
      <c r="Q20" s="133" t="s">
        <v>180</v>
      </c>
      <c r="R20" s="133" t="s">
        <v>150</v>
      </c>
      <c r="S20" s="133" t="str">
        <f>'Detailed PL'!S26</f>
        <v>D</v>
      </c>
      <c r="T20" s="321" t="str">
        <f>'Detailed PL'!U26</f>
        <v>P0</v>
      </c>
    </row>
    <row r="21" spans="2:20" s="7" customFormat="1" ht="47.25" customHeight="1">
      <c r="B21" s="213" t="s">
        <v>191</v>
      </c>
      <c r="C21" s="129" t="str">
        <f>'Detailed PL'!C27</f>
        <v>OM4-DE-IS-0003-007</v>
      </c>
      <c r="D21" s="133" t="s">
        <v>143</v>
      </c>
      <c r="E21" s="126"/>
      <c r="F21" s="214">
        <f>SUM('Detailed PL'!I28)</f>
        <v>100</v>
      </c>
      <c r="G21" s="126" t="s">
        <v>148</v>
      </c>
      <c r="H21" s="130" t="str">
        <f>'Detailed PL'!K28</f>
        <v>SKID</v>
      </c>
      <c r="I21" s="350">
        <f>'Detailed PL'!L28</f>
        <v>620</v>
      </c>
      <c r="J21" s="350">
        <f>'Detailed PL'!M28</f>
        <v>220</v>
      </c>
      <c r="K21" s="350">
        <f>'Detailed PL'!N28</f>
        <v>180</v>
      </c>
      <c r="L21" s="311">
        <f>'Detailed PL'!O28</f>
        <v>24.552</v>
      </c>
      <c r="M21" s="311">
        <f>'Detailed PL'!P28</f>
        <v>2250</v>
      </c>
      <c r="N21" s="311">
        <f>'Detailed PL'!Q28</f>
        <v>2450</v>
      </c>
      <c r="O21" s="132" t="str">
        <f>'Detailed PL'!R28</f>
        <v>N</v>
      </c>
      <c r="P21" s="133" t="s">
        <v>180</v>
      </c>
      <c r="Q21" s="133" t="s">
        <v>180</v>
      </c>
      <c r="R21" s="133" t="s">
        <v>150</v>
      </c>
      <c r="S21" s="133" t="str">
        <f>'Detailed PL'!S28</f>
        <v>D</v>
      </c>
      <c r="T21" s="321" t="str">
        <f>'Detailed PL'!U28</f>
        <v>P0</v>
      </c>
    </row>
    <row r="22" spans="2:20" s="7" customFormat="1" ht="47.25" customHeight="1">
      <c r="B22" s="213" t="s">
        <v>192</v>
      </c>
      <c r="C22" s="129" t="str">
        <f>'Detailed PL'!C29</f>
        <v>OM4-DE-IS-0003-008</v>
      </c>
      <c r="D22" s="133" t="s">
        <v>143</v>
      </c>
      <c r="E22" s="126"/>
      <c r="F22" s="214">
        <f>SUM('Detailed PL'!I30)</f>
        <v>100</v>
      </c>
      <c r="G22" s="126" t="s">
        <v>148</v>
      </c>
      <c r="H22" s="130" t="str">
        <f>'Detailed PL'!K30</f>
        <v>SKID</v>
      </c>
      <c r="I22" s="350">
        <f>'Detailed PL'!L30</f>
        <v>420</v>
      </c>
      <c r="J22" s="350">
        <f>'Detailed PL'!M30</f>
        <v>220</v>
      </c>
      <c r="K22" s="350">
        <f>'Detailed PL'!N30</f>
        <v>140</v>
      </c>
      <c r="L22" s="311">
        <f>'Detailed PL'!O30</f>
        <v>12.936</v>
      </c>
      <c r="M22" s="311">
        <f>'Detailed PL'!P30</f>
        <v>1120</v>
      </c>
      <c r="N22" s="311">
        <f>'Detailed PL'!Q30</f>
        <v>1320</v>
      </c>
      <c r="O22" s="132" t="str">
        <f>'Detailed PL'!R30</f>
        <v>N</v>
      </c>
      <c r="P22" s="133" t="s">
        <v>180</v>
      </c>
      <c r="Q22" s="133" t="s">
        <v>180</v>
      </c>
      <c r="R22" s="133" t="s">
        <v>150</v>
      </c>
      <c r="S22" s="133" t="str">
        <f>'Detailed PL'!S30</f>
        <v>D</v>
      </c>
      <c r="T22" s="321" t="str">
        <f>'Detailed PL'!U30</f>
        <v>P0</v>
      </c>
    </row>
    <row r="23" spans="2:20" s="7" customFormat="1" ht="47.25" customHeight="1">
      <c r="B23" s="213" t="s">
        <v>193</v>
      </c>
      <c r="C23" s="129" t="str">
        <f>'Detailed PL'!C31</f>
        <v>OM4-DE-IS-0003-009</v>
      </c>
      <c r="D23" s="133" t="s">
        <v>143</v>
      </c>
      <c r="E23" s="126"/>
      <c r="F23" s="214">
        <f>'Detailed PL'!I37</f>
        <v>550</v>
      </c>
      <c r="G23" s="126" t="s">
        <v>148</v>
      </c>
      <c r="H23" s="130" t="str">
        <f>'Detailed PL'!K37</f>
        <v>SKID</v>
      </c>
      <c r="I23" s="350">
        <f>'Detailed PL'!L37</f>
        <v>420</v>
      </c>
      <c r="J23" s="350">
        <f>'Detailed PL'!M37</f>
        <v>220</v>
      </c>
      <c r="K23" s="350">
        <f>'Detailed PL'!N37</f>
        <v>140</v>
      </c>
      <c r="L23" s="311">
        <f>'Detailed PL'!O37</f>
        <v>12.936</v>
      </c>
      <c r="M23" s="311">
        <f>'Detailed PL'!P37</f>
        <v>2272</v>
      </c>
      <c r="N23" s="311">
        <f>'Detailed PL'!Q37</f>
        <v>2472</v>
      </c>
      <c r="O23" s="132" t="str">
        <f>'Detailed PL'!R37</f>
        <v>N</v>
      </c>
      <c r="P23" s="133" t="s">
        <v>180</v>
      </c>
      <c r="Q23" s="133" t="s">
        <v>180</v>
      </c>
      <c r="R23" s="133" t="s">
        <v>150</v>
      </c>
      <c r="S23" s="133" t="str">
        <f>'Detailed PL'!S37</f>
        <v>D</v>
      </c>
      <c r="T23" s="321" t="str">
        <f>'Detailed PL'!U37</f>
        <v>P0</v>
      </c>
    </row>
    <row r="24" spans="2:20" s="7" customFormat="1" ht="47.25" customHeight="1">
      <c r="B24" s="213" t="s">
        <v>194</v>
      </c>
      <c r="C24" s="129" t="str">
        <f>'Detailed PL'!C38</f>
        <v>OM4-DE-IS-0003-010</v>
      </c>
      <c r="D24" s="133" t="s">
        <v>305</v>
      </c>
      <c r="E24" s="126"/>
      <c r="F24" s="214">
        <f>'Detailed PL'!I65</f>
        <v>1640</v>
      </c>
      <c r="G24" s="126" t="s">
        <v>148</v>
      </c>
      <c r="H24" s="130" t="str">
        <f>'Detailed PL'!K65</f>
        <v>Wodden</v>
      </c>
      <c r="I24" s="350">
        <f>'Detailed PL'!L65</f>
        <v>420</v>
      </c>
      <c r="J24" s="350">
        <f>'Detailed PL'!M65</f>
        <v>220</v>
      </c>
      <c r="K24" s="350">
        <f>'Detailed PL'!N65</f>
        <v>120</v>
      </c>
      <c r="L24" s="311">
        <f>'Detailed PL'!O65</f>
        <v>11.087999999999999</v>
      </c>
      <c r="M24" s="311">
        <f>'Detailed PL'!P65</f>
        <v>710.5</v>
      </c>
      <c r="N24" s="311">
        <f>'Detailed PL'!Q65</f>
        <v>1010.5</v>
      </c>
      <c r="O24" s="132" t="str">
        <f>'Detailed PL'!R65</f>
        <v>N</v>
      </c>
      <c r="P24" s="133" t="s">
        <v>180</v>
      </c>
      <c r="Q24" s="133" t="s">
        <v>180</v>
      </c>
      <c r="R24" s="133" t="s">
        <v>150</v>
      </c>
      <c r="S24" s="133" t="str">
        <f>'Detailed PL'!S65</f>
        <v>D</v>
      </c>
      <c r="T24" s="321" t="str">
        <f>'Detailed PL'!U65</f>
        <v>P0</v>
      </c>
    </row>
    <row r="25" spans="2:20" s="7" customFormat="1" ht="47.25" customHeight="1">
      <c r="B25" s="213" t="s">
        <v>195</v>
      </c>
      <c r="C25" s="129" t="str">
        <f>'Detailed PL'!C66</f>
        <v>OM4-DE-IS-0003-011</v>
      </c>
      <c r="D25" s="133" t="s">
        <v>304</v>
      </c>
      <c r="E25" s="126"/>
      <c r="F25" s="214">
        <f>'Detailed PL'!I68</f>
        <v>1300</v>
      </c>
      <c r="G25" s="126" t="s">
        <v>148</v>
      </c>
      <c r="H25" s="130" t="str">
        <f>'Detailed PL'!K68</f>
        <v>Wodden</v>
      </c>
      <c r="I25" s="350">
        <f>'Detailed PL'!L68</f>
        <v>420</v>
      </c>
      <c r="J25" s="350">
        <f>'Detailed PL'!M68</f>
        <v>220</v>
      </c>
      <c r="K25" s="350">
        <f>'Detailed PL'!N68</f>
        <v>170</v>
      </c>
      <c r="L25" s="311">
        <f>'Detailed PL'!O68</f>
        <v>15.708</v>
      </c>
      <c r="M25" s="311">
        <f>'Detailed PL'!P68</f>
        <v>1300</v>
      </c>
      <c r="N25" s="311">
        <f>'Detailed PL'!Q68</f>
        <v>1600</v>
      </c>
      <c r="O25" s="132" t="str">
        <f>'Detailed PL'!R68</f>
        <v>N</v>
      </c>
      <c r="P25" s="133" t="s">
        <v>180</v>
      </c>
      <c r="Q25" s="133" t="s">
        <v>180</v>
      </c>
      <c r="R25" s="133" t="s">
        <v>150</v>
      </c>
      <c r="S25" s="133" t="str">
        <f>'Detailed PL'!S68</f>
        <v>D</v>
      </c>
      <c r="T25" s="321" t="str">
        <f>'Detailed PL'!U68</f>
        <v>P0</v>
      </c>
    </row>
    <row r="26" spans="2:20" s="7" customFormat="1" ht="47.25" customHeight="1">
      <c r="B26" s="213" t="s">
        <v>196</v>
      </c>
      <c r="C26" s="129" t="str">
        <f>'Detailed PL'!C69</f>
        <v>OM4-DE-IS-0003-012</v>
      </c>
      <c r="D26" s="133" t="s">
        <v>301</v>
      </c>
      <c r="E26" s="126"/>
      <c r="F26" s="214">
        <f>'Detailed PL'!I72</f>
        <v>3805</v>
      </c>
      <c r="G26" s="126" t="s">
        <v>148</v>
      </c>
      <c r="H26" s="130" t="str">
        <f>'Detailed PL'!K72</f>
        <v>Wodden</v>
      </c>
      <c r="I26" s="350">
        <f>'Detailed PL'!L72</f>
        <v>420</v>
      </c>
      <c r="J26" s="350">
        <f>'Detailed PL'!M72</f>
        <v>220</v>
      </c>
      <c r="K26" s="350">
        <f>'Detailed PL'!N72</f>
        <v>200</v>
      </c>
      <c r="L26" s="311">
        <f>'Detailed PL'!O72</f>
        <v>18.48</v>
      </c>
      <c r="M26" s="311">
        <f>'Detailed PL'!P72</f>
        <v>1860</v>
      </c>
      <c r="N26" s="311">
        <f>'Detailed PL'!Q72</f>
        <v>2160</v>
      </c>
      <c r="O26" s="132" t="str">
        <f>'Detailed PL'!R72</f>
        <v>N</v>
      </c>
      <c r="P26" s="133" t="s">
        <v>180</v>
      </c>
      <c r="Q26" s="133" t="s">
        <v>180</v>
      </c>
      <c r="R26" s="133" t="s">
        <v>150</v>
      </c>
      <c r="S26" s="133" t="str">
        <f>'Detailed PL'!S72</f>
        <v>D</v>
      </c>
      <c r="T26" s="321" t="str">
        <f>'Detailed PL'!U72</f>
        <v>P0</v>
      </c>
    </row>
    <row r="27" spans="2:20" s="7" customFormat="1" ht="47.25" customHeight="1">
      <c r="B27" s="213" t="s">
        <v>197</v>
      </c>
      <c r="C27" s="129" t="str">
        <f>'Detailed PL'!C73</f>
        <v>OM4-DE-IS-0003-013</v>
      </c>
      <c r="D27" s="133" t="s">
        <v>143</v>
      </c>
      <c r="E27" s="126"/>
      <c r="F27" s="214">
        <f>'Detailed PL'!I80</f>
        <v>251</v>
      </c>
      <c r="G27" s="126" t="s">
        <v>148</v>
      </c>
      <c r="H27" s="130" t="str">
        <f>'Detailed PL'!K80</f>
        <v>SKID</v>
      </c>
      <c r="I27" s="350">
        <f>'Detailed PL'!L80</f>
        <v>420</v>
      </c>
      <c r="J27" s="350">
        <f>'Detailed PL'!M80</f>
        <v>220</v>
      </c>
      <c r="K27" s="350">
        <f>'Detailed PL'!N80</f>
        <v>80</v>
      </c>
      <c r="L27" s="311">
        <f>'Detailed PL'!O80</f>
        <v>7.3920000000000003</v>
      </c>
      <c r="M27" s="311">
        <f>'Detailed PL'!P80</f>
        <v>987.28</v>
      </c>
      <c r="N27" s="311">
        <f>'Detailed PL'!Q80</f>
        <v>1187.28</v>
      </c>
      <c r="O27" s="131" t="str">
        <f>'Detailed PL'!R80</f>
        <v>N</v>
      </c>
      <c r="P27" s="133" t="s">
        <v>180</v>
      </c>
      <c r="Q27" s="133" t="s">
        <v>180</v>
      </c>
      <c r="R27" s="133" t="s">
        <v>150</v>
      </c>
      <c r="S27" s="133" t="str">
        <f>'Detailed PL'!S80</f>
        <v>D</v>
      </c>
      <c r="T27" s="321" t="str">
        <f>'Detailed PL'!U80</f>
        <v>P0</v>
      </c>
    </row>
    <row r="28" spans="2:20" s="7" customFormat="1" ht="47.25" customHeight="1">
      <c r="B28" s="213" t="s">
        <v>198</v>
      </c>
      <c r="C28" s="129" t="str">
        <f>'Detailed PL'!C81</f>
        <v>OM4-DE-IS-0003-014</v>
      </c>
      <c r="D28" s="133" t="s">
        <v>200</v>
      </c>
      <c r="E28" s="126"/>
      <c r="F28" s="214">
        <f>'Detailed PL'!I117</f>
        <v>1162</v>
      </c>
      <c r="G28" s="126" t="s">
        <v>148</v>
      </c>
      <c r="H28" s="130" t="str">
        <f>'Detailed PL'!K117</f>
        <v>Wodden</v>
      </c>
      <c r="I28" s="350">
        <f>'Detailed PL'!L117</f>
        <v>200</v>
      </c>
      <c r="J28" s="350">
        <f>'Detailed PL'!M117</f>
        <v>200</v>
      </c>
      <c r="K28" s="350">
        <f>'Detailed PL'!N117</f>
        <v>150</v>
      </c>
      <c r="L28" s="311">
        <f>'Detailed PL'!O117</f>
        <v>6</v>
      </c>
      <c r="M28" s="311">
        <f>'Detailed PL'!P117</f>
        <v>603.45500000000027</v>
      </c>
      <c r="N28" s="311">
        <f>'Detailed PL'!Q117</f>
        <v>903.45500000000027</v>
      </c>
      <c r="O28" s="131" t="str">
        <f>'Detailed PL'!R117</f>
        <v>N</v>
      </c>
      <c r="P28" s="133" t="s">
        <v>180</v>
      </c>
      <c r="Q28" s="133" t="s">
        <v>180</v>
      </c>
      <c r="R28" s="133" t="s">
        <v>150</v>
      </c>
      <c r="S28" s="133" t="str">
        <f>'Detailed PL'!S117</f>
        <v>D</v>
      </c>
      <c r="T28" s="321" t="str">
        <f>'Detailed PL'!U117</f>
        <v>P0</v>
      </c>
    </row>
    <row r="29" spans="2:20" ht="18.75" customHeight="1">
      <c r="B29" s="509" t="s">
        <v>86</v>
      </c>
      <c r="C29" s="486"/>
      <c r="D29" s="486"/>
      <c r="E29" s="486"/>
      <c r="F29" s="486"/>
      <c r="G29" s="486"/>
      <c r="H29" s="486"/>
      <c r="I29" s="486"/>
      <c r="J29" s="486"/>
      <c r="K29" s="510"/>
      <c r="L29" s="310">
        <f>SUM(L15:L28)</f>
        <v>301.41600000000005</v>
      </c>
      <c r="M29" s="310">
        <f>SUM(M15:M28)</f>
        <v>31353.235000000001</v>
      </c>
      <c r="N29" s="310">
        <f>SUM(N15:N28)</f>
        <v>34553.235000000001</v>
      </c>
      <c r="O29" s="126"/>
      <c r="P29" s="126"/>
      <c r="Q29" s="126"/>
      <c r="R29" s="126"/>
      <c r="S29" s="126"/>
      <c r="T29" s="126"/>
    </row>
    <row r="30" spans="2:20" ht="18" customHeight="1">
      <c r="D30" s="134"/>
      <c r="T30" s="136"/>
    </row>
    <row r="31" spans="2:20" ht="18" customHeight="1">
      <c r="D31" s="134"/>
      <c r="T31" s="136"/>
    </row>
    <row r="32" spans="2:20" ht="18" customHeight="1">
      <c r="D32" s="134"/>
      <c r="T32" s="136"/>
    </row>
    <row r="33" spans="4:20" ht="18" customHeight="1">
      <c r="D33" s="134"/>
      <c r="T33" s="136"/>
    </row>
    <row r="34" spans="4:20" ht="18" customHeight="1">
      <c r="D34" s="134"/>
      <c r="T34" s="136"/>
    </row>
    <row r="35" spans="4:20" ht="18" customHeight="1">
      <c r="D35" s="134"/>
      <c r="T35" s="136"/>
    </row>
    <row r="36" spans="4:20" ht="18" customHeight="1">
      <c r="D36" s="134"/>
      <c r="T36" s="136"/>
    </row>
    <row r="37" spans="4:20" ht="18" customHeight="1">
      <c r="D37" s="134"/>
      <c r="T37" s="136"/>
    </row>
    <row r="38" spans="4:20" ht="18" customHeight="1">
      <c r="D38" s="134"/>
      <c r="T38" s="136"/>
    </row>
    <row r="39" spans="4:20" ht="18" customHeight="1">
      <c r="D39" s="134"/>
      <c r="T39" s="136"/>
    </row>
  </sheetData>
  <mergeCells count="18">
    <mergeCell ref="P13:P14"/>
    <mergeCell ref="Q13:Q14"/>
    <mergeCell ref="R13:R14"/>
    <mergeCell ref="S13:S14"/>
    <mergeCell ref="B29:K29"/>
    <mergeCell ref="C3:I3"/>
    <mergeCell ref="B4:T4"/>
    <mergeCell ref="B13:B14"/>
    <mergeCell ref="C13:C14"/>
    <mergeCell ref="D13:D14"/>
    <mergeCell ref="E13:E14"/>
    <mergeCell ref="F13:G13"/>
    <mergeCell ref="H13:H14"/>
    <mergeCell ref="I13:L13"/>
    <mergeCell ref="M13:M14"/>
    <mergeCell ref="N13:N14"/>
    <mergeCell ref="O13:O14"/>
    <mergeCell ref="T13:T14"/>
  </mergeCells>
  <phoneticPr fontId="34" type="noConversion"/>
  <printOptions horizontalCentered="1"/>
  <pageMargins left="0.70866141732283472" right="0.70866141732283472" top="0.74803149606299213" bottom="0.74803149606299213" header="0.31496062992125984" footer="0.31496062992125984"/>
  <pageSetup paperSize="9" scale="52" orientation="landscape" r:id="rId1"/>
  <headerFooter alignWithMargins="0">
    <oddFooter>&amp;C&amp;P/&amp;N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M43"/>
  <sheetViews>
    <sheetView showGridLines="0" view="pageBreakPreview" zoomScale="55" zoomScaleNormal="70" zoomScaleSheetLayoutView="55" workbookViewId="0">
      <selection activeCell="C18" sqref="C18"/>
    </sheetView>
  </sheetViews>
  <sheetFormatPr defaultColWidth="7.71484375" defaultRowHeight="23.25"/>
  <cols>
    <col min="1" max="1" width="43.15234375" style="165" customWidth="1"/>
    <col min="2" max="2" width="2.5703125" style="166" customWidth="1"/>
    <col min="3" max="3" width="14.96875" style="165" customWidth="1"/>
    <col min="4" max="4" width="10.0546875" style="165" customWidth="1"/>
    <col min="5" max="5" width="11.4609375" style="165" customWidth="1"/>
    <col min="6" max="6" width="12.74609375" style="165" customWidth="1"/>
    <col min="7" max="7" width="11.4609375" style="165" customWidth="1"/>
    <col min="8" max="8" width="10.0546875" style="165" customWidth="1"/>
    <col min="9" max="9" width="12.16015625" style="165" customWidth="1"/>
    <col min="10" max="10" width="12.62890625" style="165" customWidth="1"/>
    <col min="11" max="11" width="6.8984375" style="165" customWidth="1"/>
    <col min="12" max="12" width="7.71484375" style="165"/>
    <col min="13" max="13" width="14.3828125" style="165" bestFit="1" customWidth="1"/>
    <col min="14" max="16384" width="7.71484375" style="165"/>
  </cols>
  <sheetData>
    <row r="1" spans="1:13" ht="91.15" customHeight="1" thickBot="1">
      <c r="A1" s="523" t="s">
        <v>94</v>
      </c>
      <c r="B1" s="523"/>
      <c r="C1" s="523"/>
      <c r="D1" s="523"/>
      <c r="E1" s="523"/>
      <c r="F1" s="523"/>
      <c r="G1" s="523"/>
      <c r="H1" s="523"/>
      <c r="I1" s="523"/>
      <c r="J1" s="523"/>
    </row>
    <row r="2" spans="1:13" ht="32.65" customHeight="1">
      <c r="A2" s="524" t="s">
        <v>95</v>
      </c>
      <c r="B2" s="525"/>
      <c r="C2" s="525"/>
      <c r="D2" s="525"/>
      <c r="E2" s="525"/>
      <c r="F2" s="525"/>
      <c r="G2" s="525"/>
      <c r="H2" s="525"/>
      <c r="I2" s="525"/>
      <c r="J2" s="526"/>
    </row>
    <row r="3" spans="1:13" ht="28.35" customHeight="1">
      <c r="A3" s="527" t="str">
        <f>[6]CI!B26</f>
        <v>Address: O Mon Power Complex at Phuoc Thoi wards, O Mon district, Can Tho city</v>
      </c>
      <c r="B3" s="528"/>
      <c r="C3" s="528"/>
      <c r="D3" s="528"/>
      <c r="E3" s="528"/>
      <c r="F3" s="528"/>
      <c r="G3" s="528"/>
      <c r="H3" s="528"/>
      <c r="I3" s="528"/>
      <c r="J3" s="529"/>
    </row>
    <row r="5" spans="1:13" s="168" customFormat="1" ht="40.15" customHeight="1">
      <c r="A5" s="182" t="s">
        <v>96</v>
      </c>
      <c r="B5" s="167" t="s">
        <v>97</v>
      </c>
      <c r="C5" s="530" t="s">
        <v>134</v>
      </c>
      <c r="D5" s="531"/>
      <c r="E5" s="531"/>
      <c r="F5" s="531"/>
      <c r="G5" s="531"/>
      <c r="H5" s="531"/>
      <c r="I5" s="531"/>
      <c r="J5" s="532"/>
    </row>
    <row r="6" spans="1:13" s="168" customFormat="1" ht="55.5" customHeight="1">
      <c r="A6" s="183" t="s">
        <v>98</v>
      </c>
      <c r="B6" s="169" t="s">
        <v>97</v>
      </c>
      <c r="C6" s="519" t="s">
        <v>135</v>
      </c>
      <c r="D6" s="519"/>
      <c r="E6" s="519"/>
      <c r="F6" s="519"/>
      <c r="G6" s="519"/>
      <c r="H6" s="519"/>
      <c r="I6" s="519"/>
      <c r="J6" s="520"/>
    </row>
    <row r="7" spans="1:13" s="168" customFormat="1" ht="94.15" customHeight="1">
      <c r="A7" s="183" t="s">
        <v>116</v>
      </c>
      <c r="B7" s="170" t="s">
        <v>97</v>
      </c>
      <c r="C7" s="519" t="s">
        <v>136</v>
      </c>
      <c r="D7" s="519"/>
      <c r="E7" s="519"/>
      <c r="F7" s="519"/>
      <c r="G7" s="519"/>
      <c r="H7" s="519"/>
      <c r="I7" s="519"/>
      <c r="J7" s="520"/>
    </row>
    <row r="8" spans="1:13" s="168" customFormat="1" ht="20.65" customHeight="1">
      <c r="A8" s="183" t="s">
        <v>99</v>
      </c>
      <c r="B8" s="170" t="s">
        <v>100</v>
      </c>
      <c r="C8" s="519" t="s">
        <v>137</v>
      </c>
      <c r="D8" s="519"/>
      <c r="E8" s="519"/>
      <c r="F8" s="519"/>
      <c r="G8" s="519"/>
      <c r="H8" s="519"/>
      <c r="I8" s="519"/>
      <c r="J8" s="520"/>
    </row>
    <row r="9" spans="1:13" s="168" customFormat="1" ht="20.65" customHeight="1">
      <c r="A9" s="183"/>
      <c r="B9" s="170"/>
      <c r="C9" s="519"/>
      <c r="D9" s="519"/>
      <c r="E9" s="519"/>
      <c r="F9" s="519"/>
      <c r="G9" s="519"/>
      <c r="H9" s="519"/>
      <c r="I9" s="519"/>
      <c r="J9" s="520"/>
    </row>
    <row r="10" spans="1:13" s="168" customFormat="1" ht="20.65" customHeight="1">
      <c r="A10" s="183"/>
      <c r="B10" s="170"/>
      <c r="C10" s="519"/>
      <c r="D10" s="519"/>
      <c r="E10" s="519"/>
      <c r="F10" s="519"/>
      <c r="G10" s="519"/>
      <c r="H10" s="519"/>
      <c r="I10" s="519"/>
      <c r="J10" s="520"/>
    </row>
    <row r="11" spans="1:13" s="168" customFormat="1" ht="171.2" customHeight="1">
      <c r="A11" s="183"/>
      <c r="B11" s="170"/>
      <c r="C11" s="519"/>
      <c r="D11" s="519"/>
      <c r="E11" s="519"/>
      <c r="F11" s="519"/>
      <c r="G11" s="519"/>
      <c r="H11" s="519"/>
      <c r="I11" s="519"/>
      <c r="J11" s="520"/>
    </row>
    <row r="12" spans="1:13" s="168" customFormat="1">
      <c r="A12" s="183" t="s">
        <v>117</v>
      </c>
      <c r="B12" s="169" t="s">
        <v>97</v>
      </c>
      <c r="C12" s="519" t="s">
        <v>115</v>
      </c>
      <c r="D12" s="519"/>
      <c r="E12" s="519"/>
      <c r="F12" s="519"/>
      <c r="G12" s="519"/>
      <c r="H12" s="519"/>
      <c r="I12" s="519"/>
      <c r="J12" s="520"/>
    </row>
    <row r="13" spans="1:13" s="326" customFormat="1" ht="25.5">
      <c r="A13" s="286" t="s">
        <v>101</v>
      </c>
      <c r="B13" s="287" t="s">
        <v>100</v>
      </c>
      <c r="C13" s="533" t="s">
        <v>219</v>
      </c>
      <c r="D13" s="533"/>
      <c r="E13" s="533"/>
      <c r="F13" s="323"/>
      <c r="G13" s="324"/>
      <c r="H13" s="324"/>
      <c r="I13" s="324"/>
      <c r="J13" s="325"/>
    </row>
    <row r="14" spans="1:13" s="168" customFormat="1">
      <c r="A14" s="183" t="s">
        <v>118</v>
      </c>
      <c r="B14" s="169" t="s">
        <v>97</v>
      </c>
      <c r="C14" s="521" t="str">
        <f>[6]CI!B28</f>
        <v>PLANT/ EQUIPMENT AND MATERIALS FOR O MON IV THERMAL</v>
      </c>
      <c r="D14" s="521"/>
      <c r="E14" s="521"/>
      <c r="F14" s="521"/>
      <c r="G14" s="521"/>
      <c r="H14" s="521"/>
      <c r="I14" s="521"/>
      <c r="J14" s="522"/>
    </row>
    <row r="15" spans="1:13" s="168" customFormat="1">
      <c r="A15" s="286" t="s">
        <v>235</v>
      </c>
      <c r="B15" s="287" t="s">
        <v>97</v>
      </c>
      <c r="C15" s="519" t="str">
        <f>'PL(2_2)'!D15</f>
        <v>PVC Conduit</v>
      </c>
      <c r="D15" s="519"/>
      <c r="E15" s="519"/>
      <c r="F15" s="519"/>
      <c r="G15" s="519"/>
      <c r="H15" s="519"/>
      <c r="I15" s="519"/>
      <c r="J15" s="520"/>
      <c r="L15" s="168" t="s">
        <v>236</v>
      </c>
    </row>
    <row r="16" spans="1:13" s="326" customFormat="1" ht="40.15" customHeight="1">
      <c r="A16" s="286" t="s">
        <v>124</v>
      </c>
      <c r="B16" s="327" t="s">
        <v>100</v>
      </c>
      <c r="C16" s="328" t="s">
        <v>221</v>
      </c>
      <c r="D16" s="278"/>
      <c r="E16" s="278"/>
      <c r="F16" s="278"/>
      <c r="G16" s="278"/>
      <c r="H16" s="278"/>
      <c r="I16" s="278"/>
      <c r="J16" s="279"/>
      <c r="M16" s="329"/>
    </row>
    <row r="17" spans="1:13" s="326" customFormat="1" ht="35.450000000000003" customHeight="1">
      <c r="A17" s="286" t="s">
        <v>121</v>
      </c>
      <c r="B17" s="327" t="s">
        <v>100</v>
      </c>
      <c r="C17" s="328" t="str">
        <f>'PL(2_2)'!C15</f>
        <v>OM4-DE-IS-0003-001</v>
      </c>
      <c r="D17" s="278"/>
      <c r="E17" s="278"/>
      <c r="F17" s="278"/>
      <c r="G17" s="278"/>
      <c r="H17" s="278"/>
      <c r="I17" s="278"/>
      <c r="J17" s="279"/>
      <c r="M17" s="329"/>
    </row>
    <row r="18" spans="1:13" s="326" customFormat="1" ht="49.9" customHeight="1">
      <c r="A18" s="286" t="s">
        <v>119</v>
      </c>
      <c r="B18" s="287" t="s">
        <v>97</v>
      </c>
      <c r="C18" s="337">
        <f>'PL(2_2)'!M15</f>
        <v>3375</v>
      </c>
      <c r="D18" s="331" t="s">
        <v>102</v>
      </c>
      <c r="E18" s="332"/>
      <c r="F18" s="332"/>
      <c r="G18" s="332"/>
      <c r="H18" s="332"/>
      <c r="I18" s="332"/>
      <c r="J18" s="333"/>
    </row>
    <row r="19" spans="1:13" s="326" customFormat="1" ht="57.4" customHeight="1">
      <c r="A19" s="286" t="s">
        <v>120</v>
      </c>
      <c r="B19" s="287" t="s">
        <v>97</v>
      </c>
      <c r="C19" s="337">
        <f>'PL(2_2)'!N15</f>
        <v>3575</v>
      </c>
      <c r="D19" s="331" t="s">
        <v>102</v>
      </c>
      <c r="E19" s="332"/>
      <c r="F19" s="334"/>
      <c r="G19" s="332"/>
      <c r="H19" s="332"/>
      <c r="I19" s="332"/>
      <c r="J19" s="335"/>
    </row>
    <row r="20" spans="1:13" s="326" customFormat="1" ht="53.65" customHeight="1">
      <c r="A20" s="286" t="s">
        <v>122</v>
      </c>
      <c r="B20" s="327" t="s">
        <v>97</v>
      </c>
      <c r="C20" s="330">
        <f>'PL(2_2)'!I15</f>
        <v>620</v>
      </c>
      <c r="D20" s="336" t="s">
        <v>103</v>
      </c>
      <c r="E20" s="330">
        <f>'PL(2_2)'!J15</f>
        <v>220</v>
      </c>
      <c r="F20" s="336" t="s">
        <v>104</v>
      </c>
      <c r="G20" s="330">
        <f>'PL(2_2)'!K15</f>
        <v>235</v>
      </c>
      <c r="H20" s="336" t="s">
        <v>105</v>
      </c>
      <c r="I20" s="337">
        <f>'PL(2_2)'!L15</f>
        <v>32.054000000000002</v>
      </c>
      <c r="J20" s="338" t="s">
        <v>106</v>
      </c>
    </row>
    <row r="21" spans="1:13" s="326" customFormat="1" ht="31.15" customHeight="1">
      <c r="A21" s="286" t="s">
        <v>113</v>
      </c>
      <c r="B21" s="327" t="s">
        <v>97</v>
      </c>
      <c r="C21" s="348" t="str">
        <f>'Packing List (1_2)'!B21</f>
        <v>Busan International Port, Korea</v>
      </c>
      <c r="D21" s="331"/>
      <c r="E21" s="332"/>
      <c r="F21" s="331"/>
      <c r="G21" s="332"/>
      <c r="H21" s="331"/>
      <c r="I21" s="337"/>
      <c r="J21" s="338"/>
    </row>
    <row r="22" spans="1:13" s="168" customFormat="1" ht="49.15" customHeight="1">
      <c r="A22" s="183" t="s">
        <v>123</v>
      </c>
      <c r="B22" s="170" t="s">
        <v>97</v>
      </c>
      <c r="C22" s="176" t="s">
        <v>138</v>
      </c>
      <c r="D22" s="172"/>
      <c r="E22" s="173"/>
      <c r="F22" s="172"/>
      <c r="G22" s="173"/>
      <c r="H22" s="172"/>
      <c r="I22" s="174"/>
      <c r="J22" s="175"/>
    </row>
    <row r="23" spans="1:13" s="168" customFormat="1" ht="40.15" customHeight="1">
      <c r="A23" s="184" t="s">
        <v>107</v>
      </c>
      <c r="B23" s="170" t="s">
        <v>97</v>
      </c>
      <c r="C23" s="176" t="s">
        <v>142</v>
      </c>
      <c r="D23" s="172"/>
      <c r="E23" s="173"/>
      <c r="F23" s="172"/>
      <c r="G23" s="173"/>
      <c r="H23" s="172"/>
      <c r="I23" s="174"/>
      <c r="J23" s="175"/>
    </row>
    <row r="24" spans="1:13" s="168" customFormat="1" ht="40.15" customHeight="1">
      <c r="A24" s="185" t="s">
        <v>108</v>
      </c>
      <c r="B24" s="177" t="s">
        <v>97</v>
      </c>
      <c r="C24" s="186" t="s">
        <v>109</v>
      </c>
      <c r="D24" s="178"/>
      <c r="E24" s="178"/>
      <c r="F24" s="178"/>
      <c r="G24" s="178"/>
      <c r="H24" s="178"/>
      <c r="I24" s="178"/>
      <c r="J24" s="179"/>
    </row>
    <row r="25" spans="1:13" ht="120" hidden="1" customHeight="1" thickBot="1"/>
    <row r="26" spans="1:13" ht="55.15" hidden="1" customHeight="1"/>
    <row r="27" spans="1:13" ht="55.15" hidden="1" customHeight="1" thickBot="1"/>
    <row r="28" spans="1:13" ht="40.15" hidden="1" customHeight="1"/>
    <row r="29" spans="1:13" s="168" customFormat="1" ht="40.15" hidden="1" customHeight="1">
      <c r="A29" s="165"/>
      <c r="B29" s="166"/>
      <c r="C29" s="165"/>
      <c r="D29" s="165"/>
      <c r="E29" s="165"/>
      <c r="F29" s="165"/>
      <c r="G29" s="165"/>
      <c r="H29" s="165"/>
      <c r="I29" s="165"/>
      <c r="J29" s="165"/>
    </row>
    <row r="30" spans="1:13" s="168" customFormat="1" ht="55.5" hidden="1" customHeight="1">
      <c r="A30" s="165"/>
      <c r="B30" s="166"/>
      <c r="C30" s="165"/>
      <c r="D30" s="165"/>
      <c r="E30" s="165"/>
      <c r="F30" s="165"/>
      <c r="G30" s="165"/>
      <c r="H30" s="165"/>
      <c r="I30" s="165"/>
      <c r="J30" s="165"/>
    </row>
    <row r="31" spans="1:13" s="168" customFormat="1" ht="53.25" hidden="1" customHeight="1">
      <c r="A31" s="165"/>
      <c r="B31" s="166"/>
      <c r="C31" s="165"/>
      <c r="D31" s="165"/>
      <c r="E31" s="165"/>
      <c r="F31" s="165"/>
      <c r="G31" s="165"/>
      <c r="H31" s="165"/>
      <c r="I31" s="165"/>
      <c r="J31" s="165"/>
    </row>
    <row r="32" spans="1:13" s="168" customFormat="1" ht="99.95" hidden="1" customHeight="1">
      <c r="A32" s="165"/>
      <c r="B32" s="166"/>
      <c r="C32" s="165"/>
      <c r="D32" s="165"/>
      <c r="E32" s="165"/>
      <c r="F32" s="165"/>
      <c r="G32" s="165"/>
      <c r="H32" s="165"/>
      <c r="I32" s="165"/>
      <c r="J32" s="165"/>
    </row>
    <row r="33" spans="1:13" s="168" customFormat="1" ht="40.15" hidden="1" customHeight="1">
      <c r="A33" s="165"/>
      <c r="B33" s="166"/>
      <c r="C33" s="165"/>
      <c r="D33" s="165"/>
      <c r="E33" s="165"/>
      <c r="F33" s="165"/>
      <c r="G33" s="165"/>
      <c r="H33" s="165"/>
      <c r="I33" s="165"/>
      <c r="J33" s="165"/>
    </row>
    <row r="34" spans="1:13" s="168" customFormat="1" ht="40.15" hidden="1" customHeight="1">
      <c r="A34" s="165"/>
      <c r="B34" s="166"/>
      <c r="C34" s="165"/>
      <c r="D34" s="165"/>
      <c r="E34" s="165"/>
      <c r="F34" s="165"/>
      <c r="G34" s="165"/>
      <c r="H34" s="165"/>
      <c r="I34" s="165"/>
      <c r="J34" s="165"/>
    </row>
    <row r="35" spans="1:13" s="168" customFormat="1" ht="75" hidden="1" customHeight="1">
      <c r="A35" s="165"/>
      <c r="B35" s="166"/>
      <c r="C35" s="165"/>
      <c r="D35" s="165"/>
      <c r="E35" s="165"/>
      <c r="F35" s="165"/>
      <c r="G35" s="165"/>
      <c r="H35" s="165"/>
      <c r="I35" s="165"/>
      <c r="J35" s="165"/>
    </row>
    <row r="36" spans="1:13" s="168" customFormat="1" ht="40.15" hidden="1" customHeight="1">
      <c r="A36" s="165"/>
      <c r="B36" s="166"/>
      <c r="C36" s="165"/>
      <c r="D36" s="165"/>
      <c r="E36" s="165"/>
      <c r="F36" s="165"/>
      <c r="G36" s="165"/>
      <c r="H36" s="165"/>
      <c r="I36" s="165"/>
      <c r="J36" s="165"/>
      <c r="M36" s="171"/>
    </row>
    <row r="37" spans="1:13" s="168" customFormat="1" ht="40.15" hidden="1" customHeight="1">
      <c r="A37" s="165"/>
      <c r="B37" s="166"/>
      <c r="C37" s="165"/>
      <c r="D37" s="165"/>
      <c r="E37" s="165"/>
      <c r="F37" s="165"/>
      <c r="G37" s="165"/>
      <c r="H37" s="165"/>
      <c r="I37" s="165"/>
      <c r="J37" s="165"/>
    </row>
    <row r="38" spans="1:13" s="168" customFormat="1" ht="40.15" hidden="1" customHeight="1">
      <c r="A38" s="165"/>
      <c r="B38" s="166"/>
      <c r="C38" s="165"/>
      <c r="D38" s="165"/>
      <c r="E38" s="165"/>
      <c r="F38" s="165"/>
      <c r="G38" s="165"/>
      <c r="H38" s="165"/>
      <c r="I38" s="165"/>
      <c r="J38" s="165"/>
    </row>
    <row r="39" spans="1:13" s="168" customFormat="1" ht="40.15" hidden="1" customHeight="1">
      <c r="A39" s="165"/>
      <c r="B39" s="166"/>
      <c r="C39" s="165"/>
      <c r="D39" s="165"/>
      <c r="E39" s="165"/>
      <c r="F39" s="165"/>
      <c r="G39" s="165"/>
      <c r="H39" s="165"/>
      <c r="I39" s="165"/>
      <c r="J39" s="165"/>
    </row>
    <row r="40" spans="1:13" s="168" customFormat="1" ht="40.15" hidden="1" customHeight="1">
      <c r="A40" s="165"/>
      <c r="B40" s="166"/>
      <c r="C40" s="165"/>
      <c r="D40" s="165"/>
      <c r="E40" s="165"/>
      <c r="F40" s="165"/>
      <c r="G40" s="165"/>
      <c r="H40" s="165"/>
      <c r="I40" s="165"/>
      <c r="J40" s="165"/>
    </row>
    <row r="41" spans="1:13" s="168" customFormat="1" ht="40.15" hidden="1" customHeight="1">
      <c r="A41" s="165"/>
      <c r="B41" s="166"/>
      <c r="C41" s="165"/>
      <c r="D41" s="165"/>
      <c r="E41" s="165"/>
      <c r="F41" s="165"/>
      <c r="G41" s="165"/>
      <c r="H41" s="165"/>
      <c r="I41" s="165"/>
      <c r="J41" s="165"/>
    </row>
    <row r="42" spans="1:13" s="168" customFormat="1" ht="40.15" hidden="1" customHeight="1">
      <c r="A42" s="165"/>
      <c r="B42" s="166"/>
      <c r="C42" s="165"/>
      <c r="D42" s="165"/>
      <c r="E42" s="165"/>
      <c r="F42" s="165"/>
      <c r="G42" s="165"/>
      <c r="H42" s="165"/>
      <c r="I42" s="165"/>
      <c r="J42" s="165"/>
    </row>
    <row r="43" spans="1:13" s="168" customFormat="1" ht="40.15" hidden="1" customHeight="1">
      <c r="A43" s="165"/>
      <c r="B43" s="166"/>
      <c r="C43" s="165"/>
      <c r="D43" s="165"/>
      <c r="E43" s="165"/>
      <c r="F43" s="165"/>
      <c r="G43" s="165"/>
      <c r="H43" s="165"/>
      <c r="I43" s="165"/>
      <c r="J43" s="165"/>
    </row>
  </sheetData>
  <mergeCells count="11">
    <mergeCell ref="C15:J15"/>
    <mergeCell ref="C14:J14"/>
    <mergeCell ref="C7:J7"/>
    <mergeCell ref="A1:J1"/>
    <mergeCell ref="A2:J2"/>
    <mergeCell ref="A3:J3"/>
    <mergeCell ref="C5:J5"/>
    <mergeCell ref="C6:J6"/>
    <mergeCell ref="C8:J11"/>
    <mergeCell ref="C12:J12"/>
    <mergeCell ref="C13:E13"/>
  </mergeCells>
  <phoneticPr fontId="34" type="noConversion"/>
  <printOptions horizontalCentered="1"/>
  <pageMargins left="0.25" right="0.25" top="0.75" bottom="0.75" header="0.3" footer="0.3"/>
  <pageSetup paperSize="9" scale="60"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M43"/>
  <sheetViews>
    <sheetView showGridLines="0" view="pageBreakPreview" zoomScale="55" zoomScaleNormal="70" zoomScaleSheetLayoutView="55" workbookViewId="0">
      <selection sqref="A1:J1"/>
    </sheetView>
  </sheetViews>
  <sheetFormatPr defaultColWidth="7.71484375" defaultRowHeight="23.25"/>
  <cols>
    <col min="1" max="1" width="43.15234375" style="165" customWidth="1"/>
    <col min="2" max="2" width="2.5703125" style="166" customWidth="1"/>
    <col min="3" max="3" width="15.203125" style="165" customWidth="1"/>
    <col min="4" max="4" width="10.0546875" style="165" customWidth="1"/>
    <col min="5" max="5" width="11.4609375" style="165" customWidth="1"/>
    <col min="6" max="6" width="12.74609375" style="165" customWidth="1"/>
    <col min="7" max="7" width="11.4609375" style="165" customWidth="1"/>
    <col min="8" max="8" width="10.0546875" style="165" customWidth="1"/>
    <col min="9" max="9" width="12.16015625" style="165" customWidth="1"/>
    <col min="10" max="10" width="12.62890625" style="165" customWidth="1"/>
    <col min="11" max="11" width="6.8984375" style="165" customWidth="1"/>
    <col min="12" max="12" width="7.71484375" style="165"/>
    <col min="13" max="13" width="14.3828125" style="165" bestFit="1" customWidth="1"/>
    <col min="14" max="16384" width="7.71484375" style="165"/>
  </cols>
  <sheetData>
    <row r="1" spans="1:13" ht="91.15" customHeight="1" thickBot="1">
      <c r="A1" s="523" t="s">
        <v>94</v>
      </c>
      <c r="B1" s="523"/>
      <c r="C1" s="523"/>
      <c r="D1" s="523"/>
      <c r="E1" s="523"/>
      <c r="F1" s="523"/>
      <c r="G1" s="523"/>
      <c r="H1" s="523"/>
      <c r="I1" s="523"/>
      <c r="J1" s="523"/>
    </row>
    <row r="2" spans="1:13" ht="32.65" customHeight="1">
      <c r="A2" s="524" t="s">
        <v>95</v>
      </c>
      <c r="B2" s="525"/>
      <c r="C2" s="525"/>
      <c r="D2" s="525"/>
      <c r="E2" s="525"/>
      <c r="F2" s="525"/>
      <c r="G2" s="525"/>
      <c r="H2" s="525"/>
      <c r="I2" s="525"/>
      <c r="J2" s="526"/>
    </row>
    <row r="3" spans="1:13" ht="28.35" customHeight="1">
      <c r="A3" s="527" t="str">
        <f>[6]CI!B26</f>
        <v>Address: O Mon Power Complex at Phuoc Thoi wards, O Mon district, Can Tho city</v>
      </c>
      <c r="B3" s="528"/>
      <c r="C3" s="528"/>
      <c r="D3" s="528"/>
      <c r="E3" s="528"/>
      <c r="F3" s="528"/>
      <c r="G3" s="528"/>
      <c r="H3" s="528"/>
      <c r="I3" s="528"/>
      <c r="J3" s="529"/>
    </row>
    <row r="5" spans="1:13" s="168" customFormat="1" ht="40.15" customHeight="1">
      <c r="A5" s="182" t="s">
        <v>96</v>
      </c>
      <c r="B5" s="167" t="s">
        <v>97</v>
      </c>
      <c r="C5" s="530" t="s">
        <v>134</v>
      </c>
      <c r="D5" s="531"/>
      <c r="E5" s="531"/>
      <c r="F5" s="531"/>
      <c r="G5" s="531"/>
      <c r="H5" s="531"/>
      <c r="I5" s="531"/>
      <c r="J5" s="532"/>
    </row>
    <row r="6" spans="1:13" s="168" customFormat="1" ht="55.5" customHeight="1">
      <c r="A6" s="183" t="s">
        <v>98</v>
      </c>
      <c r="B6" s="169" t="s">
        <v>97</v>
      </c>
      <c r="C6" s="519" t="s">
        <v>135</v>
      </c>
      <c r="D6" s="519"/>
      <c r="E6" s="519"/>
      <c r="F6" s="519"/>
      <c r="G6" s="519"/>
      <c r="H6" s="519"/>
      <c r="I6" s="519"/>
      <c r="J6" s="520"/>
    </row>
    <row r="7" spans="1:13" s="168" customFormat="1" ht="94.15" customHeight="1">
      <c r="A7" s="183" t="s">
        <v>116</v>
      </c>
      <c r="B7" s="170" t="s">
        <v>97</v>
      </c>
      <c r="C7" s="519" t="s">
        <v>136</v>
      </c>
      <c r="D7" s="519"/>
      <c r="E7" s="519"/>
      <c r="F7" s="519"/>
      <c r="G7" s="519"/>
      <c r="H7" s="519"/>
      <c r="I7" s="519"/>
      <c r="J7" s="520"/>
    </row>
    <row r="8" spans="1:13" s="168" customFormat="1" ht="20.65" customHeight="1">
      <c r="A8" s="183" t="s">
        <v>99</v>
      </c>
      <c r="B8" s="170" t="s">
        <v>100</v>
      </c>
      <c r="C8" s="519" t="s">
        <v>137</v>
      </c>
      <c r="D8" s="519"/>
      <c r="E8" s="519"/>
      <c r="F8" s="519"/>
      <c r="G8" s="519"/>
      <c r="H8" s="519"/>
      <c r="I8" s="519"/>
      <c r="J8" s="520"/>
    </row>
    <row r="9" spans="1:13" s="168" customFormat="1" ht="20.65" customHeight="1">
      <c r="A9" s="183"/>
      <c r="B9" s="170"/>
      <c r="C9" s="519"/>
      <c r="D9" s="519"/>
      <c r="E9" s="519"/>
      <c r="F9" s="519"/>
      <c r="G9" s="519"/>
      <c r="H9" s="519"/>
      <c r="I9" s="519"/>
      <c r="J9" s="520"/>
    </row>
    <row r="10" spans="1:13" s="168" customFormat="1" ht="20.65" customHeight="1">
      <c r="A10" s="183"/>
      <c r="B10" s="170"/>
      <c r="C10" s="519"/>
      <c r="D10" s="519"/>
      <c r="E10" s="519"/>
      <c r="F10" s="519"/>
      <c r="G10" s="519"/>
      <c r="H10" s="519"/>
      <c r="I10" s="519"/>
      <c r="J10" s="520"/>
    </row>
    <row r="11" spans="1:13" s="168" customFormat="1" ht="171.2" customHeight="1">
      <c r="A11" s="183"/>
      <c r="B11" s="170"/>
      <c r="C11" s="519"/>
      <c r="D11" s="519"/>
      <c r="E11" s="519"/>
      <c r="F11" s="519"/>
      <c r="G11" s="519"/>
      <c r="H11" s="519"/>
      <c r="I11" s="519"/>
      <c r="J11" s="520"/>
    </row>
    <row r="12" spans="1:13" s="168" customFormat="1">
      <c r="A12" s="183" t="s">
        <v>117</v>
      </c>
      <c r="B12" s="169" t="s">
        <v>97</v>
      </c>
      <c r="C12" s="519" t="s">
        <v>115</v>
      </c>
      <c r="D12" s="519"/>
      <c r="E12" s="519"/>
      <c r="F12" s="519"/>
      <c r="G12" s="519"/>
      <c r="H12" s="519"/>
      <c r="I12" s="519"/>
      <c r="J12" s="520"/>
    </row>
    <row r="13" spans="1:13" s="326" customFormat="1" ht="25.5">
      <c r="A13" s="286" t="s">
        <v>101</v>
      </c>
      <c r="B13" s="341" t="s">
        <v>100</v>
      </c>
      <c r="C13" s="533" t="s">
        <v>219</v>
      </c>
      <c r="D13" s="533"/>
      <c r="E13" s="533"/>
      <c r="F13" s="342"/>
      <c r="G13" s="343"/>
      <c r="H13" s="343"/>
      <c r="I13" s="343"/>
      <c r="J13" s="344"/>
    </row>
    <row r="14" spans="1:13" s="168" customFormat="1">
      <c r="A14" s="183" t="s">
        <v>118</v>
      </c>
      <c r="B14" s="169" t="s">
        <v>97</v>
      </c>
      <c r="C14" s="521" t="str">
        <f>[6]CI!B28</f>
        <v>PLANT/ EQUIPMENT AND MATERIALS FOR O MON IV THERMAL</v>
      </c>
      <c r="D14" s="521"/>
      <c r="E14" s="521"/>
      <c r="F14" s="521"/>
      <c r="G14" s="521"/>
      <c r="H14" s="521"/>
      <c r="I14" s="521"/>
      <c r="J14" s="522"/>
    </row>
    <row r="15" spans="1:13" s="168" customFormat="1">
      <c r="A15" s="286" t="s">
        <v>235</v>
      </c>
      <c r="B15" s="287" t="s">
        <v>97</v>
      </c>
      <c r="C15" s="519" t="str">
        <f>'PL(2_2)'!D16</f>
        <v>PVC Conduit</v>
      </c>
      <c r="D15" s="519"/>
      <c r="E15" s="519"/>
      <c r="F15" s="519"/>
      <c r="G15" s="519"/>
      <c r="H15" s="519"/>
      <c r="I15" s="519"/>
      <c r="J15" s="520"/>
      <c r="L15" s="168" t="s">
        <v>236</v>
      </c>
    </row>
    <row r="16" spans="1:13" s="326" customFormat="1" ht="45">
      <c r="A16" s="286" t="s">
        <v>124</v>
      </c>
      <c r="B16" s="327" t="s">
        <v>100</v>
      </c>
      <c r="C16" s="328" t="s">
        <v>221</v>
      </c>
      <c r="D16" s="278"/>
      <c r="E16" s="278"/>
      <c r="F16" s="278"/>
      <c r="G16" s="278"/>
      <c r="H16" s="278"/>
      <c r="I16" s="278"/>
      <c r="J16" s="279"/>
      <c r="M16" s="329"/>
    </row>
    <row r="17" spans="1:13" s="326" customFormat="1" ht="35.450000000000003" customHeight="1">
      <c r="A17" s="286" t="s">
        <v>121</v>
      </c>
      <c r="B17" s="327" t="s">
        <v>100</v>
      </c>
      <c r="C17" s="328" t="str">
        <f>'PL(2_2)'!C16</f>
        <v>OM4-DE-IS-0003-002</v>
      </c>
      <c r="D17" s="278"/>
      <c r="E17" s="278"/>
      <c r="F17" s="278"/>
      <c r="G17" s="278"/>
      <c r="H17" s="278"/>
      <c r="I17" s="278"/>
      <c r="J17" s="279"/>
      <c r="M17" s="329"/>
    </row>
    <row r="18" spans="1:13" s="168" customFormat="1" ht="49.9" customHeight="1">
      <c r="A18" s="183" t="s">
        <v>119</v>
      </c>
      <c r="B18" s="169" t="s">
        <v>97</v>
      </c>
      <c r="C18" s="337">
        <f>'PL(2_2)'!M16</f>
        <v>3375</v>
      </c>
      <c r="D18" s="331" t="s">
        <v>102</v>
      </c>
      <c r="E18" s="332"/>
      <c r="F18" s="332"/>
      <c r="G18" s="332"/>
      <c r="H18" s="332"/>
      <c r="I18" s="332"/>
      <c r="J18" s="333"/>
    </row>
    <row r="19" spans="1:13" s="168" customFormat="1" ht="57.4" customHeight="1">
      <c r="A19" s="183" t="s">
        <v>120</v>
      </c>
      <c r="B19" s="169" t="s">
        <v>97</v>
      </c>
      <c r="C19" s="337">
        <f>'PL(2_2)'!N16</f>
        <v>3575</v>
      </c>
      <c r="D19" s="331" t="s">
        <v>102</v>
      </c>
      <c r="E19" s="332"/>
      <c r="F19" s="334"/>
      <c r="G19" s="332"/>
      <c r="H19" s="332"/>
      <c r="I19" s="332"/>
      <c r="J19" s="335"/>
    </row>
    <row r="20" spans="1:13" s="168" customFormat="1" ht="53.65" customHeight="1">
      <c r="A20" s="183" t="s">
        <v>122</v>
      </c>
      <c r="B20" s="170" t="s">
        <v>97</v>
      </c>
      <c r="C20" s="330">
        <f>'PL(2_2)'!I16</f>
        <v>620</v>
      </c>
      <c r="D20" s="336" t="s">
        <v>103</v>
      </c>
      <c r="E20" s="330">
        <f>'PL(2_2)'!J16</f>
        <v>220</v>
      </c>
      <c r="F20" s="336" t="s">
        <v>104</v>
      </c>
      <c r="G20" s="330">
        <f>'PL(2_2)'!K16</f>
        <v>235</v>
      </c>
      <c r="H20" s="336" t="s">
        <v>105</v>
      </c>
      <c r="I20" s="337">
        <f>'PL(2_2)'!L16</f>
        <v>32.054000000000002</v>
      </c>
      <c r="J20" s="338" t="s">
        <v>106</v>
      </c>
    </row>
    <row r="21" spans="1:13" s="326" customFormat="1" ht="31.15" customHeight="1">
      <c r="A21" s="286" t="s">
        <v>113</v>
      </c>
      <c r="B21" s="327" t="s">
        <v>97</v>
      </c>
      <c r="C21" s="348" t="str">
        <f>'Packing List (1_2)'!B21</f>
        <v>Busan International Port, Korea</v>
      </c>
      <c r="D21" s="331"/>
      <c r="E21" s="332"/>
      <c r="F21" s="331"/>
      <c r="G21" s="332"/>
      <c r="H21" s="331"/>
      <c r="I21" s="337"/>
      <c r="J21" s="338"/>
    </row>
    <row r="22" spans="1:13" s="168" customFormat="1" ht="49.15" customHeight="1">
      <c r="A22" s="183" t="s">
        <v>123</v>
      </c>
      <c r="B22" s="170" t="s">
        <v>97</v>
      </c>
      <c r="C22" s="176" t="s">
        <v>138</v>
      </c>
      <c r="D22" s="172"/>
      <c r="E22" s="173"/>
      <c r="F22" s="172"/>
      <c r="G22" s="173"/>
      <c r="H22" s="172"/>
      <c r="I22" s="174"/>
      <c r="J22" s="175"/>
    </row>
    <row r="23" spans="1:13" s="168" customFormat="1" ht="40.15" customHeight="1">
      <c r="A23" s="184" t="s">
        <v>107</v>
      </c>
      <c r="B23" s="170" t="s">
        <v>97</v>
      </c>
      <c r="C23" s="176" t="s">
        <v>142</v>
      </c>
      <c r="D23" s="172"/>
      <c r="E23" s="173"/>
      <c r="F23" s="172"/>
      <c r="G23" s="173"/>
      <c r="H23" s="172"/>
      <c r="I23" s="174"/>
      <c r="J23" s="175"/>
    </row>
    <row r="24" spans="1:13" s="168" customFormat="1" ht="40.15" customHeight="1">
      <c r="A24" s="185" t="s">
        <v>108</v>
      </c>
      <c r="B24" s="177" t="s">
        <v>97</v>
      </c>
      <c r="C24" s="186" t="s">
        <v>109</v>
      </c>
      <c r="D24" s="178"/>
      <c r="E24" s="178"/>
      <c r="F24" s="178"/>
      <c r="G24" s="178"/>
      <c r="H24" s="178"/>
      <c r="I24" s="178"/>
      <c r="J24" s="179"/>
    </row>
    <row r="25" spans="1:13" ht="120" hidden="1" customHeight="1" thickBot="1"/>
    <row r="26" spans="1:13" ht="55.15" hidden="1" customHeight="1"/>
    <row r="27" spans="1:13" ht="55.15" hidden="1" customHeight="1" thickBot="1"/>
    <row r="28" spans="1:13" ht="40.15" hidden="1" customHeight="1"/>
    <row r="29" spans="1:13" s="168" customFormat="1" ht="40.15" hidden="1" customHeight="1">
      <c r="A29" s="165"/>
      <c r="B29" s="166"/>
      <c r="C29" s="165"/>
      <c r="D29" s="165"/>
      <c r="E29" s="165"/>
      <c r="F29" s="165"/>
      <c r="G29" s="165"/>
      <c r="H29" s="165"/>
      <c r="I29" s="165"/>
      <c r="J29" s="165"/>
    </row>
    <row r="30" spans="1:13" s="168" customFormat="1" ht="55.5" hidden="1" customHeight="1">
      <c r="A30" s="165"/>
      <c r="B30" s="166"/>
      <c r="C30" s="165"/>
      <c r="D30" s="165"/>
      <c r="E30" s="165"/>
      <c r="F30" s="165"/>
      <c r="G30" s="165"/>
      <c r="H30" s="165"/>
      <c r="I30" s="165"/>
      <c r="J30" s="165"/>
    </row>
    <row r="31" spans="1:13" s="168" customFormat="1" ht="53.25" hidden="1" customHeight="1">
      <c r="A31" s="165"/>
      <c r="B31" s="166"/>
      <c r="C31" s="165"/>
      <c r="D31" s="165"/>
      <c r="E31" s="165"/>
      <c r="F31" s="165"/>
      <c r="G31" s="165"/>
      <c r="H31" s="165"/>
      <c r="I31" s="165"/>
      <c r="J31" s="165"/>
    </row>
    <row r="32" spans="1:13" s="168" customFormat="1" ht="99.95" hidden="1" customHeight="1">
      <c r="A32" s="165"/>
      <c r="B32" s="166"/>
      <c r="C32" s="165"/>
      <c r="D32" s="165"/>
      <c r="E32" s="165"/>
      <c r="F32" s="165"/>
      <c r="G32" s="165"/>
      <c r="H32" s="165"/>
      <c r="I32" s="165"/>
      <c r="J32" s="165"/>
    </row>
    <row r="33" spans="1:13" s="168" customFormat="1" ht="40.15" hidden="1" customHeight="1">
      <c r="A33" s="165"/>
      <c r="B33" s="166"/>
      <c r="C33" s="165"/>
      <c r="D33" s="165"/>
      <c r="E33" s="165"/>
      <c r="F33" s="165"/>
      <c r="G33" s="165"/>
      <c r="H33" s="165"/>
      <c r="I33" s="165"/>
      <c r="J33" s="165"/>
    </row>
    <row r="34" spans="1:13" s="168" customFormat="1" ht="40.15" hidden="1" customHeight="1">
      <c r="A34" s="165"/>
      <c r="B34" s="166"/>
      <c r="C34" s="165"/>
      <c r="D34" s="165"/>
      <c r="E34" s="165"/>
      <c r="F34" s="165"/>
      <c r="G34" s="165"/>
      <c r="H34" s="165"/>
      <c r="I34" s="165"/>
      <c r="J34" s="165"/>
    </row>
    <row r="35" spans="1:13" s="168" customFormat="1" ht="75" hidden="1" customHeight="1">
      <c r="A35" s="165"/>
      <c r="B35" s="166"/>
      <c r="C35" s="165"/>
      <c r="D35" s="165"/>
      <c r="E35" s="165"/>
      <c r="F35" s="165"/>
      <c r="G35" s="165"/>
      <c r="H35" s="165"/>
      <c r="I35" s="165"/>
      <c r="J35" s="165"/>
    </row>
    <row r="36" spans="1:13" s="168" customFormat="1" ht="40.15" hidden="1" customHeight="1">
      <c r="A36" s="165"/>
      <c r="B36" s="166"/>
      <c r="C36" s="165"/>
      <c r="D36" s="165"/>
      <c r="E36" s="165"/>
      <c r="F36" s="165"/>
      <c r="G36" s="165"/>
      <c r="H36" s="165"/>
      <c r="I36" s="165"/>
      <c r="J36" s="165"/>
      <c r="M36" s="171"/>
    </row>
    <row r="37" spans="1:13" s="168" customFormat="1" ht="40.15" hidden="1" customHeight="1">
      <c r="A37" s="165"/>
      <c r="B37" s="166"/>
      <c r="C37" s="165"/>
      <c r="D37" s="165"/>
      <c r="E37" s="165"/>
      <c r="F37" s="165"/>
      <c r="G37" s="165"/>
      <c r="H37" s="165"/>
      <c r="I37" s="165"/>
      <c r="J37" s="165"/>
    </row>
    <row r="38" spans="1:13" s="168" customFormat="1" ht="40.15" hidden="1" customHeight="1">
      <c r="A38" s="165"/>
      <c r="B38" s="166"/>
      <c r="C38" s="165"/>
      <c r="D38" s="165"/>
      <c r="E38" s="165"/>
      <c r="F38" s="165"/>
      <c r="G38" s="165"/>
      <c r="H38" s="165"/>
      <c r="I38" s="165"/>
      <c r="J38" s="165"/>
    </row>
    <row r="39" spans="1:13" s="168" customFormat="1" ht="40.15" hidden="1" customHeight="1">
      <c r="A39" s="165"/>
      <c r="B39" s="166"/>
      <c r="C39" s="165"/>
      <c r="D39" s="165"/>
      <c r="E39" s="165"/>
      <c r="F39" s="165"/>
      <c r="G39" s="165"/>
      <c r="H39" s="165"/>
      <c r="I39" s="165"/>
      <c r="J39" s="165"/>
    </row>
    <row r="40" spans="1:13" s="168" customFormat="1" ht="40.15" hidden="1" customHeight="1">
      <c r="A40" s="165"/>
      <c r="B40" s="166"/>
      <c r="C40" s="165"/>
      <c r="D40" s="165"/>
      <c r="E40" s="165"/>
      <c r="F40" s="165"/>
      <c r="G40" s="165"/>
      <c r="H40" s="165"/>
      <c r="I40" s="165"/>
      <c r="J40" s="165"/>
    </row>
    <row r="41" spans="1:13" s="168" customFormat="1" ht="40.15" hidden="1" customHeight="1">
      <c r="A41" s="165"/>
      <c r="B41" s="166"/>
      <c r="C41" s="165"/>
      <c r="D41" s="165"/>
      <c r="E41" s="165"/>
      <c r="F41" s="165"/>
      <c r="G41" s="165"/>
      <c r="H41" s="165"/>
      <c r="I41" s="165"/>
      <c r="J41" s="165"/>
    </row>
    <row r="42" spans="1:13" s="168" customFormat="1" ht="40.15" hidden="1" customHeight="1">
      <c r="A42" s="165"/>
      <c r="B42" s="166"/>
      <c r="C42" s="165"/>
      <c r="D42" s="165"/>
      <c r="E42" s="165"/>
      <c r="F42" s="165"/>
      <c r="G42" s="165"/>
      <c r="H42" s="165"/>
      <c r="I42" s="165"/>
      <c r="J42" s="165"/>
    </row>
    <row r="43" spans="1:13" s="168" customFormat="1" ht="40.15" hidden="1" customHeight="1">
      <c r="A43" s="165"/>
      <c r="B43" s="166"/>
      <c r="C43" s="165"/>
      <c r="D43" s="165"/>
      <c r="E43" s="165"/>
      <c r="F43" s="165"/>
      <c r="G43" s="165"/>
      <c r="H43" s="165"/>
      <c r="I43" s="165"/>
      <c r="J43" s="165"/>
    </row>
  </sheetData>
  <mergeCells count="11">
    <mergeCell ref="C8:J11"/>
    <mergeCell ref="C12:J12"/>
    <mergeCell ref="C13:E13"/>
    <mergeCell ref="C14:J14"/>
    <mergeCell ref="C15:J15"/>
    <mergeCell ref="C7:J7"/>
    <mergeCell ref="A1:J1"/>
    <mergeCell ref="A2:J2"/>
    <mergeCell ref="A3:J3"/>
    <mergeCell ref="C5:J5"/>
    <mergeCell ref="C6:J6"/>
  </mergeCells>
  <phoneticPr fontId="34" type="noConversion"/>
  <printOptions horizontalCentered="1"/>
  <pageMargins left="0.25" right="0.25" top="0.75" bottom="0.75" header="0.3" footer="0.3"/>
  <pageSetup paperSize="9" scale="60"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pageSetUpPr fitToPage="1"/>
  </sheetPr>
  <dimension ref="A1:M43"/>
  <sheetViews>
    <sheetView showGridLines="0" view="pageBreakPreview" zoomScale="55" zoomScaleNormal="70" zoomScaleSheetLayoutView="55" workbookViewId="0">
      <selection sqref="A1:J1"/>
    </sheetView>
  </sheetViews>
  <sheetFormatPr defaultColWidth="7.71484375" defaultRowHeight="23.25"/>
  <cols>
    <col min="1" max="1" width="43.15234375" style="165" customWidth="1"/>
    <col min="2" max="2" width="2.5703125" style="166" customWidth="1"/>
    <col min="3" max="3" width="14.8515625" style="165" customWidth="1"/>
    <col min="4" max="4" width="10.0546875" style="165" customWidth="1"/>
    <col min="5" max="5" width="11.4609375" style="165" customWidth="1"/>
    <col min="6" max="6" width="12.74609375" style="165" customWidth="1"/>
    <col min="7" max="7" width="11.4609375" style="165" customWidth="1"/>
    <col min="8" max="8" width="10.0546875" style="165" customWidth="1"/>
    <col min="9" max="9" width="12.16015625" style="165" customWidth="1"/>
    <col min="10" max="10" width="12.62890625" style="165" customWidth="1"/>
    <col min="11" max="11" width="6.8984375" style="165" customWidth="1"/>
    <col min="12" max="12" width="7.71484375" style="165"/>
    <col min="13" max="13" width="14.3828125" style="165" bestFit="1" customWidth="1"/>
    <col min="14" max="16384" width="7.71484375" style="165"/>
  </cols>
  <sheetData>
    <row r="1" spans="1:13" ht="91.15" customHeight="1" thickBot="1">
      <c r="A1" s="523" t="s">
        <v>94</v>
      </c>
      <c r="B1" s="523"/>
      <c r="C1" s="523"/>
      <c r="D1" s="523"/>
      <c r="E1" s="523"/>
      <c r="F1" s="523"/>
      <c r="G1" s="523"/>
      <c r="H1" s="523"/>
      <c r="I1" s="523"/>
      <c r="J1" s="523"/>
    </row>
    <row r="2" spans="1:13" ht="32.65" customHeight="1">
      <c r="A2" s="524" t="s">
        <v>95</v>
      </c>
      <c r="B2" s="525"/>
      <c r="C2" s="525"/>
      <c r="D2" s="525"/>
      <c r="E2" s="525"/>
      <c r="F2" s="525"/>
      <c r="G2" s="525"/>
      <c r="H2" s="525"/>
      <c r="I2" s="525"/>
      <c r="J2" s="526"/>
    </row>
    <row r="3" spans="1:13" ht="28.35" customHeight="1">
      <c r="A3" s="527" t="str">
        <f>[6]CI!B26</f>
        <v>Address: O Mon Power Complex at Phuoc Thoi wards, O Mon district, Can Tho city</v>
      </c>
      <c r="B3" s="528"/>
      <c r="C3" s="528"/>
      <c r="D3" s="528"/>
      <c r="E3" s="528"/>
      <c r="F3" s="528"/>
      <c r="G3" s="528"/>
      <c r="H3" s="528"/>
      <c r="I3" s="528"/>
      <c r="J3" s="529"/>
    </row>
    <row r="5" spans="1:13" s="168" customFormat="1" ht="40.15" customHeight="1">
      <c r="A5" s="182" t="s">
        <v>96</v>
      </c>
      <c r="B5" s="167" t="s">
        <v>97</v>
      </c>
      <c r="C5" s="530" t="s">
        <v>134</v>
      </c>
      <c r="D5" s="531"/>
      <c r="E5" s="531"/>
      <c r="F5" s="531"/>
      <c r="G5" s="531"/>
      <c r="H5" s="531"/>
      <c r="I5" s="531"/>
      <c r="J5" s="532"/>
    </row>
    <row r="6" spans="1:13" s="168" customFormat="1" ht="55.5" customHeight="1">
      <c r="A6" s="183" t="s">
        <v>98</v>
      </c>
      <c r="B6" s="169" t="s">
        <v>97</v>
      </c>
      <c r="C6" s="519" t="s">
        <v>135</v>
      </c>
      <c r="D6" s="519"/>
      <c r="E6" s="519"/>
      <c r="F6" s="519"/>
      <c r="G6" s="519"/>
      <c r="H6" s="519"/>
      <c r="I6" s="519"/>
      <c r="J6" s="520"/>
    </row>
    <row r="7" spans="1:13" s="168" customFormat="1" ht="94.15" customHeight="1">
      <c r="A7" s="183" t="s">
        <v>116</v>
      </c>
      <c r="B7" s="170" t="s">
        <v>97</v>
      </c>
      <c r="C7" s="519" t="s">
        <v>136</v>
      </c>
      <c r="D7" s="519"/>
      <c r="E7" s="519"/>
      <c r="F7" s="519"/>
      <c r="G7" s="519"/>
      <c r="H7" s="519"/>
      <c r="I7" s="519"/>
      <c r="J7" s="520"/>
    </row>
    <row r="8" spans="1:13" s="168" customFormat="1" ht="20.65" customHeight="1">
      <c r="A8" s="183" t="s">
        <v>99</v>
      </c>
      <c r="B8" s="170" t="s">
        <v>100</v>
      </c>
      <c r="C8" s="519" t="s">
        <v>137</v>
      </c>
      <c r="D8" s="519"/>
      <c r="E8" s="519"/>
      <c r="F8" s="519"/>
      <c r="G8" s="519"/>
      <c r="H8" s="519"/>
      <c r="I8" s="519"/>
      <c r="J8" s="520"/>
    </row>
    <row r="9" spans="1:13" s="168" customFormat="1" ht="20.65" customHeight="1">
      <c r="A9" s="183"/>
      <c r="B9" s="170"/>
      <c r="C9" s="519"/>
      <c r="D9" s="519"/>
      <c r="E9" s="519"/>
      <c r="F9" s="519"/>
      <c r="G9" s="519"/>
      <c r="H9" s="519"/>
      <c r="I9" s="519"/>
      <c r="J9" s="520"/>
    </row>
    <row r="10" spans="1:13" s="168" customFormat="1" ht="20.65" customHeight="1">
      <c r="A10" s="183"/>
      <c r="B10" s="170"/>
      <c r="C10" s="519"/>
      <c r="D10" s="519"/>
      <c r="E10" s="519"/>
      <c r="F10" s="519"/>
      <c r="G10" s="519"/>
      <c r="H10" s="519"/>
      <c r="I10" s="519"/>
      <c r="J10" s="520"/>
    </row>
    <row r="11" spans="1:13" s="168" customFormat="1" ht="171.2" customHeight="1">
      <c r="A11" s="183"/>
      <c r="B11" s="170"/>
      <c r="C11" s="519"/>
      <c r="D11" s="519"/>
      <c r="E11" s="519"/>
      <c r="F11" s="519"/>
      <c r="G11" s="519"/>
      <c r="H11" s="519"/>
      <c r="I11" s="519"/>
      <c r="J11" s="520"/>
    </row>
    <row r="12" spans="1:13" s="168" customFormat="1">
      <c r="A12" s="183" t="s">
        <v>117</v>
      </c>
      <c r="B12" s="169" t="s">
        <v>97</v>
      </c>
      <c r="C12" s="519" t="s">
        <v>115</v>
      </c>
      <c r="D12" s="519"/>
      <c r="E12" s="519"/>
      <c r="F12" s="519"/>
      <c r="G12" s="519"/>
      <c r="H12" s="519"/>
      <c r="I12" s="519"/>
      <c r="J12" s="520"/>
    </row>
    <row r="13" spans="1:13" s="326" customFormat="1" ht="25.5">
      <c r="A13" s="286" t="s">
        <v>101</v>
      </c>
      <c r="B13" s="287" t="s">
        <v>100</v>
      </c>
      <c r="C13" s="533" t="s">
        <v>219</v>
      </c>
      <c r="D13" s="533"/>
      <c r="E13" s="533"/>
      <c r="F13" s="345"/>
      <c r="G13" s="346"/>
      <c r="H13" s="346"/>
      <c r="I13" s="346"/>
      <c r="J13" s="347"/>
    </row>
    <row r="14" spans="1:13" s="168" customFormat="1">
      <c r="A14" s="183" t="s">
        <v>118</v>
      </c>
      <c r="B14" s="169" t="s">
        <v>97</v>
      </c>
      <c r="C14" s="521" t="str">
        <f>[6]CI!B28</f>
        <v>PLANT/ EQUIPMENT AND MATERIALS FOR O MON IV THERMAL</v>
      </c>
      <c r="D14" s="521"/>
      <c r="E14" s="521"/>
      <c r="F14" s="521"/>
      <c r="G14" s="521"/>
      <c r="H14" s="521"/>
      <c r="I14" s="521"/>
      <c r="J14" s="522"/>
    </row>
    <row r="15" spans="1:13" s="168" customFormat="1">
      <c r="A15" s="286" t="s">
        <v>235</v>
      </c>
      <c r="B15" s="287" t="s">
        <v>97</v>
      </c>
      <c r="C15" s="519" t="str">
        <f>'PL(2_2)'!D17</f>
        <v>PVC Conduit</v>
      </c>
      <c r="D15" s="519"/>
      <c r="E15" s="519"/>
      <c r="F15" s="519"/>
      <c r="G15" s="519"/>
      <c r="H15" s="519"/>
      <c r="I15" s="519"/>
      <c r="J15" s="520"/>
      <c r="L15" s="168" t="s">
        <v>236</v>
      </c>
    </row>
    <row r="16" spans="1:13" s="326" customFormat="1" ht="40.15" customHeight="1">
      <c r="A16" s="286" t="s">
        <v>124</v>
      </c>
      <c r="B16" s="327" t="s">
        <v>100</v>
      </c>
      <c r="C16" s="328" t="s">
        <v>221</v>
      </c>
      <c r="D16" s="278"/>
      <c r="E16" s="278"/>
      <c r="F16" s="278"/>
      <c r="G16" s="278"/>
      <c r="H16" s="278"/>
      <c r="I16" s="278"/>
      <c r="J16" s="279"/>
      <c r="M16" s="329"/>
    </row>
    <row r="17" spans="1:13" s="326" customFormat="1" ht="35.450000000000003" customHeight="1">
      <c r="A17" s="286" t="s">
        <v>121</v>
      </c>
      <c r="B17" s="327" t="s">
        <v>100</v>
      </c>
      <c r="C17" s="328" t="str">
        <f>'PL(2_2)'!C17</f>
        <v>OM4-DE-IS-0003-003</v>
      </c>
      <c r="D17" s="278"/>
      <c r="E17" s="278"/>
      <c r="F17" s="278"/>
      <c r="G17" s="278"/>
      <c r="H17" s="278"/>
      <c r="I17" s="278"/>
      <c r="J17" s="279"/>
      <c r="M17" s="329"/>
    </row>
    <row r="18" spans="1:13" s="326" customFormat="1" ht="49.9" customHeight="1">
      <c r="A18" s="286" t="s">
        <v>119</v>
      </c>
      <c r="B18" s="287" t="s">
        <v>97</v>
      </c>
      <c r="C18" s="337">
        <f>'PL(2_2)'!M15</f>
        <v>3375</v>
      </c>
      <c r="D18" s="331" t="s">
        <v>102</v>
      </c>
      <c r="E18" s="332"/>
      <c r="F18" s="332"/>
      <c r="G18" s="332"/>
      <c r="H18" s="332"/>
      <c r="I18" s="332"/>
      <c r="J18" s="333"/>
    </row>
    <row r="19" spans="1:13" s="326" customFormat="1" ht="57.4" customHeight="1">
      <c r="A19" s="286" t="s">
        <v>120</v>
      </c>
      <c r="B19" s="287" t="s">
        <v>97</v>
      </c>
      <c r="C19" s="337">
        <f>'PL(2_2)'!N15</f>
        <v>3575</v>
      </c>
      <c r="D19" s="331" t="s">
        <v>102</v>
      </c>
      <c r="E19" s="332"/>
      <c r="F19" s="334"/>
      <c r="G19" s="332"/>
      <c r="H19" s="332"/>
      <c r="I19" s="332"/>
      <c r="J19" s="335"/>
    </row>
    <row r="20" spans="1:13" s="326" customFormat="1" ht="53.65" customHeight="1">
      <c r="A20" s="286" t="s">
        <v>122</v>
      </c>
      <c r="B20" s="327" t="s">
        <v>97</v>
      </c>
      <c r="C20" s="330">
        <f>'PL(2_2)'!I15</f>
        <v>620</v>
      </c>
      <c r="D20" s="336" t="s">
        <v>103</v>
      </c>
      <c r="E20" s="330">
        <f>'PL(2_2)'!J15</f>
        <v>220</v>
      </c>
      <c r="F20" s="336" t="s">
        <v>104</v>
      </c>
      <c r="G20" s="330">
        <f>'PL(2_2)'!K15</f>
        <v>235</v>
      </c>
      <c r="H20" s="336" t="s">
        <v>105</v>
      </c>
      <c r="I20" s="337">
        <f>'PL(2_2)'!L15</f>
        <v>32.054000000000002</v>
      </c>
      <c r="J20" s="338" t="s">
        <v>106</v>
      </c>
    </row>
    <row r="21" spans="1:13" s="326" customFormat="1" ht="31.15" customHeight="1">
      <c r="A21" s="286" t="s">
        <v>113</v>
      </c>
      <c r="B21" s="327" t="s">
        <v>97</v>
      </c>
      <c r="C21" s="348" t="str">
        <f>'Packing List (1_2)'!B21</f>
        <v>Busan International Port, Korea</v>
      </c>
      <c r="D21" s="331"/>
      <c r="E21" s="332"/>
      <c r="F21" s="331"/>
      <c r="G21" s="332"/>
      <c r="H21" s="331"/>
      <c r="I21" s="337"/>
      <c r="J21" s="338"/>
    </row>
    <row r="22" spans="1:13" s="168" customFormat="1" ht="49.15" customHeight="1">
      <c r="A22" s="183" t="s">
        <v>123</v>
      </c>
      <c r="B22" s="170" t="s">
        <v>97</v>
      </c>
      <c r="C22" s="176" t="s">
        <v>138</v>
      </c>
      <c r="D22" s="172"/>
      <c r="E22" s="173"/>
      <c r="F22" s="172"/>
      <c r="G22" s="173"/>
      <c r="H22" s="172"/>
      <c r="I22" s="174"/>
      <c r="J22" s="175"/>
    </row>
    <row r="23" spans="1:13" s="168" customFormat="1" ht="40.15" customHeight="1">
      <c r="A23" s="184" t="s">
        <v>107</v>
      </c>
      <c r="B23" s="170" t="s">
        <v>97</v>
      </c>
      <c r="C23" s="176" t="s">
        <v>142</v>
      </c>
      <c r="D23" s="172"/>
      <c r="E23" s="173"/>
      <c r="F23" s="172"/>
      <c r="G23" s="173"/>
      <c r="H23" s="172"/>
      <c r="I23" s="174"/>
      <c r="J23" s="175"/>
    </row>
    <row r="24" spans="1:13" s="168" customFormat="1" ht="40.15" customHeight="1">
      <c r="A24" s="185" t="s">
        <v>108</v>
      </c>
      <c r="B24" s="177" t="s">
        <v>97</v>
      </c>
      <c r="C24" s="186" t="s">
        <v>109</v>
      </c>
      <c r="D24" s="178"/>
      <c r="E24" s="178"/>
      <c r="F24" s="178"/>
      <c r="G24" s="178"/>
      <c r="H24" s="178"/>
      <c r="I24" s="178"/>
      <c r="J24" s="179"/>
    </row>
    <row r="25" spans="1:13" ht="120" hidden="1" customHeight="1" thickBot="1"/>
    <row r="26" spans="1:13" ht="55.15" hidden="1" customHeight="1"/>
    <row r="27" spans="1:13" ht="55.15" hidden="1" customHeight="1" thickBot="1"/>
    <row r="28" spans="1:13" ht="40.15" hidden="1" customHeight="1"/>
    <row r="29" spans="1:13" s="168" customFormat="1" ht="40.15" hidden="1" customHeight="1">
      <c r="A29" s="165"/>
      <c r="B29" s="166"/>
      <c r="C29" s="165"/>
      <c r="D29" s="165"/>
      <c r="E29" s="165"/>
      <c r="F29" s="165"/>
      <c r="G29" s="165"/>
      <c r="H29" s="165"/>
      <c r="I29" s="165"/>
      <c r="J29" s="165"/>
    </row>
    <row r="30" spans="1:13" s="168" customFormat="1" ht="55.5" hidden="1" customHeight="1">
      <c r="A30" s="165"/>
      <c r="B30" s="166"/>
      <c r="C30" s="165"/>
      <c r="D30" s="165"/>
      <c r="E30" s="165"/>
      <c r="F30" s="165"/>
      <c r="G30" s="165"/>
      <c r="H30" s="165"/>
      <c r="I30" s="165"/>
      <c r="J30" s="165"/>
    </row>
    <row r="31" spans="1:13" s="168" customFormat="1" ht="53.25" hidden="1" customHeight="1">
      <c r="A31" s="165"/>
      <c r="B31" s="166"/>
      <c r="C31" s="165"/>
      <c r="D31" s="165"/>
      <c r="E31" s="165"/>
      <c r="F31" s="165"/>
      <c r="G31" s="165"/>
      <c r="H31" s="165"/>
      <c r="I31" s="165"/>
      <c r="J31" s="165"/>
    </row>
    <row r="32" spans="1:13" s="168" customFormat="1" ht="99.95" hidden="1" customHeight="1">
      <c r="A32" s="165"/>
      <c r="B32" s="166"/>
      <c r="C32" s="165"/>
      <c r="D32" s="165"/>
      <c r="E32" s="165"/>
      <c r="F32" s="165"/>
      <c r="G32" s="165"/>
      <c r="H32" s="165"/>
      <c r="I32" s="165"/>
      <c r="J32" s="165"/>
    </row>
    <row r="33" spans="1:13" s="168" customFormat="1" ht="40.15" hidden="1" customHeight="1">
      <c r="A33" s="165"/>
      <c r="B33" s="166"/>
      <c r="C33" s="165"/>
      <c r="D33" s="165"/>
      <c r="E33" s="165"/>
      <c r="F33" s="165"/>
      <c r="G33" s="165"/>
      <c r="H33" s="165"/>
      <c r="I33" s="165"/>
      <c r="J33" s="165"/>
    </row>
    <row r="34" spans="1:13" s="168" customFormat="1" ht="40.15" hidden="1" customHeight="1">
      <c r="A34" s="165"/>
      <c r="B34" s="166"/>
      <c r="C34" s="165"/>
      <c r="D34" s="165"/>
      <c r="E34" s="165"/>
      <c r="F34" s="165"/>
      <c r="G34" s="165"/>
      <c r="H34" s="165"/>
      <c r="I34" s="165"/>
      <c r="J34" s="165"/>
    </row>
    <row r="35" spans="1:13" s="168" customFormat="1" ht="75" hidden="1" customHeight="1">
      <c r="A35" s="165"/>
      <c r="B35" s="166"/>
      <c r="C35" s="165"/>
      <c r="D35" s="165"/>
      <c r="E35" s="165"/>
      <c r="F35" s="165"/>
      <c r="G35" s="165"/>
      <c r="H35" s="165"/>
      <c r="I35" s="165"/>
      <c r="J35" s="165"/>
    </row>
    <row r="36" spans="1:13" s="168" customFormat="1" ht="40.15" hidden="1" customHeight="1">
      <c r="A36" s="165"/>
      <c r="B36" s="166"/>
      <c r="C36" s="165"/>
      <c r="D36" s="165"/>
      <c r="E36" s="165"/>
      <c r="F36" s="165"/>
      <c r="G36" s="165"/>
      <c r="H36" s="165"/>
      <c r="I36" s="165"/>
      <c r="J36" s="165"/>
      <c r="M36" s="171"/>
    </row>
    <row r="37" spans="1:13" s="168" customFormat="1" ht="40.15" hidden="1" customHeight="1">
      <c r="A37" s="165"/>
      <c r="B37" s="166"/>
      <c r="C37" s="165"/>
      <c r="D37" s="165"/>
      <c r="E37" s="165"/>
      <c r="F37" s="165"/>
      <c r="G37" s="165"/>
      <c r="H37" s="165"/>
      <c r="I37" s="165"/>
      <c r="J37" s="165"/>
    </row>
    <row r="38" spans="1:13" s="168" customFormat="1" ht="40.15" hidden="1" customHeight="1">
      <c r="A38" s="165"/>
      <c r="B38" s="166"/>
      <c r="C38" s="165"/>
      <c r="D38" s="165"/>
      <c r="E38" s="165"/>
      <c r="F38" s="165"/>
      <c r="G38" s="165"/>
      <c r="H38" s="165"/>
      <c r="I38" s="165"/>
      <c r="J38" s="165"/>
    </row>
    <row r="39" spans="1:13" s="168" customFormat="1" ht="40.15" hidden="1" customHeight="1">
      <c r="A39" s="165"/>
      <c r="B39" s="166"/>
      <c r="C39" s="165"/>
      <c r="D39" s="165"/>
      <c r="E39" s="165"/>
      <c r="F39" s="165"/>
      <c r="G39" s="165"/>
      <c r="H39" s="165"/>
      <c r="I39" s="165"/>
      <c r="J39" s="165"/>
    </row>
    <row r="40" spans="1:13" s="168" customFormat="1" ht="40.15" hidden="1" customHeight="1">
      <c r="A40" s="165"/>
      <c r="B40" s="166"/>
      <c r="C40" s="165"/>
      <c r="D40" s="165"/>
      <c r="E40" s="165"/>
      <c r="F40" s="165"/>
      <c r="G40" s="165"/>
      <c r="H40" s="165"/>
      <c r="I40" s="165"/>
      <c r="J40" s="165"/>
    </row>
    <row r="41" spans="1:13" s="168" customFormat="1" ht="40.15" hidden="1" customHeight="1">
      <c r="A41" s="165"/>
      <c r="B41" s="166"/>
      <c r="C41" s="165"/>
      <c r="D41" s="165"/>
      <c r="E41" s="165"/>
      <c r="F41" s="165"/>
      <c r="G41" s="165"/>
      <c r="H41" s="165"/>
      <c r="I41" s="165"/>
      <c r="J41" s="165"/>
    </row>
    <row r="42" spans="1:13" s="168" customFormat="1" ht="40.15" hidden="1" customHeight="1">
      <c r="A42" s="165"/>
      <c r="B42" s="166"/>
      <c r="C42" s="165"/>
      <c r="D42" s="165"/>
      <c r="E42" s="165"/>
      <c r="F42" s="165"/>
      <c r="G42" s="165"/>
      <c r="H42" s="165"/>
      <c r="I42" s="165"/>
      <c r="J42" s="165"/>
    </row>
    <row r="43" spans="1:13" s="168" customFormat="1" ht="40.15" hidden="1" customHeight="1">
      <c r="A43" s="165"/>
      <c r="B43" s="166"/>
      <c r="C43" s="165"/>
      <c r="D43" s="165"/>
      <c r="E43" s="165"/>
      <c r="F43" s="165"/>
      <c r="G43" s="165"/>
      <c r="H43" s="165"/>
      <c r="I43" s="165"/>
      <c r="J43" s="165"/>
    </row>
  </sheetData>
  <mergeCells count="11">
    <mergeCell ref="C8:J11"/>
    <mergeCell ref="C12:J12"/>
    <mergeCell ref="C13:E13"/>
    <mergeCell ref="C14:J14"/>
    <mergeCell ref="C15:J15"/>
    <mergeCell ref="C7:J7"/>
    <mergeCell ref="A1:J1"/>
    <mergeCell ref="A2:J2"/>
    <mergeCell ref="A3:J3"/>
    <mergeCell ref="C5:J5"/>
    <mergeCell ref="C6:J6"/>
  </mergeCells>
  <phoneticPr fontId="34" type="noConversion"/>
  <printOptions horizontalCentered="1"/>
  <pageMargins left="0.25" right="0.25" top="0.75" bottom="0.75" header="0.3" footer="0.3"/>
  <pageSetup paperSize="9" scale="61"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pageSetUpPr fitToPage="1"/>
  </sheetPr>
  <dimension ref="A1:M43"/>
  <sheetViews>
    <sheetView showGridLines="0" view="pageBreakPreview" zoomScale="55" zoomScaleNormal="70" zoomScaleSheetLayoutView="55" workbookViewId="0">
      <selection sqref="A1:J1"/>
    </sheetView>
  </sheetViews>
  <sheetFormatPr defaultColWidth="7.71484375" defaultRowHeight="23.25"/>
  <cols>
    <col min="1" max="1" width="43.15234375" style="165" customWidth="1"/>
    <col min="2" max="2" width="2.5703125" style="166" customWidth="1"/>
    <col min="3" max="3" width="14.6171875" style="165" customWidth="1"/>
    <col min="4" max="4" width="10.0546875" style="165" customWidth="1"/>
    <col min="5" max="5" width="11.4609375" style="165" customWidth="1"/>
    <col min="6" max="6" width="12.74609375" style="165" customWidth="1"/>
    <col min="7" max="7" width="11.4609375" style="165" customWidth="1"/>
    <col min="8" max="8" width="10.0546875" style="165" customWidth="1"/>
    <col min="9" max="9" width="12.16015625" style="165" customWidth="1"/>
    <col min="10" max="10" width="12.62890625" style="165" customWidth="1"/>
    <col min="11" max="11" width="6.8984375" style="165" customWidth="1"/>
    <col min="12" max="12" width="7.71484375" style="165"/>
    <col min="13" max="13" width="14.3828125" style="165" bestFit="1" customWidth="1"/>
    <col min="14" max="16384" width="7.71484375" style="165"/>
  </cols>
  <sheetData>
    <row r="1" spans="1:13" ht="91.15" customHeight="1" thickBot="1">
      <c r="A1" s="523" t="s">
        <v>94</v>
      </c>
      <c r="B1" s="523"/>
      <c r="C1" s="523"/>
      <c r="D1" s="523"/>
      <c r="E1" s="523"/>
      <c r="F1" s="523"/>
      <c r="G1" s="523"/>
      <c r="H1" s="523"/>
      <c r="I1" s="523"/>
      <c r="J1" s="523"/>
    </row>
    <row r="2" spans="1:13" ht="32.65" customHeight="1">
      <c r="A2" s="524" t="s">
        <v>95</v>
      </c>
      <c r="B2" s="525"/>
      <c r="C2" s="525"/>
      <c r="D2" s="525"/>
      <c r="E2" s="525"/>
      <c r="F2" s="525"/>
      <c r="G2" s="525"/>
      <c r="H2" s="525"/>
      <c r="I2" s="525"/>
      <c r="J2" s="526"/>
    </row>
    <row r="3" spans="1:13" ht="28.35" customHeight="1">
      <c r="A3" s="527" t="str">
        <f>[6]CI!B26</f>
        <v>Address: O Mon Power Complex at Phuoc Thoi wards, O Mon district, Can Tho city</v>
      </c>
      <c r="B3" s="528"/>
      <c r="C3" s="528"/>
      <c r="D3" s="528"/>
      <c r="E3" s="528"/>
      <c r="F3" s="528"/>
      <c r="G3" s="528"/>
      <c r="H3" s="528"/>
      <c r="I3" s="528"/>
      <c r="J3" s="529"/>
    </row>
    <row r="5" spans="1:13" s="168" customFormat="1" ht="40.15" customHeight="1">
      <c r="A5" s="182" t="s">
        <v>96</v>
      </c>
      <c r="B5" s="167" t="s">
        <v>97</v>
      </c>
      <c r="C5" s="530" t="s">
        <v>134</v>
      </c>
      <c r="D5" s="531"/>
      <c r="E5" s="531"/>
      <c r="F5" s="531"/>
      <c r="G5" s="531"/>
      <c r="H5" s="531"/>
      <c r="I5" s="531"/>
      <c r="J5" s="532"/>
    </row>
    <row r="6" spans="1:13" s="168" customFormat="1" ht="55.5" customHeight="1">
      <c r="A6" s="183" t="s">
        <v>98</v>
      </c>
      <c r="B6" s="169" t="s">
        <v>97</v>
      </c>
      <c r="C6" s="519" t="s">
        <v>135</v>
      </c>
      <c r="D6" s="519"/>
      <c r="E6" s="519"/>
      <c r="F6" s="519"/>
      <c r="G6" s="519"/>
      <c r="H6" s="519"/>
      <c r="I6" s="519"/>
      <c r="J6" s="520"/>
    </row>
    <row r="7" spans="1:13" s="168" customFormat="1" ht="94.15" customHeight="1">
      <c r="A7" s="183" t="s">
        <v>116</v>
      </c>
      <c r="B7" s="170" t="s">
        <v>97</v>
      </c>
      <c r="C7" s="519" t="s">
        <v>136</v>
      </c>
      <c r="D7" s="519"/>
      <c r="E7" s="519"/>
      <c r="F7" s="519"/>
      <c r="G7" s="519"/>
      <c r="H7" s="519"/>
      <c r="I7" s="519"/>
      <c r="J7" s="520"/>
    </row>
    <row r="8" spans="1:13" s="168" customFormat="1" ht="20.65" customHeight="1">
      <c r="A8" s="183" t="s">
        <v>99</v>
      </c>
      <c r="B8" s="170" t="s">
        <v>100</v>
      </c>
      <c r="C8" s="519" t="s">
        <v>137</v>
      </c>
      <c r="D8" s="519"/>
      <c r="E8" s="519"/>
      <c r="F8" s="519"/>
      <c r="G8" s="519"/>
      <c r="H8" s="519"/>
      <c r="I8" s="519"/>
      <c r="J8" s="520"/>
    </row>
    <row r="9" spans="1:13" s="168" customFormat="1" ht="20.65" customHeight="1">
      <c r="A9" s="183"/>
      <c r="B9" s="170"/>
      <c r="C9" s="519"/>
      <c r="D9" s="519"/>
      <c r="E9" s="519"/>
      <c r="F9" s="519"/>
      <c r="G9" s="519"/>
      <c r="H9" s="519"/>
      <c r="I9" s="519"/>
      <c r="J9" s="520"/>
    </row>
    <row r="10" spans="1:13" s="168" customFormat="1" ht="20.65" customHeight="1">
      <c r="A10" s="183"/>
      <c r="B10" s="170"/>
      <c r="C10" s="519"/>
      <c r="D10" s="519"/>
      <c r="E10" s="519"/>
      <c r="F10" s="519"/>
      <c r="G10" s="519"/>
      <c r="H10" s="519"/>
      <c r="I10" s="519"/>
      <c r="J10" s="520"/>
    </row>
    <row r="11" spans="1:13" s="168" customFormat="1" ht="171.2" customHeight="1">
      <c r="A11" s="183"/>
      <c r="B11" s="170"/>
      <c r="C11" s="519"/>
      <c r="D11" s="519"/>
      <c r="E11" s="519"/>
      <c r="F11" s="519"/>
      <c r="G11" s="519"/>
      <c r="H11" s="519"/>
      <c r="I11" s="519"/>
      <c r="J11" s="520"/>
    </row>
    <row r="12" spans="1:13" s="168" customFormat="1">
      <c r="A12" s="183" t="s">
        <v>117</v>
      </c>
      <c r="B12" s="169" t="s">
        <v>97</v>
      </c>
      <c r="C12" s="519" t="s">
        <v>115</v>
      </c>
      <c r="D12" s="519"/>
      <c r="E12" s="519"/>
      <c r="F12" s="519"/>
      <c r="G12" s="519"/>
      <c r="H12" s="519"/>
      <c r="I12" s="519"/>
      <c r="J12" s="520"/>
    </row>
    <row r="13" spans="1:13" s="326" customFormat="1" ht="25.5">
      <c r="A13" s="286" t="s">
        <v>101</v>
      </c>
      <c r="B13" s="341" t="s">
        <v>100</v>
      </c>
      <c r="C13" s="533" t="s">
        <v>219</v>
      </c>
      <c r="D13" s="533"/>
      <c r="E13" s="533"/>
      <c r="F13" s="342"/>
      <c r="G13" s="343"/>
      <c r="H13" s="343"/>
      <c r="I13" s="343"/>
      <c r="J13" s="344"/>
    </row>
    <row r="14" spans="1:13" s="168" customFormat="1">
      <c r="A14" s="183" t="s">
        <v>118</v>
      </c>
      <c r="B14" s="169" t="s">
        <v>97</v>
      </c>
      <c r="C14" s="521" t="str">
        <f>[6]CI!B28</f>
        <v>PLANT/ EQUIPMENT AND MATERIALS FOR O MON IV THERMAL</v>
      </c>
      <c r="D14" s="521"/>
      <c r="E14" s="521"/>
      <c r="F14" s="521"/>
      <c r="G14" s="521"/>
      <c r="H14" s="521"/>
      <c r="I14" s="521"/>
      <c r="J14" s="522"/>
    </row>
    <row r="15" spans="1:13" s="168" customFormat="1">
      <c r="A15" s="286" t="s">
        <v>235</v>
      </c>
      <c r="B15" s="287" t="s">
        <v>97</v>
      </c>
      <c r="C15" s="519" t="str">
        <f>'PL(2_2)'!D18</f>
        <v>PVC Conduit</v>
      </c>
      <c r="D15" s="519"/>
      <c r="E15" s="519"/>
      <c r="F15" s="519"/>
      <c r="G15" s="519"/>
      <c r="H15" s="519"/>
      <c r="I15" s="519"/>
      <c r="J15" s="520"/>
      <c r="L15" s="168" t="s">
        <v>236</v>
      </c>
    </row>
    <row r="16" spans="1:13" s="326" customFormat="1" ht="40.15" customHeight="1">
      <c r="A16" s="286" t="s">
        <v>124</v>
      </c>
      <c r="B16" s="327" t="s">
        <v>100</v>
      </c>
      <c r="C16" s="328" t="s">
        <v>221</v>
      </c>
      <c r="D16" s="278"/>
      <c r="E16" s="278"/>
      <c r="F16" s="278"/>
      <c r="G16" s="278"/>
      <c r="H16" s="278"/>
      <c r="I16" s="278"/>
      <c r="J16" s="279"/>
      <c r="M16" s="329"/>
    </row>
    <row r="17" spans="1:13" s="326" customFormat="1" ht="35.450000000000003" customHeight="1">
      <c r="A17" s="286" t="s">
        <v>121</v>
      </c>
      <c r="B17" s="327" t="s">
        <v>100</v>
      </c>
      <c r="C17" s="328" t="str">
        <f>'PL(2_2)'!C18</f>
        <v>OM4-DE-IS-0003-004</v>
      </c>
      <c r="D17" s="278"/>
      <c r="E17" s="278"/>
      <c r="F17" s="278"/>
      <c r="G17" s="278"/>
      <c r="H17" s="278"/>
      <c r="I17" s="278"/>
      <c r="J17" s="279"/>
      <c r="M17" s="329"/>
    </row>
    <row r="18" spans="1:13" s="326" customFormat="1" ht="49.9" customHeight="1">
      <c r="A18" s="286" t="s">
        <v>119</v>
      </c>
      <c r="B18" s="287" t="s">
        <v>97</v>
      </c>
      <c r="C18" s="337">
        <f>'PL(2_2)'!M15</f>
        <v>3375</v>
      </c>
      <c r="D18" s="331" t="s">
        <v>102</v>
      </c>
      <c r="E18" s="332"/>
      <c r="F18" s="332"/>
      <c r="G18" s="332"/>
      <c r="H18" s="332"/>
      <c r="I18" s="332"/>
      <c r="J18" s="333"/>
    </row>
    <row r="19" spans="1:13" s="326" customFormat="1" ht="57.4" customHeight="1">
      <c r="A19" s="286" t="s">
        <v>120</v>
      </c>
      <c r="B19" s="287" t="s">
        <v>97</v>
      </c>
      <c r="C19" s="337">
        <f>'PL(2_2)'!N15</f>
        <v>3575</v>
      </c>
      <c r="D19" s="331" t="s">
        <v>102</v>
      </c>
      <c r="E19" s="332"/>
      <c r="F19" s="334"/>
      <c r="G19" s="332"/>
      <c r="H19" s="332"/>
      <c r="I19" s="332"/>
      <c r="J19" s="335"/>
    </row>
    <row r="20" spans="1:13" s="326" customFormat="1" ht="53.65" customHeight="1">
      <c r="A20" s="286" t="s">
        <v>122</v>
      </c>
      <c r="B20" s="327" t="s">
        <v>97</v>
      </c>
      <c r="C20" s="330">
        <f>'PL(2_2)'!I15</f>
        <v>620</v>
      </c>
      <c r="D20" s="336" t="s">
        <v>103</v>
      </c>
      <c r="E20" s="330">
        <f>'PL(2_2)'!J15</f>
        <v>220</v>
      </c>
      <c r="F20" s="336" t="s">
        <v>104</v>
      </c>
      <c r="G20" s="330">
        <f>'PL(2_2)'!K15</f>
        <v>235</v>
      </c>
      <c r="H20" s="336" t="s">
        <v>105</v>
      </c>
      <c r="I20" s="337">
        <f>'PL(2_2)'!L15</f>
        <v>32.054000000000002</v>
      </c>
      <c r="J20" s="338" t="s">
        <v>106</v>
      </c>
    </row>
    <row r="21" spans="1:13" s="326" customFormat="1" ht="31.15" customHeight="1">
      <c r="A21" s="286" t="s">
        <v>113</v>
      </c>
      <c r="B21" s="327" t="s">
        <v>97</v>
      </c>
      <c r="C21" s="348" t="str">
        <f>'Packing List (1_2)'!B21</f>
        <v>Busan International Port, Korea</v>
      </c>
      <c r="D21" s="331"/>
      <c r="E21" s="332"/>
      <c r="F21" s="331"/>
      <c r="G21" s="332"/>
      <c r="H21" s="331"/>
      <c r="I21" s="337"/>
      <c r="J21" s="338"/>
    </row>
    <row r="22" spans="1:13" s="168" customFormat="1" ht="49.15" customHeight="1">
      <c r="A22" s="183" t="s">
        <v>123</v>
      </c>
      <c r="B22" s="170" t="s">
        <v>97</v>
      </c>
      <c r="C22" s="176" t="s">
        <v>138</v>
      </c>
      <c r="D22" s="172"/>
      <c r="E22" s="173"/>
      <c r="F22" s="172"/>
      <c r="G22" s="173"/>
      <c r="H22" s="172"/>
      <c r="I22" s="174"/>
      <c r="J22" s="175"/>
    </row>
    <row r="23" spans="1:13" s="168" customFormat="1" ht="40.15" customHeight="1">
      <c r="A23" s="184" t="s">
        <v>107</v>
      </c>
      <c r="B23" s="170" t="s">
        <v>97</v>
      </c>
      <c r="C23" s="176" t="s">
        <v>142</v>
      </c>
      <c r="D23" s="172"/>
      <c r="E23" s="173"/>
      <c r="F23" s="172"/>
      <c r="G23" s="173"/>
      <c r="H23" s="172"/>
      <c r="I23" s="174"/>
      <c r="J23" s="175"/>
    </row>
    <row r="24" spans="1:13" s="168" customFormat="1" ht="40.15" customHeight="1">
      <c r="A24" s="185" t="s">
        <v>108</v>
      </c>
      <c r="B24" s="177" t="s">
        <v>97</v>
      </c>
      <c r="C24" s="186" t="s">
        <v>109</v>
      </c>
      <c r="D24" s="178"/>
      <c r="E24" s="178"/>
      <c r="F24" s="178"/>
      <c r="G24" s="178"/>
      <c r="H24" s="178"/>
      <c r="I24" s="178"/>
      <c r="J24" s="179"/>
    </row>
    <row r="25" spans="1:13" ht="120" hidden="1" customHeight="1" thickBot="1"/>
    <row r="26" spans="1:13" ht="55.15" hidden="1" customHeight="1"/>
    <row r="27" spans="1:13" ht="55.15" hidden="1" customHeight="1" thickBot="1"/>
    <row r="28" spans="1:13" ht="40.15" hidden="1" customHeight="1"/>
    <row r="29" spans="1:13" s="168" customFormat="1" ht="40.15" hidden="1" customHeight="1">
      <c r="A29" s="165"/>
      <c r="B29" s="166"/>
      <c r="C29" s="165"/>
      <c r="D29" s="165"/>
      <c r="E29" s="165"/>
      <c r="F29" s="165"/>
      <c r="G29" s="165"/>
      <c r="H29" s="165"/>
      <c r="I29" s="165"/>
      <c r="J29" s="165"/>
    </row>
    <row r="30" spans="1:13" s="168" customFormat="1" ht="55.5" hidden="1" customHeight="1">
      <c r="A30" s="165"/>
      <c r="B30" s="166"/>
      <c r="C30" s="165"/>
      <c r="D30" s="165"/>
      <c r="E30" s="165"/>
      <c r="F30" s="165"/>
      <c r="G30" s="165"/>
      <c r="H30" s="165"/>
      <c r="I30" s="165"/>
      <c r="J30" s="165"/>
    </row>
    <row r="31" spans="1:13" s="168" customFormat="1" ht="53.25" hidden="1" customHeight="1">
      <c r="A31" s="165"/>
      <c r="B31" s="166"/>
      <c r="C31" s="165"/>
      <c r="D31" s="165"/>
      <c r="E31" s="165"/>
      <c r="F31" s="165"/>
      <c r="G31" s="165"/>
      <c r="H31" s="165"/>
      <c r="I31" s="165"/>
      <c r="J31" s="165"/>
    </row>
    <row r="32" spans="1:13" s="168" customFormat="1" ht="99.95" hidden="1" customHeight="1">
      <c r="A32" s="165"/>
      <c r="B32" s="166"/>
      <c r="C32" s="165"/>
      <c r="D32" s="165"/>
      <c r="E32" s="165"/>
      <c r="F32" s="165"/>
      <c r="G32" s="165"/>
      <c r="H32" s="165"/>
      <c r="I32" s="165"/>
      <c r="J32" s="165"/>
    </row>
    <row r="33" spans="1:13" s="168" customFormat="1" ht="40.15" hidden="1" customHeight="1">
      <c r="A33" s="165"/>
      <c r="B33" s="166"/>
      <c r="C33" s="165"/>
      <c r="D33" s="165"/>
      <c r="E33" s="165"/>
      <c r="F33" s="165"/>
      <c r="G33" s="165"/>
      <c r="H33" s="165"/>
      <c r="I33" s="165"/>
      <c r="J33" s="165"/>
    </row>
    <row r="34" spans="1:13" s="168" customFormat="1" ht="40.15" hidden="1" customHeight="1">
      <c r="A34" s="165"/>
      <c r="B34" s="166"/>
      <c r="C34" s="165"/>
      <c r="D34" s="165"/>
      <c r="E34" s="165"/>
      <c r="F34" s="165"/>
      <c r="G34" s="165"/>
      <c r="H34" s="165"/>
      <c r="I34" s="165"/>
      <c r="J34" s="165"/>
    </row>
    <row r="35" spans="1:13" s="168" customFormat="1" ht="75" hidden="1" customHeight="1">
      <c r="A35" s="165"/>
      <c r="B35" s="166"/>
      <c r="C35" s="165"/>
      <c r="D35" s="165"/>
      <c r="E35" s="165"/>
      <c r="F35" s="165"/>
      <c r="G35" s="165"/>
      <c r="H35" s="165"/>
      <c r="I35" s="165"/>
      <c r="J35" s="165"/>
    </row>
    <row r="36" spans="1:13" s="168" customFormat="1" ht="40.15" hidden="1" customHeight="1">
      <c r="A36" s="165"/>
      <c r="B36" s="166"/>
      <c r="C36" s="165"/>
      <c r="D36" s="165"/>
      <c r="E36" s="165"/>
      <c r="F36" s="165"/>
      <c r="G36" s="165"/>
      <c r="H36" s="165"/>
      <c r="I36" s="165"/>
      <c r="J36" s="165"/>
      <c r="M36" s="171"/>
    </row>
    <row r="37" spans="1:13" s="168" customFormat="1" ht="40.15" hidden="1" customHeight="1">
      <c r="A37" s="165"/>
      <c r="B37" s="166"/>
      <c r="C37" s="165"/>
      <c r="D37" s="165"/>
      <c r="E37" s="165"/>
      <c r="F37" s="165"/>
      <c r="G37" s="165"/>
      <c r="H37" s="165"/>
      <c r="I37" s="165"/>
      <c r="J37" s="165"/>
    </row>
    <row r="38" spans="1:13" s="168" customFormat="1" ht="40.15" hidden="1" customHeight="1">
      <c r="A38" s="165"/>
      <c r="B38" s="166"/>
      <c r="C38" s="165"/>
      <c r="D38" s="165"/>
      <c r="E38" s="165"/>
      <c r="F38" s="165"/>
      <c r="G38" s="165"/>
      <c r="H38" s="165"/>
      <c r="I38" s="165"/>
      <c r="J38" s="165"/>
    </row>
    <row r="39" spans="1:13" s="168" customFormat="1" ht="40.15" hidden="1" customHeight="1">
      <c r="A39" s="165"/>
      <c r="B39" s="166"/>
      <c r="C39" s="165"/>
      <c r="D39" s="165"/>
      <c r="E39" s="165"/>
      <c r="F39" s="165"/>
      <c r="G39" s="165"/>
      <c r="H39" s="165"/>
      <c r="I39" s="165"/>
      <c r="J39" s="165"/>
    </row>
    <row r="40" spans="1:13" s="168" customFormat="1" ht="40.15" hidden="1" customHeight="1">
      <c r="A40" s="165"/>
      <c r="B40" s="166"/>
      <c r="C40" s="165"/>
      <c r="D40" s="165"/>
      <c r="E40" s="165"/>
      <c r="F40" s="165"/>
      <c r="G40" s="165"/>
      <c r="H40" s="165"/>
      <c r="I40" s="165"/>
      <c r="J40" s="165"/>
    </row>
    <row r="41" spans="1:13" s="168" customFormat="1" ht="40.15" hidden="1" customHeight="1">
      <c r="A41" s="165"/>
      <c r="B41" s="166"/>
      <c r="C41" s="165"/>
      <c r="D41" s="165"/>
      <c r="E41" s="165"/>
      <c r="F41" s="165"/>
      <c r="G41" s="165"/>
      <c r="H41" s="165"/>
      <c r="I41" s="165"/>
      <c r="J41" s="165"/>
    </row>
    <row r="42" spans="1:13" s="168" customFormat="1" ht="40.15" hidden="1" customHeight="1">
      <c r="A42" s="165"/>
      <c r="B42" s="166"/>
      <c r="C42" s="165"/>
      <c r="D42" s="165"/>
      <c r="E42" s="165"/>
      <c r="F42" s="165"/>
      <c r="G42" s="165"/>
      <c r="H42" s="165"/>
      <c r="I42" s="165"/>
      <c r="J42" s="165"/>
    </row>
    <row r="43" spans="1:13" s="168" customFormat="1" ht="40.15" hidden="1" customHeight="1">
      <c r="A43" s="165"/>
      <c r="B43" s="166"/>
      <c r="C43" s="165"/>
      <c r="D43" s="165"/>
      <c r="E43" s="165"/>
      <c r="F43" s="165"/>
      <c r="G43" s="165"/>
      <c r="H43" s="165"/>
      <c r="I43" s="165"/>
      <c r="J43" s="165"/>
    </row>
  </sheetData>
  <mergeCells count="11">
    <mergeCell ref="C8:J11"/>
    <mergeCell ref="C12:J12"/>
    <mergeCell ref="C13:E13"/>
    <mergeCell ref="C14:J14"/>
    <mergeCell ref="C15:J15"/>
    <mergeCell ref="C7:J7"/>
    <mergeCell ref="A1:J1"/>
    <mergeCell ref="A2:J2"/>
    <mergeCell ref="A3:J3"/>
    <mergeCell ref="C5:J5"/>
    <mergeCell ref="C6:J6"/>
  </mergeCells>
  <phoneticPr fontId="34" type="noConversion"/>
  <printOptions horizontalCentered="1"/>
  <pageMargins left="0.25" right="0.25" top="0.75" bottom="0.75" header="0.3" footer="0.3"/>
  <pageSetup paperSize="9" scale="61"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pageSetUpPr fitToPage="1"/>
  </sheetPr>
  <dimension ref="A1:M43"/>
  <sheetViews>
    <sheetView showGridLines="0" view="pageBreakPreview" zoomScale="55" zoomScaleNormal="70" zoomScaleSheetLayoutView="55" workbookViewId="0">
      <selection sqref="A1:J1"/>
    </sheetView>
  </sheetViews>
  <sheetFormatPr defaultColWidth="7.71484375" defaultRowHeight="23.25"/>
  <cols>
    <col min="1" max="1" width="43.15234375" style="165" customWidth="1"/>
    <col min="2" max="2" width="2.5703125" style="166" customWidth="1"/>
    <col min="3" max="3" width="14.3828125" style="165" customWidth="1"/>
    <col min="4" max="4" width="10.0546875" style="165" customWidth="1"/>
    <col min="5" max="5" width="11.4609375" style="165" customWidth="1"/>
    <col min="6" max="6" width="12.74609375" style="165" customWidth="1"/>
    <col min="7" max="7" width="11.4609375" style="165" customWidth="1"/>
    <col min="8" max="8" width="10.0546875" style="165" customWidth="1"/>
    <col min="9" max="9" width="12.16015625" style="165" customWidth="1"/>
    <col min="10" max="10" width="12.62890625" style="165" customWidth="1"/>
    <col min="11" max="11" width="6.8984375" style="165" customWidth="1"/>
    <col min="12" max="12" width="7.71484375" style="165"/>
    <col min="13" max="13" width="14.3828125" style="165" bestFit="1" customWidth="1"/>
    <col min="14" max="16384" width="7.71484375" style="165"/>
  </cols>
  <sheetData>
    <row r="1" spans="1:13" ht="91.15" customHeight="1" thickBot="1">
      <c r="A1" s="523" t="s">
        <v>94</v>
      </c>
      <c r="B1" s="523"/>
      <c r="C1" s="523"/>
      <c r="D1" s="523"/>
      <c r="E1" s="523"/>
      <c r="F1" s="523"/>
      <c r="G1" s="523"/>
      <c r="H1" s="523"/>
      <c r="I1" s="523"/>
      <c r="J1" s="523"/>
    </row>
    <row r="2" spans="1:13" ht="32.65" customHeight="1">
      <c r="A2" s="524" t="s">
        <v>95</v>
      </c>
      <c r="B2" s="525"/>
      <c r="C2" s="525"/>
      <c r="D2" s="525"/>
      <c r="E2" s="525"/>
      <c r="F2" s="525"/>
      <c r="G2" s="525"/>
      <c r="H2" s="525"/>
      <c r="I2" s="525"/>
      <c r="J2" s="526"/>
    </row>
    <row r="3" spans="1:13" ht="28.35" customHeight="1">
      <c r="A3" s="527" t="str">
        <f>[6]CI!B26</f>
        <v>Address: O Mon Power Complex at Phuoc Thoi wards, O Mon district, Can Tho city</v>
      </c>
      <c r="B3" s="528"/>
      <c r="C3" s="528"/>
      <c r="D3" s="528"/>
      <c r="E3" s="528"/>
      <c r="F3" s="528"/>
      <c r="G3" s="528"/>
      <c r="H3" s="528"/>
      <c r="I3" s="528"/>
      <c r="J3" s="529"/>
    </row>
    <row r="5" spans="1:13" s="168" customFormat="1" ht="40.15" customHeight="1">
      <c r="A5" s="182" t="s">
        <v>96</v>
      </c>
      <c r="B5" s="167" t="s">
        <v>97</v>
      </c>
      <c r="C5" s="530" t="s">
        <v>134</v>
      </c>
      <c r="D5" s="531"/>
      <c r="E5" s="531"/>
      <c r="F5" s="531"/>
      <c r="G5" s="531"/>
      <c r="H5" s="531"/>
      <c r="I5" s="531"/>
      <c r="J5" s="532"/>
    </row>
    <row r="6" spans="1:13" s="168" customFormat="1" ht="55.5" customHeight="1">
      <c r="A6" s="183" t="s">
        <v>98</v>
      </c>
      <c r="B6" s="169" t="s">
        <v>97</v>
      </c>
      <c r="C6" s="519" t="s">
        <v>135</v>
      </c>
      <c r="D6" s="519"/>
      <c r="E6" s="519"/>
      <c r="F6" s="519"/>
      <c r="G6" s="519"/>
      <c r="H6" s="519"/>
      <c r="I6" s="519"/>
      <c r="J6" s="520"/>
    </row>
    <row r="7" spans="1:13" s="168" customFormat="1" ht="94.15" customHeight="1">
      <c r="A7" s="183" t="s">
        <v>116</v>
      </c>
      <c r="B7" s="170" t="s">
        <v>97</v>
      </c>
      <c r="C7" s="519" t="s">
        <v>136</v>
      </c>
      <c r="D7" s="519"/>
      <c r="E7" s="519"/>
      <c r="F7" s="519"/>
      <c r="G7" s="519"/>
      <c r="H7" s="519"/>
      <c r="I7" s="519"/>
      <c r="J7" s="520"/>
    </row>
    <row r="8" spans="1:13" s="168" customFormat="1" ht="20.65" customHeight="1">
      <c r="A8" s="183" t="s">
        <v>99</v>
      </c>
      <c r="B8" s="170" t="s">
        <v>100</v>
      </c>
      <c r="C8" s="519" t="s">
        <v>137</v>
      </c>
      <c r="D8" s="519"/>
      <c r="E8" s="519"/>
      <c r="F8" s="519"/>
      <c r="G8" s="519"/>
      <c r="H8" s="519"/>
      <c r="I8" s="519"/>
      <c r="J8" s="520"/>
    </row>
    <row r="9" spans="1:13" s="168" customFormat="1" ht="20.65" customHeight="1">
      <c r="A9" s="183"/>
      <c r="B9" s="170"/>
      <c r="C9" s="519"/>
      <c r="D9" s="519"/>
      <c r="E9" s="519"/>
      <c r="F9" s="519"/>
      <c r="G9" s="519"/>
      <c r="H9" s="519"/>
      <c r="I9" s="519"/>
      <c r="J9" s="520"/>
    </row>
    <row r="10" spans="1:13" s="168" customFormat="1" ht="20.65" customHeight="1">
      <c r="A10" s="183"/>
      <c r="B10" s="170"/>
      <c r="C10" s="519"/>
      <c r="D10" s="519"/>
      <c r="E10" s="519"/>
      <c r="F10" s="519"/>
      <c r="G10" s="519"/>
      <c r="H10" s="519"/>
      <c r="I10" s="519"/>
      <c r="J10" s="520"/>
    </row>
    <row r="11" spans="1:13" s="168" customFormat="1" ht="171.2" customHeight="1">
      <c r="A11" s="183"/>
      <c r="B11" s="170"/>
      <c r="C11" s="519"/>
      <c r="D11" s="519"/>
      <c r="E11" s="519"/>
      <c r="F11" s="519"/>
      <c r="G11" s="519"/>
      <c r="H11" s="519"/>
      <c r="I11" s="519"/>
      <c r="J11" s="520"/>
    </row>
    <row r="12" spans="1:13" s="168" customFormat="1">
      <c r="A12" s="183" t="s">
        <v>117</v>
      </c>
      <c r="B12" s="169" t="s">
        <v>97</v>
      </c>
      <c r="C12" s="519" t="s">
        <v>115</v>
      </c>
      <c r="D12" s="519"/>
      <c r="E12" s="519"/>
      <c r="F12" s="519"/>
      <c r="G12" s="519"/>
      <c r="H12" s="519"/>
      <c r="I12" s="519"/>
      <c r="J12" s="520"/>
    </row>
    <row r="13" spans="1:13" s="326" customFormat="1" ht="25.5">
      <c r="A13" s="286" t="s">
        <v>101</v>
      </c>
      <c r="B13" s="341" t="s">
        <v>100</v>
      </c>
      <c r="C13" s="533" t="s">
        <v>219</v>
      </c>
      <c r="D13" s="533"/>
      <c r="E13" s="533"/>
      <c r="F13" s="342"/>
      <c r="G13" s="343"/>
      <c r="H13" s="343"/>
      <c r="I13" s="343"/>
      <c r="J13" s="344"/>
    </row>
    <row r="14" spans="1:13" s="168" customFormat="1">
      <c r="A14" s="183" t="s">
        <v>118</v>
      </c>
      <c r="B14" s="169" t="s">
        <v>97</v>
      </c>
      <c r="C14" s="521" t="str">
        <f>[6]CI!B28</f>
        <v>PLANT/ EQUIPMENT AND MATERIALS FOR O MON IV THERMAL</v>
      </c>
      <c r="D14" s="521"/>
      <c r="E14" s="521"/>
      <c r="F14" s="521"/>
      <c r="G14" s="521"/>
      <c r="H14" s="521"/>
      <c r="I14" s="521"/>
      <c r="J14" s="522"/>
    </row>
    <row r="15" spans="1:13" s="168" customFormat="1">
      <c r="A15" s="286" t="s">
        <v>235</v>
      </c>
      <c r="B15" s="287" t="s">
        <v>97</v>
      </c>
      <c r="C15" s="519" t="str">
        <f>'PL(2_2)'!D19</f>
        <v>PVC Conduit</v>
      </c>
      <c r="D15" s="519"/>
      <c r="E15" s="519"/>
      <c r="F15" s="519"/>
      <c r="G15" s="519"/>
      <c r="H15" s="519"/>
      <c r="I15" s="519"/>
      <c r="J15" s="520"/>
      <c r="L15" s="168" t="s">
        <v>236</v>
      </c>
    </row>
    <row r="16" spans="1:13" s="326" customFormat="1" ht="45">
      <c r="A16" s="286" t="s">
        <v>124</v>
      </c>
      <c r="B16" s="327" t="s">
        <v>100</v>
      </c>
      <c r="C16" s="328" t="s">
        <v>221</v>
      </c>
      <c r="D16" s="278"/>
      <c r="E16" s="278"/>
      <c r="F16" s="278"/>
      <c r="G16" s="278"/>
      <c r="H16" s="278"/>
      <c r="I16" s="278"/>
      <c r="J16" s="279"/>
      <c r="M16" s="329"/>
    </row>
    <row r="17" spans="1:13" s="326" customFormat="1" ht="35.450000000000003" customHeight="1">
      <c r="A17" s="286" t="s">
        <v>121</v>
      </c>
      <c r="B17" s="327" t="s">
        <v>100</v>
      </c>
      <c r="C17" s="328" t="str">
        <f>'PL(2_2)'!C19</f>
        <v>OM4-DE-IS-0003-005</v>
      </c>
      <c r="D17" s="278"/>
      <c r="E17" s="278"/>
      <c r="F17" s="278"/>
      <c r="G17" s="278"/>
      <c r="H17" s="278"/>
      <c r="I17" s="278"/>
      <c r="J17" s="279"/>
      <c r="M17" s="329"/>
    </row>
    <row r="18" spans="1:13" s="326" customFormat="1" ht="49.9" customHeight="1">
      <c r="A18" s="286" t="s">
        <v>119</v>
      </c>
      <c r="B18" s="287" t="s">
        <v>97</v>
      </c>
      <c r="C18" s="337">
        <f>'PL(2_2)'!M15</f>
        <v>3375</v>
      </c>
      <c r="D18" s="331" t="s">
        <v>102</v>
      </c>
      <c r="E18" s="332"/>
      <c r="F18" s="332"/>
      <c r="G18" s="332"/>
      <c r="H18" s="332"/>
      <c r="I18" s="332"/>
      <c r="J18" s="333"/>
    </row>
    <row r="19" spans="1:13" s="326" customFormat="1" ht="57.4" customHeight="1">
      <c r="A19" s="286" t="s">
        <v>120</v>
      </c>
      <c r="B19" s="287" t="s">
        <v>97</v>
      </c>
      <c r="C19" s="337">
        <f>'PL(2_2)'!N15</f>
        <v>3575</v>
      </c>
      <c r="D19" s="331" t="s">
        <v>102</v>
      </c>
      <c r="E19" s="332"/>
      <c r="F19" s="334"/>
      <c r="G19" s="332"/>
      <c r="H19" s="332"/>
      <c r="I19" s="332"/>
      <c r="J19" s="335"/>
    </row>
    <row r="20" spans="1:13" s="326" customFormat="1" ht="53.65" customHeight="1">
      <c r="A20" s="286" t="s">
        <v>122</v>
      </c>
      <c r="B20" s="327" t="s">
        <v>97</v>
      </c>
      <c r="C20" s="330">
        <f>'PL(2_2)'!I15</f>
        <v>620</v>
      </c>
      <c r="D20" s="336" t="s">
        <v>103</v>
      </c>
      <c r="E20" s="330">
        <f>'PL(2_2)'!J15</f>
        <v>220</v>
      </c>
      <c r="F20" s="336" t="s">
        <v>104</v>
      </c>
      <c r="G20" s="330">
        <f>'PL(2_2)'!K15</f>
        <v>235</v>
      </c>
      <c r="H20" s="336" t="s">
        <v>105</v>
      </c>
      <c r="I20" s="337">
        <f>'PL(2_2)'!L15</f>
        <v>32.054000000000002</v>
      </c>
      <c r="J20" s="338" t="s">
        <v>106</v>
      </c>
    </row>
    <row r="21" spans="1:13" s="326" customFormat="1" ht="31.15" customHeight="1">
      <c r="A21" s="286" t="s">
        <v>113</v>
      </c>
      <c r="B21" s="327" t="s">
        <v>97</v>
      </c>
      <c r="C21" s="348" t="str">
        <f>'Packing List (1_2)'!B21</f>
        <v>Busan International Port, Korea</v>
      </c>
      <c r="D21" s="331"/>
      <c r="E21" s="332"/>
      <c r="F21" s="331"/>
      <c r="G21" s="332"/>
      <c r="H21" s="331"/>
      <c r="I21" s="337"/>
      <c r="J21" s="338"/>
    </row>
    <row r="22" spans="1:13" s="168" customFormat="1" ht="49.15" customHeight="1">
      <c r="A22" s="183" t="s">
        <v>123</v>
      </c>
      <c r="B22" s="170" t="s">
        <v>97</v>
      </c>
      <c r="C22" s="176" t="s">
        <v>138</v>
      </c>
      <c r="D22" s="172"/>
      <c r="E22" s="173"/>
      <c r="F22" s="172"/>
      <c r="G22" s="173"/>
      <c r="H22" s="172"/>
      <c r="I22" s="174"/>
      <c r="J22" s="175"/>
    </row>
    <row r="23" spans="1:13" s="168" customFormat="1" ht="40.15" customHeight="1">
      <c r="A23" s="184" t="s">
        <v>107</v>
      </c>
      <c r="B23" s="170" t="s">
        <v>97</v>
      </c>
      <c r="C23" s="176" t="s">
        <v>142</v>
      </c>
      <c r="D23" s="172"/>
      <c r="E23" s="173"/>
      <c r="F23" s="172"/>
      <c r="G23" s="173"/>
      <c r="H23" s="172"/>
      <c r="I23" s="174"/>
      <c r="J23" s="175"/>
    </row>
    <row r="24" spans="1:13" s="168" customFormat="1" ht="40.15" customHeight="1">
      <c r="A24" s="185" t="s">
        <v>108</v>
      </c>
      <c r="B24" s="177" t="s">
        <v>97</v>
      </c>
      <c r="C24" s="186" t="s">
        <v>109</v>
      </c>
      <c r="D24" s="178"/>
      <c r="E24" s="178"/>
      <c r="F24" s="178"/>
      <c r="G24" s="178"/>
      <c r="H24" s="178"/>
      <c r="I24" s="178"/>
      <c r="J24" s="179"/>
    </row>
    <row r="25" spans="1:13" ht="120" hidden="1" customHeight="1" thickBot="1"/>
    <row r="26" spans="1:13" ht="55.15" hidden="1" customHeight="1"/>
    <row r="27" spans="1:13" ht="55.15" hidden="1" customHeight="1" thickBot="1"/>
    <row r="28" spans="1:13" ht="40.15" hidden="1" customHeight="1"/>
    <row r="29" spans="1:13" s="168" customFormat="1" ht="40.15" hidden="1" customHeight="1">
      <c r="A29" s="165"/>
      <c r="B29" s="166"/>
      <c r="C29" s="165"/>
      <c r="D29" s="165"/>
      <c r="E29" s="165"/>
      <c r="F29" s="165"/>
      <c r="G29" s="165"/>
      <c r="H29" s="165"/>
      <c r="I29" s="165"/>
      <c r="J29" s="165"/>
    </row>
    <row r="30" spans="1:13" s="168" customFormat="1" ht="55.5" hidden="1" customHeight="1">
      <c r="A30" s="165"/>
      <c r="B30" s="166"/>
      <c r="C30" s="165"/>
      <c r="D30" s="165"/>
      <c r="E30" s="165"/>
      <c r="F30" s="165"/>
      <c r="G30" s="165"/>
      <c r="H30" s="165"/>
      <c r="I30" s="165"/>
      <c r="J30" s="165"/>
    </row>
    <row r="31" spans="1:13" s="168" customFormat="1" ht="53.25" hidden="1" customHeight="1">
      <c r="A31" s="165"/>
      <c r="B31" s="166"/>
      <c r="C31" s="165"/>
      <c r="D31" s="165"/>
      <c r="E31" s="165"/>
      <c r="F31" s="165"/>
      <c r="G31" s="165"/>
      <c r="H31" s="165"/>
      <c r="I31" s="165"/>
      <c r="J31" s="165"/>
    </row>
    <row r="32" spans="1:13" s="168" customFormat="1" ht="99.95" hidden="1" customHeight="1">
      <c r="A32" s="165"/>
      <c r="B32" s="166"/>
      <c r="C32" s="165"/>
      <c r="D32" s="165"/>
      <c r="E32" s="165"/>
      <c r="F32" s="165"/>
      <c r="G32" s="165"/>
      <c r="H32" s="165"/>
      <c r="I32" s="165"/>
      <c r="J32" s="165"/>
    </row>
    <row r="33" spans="1:13" s="168" customFormat="1" ht="40.15" hidden="1" customHeight="1">
      <c r="A33" s="165"/>
      <c r="B33" s="166"/>
      <c r="C33" s="165"/>
      <c r="D33" s="165"/>
      <c r="E33" s="165"/>
      <c r="F33" s="165"/>
      <c r="G33" s="165"/>
      <c r="H33" s="165"/>
      <c r="I33" s="165"/>
      <c r="J33" s="165"/>
    </row>
    <row r="34" spans="1:13" s="168" customFormat="1" ht="40.15" hidden="1" customHeight="1">
      <c r="A34" s="165"/>
      <c r="B34" s="166"/>
      <c r="C34" s="165"/>
      <c r="D34" s="165"/>
      <c r="E34" s="165"/>
      <c r="F34" s="165"/>
      <c r="G34" s="165"/>
      <c r="H34" s="165"/>
      <c r="I34" s="165"/>
      <c r="J34" s="165"/>
    </row>
    <row r="35" spans="1:13" s="168" customFormat="1" ht="75" hidden="1" customHeight="1">
      <c r="A35" s="165"/>
      <c r="B35" s="166"/>
      <c r="C35" s="165"/>
      <c r="D35" s="165"/>
      <c r="E35" s="165"/>
      <c r="F35" s="165"/>
      <c r="G35" s="165"/>
      <c r="H35" s="165"/>
      <c r="I35" s="165"/>
      <c r="J35" s="165"/>
    </row>
    <row r="36" spans="1:13" s="168" customFormat="1" ht="40.15" hidden="1" customHeight="1">
      <c r="A36" s="165"/>
      <c r="B36" s="166"/>
      <c r="C36" s="165"/>
      <c r="D36" s="165"/>
      <c r="E36" s="165"/>
      <c r="F36" s="165"/>
      <c r="G36" s="165"/>
      <c r="H36" s="165"/>
      <c r="I36" s="165"/>
      <c r="J36" s="165"/>
      <c r="M36" s="171"/>
    </row>
    <row r="37" spans="1:13" s="168" customFormat="1" ht="40.15" hidden="1" customHeight="1">
      <c r="A37" s="165"/>
      <c r="B37" s="166"/>
      <c r="C37" s="165"/>
      <c r="D37" s="165"/>
      <c r="E37" s="165"/>
      <c r="F37" s="165"/>
      <c r="G37" s="165"/>
      <c r="H37" s="165"/>
      <c r="I37" s="165"/>
      <c r="J37" s="165"/>
    </row>
    <row r="38" spans="1:13" s="168" customFormat="1" ht="40.15" hidden="1" customHeight="1">
      <c r="A38" s="165"/>
      <c r="B38" s="166"/>
      <c r="C38" s="165"/>
      <c r="D38" s="165"/>
      <c r="E38" s="165"/>
      <c r="F38" s="165"/>
      <c r="G38" s="165"/>
      <c r="H38" s="165"/>
      <c r="I38" s="165"/>
      <c r="J38" s="165"/>
    </row>
    <row r="39" spans="1:13" s="168" customFormat="1" ht="40.15" hidden="1" customHeight="1">
      <c r="A39" s="165"/>
      <c r="B39" s="166"/>
      <c r="C39" s="165"/>
      <c r="D39" s="165"/>
      <c r="E39" s="165"/>
      <c r="F39" s="165"/>
      <c r="G39" s="165"/>
      <c r="H39" s="165"/>
      <c r="I39" s="165"/>
      <c r="J39" s="165"/>
    </row>
    <row r="40" spans="1:13" s="168" customFormat="1" ht="40.15" hidden="1" customHeight="1">
      <c r="A40" s="165"/>
      <c r="B40" s="166"/>
      <c r="C40" s="165"/>
      <c r="D40" s="165"/>
      <c r="E40" s="165"/>
      <c r="F40" s="165"/>
      <c r="G40" s="165"/>
      <c r="H40" s="165"/>
      <c r="I40" s="165"/>
      <c r="J40" s="165"/>
    </row>
    <row r="41" spans="1:13" s="168" customFormat="1" ht="40.15" hidden="1" customHeight="1">
      <c r="A41" s="165"/>
      <c r="B41" s="166"/>
      <c r="C41" s="165"/>
      <c r="D41" s="165"/>
      <c r="E41" s="165"/>
      <c r="F41" s="165"/>
      <c r="G41" s="165"/>
      <c r="H41" s="165"/>
      <c r="I41" s="165"/>
      <c r="J41" s="165"/>
    </row>
    <row r="42" spans="1:13" s="168" customFormat="1" ht="40.15" hidden="1" customHeight="1">
      <c r="A42" s="165"/>
      <c r="B42" s="166"/>
      <c r="C42" s="165"/>
      <c r="D42" s="165"/>
      <c r="E42" s="165"/>
      <c r="F42" s="165"/>
      <c r="G42" s="165"/>
      <c r="H42" s="165"/>
      <c r="I42" s="165"/>
      <c r="J42" s="165"/>
    </row>
    <row r="43" spans="1:13" s="168" customFormat="1" ht="40.15" hidden="1" customHeight="1">
      <c r="A43" s="165"/>
      <c r="B43" s="166"/>
      <c r="C43" s="165"/>
      <c r="D43" s="165"/>
      <c r="E43" s="165"/>
      <c r="F43" s="165"/>
      <c r="G43" s="165"/>
      <c r="H43" s="165"/>
      <c r="I43" s="165"/>
      <c r="J43" s="165"/>
    </row>
  </sheetData>
  <mergeCells count="11">
    <mergeCell ref="C8:J11"/>
    <mergeCell ref="C12:J12"/>
    <mergeCell ref="C13:E13"/>
    <mergeCell ref="C14:J14"/>
    <mergeCell ref="C15:J15"/>
    <mergeCell ref="C7:J7"/>
    <mergeCell ref="A1:J1"/>
    <mergeCell ref="A2:J2"/>
    <mergeCell ref="A3:J3"/>
    <mergeCell ref="C5:J5"/>
    <mergeCell ref="C6:J6"/>
  </mergeCells>
  <phoneticPr fontId="34" type="noConversion"/>
  <printOptions horizontalCentered="1"/>
  <pageMargins left="0.25" right="0.25" top="0.75" bottom="0.75" header="0.3" footer="0.3"/>
  <pageSetup paperSize="9" scale="61"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pageSetUpPr fitToPage="1"/>
  </sheetPr>
  <dimension ref="A1:M43"/>
  <sheetViews>
    <sheetView showGridLines="0" view="pageBreakPreview" zoomScale="55" zoomScaleNormal="70" zoomScaleSheetLayoutView="55" workbookViewId="0">
      <selection sqref="A1:J1"/>
    </sheetView>
  </sheetViews>
  <sheetFormatPr defaultColWidth="7.71484375" defaultRowHeight="23.25"/>
  <cols>
    <col min="1" max="1" width="43.15234375" style="165" customWidth="1"/>
    <col min="2" max="2" width="2.5703125" style="166" customWidth="1"/>
    <col min="3" max="3" width="14.96875" style="165" customWidth="1"/>
    <col min="4" max="4" width="10.0546875" style="165" customWidth="1"/>
    <col min="5" max="5" width="11.4609375" style="165" customWidth="1"/>
    <col min="6" max="6" width="12.74609375" style="165" customWidth="1"/>
    <col min="7" max="7" width="11.4609375" style="165" customWidth="1"/>
    <col min="8" max="8" width="10.0546875" style="165" customWidth="1"/>
    <col min="9" max="9" width="12.16015625" style="165" customWidth="1"/>
    <col min="10" max="10" width="12.62890625" style="165" customWidth="1"/>
    <col min="11" max="11" width="6.8984375" style="165" customWidth="1"/>
    <col min="12" max="12" width="7.71484375" style="165"/>
    <col min="13" max="13" width="14.3828125" style="165" bestFit="1" customWidth="1"/>
    <col min="14" max="16384" width="7.71484375" style="165"/>
  </cols>
  <sheetData>
    <row r="1" spans="1:13" ht="91.15" customHeight="1" thickBot="1">
      <c r="A1" s="523" t="s">
        <v>94</v>
      </c>
      <c r="B1" s="523"/>
      <c r="C1" s="523"/>
      <c r="D1" s="523"/>
      <c r="E1" s="523"/>
      <c r="F1" s="523"/>
      <c r="G1" s="523"/>
      <c r="H1" s="523"/>
      <c r="I1" s="523"/>
      <c r="J1" s="523"/>
    </row>
    <row r="2" spans="1:13" ht="32.65" customHeight="1">
      <c r="A2" s="524" t="s">
        <v>95</v>
      </c>
      <c r="B2" s="525"/>
      <c r="C2" s="525"/>
      <c r="D2" s="525"/>
      <c r="E2" s="525"/>
      <c r="F2" s="525"/>
      <c r="G2" s="525"/>
      <c r="H2" s="525"/>
      <c r="I2" s="525"/>
      <c r="J2" s="526"/>
    </row>
    <row r="3" spans="1:13" ht="28.35" customHeight="1">
      <c r="A3" s="527" t="str">
        <f>[6]CI!B26</f>
        <v>Address: O Mon Power Complex at Phuoc Thoi wards, O Mon district, Can Tho city</v>
      </c>
      <c r="B3" s="528"/>
      <c r="C3" s="528"/>
      <c r="D3" s="528"/>
      <c r="E3" s="528"/>
      <c r="F3" s="528"/>
      <c r="G3" s="528"/>
      <c r="H3" s="528"/>
      <c r="I3" s="528"/>
      <c r="J3" s="529"/>
    </row>
    <row r="5" spans="1:13" s="168" customFormat="1" ht="40.15" customHeight="1">
      <c r="A5" s="182" t="s">
        <v>96</v>
      </c>
      <c r="B5" s="167" t="s">
        <v>97</v>
      </c>
      <c r="C5" s="530" t="s">
        <v>134</v>
      </c>
      <c r="D5" s="531"/>
      <c r="E5" s="531"/>
      <c r="F5" s="531"/>
      <c r="G5" s="531"/>
      <c r="H5" s="531"/>
      <c r="I5" s="531"/>
      <c r="J5" s="532"/>
    </row>
    <row r="6" spans="1:13" s="168" customFormat="1" ht="55.5" customHeight="1">
      <c r="A6" s="183" t="s">
        <v>98</v>
      </c>
      <c r="B6" s="169" t="s">
        <v>97</v>
      </c>
      <c r="C6" s="519" t="s">
        <v>135</v>
      </c>
      <c r="D6" s="519"/>
      <c r="E6" s="519"/>
      <c r="F6" s="519"/>
      <c r="G6" s="519"/>
      <c r="H6" s="519"/>
      <c r="I6" s="519"/>
      <c r="J6" s="520"/>
    </row>
    <row r="7" spans="1:13" s="168" customFormat="1" ht="94.15" customHeight="1">
      <c r="A7" s="183" t="s">
        <v>116</v>
      </c>
      <c r="B7" s="170" t="s">
        <v>97</v>
      </c>
      <c r="C7" s="519" t="s">
        <v>136</v>
      </c>
      <c r="D7" s="519"/>
      <c r="E7" s="519"/>
      <c r="F7" s="519"/>
      <c r="G7" s="519"/>
      <c r="H7" s="519"/>
      <c r="I7" s="519"/>
      <c r="J7" s="520"/>
    </row>
    <row r="8" spans="1:13" s="168" customFormat="1" ht="20.65" customHeight="1">
      <c r="A8" s="183" t="s">
        <v>99</v>
      </c>
      <c r="B8" s="170" t="s">
        <v>100</v>
      </c>
      <c r="C8" s="519" t="s">
        <v>137</v>
      </c>
      <c r="D8" s="519"/>
      <c r="E8" s="519"/>
      <c r="F8" s="519"/>
      <c r="G8" s="519"/>
      <c r="H8" s="519"/>
      <c r="I8" s="519"/>
      <c r="J8" s="520"/>
    </row>
    <row r="9" spans="1:13" s="168" customFormat="1" ht="20.65" customHeight="1">
      <c r="A9" s="183"/>
      <c r="B9" s="170"/>
      <c r="C9" s="519"/>
      <c r="D9" s="519"/>
      <c r="E9" s="519"/>
      <c r="F9" s="519"/>
      <c r="G9" s="519"/>
      <c r="H9" s="519"/>
      <c r="I9" s="519"/>
      <c r="J9" s="520"/>
    </row>
    <row r="10" spans="1:13" s="168" customFormat="1" ht="20.65" customHeight="1">
      <c r="A10" s="183"/>
      <c r="B10" s="170"/>
      <c r="C10" s="519"/>
      <c r="D10" s="519"/>
      <c r="E10" s="519"/>
      <c r="F10" s="519"/>
      <c r="G10" s="519"/>
      <c r="H10" s="519"/>
      <c r="I10" s="519"/>
      <c r="J10" s="520"/>
    </row>
    <row r="11" spans="1:13" s="168" customFormat="1" ht="171.2" customHeight="1">
      <c r="A11" s="183"/>
      <c r="B11" s="170"/>
      <c r="C11" s="519"/>
      <c r="D11" s="519"/>
      <c r="E11" s="519"/>
      <c r="F11" s="519"/>
      <c r="G11" s="519"/>
      <c r="H11" s="519"/>
      <c r="I11" s="519"/>
      <c r="J11" s="520"/>
    </row>
    <row r="12" spans="1:13" s="168" customFormat="1">
      <c r="A12" s="183" t="s">
        <v>117</v>
      </c>
      <c r="B12" s="169" t="s">
        <v>97</v>
      </c>
      <c r="C12" s="519" t="s">
        <v>115</v>
      </c>
      <c r="D12" s="519"/>
      <c r="E12" s="519"/>
      <c r="F12" s="519"/>
      <c r="G12" s="519"/>
      <c r="H12" s="519"/>
      <c r="I12" s="519"/>
      <c r="J12" s="520"/>
    </row>
    <row r="13" spans="1:13" s="326" customFormat="1" ht="25.5">
      <c r="A13" s="286" t="s">
        <v>101</v>
      </c>
      <c r="B13" s="287" t="s">
        <v>100</v>
      </c>
      <c r="C13" s="533" t="s">
        <v>219</v>
      </c>
      <c r="D13" s="533"/>
      <c r="E13" s="533"/>
      <c r="F13" s="342"/>
      <c r="G13" s="343"/>
      <c r="H13" s="343"/>
      <c r="I13" s="343"/>
      <c r="J13" s="344"/>
    </row>
    <row r="14" spans="1:13" s="168" customFormat="1">
      <c r="A14" s="183" t="s">
        <v>118</v>
      </c>
      <c r="B14" s="169" t="s">
        <v>97</v>
      </c>
      <c r="C14" s="521" t="str">
        <f>[6]CI!B28</f>
        <v>PLANT/ EQUIPMENT AND MATERIALS FOR O MON IV THERMAL</v>
      </c>
      <c r="D14" s="521"/>
      <c r="E14" s="521"/>
      <c r="F14" s="521"/>
      <c r="G14" s="521"/>
      <c r="H14" s="521"/>
      <c r="I14" s="521"/>
      <c r="J14" s="522"/>
    </row>
    <row r="15" spans="1:13" s="168" customFormat="1">
      <c r="A15" s="286" t="s">
        <v>235</v>
      </c>
      <c r="B15" s="287" t="s">
        <v>97</v>
      </c>
      <c r="C15" s="519" t="str">
        <f>'PL(2_2)'!D20</f>
        <v>PVC Conduit</v>
      </c>
      <c r="D15" s="519"/>
      <c r="E15" s="519"/>
      <c r="F15" s="519"/>
      <c r="G15" s="519"/>
      <c r="H15" s="519"/>
      <c r="I15" s="519"/>
      <c r="J15" s="520"/>
      <c r="L15" s="168" t="s">
        <v>236</v>
      </c>
    </row>
    <row r="16" spans="1:13" s="326" customFormat="1" ht="40.15" customHeight="1">
      <c r="A16" s="286" t="s">
        <v>124</v>
      </c>
      <c r="B16" s="327" t="s">
        <v>100</v>
      </c>
      <c r="C16" s="328" t="s">
        <v>221</v>
      </c>
      <c r="D16" s="278"/>
      <c r="E16" s="278"/>
      <c r="F16" s="278"/>
      <c r="G16" s="278"/>
      <c r="H16" s="278"/>
      <c r="I16" s="278"/>
      <c r="J16" s="279"/>
      <c r="M16" s="329"/>
    </row>
    <row r="17" spans="1:13" s="326" customFormat="1" ht="35.450000000000003" customHeight="1">
      <c r="A17" s="286" t="s">
        <v>121</v>
      </c>
      <c r="B17" s="327" t="s">
        <v>100</v>
      </c>
      <c r="C17" s="328" t="str">
        <f>'PL(2_2)'!C20</f>
        <v>OM4-DE-IS-0003-006</v>
      </c>
      <c r="D17" s="278"/>
      <c r="E17" s="278"/>
      <c r="F17" s="278"/>
      <c r="G17" s="278"/>
      <c r="H17" s="278"/>
      <c r="I17" s="278"/>
      <c r="J17" s="279"/>
      <c r="M17" s="329"/>
    </row>
    <row r="18" spans="1:13" s="326" customFormat="1" ht="49.9" customHeight="1">
      <c r="A18" s="286" t="s">
        <v>119</v>
      </c>
      <c r="B18" s="287" t="s">
        <v>97</v>
      </c>
      <c r="C18" s="337">
        <f>'PL(2_2)'!M15</f>
        <v>3375</v>
      </c>
      <c r="D18" s="331" t="s">
        <v>102</v>
      </c>
      <c r="E18" s="332"/>
      <c r="F18" s="332"/>
      <c r="G18" s="332"/>
      <c r="H18" s="332"/>
      <c r="I18" s="332"/>
      <c r="J18" s="333"/>
    </row>
    <row r="19" spans="1:13" s="326" customFormat="1" ht="57.4" customHeight="1">
      <c r="A19" s="286" t="s">
        <v>120</v>
      </c>
      <c r="B19" s="287" t="s">
        <v>97</v>
      </c>
      <c r="C19" s="337">
        <f>'PL(2_2)'!N15</f>
        <v>3575</v>
      </c>
      <c r="D19" s="331" t="s">
        <v>102</v>
      </c>
      <c r="E19" s="332"/>
      <c r="F19" s="334"/>
      <c r="G19" s="332"/>
      <c r="H19" s="332"/>
      <c r="I19" s="332"/>
      <c r="J19" s="335"/>
    </row>
    <row r="20" spans="1:13" s="326" customFormat="1" ht="53.65" customHeight="1">
      <c r="A20" s="286" t="s">
        <v>122</v>
      </c>
      <c r="B20" s="327" t="s">
        <v>97</v>
      </c>
      <c r="C20" s="330">
        <f>'PL(2_2)'!I15</f>
        <v>620</v>
      </c>
      <c r="D20" s="336" t="s">
        <v>103</v>
      </c>
      <c r="E20" s="330">
        <f>'PL(2_2)'!J15</f>
        <v>220</v>
      </c>
      <c r="F20" s="336" t="s">
        <v>104</v>
      </c>
      <c r="G20" s="330">
        <f>'PL(2_2)'!K15</f>
        <v>235</v>
      </c>
      <c r="H20" s="336" t="s">
        <v>105</v>
      </c>
      <c r="I20" s="337">
        <f>'PL(2_2)'!L15</f>
        <v>32.054000000000002</v>
      </c>
      <c r="J20" s="338" t="s">
        <v>106</v>
      </c>
    </row>
    <row r="21" spans="1:13" s="326" customFormat="1" ht="31.15" customHeight="1">
      <c r="A21" s="286" t="s">
        <v>113</v>
      </c>
      <c r="B21" s="327" t="s">
        <v>97</v>
      </c>
      <c r="C21" s="348" t="str">
        <f>'Packing List (1_2)'!B21</f>
        <v>Busan International Port, Korea</v>
      </c>
      <c r="D21" s="331"/>
      <c r="E21" s="332"/>
      <c r="F21" s="331"/>
      <c r="G21" s="332"/>
      <c r="H21" s="331"/>
      <c r="I21" s="337"/>
      <c r="J21" s="338"/>
    </row>
    <row r="22" spans="1:13" s="168" customFormat="1" ht="49.15" customHeight="1">
      <c r="A22" s="183" t="s">
        <v>123</v>
      </c>
      <c r="B22" s="170" t="s">
        <v>97</v>
      </c>
      <c r="C22" s="176" t="s">
        <v>138</v>
      </c>
      <c r="D22" s="172"/>
      <c r="E22" s="173"/>
      <c r="F22" s="172"/>
      <c r="G22" s="173"/>
      <c r="H22" s="172"/>
      <c r="I22" s="174"/>
      <c r="J22" s="175"/>
    </row>
    <row r="23" spans="1:13" s="168" customFormat="1" ht="40.15" customHeight="1">
      <c r="A23" s="184" t="s">
        <v>107</v>
      </c>
      <c r="B23" s="170" t="s">
        <v>97</v>
      </c>
      <c r="C23" s="176" t="s">
        <v>142</v>
      </c>
      <c r="D23" s="172"/>
      <c r="E23" s="173"/>
      <c r="F23" s="172"/>
      <c r="G23" s="173"/>
      <c r="H23" s="172"/>
      <c r="I23" s="174"/>
      <c r="J23" s="175"/>
    </row>
    <row r="24" spans="1:13" s="168" customFormat="1" ht="40.15" customHeight="1">
      <c r="A24" s="185" t="s">
        <v>108</v>
      </c>
      <c r="B24" s="177" t="s">
        <v>97</v>
      </c>
      <c r="C24" s="186" t="s">
        <v>109</v>
      </c>
      <c r="D24" s="178"/>
      <c r="E24" s="178"/>
      <c r="F24" s="178"/>
      <c r="G24" s="178"/>
      <c r="H24" s="178"/>
      <c r="I24" s="178"/>
      <c r="J24" s="179"/>
    </row>
    <row r="25" spans="1:13" ht="120" hidden="1" customHeight="1" thickBot="1"/>
    <row r="26" spans="1:13" ht="55.15" hidden="1" customHeight="1"/>
    <row r="27" spans="1:13" ht="55.15" hidden="1" customHeight="1" thickBot="1"/>
    <row r="28" spans="1:13" ht="40.15" hidden="1" customHeight="1"/>
    <row r="29" spans="1:13" s="168" customFormat="1" ht="40.15" hidden="1" customHeight="1">
      <c r="A29" s="165"/>
      <c r="B29" s="166"/>
      <c r="C29" s="165"/>
      <c r="D29" s="165"/>
      <c r="E29" s="165"/>
      <c r="F29" s="165"/>
      <c r="G29" s="165"/>
      <c r="H29" s="165"/>
      <c r="I29" s="165"/>
      <c r="J29" s="165"/>
    </row>
    <row r="30" spans="1:13" s="168" customFormat="1" ht="55.5" hidden="1" customHeight="1">
      <c r="A30" s="165"/>
      <c r="B30" s="166"/>
      <c r="C30" s="165"/>
      <c r="D30" s="165"/>
      <c r="E30" s="165"/>
      <c r="F30" s="165"/>
      <c r="G30" s="165"/>
      <c r="H30" s="165"/>
      <c r="I30" s="165"/>
      <c r="J30" s="165"/>
    </row>
    <row r="31" spans="1:13" s="168" customFormat="1" ht="53.25" hidden="1" customHeight="1">
      <c r="A31" s="165"/>
      <c r="B31" s="166"/>
      <c r="C31" s="165"/>
      <c r="D31" s="165"/>
      <c r="E31" s="165"/>
      <c r="F31" s="165"/>
      <c r="G31" s="165"/>
      <c r="H31" s="165"/>
      <c r="I31" s="165"/>
      <c r="J31" s="165"/>
    </row>
    <row r="32" spans="1:13" s="168" customFormat="1" ht="99.95" hidden="1" customHeight="1">
      <c r="A32" s="165"/>
      <c r="B32" s="166"/>
      <c r="C32" s="165"/>
      <c r="D32" s="165"/>
      <c r="E32" s="165"/>
      <c r="F32" s="165"/>
      <c r="G32" s="165"/>
      <c r="H32" s="165"/>
      <c r="I32" s="165"/>
      <c r="J32" s="165"/>
    </row>
    <row r="33" spans="1:13" s="168" customFormat="1" ht="40.15" hidden="1" customHeight="1">
      <c r="A33" s="165"/>
      <c r="B33" s="166"/>
      <c r="C33" s="165"/>
      <c r="D33" s="165"/>
      <c r="E33" s="165"/>
      <c r="F33" s="165"/>
      <c r="G33" s="165"/>
      <c r="H33" s="165"/>
      <c r="I33" s="165"/>
      <c r="J33" s="165"/>
    </row>
    <row r="34" spans="1:13" s="168" customFormat="1" ht="40.15" hidden="1" customHeight="1">
      <c r="A34" s="165"/>
      <c r="B34" s="166"/>
      <c r="C34" s="165"/>
      <c r="D34" s="165"/>
      <c r="E34" s="165"/>
      <c r="F34" s="165"/>
      <c r="G34" s="165"/>
      <c r="H34" s="165"/>
      <c r="I34" s="165"/>
      <c r="J34" s="165"/>
    </row>
    <row r="35" spans="1:13" s="168" customFormat="1" ht="75" hidden="1" customHeight="1">
      <c r="A35" s="165"/>
      <c r="B35" s="166"/>
      <c r="C35" s="165"/>
      <c r="D35" s="165"/>
      <c r="E35" s="165"/>
      <c r="F35" s="165"/>
      <c r="G35" s="165"/>
      <c r="H35" s="165"/>
      <c r="I35" s="165"/>
      <c r="J35" s="165"/>
    </row>
    <row r="36" spans="1:13" s="168" customFormat="1" ht="40.15" hidden="1" customHeight="1">
      <c r="A36" s="165"/>
      <c r="B36" s="166"/>
      <c r="C36" s="165"/>
      <c r="D36" s="165"/>
      <c r="E36" s="165"/>
      <c r="F36" s="165"/>
      <c r="G36" s="165"/>
      <c r="H36" s="165"/>
      <c r="I36" s="165"/>
      <c r="J36" s="165"/>
      <c r="M36" s="171"/>
    </row>
    <row r="37" spans="1:13" s="168" customFormat="1" ht="40.15" hidden="1" customHeight="1">
      <c r="A37" s="165"/>
      <c r="B37" s="166"/>
      <c r="C37" s="165"/>
      <c r="D37" s="165"/>
      <c r="E37" s="165"/>
      <c r="F37" s="165"/>
      <c r="G37" s="165"/>
      <c r="H37" s="165"/>
      <c r="I37" s="165"/>
      <c r="J37" s="165"/>
    </row>
    <row r="38" spans="1:13" s="168" customFormat="1" ht="40.15" hidden="1" customHeight="1">
      <c r="A38" s="165"/>
      <c r="B38" s="166"/>
      <c r="C38" s="165"/>
      <c r="D38" s="165"/>
      <c r="E38" s="165"/>
      <c r="F38" s="165"/>
      <c r="G38" s="165"/>
      <c r="H38" s="165"/>
      <c r="I38" s="165"/>
      <c r="J38" s="165"/>
    </row>
    <row r="39" spans="1:13" s="168" customFormat="1" ht="40.15" hidden="1" customHeight="1">
      <c r="A39" s="165"/>
      <c r="B39" s="166"/>
      <c r="C39" s="165"/>
      <c r="D39" s="165"/>
      <c r="E39" s="165"/>
      <c r="F39" s="165"/>
      <c r="G39" s="165"/>
      <c r="H39" s="165"/>
      <c r="I39" s="165"/>
      <c r="J39" s="165"/>
    </row>
    <row r="40" spans="1:13" s="168" customFormat="1" ht="40.15" hidden="1" customHeight="1">
      <c r="A40" s="165"/>
      <c r="B40" s="166"/>
      <c r="C40" s="165"/>
      <c r="D40" s="165"/>
      <c r="E40" s="165"/>
      <c r="F40" s="165"/>
      <c r="G40" s="165"/>
      <c r="H40" s="165"/>
      <c r="I40" s="165"/>
      <c r="J40" s="165"/>
    </row>
    <row r="41" spans="1:13" s="168" customFormat="1" ht="40.15" hidden="1" customHeight="1">
      <c r="A41" s="165"/>
      <c r="B41" s="166"/>
      <c r="C41" s="165"/>
      <c r="D41" s="165"/>
      <c r="E41" s="165"/>
      <c r="F41" s="165"/>
      <c r="G41" s="165"/>
      <c r="H41" s="165"/>
      <c r="I41" s="165"/>
      <c r="J41" s="165"/>
    </row>
    <row r="42" spans="1:13" s="168" customFormat="1" ht="40.15" hidden="1" customHeight="1">
      <c r="A42" s="165"/>
      <c r="B42" s="166"/>
      <c r="C42" s="165"/>
      <c r="D42" s="165"/>
      <c r="E42" s="165"/>
      <c r="F42" s="165"/>
      <c r="G42" s="165"/>
      <c r="H42" s="165"/>
      <c r="I42" s="165"/>
      <c r="J42" s="165"/>
    </row>
    <row r="43" spans="1:13" s="168" customFormat="1" ht="40.15" hidden="1" customHeight="1">
      <c r="A43" s="165"/>
      <c r="B43" s="166"/>
      <c r="C43" s="165"/>
      <c r="D43" s="165"/>
      <c r="E43" s="165"/>
      <c r="F43" s="165"/>
      <c r="G43" s="165"/>
      <c r="H43" s="165"/>
      <c r="I43" s="165"/>
      <c r="J43" s="165"/>
    </row>
  </sheetData>
  <mergeCells count="11">
    <mergeCell ref="C8:J11"/>
    <mergeCell ref="C12:J12"/>
    <mergeCell ref="C13:E13"/>
    <mergeCell ref="C14:J14"/>
    <mergeCell ref="C15:J15"/>
    <mergeCell ref="C7:J7"/>
    <mergeCell ref="A1:J1"/>
    <mergeCell ref="A2:J2"/>
    <mergeCell ref="A3:J3"/>
    <mergeCell ref="C5:J5"/>
    <mergeCell ref="C6:J6"/>
  </mergeCells>
  <phoneticPr fontId="34" type="noConversion"/>
  <printOptions horizontalCentered="1"/>
  <pageMargins left="0.25" right="0.25" top="0.75" bottom="0.75" header="0.3" footer="0.3"/>
  <pageSetup paperSize="9" scale="60"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pageSetUpPr fitToPage="1"/>
  </sheetPr>
  <dimension ref="A1:M43"/>
  <sheetViews>
    <sheetView showGridLines="0" view="pageBreakPreview" zoomScale="55" zoomScaleNormal="70" zoomScaleSheetLayoutView="55" workbookViewId="0">
      <selection sqref="A1:J1"/>
    </sheetView>
  </sheetViews>
  <sheetFormatPr defaultColWidth="7.71484375" defaultRowHeight="23.25"/>
  <cols>
    <col min="1" max="1" width="43.15234375" style="165" customWidth="1"/>
    <col min="2" max="2" width="2.5703125" style="166" customWidth="1"/>
    <col min="3" max="3" width="14.6171875" style="165" customWidth="1"/>
    <col min="4" max="4" width="10.0546875" style="165" customWidth="1"/>
    <col min="5" max="5" width="11.4609375" style="165" customWidth="1"/>
    <col min="6" max="6" width="12.74609375" style="165" customWidth="1"/>
    <col min="7" max="7" width="11.4609375" style="165" customWidth="1"/>
    <col min="8" max="8" width="10.0546875" style="165" customWidth="1"/>
    <col min="9" max="9" width="12.16015625" style="165" customWidth="1"/>
    <col min="10" max="10" width="12.62890625" style="165" customWidth="1"/>
    <col min="11" max="11" width="6.8984375" style="165" customWidth="1"/>
    <col min="12" max="12" width="7.71484375" style="165"/>
    <col min="13" max="13" width="14.3828125" style="165" bestFit="1" customWidth="1"/>
    <col min="14" max="16384" width="7.71484375" style="165"/>
  </cols>
  <sheetData>
    <row r="1" spans="1:13" ht="91.15" customHeight="1" thickBot="1">
      <c r="A1" s="523" t="s">
        <v>94</v>
      </c>
      <c r="B1" s="523"/>
      <c r="C1" s="523"/>
      <c r="D1" s="523"/>
      <c r="E1" s="523"/>
      <c r="F1" s="523"/>
      <c r="G1" s="523"/>
      <c r="H1" s="523"/>
      <c r="I1" s="523"/>
      <c r="J1" s="523"/>
    </row>
    <row r="2" spans="1:13" ht="32.65" customHeight="1">
      <c r="A2" s="524" t="s">
        <v>95</v>
      </c>
      <c r="B2" s="525"/>
      <c r="C2" s="525"/>
      <c r="D2" s="525"/>
      <c r="E2" s="525"/>
      <c r="F2" s="525"/>
      <c r="G2" s="525"/>
      <c r="H2" s="525"/>
      <c r="I2" s="525"/>
      <c r="J2" s="526"/>
    </row>
    <row r="3" spans="1:13" ht="28.35" customHeight="1">
      <c r="A3" s="527" t="str">
        <f>[6]CI!B26</f>
        <v>Address: O Mon Power Complex at Phuoc Thoi wards, O Mon district, Can Tho city</v>
      </c>
      <c r="B3" s="528"/>
      <c r="C3" s="528"/>
      <c r="D3" s="528"/>
      <c r="E3" s="528"/>
      <c r="F3" s="528"/>
      <c r="G3" s="528"/>
      <c r="H3" s="528"/>
      <c r="I3" s="528"/>
      <c r="J3" s="529"/>
    </row>
    <row r="5" spans="1:13" s="168" customFormat="1" ht="40.15" customHeight="1">
      <c r="A5" s="182" t="s">
        <v>96</v>
      </c>
      <c r="B5" s="167" t="s">
        <v>97</v>
      </c>
      <c r="C5" s="530" t="s">
        <v>134</v>
      </c>
      <c r="D5" s="531"/>
      <c r="E5" s="531"/>
      <c r="F5" s="531"/>
      <c r="G5" s="531"/>
      <c r="H5" s="531"/>
      <c r="I5" s="531"/>
      <c r="J5" s="532"/>
    </row>
    <row r="6" spans="1:13" s="168" customFormat="1" ht="55.5" customHeight="1">
      <c r="A6" s="183" t="s">
        <v>98</v>
      </c>
      <c r="B6" s="169" t="s">
        <v>97</v>
      </c>
      <c r="C6" s="519" t="s">
        <v>135</v>
      </c>
      <c r="D6" s="519"/>
      <c r="E6" s="519"/>
      <c r="F6" s="519"/>
      <c r="G6" s="519"/>
      <c r="H6" s="519"/>
      <c r="I6" s="519"/>
      <c r="J6" s="520"/>
    </row>
    <row r="7" spans="1:13" s="168" customFormat="1" ht="94.15" customHeight="1">
      <c r="A7" s="183" t="s">
        <v>116</v>
      </c>
      <c r="B7" s="170" t="s">
        <v>97</v>
      </c>
      <c r="C7" s="519" t="s">
        <v>136</v>
      </c>
      <c r="D7" s="519"/>
      <c r="E7" s="519"/>
      <c r="F7" s="519"/>
      <c r="G7" s="519"/>
      <c r="H7" s="519"/>
      <c r="I7" s="519"/>
      <c r="J7" s="520"/>
    </row>
    <row r="8" spans="1:13" s="168" customFormat="1" ht="20.65" customHeight="1">
      <c r="A8" s="183" t="s">
        <v>99</v>
      </c>
      <c r="B8" s="170" t="s">
        <v>100</v>
      </c>
      <c r="C8" s="519" t="s">
        <v>137</v>
      </c>
      <c r="D8" s="519"/>
      <c r="E8" s="519"/>
      <c r="F8" s="519"/>
      <c r="G8" s="519"/>
      <c r="H8" s="519"/>
      <c r="I8" s="519"/>
      <c r="J8" s="520"/>
    </row>
    <row r="9" spans="1:13" s="168" customFormat="1" ht="20.65" customHeight="1">
      <c r="A9" s="183"/>
      <c r="B9" s="170"/>
      <c r="C9" s="519"/>
      <c r="D9" s="519"/>
      <c r="E9" s="519"/>
      <c r="F9" s="519"/>
      <c r="G9" s="519"/>
      <c r="H9" s="519"/>
      <c r="I9" s="519"/>
      <c r="J9" s="520"/>
    </row>
    <row r="10" spans="1:13" s="168" customFormat="1" ht="20.65" customHeight="1">
      <c r="A10" s="183"/>
      <c r="B10" s="170"/>
      <c r="C10" s="519"/>
      <c r="D10" s="519"/>
      <c r="E10" s="519"/>
      <c r="F10" s="519"/>
      <c r="G10" s="519"/>
      <c r="H10" s="519"/>
      <c r="I10" s="519"/>
      <c r="J10" s="520"/>
    </row>
    <row r="11" spans="1:13" s="168" customFormat="1" ht="171.2" customHeight="1">
      <c r="A11" s="183"/>
      <c r="B11" s="170"/>
      <c r="C11" s="519"/>
      <c r="D11" s="519"/>
      <c r="E11" s="519"/>
      <c r="F11" s="519"/>
      <c r="G11" s="519"/>
      <c r="H11" s="519"/>
      <c r="I11" s="519"/>
      <c r="J11" s="520"/>
    </row>
    <row r="12" spans="1:13" s="168" customFormat="1">
      <c r="A12" s="183" t="s">
        <v>117</v>
      </c>
      <c r="B12" s="169" t="s">
        <v>97</v>
      </c>
      <c r="C12" s="519" t="s">
        <v>115</v>
      </c>
      <c r="D12" s="519"/>
      <c r="E12" s="519"/>
      <c r="F12" s="519"/>
      <c r="G12" s="519"/>
      <c r="H12" s="519"/>
      <c r="I12" s="519"/>
      <c r="J12" s="520"/>
    </row>
    <row r="13" spans="1:13" s="326" customFormat="1" ht="25.5">
      <c r="A13" s="286" t="s">
        <v>101</v>
      </c>
      <c r="B13" s="287" t="s">
        <v>100</v>
      </c>
      <c r="C13" s="533" t="s">
        <v>219</v>
      </c>
      <c r="D13" s="533"/>
      <c r="E13" s="533"/>
      <c r="F13" s="342"/>
      <c r="G13" s="343"/>
      <c r="H13" s="343"/>
      <c r="I13" s="343"/>
      <c r="J13" s="344"/>
    </row>
    <row r="14" spans="1:13" s="168" customFormat="1">
      <c r="A14" s="183" t="s">
        <v>118</v>
      </c>
      <c r="B14" s="169" t="s">
        <v>97</v>
      </c>
      <c r="C14" s="521" t="str">
        <f>[6]CI!B28</f>
        <v>PLANT/ EQUIPMENT AND MATERIALS FOR O MON IV THERMAL</v>
      </c>
      <c r="D14" s="521"/>
      <c r="E14" s="521"/>
      <c r="F14" s="521"/>
      <c r="G14" s="521"/>
      <c r="H14" s="521"/>
      <c r="I14" s="521"/>
      <c r="J14" s="522"/>
    </row>
    <row r="15" spans="1:13" s="326" customFormat="1">
      <c r="A15" s="286" t="s">
        <v>235</v>
      </c>
      <c r="B15" s="287" t="s">
        <v>97</v>
      </c>
      <c r="C15" s="519" t="str">
        <f>'PL(2_2)'!D21</f>
        <v>PVC Conduit</v>
      </c>
      <c r="D15" s="519"/>
      <c r="E15" s="519"/>
      <c r="F15" s="519"/>
      <c r="G15" s="519"/>
      <c r="H15" s="519"/>
      <c r="I15" s="519"/>
      <c r="J15" s="520"/>
      <c r="L15" s="326" t="s">
        <v>236</v>
      </c>
    </row>
    <row r="16" spans="1:13" s="326" customFormat="1" ht="40.15" customHeight="1">
      <c r="A16" s="286" t="s">
        <v>124</v>
      </c>
      <c r="B16" s="327" t="s">
        <v>100</v>
      </c>
      <c r="C16" s="328" t="s">
        <v>221</v>
      </c>
      <c r="D16" s="278"/>
      <c r="E16" s="278"/>
      <c r="F16" s="278"/>
      <c r="G16" s="278"/>
      <c r="H16" s="278"/>
      <c r="I16" s="278"/>
      <c r="J16" s="279"/>
      <c r="M16" s="329"/>
    </row>
    <row r="17" spans="1:13" s="326" customFormat="1" ht="35.450000000000003" customHeight="1">
      <c r="A17" s="286" t="s">
        <v>121</v>
      </c>
      <c r="B17" s="327" t="s">
        <v>100</v>
      </c>
      <c r="C17" s="328" t="str">
        <f>'PL(2_2)'!C21</f>
        <v>OM4-DE-IS-0003-007</v>
      </c>
      <c r="D17" s="278"/>
      <c r="E17" s="278"/>
      <c r="F17" s="278"/>
      <c r="G17" s="278"/>
      <c r="H17" s="278"/>
      <c r="I17" s="278"/>
      <c r="J17" s="279"/>
      <c r="M17" s="329"/>
    </row>
    <row r="18" spans="1:13" s="326" customFormat="1" ht="49.9" customHeight="1">
      <c r="A18" s="286" t="s">
        <v>119</v>
      </c>
      <c r="B18" s="287" t="s">
        <v>97</v>
      </c>
      <c r="C18" s="337">
        <f>'PL(2_2)'!M21</f>
        <v>2250</v>
      </c>
      <c r="D18" s="331" t="s">
        <v>102</v>
      </c>
      <c r="E18" s="332"/>
      <c r="F18" s="332"/>
      <c r="G18" s="332"/>
      <c r="H18" s="332"/>
      <c r="I18" s="332"/>
      <c r="J18" s="333"/>
    </row>
    <row r="19" spans="1:13" s="326" customFormat="1" ht="57.4" customHeight="1">
      <c r="A19" s="286" t="s">
        <v>120</v>
      </c>
      <c r="B19" s="287" t="s">
        <v>97</v>
      </c>
      <c r="C19" s="337">
        <f>'PL(2_2)'!N21</f>
        <v>2450</v>
      </c>
      <c r="D19" s="331" t="s">
        <v>102</v>
      </c>
      <c r="E19" s="332"/>
      <c r="F19" s="334"/>
      <c r="G19" s="332"/>
      <c r="H19" s="332"/>
      <c r="I19" s="332"/>
      <c r="J19" s="335"/>
    </row>
    <row r="20" spans="1:13" s="326" customFormat="1" ht="53.65" customHeight="1">
      <c r="A20" s="286" t="s">
        <v>122</v>
      </c>
      <c r="B20" s="327" t="s">
        <v>97</v>
      </c>
      <c r="C20" s="330">
        <f>'PL(2_2)'!I21</f>
        <v>620</v>
      </c>
      <c r="D20" s="336" t="s">
        <v>103</v>
      </c>
      <c r="E20" s="330">
        <f>'PL(2_2)'!J21</f>
        <v>220</v>
      </c>
      <c r="F20" s="336" t="s">
        <v>104</v>
      </c>
      <c r="G20" s="330">
        <f>'PL(2_2)'!K21</f>
        <v>180</v>
      </c>
      <c r="H20" s="336" t="s">
        <v>105</v>
      </c>
      <c r="I20" s="337">
        <f>'PL(2_2)'!L21</f>
        <v>24.552</v>
      </c>
      <c r="J20" s="338" t="s">
        <v>106</v>
      </c>
    </row>
    <row r="21" spans="1:13" s="326" customFormat="1" ht="31.15" customHeight="1">
      <c r="A21" s="286" t="s">
        <v>113</v>
      </c>
      <c r="B21" s="327" t="s">
        <v>97</v>
      </c>
      <c r="C21" s="348" t="str">
        <f>'Packing List (1_2)'!B21</f>
        <v>Busan International Port, Korea</v>
      </c>
      <c r="D21" s="331"/>
      <c r="E21" s="332"/>
      <c r="F21" s="331"/>
      <c r="G21" s="332"/>
      <c r="H21" s="331"/>
      <c r="I21" s="337"/>
      <c r="J21" s="338"/>
    </row>
    <row r="22" spans="1:13" s="168" customFormat="1" ht="49.15" customHeight="1">
      <c r="A22" s="183" t="s">
        <v>123</v>
      </c>
      <c r="B22" s="170" t="s">
        <v>97</v>
      </c>
      <c r="C22" s="176" t="s">
        <v>138</v>
      </c>
      <c r="D22" s="172"/>
      <c r="E22" s="173"/>
      <c r="F22" s="172"/>
      <c r="G22" s="173"/>
      <c r="H22" s="172"/>
      <c r="I22" s="174"/>
      <c r="J22" s="175"/>
    </row>
    <row r="23" spans="1:13" s="168" customFormat="1" ht="40.15" customHeight="1">
      <c r="A23" s="184" t="s">
        <v>107</v>
      </c>
      <c r="B23" s="170" t="s">
        <v>97</v>
      </c>
      <c r="C23" s="176" t="s">
        <v>142</v>
      </c>
      <c r="D23" s="172"/>
      <c r="E23" s="173"/>
      <c r="F23" s="172"/>
      <c r="G23" s="173"/>
      <c r="H23" s="172"/>
      <c r="I23" s="174"/>
      <c r="J23" s="175"/>
    </row>
    <row r="24" spans="1:13" s="168" customFormat="1" ht="40.15" customHeight="1">
      <c r="A24" s="185" t="s">
        <v>108</v>
      </c>
      <c r="B24" s="177" t="s">
        <v>97</v>
      </c>
      <c r="C24" s="186" t="s">
        <v>109</v>
      </c>
      <c r="D24" s="178"/>
      <c r="E24" s="178"/>
      <c r="F24" s="178"/>
      <c r="G24" s="178"/>
      <c r="H24" s="178"/>
      <c r="I24" s="178"/>
      <c r="J24" s="179"/>
    </row>
    <row r="25" spans="1:13" ht="120" hidden="1" customHeight="1" thickBot="1"/>
    <row r="26" spans="1:13" ht="55.15" hidden="1" customHeight="1"/>
    <row r="27" spans="1:13" ht="55.15" hidden="1" customHeight="1" thickBot="1"/>
    <row r="28" spans="1:13" ht="40.15" hidden="1" customHeight="1"/>
    <row r="29" spans="1:13" s="168" customFormat="1" ht="40.15" hidden="1" customHeight="1">
      <c r="A29" s="165"/>
      <c r="B29" s="166"/>
      <c r="C29" s="165"/>
      <c r="D29" s="165"/>
      <c r="E29" s="165"/>
      <c r="F29" s="165"/>
      <c r="G29" s="165"/>
      <c r="H29" s="165"/>
      <c r="I29" s="165"/>
      <c r="J29" s="165"/>
    </row>
    <row r="30" spans="1:13" s="168" customFormat="1" ht="55.5" hidden="1" customHeight="1">
      <c r="A30" s="165"/>
      <c r="B30" s="166"/>
      <c r="C30" s="165"/>
      <c r="D30" s="165"/>
      <c r="E30" s="165"/>
      <c r="F30" s="165"/>
      <c r="G30" s="165"/>
      <c r="H30" s="165"/>
      <c r="I30" s="165"/>
      <c r="J30" s="165"/>
    </row>
    <row r="31" spans="1:13" s="168" customFormat="1" ht="53.25" hidden="1" customHeight="1">
      <c r="A31" s="165"/>
      <c r="B31" s="166"/>
      <c r="C31" s="165"/>
      <c r="D31" s="165"/>
      <c r="E31" s="165"/>
      <c r="F31" s="165"/>
      <c r="G31" s="165"/>
      <c r="H31" s="165"/>
      <c r="I31" s="165"/>
      <c r="J31" s="165"/>
    </row>
    <row r="32" spans="1:13" s="168" customFormat="1" ht="99.95" hidden="1" customHeight="1">
      <c r="A32" s="165"/>
      <c r="B32" s="166"/>
      <c r="C32" s="165"/>
      <c r="D32" s="165"/>
      <c r="E32" s="165"/>
      <c r="F32" s="165"/>
      <c r="G32" s="165"/>
      <c r="H32" s="165"/>
      <c r="I32" s="165"/>
      <c r="J32" s="165"/>
    </row>
    <row r="33" spans="1:13" s="168" customFormat="1" ht="40.15" hidden="1" customHeight="1">
      <c r="A33" s="165"/>
      <c r="B33" s="166"/>
      <c r="C33" s="165"/>
      <c r="D33" s="165"/>
      <c r="E33" s="165"/>
      <c r="F33" s="165"/>
      <c r="G33" s="165"/>
      <c r="H33" s="165"/>
      <c r="I33" s="165"/>
      <c r="J33" s="165"/>
    </row>
    <row r="34" spans="1:13" s="168" customFormat="1" ht="40.15" hidden="1" customHeight="1">
      <c r="A34" s="165"/>
      <c r="B34" s="166"/>
      <c r="C34" s="165"/>
      <c r="D34" s="165"/>
      <c r="E34" s="165"/>
      <c r="F34" s="165"/>
      <c r="G34" s="165"/>
      <c r="H34" s="165"/>
      <c r="I34" s="165"/>
      <c r="J34" s="165"/>
    </row>
    <row r="35" spans="1:13" s="168" customFormat="1" ht="75" hidden="1" customHeight="1">
      <c r="A35" s="165"/>
      <c r="B35" s="166"/>
      <c r="C35" s="165"/>
      <c r="D35" s="165"/>
      <c r="E35" s="165"/>
      <c r="F35" s="165"/>
      <c r="G35" s="165"/>
      <c r="H35" s="165"/>
      <c r="I35" s="165"/>
      <c r="J35" s="165"/>
    </row>
    <row r="36" spans="1:13" s="168" customFormat="1" ht="40.15" hidden="1" customHeight="1">
      <c r="A36" s="165"/>
      <c r="B36" s="166"/>
      <c r="C36" s="165"/>
      <c r="D36" s="165"/>
      <c r="E36" s="165"/>
      <c r="F36" s="165"/>
      <c r="G36" s="165"/>
      <c r="H36" s="165"/>
      <c r="I36" s="165"/>
      <c r="J36" s="165"/>
      <c r="M36" s="171"/>
    </row>
    <row r="37" spans="1:13" s="168" customFormat="1" ht="40.15" hidden="1" customHeight="1">
      <c r="A37" s="165"/>
      <c r="B37" s="166"/>
      <c r="C37" s="165"/>
      <c r="D37" s="165"/>
      <c r="E37" s="165"/>
      <c r="F37" s="165"/>
      <c r="G37" s="165"/>
      <c r="H37" s="165"/>
      <c r="I37" s="165"/>
      <c r="J37" s="165"/>
    </row>
    <row r="38" spans="1:13" s="168" customFormat="1" ht="40.15" hidden="1" customHeight="1">
      <c r="A38" s="165"/>
      <c r="B38" s="166"/>
      <c r="C38" s="165"/>
      <c r="D38" s="165"/>
      <c r="E38" s="165"/>
      <c r="F38" s="165"/>
      <c r="G38" s="165"/>
      <c r="H38" s="165"/>
      <c r="I38" s="165"/>
      <c r="J38" s="165"/>
    </row>
    <row r="39" spans="1:13" s="168" customFormat="1" ht="40.15" hidden="1" customHeight="1">
      <c r="A39" s="165"/>
      <c r="B39" s="166"/>
      <c r="C39" s="165"/>
      <c r="D39" s="165"/>
      <c r="E39" s="165"/>
      <c r="F39" s="165"/>
      <c r="G39" s="165"/>
      <c r="H39" s="165"/>
      <c r="I39" s="165"/>
      <c r="J39" s="165"/>
    </row>
    <row r="40" spans="1:13" s="168" customFormat="1" ht="40.15" hidden="1" customHeight="1">
      <c r="A40" s="165"/>
      <c r="B40" s="166"/>
      <c r="C40" s="165"/>
      <c r="D40" s="165"/>
      <c r="E40" s="165"/>
      <c r="F40" s="165"/>
      <c r="G40" s="165"/>
      <c r="H40" s="165"/>
      <c r="I40" s="165"/>
      <c r="J40" s="165"/>
    </row>
    <row r="41" spans="1:13" s="168" customFormat="1" ht="40.15" hidden="1" customHeight="1">
      <c r="A41" s="165"/>
      <c r="B41" s="166"/>
      <c r="C41" s="165"/>
      <c r="D41" s="165"/>
      <c r="E41" s="165"/>
      <c r="F41" s="165"/>
      <c r="G41" s="165"/>
      <c r="H41" s="165"/>
      <c r="I41" s="165"/>
      <c r="J41" s="165"/>
    </row>
    <row r="42" spans="1:13" s="168" customFormat="1" ht="40.15" hidden="1" customHeight="1">
      <c r="A42" s="165"/>
      <c r="B42" s="166"/>
      <c r="C42" s="165"/>
      <c r="D42" s="165"/>
      <c r="E42" s="165"/>
      <c r="F42" s="165"/>
      <c r="G42" s="165"/>
      <c r="H42" s="165"/>
      <c r="I42" s="165"/>
      <c r="J42" s="165"/>
    </row>
    <row r="43" spans="1:13" s="168" customFormat="1" ht="40.15" hidden="1" customHeight="1">
      <c r="A43" s="165"/>
      <c r="B43" s="166"/>
      <c r="C43" s="165"/>
      <c r="D43" s="165"/>
      <c r="E43" s="165"/>
      <c r="F43" s="165"/>
      <c r="G43" s="165"/>
      <c r="H43" s="165"/>
      <c r="I43" s="165"/>
      <c r="J43" s="165"/>
    </row>
  </sheetData>
  <mergeCells count="11">
    <mergeCell ref="C8:J11"/>
    <mergeCell ref="C12:J12"/>
    <mergeCell ref="C13:E13"/>
    <mergeCell ref="C14:J14"/>
    <mergeCell ref="C15:J15"/>
    <mergeCell ref="C7:J7"/>
    <mergeCell ref="A1:J1"/>
    <mergeCell ref="A2:J2"/>
    <mergeCell ref="A3:J3"/>
    <mergeCell ref="C5:J5"/>
    <mergeCell ref="C6:J6"/>
  </mergeCells>
  <phoneticPr fontId="34" type="noConversion"/>
  <printOptions horizontalCentered="1"/>
  <pageMargins left="0.25" right="0.25" top="0.75" bottom="0.75" header="0.3" footer="0.3"/>
  <pageSetup paperSize="9" scale="61"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pageSetUpPr fitToPage="1"/>
  </sheetPr>
  <dimension ref="A1:M43"/>
  <sheetViews>
    <sheetView showGridLines="0" view="pageBreakPreview" zoomScale="55" zoomScaleNormal="70" zoomScaleSheetLayoutView="55" workbookViewId="0">
      <selection sqref="A1:J1"/>
    </sheetView>
  </sheetViews>
  <sheetFormatPr defaultColWidth="7.71484375" defaultRowHeight="23.25"/>
  <cols>
    <col min="1" max="1" width="43.15234375" style="165" customWidth="1"/>
    <col min="2" max="2" width="2.5703125" style="166" customWidth="1"/>
    <col min="3" max="3" width="15.43359375" style="165" customWidth="1"/>
    <col min="4" max="4" width="10.0546875" style="165" customWidth="1"/>
    <col min="5" max="5" width="11.4609375" style="165" customWidth="1"/>
    <col min="6" max="6" width="12.74609375" style="165" customWidth="1"/>
    <col min="7" max="7" width="11.4609375" style="165" customWidth="1"/>
    <col min="8" max="8" width="10.0546875" style="165" customWidth="1"/>
    <col min="9" max="9" width="12.16015625" style="165" customWidth="1"/>
    <col min="10" max="10" width="12.62890625" style="165" customWidth="1"/>
    <col min="11" max="11" width="6.8984375" style="165" customWidth="1"/>
    <col min="12" max="12" width="7.71484375" style="165"/>
    <col min="13" max="13" width="14.3828125" style="165" bestFit="1" customWidth="1"/>
    <col min="14" max="16384" width="7.71484375" style="165"/>
  </cols>
  <sheetData>
    <row r="1" spans="1:13" ht="91.15" customHeight="1" thickBot="1">
      <c r="A1" s="523" t="s">
        <v>94</v>
      </c>
      <c r="B1" s="523"/>
      <c r="C1" s="523"/>
      <c r="D1" s="523"/>
      <c r="E1" s="523"/>
      <c r="F1" s="523"/>
      <c r="G1" s="523"/>
      <c r="H1" s="523"/>
      <c r="I1" s="523"/>
      <c r="J1" s="523"/>
    </row>
    <row r="2" spans="1:13" ht="32.65" customHeight="1">
      <c r="A2" s="524" t="s">
        <v>95</v>
      </c>
      <c r="B2" s="525"/>
      <c r="C2" s="525"/>
      <c r="D2" s="525"/>
      <c r="E2" s="525"/>
      <c r="F2" s="525"/>
      <c r="G2" s="525"/>
      <c r="H2" s="525"/>
      <c r="I2" s="525"/>
      <c r="J2" s="526"/>
    </row>
    <row r="3" spans="1:13" ht="28.35" customHeight="1">
      <c r="A3" s="527" t="str">
        <f>[6]CI!B26</f>
        <v>Address: O Mon Power Complex at Phuoc Thoi wards, O Mon district, Can Tho city</v>
      </c>
      <c r="B3" s="528"/>
      <c r="C3" s="528"/>
      <c r="D3" s="528"/>
      <c r="E3" s="528"/>
      <c r="F3" s="528"/>
      <c r="G3" s="528"/>
      <c r="H3" s="528"/>
      <c r="I3" s="528"/>
      <c r="J3" s="529"/>
    </row>
    <row r="5" spans="1:13" s="168" customFormat="1" ht="40.15" customHeight="1">
      <c r="A5" s="182" t="s">
        <v>96</v>
      </c>
      <c r="B5" s="167" t="s">
        <v>97</v>
      </c>
      <c r="C5" s="530" t="s">
        <v>134</v>
      </c>
      <c r="D5" s="531"/>
      <c r="E5" s="531"/>
      <c r="F5" s="531"/>
      <c r="G5" s="531"/>
      <c r="H5" s="531"/>
      <c r="I5" s="531"/>
      <c r="J5" s="532"/>
    </row>
    <row r="6" spans="1:13" s="168" customFormat="1" ht="55.5" customHeight="1">
      <c r="A6" s="183" t="s">
        <v>98</v>
      </c>
      <c r="B6" s="169" t="s">
        <v>97</v>
      </c>
      <c r="C6" s="519" t="s">
        <v>135</v>
      </c>
      <c r="D6" s="519"/>
      <c r="E6" s="519"/>
      <c r="F6" s="519"/>
      <c r="G6" s="519"/>
      <c r="H6" s="519"/>
      <c r="I6" s="519"/>
      <c r="J6" s="520"/>
    </row>
    <row r="7" spans="1:13" s="168" customFormat="1" ht="94.15" customHeight="1">
      <c r="A7" s="183" t="s">
        <v>116</v>
      </c>
      <c r="B7" s="170" t="s">
        <v>97</v>
      </c>
      <c r="C7" s="519" t="s">
        <v>136</v>
      </c>
      <c r="D7" s="519"/>
      <c r="E7" s="519"/>
      <c r="F7" s="519"/>
      <c r="G7" s="519"/>
      <c r="H7" s="519"/>
      <c r="I7" s="519"/>
      <c r="J7" s="520"/>
    </row>
    <row r="8" spans="1:13" s="168" customFormat="1" ht="20.65" customHeight="1">
      <c r="A8" s="183" t="s">
        <v>99</v>
      </c>
      <c r="B8" s="170" t="s">
        <v>100</v>
      </c>
      <c r="C8" s="519" t="s">
        <v>137</v>
      </c>
      <c r="D8" s="519"/>
      <c r="E8" s="519"/>
      <c r="F8" s="519"/>
      <c r="G8" s="519"/>
      <c r="H8" s="519"/>
      <c r="I8" s="519"/>
      <c r="J8" s="520"/>
    </row>
    <row r="9" spans="1:13" s="168" customFormat="1" ht="20.65" customHeight="1">
      <c r="A9" s="183"/>
      <c r="B9" s="170"/>
      <c r="C9" s="519"/>
      <c r="D9" s="519"/>
      <c r="E9" s="519"/>
      <c r="F9" s="519"/>
      <c r="G9" s="519"/>
      <c r="H9" s="519"/>
      <c r="I9" s="519"/>
      <c r="J9" s="520"/>
    </row>
    <row r="10" spans="1:13" s="168" customFormat="1" ht="20.65" customHeight="1">
      <c r="A10" s="183"/>
      <c r="B10" s="170"/>
      <c r="C10" s="519"/>
      <c r="D10" s="519"/>
      <c r="E10" s="519"/>
      <c r="F10" s="519"/>
      <c r="G10" s="519"/>
      <c r="H10" s="519"/>
      <c r="I10" s="519"/>
      <c r="J10" s="520"/>
    </row>
    <row r="11" spans="1:13" s="168" customFormat="1" ht="171.2" customHeight="1">
      <c r="A11" s="183"/>
      <c r="B11" s="170"/>
      <c r="C11" s="519"/>
      <c r="D11" s="519"/>
      <c r="E11" s="519"/>
      <c r="F11" s="519"/>
      <c r="G11" s="519"/>
      <c r="H11" s="519"/>
      <c r="I11" s="519"/>
      <c r="J11" s="520"/>
    </row>
    <row r="12" spans="1:13" s="168" customFormat="1">
      <c r="A12" s="183" t="s">
        <v>117</v>
      </c>
      <c r="B12" s="169" t="s">
        <v>97</v>
      </c>
      <c r="C12" s="519" t="s">
        <v>115</v>
      </c>
      <c r="D12" s="519"/>
      <c r="E12" s="519"/>
      <c r="F12" s="519"/>
      <c r="G12" s="519"/>
      <c r="H12" s="519"/>
      <c r="I12" s="519"/>
      <c r="J12" s="520"/>
    </row>
    <row r="13" spans="1:13" s="326" customFormat="1" ht="25.5">
      <c r="A13" s="286" t="s">
        <v>101</v>
      </c>
      <c r="B13" s="287" t="s">
        <v>100</v>
      </c>
      <c r="C13" s="533" t="s">
        <v>219</v>
      </c>
      <c r="D13" s="533"/>
      <c r="E13" s="533"/>
      <c r="F13" s="342"/>
      <c r="G13" s="343"/>
      <c r="H13" s="343"/>
      <c r="I13" s="343"/>
      <c r="J13" s="344"/>
    </row>
    <row r="14" spans="1:13" s="168" customFormat="1">
      <c r="A14" s="183" t="s">
        <v>118</v>
      </c>
      <c r="B14" s="169" t="s">
        <v>97</v>
      </c>
      <c r="C14" s="521" t="str">
        <f>[6]CI!B28</f>
        <v>PLANT/ EQUIPMENT AND MATERIALS FOR O MON IV THERMAL</v>
      </c>
      <c r="D14" s="521"/>
      <c r="E14" s="521"/>
      <c r="F14" s="521"/>
      <c r="G14" s="521"/>
      <c r="H14" s="521"/>
      <c r="I14" s="521"/>
      <c r="J14" s="522"/>
    </row>
    <row r="15" spans="1:13" s="326" customFormat="1">
      <c r="A15" s="286" t="s">
        <v>235</v>
      </c>
      <c r="B15" s="287" t="s">
        <v>97</v>
      </c>
      <c r="C15" s="519" t="str">
        <f>'PL(2_2)'!D22</f>
        <v>PVC Conduit</v>
      </c>
      <c r="D15" s="519"/>
      <c r="E15" s="519"/>
      <c r="F15" s="519"/>
      <c r="G15" s="519"/>
      <c r="H15" s="519"/>
      <c r="I15" s="519"/>
      <c r="J15" s="520"/>
      <c r="L15" s="326" t="s">
        <v>236</v>
      </c>
    </row>
    <row r="16" spans="1:13" s="326" customFormat="1" ht="40.15" customHeight="1">
      <c r="A16" s="286" t="s">
        <v>124</v>
      </c>
      <c r="B16" s="327" t="s">
        <v>100</v>
      </c>
      <c r="C16" s="328" t="s">
        <v>221</v>
      </c>
      <c r="D16" s="278"/>
      <c r="E16" s="278"/>
      <c r="F16" s="278"/>
      <c r="G16" s="278"/>
      <c r="H16" s="278"/>
      <c r="I16" s="278"/>
      <c r="J16" s="279"/>
      <c r="M16" s="329"/>
    </row>
    <row r="17" spans="1:13" s="326" customFormat="1" ht="35.450000000000003" customHeight="1">
      <c r="A17" s="286" t="s">
        <v>121</v>
      </c>
      <c r="B17" s="327" t="s">
        <v>100</v>
      </c>
      <c r="C17" s="328" t="str">
        <f>'PL(2_2)'!C22</f>
        <v>OM4-DE-IS-0003-008</v>
      </c>
      <c r="D17" s="278"/>
      <c r="E17" s="278"/>
      <c r="F17" s="278"/>
      <c r="G17" s="278"/>
      <c r="H17" s="278"/>
      <c r="I17" s="278"/>
      <c r="J17" s="279"/>
      <c r="M17" s="329"/>
    </row>
    <row r="18" spans="1:13" s="326" customFormat="1" ht="49.9" customHeight="1">
      <c r="A18" s="286" t="s">
        <v>119</v>
      </c>
      <c r="B18" s="287" t="s">
        <v>97</v>
      </c>
      <c r="C18" s="337">
        <f>'PL(2_2)'!M22</f>
        <v>1120</v>
      </c>
      <c r="D18" s="331" t="s">
        <v>102</v>
      </c>
      <c r="E18" s="332"/>
      <c r="F18" s="332"/>
      <c r="G18" s="332"/>
      <c r="H18" s="332"/>
      <c r="I18" s="332"/>
      <c r="J18" s="333"/>
    </row>
    <row r="19" spans="1:13" s="326" customFormat="1" ht="57.4" customHeight="1">
      <c r="A19" s="286" t="s">
        <v>120</v>
      </c>
      <c r="B19" s="287" t="s">
        <v>97</v>
      </c>
      <c r="C19" s="337">
        <f>'PL(2_2)'!N22</f>
        <v>1320</v>
      </c>
      <c r="D19" s="331" t="s">
        <v>102</v>
      </c>
      <c r="E19" s="332"/>
      <c r="F19" s="334"/>
      <c r="G19" s="332"/>
      <c r="H19" s="332"/>
      <c r="I19" s="332"/>
      <c r="J19" s="335"/>
    </row>
    <row r="20" spans="1:13" s="326" customFormat="1" ht="53.65" customHeight="1">
      <c r="A20" s="286" t="s">
        <v>122</v>
      </c>
      <c r="B20" s="327" t="s">
        <v>97</v>
      </c>
      <c r="C20" s="330">
        <f>'PL(2_2)'!I22</f>
        <v>420</v>
      </c>
      <c r="D20" s="336" t="s">
        <v>103</v>
      </c>
      <c r="E20" s="330">
        <f>'PL(2_2)'!J22</f>
        <v>220</v>
      </c>
      <c r="F20" s="336" t="s">
        <v>104</v>
      </c>
      <c r="G20" s="330">
        <f>'PL(2_2)'!K22</f>
        <v>140</v>
      </c>
      <c r="H20" s="336" t="s">
        <v>105</v>
      </c>
      <c r="I20" s="337">
        <f>'PL(2_2)'!L22</f>
        <v>12.936</v>
      </c>
      <c r="J20" s="338" t="s">
        <v>106</v>
      </c>
    </row>
    <row r="21" spans="1:13" s="326" customFormat="1" ht="31.15" customHeight="1">
      <c r="A21" s="286" t="s">
        <v>113</v>
      </c>
      <c r="B21" s="327" t="s">
        <v>97</v>
      </c>
      <c r="C21" s="348" t="str">
        <f>'Packing List (1_2)'!B21</f>
        <v>Busan International Port, Korea</v>
      </c>
      <c r="D21" s="331"/>
      <c r="E21" s="332"/>
      <c r="F21" s="331"/>
      <c r="G21" s="332"/>
      <c r="H21" s="331"/>
      <c r="I21" s="337"/>
      <c r="J21" s="338"/>
    </row>
    <row r="22" spans="1:13" s="168" customFormat="1" ht="49.15" customHeight="1">
      <c r="A22" s="183" t="s">
        <v>123</v>
      </c>
      <c r="B22" s="170" t="s">
        <v>97</v>
      </c>
      <c r="C22" s="176" t="s">
        <v>138</v>
      </c>
      <c r="D22" s="172"/>
      <c r="E22" s="173"/>
      <c r="F22" s="172"/>
      <c r="G22" s="173"/>
      <c r="H22" s="172"/>
      <c r="I22" s="174"/>
      <c r="J22" s="175"/>
    </row>
    <row r="23" spans="1:13" s="168" customFormat="1" ht="40.15" customHeight="1">
      <c r="A23" s="184" t="s">
        <v>107</v>
      </c>
      <c r="B23" s="170" t="s">
        <v>97</v>
      </c>
      <c r="C23" s="176" t="s">
        <v>142</v>
      </c>
      <c r="D23" s="172"/>
      <c r="E23" s="173"/>
      <c r="F23" s="172"/>
      <c r="G23" s="173"/>
      <c r="H23" s="172"/>
      <c r="I23" s="174"/>
      <c r="J23" s="175"/>
    </row>
    <row r="24" spans="1:13" s="168" customFormat="1" ht="40.15" customHeight="1">
      <c r="A24" s="185" t="s">
        <v>108</v>
      </c>
      <c r="B24" s="177" t="s">
        <v>97</v>
      </c>
      <c r="C24" s="186" t="s">
        <v>109</v>
      </c>
      <c r="D24" s="178"/>
      <c r="E24" s="178"/>
      <c r="F24" s="178"/>
      <c r="G24" s="178"/>
      <c r="H24" s="178"/>
      <c r="I24" s="178"/>
      <c r="J24" s="179"/>
    </row>
    <row r="25" spans="1:13" ht="120" hidden="1" customHeight="1" thickBot="1"/>
    <row r="26" spans="1:13" ht="55.15" hidden="1" customHeight="1"/>
    <row r="27" spans="1:13" ht="55.15" hidden="1" customHeight="1" thickBot="1"/>
    <row r="28" spans="1:13" ht="40.15" hidden="1" customHeight="1"/>
    <row r="29" spans="1:13" s="168" customFormat="1" ht="40.15" hidden="1" customHeight="1">
      <c r="A29" s="165"/>
      <c r="B29" s="166"/>
      <c r="C29" s="165"/>
      <c r="D29" s="165"/>
      <c r="E29" s="165"/>
      <c r="F29" s="165"/>
      <c r="G29" s="165"/>
      <c r="H29" s="165"/>
      <c r="I29" s="165"/>
      <c r="J29" s="165"/>
    </row>
    <row r="30" spans="1:13" s="168" customFormat="1" ht="55.5" hidden="1" customHeight="1">
      <c r="A30" s="165"/>
      <c r="B30" s="166"/>
      <c r="C30" s="165"/>
      <c r="D30" s="165"/>
      <c r="E30" s="165"/>
      <c r="F30" s="165"/>
      <c r="G30" s="165"/>
      <c r="H30" s="165"/>
      <c r="I30" s="165"/>
      <c r="J30" s="165"/>
    </row>
    <row r="31" spans="1:13" s="168" customFormat="1" ht="53.25" hidden="1" customHeight="1">
      <c r="A31" s="165"/>
      <c r="B31" s="166"/>
      <c r="C31" s="165"/>
      <c r="D31" s="165"/>
      <c r="E31" s="165"/>
      <c r="F31" s="165"/>
      <c r="G31" s="165"/>
      <c r="H31" s="165"/>
      <c r="I31" s="165"/>
      <c r="J31" s="165"/>
    </row>
    <row r="32" spans="1:13" s="168" customFormat="1" ht="99.95" hidden="1" customHeight="1">
      <c r="A32" s="165"/>
      <c r="B32" s="166"/>
      <c r="C32" s="165"/>
      <c r="D32" s="165"/>
      <c r="E32" s="165"/>
      <c r="F32" s="165"/>
      <c r="G32" s="165"/>
      <c r="H32" s="165"/>
      <c r="I32" s="165"/>
      <c r="J32" s="165"/>
    </row>
    <row r="33" spans="1:13" s="168" customFormat="1" ht="40.15" hidden="1" customHeight="1">
      <c r="A33" s="165"/>
      <c r="B33" s="166"/>
      <c r="C33" s="165"/>
      <c r="D33" s="165"/>
      <c r="E33" s="165"/>
      <c r="F33" s="165"/>
      <c r="G33" s="165"/>
      <c r="H33" s="165"/>
      <c r="I33" s="165"/>
      <c r="J33" s="165"/>
    </row>
    <row r="34" spans="1:13" s="168" customFormat="1" ht="40.15" hidden="1" customHeight="1">
      <c r="A34" s="165"/>
      <c r="B34" s="166"/>
      <c r="C34" s="165"/>
      <c r="D34" s="165"/>
      <c r="E34" s="165"/>
      <c r="F34" s="165"/>
      <c r="G34" s="165"/>
      <c r="H34" s="165"/>
      <c r="I34" s="165"/>
      <c r="J34" s="165"/>
    </row>
    <row r="35" spans="1:13" s="168" customFormat="1" ht="75" hidden="1" customHeight="1">
      <c r="A35" s="165"/>
      <c r="B35" s="166"/>
      <c r="C35" s="165"/>
      <c r="D35" s="165"/>
      <c r="E35" s="165"/>
      <c r="F35" s="165"/>
      <c r="G35" s="165"/>
      <c r="H35" s="165"/>
      <c r="I35" s="165"/>
      <c r="J35" s="165"/>
    </row>
    <row r="36" spans="1:13" s="168" customFormat="1" ht="40.15" hidden="1" customHeight="1">
      <c r="A36" s="165"/>
      <c r="B36" s="166"/>
      <c r="C36" s="165"/>
      <c r="D36" s="165"/>
      <c r="E36" s="165"/>
      <c r="F36" s="165"/>
      <c r="G36" s="165"/>
      <c r="H36" s="165"/>
      <c r="I36" s="165"/>
      <c r="J36" s="165"/>
      <c r="M36" s="171"/>
    </row>
    <row r="37" spans="1:13" s="168" customFormat="1" ht="40.15" hidden="1" customHeight="1">
      <c r="A37" s="165"/>
      <c r="B37" s="166"/>
      <c r="C37" s="165"/>
      <c r="D37" s="165"/>
      <c r="E37" s="165"/>
      <c r="F37" s="165"/>
      <c r="G37" s="165"/>
      <c r="H37" s="165"/>
      <c r="I37" s="165"/>
      <c r="J37" s="165"/>
    </row>
    <row r="38" spans="1:13" s="168" customFormat="1" ht="40.15" hidden="1" customHeight="1">
      <c r="A38" s="165"/>
      <c r="B38" s="166"/>
      <c r="C38" s="165"/>
      <c r="D38" s="165"/>
      <c r="E38" s="165"/>
      <c r="F38" s="165"/>
      <c r="G38" s="165"/>
      <c r="H38" s="165"/>
      <c r="I38" s="165"/>
      <c r="J38" s="165"/>
    </row>
    <row r="39" spans="1:13" s="168" customFormat="1" ht="40.15" hidden="1" customHeight="1">
      <c r="A39" s="165"/>
      <c r="B39" s="166"/>
      <c r="C39" s="165"/>
      <c r="D39" s="165"/>
      <c r="E39" s="165"/>
      <c r="F39" s="165"/>
      <c r="G39" s="165"/>
      <c r="H39" s="165"/>
      <c r="I39" s="165"/>
      <c r="J39" s="165"/>
    </row>
    <row r="40" spans="1:13" s="168" customFormat="1" ht="40.15" hidden="1" customHeight="1">
      <c r="A40" s="165"/>
      <c r="B40" s="166"/>
      <c r="C40" s="165"/>
      <c r="D40" s="165"/>
      <c r="E40" s="165"/>
      <c r="F40" s="165"/>
      <c r="G40" s="165"/>
      <c r="H40" s="165"/>
      <c r="I40" s="165"/>
      <c r="J40" s="165"/>
    </row>
    <row r="41" spans="1:13" s="168" customFormat="1" ht="40.15" hidden="1" customHeight="1">
      <c r="A41" s="165"/>
      <c r="B41" s="166"/>
      <c r="C41" s="165"/>
      <c r="D41" s="165"/>
      <c r="E41" s="165"/>
      <c r="F41" s="165"/>
      <c r="G41" s="165"/>
      <c r="H41" s="165"/>
      <c r="I41" s="165"/>
      <c r="J41" s="165"/>
    </row>
    <row r="42" spans="1:13" s="168" customFormat="1" ht="40.15" hidden="1" customHeight="1">
      <c r="A42" s="165"/>
      <c r="B42" s="166"/>
      <c r="C42" s="165"/>
      <c r="D42" s="165"/>
      <c r="E42" s="165"/>
      <c r="F42" s="165"/>
      <c r="G42" s="165"/>
      <c r="H42" s="165"/>
      <c r="I42" s="165"/>
      <c r="J42" s="165"/>
    </row>
    <row r="43" spans="1:13" s="168" customFormat="1" ht="40.15" hidden="1" customHeight="1">
      <c r="A43" s="165"/>
      <c r="B43" s="166"/>
      <c r="C43" s="165"/>
      <c r="D43" s="165"/>
      <c r="E43" s="165"/>
      <c r="F43" s="165"/>
      <c r="G43" s="165"/>
      <c r="H43" s="165"/>
      <c r="I43" s="165"/>
      <c r="J43" s="165"/>
    </row>
  </sheetData>
  <mergeCells count="11">
    <mergeCell ref="C8:J11"/>
    <mergeCell ref="C12:J12"/>
    <mergeCell ref="C13:E13"/>
    <mergeCell ref="C14:J14"/>
    <mergeCell ref="C15:J15"/>
    <mergeCell ref="C7:J7"/>
    <mergeCell ref="A1:J1"/>
    <mergeCell ref="A2:J2"/>
    <mergeCell ref="A3:J3"/>
    <mergeCell ref="C5:J5"/>
    <mergeCell ref="C6:J6"/>
  </mergeCells>
  <phoneticPr fontId="34" type="noConversion"/>
  <printOptions horizontalCentered="1"/>
  <pageMargins left="0.25" right="0.25" top="0.75" bottom="0.75" header="0.3" footer="0.3"/>
  <pageSetup paperSize="9" scale="60"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pageSetUpPr fitToPage="1"/>
  </sheetPr>
  <dimension ref="A1:M43"/>
  <sheetViews>
    <sheetView showGridLines="0" view="pageBreakPreview" zoomScale="55" zoomScaleNormal="70" zoomScaleSheetLayoutView="55" workbookViewId="0">
      <selection sqref="A1:J1"/>
    </sheetView>
  </sheetViews>
  <sheetFormatPr defaultColWidth="7.71484375" defaultRowHeight="23.25"/>
  <cols>
    <col min="1" max="1" width="43.15234375" style="165" customWidth="1"/>
    <col min="2" max="2" width="2.5703125" style="166" customWidth="1"/>
    <col min="3" max="3" width="14.6171875" style="165" customWidth="1"/>
    <col min="4" max="4" width="10.0546875" style="165" customWidth="1"/>
    <col min="5" max="5" width="11.4609375" style="165" customWidth="1"/>
    <col min="6" max="6" width="12.74609375" style="165" customWidth="1"/>
    <col min="7" max="7" width="11.4609375" style="165" customWidth="1"/>
    <col min="8" max="8" width="10.0546875" style="165" customWidth="1"/>
    <col min="9" max="9" width="12.16015625" style="165" customWidth="1"/>
    <col min="10" max="10" width="12.62890625" style="165" customWidth="1"/>
    <col min="11" max="11" width="6.8984375" style="165" customWidth="1"/>
    <col min="12" max="12" width="7.71484375" style="165"/>
    <col min="13" max="13" width="14.3828125" style="165" bestFit="1" customWidth="1"/>
    <col min="14" max="16384" width="7.71484375" style="165"/>
  </cols>
  <sheetData>
    <row r="1" spans="1:13" ht="91.15" customHeight="1" thickBot="1">
      <c r="A1" s="523" t="s">
        <v>94</v>
      </c>
      <c r="B1" s="523"/>
      <c r="C1" s="523"/>
      <c r="D1" s="523"/>
      <c r="E1" s="523"/>
      <c r="F1" s="523"/>
      <c r="G1" s="523"/>
      <c r="H1" s="523"/>
      <c r="I1" s="523"/>
      <c r="J1" s="523"/>
    </row>
    <row r="2" spans="1:13" ht="32.65" customHeight="1">
      <c r="A2" s="524" t="s">
        <v>95</v>
      </c>
      <c r="B2" s="525"/>
      <c r="C2" s="525"/>
      <c r="D2" s="525"/>
      <c r="E2" s="525"/>
      <c r="F2" s="525"/>
      <c r="G2" s="525"/>
      <c r="H2" s="525"/>
      <c r="I2" s="525"/>
      <c r="J2" s="526"/>
    </row>
    <row r="3" spans="1:13" ht="28.35" customHeight="1">
      <c r="A3" s="527" t="str">
        <f>[6]CI!B26</f>
        <v>Address: O Mon Power Complex at Phuoc Thoi wards, O Mon district, Can Tho city</v>
      </c>
      <c r="B3" s="528"/>
      <c r="C3" s="528"/>
      <c r="D3" s="528"/>
      <c r="E3" s="528"/>
      <c r="F3" s="528"/>
      <c r="G3" s="528"/>
      <c r="H3" s="528"/>
      <c r="I3" s="528"/>
      <c r="J3" s="529"/>
    </row>
    <row r="5" spans="1:13" s="168" customFormat="1" ht="40.15" customHeight="1">
      <c r="A5" s="182" t="s">
        <v>96</v>
      </c>
      <c r="B5" s="167" t="s">
        <v>97</v>
      </c>
      <c r="C5" s="530" t="s">
        <v>134</v>
      </c>
      <c r="D5" s="531"/>
      <c r="E5" s="531"/>
      <c r="F5" s="531"/>
      <c r="G5" s="531"/>
      <c r="H5" s="531"/>
      <c r="I5" s="531"/>
      <c r="J5" s="532"/>
    </row>
    <row r="6" spans="1:13" s="168" customFormat="1" ht="55.5" customHeight="1">
      <c r="A6" s="183" t="s">
        <v>98</v>
      </c>
      <c r="B6" s="169" t="s">
        <v>97</v>
      </c>
      <c r="C6" s="519" t="s">
        <v>135</v>
      </c>
      <c r="D6" s="519"/>
      <c r="E6" s="519"/>
      <c r="F6" s="519"/>
      <c r="G6" s="519"/>
      <c r="H6" s="519"/>
      <c r="I6" s="519"/>
      <c r="J6" s="520"/>
    </row>
    <row r="7" spans="1:13" s="168" customFormat="1" ht="94.15" customHeight="1">
      <c r="A7" s="183" t="s">
        <v>116</v>
      </c>
      <c r="B7" s="170" t="s">
        <v>97</v>
      </c>
      <c r="C7" s="519" t="s">
        <v>136</v>
      </c>
      <c r="D7" s="519"/>
      <c r="E7" s="519"/>
      <c r="F7" s="519"/>
      <c r="G7" s="519"/>
      <c r="H7" s="519"/>
      <c r="I7" s="519"/>
      <c r="J7" s="520"/>
    </row>
    <row r="8" spans="1:13" s="168" customFormat="1" ht="20.65" customHeight="1">
      <c r="A8" s="183" t="s">
        <v>99</v>
      </c>
      <c r="B8" s="170" t="s">
        <v>100</v>
      </c>
      <c r="C8" s="519" t="s">
        <v>137</v>
      </c>
      <c r="D8" s="519"/>
      <c r="E8" s="519"/>
      <c r="F8" s="519"/>
      <c r="G8" s="519"/>
      <c r="H8" s="519"/>
      <c r="I8" s="519"/>
      <c r="J8" s="520"/>
    </row>
    <row r="9" spans="1:13" s="168" customFormat="1" ht="20.65" customHeight="1">
      <c r="A9" s="183"/>
      <c r="B9" s="170"/>
      <c r="C9" s="519"/>
      <c r="D9" s="519"/>
      <c r="E9" s="519"/>
      <c r="F9" s="519"/>
      <c r="G9" s="519"/>
      <c r="H9" s="519"/>
      <c r="I9" s="519"/>
      <c r="J9" s="520"/>
    </row>
    <row r="10" spans="1:13" s="168" customFormat="1" ht="20.65" customHeight="1">
      <c r="A10" s="183"/>
      <c r="B10" s="170"/>
      <c r="C10" s="519"/>
      <c r="D10" s="519"/>
      <c r="E10" s="519"/>
      <c r="F10" s="519"/>
      <c r="G10" s="519"/>
      <c r="H10" s="519"/>
      <c r="I10" s="519"/>
      <c r="J10" s="520"/>
    </row>
    <row r="11" spans="1:13" s="168" customFormat="1" ht="171.2" customHeight="1">
      <c r="A11" s="183"/>
      <c r="B11" s="170"/>
      <c r="C11" s="519"/>
      <c r="D11" s="519"/>
      <c r="E11" s="519"/>
      <c r="F11" s="519"/>
      <c r="G11" s="519"/>
      <c r="H11" s="519"/>
      <c r="I11" s="519"/>
      <c r="J11" s="520"/>
    </row>
    <row r="12" spans="1:13" s="168" customFormat="1">
      <c r="A12" s="183" t="s">
        <v>117</v>
      </c>
      <c r="B12" s="169" t="s">
        <v>97</v>
      </c>
      <c r="C12" s="519" t="s">
        <v>115</v>
      </c>
      <c r="D12" s="519"/>
      <c r="E12" s="519"/>
      <c r="F12" s="519"/>
      <c r="G12" s="519"/>
      <c r="H12" s="519"/>
      <c r="I12" s="519"/>
      <c r="J12" s="520"/>
    </row>
    <row r="13" spans="1:13" s="326" customFormat="1" ht="25.5">
      <c r="A13" s="286" t="s">
        <v>101</v>
      </c>
      <c r="B13" s="287" t="s">
        <v>100</v>
      </c>
      <c r="C13" s="533" t="s">
        <v>219</v>
      </c>
      <c r="D13" s="533"/>
      <c r="E13" s="533"/>
      <c r="F13" s="342"/>
      <c r="G13" s="343"/>
      <c r="H13" s="343"/>
      <c r="I13" s="343"/>
      <c r="J13" s="344"/>
    </row>
    <row r="14" spans="1:13" s="168" customFormat="1">
      <c r="A14" s="183" t="s">
        <v>118</v>
      </c>
      <c r="B14" s="169" t="s">
        <v>97</v>
      </c>
      <c r="C14" s="521" t="str">
        <f>[6]CI!B28</f>
        <v>PLANT/ EQUIPMENT AND MATERIALS FOR O MON IV THERMAL</v>
      </c>
      <c r="D14" s="521"/>
      <c r="E14" s="521"/>
      <c r="F14" s="521"/>
      <c r="G14" s="521"/>
      <c r="H14" s="521"/>
      <c r="I14" s="521"/>
      <c r="J14" s="522"/>
    </row>
    <row r="15" spans="1:13" s="168" customFormat="1">
      <c r="A15" s="286" t="s">
        <v>235</v>
      </c>
      <c r="B15" s="287" t="s">
        <v>97</v>
      </c>
      <c r="C15" s="519" t="str">
        <f>'PL(2_2)'!D23</f>
        <v>PVC Conduit</v>
      </c>
      <c r="D15" s="519"/>
      <c r="E15" s="519"/>
      <c r="F15" s="519"/>
      <c r="G15" s="519"/>
      <c r="H15" s="519"/>
      <c r="I15" s="519"/>
      <c r="J15" s="520"/>
      <c r="L15" s="168" t="s">
        <v>236</v>
      </c>
    </row>
    <row r="16" spans="1:13" s="326" customFormat="1" ht="40.15" customHeight="1">
      <c r="A16" s="286" t="s">
        <v>124</v>
      </c>
      <c r="B16" s="327" t="s">
        <v>100</v>
      </c>
      <c r="C16" s="328" t="s">
        <v>221</v>
      </c>
      <c r="D16" s="278"/>
      <c r="E16" s="278"/>
      <c r="F16" s="278"/>
      <c r="G16" s="278"/>
      <c r="H16" s="278"/>
      <c r="I16" s="278"/>
      <c r="J16" s="279"/>
      <c r="M16" s="329"/>
    </row>
    <row r="17" spans="1:13" s="326" customFormat="1" ht="35.450000000000003" customHeight="1">
      <c r="A17" s="286" t="s">
        <v>121</v>
      </c>
      <c r="B17" s="327" t="s">
        <v>100</v>
      </c>
      <c r="C17" s="328" t="str">
        <f>'PL(2_2)'!C23</f>
        <v>OM4-DE-IS-0003-009</v>
      </c>
      <c r="D17" s="278"/>
      <c r="E17" s="278"/>
      <c r="F17" s="278"/>
      <c r="G17" s="278"/>
      <c r="H17" s="278"/>
      <c r="I17" s="278"/>
      <c r="J17" s="279"/>
      <c r="M17" s="329"/>
    </row>
    <row r="18" spans="1:13" s="326" customFormat="1" ht="49.9" customHeight="1">
      <c r="A18" s="286" t="s">
        <v>119</v>
      </c>
      <c r="B18" s="287" t="s">
        <v>97</v>
      </c>
      <c r="C18" s="337">
        <f>'PL(2_2)'!M23</f>
        <v>2272</v>
      </c>
      <c r="D18" s="331" t="s">
        <v>102</v>
      </c>
      <c r="E18" s="332"/>
      <c r="F18" s="332"/>
      <c r="G18" s="332"/>
      <c r="H18" s="332"/>
      <c r="I18" s="332"/>
      <c r="J18" s="333"/>
    </row>
    <row r="19" spans="1:13" s="326" customFormat="1" ht="57.4" customHeight="1">
      <c r="A19" s="286" t="s">
        <v>120</v>
      </c>
      <c r="B19" s="287" t="s">
        <v>97</v>
      </c>
      <c r="C19" s="337">
        <f>'PL(2_2)'!N23</f>
        <v>2472</v>
      </c>
      <c r="D19" s="331" t="s">
        <v>102</v>
      </c>
      <c r="E19" s="332"/>
      <c r="F19" s="334"/>
      <c r="G19" s="332"/>
      <c r="H19" s="332"/>
      <c r="I19" s="332"/>
      <c r="J19" s="335"/>
    </row>
    <row r="20" spans="1:13" s="326" customFormat="1" ht="53.65" customHeight="1">
      <c r="A20" s="286" t="s">
        <v>122</v>
      </c>
      <c r="B20" s="327" t="s">
        <v>97</v>
      </c>
      <c r="C20" s="330">
        <f>'PL(2_2)'!I23</f>
        <v>420</v>
      </c>
      <c r="D20" s="336" t="s">
        <v>103</v>
      </c>
      <c r="E20" s="330">
        <f>'PL(2_2)'!J23</f>
        <v>220</v>
      </c>
      <c r="F20" s="336" t="s">
        <v>104</v>
      </c>
      <c r="G20" s="330">
        <f>'PL(2_2)'!K23</f>
        <v>140</v>
      </c>
      <c r="H20" s="336" t="s">
        <v>105</v>
      </c>
      <c r="I20" s="337">
        <f>'PL(2_2)'!L23</f>
        <v>12.936</v>
      </c>
      <c r="J20" s="338" t="s">
        <v>106</v>
      </c>
    </row>
    <row r="21" spans="1:13" s="326" customFormat="1" ht="31.15" customHeight="1">
      <c r="A21" s="286" t="s">
        <v>113</v>
      </c>
      <c r="B21" s="327" t="s">
        <v>97</v>
      </c>
      <c r="C21" s="348" t="str">
        <f>'Packing List (1_2)'!B21</f>
        <v>Busan International Port, Korea</v>
      </c>
      <c r="D21" s="331"/>
      <c r="E21" s="332"/>
      <c r="F21" s="331"/>
      <c r="G21" s="332"/>
      <c r="H21" s="331"/>
      <c r="I21" s="337"/>
      <c r="J21" s="338"/>
    </row>
    <row r="22" spans="1:13" s="168" customFormat="1" ht="49.15" customHeight="1">
      <c r="A22" s="183" t="s">
        <v>123</v>
      </c>
      <c r="B22" s="170" t="s">
        <v>97</v>
      </c>
      <c r="C22" s="176" t="s">
        <v>138</v>
      </c>
      <c r="D22" s="172"/>
      <c r="E22" s="173"/>
      <c r="F22" s="172"/>
      <c r="G22" s="173"/>
      <c r="H22" s="172"/>
      <c r="I22" s="174"/>
      <c r="J22" s="175"/>
    </row>
    <row r="23" spans="1:13" s="168" customFormat="1" ht="40.15" customHeight="1">
      <c r="A23" s="184" t="s">
        <v>107</v>
      </c>
      <c r="B23" s="170" t="s">
        <v>97</v>
      </c>
      <c r="C23" s="176" t="s">
        <v>142</v>
      </c>
      <c r="D23" s="172"/>
      <c r="E23" s="173"/>
      <c r="F23" s="172"/>
      <c r="G23" s="173"/>
      <c r="H23" s="172"/>
      <c r="I23" s="174"/>
      <c r="J23" s="175"/>
    </row>
    <row r="24" spans="1:13" s="168" customFormat="1" ht="40.15" customHeight="1">
      <c r="A24" s="185" t="s">
        <v>108</v>
      </c>
      <c r="B24" s="177" t="s">
        <v>97</v>
      </c>
      <c r="C24" s="186" t="s">
        <v>109</v>
      </c>
      <c r="D24" s="178"/>
      <c r="E24" s="178"/>
      <c r="F24" s="178"/>
      <c r="G24" s="178"/>
      <c r="H24" s="178"/>
      <c r="I24" s="178"/>
      <c r="J24" s="179"/>
    </row>
    <row r="25" spans="1:13" ht="120" hidden="1" customHeight="1" thickBot="1"/>
    <row r="26" spans="1:13" ht="55.15" hidden="1" customHeight="1"/>
    <row r="27" spans="1:13" ht="55.15" hidden="1" customHeight="1" thickBot="1"/>
    <row r="28" spans="1:13" ht="40.15" hidden="1" customHeight="1"/>
    <row r="29" spans="1:13" s="168" customFormat="1" ht="40.15" hidden="1" customHeight="1">
      <c r="A29" s="165"/>
      <c r="B29" s="166"/>
      <c r="C29" s="165"/>
      <c r="D29" s="165"/>
      <c r="E29" s="165"/>
      <c r="F29" s="165"/>
      <c r="G29" s="165"/>
      <c r="H29" s="165"/>
      <c r="I29" s="165"/>
      <c r="J29" s="165"/>
    </row>
    <row r="30" spans="1:13" s="168" customFormat="1" ht="55.5" hidden="1" customHeight="1">
      <c r="A30" s="165"/>
      <c r="B30" s="166"/>
      <c r="C30" s="165"/>
      <c r="D30" s="165"/>
      <c r="E30" s="165"/>
      <c r="F30" s="165"/>
      <c r="G30" s="165"/>
      <c r="H30" s="165"/>
      <c r="I30" s="165"/>
      <c r="J30" s="165"/>
    </row>
    <row r="31" spans="1:13" s="168" customFormat="1" ht="53.25" hidden="1" customHeight="1">
      <c r="A31" s="165"/>
      <c r="B31" s="166"/>
      <c r="C31" s="165"/>
      <c r="D31" s="165"/>
      <c r="E31" s="165"/>
      <c r="F31" s="165"/>
      <c r="G31" s="165"/>
      <c r="H31" s="165"/>
      <c r="I31" s="165"/>
      <c r="J31" s="165"/>
    </row>
    <row r="32" spans="1:13" s="168" customFormat="1" ht="99.95" hidden="1" customHeight="1">
      <c r="A32" s="165"/>
      <c r="B32" s="166"/>
      <c r="C32" s="165"/>
      <c r="D32" s="165"/>
      <c r="E32" s="165"/>
      <c r="F32" s="165"/>
      <c r="G32" s="165"/>
      <c r="H32" s="165"/>
      <c r="I32" s="165"/>
      <c r="J32" s="165"/>
    </row>
    <row r="33" spans="1:13" s="168" customFormat="1" ht="40.15" hidden="1" customHeight="1">
      <c r="A33" s="165"/>
      <c r="B33" s="166"/>
      <c r="C33" s="165"/>
      <c r="D33" s="165"/>
      <c r="E33" s="165"/>
      <c r="F33" s="165"/>
      <c r="G33" s="165"/>
      <c r="H33" s="165"/>
      <c r="I33" s="165"/>
      <c r="J33" s="165"/>
    </row>
    <row r="34" spans="1:13" s="168" customFormat="1" ht="40.15" hidden="1" customHeight="1">
      <c r="A34" s="165"/>
      <c r="B34" s="166"/>
      <c r="C34" s="165"/>
      <c r="D34" s="165"/>
      <c r="E34" s="165"/>
      <c r="F34" s="165"/>
      <c r="G34" s="165"/>
      <c r="H34" s="165"/>
      <c r="I34" s="165"/>
      <c r="J34" s="165"/>
    </row>
    <row r="35" spans="1:13" s="168" customFormat="1" ht="75" hidden="1" customHeight="1">
      <c r="A35" s="165"/>
      <c r="B35" s="166"/>
      <c r="C35" s="165"/>
      <c r="D35" s="165"/>
      <c r="E35" s="165"/>
      <c r="F35" s="165"/>
      <c r="G35" s="165"/>
      <c r="H35" s="165"/>
      <c r="I35" s="165"/>
      <c r="J35" s="165"/>
    </row>
    <row r="36" spans="1:13" s="168" customFormat="1" ht="40.15" hidden="1" customHeight="1">
      <c r="A36" s="165"/>
      <c r="B36" s="166"/>
      <c r="C36" s="165"/>
      <c r="D36" s="165"/>
      <c r="E36" s="165"/>
      <c r="F36" s="165"/>
      <c r="G36" s="165"/>
      <c r="H36" s="165"/>
      <c r="I36" s="165"/>
      <c r="J36" s="165"/>
      <c r="M36" s="171"/>
    </row>
    <row r="37" spans="1:13" s="168" customFormat="1" ht="40.15" hidden="1" customHeight="1">
      <c r="A37" s="165"/>
      <c r="B37" s="166"/>
      <c r="C37" s="165"/>
      <c r="D37" s="165"/>
      <c r="E37" s="165"/>
      <c r="F37" s="165"/>
      <c r="G37" s="165"/>
      <c r="H37" s="165"/>
      <c r="I37" s="165"/>
      <c r="J37" s="165"/>
    </row>
    <row r="38" spans="1:13" s="168" customFormat="1" ht="40.15" hidden="1" customHeight="1">
      <c r="A38" s="165"/>
      <c r="B38" s="166"/>
      <c r="C38" s="165"/>
      <c r="D38" s="165"/>
      <c r="E38" s="165"/>
      <c r="F38" s="165"/>
      <c r="G38" s="165"/>
      <c r="H38" s="165"/>
      <c r="I38" s="165"/>
      <c r="J38" s="165"/>
    </row>
    <row r="39" spans="1:13" s="168" customFormat="1" ht="40.15" hidden="1" customHeight="1">
      <c r="A39" s="165"/>
      <c r="B39" s="166"/>
      <c r="C39" s="165"/>
      <c r="D39" s="165"/>
      <c r="E39" s="165"/>
      <c r="F39" s="165"/>
      <c r="G39" s="165"/>
      <c r="H39" s="165"/>
      <c r="I39" s="165"/>
      <c r="J39" s="165"/>
    </row>
    <row r="40" spans="1:13" s="168" customFormat="1" ht="40.15" hidden="1" customHeight="1">
      <c r="A40" s="165"/>
      <c r="B40" s="166"/>
      <c r="C40" s="165"/>
      <c r="D40" s="165"/>
      <c r="E40" s="165"/>
      <c r="F40" s="165"/>
      <c r="G40" s="165"/>
      <c r="H40" s="165"/>
      <c r="I40" s="165"/>
      <c r="J40" s="165"/>
    </row>
    <row r="41" spans="1:13" s="168" customFormat="1" ht="40.15" hidden="1" customHeight="1">
      <c r="A41" s="165"/>
      <c r="B41" s="166"/>
      <c r="C41" s="165"/>
      <c r="D41" s="165"/>
      <c r="E41" s="165"/>
      <c r="F41" s="165"/>
      <c r="G41" s="165"/>
      <c r="H41" s="165"/>
      <c r="I41" s="165"/>
      <c r="J41" s="165"/>
    </row>
    <row r="42" spans="1:13" s="168" customFormat="1" ht="40.15" hidden="1" customHeight="1">
      <c r="A42" s="165"/>
      <c r="B42" s="166"/>
      <c r="C42" s="165"/>
      <c r="D42" s="165"/>
      <c r="E42" s="165"/>
      <c r="F42" s="165"/>
      <c r="G42" s="165"/>
      <c r="H42" s="165"/>
      <c r="I42" s="165"/>
      <c r="J42" s="165"/>
    </row>
    <row r="43" spans="1:13" s="168" customFormat="1" ht="40.15" hidden="1" customHeight="1">
      <c r="A43" s="165"/>
      <c r="B43" s="166"/>
      <c r="C43" s="165"/>
      <c r="D43" s="165"/>
      <c r="E43" s="165"/>
      <c r="F43" s="165"/>
      <c r="G43" s="165"/>
      <c r="H43" s="165"/>
      <c r="I43" s="165"/>
      <c r="J43" s="165"/>
    </row>
  </sheetData>
  <mergeCells count="11">
    <mergeCell ref="C8:J11"/>
    <mergeCell ref="C12:J12"/>
    <mergeCell ref="C13:E13"/>
    <mergeCell ref="C14:J14"/>
    <mergeCell ref="C15:J15"/>
    <mergeCell ref="C7:J7"/>
    <mergeCell ref="A1:J1"/>
    <mergeCell ref="A2:J2"/>
    <mergeCell ref="A3:J3"/>
    <mergeCell ref="C5:J5"/>
    <mergeCell ref="C6:J6"/>
  </mergeCells>
  <phoneticPr fontId="34" type="noConversion"/>
  <printOptions horizontalCentered="1"/>
  <pageMargins left="0.25" right="0.25" top="0.75" bottom="0.75" header="0.3" footer="0.3"/>
  <pageSetup paperSize="9" scale="61"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pageSetUpPr fitToPage="1"/>
  </sheetPr>
  <dimension ref="A1:M43"/>
  <sheetViews>
    <sheetView showGridLines="0" view="pageBreakPreview" zoomScale="55" zoomScaleNormal="70" zoomScaleSheetLayoutView="55" workbookViewId="0">
      <selection sqref="A1:J1"/>
    </sheetView>
  </sheetViews>
  <sheetFormatPr defaultColWidth="7.71484375" defaultRowHeight="23.25"/>
  <cols>
    <col min="1" max="1" width="43.15234375" style="165" customWidth="1"/>
    <col min="2" max="2" width="2.5703125" style="166" customWidth="1"/>
    <col min="3" max="3" width="14.6171875" style="165" customWidth="1"/>
    <col min="4" max="4" width="10.0546875" style="165" customWidth="1"/>
    <col min="5" max="5" width="11.4609375" style="165" customWidth="1"/>
    <col min="6" max="6" width="12.74609375" style="165" customWidth="1"/>
    <col min="7" max="7" width="11.4609375" style="165" customWidth="1"/>
    <col min="8" max="8" width="10.0546875" style="165" customWidth="1"/>
    <col min="9" max="9" width="12.16015625" style="165" customWidth="1"/>
    <col min="10" max="10" width="12.62890625" style="165" customWidth="1"/>
    <col min="11" max="11" width="6.8984375" style="165" customWidth="1"/>
    <col min="12" max="12" width="7.71484375" style="165"/>
    <col min="13" max="13" width="14.3828125" style="165" bestFit="1" customWidth="1"/>
    <col min="14" max="16384" width="7.71484375" style="165"/>
  </cols>
  <sheetData>
    <row r="1" spans="1:13" ht="91.15" customHeight="1" thickBot="1">
      <c r="A1" s="523" t="s">
        <v>94</v>
      </c>
      <c r="B1" s="523"/>
      <c r="C1" s="523"/>
      <c r="D1" s="523"/>
      <c r="E1" s="523"/>
      <c r="F1" s="523"/>
      <c r="G1" s="523"/>
      <c r="H1" s="523"/>
      <c r="I1" s="523"/>
      <c r="J1" s="523"/>
    </row>
    <row r="2" spans="1:13" ht="32.65" customHeight="1">
      <c r="A2" s="524" t="s">
        <v>95</v>
      </c>
      <c r="B2" s="525"/>
      <c r="C2" s="525"/>
      <c r="D2" s="525"/>
      <c r="E2" s="525"/>
      <c r="F2" s="525"/>
      <c r="G2" s="525"/>
      <c r="H2" s="525"/>
      <c r="I2" s="525"/>
      <c r="J2" s="526"/>
    </row>
    <row r="3" spans="1:13" ht="28.35" customHeight="1">
      <c r="A3" s="527" t="str">
        <f>[6]CI!B26</f>
        <v>Address: O Mon Power Complex at Phuoc Thoi wards, O Mon district, Can Tho city</v>
      </c>
      <c r="B3" s="528"/>
      <c r="C3" s="528"/>
      <c r="D3" s="528"/>
      <c r="E3" s="528"/>
      <c r="F3" s="528"/>
      <c r="G3" s="528"/>
      <c r="H3" s="528"/>
      <c r="I3" s="528"/>
      <c r="J3" s="529"/>
    </row>
    <row r="5" spans="1:13" s="168" customFormat="1" ht="40.15" customHeight="1">
      <c r="A5" s="182" t="s">
        <v>96</v>
      </c>
      <c r="B5" s="167" t="s">
        <v>97</v>
      </c>
      <c r="C5" s="530" t="s">
        <v>134</v>
      </c>
      <c r="D5" s="531"/>
      <c r="E5" s="531"/>
      <c r="F5" s="531"/>
      <c r="G5" s="531"/>
      <c r="H5" s="531"/>
      <c r="I5" s="531"/>
      <c r="J5" s="532"/>
    </row>
    <row r="6" spans="1:13" s="168" customFormat="1" ht="55.5" customHeight="1">
      <c r="A6" s="183" t="s">
        <v>98</v>
      </c>
      <c r="B6" s="169" t="s">
        <v>97</v>
      </c>
      <c r="C6" s="519" t="s">
        <v>135</v>
      </c>
      <c r="D6" s="519"/>
      <c r="E6" s="519"/>
      <c r="F6" s="519"/>
      <c r="G6" s="519"/>
      <c r="H6" s="519"/>
      <c r="I6" s="519"/>
      <c r="J6" s="520"/>
    </row>
    <row r="7" spans="1:13" s="168" customFormat="1" ht="94.15" customHeight="1">
      <c r="A7" s="183" t="s">
        <v>116</v>
      </c>
      <c r="B7" s="170" t="s">
        <v>97</v>
      </c>
      <c r="C7" s="519" t="s">
        <v>136</v>
      </c>
      <c r="D7" s="519"/>
      <c r="E7" s="519"/>
      <c r="F7" s="519"/>
      <c r="G7" s="519"/>
      <c r="H7" s="519"/>
      <c r="I7" s="519"/>
      <c r="J7" s="520"/>
    </row>
    <row r="8" spans="1:13" s="168" customFormat="1" ht="20.65" customHeight="1">
      <c r="A8" s="183" t="s">
        <v>99</v>
      </c>
      <c r="B8" s="170" t="s">
        <v>100</v>
      </c>
      <c r="C8" s="519" t="s">
        <v>137</v>
      </c>
      <c r="D8" s="519"/>
      <c r="E8" s="519"/>
      <c r="F8" s="519"/>
      <c r="G8" s="519"/>
      <c r="H8" s="519"/>
      <c r="I8" s="519"/>
      <c r="J8" s="520"/>
    </row>
    <row r="9" spans="1:13" s="168" customFormat="1" ht="20.65" customHeight="1">
      <c r="A9" s="183"/>
      <c r="B9" s="170"/>
      <c r="C9" s="519"/>
      <c r="D9" s="519"/>
      <c r="E9" s="519"/>
      <c r="F9" s="519"/>
      <c r="G9" s="519"/>
      <c r="H9" s="519"/>
      <c r="I9" s="519"/>
      <c r="J9" s="520"/>
    </row>
    <row r="10" spans="1:13" s="168" customFormat="1" ht="20.65" customHeight="1">
      <c r="A10" s="183"/>
      <c r="B10" s="170"/>
      <c r="C10" s="519"/>
      <c r="D10" s="519"/>
      <c r="E10" s="519"/>
      <c r="F10" s="519"/>
      <c r="G10" s="519"/>
      <c r="H10" s="519"/>
      <c r="I10" s="519"/>
      <c r="J10" s="520"/>
    </row>
    <row r="11" spans="1:13" s="168" customFormat="1" ht="171.2" customHeight="1">
      <c r="A11" s="183"/>
      <c r="B11" s="170"/>
      <c r="C11" s="519"/>
      <c r="D11" s="519"/>
      <c r="E11" s="519"/>
      <c r="F11" s="519"/>
      <c r="G11" s="519"/>
      <c r="H11" s="519"/>
      <c r="I11" s="519"/>
      <c r="J11" s="520"/>
    </row>
    <row r="12" spans="1:13" s="168" customFormat="1">
      <c r="A12" s="183" t="s">
        <v>117</v>
      </c>
      <c r="B12" s="169" t="s">
        <v>97</v>
      </c>
      <c r="C12" s="519" t="s">
        <v>115</v>
      </c>
      <c r="D12" s="519"/>
      <c r="E12" s="519"/>
      <c r="F12" s="519"/>
      <c r="G12" s="519"/>
      <c r="H12" s="519"/>
      <c r="I12" s="519"/>
      <c r="J12" s="520"/>
    </row>
    <row r="13" spans="1:13" s="326" customFormat="1" ht="25.5">
      <c r="A13" s="286" t="s">
        <v>101</v>
      </c>
      <c r="B13" s="287" t="s">
        <v>100</v>
      </c>
      <c r="C13" s="533" t="s">
        <v>219</v>
      </c>
      <c r="D13" s="533"/>
      <c r="E13" s="533"/>
      <c r="F13" s="342"/>
      <c r="G13" s="343"/>
      <c r="H13" s="343"/>
      <c r="I13" s="343"/>
      <c r="J13" s="344"/>
    </row>
    <row r="14" spans="1:13" s="326" customFormat="1">
      <c r="A14" s="286" t="s">
        <v>118</v>
      </c>
      <c r="B14" s="287" t="s">
        <v>97</v>
      </c>
      <c r="C14" s="519" t="str">
        <f>[6]CI!B28</f>
        <v>PLANT/ EQUIPMENT AND MATERIALS FOR O MON IV THERMAL</v>
      </c>
      <c r="D14" s="519"/>
      <c r="E14" s="519"/>
      <c r="F14" s="519"/>
      <c r="G14" s="519"/>
      <c r="H14" s="519"/>
      <c r="I14" s="519"/>
      <c r="J14" s="520"/>
    </row>
    <row r="15" spans="1:13" s="326" customFormat="1">
      <c r="A15" s="286" t="s">
        <v>235</v>
      </c>
      <c r="B15" s="287" t="s">
        <v>97</v>
      </c>
      <c r="C15" s="519" t="str">
        <f>'PL(2_2)'!D24</f>
        <v>CONDUIT FITTINGS (PVC Normal Bend, End bell, PVC COUPLING)</v>
      </c>
      <c r="D15" s="519"/>
      <c r="E15" s="519"/>
      <c r="F15" s="519"/>
      <c r="G15" s="519"/>
      <c r="H15" s="519"/>
      <c r="I15" s="519"/>
      <c r="J15" s="520"/>
      <c r="L15" s="326" t="s">
        <v>236</v>
      </c>
    </row>
    <row r="16" spans="1:13" s="326" customFormat="1" ht="40.15" customHeight="1">
      <c r="A16" s="286" t="s">
        <v>124</v>
      </c>
      <c r="B16" s="327" t="s">
        <v>100</v>
      </c>
      <c r="C16" s="328" t="s">
        <v>221</v>
      </c>
      <c r="D16" s="278"/>
      <c r="E16" s="278"/>
      <c r="F16" s="278"/>
      <c r="G16" s="278"/>
      <c r="H16" s="278"/>
      <c r="I16" s="278"/>
      <c r="J16" s="279"/>
      <c r="M16" s="329"/>
    </row>
    <row r="17" spans="1:13" s="326" customFormat="1" ht="35.450000000000003" customHeight="1">
      <c r="A17" s="286" t="s">
        <v>121</v>
      </c>
      <c r="B17" s="327" t="s">
        <v>100</v>
      </c>
      <c r="C17" s="328" t="str">
        <f>'PL(2_2)'!C24</f>
        <v>OM4-DE-IS-0003-010</v>
      </c>
      <c r="D17" s="278"/>
      <c r="E17" s="278"/>
      <c r="F17" s="278"/>
      <c r="G17" s="278"/>
      <c r="H17" s="278"/>
      <c r="I17" s="278"/>
      <c r="J17" s="279"/>
      <c r="M17" s="329"/>
    </row>
    <row r="18" spans="1:13" s="326" customFormat="1" ht="49.9" customHeight="1">
      <c r="A18" s="286" t="s">
        <v>119</v>
      </c>
      <c r="B18" s="287" t="s">
        <v>97</v>
      </c>
      <c r="C18" s="337">
        <f>'PL(2_2)'!M24</f>
        <v>710.5</v>
      </c>
      <c r="D18" s="331" t="s">
        <v>102</v>
      </c>
      <c r="E18" s="332"/>
      <c r="F18" s="332"/>
      <c r="G18" s="332"/>
      <c r="H18" s="332"/>
      <c r="I18" s="332"/>
      <c r="J18" s="333"/>
    </row>
    <row r="19" spans="1:13" s="326" customFormat="1" ht="57.4" customHeight="1">
      <c r="A19" s="286" t="s">
        <v>120</v>
      </c>
      <c r="B19" s="287" t="s">
        <v>97</v>
      </c>
      <c r="C19" s="337">
        <f>'PL(2_2)'!N24</f>
        <v>1010.5</v>
      </c>
      <c r="D19" s="331" t="s">
        <v>102</v>
      </c>
      <c r="E19" s="332"/>
      <c r="F19" s="334"/>
      <c r="G19" s="332"/>
      <c r="H19" s="332"/>
      <c r="I19" s="332"/>
      <c r="J19" s="335"/>
    </row>
    <row r="20" spans="1:13" s="326" customFormat="1" ht="53.65" customHeight="1">
      <c r="A20" s="286" t="s">
        <v>122</v>
      </c>
      <c r="B20" s="327" t="s">
        <v>97</v>
      </c>
      <c r="C20" s="330">
        <f>'PL(2_2)'!I24</f>
        <v>420</v>
      </c>
      <c r="D20" s="336" t="s">
        <v>103</v>
      </c>
      <c r="E20" s="330">
        <f>'PL(2_2)'!J24</f>
        <v>220</v>
      </c>
      <c r="F20" s="336" t="s">
        <v>104</v>
      </c>
      <c r="G20" s="330">
        <f>'PL(2_2)'!K24</f>
        <v>120</v>
      </c>
      <c r="H20" s="336" t="s">
        <v>105</v>
      </c>
      <c r="I20" s="337">
        <f>'PL(2_2)'!L24</f>
        <v>11.087999999999999</v>
      </c>
      <c r="J20" s="338" t="s">
        <v>106</v>
      </c>
    </row>
    <row r="21" spans="1:13" s="326" customFormat="1" ht="31.15" customHeight="1">
      <c r="A21" s="286" t="s">
        <v>113</v>
      </c>
      <c r="B21" s="327" t="s">
        <v>97</v>
      </c>
      <c r="C21" s="348" t="str">
        <f>'Packing List (1_2)'!B21</f>
        <v>Busan International Port, Korea</v>
      </c>
      <c r="D21" s="331"/>
      <c r="E21" s="332"/>
      <c r="F21" s="331"/>
      <c r="G21" s="332"/>
      <c r="H21" s="331"/>
      <c r="I21" s="337"/>
      <c r="J21" s="338"/>
    </row>
    <row r="22" spans="1:13" s="168" customFormat="1" ht="49.15" customHeight="1">
      <c r="A22" s="183" t="s">
        <v>123</v>
      </c>
      <c r="B22" s="170" t="s">
        <v>97</v>
      </c>
      <c r="C22" s="176" t="s">
        <v>138</v>
      </c>
      <c r="D22" s="172"/>
      <c r="E22" s="173"/>
      <c r="F22" s="172"/>
      <c r="G22" s="173"/>
      <c r="H22" s="172"/>
      <c r="I22" s="174"/>
      <c r="J22" s="175"/>
    </row>
    <row r="23" spans="1:13" s="168" customFormat="1" ht="40.15" customHeight="1">
      <c r="A23" s="184" t="s">
        <v>107</v>
      </c>
      <c r="B23" s="170" t="s">
        <v>97</v>
      </c>
      <c r="C23" s="176" t="s">
        <v>142</v>
      </c>
      <c r="D23" s="172"/>
      <c r="E23" s="173"/>
      <c r="F23" s="172"/>
      <c r="G23" s="173"/>
      <c r="H23" s="172"/>
      <c r="I23" s="174"/>
      <c r="J23" s="175"/>
    </row>
    <row r="24" spans="1:13" s="168" customFormat="1" ht="40.15" customHeight="1">
      <c r="A24" s="185" t="s">
        <v>108</v>
      </c>
      <c r="B24" s="177" t="s">
        <v>97</v>
      </c>
      <c r="C24" s="186" t="s">
        <v>109</v>
      </c>
      <c r="D24" s="178"/>
      <c r="E24" s="178"/>
      <c r="F24" s="178"/>
      <c r="G24" s="178"/>
      <c r="H24" s="178"/>
      <c r="I24" s="178"/>
      <c r="J24" s="179"/>
    </row>
    <row r="25" spans="1:13" ht="120" hidden="1" customHeight="1" thickBot="1"/>
    <row r="26" spans="1:13" ht="55.15" hidden="1" customHeight="1"/>
    <row r="27" spans="1:13" ht="55.15" hidden="1" customHeight="1" thickBot="1"/>
    <row r="28" spans="1:13" ht="40.15" hidden="1" customHeight="1"/>
    <row r="29" spans="1:13" s="168" customFormat="1" ht="40.15" hidden="1" customHeight="1">
      <c r="A29" s="165"/>
      <c r="B29" s="166"/>
      <c r="C29" s="165"/>
      <c r="D29" s="165"/>
      <c r="E29" s="165"/>
      <c r="F29" s="165"/>
      <c r="G29" s="165"/>
      <c r="H29" s="165"/>
      <c r="I29" s="165"/>
      <c r="J29" s="165"/>
    </row>
    <row r="30" spans="1:13" s="168" customFormat="1" ht="55.5" hidden="1" customHeight="1">
      <c r="A30" s="165"/>
      <c r="B30" s="166"/>
      <c r="C30" s="165"/>
      <c r="D30" s="165"/>
      <c r="E30" s="165"/>
      <c r="F30" s="165"/>
      <c r="G30" s="165"/>
      <c r="H30" s="165"/>
      <c r="I30" s="165"/>
      <c r="J30" s="165"/>
    </row>
    <row r="31" spans="1:13" s="168" customFormat="1" ht="53.25" hidden="1" customHeight="1">
      <c r="A31" s="165"/>
      <c r="B31" s="166"/>
      <c r="C31" s="165"/>
      <c r="D31" s="165"/>
      <c r="E31" s="165"/>
      <c r="F31" s="165"/>
      <c r="G31" s="165"/>
      <c r="H31" s="165"/>
      <c r="I31" s="165"/>
      <c r="J31" s="165"/>
    </row>
    <row r="32" spans="1:13" s="168" customFormat="1" ht="99.95" hidden="1" customHeight="1">
      <c r="A32" s="165"/>
      <c r="B32" s="166"/>
      <c r="C32" s="165"/>
      <c r="D32" s="165"/>
      <c r="E32" s="165"/>
      <c r="F32" s="165"/>
      <c r="G32" s="165"/>
      <c r="H32" s="165"/>
      <c r="I32" s="165"/>
      <c r="J32" s="165"/>
    </row>
    <row r="33" spans="1:13" s="168" customFormat="1" ht="40.15" hidden="1" customHeight="1">
      <c r="A33" s="165"/>
      <c r="B33" s="166"/>
      <c r="C33" s="165"/>
      <c r="D33" s="165"/>
      <c r="E33" s="165"/>
      <c r="F33" s="165"/>
      <c r="G33" s="165"/>
      <c r="H33" s="165"/>
      <c r="I33" s="165"/>
      <c r="J33" s="165"/>
    </row>
    <row r="34" spans="1:13" s="168" customFormat="1" ht="40.15" hidden="1" customHeight="1">
      <c r="A34" s="165"/>
      <c r="B34" s="166"/>
      <c r="C34" s="165"/>
      <c r="D34" s="165"/>
      <c r="E34" s="165"/>
      <c r="F34" s="165"/>
      <c r="G34" s="165"/>
      <c r="H34" s="165"/>
      <c r="I34" s="165"/>
      <c r="J34" s="165"/>
    </row>
    <row r="35" spans="1:13" s="168" customFormat="1" ht="75" hidden="1" customHeight="1">
      <c r="A35" s="165"/>
      <c r="B35" s="166"/>
      <c r="C35" s="165"/>
      <c r="D35" s="165"/>
      <c r="E35" s="165"/>
      <c r="F35" s="165"/>
      <c r="G35" s="165"/>
      <c r="H35" s="165"/>
      <c r="I35" s="165"/>
      <c r="J35" s="165"/>
    </row>
    <row r="36" spans="1:13" s="168" customFormat="1" ht="40.15" hidden="1" customHeight="1">
      <c r="A36" s="165"/>
      <c r="B36" s="166"/>
      <c r="C36" s="165"/>
      <c r="D36" s="165"/>
      <c r="E36" s="165"/>
      <c r="F36" s="165"/>
      <c r="G36" s="165"/>
      <c r="H36" s="165"/>
      <c r="I36" s="165"/>
      <c r="J36" s="165"/>
      <c r="M36" s="171"/>
    </row>
    <row r="37" spans="1:13" s="168" customFormat="1" ht="40.15" hidden="1" customHeight="1">
      <c r="A37" s="165"/>
      <c r="B37" s="166"/>
      <c r="C37" s="165"/>
      <c r="D37" s="165"/>
      <c r="E37" s="165"/>
      <c r="F37" s="165"/>
      <c r="G37" s="165"/>
      <c r="H37" s="165"/>
      <c r="I37" s="165"/>
      <c r="J37" s="165"/>
    </row>
    <row r="38" spans="1:13" s="168" customFormat="1" ht="40.15" hidden="1" customHeight="1">
      <c r="A38" s="165"/>
      <c r="B38" s="166"/>
      <c r="C38" s="165"/>
      <c r="D38" s="165"/>
      <c r="E38" s="165"/>
      <c r="F38" s="165"/>
      <c r="G38" s="165"/>
      <c r="H38" s="165"/>
      <c r="I38" s="165"/>
      <c r="J38" s="165"/>
    </row>
    <row r="39" spans="1:13" s="168" customFormat="1" ht="40.15" hidden="1" customHeight="1">
      <c r="A39" s="165"/>
      <c r="B39" s="166"/>
      <c r="C39" s="165"/>
      <c r="D39" s="165"/>
      <c r="E39" s="165"/>
      <c r="F39" s="165"/>
      <c r="G39" s="165"/>
      <c r="H39" s="165"/>
      <c r="I39" s="165"/>
      <c r="J39" s="165"/>
    </row>
    <row r="40" spans="1:13" s="168" customFormat="1" ht="40.15" hidden="1" customHeight="1">
      <c r="A40" s="165"/>
      <c r="B40" s="166"/>
      <c r="C40" s="165"/>
      <c r="D40" s="165"/>
      <c r="E40" s="165"/>
      <c r="F40" s="165"/>
      <c r="G40" s="165"/>
      <c r="H40" s="165"/>
      <c r="I40" s="165"/>
      <c r="J40" s="165"/>
    </row>
    <row r="41" spans="1:13" s="168" customFormat="1" ht="40.15" hidden="1" customHeight="1">
      <c r="A41" s="165"/>
      <c r="B41" s="166"/>
      <c r="C41" s="165"/>
      <c r="D41" s="165"/>
      <c r="E41" s="165"/>
      <c r="F41" s="165"/>
      <c r="G41" s="165"/>
      <c r="H41" s="165"/>
      <c r="I41" s="165"/>
      <c r="J41" s="165"/>
    </row>
    <row r="42" spans="1:13" s="168" customFormat="1" ht="40.15" hidden="1" customHeight="1">
      <c r="A42" s="165"/>
      <c r="B42" s="166"/>
      <c r="C42" s="165"/>
      <c r="D42" s="165"/>
      <c r="E42" s="165"/>
      <c r="F42" s="165"/>
      <c r="G42" s="165"/>
      <c r="H42" s="165"/>
      <c r="I42" s="165"/>
      <c r="J42" s="165"/>
    </row>
    <row r="43" spans="1:13" s="168" customFormat="1" ht="40.15" hidden="1" customHeight="1">
      <c r="A43" s="165"/>
      <c r="B43" s="166"/>
      <c r="C43" s="165"/>
      <c r="D43" s="165"/>
      <c r="E43" s="165"/>
      <c r="F43" s="165"/>
      <c r="G43" s="165"/>
      <c r="H43" s="165"/>
      <c r="I43" s="165"/>
      <c r="J43" s="165"/>
    </row>
  </sheetData>
  <mergeCells count="11">
    <mergeCell ref="C8:J11"/>
    <mergeCell ref="C12:J12"/>
    <mergeCell ref="C13:E13"/>
    <mergeCell ref="C14:J14"/>
    <mergeCell ref="C15:J15"/>
    <mergeCell ref="C7:J7"/>
    <mergeCell ref="A1:J1"/>
    <mergeCell ref="A2:J2"/>
    <mergeCell ref="A3:J3"/>
    <mergeCell ref="C5:J5"/>
    <mergeCell ref="C6:J6"/>
  </mergeCells>
  <phoneticPr fontId="34" type="noConversion"/>
  <printOptions horizontalCentered="1"/>
  <pageMargins left="0.25" right="0.25" top="0.75" bottom="0.75" header="0.3" footer="0.3"/>
  <pageSetup paperSize="9" scale="61"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pageSetUpPr fitToPage="1"/>
  </sheetPr>
  <dimension ref="A1:M43"/>
  <sheetViews>
    <sheetView showGridLines="0" view="pageBreakPreview" zoomScale="55" zoomScaleNormal="70" zoomScaleSheetLayoutView="55" workbookViewId="0">
      <selection sqref="A1:J1"/>
    </sheetView>
  </sheetViews>
  <sheetFormatPr defaultColWidth="7.71484375" defaultRowHeight="23.25"/>
  <cols>
    <col min="1" max="1" width="43.15234375" style="165" customWidth="1"/>
    <col min="2" max="2" width="2.5703125" style="166" customWidth="1"/>
    <col min="3" max="3" width="15.43359375" style="165" customWidth="1"/>
    <col min="4" max="4" width="10.0546875" style="165" customWidth="1"/>
    <col min="5" max="5" width="11.4609375" style="165" customWidth="1"/>
    <col min="6" max="6" width="12.74609375" style="165" customWidth="1"/>
    <col min="7" max="7" width="11.4609375" style="165" customWidth="1"/>
    <col min="8" max="8" width="10.0546875" style="165" customWidth="1"/>
    <col min="9" max="9" width="12.16015625" style="165" customWidth="1"/>
    <col min="10" max="10" width="12.62890625" style="165" customWidth="1"/>
    <col min="11" max="11" width="6.8984375" style="165" customWidth="1"/>
    <col min="12" max="12" width="7.71484375" style="165"/>
    <col min="13" max="13" width="14.3828125" style="165" bestFit="1" customWidth="1"/>
    <col min="14" max="16384" width="7.71484375" style="165"/>
  </cols>
  <sheetData>
    <row r="1" spans="1:13" ht="91.15" customHeight="1" thickBot="1">
      <c r="A1" s="523" t="s">
        <v>94</v>
      </c>
      <c r="B1" s="523"/>
      <c r="C1" s="523"/>
      <c r="D1" s="523"/>
      <c r="E1" s="523"/>
      <c r="F1" s="523"/>
      <c r="G1" s="523"/>
      <c r="H1" s="523"/>
      <c r="I1" s="523"/>
      <c r="J1" s="523"/>
    </row>
    <row r="2" spans="1:13" ht="32.65" customHeight="1">
      <c r="A2" s="524" t="s">
        <v>95</v>
      </c>
      <c r="B2" s="525"/>
      <c r="C2" s="525"/>
      <c r="D2" s="525"/>
      <c r="E2" s="525"/>
      <c r="F2" s="525"/>
      <c r="G2" s="525"/>
      <c r="H2" s="525"/>
      <c r="I2" s="525"/>
      <c r="J2" s="526"/>
    </row>
    <row r="3" spans="1:13" ht="28.35" customHeight="1">
      <c r="A3" s="527" t="str">
        <f>[6]CI!B26</f>
        <v>Address: O Mon Power Complex at Phuoc Thoi wards, O Mon district, Can Tho city</v>
      </c>
      <c r="B3" s="528"/>
      <c r="C3" s="528"/>
      <c r="D3" s="528"/>
      <c r="E3" s="528"/>
      <c r="F3" s="528"/>
      <c r="G3" s="528"/>
      <c r="H3" s="528"/>
      <c r="I3" s="528"/>
      <c r="J3" s="529"/>
    </row>
    <row r="5" spans="1:13" s="168" customFormat="1" ht="40.15" customHeight="1">
      <c r="A5" s="182" t="s">
        <v>96</v>
      </c>
      <c r="B5" s="167" t="s">
        <v>97</v>
      </c>
      <c r="C5" s="530" t="s">
        <v>134</v>
      </c>
      <c r="D5" s="531"/>
      <c r="E5" s="531"/>
      <c r="F5" s="531"/>
      <c r="G5" s="531"/>
      <c r="H5" s="531"/>
      <c r="I5" s="531"/>
      <c r="J5" s="532"/>
    </row>
    <row r="6" spans="1:13" s="168" customFormat="1" ht="55.5" customHeight="1">
      <c r="A6" s="183" t="s">
        <v>98</v>
      </c>
      <c r="B6" s="169" t="s">
        <v>97</v>
      </c>
      <c r="C6" s="519" t="s">
        <v>135</v>
      </c>
      <c r="D6" s="519"/>
      <c r="E6" s="519"/>
      <c r="F6" s="519"/>
      <c r="G6" s="519"/>
      <c r="H6" s="519"/>
      <c r="I6" s="519"/>
      <c r="J6" s="520"/>
    </row>
    <row r="7" spans="1:13" s="168" customFormat="1" ht="94.15" customHeight="1">
      <c r="A7" s="183" t="s">
        <v>116</v>
      </c>
      <c r="B7" s="170" t="s">
        <v>97</v>
      </c>
      <c r="C7" s="519" t="s">
        <v>136</v>
      </c>
      <c r="D7" s="519"/>
      <c r="E7" s="519"/>
      <c r="F7" s="519"/>
      <c r="G7" s="519"/>
      <c r="H7" s="519"/>
      <c r="I7" s="519"/>
      <c r="J7" s="520"/>
    </row>
    <row r="8" spans="1:13" s="168" customFormat="1" ht="20.65" customHeight="1">
      <c r="A8" s="183" t="s">
        <v>99</v>
      </c>
      <c r="B8" s="170" t="s">
        <v>100</v>
      </c>
      <c r="C8" s="519" t="s">
        <v>137</v>
      </c>
      <c r="D8" s="519"/>
      <c r="E8" s="519"/>
      <c r="F8" s="519"/>
      <c r="G8" s="519"/>
      <c r="H8" s="519"/>
      <c r="I8" s="519"/>
      <c r="J8" s="520"/>
    </row>
    <row r="9" spans="1:13" s="168" customFormat="1" ht="20.65" customHeight="1">
      <c r="A9" s="183"/>
      <c r="B9" s="170"/>
      <c r="C9" s="519"/>
      <c r="D9" s="519"/>
      <c r="E9" s="519"/>
      <c r="F9" s="519"/>
      <c r="G9" s="519"/>
      <c r="H9" s="519"/>
      <c r="I9" s="519"/>
      <c r="J9" s="520"/>
    </row>
    <row r="10" spans="1:13" s="168" customFormat="1" ht="20.65" customHeight="1">
      <c r="A10" s="183"/>
      <c r="B10" s="170"/>
      <c r="C10" s="519"/>
      <c r="D10" s="519"/>
      <c r="E10" s="519"/>
      <c r="F10" s="519"/>
      <c r="G10" s="519"/>
      <c r="H10" s="519"/>
      <c r="I10" s="519"/>
      <c r="J10" s="520"/>
    </row>
    <row r="11" spans="1:13" s="168" customFormat="1" ht="171.2" customHeight="1">
      <c r="A11" s="183"/>
      <c r="B11" s="170"/>
      <c r="C11" s="519"/>
      <c r="D11" s="519"/>
      <c r="E11" s="519"/>
      <c r="F11" s="519"/>
      <c r="G11" s="519"/>
      <c r="H11" s="519"/>
      <c r="I11" s="519"/>
      <c r="J11" s="520"/>
    </row>
    <row r="12" spans="1:13" s="168" customFormat="1">
      <c r="A12" s="183" t="s">
        <v>117</v>
      </c>
      <c r="B12" s="169" t="s">
        <v>97</v>
      </c>
      <c r="C12" s="519" t="s">
        <v>115</v>
      </c>
      <c r="D12" s="519"/>
      <c r="E12" s="519"/>
      <c r="F12" s="519"/>
      <c r="G12" s="519"/>
      <c r="H12" s="519"/>
      <c r="I12" s="519"/>
      <c r="J12" s="520"/>
    </row>
    <row r="13" spans="1:13" s="326" customFormat="1" ht="25.5">
      <c r="A13" s="286" t="s">
        <v>101</v>
      </c>
      <c r="B13" s="287" t="s">
        <v>100</v>
      </c>
      <c r="C13" s="533" t="s">
        <v>219</v>
      </c>
      <c r="D13" s="533"/>
      <c r="E13" s="533"/>
      <c r="F13" s="342"/>
      <c r="G13" s="343"/>
      <c r="H13" s="343"/>
      <c r="I13" s="343"/>
      <c r="J13" s="344"/>
    </row>
    <row r="14" spans="1:13" s="168" customFormat="1">
      <c r="A14" s="183" t="s">
        <v>118</v>
      </c>
      <c r="B14" s="169" t="s">
        <v>97</v>
      </c>
      <c r="C14" s="521" t="str">
        <f>[6]CI!B28</f>
        <v>PLANT/ EQUIPMENT AND MATERIALS FOR O MON IV THERMAL</v>
      </c>
      <c r="D14" s="521"/>
      <c r="E14" s="521"/>
      <c r="F14" s="521"/>
      <c r="G14" s="521"/>
      <c r="H14" s="521"/>
      <c r="I14" s="521"/>
      <c r="J14" s="522"/>
    </row>
    <row r="15" spans="1:13" s="326" customFormat="1">
      <c r="A15" s="286" t="s">
        <v>235</v>
      </c>
      <c r="B15" s="287" t="s">
        <v>97</v>
      </c>
      <c r="C15" s="519" t="str">
        <f>'PL(2_2)'!D25</f>
        <v>CONDUIT FITTINGS (PVC COUPLING)</v>
      </c>
      <c r="D15" s="519"/>
      <c r="E15" s="519"/>
      <c r="F15" s="519"/>
      <c r="G15" s="519"/>
      <c r="H15" s="519"/>
      <c r="I15" s="519"/>
      <c r="J15" s="520"/>
      <c r="L15" s="326" t="s">
        <v>236</v>
      </c>
    </row>
    <row r="16" spans="1:13" s="326" customFormat="1" ht="40.15" customHeight="1">
      <c r="A16" s="286" t="s">
        <v>124</v>
      </c>
      <c r="B16" s="327" t="s">
        <v>100</v>
      </c>
      <c r="C16" s="328" t="s">
        <v>221</v>
      </c>
      <c r="D16" s="278"/>
      <c r="E16" s="278"/>
      <c r="F16" s="278"/>
      <c r="G16" s="278"/>
      <c r="H16" s="278"/>
      <c r="I16" s="278"/>
      <c r="J16" s="279"/>
      <c r="M16" s="329"/>
    </row>
    <row r="17" spans="1:13" s="326" customFormat="1" ht="35.450000000000003" customHeight="1">
      <c r="A17" s="286" t="s">
        <v>121</v>
      </c>
      <c r="B17" s="327" t="s">
        <v>100</v>
      </c>
      <c r="C17" s="328" t="str">
        <f>'PL(2_2)'!C25</f>
        <v>OM4-DE-IS-0003-011</v>
      </c>
      <c r="D17" s="278"/>
      <c r="E17" s="278"/>
      <c r="F17" s="278"/>
      <c r="G17" s="278"/>
      <c r="H17" s="278"/>
      <c r="I17" s="278"/>
      <c r="J17" s="279"/>
      <c r="M17" s="329"/>
    </row>
    <row r="18" spans="1:13" s="326" customFormat="1" ht="49.9" customHeight="1">
      <c r="A18" s="286" t="s">
        <v>119</v>
      </c>
      <c r="B18" s="287" t="s">
        <v>97</v>
      </c>
      <c r="C18" s="337">
        <f>'PL(2_2)'!M25</f>
        <v>1300</v>
      </c>
      <c r="D18" s="331" t="s">
        <v>102</v>
      </c>
      <c r="E18" s="332"/>
      <c r="F18" s="332"/>
      <c r="G18" s="332"/>
      <c r="H18" s="332"/>
      <c r="I18" s="332"/>
      <c r="J18" s="333"/>
    </row>
    <row r="19" spans="1:13" s="326" customFormat="1" ht="57.4" customHeight="1">
      <c r="A19" s="286" t="s">
        <v>120</v>
      </c>
      <c r="B19" s="287" t="s">
        <v>97</v>
      </c>
      <c r="C19" s="337">
        <f>'PL(2_2)'!N25</f>
        <v>1600</v>
      </c>
      <c r="D19" s="331" t="s">
        <v>102</v>
      </c>
      <c r="E19" s="332"/>
      <c r="F19" s="334"/>
      <c r="G19" s="332"/>
      <c r="H19" s="332"/>
      <c r="I19" s="332"/>
      <c r="J19" s="335"/>
    </row>
    <row r="20" spans="1:13" s="326" customFormat="1" ht="53.65" customHeight="1">
      <c r="A20" s="286" t="s">
        <v>122</v>
      </c>
      <c r="B20" s="327" t="s">
        <v>97</v>
      </c>
      <c r="C20" s="330">
        <f>'PL(2_2)'!I25</f>
        <v>420</v>
      </c>
      <c r="D20" s="336" t="s">
        <v>103</v>
      </c>
      <c r="E20" s="330">
        <f>'PL(2_2)'!J25</f>
        <v>220</v>
      </c>
      <c r="F20" s="336" t="s">
        <v>104</v>
      </c>
      <c r="G20" s="330">
        <f>'PL(2_2)'!K25</f>
        <v>170</v>
      </c>
      <c r="H20" s="336" t="s">
        <v>105</v>
      </c>
      <c r="I20" s="337">
        <f>'PL(2_2)'!L25</f>
        <v>15.708</v>
      </c>
      <c r="J20" s="338" t="s">
        <v>106</v>
      </c>
    </row>
    <row r="21" spans="1:13" s="326" customFormat="1" ht="31.15" customHeight="1">
      <c r="A21" s="286" t="s">
        <v>113</v>
      </c>
      <c r="B21" s="327" t="s">
        <v>97</v>
      </c>
      <c r="C21" s="348" t="str">
        <f>'Packing List (1_2)'!B21</f>
        <v>Busan International Port, Korea</v>
      </c>
      <c r="D21" s="331"/>
      <c r="E21" s="332"/>
      <c r="F21" s="331"/>
      <c r="G21" s="332"/>
      <c r="H21" s="331"/>
      <c r="I21" s="337"/>
      <c r="J21" s="338"/>
    </row>
    <row r="22" spans="1:13" s="168" customFormat="1" ht="49.15" customHeight="1">
      <c r="A22" s="183" t="s">
        <v>123</v>
      </c>
      <c r="B22" s="170" t="s">
        <v>97</v>
      </c>
      <c r="C22" s="176" t="s">
        <v>138</v>
      </c>
      <c r="D22" s="172"/>
      <c r="E22" s="173"/>
      <c r="F22" s="172"/>
      <c r="G22" s="173"/>
      <c r="H22" s="172"/>
      <c r="I22" s="174"/>
      <c r="J22" s="175"/>
    </row>
    <row r="23" spans="1:13" s="168" customFormat="1" ht="40.15" customHeight="1">
      <c r="A23" s="184" t="s">
        <v>107</v>
      </c>
      <c r="B23" s="170" t="s">
        <v>97</v>
      </c>
      <c r="C23" s="176" t="s">
        <v>142</v>
      </c>
      <c r="D23" s="172"/>
      <c r="E23" s="173"/>
      <c r="F23" s="172"/>
      <c r="G23" s="173"/>
      <c r="H23" s="172"/>
      <c r="I23" s="174"/>
      <c r="J23" s="175"/>
    </row>
    <row r="24" spans="1:13" s="168" customFormat="1" ht="40.15" customHeight="1">
      <c r="A24" s="185" t="s">
        <v>108</v>
      </c>
      <c r="B24" s="177" t="s">
        <v>97</v>
      </c>
      <c r="C24" s="186" t="s">
        <v>109</v>
      </c>
      <c r="D24" s="178"/>
      <c r="E24" s="178"/>
      <c r="F24" s="178"/>
      <c r="G24" s="178"/>
      <c r="H24" s="178"/>
      <c r="I24" s="178"/>
      <c r="J24" s="179"/>
    </row>
    <row r="25" spans="1:13" ht="120" hidden="1" customHeight="1" thickBot="1"/>
    <row r="26" spans="1:13" ht="55.15" hidden="1" customHeight="1"/>
    <row r="27" spans="1:13" ht="55.15" hidden="1" customHeight="1" thickBot="1"/>
    <row r="28" spans="1:13" ht="40.15" hidden="1" customHeight="1"/>
    <row r="29" spans="1:13" s="168" customFormat="1" ht="40.15" hidden="1" customHeight="1">
      <c r="A29" s="165"/>
      <c r="B29" s="166"/>
      <c r="C29" s="165"/>
      <c r="D29" s="165"/>
      <c r="E29" s="165"/>
      <c r="F29" s="165"/>
      <c r="G29" s="165"/>
      <c r="H29" s="165"/>
      <c r="I29" s="165"/>
      <c r="J29" s="165"/>
    </row>
    <row r="30" spans="1:13" s="168" customFormat="1" ht="55.5" hidden="1" customHeight="1">
      <c r="A30" s="165"/>
      <c r="B30" s="166"/>
      <c r="C30" s="165"/>
      <c r="D30" s="165"/>
      <c r="E30" s="165"/>
      <c r="F30" s="165"/>
      <c r="G30" s="165"/>
      <c r="H30" s="165"/>
      <c r="I30" s="165"/>
      <c r="J30" s="165"/>
    </row>
    <row r="31" spans="1:13" s="168" customFormat="1" ht="53.25" hidden="1" customHeight="1">
      <c r="A31" s="165"/>
      <c r="B31" s="166"/>
      <c r="C31" s="165"/>
      <c r="D31" s="165"/>
      <c r="E31" s="165"/>
      <c r="F31" s="165"/>
      <c r="G31" s="165"/>
      <c r="H31" s="165"/>
      <c r="I31" s="165"/>
      <c r="J31" s="165"/>
    </row>
    <row r="32" spans="1:13" s="168" customFormat="1" ht="99.95" hidden="1" customHeight="1">
      <c r="A32" s="165"/>
      <c r="B32" s="166"/>
      <c r="C32" s="165"/>
      <c r="D32" s="165"/>
      <c r="E32" s="165"/>
      <c r="F32" s="165"/>
      <c r="G32" s="165"/>
      <c r="H32" s="165"/>
      <c r="I32" s="165"/>
      <c r="J32" s="165"/>
    </row>
    <row r="33" spans="1:13" s="168" customFormat="1" ht="40.15" hidden="1" customHeight="1">
      <c r="A33" s="165"/>
      <c r="B33" s="166"/>
      <c r="C33" s="165"/>
      <c r="D33" s="165"/>
      <c r="E33" s="165"/>
      <c r="F33" s="165"/>
      <c r="G33" s="165"/>
      <c r="H33" s="165"/>
      <c r="I33" s="165"/>
      <c r="J33" s="165"/>
    </row>
    <row r="34" spans="1:13" s="168" customFormat="1" ht="40.15" hidden="1" customHeight="1">
      <c r="A34" s="165"/>
      <c r="B34" s="166"/>
      <c r="C34" s="165"/>
      <c r="D34" s="165"/>
      <c r="E34" s="165"/>
      <c r="F34" s="165"/>
      <c r="G34" s="165"/>
      <c r="H34" s="165"/>
      <c r="I34" s="165"/>
      <c r="J34" s="165"/>
    </row>
    <row r="35" spans="1:13" s="168" customFormat="1" ht="75" hidden="1" customHeight="1">
      <c r="A35" s="165"/>
      <c r="B35" s="166"/>
      <c r="C35" s="165"/>
      <c r="D35" s="165"/>
      <c r="E35" s="165"/>
      <c r="F35" s="165"/>
      <c r="G35" s="165"/>
      <c r="H35" s="165"/>
      <c r="I35" s="165"/>
      <c r="J35" s="165"/>
    </row>
    <row r="36" spans="1:13" s="168" customFormat="1" ht="40.15" hidden="1" customHeight="1">
      <c r="A36" s="165"/>
      <c r="B36" s="166"/>
      <c r="C36" s="165"/>
      <c r="D36" s="165"/>
      <c r="E36" s="165"/>
      <c r="F36" s="165"/>
      <c r="G36" s="165"/>
      <c r="H36" s="165"/>
      <c r="I36" s="165"/>
      <c r="J36" s="165"/>
      <c r="M36" s="171"/>
    </row>
    <row r="37" spans="1:13" s="168" customFormat="1" ht="40.15" hidden="1" customHeight="1">
      <c r="A37" s="165"/>
      <c r="B37" s="166"/>
      <c r="C37" s="165"/>
      <c r="D37" s="165"/>
      <c r="E37" s="165"/>
      <c r="F37" s="165"/>
      <c r="G37" s="165"/>
      <c r="H37" s="165"/>
      <c r="I37" s="165"/>
      <c r="J37" s="165"/>
    </row>
    <row r="38" spans="1:13" s="168" customFormat="1" ht="40.15" hidden="1" customHeight="1">
      <c r="A38" s="165"/>
      <c r="B38" s="166"/>
      <c r="C38" s="165"/>
      <c r="D38" s="165"/>
      <c r="E38" s="165"/>
      <c r="F38" s="165"/>
      <c r="G38" s="165"/>
      <c r="H38" s="165"/>
      <c r="I38" s="165"/>
      <c r="J38" s="165"/>
    </row>
    <row r="39" spans="1:13" s="168" customFormat="1" ht="40.15" hidden="1" customHeight="1">
      <c r="A39" s="165"/>
      <c r="B39" s="166"/>
      <c r="C39" s="165"/>
      <c r="D39" s="165"/>
      <c r="E39" s="165"/>
      <c r="F39" s="165"/>
      <c r="G39" s="165"/>
      <c r="H39" s="165"/>
      <c r="I39" s="165"/>
      <c r="J39" s="165"/>
    </row>
    <row r="40" spans="1:13" s="168" customFormat="1" ht="40.15" hidden="1" customHeight="1">
      <c r="A40" s="165"/>
      <c r="B40" s="166"/>
      <c r="C40" s="165"/>
      <c r="D40" s="165"/>
      <c r="E40" s="165"/>
      <c r="F40" s="165"/>
      <c r="G40" s="165"/>
      <c r="H40" s="165"/>
      <c r="I40" s="165"/>
      <c r="J40" s="165"/>
    </row>
    <row r="41" spans="1:13" s="168" customFormat="1" ht="40.15" hidden="1" customHeight="1">
      <c r="A41" s="165"/>
      <c r="B41" s="166"/>
      <c r="C41" s="165"/>
      <c r="D41" s="165"/>
      <c r="E41" s="165"/>
      <c r="F41" s="165"/>
      <c r="G41" s="165"/>
      <c r="H41" s="165"/>
      <c r="I41" s="165"/>
      <c r="J41" s="165"/>
    </row>
    <row r="42" spans="1:13" s="168" customFormat="1" ht="40.15" hidden="1" customHeight="1">
      <c r="A42" s="165"/>
      <c r="B42" s="166"/>
      <c r="C42" s="165"/>
      <c r="D42" s="165"/>
      <c r="E42" s="165"/>
      <c r="F42" s="165"/>
      <c r="G42" s="165"/>
      <c r="H42" s="165"/>
      <c r="I42" s="165"/>
      <c r="J42" s="165"/>
    </row>
    <row r="43" spans="1:13" s="168" customFormat="1" ht="40.15" hidden="1" customHeight="1">
      <c r="A43" s="165"/>
      <c r="B43" s="166"/>
      <c r="C43" s="165"/>
      <c r="D43" s="165"/>
      <c r="E43" s="165"/>
      <c r="F43" s="165"/>
      <c r="G43" s="165"/>
      <c r="H43" s="165"/>
      <c r="I43" s="165"/>
      <c r="J43" s="165"/>
    </row>
  </sheetData>
  <mergeCells count="11">
    <mergeCell ref="C8:J11"/>
    <mergeCell ref="C12:J12"/>
    <mergeCell ref="C13:E13"/>
    <mergeCell ref="C14:J14"/>
    <mergeCell ref="C15:J15"/>
    <mergeCell ref="C7:J7"/>
    <mergeCell ref="A1:J1"/>
    <mergeCell ref="A2:J2"/>
    <mergeCell ref="A3:J3"/>
    <mergeCell ref="C5:J5"/>
    <mergeCell ref="C6:J6"/>
  </mergeCells>
  <phoneticPr fontId="34" type="noConversion"/>
  <printOptions horizontalCentered="1"/>
  <pageMargins left="0.25" right="0.25" top="0.75" bottom="0.75" header="0.3" footer="0.3"/>
  <pageSetup paperSize="9" scale="60"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pageSetUpPr fitToPage="1"/>
  </sheetPr>
  <dimension ref="A1:M43"/>
  <sheetViews>
    <sheetView showGridLines="0" view="pageBreakPreview" zoomScale="55" zoomScaleNormal="70" zoomScaleSheetLayoutView="55" workbookViewId="0">
      <selection sqref="A1:J1"/>
    </sheetView>
  </sheetViews>
  <sheetFormatPr defaultColWidth="7.71484375" defaultRowHeight="23.25"/>
  <cols>
    <col min="1" max="1" width="43.15234375" style="165" customWidth="1"/>
    <col min="2" max="2" width="2.5703125" style="166" customWidth="1"/>
    <col min="3" max="3" width="14.96875" style="165" customWidth="1"/>
    <col min="4" max="4" width="10.0546875" style="165" customWidth="1"/>
    <col min="5" max="5" width="11.4609375" style="165" customWidth="1"/>
    <col min="6" max="6" width="12.74609375" style="165" customWidth="1"/>
    <col min="7" max="7" width="11.4609375" style="165" customWidth="1"/>
    <col min="8" max="8" width="10.0546875" style="165" customWidth="1"/>
    <col min="9" max="9" width="12.16015625" style="165" customWidth="1"/>
    <col min="10" max="10" width="12.62890625" style="165" customWidth="1"/>
    <col min="11" max="11" width="6.8984375" style="165" customWidth="1"/>
    <col min="12" max="12" width="7.71484375" style="165"/>
    <col min="13" max="13" width="14.3828125" style="165" bestFit="1" customWidth="1"/>
    <col min="14" max="16384" width="7.71484375" style="165"/>
  </cols>
  <sheetData>
    <row r="1" spans="1:13" ht="91.15" customHeight="1" thickBot="1">
      <c r="A1" s="523" t="s">
        <v>94</v>
      </c>
      <c r="B1" s="523"/>
      <c r="C1" s="523"/>
      <c r="D1" s="523"/>
      <c r="E1" s="523"/>
      <c r="F1" s="523"/>
      <c r="G1" s="523"/>
      <c r="H1" s="523"/>
      <c r="I1" s="523"/>
      <c r="J1" s="523"/>
    </row>
    <row r="2" spans="1:13" ht="32.65" customHeight="1">
      <c r="A2" s="524" t="s">
        <v>95</v>
      </c>
      <c r="B2" s="525"/>
      <c r="C2" s="525"/>
      <c r="D2" s="525"/>
      <c r="E2" s="525"/>
      <c r="F2" s="525"/>
      <c r="G2" s="525"/>
      <c r="H2" s="525"/>
      <c r="I2" s="525"/>
      <c r="J2" s="526"/>
    </row>
    <row r="3" spans="1:13" ht="28.35" customHeight="1">
      <c r="A3" s="527" t="str">
        <f>[6]CI!B26</f>
        <v>Address: O Mon Power Complex at Phuoc Thoi wards, O Mon district, Can Tho city</v>
      </c>
      <c r="B3" s="528"/>
      <c r="C3" s="528"/>
      <c r="D3" s="528"/>
      <c r="E3" s="528"/>
      <c r="F3" s="528"/>
      <c r="G3" s="528"/>
      <c r="H3" s="528"/>
      <c r="I3" s="528"/>
      <c r="J3" s="529"/>
    </row>
    <row r="5" spans="1:13" s="168" customFormat="1" ht="40.15" customHeight="1">
      <c r="A5" s="182" t="s">
        <v>96</v>
      </c>
      <c r="B5" s="167" t="s">
        <v>97</v>
      </c>
      <c r="C5" s="530" t="s">
        <v>134</v>
      </c>
      <c r="D5" s="531"/>
      <c r="E5" s="531"/>
      <c r="F5" s="531"/>
      <c r="G5" s="531"/>
      <c r="H5" s="531"/>
      <c r="I5" s="531"/>
      <c r="J5" s="532"/>
    </row>
    <row r="6" spans="1:13" s="168" customFormat="1" ht="55.5" customHeight="1">
      <c r="A6" s="183" t="s">
        <v>98</v>
      </c>
      <c r="B6" s="169" t="s">
        <v>97</v>
      </c>
      <c r="C6" s="519" t="s">
        <v>135</v>
      </c>
      <c r="D6" s="519"/>
      <c r="E6" s="519"/>
      <c r="F6" s="519"/>
      <c r="G6" s="519"/>
      <c r="H6" s="519"/>
      <c r="I6" s="519"/>
      <c r="J6" s="520"/>
    </row>
    <row r="7" spans="1:13" s="168" customFormat="1" ht="94.15" customHeight="1">
      <c r="A7" s="183" t="s">
        <v>116</v>
      </c>
      <c r="B7" s="170" t="s">
        <v>97</v>
      </c>
      <c r="C7" s="519" t="s">
        <v>136</v>
      </c>
      <c r="D7" s="519"/>
      <c r="E7" s="519"/>
      <c r="F7" s="519"/>
      <c r="G7" s="519"/>
      <c r="H7" s="519"/>
      <c r="I7" s="519"/>
      <c r="J7" s="520"/>
    </row>
    <row r="8" spans="1:13" s="168" customFormat="1" ht="20.65" customHeight="1">
      <c r="A8" s="183" t="s">
        <v>99</v>
      </c>
      <c r="B8" s="170" t="s">
        <v>100</v>
      </c>
      <c r="C8" s="519" t="s">
        <v>137</v>
      </c>
      <c r="D8" s="519"/>
      <c r="E8" s="519"/>
      <c r="F8" s="519"/>
      <c r="G8" s="519"/>
      <c r="H8" s="519"/>
      <c r="I8" s="519"/>
      <c r="J8" s="520"/>
    </row>
    <row r="9" spans="1:13" s="168" customFormat="1" ht="20.65" customHeight="1">
      <c r="A9" s="183"/>
      <c r="B9" s="170"/>
      <c r="C9" s="519"/>
      <c r="D9" s="519"/>
      <c r="E9" s="519"/>
      <c r="F9" s="519"/>
      <c r="G9" s="519"/>
      <c r="H9" s="519"/>
      <c r="I9" s="519"/>
      <c r="J9" s="520"/>
    </row>
    <row r="10" spans="1:13" s="168" customFormat="1" ht="20.65" customHeight="1">
      <c r="A10" s="183"/>
      <c r="B10" s="170"/>
      <c r="C10" s="519"/>
      <c r="D10" s="519"/>
      <c r="E10" s="519"/>
      <c r="F10" s="519"/>
      <c r="G10" s="519"/>
      <c r="H10" s="519"/>
      <c r="I10" s="519"/>
      <c r="J10" s="520"/>
    </row>
    <row r="11" spans="1:13" s="168" customFormat="1" ht="171.2" customHeight="1">
      <c r="A11" s="183"/>
      <c r="B11" s="170"/>
      <c r="C11" s="519"/>
      <c r="D11" s="519"/>
      <c r="E11" s="519"/>
      <c r="F11" s="519"/>
      <c r="G11" s="519"/>
      <c r="H11" s="519"/>
      <c r="I11" s="519"/>
      <c r="J11" s="520"/>
    </row>
    <row r="12" spans="1:13" s="168" customFormat="1">
      <c r="A12" s="183" t="s">
        <v>117</v>
      </c>
      <c r="B12" s="169" t="s">
        <v>97</v>
      </c>
      <c r="C12" s="519" t="s">
        <v>115</v>
      </c>
      <c r="D12" s="519"/>
      <c r="E12" s="519"/>
      <c r="F12" s="519"/>
      <c r="G12" s="519"/>
      <c r="H12" s="519"/>
      <c r="I12" s="519"/>
      <c r="J12" s="520"/>
    </row>
    <row r="13" spans="1:13" s="326" customFormat="1" ht="25.5">
      <c r="A13" s="286" t="s">
        <v>101</v>
      </c>
      <c r="B13" s="341" t="s">
        <v>100</v>
      </c>
      <c r="C13" s="533" t="s">
        <v>219</v>
      </c>
      <c r="D13" s="533"/>
      <c r="E13" s="533"/>
      <c r="F13" s="342"/>
      <c r="G13" s="343"/>
      <c r="H13" s="343"/>
      <c r="I13" s="343"/>
      <c r="J13" s="344"/>
    </row>
    <row r="14" spans="1:13" s="168" customFormat="1">
      <c r="A14" s="183" t="s">
        <v>118</v>
      </c>
      <c r="B14" s="169" t="s">
        <v>97</v>
      </c>
      <c r="C14" s="521" t="str">
        <f>[6]CI!B28</f>
        <v>PLANT/ EQUIPMENT AND MATERIALS FOR O MON IV THERMAL</v>
      </c>
      <c r="D14" s="521"/>
      <c r="E14" s="521"/>
      <c r="F14" s="521"/>
      <c r="G14" s="521"/>
      <c r="H14" s="521"/>
      <c r="I14" s="521"/>
      <c r="J14" s="522"/>
    </row>
    <row r="15" spans="1:13" s="168" customFormat="1">
      <c r="A15" s="286" t="s">
        <v>235</v>
      </c>
      <c r="B15" s="287" t="s">
        <v>97</v>
      </c>
      <c r="C15" s="519" t="str">
        <f>'PL(2_2)'!D26</f>
        <v>CONDUIT FITTINGS (PVC Spacer, End Bell, Warning Tape)</v>
      </c>
      <c r="D15" s="519"/>
      <c r="E15" s="519"/>
      <c r="F15" s="519"/>
      <c r="G15" s="519"/>
      <c r="H15" s="519"/>
      <c r="I15" s="519"/>
      <c r="J15" s="520"/>
      <c r="L15" s="168" t="s">
        <v>236</v>
      </c>
    </row>
    <row r="16" spans="1:13" s="326" customFormat="1" ht="40.15" customHeight="1">
      <c r="A16" s="286" t="s">
        <v>124</v>
      </c>
      <c r="B16" s="327" t="s">
        <v>100</v>
      </c>
      <c r="C16" s="328" t="s">
        <v>221</v>
      </c>
      <c r="D16" s="278"/>
      <c r="E16" s="278"/>
      <c r="F16" s="278"/>
      <c r="G16" s="278"/>
      <c r="H16" s="278"/>
      <c r="I16" s="278"/>
      <c r="J16" s="279"/>
      <c r="M16" s="329"/>
    </row>
    <row r="17" spans="1:13" s="326" customFormat="1" ht="35.450000000000003" customHeight="1">
      <c r="A17" s="286" t="s">
        <v>121</v>
      </c>
      <c r="B17" s="327" t="s">
        <v>100</v>
      </c>
      <c r="C17" s="328" t="str">
        <f>'PL(2_2)'!C26</f>
        <v>OM4-DE-IS-0003-012</v>
      </c>
      <c r="D17" s="278"/>
      <c r="E17" s="278"/>
      <c r="F17" s="278"/>
      <c r="G17" s="278"/>
      <c r="H17" s="278"/>
      <c r="I17" s="278"/>
      <c r="J17" s="279"/>
      <c r="M17" s="329"/>
    </row>
    <row r="18" spans="1:13" s="326" customFormat="1" ht="49.9" customHeight="1">
      <c r="A18" s="286" t="s">
        <v>119</v>
      </c>
      <c r="B18" s="287" t="s">
        <v>97</v>
      </c>
      <c r="C18" s="337">
        <f>'PL(2_2)'!M26</f>
        <v>1860</v>
      </c>
      <c r="D18" s="331" t="s">
        <v>102</v>
      </c>
      <c r="E18" s="332"/>
      <c r="F18" s="332"/>
      <c r="G18" s="332"/>
      <c r="H18" s="332"/>
      <c r="I18" s="332"/>
      <c r="J18" s="333"/>
    </row>
    <row r="19" spans="1:13" s="326" customFormat="1" ht="57.4" customHeight="1">
      <c r="A19" s="286" t="s">
        <v>120</v>
      </c>
      <c r="B19" s="287" t="s">
        <v>97</v>
      </c>
      <c r="C19" s="337">
        <f>'PL(2_2)'!N26</f>
        <v>2160</v>
      </c>
      <c r="D19" s="331" t="s">
        <v>102</v>
      </c>
      <c r="E19" s="332"/>
      <c r="F19" s="334"/>
      <c r="G19" s="332"/>
      <c r="H19" s="332"/>
      <c r="I19" s="332"/>
      <c r="J19" s="335"/>
    </row>
    <row r="20" spans="1:13" s="326" customFormat="1" ht="53.65" customHeight="1">
      <c r="A20" s="286" t="s">
        <v>122</v>
      </c>
      <c r="B20" s="327" t="s">
        <v>97</v>
      </c>
      <c r="C20" s="330">
        <f>'PL(2_2)'!I26</f>
        <v>420</v>
      </c>
      <c r="D20" s="336" t="s">
        <v>103</v>
      </c>
      <c r="E20" s="330">
        <f>'PL(2_2)'!J26</f>
        <v>220</v>
      </c>
      <c r="F20" s="336" t="s">
        <v>104</v>
      </c>
      <c r="G20" s="330">
        <f>'PL(2_2)'!K26</f>
        <v>200</v>
      </c>
      <c r="H20" s="336" t="s">
        <v>105</v>
      </c>
      <c r="I20" s="337">
        <f>'PL(2_2)'!L26</f>
        <v>18.48</v>
      </c>
      <c r="J20" s="338" t="s">
        <v>106</v>
      </c>
    </row>
    <row r="21" spans="1:13" s="326" customFormat="1" ht="31.15" customHeight="1">
      <c r="A21" s="286" t="s">
        <v>113</v>
      </c>
      <c r="B21" s="327" t="s">
        <v>97</v>
      </c>
      <c r="C21" s="348" t="str">
        <f>'Packing List (1_2)'!B21</f>
        <v>Busan International Port, Korea</v>
      </c>
      <c r="D21" s="331"/>
      <c r="E21" s="332"/>
      <c r="F21" s="331"/>
      <c r="G21" s="332"/>
      <c r="H21" s="331"/>
      <c r="I21" s="337"/>
      <c r="J21" s="338"/>
    </row>
    <row r="22" spans="1:13" s="168" customFormat="1" ht="49.15" customHeight="1">
      <c r="A22" s="183" t="s">
        <v>123</v>
      </c>
      <c r="B22" s="170" t="s">
        <v>97</v>
      </c>
      <c r="C22" s="176" t="s">
        <v>138</v>
      </c>
      <c r="D22" s="172"/>
      <c r="E22" s="173"/>
      <c r="F22" s="172"/>
      <c r="G22" s="173"/>
      <c r="H22" s="172"/>
      <c r="I22" s="174"/>
      <c r="J22" s="175"/>
    </row>
    <row r="23" spans="1:13" s="168" customFormat="1" ht="40.15" customHeight="1">
      <c r="A23" s="184" t="s">
        <v>107</v>
      </c>
      <c r="B23" s="170" t="s">
        <v>97</v>
      </c>
      <c r="C23" s="176" t="s">
        <v>142</v>
      </c>
      <c r="D23" s="172"/>
      <c r="E23" s="173"/>
      <c r="F23" s="172"/>
      <c r="G23" s="173"/>
      <c r="H23" s="172"/>
      <c r="I23" s="174"/>
      <c r="J23" s="175"/>
    </row>
    <row r="24" spans="1:13" s="168" customFormat="1" ht="40.15" customHeight="1">
      <c r="A24" s="185" t="s">
        <v>108</v>
      </c>
      <c r="B24" s="177" t="s">
        <v>97</v>
      </c>
      <c r="C24" s="186" t="s">
        <v>109</v>
      </c>
      <c r="D24" s="178"/>
      <c r="E24" s="178"/>
      <c r="F24" s="178"/>
      <c r="G24" s="178"/>
      <c r="H24" s="178"/>
      <c r="I24" s="178"/>
      <c r="J24" s="179"/>
    </row>
    <row r="25" spans="1:13" ht="120" hidden="1" customHeight="1" thickBot="1"/>
    <row r="26" spans="1:13" ht="55.15" hidden="1" customHeight="1"/>
    <row r="27" spans="1:13" ht="55.15" hidden="1" customHeight="1" thickBot="1"/>
    <row r="28" spans="1:13" ht="40.15" hidden="1" customHeight="1"/>
    <row r="29" spans="1:13" s="168" customFormat="1" ht="40.15" hidden="1" customHeight="1">
      <c r="A29" s="165"/>
      <c r="B29" s="166"/>
      <c r="C29" s="165"/>
      <c r="D29" s="165"/>
      <c r="E29" s="165"/>
      <c r="F29" s="165"/>
      <c r="G29" s="165"/>
      <c r="H29" s="165"/>
      <c r="I29" s="165"/>
      <c r="J29" s="165"/>
    </row>
    <row r="30" spans="1:13" s="168" customFormat="1" ht="55.5" hidden="1" customHeight="1">
      <c r="A30" s="165"/>
      <c r="B30" s="166"/>
      <c r="C30" s="165"/>
      <c r="D30" s="165"/>
      <c r="E30" s="165"/>
      <c r="F30" s="165"/>
      <c r="G30" s="165"/>
      <c r="H30" s="165"/>
      <c r="I30" s="165"/>
      <c r="J30" s="165"/>
    </row>
    <row r="31" spans="1:13" s="168" customFormat="1" ht="53.25" hidden="1" customHeight="1">
      <c r="A31" s="165"/>
      <c r="B31" s="166"/>
      <c r="C31" s="165"/>
      <c r="D31" s="165"/>
      <c r="E31" s="165"/>
      <c r="F31" s="165"/>
      <c r="G31" s="165"/>
      <c r="H31" s="165"/>
      <c r="I31" s="165"/>
      <c r="J31" s="165"/>
    </row>
    <row r="32" spans="1:13" s="168" customFormat="1" ht="99.95" hidden="1" customHeight="1">
      <c r="A32" s="165"/>
      <c r="B32" s="166"/>
      <c r="C32" s="165"/>
      <c r="D32" s="165"/>
      <c r="E32" s="165"/>
      <c r="F32" s="165"/>
      <c r="G32" s="165"/>
      <c r="H32" s="165"/>
      <c r="I32" s="165"/>
      <c r="J32" s="165"/>
    </row>
    <row r="33" spans="1:13" s="168" customFormat="1" ht="40.15" hidden="1" customHeight="1">
      <c r="A33" s="165"/>
      <c r="B33" s="166"/>
      <c r="C33" s="165"/>
      <c r="D33" s="165"/>
      <c r="E33" s="165"/>
      <c r="F33" s="165"/>
      <c r="G33" s="165"/>
      <c r="H33" s="165"/>
      <c r="I33" s="165"/>
      <c r="J33" s="165"/>
    </row>
    <row r="34" spans="1:13" s="168" customFormat="1" ht="40.15" hidden="1" customHeight="1">
      <c r="A34" s="165"/>
      <c r="B34" s="166"/>
      <c r="C34" s="165"/>
      <c r="D34" s="165"/>
      <c r="E34" s="165"/>
      <c r="F34" s="165"/>
      <c r="G34" s="165"/>
      <c r="H34" s="165"/>
      <c r="I34" s="165"/>
      <c r="J34" s="165"/>
    </row>
    <row r="35" spans="1:13" s="168" customFormat="1" ht="75" hidden="1" customHeight="1">
      <c r="A35" s="165"/>
      <c r="B35" s="166"/>
      <c r="C35" s="165"/>
      <c r="D35" s="165"/>
      <c r="E35" s="165"/>
      <c r="F35" s="165"/>
      <c r="G35" s="165"/>
      <c r="H35" s="165"/>
      <c r="I35" s="165"/>
      <c r="J35" s="165"/>
    </row>
    <row r="36" spans="1:13" s="168" customFormat="1" ht="40.15" hidden="1" customHeight="1">
      <c r="A36" s="165"/>
      <c r="B36" s="166"/>
      <c r="C36" s="165"/>
      <c r="D36" s="165"/>
      <c r="E36" s="165"/>
      <c r="F36" s="165"/>
      <c r="G36" s="165"/>
      <c r="H36" s="165"/>
      <c r="I36" s="165"/>
      <c r="J36" s="165"/>
      <c r="M36" s="171"/>
    </row>
    <row r="37" spans="1:13" s="168" customFormat="1" ht="40.15" hidden="1" customHeight="1">
      <c r="A37" s="165"/>
      <c r="B37" s="166"/>
      <c r="C37" s="165"/>
      <c r="D37" s="165"/>
      <c r="E37" s="165"/>
      <c r="F37" s="165"/>
      <c r="G37" s="165"/>
      <c r="H37" s="165"/>
      <c r="I37" s="165"/>
      <c r="J37" s="165"/>
    </row>
    <row r="38" spans="1:13" s="168" customFormat="1" ht="40.15" hidden="1" customHeight="1">
      <c r="A38" s="165"/>
      <c r="B38" s="166"/>
      <c r="C38" s="165"/>
      <c r="D38" s="165"/>
      <c r="E38" s="165"/>
      <c r="F38" s="165"/>
      <c r="G38" s="165"/>
      <c r="H38" s="165"/>
      <c r="I38" s="165"/>
      <c r="J38" s="165"/>
    </row>
    <row r="39" spans="1:13" s="168" customFormat="1" ht="40.15" hidden="1" customHeight="1">
      <c r="A39" s="165"/>
      <c r="B39" s="166"/>
      <c r="C39" s="165"/>
      <c r="D39" s="165"/>
      <c r="E39" s="165"/>
      <c r="F39" s="165"/>
      <c r="G39" s="165"/>
      <c r="H39" s="165"/>
      <c r="I39" s="165"/>
      <c r="J39" s="165"/>
    </row>
    <row r="40" spans="1:13" s="168" customFormat="1" ht="40.15" hidden="1" customHeight="1">
      <c r="A40" s="165"/>
      <c r="B40" s="166"/>
      <c r="C40" s="165"/>
      <c r="D40" s="165"/>
      <c r="E40" s="165"/>
      <c r="F40" s="165"/>
      <c r="G40" s="165"/>
      <c r="H40" s="165"/>
      <c r="I40" s="165"/>
      <c r="J40" s="165"/>
    </row>
    <row r="41" spans="1:13" s="168" customFormat="1" ht="40.15" hidden="1" customHeight="1">
      <c r="A41" s="165"/>
      <c r="B41" s="166"/>
      <c r="C41" s="165"/>
      <c r="D41" s="165"/>
      <c r="E41" s="165"/>
      <c r="F41" s="165"/>
      <c r="G41" s="165"/>
      <c r="H41" s="165"/>
      <c r="I41" s="165"/>
      <c r="J41" s="165"/>
    </row>
    <row r="42" spans="1:13" s="168" customFormat="1" ht="40.15" hidden="1" customHeight="1">
      <c r="A42" s="165"/>
      <c r="B42" s="166"/>
      <c r="C42" s="165"/>
      <c r="D42" s="165"/>
      <c r="E42" s="165"/>
      <c r="F42" s="165"/>
      <c r="G42" s="165"/>
      <c r="H42" s="165"/>
      <c r="I42" s="165"/>
      <c r="J42" s="165"/>
    </row>
    <row r="43" spans="1:13" s="168" customFormat="1" ht="40.15" hidden="1" customHeight="1">
      <c r="A43" s="165"/>
      <c r="B43" s="166"/>
      <c r="C43" s="165"/>
      <c r="D43" s="165"/>
      <c r="E43" s="165"/>
      <c r="F43" s="165"/>
      <c r="G43" s="165"/>
      <c r="H43" s="165"/>
      <c r="I43" s="165"/>
      <c r="J43" s="165"/>
    </row>
  </sheetData>
  <mergeCells count="11">
    <mergeCell ref="C8:J11"/>
    <mergeCell ref="C12:J12"/>
    <mergeCell ref="C13:E13"/>
    <mergeCell ref="C14:J14"/>
    <mergeCell ref="C15:J15"/>
    <mergeCell ref="C7:J7"/>
    <mergeCell ref="A1:J1"/>
    <mergeCell ref="A2:J2"/>
    <mergeCell ref="A3:J3"/>
    <mergeCell ref="C5:J5"/>
    <mergeCell ref="C6:J6"/>
  </mergeCells>
  <phoneticPr fontId="34" type="noConversion"/>
  <printOptions horizontalCentered="1"/>
  <pageMargins left="0.25" right="0.25" top="0.75" bottom="0.75" header="0.3" footer="0.3"/>
  <pageSetup paperSize="9" scale="60"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pageSetUpPr fitToPage="1"/>
  </sheetPr>
  <dimension ref="A1:M43"/>
  <sheetViews>
    <sheetView showGridLines="0" view="pageBreakPreview" zoomScale="55" zoomScaleNormal="70" zoomScaleSheetLayoutView="55" workbookViewId="0">
      <selection sqref="A1:J1"/>
    </sheetView>
  </sheetViews>
  <sheetFormatPr defaultColWidth="7.71484375" defaultRowHeight="23.25"/>
  <cols>
    <col min="1" max="1" width="43.15234375" style="165" customWidth="1"/>
    <col min="2" max="2" width="2.5703125" style="166" customWidth="1"/>
    <col min="3" max="3" width="14.3828125" style="165" customWidth="1"/>
    <col min="4" max="4" width="10.0546875" style="165" customWidth="1"/>
    <col min="5" max="5" width="11.4609375" style="165" customWidth="1"/>
    <col min="6" max="6" width="12.74609375" style="165" customWidth="1"/>
    <col min="7" max="7" width="11.4609375" style="165" customWidth="1"/>
    <col min="8" max="8" width="10.0546875" style="165" customWidth="1"/>
    <col min="9" max="9" width="12.16015625" style="165" customWidth="1"/>
    <col min="10" max="10" width="12.62890625" style="165" customWidth="1"/>
    <col min="11" max="11" width="6.8984375" style="165" customWidth="1"/>
    <col min="12" max="12" width="7.71484375" style="165"/>
    <col min="13" max="13" width="14.3828125" style="165" bestFit="1" customWidth="1"/>
    <col min="14" max="16384" width="7.71484375" style="165"/>
  </cols>
  <sheetData>
    <row r="1" spans="1:13" ht="91.15" customHeight="1" thickBot="1">
      <c r="A1" s="523" t="s">
        <v>94</v>
      </c>
      <c r="B1" s="523"/>
      <c r="C1" s="523"/>
      <c r="D1" s="523"/>
      <c r="E1" s="523"/>
      <c r="F1" s="523"/>
      <c r="G1" s="523"/>
      <c r="H1" s="523"/>
      <c r="I1" s="523"/>
      <c r="J1" s="523"/>
    </row>
    <row r="2" spans="1:13" ht="32.65" customHeight="1">
      <c r="A2" s="524" t="s">
        <v>95</v>
      </c>
      <c r="B2" s="525"/>
      <c r="C2" s="525"/>
      <c r="D2" s="525"/>
      <c r="E2" s="525"/>
      <c r="F2" s="525"/>
      <c r="G2" s="525"/>
      <c r="H2" s="525"/>
      <c r="I2" s="525"/>
      <c r="J2" s="526"/>
    </row>
    <row r="3" spans="1:13" ht="28.35" customHeight="1">
      <c r="A3" s="527" t="str">
        <f>[6]CI!B26</f>
        <v>Address: O Mon Power Complex at Phuoc Thoi wards, O Mon district, Can Tho city</v>
      </c>
      <c r="B3" s="528"/>
      <c r="C3" s="528"/>
      <c r="D3" s="528"/>
      <c r="E3" s="528"/>
      <c r="F3" s="528"/>
      <c r="G3" s="528"/>
      <c r="H3" s="528"/>
      <c r="I3" s="528"/>
      <c r="J3" s="529"/>
    </row>
    <row r="5" spans="1:13" s="168" customFormat="1" ht="40.15" customHeight="1">
      <c r="A5" s="182" t="s">
        <v>96</v>
      </c>
      <c r="B5" s="167" t="s">
        <v>97</v>
      </c>
      <c r="C5" s="530" t="s">
        <v>134</v>
      </c>
      <c r="D5" s="531"/>
      <c r="E5" s="531"/>
      <c r="F5" s="531"/>
      <c r="G5" s="531"/>
      <c r="H5" s="531"/>
      <c r="I5" s="531"/>
      <c r="J5" s="532"/>
    </row>
    <row r="6" spans="1:13" s="168" customFormat="1" ht="55.5" customHeight="1">
      <c r="A6" s="183" t="s">
        <v>98</v>
      </c>
      <c r="B6" s="169" t="s">
        <v>97</v>
      </c>
      <c r="C6" s="519" t="s">
        <v>135</v>
      </c>
      <c r="D6" s="519"/>
      <c r="E6" s="519"/>
      <c r="F6" s="519"/>
      <c r="G6" s="519"/>
      <c r="H6" s="519"/>
      <c r="I6" s="519"/>
      <c r="J6" s="520"/>
    </row>
    <row r="7" spans="1:13" s="168" customFormat="1" ht="94.15" customHeight="1">
      <c r="A7" s="183" t="s">
        <v>116</v>
      </c>
      <c r="B7" s="170" t="s">
        <v>97</v>
      </c>
      <c r="C7" s="519" t="s">
        <v>136</v>
      </c>
      <c r="D7" s="519"/>
      <c r="E7" s="519"/>
      <c r="F7" s="519"/>
      <c r="G7" s="519"/>
      <c r="H7" s="519"/>
      <c r="I7" s="519"/>
      <c r="J7" s="520"/>
    </row>
    <row r="8" spans="1:13" s="168" customFormat="1" ht="20.65" customHeight="1">
      <c r="A8" s="183" t="s">
        <v>99</v>
      </c>
      <c r="B8" s="170" t="s">
        <v>100</v>
      </c>
      <c r="C8" s="519" t="s">
        <v>137</v>
      </c>
      <c r="D8" s="519"/>
      <c r="E8" s="519"/>
      <c r="F8" s="519"/>
      <c r="G8" s="519"/>
      <c r="H8" s="519"/>
      <c r="I8" s="519"/>
      <c r="J8" s="520"/>
    </row>
    <row r="9" spans="1:13" s="168" customFormat="1" ht="20.65" customHeight="1">
      <c r="A9" s="183"/>
      <c r="B9" s="170"/>
      <c r="C9" s="519"/>
      <c r="D9" s="519"/>
      <c r="E9" s="519"/>
      <c r="F9" s="519"/>
      <c r="G9" s="519"/>
      <c r="H9" s="519"/>
      <c r="I9" s="519"/>
      <c r="J9" s="520"/>
    </row>
    <row r="10" spans="1:13" s="168" customFormat="1" ht="20.65" customHeight="1">
      <c r="A10" s="183"/>
      <c r="B10" s="170"/>
      <c r="C10" s="519"/>
      <c r="D10" s="519"/>
      <c r="E10" s="519"/>
      <c r="F10" s="519"/>
      <c r="G10" s="519"/>
      <c r="H10" s="519"/>
      <c r="I10" s="519"/>
      <c r="J10" s="520"/>
    </row>
    <row r="11" spans="1:13" s="168" customFormat="1" ht="171.2" customHeight="1">
      <c r="A11" s="183"/>
      <c r="B11" s="170"/>
      <c r="C11" s="519"/>
      <c r="D11" s="519"/>
      <c r="E11" s="519"/>
      <c r="F11" s="519"/>
      <c r="G11" s="519"/>
      <c r="H11" s="519"/>
      <c r="I11" s="519"/>
      <c r="J11" s="520"/>
    </row>
    <row r="12" spans="1:13" s="168" customFormat="1">
      <c r="A12" s="183" t="s">
        <v>117</v>
      </c>
      <c r="B12" s="169" t="s">
        <v>97</v>
      </c>
      <c r="C12" s="519" t="s">
        <v>115</v>
      </c>
      <c r="D12" s="519"/>
      <c r="E12" s="519"/>
      <c r="F12" s="519"/>
      <c r="G12" s="519"/>
      <c r="H12" s="519"/>
      <c r="I12" s="519"/>
      <c r="J12" s="520"/>
    </row>
    <row r="13" spans="1:13" s="326" customFormat="1" ht="25.5">
      <c r="A13" s="286" t="s">
        <v>101</v>
      </c>
      <c r="B13" s="287" t="s">
        <v>100</v>
      </c>
      <c r="C13" s="533" t="s">
        <v>219</v>
      </c>
      <c r="D13" s="533"/>
      <c r="E13" s="533"/>
      <c r="F13" s="342"/>
      <c r="G13" s="343"/>
      <c r="H13" s="343"/>
      <c r="I13" s="343"/>
      <c r="J13" s="344"/>
    </row>
    <row r="14" spans="1:13" s="168" customFormat="1">
      <c r="A14" s="183" t="s">
        <v>118</v>
      </c>
      <c r="B14" s="169" t="s">
        <v>97</v>
      </c>
      <c r="C14" s="521" t="str">
        <f>[6]CI!B28</f>
        <v>PLANT/ EQUIPMENT AND MATERIALS FOR O MON IV THERMAL</v>
      </c>
      <c r="D14" s="521"/>
      <c r="E14" s="521"/>
      <c r="F14" s="521"/>
      <c r="G14" s="521"/>
      <c r="H14" s="521"/>
      <c r="I14" s="521"/>
      <c r="J14" s="522"/>
    </row>
    <row r="15" spans="1:13" s="168" customFormat="1">
      <c r="A15" s="286" t="s">
        <v>235</v>
      </c>
      <c r="B15" s="287" t="s">
        <v>97</v>
      </c>
      <c r="C15" s="519" t="str">
        <f>'PL(2_2)'!D27</f>
        <v>PVC Conduit</v>
      </c>
      <c r="D15" s="519"/>
      <c r="E15" s="519"/>
      <c r="F15" s="519"/>
      <c r="G15" s="519"/>
      <c r="H15" s="519"/>
      <c r="I15" s="519"/>
      <c r="J15" s="520"/>
      <c r="L15" s="168" t="s">
        <v>236</v>
      </c>
    </row>
    <row r="16" spans="1:13" s="326" customFormat="1" ht="40.15" customHeight="1">
      <c r="A16" s="286" t="s">
        <v>124</v>
      </c>
      <c r="B16" s="327" t="s">
        <v>100</v>
      </c>
      <c r="C16" s="328" t="s">
        <v>221</v>
      </c>
      <c r="D16" s="278"/>
      <c r="E16" s="278"/>
      <c r="F16" s="278"/>
      <c r="G16" s="278"/>
      <c r="H16" s="278"/>
      <c r="I16" s="278"/>
      <c r="J16" s="279"/>
      <c r="M16" s="329"/>
    </row>
    <row r="17" spans="1:13" s="326" customFormat="1" ht="35.450000000000003" customHeight="1">
      <c r="A17" s="286" t="s">
        <v>121</v>
      </c>
      <c r="B17" s="327" t="s">
        <v>100</v>
      </c>
      <c r="C17" s="328" t="str">
        <f>'PL(2_2)'!C27</f>
        <v>OM4-DE-IS-0003-013</v>
      </c>
      <c r="D17" s="278"/>
      <c r="E17" s="278"/>
      <c r="F17" s="278"/>
      <c r="G17" s="278"/>
      <c r="H17" s="278"/>
      <c r="I17" s="278"/>
      <c r="J17" s="279"/>
      <c r="M17" s="329"/>
    </row>
    <row r="18" spans="1:13" s="326" customFormat="1" ht="49.9" customHeight="1">
      <c r="A18" s="286" t="s">
        <v>119</v>
      </c>
      <c r="B18" s="287" t="s">
        <v>97</v>
      </c>
      <c r="C18" s="337">
        <f>'PL(2_2)'!M27</f>
        <v>987.28</v>
      </c>
      <c r="D18" s="331" t="s">
        <v>102</v>
      </c>
      <c r="E18" s="332"/>
      <c r="F18" s="332"/>
      <c r="G18" s="332"/>
      <c r="H18" s="332"/>
      <c r="I18" s="332"/>
      <c r="J18" s="333"/>
    </row>
    <row r="19" spans="1:13" s="326" customFormat="1" ht="57.4" customHeight="1">
      <c r="A19" s="286" t="s">
        <v>120</v>
      </c>
      <c r="B19" s="287" t="s">
        <v>97</v>
      </c>
      <c r="C19" s="337">
        <f>'PL(2_2)'!N27</f>
        <v>1187.28</v>
      </c>
      <c r="D19" s="331" t="s">
        <v>102</v>
      </c>
      <c r="E19" s="332"/>
      <c r="F19" s="334"/>
      <c r="G19" s="332"/>
      <c r="H19" s="332"/>
      <c r="I19" s="332"/>
      <c r="J19" s="335"/>
    </row>
    <row r="20" spans="1:13" s="326" customFormat="1" ht="53.65" customHeight="1">
      <c r="A20" s="286" t="s">
        <v>122</v>
      </c>
      <c r="B20" s="327" t="s">
        <v>97</v>
      </c>
      <c r="C20" s="330">
        <f>'PL(2_2)'!I27</f>
        <v>420</v>
      </c>
      <c r="D20" s="336" t="s">
        <v>103</v>
      </c>
      <c r="E20" s="330">
        <f>'PL(2_2)'!J27</f>
        <v>220</v>
      </c>
      <c r="F20" s="336" t="s">
        <v>104</v>
      </c>
      <c r="G20" s="330">
        <f>'PL(2_2)'!K27</f>
        <v>80</v>
      </c>
      <c r="H20" s="336" t="s">
        <v>105</v>
      </c>
      <c r="I20" s="337">
        <f>'PL(2_2)'!L27</f>
        <v>7.3920000000000003</v>
      </c>
      <c r="J20" s="338" t="s">
        <v>106</v>
      </c>
    </row>
    <row r="21" spans="1:13" s="326" customFormat="1" ht="31.15" customHeight="1">
      <c r="A21" s="286" t="s">
        <v>113</v>
      </c>
      <c r="B21" s="327" t="s">
        <v>97</v>
      </c>
      <c r="C21" s="348" t="str">
        <f>'Packing List (1_2)'!B21</f>
        <v>Busan International Port, Korea</v>
      </c>
      <c r="D21" s="331"/>
      <c r="E21" s="332"/>
      <c r="F21" s="331"/>
      <c r="G21" s="332"/>
      <c r="H21" s="331"/>
      <c r="I21" s="337"/>
      <c r="J21" s="338"/>
    </row>
    <row r="22" spans="1:13" s="168" customFormat="1" ht="49.15" customHeight="1">
      <c r="A22" s="183" t="s">
        <v>123</v>
      </c>
      <c r="B22" s="170" t="s">
        <v>97</v>
      </c>
      <c r="C22" s="176" t="s">
        <v>138</v>
      </c>
      <c r="D22" s="172"/>
      <c r="E22" s="173"/>
      <c r="F22" s="172"/>
      <c r="G22" s="173"/>
      <c r="H22" s="172"/>
      <c r="I22" s="174"/>
      <c r="J22" s="175"/>
    </row>
    <row r="23" spans="1:13" s="168" customFormat="1" ht="40.15" customHeight="1">
      <c r="A23" s="184" t="s">
        <v>107</v>
      </c>
      <c r="B23" s="170" t="s">
        <v>97</v>
      </c>
      <c r="C23" s="176" t="s">
        <v>142</v>
      </c>
      <c r="D23" s="172"/>
      <c r="E23" s="173"/>
      <c r="F23" s="172"/>
      <c r="G23" s="173"/>
      <c r="H23" s="172"/>
      <c r="I23" s="174"/>
      <c r="J23" s="175"/>
    </row>
    <row r="24" spans="1:13" s="168" customFormat="1" ht="40.15" customHeight="1">
      <c r="A24" s="185" t="s">
        <v>108</v>
      </c>
      <c r="B24" s="177" t="s">
        <v>97</v>
      </c>
      <c r="C24" s="186" t="s">
        <v>109</v>
      </c>
      <c r="D24" s="178"/>
      <c r="E24" s="178"/>
      <c r="F24" s="178"/>
      <c r="G24" s="178"/>
      <c r="H24" s="178"/>
      <c r="I24" s="178"/>
      <c r="J24" s="179"/>
    </row>
    <row r="25" spans="1:13" ht="120" hidden="1" customHeight="1" thickBot="1"/>
    <row r="26" spans="1:13" ht="55.15" hidden="1" customHeight="1"/>
    <row r="27" spans="1:13" ht="55.15" hidden="1" customHeight="1" thickBot="1"/>
    <row r="28" spans="1:13" ht="40.15" hidden="1" customHeight="1"/>
    <row r="29" spans="1:13" s="168" customFormat="1" ht="40.15" hidden="1" customHeight="1">
      <c r="A29" s="165"/>
      <c r="B29" s="166"/>
      <c r="C29" s="165"/>
      <c r="D29" s="165"/>
      <c r="E29" s="165"/>
      <c r="F29" s="165"/>
      <c r="G29" s="165"/>
      <c r="H29" s="165"/>
      <c r="I29" s="165"/>
      <c r="J29" s="165"/>
    </row>
    <row r="30" spans="1:13" s="168" customFormat="1" ht="55.5" hidden="1" customHeight="1">
      <c r="A30" s="165"/>
      <c r="B30" s="166"/>
      <c r="C30" s="165"/>
      <c r="D30" s="165"/>
      <c r="E30" s="165"/>
      <c r="F30" s="165"/>
      <c r="G30" s="165"/>
      <c r="H30" s="165"/>
      <c r="I30" s="165"/>
      <c r="J30" s="165"/>
    </row>
    <row r="31" spans="1:13" s="168" customFormat="1" ht="53.25" hidden="1" customHeight="1">
      <c r="A31" s="165"/>
      <c r="B31" s="166"/>
      <c r="C31" s="165"/>
      <c r="D31" s="165"/>
      <c r="E31" s="165"/>
      <c r="F31" s="165"/>
      <c r="G31" s="165"/>
      <c r="H31" s="165"/>
      <c r="I31" s="165"/>
      <c r="J31" s="165"/>
    </row>
    <row r="32" spans="1:13" s="168" customFormat="1" ht="99.95" hidden="1" customHeight="1">
      <c r="A32" s="165"/>
      <c r="B32" s="166"/>
      <c r="C32" s="165"/>
      <c r="D32" s="165"/>
      <c r="E32" s="165"/>
      <c r="F32" s="165"/>
      <c r="G32" s="165"/>
      <c r="H32" s="165"/>
      <c r="I32" s="165"/>
      <c r="J32" s="165"/>
    </row>
    <row r="33" spans="1:13" s="168" customFormat="1" ht="40.15" hidden="1" customHeight="1">
      <c r="A33" s="165"/>
      <c r="B33" s="166"/>
      <c r="C33" s="165"/>
      <c r="D33" s="165"/>
      <c r="E33" s="165"/>
      <c r="F33" s="165"/>
      <c r="G33" s="165"/>
      <c r="H33" s="165"/>
      <c r="I33" s="165"/>
      <c r="J33" s="165"/>
    </row>
    <row r="34" spans="1:13" s="168" customFormat="1" ht="40.15" hidden="1" customHeight="1">
      <c r="A34" s="165"/>
      <c r="B34" s="166"/>
      <c r="C34" s="165"/>
      <c r="D34" s="165"/>
      <c r="E34" s="165"/>
      <c r="F34" s="165"/>
      <c r="G34" s="165"/>
      <c r="H34" s="165"/>
      <c r="I34" s="165"/>
      <c r="J34" s="165"/>
    </row>
    <row r="35" spans="1:13" s="168" customFormat="1" ht="75" hidden="1" customHeight="1">
      <c r="A35" s="165"/>
      <c r="B35" s="166"/>
      <c r="C35" s="165"/>
      <c r="D35" s="165"/>
      <c r="E35" s="165"/>
      <c r="F35" s="165"/>
      <c r="G35" s="165"/>
      <c r="H35" s="165"/>
      <c r="I35" s="165"/>
      <c r="J35" s="165"/>
    </row>
    <row r="36" spans="1:13" s="168" customFormat="1" ht="40.15" hidden="1" customHeight="1">
      <c r="A36" s="165"/>
      <c r="B36" s="166"/>
      <c r="C36" s="165"/>
      <c r="D36" s="165"/>
      <c r="E36" s="165"/>
      <c r="F36" s="165"/>
      <c r="G36" s="165"/>
      <c r="H36" s="165"/>
      <c r="I36" s="165"/>
      <c r="J36" s="165"/>
      <c r="M36" s="171"/>
    </row>
    <row r="37" spans="1:13" s="168" customFormat="1" ht="40.15" hidden="1" customHeight="1">
      <c r="A37" s="165"/>
      <c r="B37" s="166"/>
      <c r="C37" s="165"/>
      <c r="D37" s="165"/>
      <c r="E37" s="165"/>
      <c r="F37" s="165"/>
      <c r="G37" s="165"/>
      <c r="H37" s="165"/>
      <c r="I37" s="165"/>
      <c r="J37" s="165"/>
    </row>
    <row r="38" spans="1:13" s="168" customFormat="1" ht="40.15" hidden="1" customHeight="1">
      <c r="A38" s="165"/>
      <c r="B38" s="166"/>
      <c r="C38" s="165"/>
      <c r="D38" s="165"/>
      <c r="E38" s="165"/>
      <c r="F38" s="165"/>
      <c r="G38" s="165"/>
      <c r="H38" s="165"/>
      <c r="I38" s="165"/>
      <c r="J38" s="165"/>
    </row>
    <row r="39" spans="1:13" s="168" customFormat="1" ht="40.15" hidden="1" customHeight="1">
      <c r="A39" s="165"/>
      <c r="B39" s="166"/>
      <c r="C39" s="165"/>
      <c r="D39" s="165"/>
      <c r="E39" s="165"/>
      <c r="F39" s="165"/>
      <c r="G39" s="165"/>
      <c r="H39" s="165"/>
      <c r="I39" s="165"/>
      <c r="J39" s="165"/>
    </row>
    <row r="40" spans="1:13" s="168" customFormat="1" ht="40.15" hidden="1" customHeight="1">
      <c r="A40" s="165"/>
      <c r="B40" s="166"/>
      <c r="C40" s="165"/>
      <c r="D40" s="165"/>
      <c r="E40" s="165"/>
      <c r="F40" s="165"/>
      <c r="G40" s="165"/>
      <c r="H40" s="165"/>
      <c r="I40" s="165"/>
      <c r="J40" s="165"/>
    </row>
    <row r="41" spans="1:13" s="168" customFormat="1" ht="40.15" hidden="1" customHeight="1">
      <c r="A41" s="165"/>
      <c r="B41" s="166"/>
      <c r="C41" s="165"/>
      <c r="D41" s="165"/>
      <c r="E41" s="165"/>
      <c r="F41" s="165"/>
      <c r="G41" s="165"/>
      <c r="H41" s="165"/>
      <c r="I41" s="165"/>
      <c r="J41" s="165"/>
    </row>
    <row r="42" spans="1:13" s="168" customFormat="1" ht="40.15" hidden="1" customHeight="1">
      <c r="A42" s="165"/>
      <c r="B42" s="166"/>
      <c r="C42" s="165"/>
      <c r="D42" s="165"/>
      <c r="E42" s="165"/>
      <c r="F42" s="165"/>
      <c r="G42" s="165"/>
      <c r="H42" s="165"/>
      <c r="I42" s="165"/>
      <c r="J42" s="165"/>
    </row>
    <row r="43" spans="1:13" s="168" customFormat="1" ht="40.15" hidden="1" customHeight="1">
      <c r="A43" s="165"/>
      <c r="B43" s="166"/>
      <c r="C43" s="165"/>
      <c r="D43" s="165"/>
      <c r="E43" s="165"/>
      <c r="F43" s="165"/>
      <c r="G43" s="165"/>
      <c r="H43" s="165"/>
      <c r="I43" s="165"/>
      <c r="J43" s="165"/>
    </row>
  </sheetData>
  <mergeCells count="11">
    <mergeCell ref="C8:J11"/>
    <mergeCell ref="C12:J12"/>
    <mergeCell ref="C13:E13"/>
    <mergeCell ref="C14:J14"/>
    <mergeCell ref="C15:J15"/>
    <mergeCell ref="C7:J7"/>
    <mergeCell ref="A1:J1"/>
    <mergeCell ref="A2:J2"/>
    <mergeCell ref="A3:J3"/>
    <mergeCell ref="C5:J5"/>
    <mergeCell ref="C6:J6"/>
  </mergeCells>
  <phoneticPr fontId="34" type="noConversion"/>
  <printOptions horizontalCentered="1"/>
  <pageMargins left="0.25" right="0.25" top="0.75" bottom="0.75" header="0.3" footer="0.3"/>
  <pageSetup paperSize="9" scale="61"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pageSetUpPr fitToPage="1"/>
  </sheetPr>
  <dimension ref="A1:M43"/>
  <sheetViews>
    <sheetView showGridLines="0" view="pageBreakPreview" zoomScale="55" zoomScaleNormal="70" zoomScaleSheetLayoutView="55" workbookViewId="0">
      <selection sqref="A1:J1"/>
    </sheetView>
  </sheetViews>
  <sheetFormatPr defaultColWidth="7.71484375" defaultRowHeight="23.25"/>
  <cols>
    <col min="1" max="1" width="43.15234375" style="165" customWidth="1"/>
    <col min="2" max="2" width="2.5703125" style="166" customWidth="1"/>
    <col min="3" max="3" width="14.6171875" style="165" customWidth="1"/>
    <col min="4" max="4" width="10.0546875" style="165" customWidth="1"/>
    <col min="5" max="5" width="11.4609375" style="165" customWidth="1"/>
    <col min="6" max="6" width="12.74609375" style="165" customWidth="1"/>
    <col min="7" max="7" width="11.4609375" style="165" customWidth="1"/>
    <col min="8" max="8" width="10.0546875" style="165" customWidth="1"/>
    <col min="9" max="9" width="12.16015625" style="165" customWidth="1"/>
    <col min="10" max="10" width="12.62890625" style="165" customWidth="1"/>
    <col min="11" max="11" width="6.8984375" style="165" customWidth="1"/>
    <col min="12" max="12" width="7.71484375" style="165"/>
    <col min="13" max="13" width="14.3828125" style="165" bestFit="1" customWidth="1"/>
    <col min="14" max="16384" width="7.71484375" style="165"/>
  </cols>
  <sheetData>
    <row r="1" spans="1:13" ht="91.15" customHeight="1" thickBot="1">
      <c r="A1" s="523" t="s">
        <v>94</v>
      </c>
      <c r="B1" s="523"/>
      <c r="C1" s="523"/>
      <c r="D1" s="523"/>
      <c r="E1" s="523"/>
      <c r="F1" s="523"/>
      <c r="G1" s="523"/>
      <c r="H1" s="523"/>
      <c r="I1" s="523"/>
      <c r="J1" s="523"/>
    </row>
    <row r="2" spans="1:13" ht="32.65" customHeight="1">
      <c r="A2" s="524" t="s">
        <v>95</v>
      </c>
      <c r="B2" s="525"/>
      <c r="C2" s="525"/>
      <c r="D2" s="525"/>
      <c r="E2" s="525"/>
      <c r="F2" s="525"/>
      <c r="G2" s="525"/>
      <c r="H2" s="525"/>
      <c r="I2" s="525"/>
      <c r="J2" s="526"/>
    </row>
    <row r="3" spans="1:13" ht="28.35" customHeight="1">
      <c r="A3" s="527" t="str">
        <f>[6]CI!B26</f>
        <v>Address: O Mon Power Complex at Phuoc Thoi wards, O Mon district, Can Tho city</v>
      </c>
      <c r="B3" s="528"/>
      <c r="C3" s="528"/>
      <c r="D3" s="528"/>
      <c r="E3" s="528"/>
      <c r="F3" s="528"/>
      <c r="G3" s="528"/>
      <c r="H3" s="528"/>
      <c r="I3" s="528"/>
      <c r="J3" s="529"/>
    </row>
    <row r="5" spans="1:13" s="168" customFormat="1" ht="40.15" customHeight="1">
      <c r="A5" s="182" t="s">
        <v>96</v>
      </c>
      <c r="B5" s="167" t="s">
        <v>97</v>
      </c>
      <c r="C5" s="530" t="s">
        <v>134</v>
      </c>
      <c r="D5" s="531"/>
      <c r="E5" s="531"/>
      <c r="F5" s="531"/>
      <c r="G5" s="531"/>
      <c r="H5" s="531"/>
      <c r="I5" s="531"/>
      <c r="J5" s="532"/>
    </row>
    <row r="6" spans="1:13" s="168" customFormat="1" ht="55.5" customHeight="1">
      <c r="A6" s="183" t="s">
        <v>98</v>
      </c>
      <c r="B6" s="169" t="s">
        <v>97</v>
      </c>
      <c r="C6" s="519" t="s">
        <v>135</v>
      </c>
      <c r="D6" s="519"/>
      <c r="E6" s="519"/>
      <c r="F6" s="519"/>
      <c r="G6" s="519"/>
      <c r="H6" s="519"/>
      <c r="I6" s="519"/>
      <c r="J6" s="520"/>
    </row>
    <row r="7" spans="1:13" s="168" customFormat="1" ht="94.15" customHeight="1">
      <c r="A7" s="183" t="s">
        <v>116</v>
      </c>
      <c r="B7" s="170" t="s">
        <v>97</v>
      </c>
      <c r="C7" s="519" t="s">
        <v>136</v>
      </c>
      <c r="D7" s="519"/>
      <c r="E7" s="519"/>
      <c r="F7" s="519"/>
      <c r="G7" s="519"/>
      <c r="H7" s="519"/>
      <c r="I7" s="519"/>
      <c r="J7" s="520"/>
    </row>
    <row r="8" spans="1:13" s="168" customFormat="1" ht="20.65" customHeight="1">
      <c r="A8" s="183" t="s">
        <v>99</v>
      </c>
      <c r="B8" s="170" t="s">
        <v>100</v>
      </c>
      <c r="C8" s="519" t="s">
        <v>137</v>
      </c>
      <c r="D8" s="519"/>
      <c r="E8" s="519"/>
      <c r="F8" s="519"/>
      <c r="G8" s="519"/>
      <c r="H8" s="519"/>
      <c r="I8" s="519"/>
      <c r="J8" s="520"/>
    </row>
    <row r="9" spans="1:13" s="168" customFormat="1" ht="20.65" customHeight="1">
      <c r="A9" s="183"/>
      <c r="B9" s="170"/>
      <c r="C9" s="519"/>
      <c r="D9" s="519"/>
      <c r="E9" s="519"/>
      <c r="F9" s="519"/>
      <c r="G9" s="519"/>
      <c r="H9" s="519"/>
      <c r="I9" s="519"/>
      <c r="J9" s="520"/>
    </row>
    <row r="10" spans="1:13" s="168" customFormat="1" ht="20.65" customHeight="1">
      <c r="A10" s="183"/>
      <c r="B10" s="170"/>
      <c r="C10" s="519"/>
      <c r="D10" s="519"/>
      <c r="E10" s="519"/>
      <c r="F10" s="519"/>
      <c r="G10" s="519"/>
      <c r="H10" s="519"/>
      <c r="I10" s="519"/>
      <c r="J10" s="520"/>
    </row>
    <row r="11" spans="1:13" s="168" customFormat="1" ht="171.2" customHeight="1">
      <c r="A11" s="183"/>
      <c r="B11" s="170"/>
      <c r="C11" s="519"/>
      <c r="D11" s="519"/>
      <c r="E11" s="519"/>
      <c r="F11" s="519"/>
      <c r="G11" s="519"/>
      <c r="H11" s="519"/>
      <c r="I11" s="519"/>
      <c r="J11" s="520"/>
    </row>
    <row r="12" spans="1:13" s="168" customFormat="1">
      <c r="A12" s="183" t="s">
        <v>117</v>
      </c>
      <c r="B12" s="169" t="s">
        <v>97</v>
      </c>
      <c r="C12" s="519" t="s">
        <v>115</v>
      </c>
      <c r="D12" s="519"/>
      <c r="E12" s="519"/>
      <c r="F12" s="519"/>
      <c r="G12" s="519"/>
      <c r="H12" s="519"/>
      <c r="I12" s="519"/>
      <c r="J12" s="520"/>
    </row>
    <row r="13" spans="1:13" s="326" customFormat="1" ht="25.5">
      <c r="A13" s="286" t="s">
        <v>101</v>
      </c>
      <c r="B13" s="341" t="s">
        <v>100</v>
      </c>
      <c r="C13" s="533" t="s">
        <v>219</v>
      </c>
      <c r="D13" s="533"/>
      <c r="E13" s="533"/>
      <c r="F13" s="342"/>
      <c r="G13" s="343"/>
      <c r="H13" s="343"/>
      <c r="I13" s="343"/>
      <c r="J13" s="344"/>
    </row>
    <row r="14" spans="1:13" s="168" customFormat="1">
      <c r="A14" s="183" t="s">
        <v>118</v>
      </c>
      <c r="B14" s="169" t="s">
        <v>97</v>
      </c>
      <c r="C14" s="521" t="str">
        <f>[6]CI!B28</f>
        <v>PLANT/ EQUIPMENT AND MATERIALS FOR O MON IV THERMAL</v>
      </c>
      <c r="D14" s="521"/>
      <c r="E14" s="521"/>
      <c r="F14" s="521"/>
      <c r="G14" s="521"/>
      <c r="H14" s="521"/>
      <c r="I14" s="521"/>
      <c r="J14" s="522"/>
    </row>
    <row r="15" spans="1:13" s="326" customFormat="1">
      <c r="A15" s="286" t="s">
        <v>235</v>
      </c>
      <c r="B15" s="287" t="s">
        <v>97</v>
      </c>
      <c r="C15" s="519" t="str">
        <f>'PL(2_2)'!D28</f>
        <v>CONDUIT FITTINGS</v>
      </c>
      <c r="D15" s="519"/>
      <c r="E15" s="519"/>
      <c r="F15" s="519"/>
      <c r="G15" s="519"/>
      <c r="H15" s="519"/>
      <c r="I15" s="519"/>
      <c r="J15" s="520"/>
      <c r="L15" s="326" t="s">
        <v>236</v>
      </c>
    </row>
    <row r="16" spans="1:13" s="326" customFormat="1" ht="40.15" customHeight="1">
      <c r="A16" s="286" t="s">
        <v>124</v>
      </c>
      <c r="B16" s="327" t="s">
        <v>100</v>
      </c>
      <c r="C16" s="328" t="s">
        <v>221</v>
      </c>
      <c r="D16" s="278"/>
      <c r="E16" s="278"/>
      <c r="F16" s="278"/>
      <c r="G16" s="278"/>
      <c r="H16" s="278"/>
      <c r="I16" s="278"/>
      <c r="J16" s="279"/>
      <c r="M16" s="329"/>
    </row>
    <row r="17" spans="1:13" s="326" customFormat="1" ht="35.450000000000003" customHeight="1">
      <c r="A17" s="286" t="s">
        <v>121</v>
      </c>
      <c r="B17" s="327" t="s">
        <v>100</v>
      </c>
      <c r="C17" s="328" t="str">
        <f>'PL(2_2)'!C28</f>
        <v>OM4-DE-IS-0003-014</v>
      </c>
      <c r="D17" s="278"/>
      <c r="E17" s="278"/>
      <c r="F17" s="278"/>
      <c r="G17" s="278"/>
      <c r="H17" s="278"/>
      <c r="I17" s="278"/>
      <c r="J17" s="279"/>
      <c r="M17" s="329"/>
    </row>
    <row r="18" spans="1:13" s="326" customFormat="1" ht="49.9" customHeight="1">
      <c r="A18" s="286" t="s">
        <v>119</v>
      </c>
      <c r="B18" s="287" t="s">
        <v>97</v>
      </c>
      <c r="C18" s="337">
        <f>'PL(2_2)'!M28</f>
        <v>603.45500000000027</v>
      </c>
      <c r="D18" s="331" t="s">
        <v>102</v>
      </c>
      <c r="E18" s="332"/>
      <c r="F18" s="332"/>
      <c r="G18" s="332"/>
      <c r="H18" s="332"/>
      <c r="I18" s="332"/>
      <c r="J18" s="333"/>
    </row>
    <row r="19" spans="1:13" s="326" customFormat="1" ht="57.4" customHeight="1">
      <c r="A19" s="286" t="s">
        <v>120</v>
      </c>
      <c r="B19" s="287" t="s">
        <v>97</v>
      </c>
      <c r="C19" s="337">
        <f>'PL(2_2)'!N28</f>
        <v>903.45500000000027</v>
      </c>
      <c r="D19" s="331" t="s">
        <v>102</v>
      </c>
      <c r="E19" s="332"/>
      <c r="F19" s="334"/>
      <c r="G19" s="332"/>
      <c r="H19" s="332"/>
      <c r="I19" s="332"/>
      <c r="J19" s="335"/>
    </row>
    <row r="20" spans="1:13" s="326" customFormat="1" ht="53.65" customHeight="1">
      <c r="A20" s="286" t="s">
        <v>122</v>
      </c>
      <c r="B20" s="327" t="s">
        <v>97</v>
      </c>
      <c r="C20" s="330">
        <f>'PL(2_2)'!I28</f>
        <v>200</v>
      </c>
      <c r="D20" s="336" t="s">
        <v>103</v>
      </c>
      <c r="E20" s="330">
        <f>'PL(2_2)'!J28</f>
        <v>200</v>
      </c>
      <c r="F20" s="336" t="s">
        <v>104</v>
      </c>
      <c r="G20" s="330">
        <f>'PL(2_2)'!K28</f>
        <v>150</v>
      </c>
      <c r="H20" s="336" t="s">
        <v>105</v>
      </c>
      <c r="I20" s="337">
        <f>'PL(2_2)'!L28</f>
        <v>6</v>
      </c>
      <c r="J20" s="338" t="s">
        <v>106</v>
      </c>
    </row>
    <row r="21" spans="1:13" s="326" customFormat="1" ht="31.15" customHeight="1">
      <c r="A21" s="286" t="s">
        <v>113</v>
      </c>
      <c r="B21" s="327" t="s">
        <v>97</v>
      </c>
      <c r="C21" s="348" t="str">
        <f>'Packing List (1_2)'!B21</f>
        <v>Busan International Port, Korea</v>
      </c>
      <c r="D21" s="331"/>
      <c r="E21" s="332"/>
      <c r="F21" s="331"/>
      <c r="G21" s="332"/>
      <c r="H21" s="331"/>
      <c r="I21" s="337"/>
      <c r="J21" s="338"/>
    </row>
    <row r="22" spans="1:13" s="168" customFormat="1" ht="49.15" customHeight="1">
      <c r="A22" s="183" t="s">
        <v>123</v>
      </c>
      <c r="B22" s="170" t="s">
        <v>97</v>
      </c>
      <c r="C22" s="176" t="s">
        <v>138</v>
      </c>
      <c r="D22" s="172"/>
      <c r="E22" s="173"/>
      <c r="F22" s="172"/>
      <c r="G22" s="173"/>
      <c r="H22" s="172"/>
      <c r="I22" s="174"/>
      <c r="J22" s="175"/>
    </row>
    <row r="23" spans="1:13" s="168" customFormat="1" ht="40.15" customHeight="1">
      <c r="A23" s="184" t="s">
        <v>107</v>
      </c>
      <c r="B23" s="170" t="s">
        <v>97</v>
      </c>
      <c r="C23" s="176" t="s">
        <v>142</v>
      </c>
      <c r="D23" s="172"/>
      <c r="E23" s="173"/>
      <c r="F23" s="172"/>
      <c r="G23" s="173"/>
      <c r="H23" s="172"/>
      <c r="I23" s="174"/>
      <c r="J23" s="175"/>
    </row>
    <row r="24" spans="1:13" s="168" customFormat="1" ht="40.15" customHeight="1">
      <c r="A24" s="185" t="s">
        <v>108</v>
      </c>
      <c r="B24" s="177" t="s">
        <v>97</v>
      </c>
      <c r="C24" s="186" t="s">
        <v>109</v>
      </c>
      <c r="D24" s="178"/>
      <c r="E24" s="178"/>
      <c r="F24" s="178"/>
      <c r="G24" s="178"/>
      <c r="H24" s="178"/>
      <c r="I24" s="178"/>
      <c r="J24" s="179"/>
    </row>
    <row r="25" spans="1:13" ht="120" hidden="1" customHeight="1" thickBot="1"/>
    <row r="26" spans="1:13" ht="55.15" hidden="1" customHeight="1"/>
    <row r="27" spans="1:13" ht="55.15" hidden="1" customHeight="1" thickBot="1"/>
    <row r="28" spans="1:13" ht="40.15" hidden="1" customHeight="1"/>
    <row r="29" spans="1:13" s="168" customFormat="1" ht="40.15" hidden="1" customHeight="1">
      <c r="A29" s="165"/>
      <c r="B29" s="166"/>
      <c r="C29" s="165"/>
      <c r="D29" s="165"/>
      <c r="E29" s="165"/>
      <c r="F29" s="165"/>
      <c r="G29" s="165"/>
      <c r="H29" s="165"/>
      <c r="I29" s="165"/>
      <c r="J29" s="165"/>
    </row>
    <row r="30" spans="1:13" s="168" customFormat="1" ht="55.5" hidden="1" customHeight="1">
      <c r="A30" s="165"/>
      <c r="B30" s="166"/>
      <c r="C30" s="165"/>
      <c r="D30" s="165"/>
      <c r="E30" s="165"/>
      <c r="F30" s="165"/>
      <c r="G30" s="165"/>
      <c r="H30" s="165"/>
      <c r="I30" s="165"/>
      <c r="J30" s="165"/>
    </row>
    <row r="31" spans="1:13" s="168" customFormat="1" ht="53.25" hidden="1" customHeight="1">
      <c r="A31" s="165"/>
      <c r="B31" s="166"/>
      <c r="C31" s="165"/>
      <c r="D31" s="165"/>
      <c r="E31" s="165"/>
      <c r="F31" s="165"/>
      <c r="G31" s="165"/>
      <c r="H31" s="165"/>
      <c r="I31" s="165"/>
      <c r="J31" s="165"/>
    </row>
    <row r="32" spans="1:13" s="168" customFormat="1" ht="99.95" hidden="1" customHeight="1">
      <c r="A32" s="165"/>
      <c r="B32" s="166"/>
      <c r="C32" s="165"/>
      <c r="D32" s="165"/>
      <c r="E32" s="165"/>
      <c r="F32" s="165"/>
      <c r="G32" s="165"/>
      <c r="H32" s="165"/>
      <c r="I32" s="165"/>
      <c r="J32" s="165"/>
    </row>
    <row r="33" spans="1:13" s="168" customFormat="1" ht="40.15" hidden="1" customHeight="1">
      <c r="A33" s="165"/>
      <c r="B33" s="166"/>
      <c r="C33" s="165"/>
      <c r="D33" s="165"/>
      <c r="E33" s="165"/>
      <c r="F33" s="165"/>
      <c r="G33" s="165"/>
      <c r="H33" s="165"/>
      <c r="I33" s="165"/>
      <c r="J33" s="165"/>
    </row>
    <row r="34" spans="1:13" s="168" customFormat="1" ht="40.15" hidden="1" customHeight="1">
      <c r="A34" s="165"/>
      <c r="B34" s="166"/>
      <c r="C34" s="165"/>
      <c r="D34" s="165"/>
      <c r="E34" s="165"/>
      <c r="F34" s="165"/>
      <c r="G34" s="165"/>
      <c r="H34" s="165"/>
      <c r="I34" s="165"/>
      <c r="J34" s="165"/>
    </row>
    <row r="35" spans="1:13" s="168" customFormat="1" ht="75" hidden="1" customHeight="1">
      <c r="A35" s="165"/>
      <c r="B35" s="166"/>
      <c r="C35" s="165"/>
      <c r="D35" s="165"/>
      <c r="E35" s="165"/>
      <c r="F35" s="165"/>
      <c r="G35" s="165"/>
      <c r="H35" s="165"/>
      <c r="I35" s="165"/>
      <c r="J35" s="165"/>
    </row>
    <row r="36" spans="1:13" s="168" customFormat="1" ht="40.15" hidden="1" customHeight="1">
      <c r="A36" s="165"/>
      <c r="B36" s="166"/>
      <c r="C36" s="165"/>
      <c r="D36" s="165"/>
      <c r="E36" s="165"/>
      <c r="F36" s="165"/>
      <c r="G36" s="165"/>
      <c r="H36" s="165"/>
      <c r="I36" s="165"/>
      <c r="J36" s="165"/>
      <c r="M36" s="171"/>
    </row>
    <row r="37" spans="1:13" s="168" customFormat="1" ht="40.15" hidden="1" customHeight="1">
      <c r="A37" s="165"/>
      <c r="B37" s="166"/>
      <c r="C37" s="165"/>
      <c r="D37" s="165"/>
      <c r="E37" s="165"/>
      <c r="F37" s="165"/>
      <c r="G37" s="165"/>
      <c r="H37" s="165"/>
      <c r="I37" s="165"/>
      <c r="J37" s="165"/>
    </row>
    <row r="38" spans="1:13" s="168" customFormat="1" ht="40.15" hidden="1" customHeight="1">
      <c r="A38" s="165"/>
      <c r="B38" s="166"/>
      <c r="C38" s="165"/>
      <c r="D38" s="165"/>
      <c r="E38" s="165"/>
      <c r="F38" s="165"/>
      <c r="G38" s="165"/>
      <c r="H38" s="165"/>
      <c r="I38" s="165"/>
      <c r="J38" s="165"/>
    </row>
    <row r="39" spans="1:13" s="168" customFormat="1" ht="40.15" hidden="1" customHeight="1">
      <c r="A39" s="165"/>
      <c r="B39" s="166"/>
      <c r="C39" s="165"/>
      <c r="D39" s="165"/>
      <c r="E39" s="165"/>
      <c r="F39" s="165"/>
      <c r="G39" s="165"/>
      <c r="H39" s="165"/>
      <c r="I39" s="165"/>
      <c r="J39" s="165"/>
    </row>
    <row r="40" spans="1:13" s="168" customFormat="1" ht="40.15" hidden="1" customHeight="1">
      <c r="A40" s="165"/>
      <c r="B40" s="166"/>
      <c r="C40" s="165"/>
      <c r="D40" s="165"/>
      <c r="E40" s="165"/>
      <c r="F40" s="165"/>
      <c r="G40" s="165"/>
      <c r="H40" s="165"/>
      <c r="I40" s="165"/>
      <c r="J40" s="165"/>
    </row>
    <row r="41" spans="1:13" s="168" customFormat="1" ht="40.15" hidden="1" customHeight="1">
      <c r="A41" s="165"/>
      <c r="B41" s="166"/>
      <c r="C41" s="165"/>
      <c r="D41" s="165"/>
      <c r="E41" s="165"/>
      <c r="F41" s="165"/>
      <c r="G41" s="165"/>
      <c r="H41" s="165"/>
      <c r="I41" s="165"/>
      <c r="J41" s="165"/>
    </row>
    <row r="42" spans="1:13" s="168" customFormat="1" ht="40.15" hidden="1" customHeight="1">
      <c r="A42" s="165"/>
      <c r="B42" s="166"/>
      <c r="C42" s="165"/>
      <c r="D42" s="165"/>
      <c r="E42" s="165"/>
      <c r="F42" s="165"/>
      <c r="G42" s="165"/>
      <c r="H42" s="165"/>
      <c r="I42" s="165"/>
      <c r="J42" s="165"/>
    </row>
    <row r="43" spans="1:13" s="168" customFormat="1" ht="40.15" hidden="1" customHeight="1">
      <c r="A43" s="165"/>
      <c r="B43" s="166"/>
      <c r="C43" s="165"/>
      <c r="D43" s="165"/>
      <c r="E43" s="165"/>
      <c r="F43" s="165"/>
      <c r="G43" s="165"/>
      <c r="H43" s="165"/>
      <c r="I43" s="165"/>
      <c r="J43" s="165"/>
    </row>
  </sheetData>
  <mergeCells count="11">
    <mergeCell ref="C8:J11"/>
    <mergeCell ref="C12:J12"/>
    <mergeCell ref="C13:E13"/>
    <mergeCell ref="C14:J14"/>
    <mergeCell ref="C15:J15"/>
    <mergeCell ref="C7:J7"/>
    <mergeCell ref="A1:J1"/>
    <mergeCell ref="A2:J2"/>
    <mergeCell ref="A3:J3"/>
    <mergeCell ref="C5:J5"/>
    <mergeCell ref="C6:J6"/>
  </mergeCells>
  <phoneticPr fontId="34" type="noConversion"/>
  <printOptions horizontalCentered="1"/>
  <pageMargins left="0.25" right="0.25" top="0.75" bottom="0.75" header="0.3" footer="0.3"/>
  <pageSetup paperSize="9" scale="61"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R63"/>
  <sheetViews>
    <sheetView view="pageBreakPreview" zoomScale="85" zoomScaleNormal="100" zoomScaleSheetLayoutView="85" workbookViewId="0">
      <selection activeCell="A6" sqref="A6:H6"/>
    </sheetView>
  </sheetViews>
  <sheetFormatPr defaultColWidth="8.88671875" defaultRowHeight="14.25"/>
  <cols>
    <col min="1" max="1" width="11.34375" style="73" customWidth="1"/>
    <col min="2" max="2" width="28.65234375" style="73" customWidth="1"/>
    <col min="3" max="3" width="39.05859375" style="224" bestFit="1" customWidth="1"/>
    <col min="4" max="4" width="10.7578125" style="253" customWidth="1"/>
    <col min="5" max="5" width="7.3671875" style="78" customWidth="1"/>
    <col min="6" max="7" width="22.8046875" style="252" customWidth="1"/>
    <col min="8" max="8" width="49.46875" style="73" customWidth="1"/>
    <col min="9" max="10" width="8.88671875" style="224"/>
    <col min="11" max="16384" width="8.88671875" style="73"/>
  </cols>
  <sheetData>
    <row r="1" spans="1:10" s="219" customFormat="1">
      <c r="C1" s="220"/>
      <c r="D1" s="221"/>
      <c r="E1" s="222"/>
      <c r="G1" s="73"/>
      <c r="H1" s="152"/>
      <c r="I1" s="220"/>
      <c r="J1" s="220"/>
    </row>
    <row r="2" spans="1:10" s="219" customFormat="1">
      <c r="C2" s="220"/>
      <c r="D2" s="221"/>
      <c r="E2" s="222"/>
      <c r="G2" s="73"/>
      <c r="H2" s="152"/>
      <c r="I2" s="220"/>
      <c r="J2" s="220"/>
    </row>
    <row r="3" spans="1:10" s="219" customFormat="1">
      <c r="C3" s="220"/>
      <c r="D3" s="221"/>
      <c r="E3" s="222"/>
      <c r="G3" s="73"/>
      <c r="H3" s="152"/>
      <c r="I3" s="220"/>
      <c r="J3" s="220"/>
    </row>
    <row r="4" spans="1:10" s="219" customFormat="1">
      <c r="C4" s="220"/>
      <c r="D4" s="221"/>
      <c r="E4" s="222"/>
      <c r="G4" s="73"/>
      <c r="H4" s="152"/>
      <c r="I4" s="220"/>
      <c r="J4" s="220"/>
    </row>
    <row r="5" spans="1:10" s="219" customFormat="1">
      <c r="C5" s="220"/>
      <c r="D5" s="221"/>
      <c r="E5" s="222"/>
      <c r="G5" s="223"/>
      <c r="H5" s="152"/>
      <c r="I5" s="220"/>
      <c r="J5" s="220"/>
    </row>
    <row r="6" spans="1:10" ht="35.25" customHeight="1">
      <c r="A6" s="397" t="s">
        <v>223</v>
      </c>
      <c r="B6" s="397"/>
      <c r="C6" s="397"/>
      <c r="D6" s="397"/>
      <c r="E6" s="397"/>
      <c r="F6" s="397"/>
      <c r="G6" s="397"/>
      <c r="H6" s="397"/>
    </row>
    <row r="7" spans="1:10" s="142" customFormat="1" ht="20.25" customHeight="1" thickBot="1">
      <c r="A7" s="225" t="s">
        <v>224</v>
      </c>
      <c r="B7" s="351" t="str">
        <f>'Commercial Invoice'!H5</f>
        <v>OM4-DE-IS-0003</v>
      </c>
      <c r="C7" s="352"/>
      <c r="D7" s="353"/>
      <c r="E7" s="354"/>
      <c r="F7" s="227"/>
      <c r="G7" s="227"/>
      <c r="I7" s="226"/>
      <c r="J7" s="226"/>
    </row>
    <row r="8" spans="1:10" s="229" customFormat="1" ht="21.95" customHeight="1">
      <c r="A8" s="535" t="s">
        <v>225</v>
      </c>
      <c r="B8" s="537" t="s">
        <v>226</v>
      </c>
      <c r="C8" s="537" t="s">
        <v>227</v>
      </c>
      <c r="D8" s="539" t="s">
        <v>228</v>
      </c>
      <c r="E8" s="540"/>
      <c r="F8" s="541" t="s">
        <v>229</v>
      </c>
      <c r="G8" s="542"/>
      <c r="H8" s="543" t="s">
        <v>230</v>
      </c>
      <c r="I8" s="228"/>
      <c r="J8" s="228"/>
    </row>
    <row r="9" spans="1:10" s="229" customFormat="1" ht="21.95" customHeight="1">
      <c r="A9" s="536"/>
      <c r="B9" s="538"/>
      <c r="C9" s="538"/>
      <c r="D9" s="355" t="s">
        <v>231</v>
      </c>
      <c r="E9" s="356" t="s">
        <v>232</v>
      </c>
      <c r="F9" s="230" t="s">
        <v>233</v>
      </c>
      <c r="G9" s="230" t="s">
        <v>234</v>
      </c>
      <c r="H9" s="544"/>
      <c r="I9" s="228"/>
      <c r="J9" s="228"/>
    </row>
    <row r="10" spans="1:10" s="236" customFormat="1" ht="208.35" customHeight="1">
      <c r="A10" s="231">
        <v>1</v>
      </c>
      <c r="B10" s="357" t="str">
        <f>'PL(2_2)'!C15</f>
        <v>OM4-DE-IS-0003-001</v>
      </c>
      <c r="C10" s="358" t="str">
        <f>'PL(2_2)'!D15</f>
        <v>PVC Conduit</v>
      </c>
      <c r="D10" s="359">
        <f>'PL(2_2)'!F15</f>
        <v>150</v>
      </c>
      <c r="E10" s="360" t="str">
        <f>'PL(2_2)'!G15</f>
        <v>EA</v>
      </c>
      <c r="F10" s="232"/>
      <c r="G10" s="232"/>
      <c r="H10" s="233"/>
      <c r="I10" s="234"/>
      <c r="J10" s="235"/>
    </row>
    <row r="11" spans="1:10" ht="208.35" customHeight="1">
      <c r="A11" s="231">
        <v>2</v>
      </c>
      <c r="B11" s="357" t="str">
        <f>'PL(2_2)'!C16</f>
        <v>OM4-DE-IS-0003-002</v>
      </c>
      <c r="C11" s="358" t="str">
        <f>'PL(2_2)'!D16</f>
        <v>PVC Conduit</v>
      </c>
      <c r="D11" s="359">
        <f>'PL(2_2)'!F16</f>
        <v>150</v>
      </c>
      <c r="E11" s="360" t="str">
        <f>'PL(2_2)'!G16</f>
        <v>EA</v>
      </c>
      <c r="F11" s="237"/>
      <c r="G11" s="237"/>
      <c r="H11" s="233"/>
    </row>
    <row r="12" spans="1:10" ht="208.35" customHeight="1">
      <c r="A12" s="231">
        <v>3</v>
      </c>
      <c r="B12" s="357" t="str">
        <f>'PL(2_2)'!C17</f>
        <v>OM4-DE-IS-0003-003</v>
      </c>
      <c r="C12" s="358" t="str">
        <f>'PL(2_2)'!D17</f>
        <v>PVC Conduit</v>
      </c>
      <c r="D12" s="359">
        <f>'PL(2_2)'!F17</f>
        <v>150</v>
      </c>
      <c r="E12" s="360" t="str">
        <f>'PL(2_2)'!G17</f>
        <v>EA</v>
      </c>
      <c r="F12" s="238"/>
      <c r="G12" s="238"/>
      <c r="H12" s="233"/>
    </row>
    <row r="13" spans="1:10" s="236" customFormat="1" ht="208.35" customHeight="1">
      <c r="A13" s="231">
        <v>4</v>
      </c>
      <c r="B13" s="357" t="str">
        <f>'PL(2_2)'!C18</f>
        <v>OM4-DE-IS-0003-004</v>
      </c>
      <c r="C13" s="358" t="str">
        <f>'PL(2_2)'!D18</f>
        <v>PVC Conduit</v>
      </c>
      <c r="D13" s="359">
        <f>'PL(2_2)'!F18</f>
        <v>150</v>
      </c>
      <c r="E13" s="360" t="str">
        <f>'PL(2_2)'!G18</f>
        <v>EA</v>
      </c>
      <c r="F13" s="232"/>
      <c r="G13" s="232"/>
      <c r="H13" s="233"/>
      <c r="I13" s="234"/>
      <c r="J13" s="235"/>
    </row>
    <row r="14" spans="1:10" ht="208.35" customHeight="1">
      <c r="A14" s="231">
        <v>5</v>
      </c>
      <c r="B14" s="357" t="str">
        <f>'PL(2_2)'!C19</f>
        <v>OM4-DE-IS-0003-005</v>
      </c>
      <c r="C14" s="358" t="str">
        <f>'PL(2_2)'!D19</f>
        <v>PVC Conduit</v>
      </c>
      <c r="D14" s="359">
        <f>'PL(2_2)'!F19</f>
        <v>150</v>
      </c>
      <c r="E14" s="360" t="str">
        <f>'PL(2_2)'!G19</f>
        <v>EA</v>
      </c>
      <c r="F14" s="237"/>
      <c r="G14" s="237"/>
      <c r="H14" s="233"/>
    </row>
    <row r="15" spans="1:10" ht="208.35" customHeight="1">
      <c r="A15" s="231">
        <v>6</v>
      </c>
      <c r="B15" s="357" t="str">
        <f>'PL(2_2)'!C20</f>
        <v>OM4-DE-IS-0003-006</v>
      </c>
      <c r="C15" s="358" t="str">
        <f>'PL(2_2)'!D20</f>
        <v>PVC Conduit</v>
      </c>
      <c r="D15" s="359">
        <f>'PL(2_2)'!F20</f>
        <v>150</v>
      </c>
      <c r="E15" s="360" t="str">
        <f>'PL(2_2)'!G20</f>
        <v>EA</v>
      </c>
      <c r="F15" s="238"/>
      <c r="G15" s="238"/>
      <c r="H15" s="233"/>
    </row>
    <row r="16" spans="1:10" s="236" customFormat="1" ht="208.35" customHeight="1">
      <c r="A16" s="231">
        <v>7</v>
      </c>
      <c r="B16" s="357" t="str">
        <f>'PL(2_2)'!C21</f>
        <v>OM4-DE-IS-0003-007</v>
      </c>
      <c r="C16" s="358" t="str">
        <f>'PL(2_2)'!D21</f>
        <v>PVC Conduit</v>
      </c>
      <c r="D16" s="359">
        <f>'PL(2_2)'!F21</f>
        <v>100</v>
      </c>
      <c r="E16" s="360" t="str">
        <f>'PL(2_2)'!G21</f>
        <v>EA</v>
      </c>
      <c r="F16" s="232"/>
      <c r="G16" s="232"/>
      <c r="H16" s="233"/>
      <c r="I16" s="234"/>
      <c r="J16" s="235"/>
    </row>
    <row r="17" spans="1:10" ht="208.35" customHeight="1">
      <c r="A17" s="231">
        <v>8</v>
      </c>
      <c r="B17" s="357" t="str">
        <f>'PL(2_2)'!C22</f>
        <v>OM4-DE-IS-0003-008</v>
      </c>
      <c r="C17" s="358" t="str">
        <f>'PL(2_2)'!D22</f>
        <v>PVC Conduit</v>
      </c>
      <c r="D17" s="359">
        <f>'PL(2_2)'!F22</f>
        <v>100</v>
      </c>
      <c r="E17" s="360" t="str">
        <f>'PL(2_2)'!G22</f>
        <v>EA</v>
      </c>
      <c r="F17" s="237"/>
      <c r="G17" s="237"/>
      <c r="H17" s="233"/>
    </row>
    <row r="18" spans="1:10" ht="208.35" customHeight="1">
      <c r="A18" s="231">
        <v>9</v>
      </c>
      <c r="B18" s="357" t="str">
        <f>'PL(2_2)'!C23</f>
        <v>OM4-DE-IS-0003-009</v>
      </c>
      <c r="C18" s="358" t="str">
        <f>'PL(2_2)'!D23</f>
        <v>PVC Conduit</v>
      </c>
      <c r="D18" s="359">
        <f>'PL(2_2)'!F23</f>
        <v>550</v>
      </c>
      <c r="E18" s="360" t="str">
        <f>'PL(2_2)'!G23</f>
        <v>EA</v>
      </c>
      <c r="F18" s="238"/>
      <c r="G18" s="238"/>
      <c r="H18" s="233"/>
    </row>
    <row r="19" spans="1:10" ht="208.35" customHeight="1">
      <c r="A19" s="231">
        <v>10</v>
      </c>
      <c r="B19" s="357" t="str">
        <f>'PL(2_2)'!C24</f>
        <v>OM4-DE-IS-0003-010</v>
      </c>
      <c r="C19" s="358" t="str">
        <f>'PL(2_2)'!D24</f>
        <v>CONDUIT FITTINGS (PVC Normal Bend, End bell, PVC COUPLING)</v>
      </c>
      <c r="D19" s="359">
        <f>'PL(2_2)'!F24</f>
        <v>1640</v>
      </c>
      <c r="E19" s="360" t="str">
        <f>'PL(2_2)'!G24</f>
        <v>EA</v>
      </c>
      <c r="F19" s="238"/>
      <c r="G19" s="238"/>
      <c r="H19" s="233"/>
    </row>
    <row r="20" spans="1:10" ht="208.35" customHeight="1">
      <c r="A20" s="231">
        <v>11</v>
      </c>
      <c r="B20" s="357" t="str">
        <f>'PL(2_2)'!C25</f>
        <v>OM4-DE-IS-0003-011</v>
      </c>
      <c r="C20" s="358" t="str">
        <f>'PL(2_2)'!D25</f>
        <v>CONDUIT FITTINGS (PVC COUPLING)</v>
      </c>
      <c r="D20" s="359">
        <f>'PL(2_2)'!F25</f>
        <v>1300</v>
      </c>
      <c r="E20" s="360" t="str">
        <f>'PL(2_2)'!G25</f>
        <v>EA</v>
      </c>
      <c r="F20" s="238"/>
      <c r="G20" s="238"/>
      <c r="H20" s="233"/>
    </row>
    <row r="21" spans="1:10" ht="208.35" customHeight="1">
      <c r="A21" s="231">
        <v>12</v>
      </c>
      <c r="B21" s="357" t="str">
        <f>'PL(2_2)'!C26</f>
        <v>OM4-DE-IS-0003-012</v>
      </c>
      <c r="C21" s="358" t="str">
        <f>'PL(2_2)'!D26</f>
        <v>CONDUIT FITTINGS (PVC Spacer, End Bell, Warning Tape)</v>
      </c>
      <c r="D21" s="359">
        <f>'PL(2_2)'!F26</f>
        <v>3805</v>
      </c>
      <c r="E21" s="360" t="str">
        <f>'PL(2_2)'!G26</f>
        <v>EA</v>
      </c>
      <c r="F21" s="238"/>
      <c r="G21" s="238"/>
      <c r="H21" s="233"/>
    </row>
    <row r="22" spans="1:10" ht="208.35" customHeight="1">
      <c r="A22" s="231">
        <v>13</v>
      </c>
      <c r="B22" s="357" t="str">
        <f>'PL(2_2)'!C27</f>
        <v>OM4-DE-IS-0003-013</v>
      </c>
      <c r="C22" s="358" t="str">
        <f>'PL(2_2)'!D27</f>
        <v>PVC Conduit</v>
      </c>
      <c r="D22" s="359">
        <f>'PL(2_2)'!F27</f>
        <v>251</v>
      </c>
      <c r="E22" s="360" t="str">
        <f>'PL(2_2)'!G27</f>
        <v>EA</v>
      </c>
      <c r="F22" s="238"/>
      <c r="G22" s="238"/>
      <c r="H22" s="233"/>
    </row>
    <row r="23" spans="1:10" ht="208.35" customHeight="1" thickBot="1">
      <c r="A23" s="231">
        <v>14</v>
      </c>
      <c r="B23" s="357" t="str">
        <f>'PL(2_2)'!C28</f>
        <v>OM4-DE-IS-0003-014</v>
      </c>
      <c r="C23" s="358" t="str">
        <f>'PL(2_2)'!D28</f>
        <v>CONDUIT FITTINGS</v>
      </c>
      <c r="D23" s="359">
        <f>'PL(2_2)'!F28</f>
        <v>1162</v>
      </c>
      <c r="E23" s="360" t="str">
        <f>'PL(2_2)'!G28</f>
        <v>EA</v>
      </c>
      <c r="F23" s="238"/>
      <c r="G23" s="238"/>
      <c r="H23" s="233"/>
    </row>
    <row r="24" spans="1:10" s="239" customFormat="1" ht="29.25" customHeight="1">
      <c r="D24" s="240"/>
      <c r="E24" s="241"/>
      <c r="F24" s="242"/>
      <c r="G24" s="243"/>
      <c r="H24" s="244"/>
      <c r="I24" s="245"/>
      <c r="J24" s="245"/>
    </row>
    <row r="25" spans="1:10" s="219" customFormat="1" ht="12" customHeight="1">
      <c r="B25" s="222"/>
      <c r="D25" s="246"/>
      <c r="E25" s="222"/>
      <c r="F25" s="247"/>
      <c r="G25" s="247"/>
      <c r="H25" s="248"/>
      <c r="I25" s="220"/>
      <c r="J25" s="220"/>
    </row>
    <row r="26" spans="1:10" s="219" customFormat="1" ht="18" customHeight="1">
      <c r="B26" s="222"/>
      <c r="D26" s="246"/>
      <c r="E26" s="222"/>
      <c r="F26" s="247"/>
      <c r="G26" s="247"/>
      <c r="H26" s="248"/>
      <c r="I26" s="220"/>
      <c r="J26" s="220"/>
    </row>
    <row r="27" spans="1:10" s="219" customFormat="1" ht="12" customHeight="1">
      <c r="B27" s="222"/>
      <c r="D27" s="246"/>
      <c r="E27" s="222"/>
      <c r="F27" s="247"/>
      <c r="G27" s="247"/>
      <c r="H27" s="248"/>
      <c r="I27" s="220"/>
      <c r="J27" s="220"/>
    </row>
    <row r="28" spans="1:10" s="219" customFormat="1" ht="12" customHeight="1">
      <c r="B28" s="222"/>
      <c r="D28" s="246"/>
      <c r="E28" s="222"/>
      <c r="F28" s="247"/>
      <c r="G28" s="247"/>
      <c r="H28" s="248"/>
      <c r="I28" s="220"/>
      <c r="J28" s="220"/>
    </row>
    <row r="29" spans="1:10" s="219" customFormat="1" ht="12" customHeight="1">
      <c r="B29" s="222"/>
      <c r="D29" s="246"/>
      <c r="E29" s="222"/>
      <c r="F29" s="247"/>
      <c r="G29" s="247"/>
      <c r="H29" s="248"/>
      <c r="I29" s="220"/>
      <c r="J29" s="220"/>
    </row>
    <row r="30" spans="1:10" s="219" customFormat="1" ht="12" customHeight="1">
      <c r="B30" s="222"/>
      <c r="D30" s="246"/>
      <c r="E30" s="222"/>
      <c r="F30" s="247"/>
      <c r="G30" s="247"/>
      <c r="H30" s="248"/>
      <c r="I30" s="220"/>
      <c r="J30" s="220"/>
    </row>
    <row r="31" spans="1:10" s="219" customFormat="1" ht="12" customHeight="1">
      <c r="B31" s="222"/>
      <c r="D31" s="246"/>
      <c r="E31" s="222"/>
      <c r="F31" s="247"/>
      <c r="G31" s="247"/>
      <c r="H31" s="248"/>
      <c r="I31" s="220"/>
      <c r="J31" s="220"/>
    </row>
    <row r="32" spans="1:10" s="219" customFormat="1" ht="13.5" customHeight="1">
      <c r="B32" s="222"/>
      <c r="D32" s="246"/>
      <c r="E32" s="222"/>
      <c r="F32" s="247"/>
      <c r="G32" s="247"/>
      <c r="H32" s="248"/>
      <c r="I32" s="220"/>
      <c r="J32" s="220"/>
    </row>
    <row r="33" spans="2:10" s="219" customFormat="1" ht="13.5" customHeight="1">
      <c r="B33" s="222"/>
      <c r="D33" s="246"/>
      <c r="E33" s="222"/>
      <c r="F33" s="247"/>
      <c r="G33" s="247"/>
      <c r="H33" s="248"/>
      <c r="I33" s="220"/>
      <c r="J33" s="220"/>
    </row>
    <row r="34" spans="2:10" s="219" customFormat="1" ht="13.5" customHeight="1">
      <c r="B34" s="222"/>
      <c r="D34" s="246"/>
      <c r="E34" s="222"/>
      <c r="F34" s="247"/>
      <c r="G34" s="247"/>
      <c r="H34" s="248"/>
      <c r="I34" s="220"/>
      <c r="J34" s="220"/>
    </row>
    <row r="35" spans="2:10" s="219" customFormat="1" ht="29.25" customHeight="1">
      <c r="B35" s="222"/>
      <c r="D35" s="246"/>
      <c r="E35" s="222"/>
      <c r="F35" s="247"/>
      <c r="G35" s="247"/>
      <c r="H35" s="248"/>
      <c r="I35" s="220"/>
      <c r="J35" s="220"/>
    </row>
    <row r="36" spans="2:10" s="219" customFormat="1" ht="13.5" customHeight="1">
      <c r="B36" s="222"/>
      <c r="D36" s="246"/>
      <c r="E36" s="222"/>
      <c r="F36" s="247"/>
      <c r="G36" s="247"/>
      <c r="H36" s="248"/>
      <c r="I36" s="220"/>
      <c r="J36" s="220"/>
    </row>
    <row r="37" spans="2:10" s="219" customFormat="1" ht="13.5" customHeight="1">
      <c r="B37" s="222"/>
      <c r="D37" s="246"/>
      <c r="E37" s="222"/>
      <c r="F37" s="247"/>
      <c r="G37" s="247"/>
      <c r="H37" s="248"/>
      <c r="I37" s="220"/>
      <c r="J37" s="220"/>
    </row>
    <row r="38" spans="2:10" s="219" customFormat="1" ht="13.5" customHeight="1">
      <c r="B38" s="222"/>
      <c r="D38" s="246"/>
      <c r="E38" s="222"/>
      <c r="F38" s="247"/>
      <c r="G38" s="247"/>
      <c r="H38" s="248"/>
      <c r="I38" s="220"/>
      <c r="J38" s="220"/>
    </row>
    <row r="39" spans="2:10" s="219" customFormat="1" ht="13.5" customHeight="1">
      <c r="B39" s="222"/>
      <c r="D39" s="246"/>
      <c r="E39" s="222"/>
      <c r="F39" s="247"/>
      <c r="G39" s="247"/>
      <c r="H39" s="248"/>
      <c r="I39" s="220"/>
      <c r="J39" s="220"/>
    </row>
    <row r="40" spans="2:10" s="219" customFormat="1" ht="13.5" customHeight="1">
      <c r="B40" s="222"/>
      <c r="D40" s="246"/>
      <c r="E40" s="222"/>
      <c r="F40" s="247"/>
      <c r="G40" s="247"/>
      <c r="H40" s="248"/>
      <c r="I40" s="220"/>
      <c r="J40" s="220"/>
    </row>
    <row r="41" spans="2:10" s="219" customFormat="1" ht="13.5" customHeight="1">
      <c r="B41" s="222"/>
      <c r="D41" s="246"/>
      <c r="E41" s="222"/>
      <c r="F41" s="247"/>
      <c r="G41" s="247"/>
      <c r="H41" s="248"/>
      <c r="I41" s="220"/>
      <c r="J41" s="220"/>
    </row>
    <row r="42" spans="2:10" s="219" customFormat="1" ht="13.5" customHeight="1">
      <c r="B42" s="222"/>
      <c r="D42" s="246"/>
      <c r="E42" s="222"/>
      <c r="F42" s="247"/>
      <c r="G42" s="247"/>
      <c r="H42" s="248"/>
      <c r="I42" s="220"/>
      <c r="J42" s="220"/>
    </row>
    <row r="43" spans="2:10" s="219" customFormat="1" ht="13.5" customHeight="1">
      <c r="B43" s="222"/>
      <c r="D43" s="246"/>
      <c r="E43" s="222"/>
      <c r="F43" s="247"/>
      <c r="G43" s="247"/>
      <c r="H43" s="248"/>
      <c r="I43" s="220"/>
      <c r="J43" s="220"/>
    </row>
    <row r="44" spans="2:10" s="219" customFormat="1" ht="13.5" customHeight="1">
      <c r="B44" s="222"/>
      <c r="D44" s="246"/>
      <c r="E44" s="222"/>
      <c r="F44" s="247"/>
      <c r="G44" s="247"/>
      <c r="H44" s="248"/>
      <c r="I44" s="220"/>
      <c r="J44" s="220"/>
    </row>
    <row r="45" spans="2:10" s="219" customFormat="1" ht="13.5" customHeight="1">
      <c r="B45" s="222"/>
      <c r="D45" s="246"/>
      <c r="E45" s="222"/>
      <c r="F45" s="247"/>
      <c r="G45" s="247"/>
      <c r="H45" s="248"/>
      <c r="I45" s="220"/>
      <c r="J45" s="220"/>
    </row>
    <row r="46" spans="2:10" s="219" customFormat="1" ht="13.5" customHeight="1">
      <c r="B46" s="222"/>
      <c r="D46" s="246"/>
      <c r="E46" s="222"/>
      <c r="F46" s="247"/>
      <c r="G46" s="247"/>
      <c r="H46" s="248"/>
      <c r="I46" s="220"/>
      <c r="J46" s="220"/>
    </row>
    <row r="47" spans="2:10" s="219" customFormat="1" ht="13.5" customHeight="1">
      <c r="B47" s="222"/>
      <c r="D47" s="246"/>
      <c r="E47" s="222"/>
      <c r="F47" s="247"/>
      <c r="G47" s="247"/>
      <c r="H47" s="248"/>
      <c r="I47" s="220"/>
      <c r="J47" s="220"/>
    </row>
    <row r="48" spans="2:10" s="219" customFormat="1" ht="13.5" customHeight="1">
      <c r="B48" s="222"/>
      <c r="D48" s="246"/>
      <c r="E48" s="222"/>
      <c r="F48" s="247"/>
      <c r="G48" s="247"/>
      <c r="H48" s="248"/>
      <c r="I48" s="220"/>
      <c r="J48" s="220"/>
    </row>
    <row r="49" spans="1:18" s="219" customFormat="1" ht="13.5" customHeight="1">
      <c r="B49" s="222"/>
      <c r="D49" s="246"/>
      <c r="E49" s="222"/>
      <c r="F49" s="247"/>
      <c r="G49" s="247"/>
      <c r="H49" s="248"/>
      <c r="I49" s="220"/>
      <c r="J49" s="220"/>
    </row>
    <row r="50" spans="1:18" s="219" customFormat="1" ht="13.5" customHeight="1">
      <c r="B50" s="222"/>
      <c r="D50" s="246"/>
      <c r="E50" s="222"/>
      <c r="F50" s="247"/>
      <c r="G50" s="247"/>
      <c r="H50" s="248"/>
      <c r="I50" s="220"/>
      <c r="J50" s="220"/>
    </row>
    <row r="51" spans="1:18" s="219" customFormat="1" ht="13.5" customHeight="1">
      <c r="B51" s="222"/>
      <c r="D51" s="246"/>
      <c r="E51" s="222"/>
      <c r="F51" s="247"/>
      <c r="G51" s="247"/>
      <c r="H51" s="248"/>
      <c r="I51" s="220"/>
      <c r="J51" s="220"/>
    </row>
    <row r="52" spans="1:18" s="219" customFormat="1" ht="13.5" customHeight="1">
      <c r="B52" s="222"/>
      <c r="D52" s="246"/>
      <c r="E52" s="222"/>
      <c r="F52" s="247"/>
      <c r="G52" s="247"/>
      <c r="H52" s="248"/>
      <c r="I52" s="220"/>
      <c r="J52" s="220"/>
    </row>
    <row r="53" spans="1:18" s="219" customFormat="1" ht="13.5" customHeight="1">
      <c r="B53" s="222"/>
      <c r="D53" s="246"/>
      <c r="E53" s="222"/>
      <c r="F53" s="247"/>
      <c r="G53" s="247"/>
      <c r="H53" s="248"/>
      <c r="I53" s="220"/>
      <c r="J53" s="220"/>
    </row>
    <row r="54" spans="1:18" s="219" customFormat="1" ht="13.5" customHeight="1">
      <c r="B54" s="222"/>
      <c r="D54" s="246"/>
      <c r="E54" s="222"/>
      <c r="F54" s="247"/>
      <c r="G54" s="247"/>
      <c r="H54" s="248"/>
      <c r="I54" s="220"/>
      <c r="J54" s="220"/>
    </row>
    <row r="55" spans="1:18" s="219" customFormat="1" ht="13.5" customHeight="1">
      <c r="B55" s="222"/>
      <c r="D55" s="246"/>
      <c r="E55" s="222"/>
      <c r="F55" s="247"/>
      <c r="G55" s="247"/>
      <c r="H55" s="248"/>
      <c r="I55" s="220"/>
      <c r="J55" s="220"/>
    </row>
    <row r="56" spans="1:18" s="219" customFormat="1" ht="13.5" customHeight="1">
      <c r="B56" s="222"/>
      <c r="D56" s="249"/>
      <c r="E56" s="222"/>
      <c r="F56" s="247"/>
      <c r="G56" s="247"/>
      <c r="H56" s="248"/>
      <c r="I56" s="220"/>
      <c r="J56" s="220"/>
    </row>
    <row r="57" spans="1:18" s="219" customFormat="1" ht="22.5" customHeight="1">
      <c r="B57" s="534"/>
      <c r="C57" s="534"/>
      <c r="D57" s="249"/>
      <c r="E57" s="222"/>
      <c r="F57" s="250"/>
      <c r="G57" s="250"/>
      <c r="H57" s="248"/>
      <c r="I57" s="220"/>
      <c r="J57" s="220"/>
    </row>
    <row r="58" spans="1:18">
      <c r="D58" s="251"/>
    </row>
    <row r="59" spans="1:18">
      <c r="D59" s="251"/>
    </row>
    <row r="60" spans="1:18" s="224" customFormat="1">
      <c r="A60" s="73"/>
      <c r="B60" s="73"/>
      <c r="D60" s="251"/>
      <c r="E60" s="78"/>
      <c r="F60" s="252"/>
      <c r="G60" s="252"/>
      <c r="H60" s="73"/>
      <c r="K60" s="73"/>
      <c r="L60" s="73"/>
      <c r="M60" s="73"/>
      <c r="N60" s="73"/>
      <c r="O60" s="73"/>
      <c r="P60" s="73"/>
      <c r="Q60" s="73"/>
      <c r="R60" s="73"/>
    </row>
    <row r="61" spans="1:18" s="224" customFormat="1">
      <c r="A61" s="73"/>
      <c r="B61" s="73"/>
      <c r="D61" s="251"/>
      <c r="E61" s="78"/>
      <c r="F61" s="252"/>
      <c r="G61" s="252"/>
      <c r="H61" s="73"/>
      <c r="K61" s="73"/>
      <c r="L61" s="73"/>
      <c r="M61" s="73"/>
      <c r="N61" s="73"/>
      <c r="O61" s="73"/>
      <c r="P61" s="73"/>
      <c r="Q61" s="73"/>
      <c r="R61" s="73"/>
    </row>
    <row r="62" spans="1:18" s="224" customFormat="1">
      <c r="A62" s="73"/>
      <c r="B62" s="73"/>
      <c r="D62" s="251"/>
      <c r="E62" s="78"/>
      <c r="F62" s="252"/>
      <c r="G62" s="252"/>
      <c r="H62" s="73"/>
      <c r="K62" s="73"/>
      <c r="L62" s="73"/>
      <c r="M62" s="73"/>
      <c r="N62" s="73"/>
      <c r="O62" s="73"/>
      <c r="P62" s="73"/>
      <c r="Q62" s="73"/>
      <c r="R62" s="73"/>
    </row>
    <row r="63" spans="1:18" s="224" customFormat="1">
      <c r="A63" s="73"/>
      <c r="B63" s="73"/>
      <c r="D63" s="251"/>
      <c r="E63" s="78"/>
      <c r="F63" s="252"/>
      <c r="G63" s="252"/>
      <c r="H63" s="73"/>
      <c r="K63" s="73"/>
      <c r="L63" s="73"/>
      <c r="M63" s="73"/>
      <c r="N63" s="73"/>
      <c r="O63" s="73"/>
      <c r="P63" s="73"/>
      <c r="Q63" s="73"/>
      <c r="R63" s="73"/>
    </row>
  </sheetData>
  <protectedRanges>
    <protectedRange sqref="F24 C10:H23" name="범위1_1"/>
  </protectedRanges>
  <autoFilter ref="A8:H23" xr:uid="{00000000-0009-0000-0000-000016000000}"/>
  <mergeCells count="8">
    <mergeCell ref="B57:C57"/>
    <mergeCell ref="A6:H6"/>
    <mergeCell ref="A8:A9"/>
    <mergeCell ref="B8:B9"/>
    <mergeCell ref="C8:C9"/>
    <mergeCell ref="D8:E8"/>
    <mergeCell ref="F8:G8"/>
    <mergeCell ref="H8:H9"/>
  </mergeCells>
  <phoneticPr fontId="34" type="noConversion"/>
  <printOptions horizontalCentered="1"/>
  <pageMargins left="0.39370078740157483" right="0.39370078740157483" top="0.39370078740157483" bottom="0.39370078740157483" header="0.23622047244094491" footer="0.23622047244094491"/>
  <pageSetup paperSize="9" scale="62" fitToHeight="0" orientation="landscape" r:id="rId1"/>
  <headerFooter alignWithMargins="0">
    <oddFooter>&amp;C&amp;"Calibri,보통"&amp;12Doosan Enerbility</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F0"/>
  </sheetPr>
  <dimension ref="A1"/>
  <sheetViews>
    <sheetView workbookViewId="0">
      <selection activeCell="K32" sqref="K32"/>
    </sheetView>
  </sheetViews>
  <sheetFormatPr defaultRowHeight="13.5"/>
  <sheetData/>
  <phoneticPr fontId="34"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70C0"/>
  </sheetPr>
  <dimension ref="A1"/>
  <sheetViews>
    <sheetView workbookViewId="0">
      <selection activeCell="K19" sqref="K19"/>
    </sheetView>
  </sheetViews>
  <sheetFormatPr defaultRowHeight="13.5"/>
  <sheetData/>
  <phoneticPr fontId="34"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2060"/>
  </sheetPr>
  <dimension ref="I3"/>
  <sheetViews>
    <sheetView workbookViewId="0">
      <selection activeCell="I17" sqref="I17"/>
    </sheetView>
  </sheetViews>
  <sheetFormatPr defaultRowHeight="13.5"/>
  <cols>
    <col min="9" max="9" width="80.80859375" customWidth="1"/>
  </cols>
  <sheetData>
    <row r="3" spans="9:9" ht="57">
      <c r="I3" s="181" t="s">
        <v>112</v>
      </c>
    </row>
  </sheetData>
  <phoneticPr fontId="34"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
  <sheetViews>
    <sheetView workbookViewId="0">
      <selection activeCell="L15" sqref="L15"/>
    </sheetView>
  </sheetViews>
  <sheetFormatPr defaultRowHeight="13.5"/>
  <sheetData>
    <row r="2" ht="24" customHeight="1"/>
  </sheetData>
  <phoneticPr fontId="34"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773B10CB8FFDF9469F3E3F484CB15F17" ma:contentTypeVersion="20" ma:contentTypeDescription="새 문서를 만듭니다." ma:contentTypeScope="" ma:versionID="73e5e41b4b986c1cf42ade4961a7bdbd">
  <xsd:schema xmlns:xsd="http://www.w3.org/2001/XMLSchema" xmlns:xs="http://www.w3.org/2001/XMLSchema" xmlns:p="http://schemas.microsoft.com/office/2006/metadata/properties" xmlns:ns2="06cf42de-094b-45c2-a264-a0f407601353" xmlns:ns3="86aeacc3-1195-4c69-a7a8-7b800422657c" targetNamespace="http://schemas.microsoft.com/office/2006/metadata/properties" ma:root="true" ma:fieldsID="158e53829ec77a1b006a5ab316311990" ns2:_="" ns3:_="">
    <xsd:import namespace="06cf42de-094b-45c2-a264-a0f407601353"/>
    <xsd:import namespace="86aeacc3-1195-4c69-a7a8-7b80042265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_Flow_SignoffStatu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cf42de-094b-45c2-a264-a0f4076013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description="" ma:indexed="true"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이미지 태그" ma:readOnly="false" ma:fieldId="{5cf76f15-5ced-4ddc-b409-7134ff3c332f}" ma:taxonomyMulti="true" ma:sspId="c8a7d0b2-06ec-47a5-9bd5-a2ea2905d2b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6aeacc3-1195-4c69-a7a8-7b800422657c" elementFormDefault="qualified">
    <xsd:import namespace="http://schemas.microsoft.com/office/2006/documentManagement/types"/>
    <xsd:import namespace="http://schemas.microsoft.com/office/infopath/2007/PartnerControls"/>
    <xsd:element name="SharedWithUsers" ma:index="16"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세부 정보 공유" ma:internalName="SharedWithDetails" ma:readOnly="true">
      <xsd:simpleType>
        <xsd:restriction base="dms:Note">
          <xsd:maxLength value="255"/>
        </xsd:restriction>
      </xsd:simpleType>
    </xsd:element>
    <xsd:element name="TaxCatchAll" ma:index="24" nillable="true" ma:displayName="Taxonomy Catch All Column" ma:hidden="true" ma:list="{077910bd-24df-412d-bf10-9f10a105d0ba}" ma:internalName="TaxCatchAll" ma:showField="CatchAllData" ma:web="86aeacc3-1195-4c69-a7a8-7b80042265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06cf42de-094b-45c2-a264-a0f407601353" xsi:nil="true"/>
    <TaxCatchAll xmlns="86aeacc3-1195-4c69-a7a8-7b800422657c" xsi:nil="true"/>
    <lcf76f155ced4ddcb4097134ff3c332f xmlns="06cf42de-094b-45c2-a264-a0f40760135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1F5E521-FC34-4F31-BB72-5ACC58806CFB}">
  <ds:schemaRefs>
    <ds:schemaRef ds:uri="http://schemas.microsoft.com/office/2006/metadata/contentType"/>
    <ds:schemaRef ds:uri="http://schemas.microsoft.com/office/2006/metadata/properties/metaAttributes"/>
    <ds:schemaRef ds:uri="http://www.w3.org/2000/xmlns/"/>
    <ds:schemaRef ds:uri="http://www.w3.org/2001/XMLSchema"/>
    <ds:schemaRef ds:uri="06cf42de-094b-45c2-a264-a0f407601353"/>
    <ds:schemaRef ds:uri="86aeacc3-1195-4c69-a7a8-7b800422657c"/>
  </ds:schemaRefs>
</ds:datastoreItem>
</file>

<file path=customXml/itemProps2.xml><?xml version="1.0" encoding="utf-8"?>
<ds:datastoreItem xmlns:ds="http://schemas.openxmlformats.org/officeDocument/2006/customXml" ds:itemID="{7628A189-2553-4850-BA87-2C225D4CAE42}">
  <ds:schemaRefs>
    <ds:schemaRef ds:uri="http://schemas.microsoft.com/sharepoint/v3/contenttype/forms"/>
  </ds:schemaRefs>
</ds:datastoreItem>
</file>

<file path=customXml/itemProps3.xml><?xml version="1.0" encoding="utf-8"?>
<ds:datastoreItem xmlns:ds="http://schemas.openxmlformats.org/officeDocument/2006/customXml" ds:itemID="{F507194A-9C38-4A26-BBDD-F3E46630C9B3}">
  <ds:schemaRefs>
    <ds:schemaRef ds:uri="http://schemas.microsoft.com/office/2006/metadata/properties"/>
    <ds:schemaRef ds:uri="http://www.w3.org/2000/xmlns/"/>
    <ds:schemaRef ds:uri="06cf42de-094b-45c2-a264-a0f407601353"/>
    <ds:schemaRef ds:uri="http://www.w3.org/2001/XMLSchema-instance"/>
    <ds:schemaRef ds:uri="86aeacc3-1195-4c69-a7a8-7b800422657c"/>
    <ds:schemaRef ds:uri="http://schemas.microsoft.com/office/infopath/2007/PartnerControls"/>
  </ds:schemaRefs>
</ds:datastoreItem>
</file>

<file path=docMetadata/LabelInfo.xml><?xml version="1.0" encoding="utf-8"?>
<clbl:labelList xmlns:clbl="http://schemas.microsoft.com/office/2020/mipLabelMetadata">
  <clbl:label id="{55c3c93c-4c7c-4709-9e9e-2b12e2d560ab}" enabled="1" method="Privileged" siteId="{9d1b3610-9ab0-42d5-93aa-46150d723d87}" removed="0"/>
</clbl:labelLis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Trang tính</vt:lpstr>
      </vt:variant>
      <vt:variant>
        <vt:i4>24</vt:i4>
      </vt:variant>
      <vt:variant>
        <vt:lpstr>Phạm vi Có tên</vt:lpstr>
      </vt:variant>
      <vt:variant>
        <vt:i4>25</vt:i4>
      </vt:variant>
    </vt:vector>
  </HeadingPairs>
  <TitlesOfParts>
    <vt:vector size="49" baseType="lpstr">
      <vt:lpstr>Break Down CI</vt:lpstr>
      <vt:lpstr>Detailed PL</vt:lpstr>
      <vt:lpstr>Commercial Invoice</vt:lpstr>
      <vt:lpstr>Packing List (1_2)</vt:lpstr>
      <vt:lpstr>PL(2_2)</vt:lpstr>
      <vt:lpstr>SHIPPING MARK (001)</vt:lpstr>
      <vt:lpstr>SHIPPING MARK (002)</vt:lpstr>
      <vt:lpstr>SHIPPING MARK (003)</vt:lpstr>
      <vt:lpstr>SHIPPING MARK (004)</vt:lpstr>
      <vt:lpstr>SHIPPING MARK (005)</vt:lpstr>
      <vt:lpstr>SHIPPING MARK (006)</vt:lpstr>
      <vt:lpstr>SHIPPING MARK (007)</vt:lpstr>
      <vt:lpstr>SHIPPING MARK (008)</vt:lpstr>
      <vt:lpstr>SHIPPING MARK (009)</vt:lpstr>
      <vt:lpstr>SHIPPING MARK (010)</vt:lpstr>
      <vt:lpstr>SHIPPING MARK (011)</vt:lpstr>
      <vt:lpstr>SHIPPING MARK (012)</vt:lpstr>
      <vt:lpstr>SHIPPING MARK (013)</vt:lpstr>
      <vt:lpstr>SHIPPING MARK (014)</vt:lpstr>
      <vt:lpstr>Technical Description</vt:lpstr>
      <vt:lpstr>CO</vt:lpstr>
      <vt:lpstr>CQ</vt:lpstr>
      <vt:lpstr>BL</vt:lpstr>
      <vt:lpstr>PSIC</vt:lpstr>
      <vt:lpstr>PSIC!_Hlk215568700</vt:lpstr>
      <vt:lpstr>Break Down CI!Print_Titles</vt:lpstr>
      <vt:lpstr>Detailed PL!Print_Titles</vt:lpstr>
      <vt:lpstr>PL(2_2)!Print_Titles</vt:lpstr>
      <vt:lpstr>Technical Description!Print_Titles</vt:lpstr>
      <vt:lpstr>Break Down CI!Vùng_In</vt:lpstr>
      <vt:lpstr>Commercial Invoice!Vùng_In</vt:lpstr>
      <vt:lpstr>Detailed PL!Vùng_In</vt:lpstr>
      <vt:lpstr>Packing List (1_2)!Vùng_In</vt:lpstr>
      <vt:lpstr>PL(2_2)!Vùng_In</vt:lpstr>
      <vt:lpstr>SHIPPING MARK (001)!Vùng_In</vt:lpstr>
      <vt:lpstr>SHIPPING MARK (002)!Vùng_In</vt:lpstr>
      <vt:lpstr>SHIPPING MARK (003)!Vùng_In</vt:lpstr>
      <vt:lpstr>SHIPPING MARK (004)!Vùng_In</vt:lpstr>
      <vt:lpstr>SHIPPING MARK (005)!Vùng_In</vt:lpstr>
      <vt:lpstr>SHIPPING MARK (006)!Vùng_In</vt:lpstr>
      <vt:lpstr>SHIPPING MARK (007)!Vùng_In</vt:lpstr>
      <vt:lpstr>SHIPPING MARK (008)!Vùng_In</vt:lpstr>
      <vt:lpstr>SHIPPING MARK (009)!Vùng_In</vt:lpstr>
      <vt:lpstr>SHIPPING MARK (010)!Vùng_In</vt:lpstr>
      <vt:lpstr>SHIPPING MARK (011)!Vùng_In</vt:lpstr>
      <vt:lpstr>SHIPPING MARK (012)!Vùng_In</vt:lpstr>
      <vt:lpstr>SHIPPING MARK (013)!Vùng_In</vt:lpstr>
      <vt:lpstr>SHIPPING MARK (014)!Vùng_In</vt:lpstr>
      <vt:lpstr>Technical Description!Vùng_In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Bùi Thị Thu Nguyệt</dc:creator>
  <cp:lastModifiedBy>Dai Leduy</cp:lastModifiedBy>
  <cp:lastPrinted>2026-06-17T10:26:21Z</cp:lastPrinted>
  <dcterms:created xsi:type="dcterms:W3CDTF">2025-07-09T09:39:20Z</dcterms:created>
  <dcterms:modified xsi:type="dcterms:W3CDTF">2026-06-17T10:26:23Z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0x010100773B10CB8FFDF9469F3E3F484CB15F17</vt:lpwstr>
  </property>
</Properties>
</file>