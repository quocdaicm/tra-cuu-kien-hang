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3"/>
  <workbookPr/>
  <mc:AlternateContent xmlns:mc="http://schemas.openxmlformats.org/markup-compatibility/2006">
    <mc:Choice Requires="x15">
      <x15ac:absPath xmlns:x15ac="http://schemas.microsoft.com/office/spreadsheetml/2010/11/ac" url="D:\OM4\Material\Shipment Import\0003 Conduit &amp; Accessories\"/>
    </mc:Choice>
  </mc:AlternateContent>
  <xr:revisionPtr revIDLastSave="0" documentId="13_ncr:1_{37F68114-1450-4F72-BC34-62C41DED2792}" xr6:coauthVersionLast="47" xr6:coauthVersionMax="47" xr10:uidLastSave="{00000000-0000-0000-0000-000000000000}"/>
  <bookViews>
    <workbookView xWindow="-60" yWindow="-60" windowWidth="28920" windowHeight="15600" tabRatio="667" xr2:uid="{00000000-000D-0000-FFFF-FFFF00000000}"/>
  </bookViews>
  <sheets>
    <sheet name="Detailed PL" sheetId="5" r:id="rId1"/>
  </sheets>
  <externalReferences>
    <externalReference r:id="rId2"/>
    <externalReference r:id="rId3"/>
    <externalReference r:id="rId4"/>
    <externalReference r:id="rId5"/>
    <externalReference r:id="rId6"/>
  </externalReferences>
  <definedNames>
    <definedName name="__123Graph_A" localSheetId="0" hidden="1">'[1]Eq. Mobilization'!#REF!</definedName>
    <definedName name="__123Graph_A" hidden="1">'[1]Eq. Mobilization'!#REF!</definedName>
    <definedName name="__123Graph_ACurrent" localSheetId="0" hidden="1">'[1]Eq. Mobilization'!#REF!</definedName>
    <definedName name="__123Graph_ACurrent" hidden="1">'[1]Eq. Mobilization'!#REF!</definedName>
    <definedName name="__123Graph_B" localSheetId="0" hidden="1">'[1]Eq. Mobilization'!#REF!</definedName>
    <definedName name="__123Graph_B" hidden="1">'[1]Eq. Mobilization'!#REF!</definedName>
    <definedName name="__123Graph_BCurrent" localSheetId="0" hidden="1">'[1]Eq. Mobilization'!#REF!</definedName>
    <definedName name="__123Graph_BCurrent" hidden="1">'[1]Eq. Mobilization'!#REF!</definedName>
    <definedName name="__123Graph_D" localSheetId="0" hidden="1">#REF!</definedName>
    <definedName name="__123Graph_D" hidden="1">#REF!</definedName>
    <definedName name="__123Graph_E" hidden="1">#REF!</definedName>
    <definedName name="__123Graph_LBL_A" localSheetId="0" hidden="1">'[1]Eq. Mobilization'!#REF!</definedName>
    <definedName name="__123Graph_LBL_A" hidden="1">'[1]Eq. Mobilization'!#REF!</definedName>
    <definedName name="__123Graph_LBL_B" localSheetId="0" hidden="1">'[1]Eq. Mobilization'!#REF!</definedName>
    <definedName name="__123Graph_LBL_B" hidden="1">'[1]Eq. Mobilization'!#REF!</definedName>
    <definedName name="__123Graph_X" localSheetId="0" hidden="1">'[1]Eq. Mobilization'!#REF!</definedName>
    <definedName name="__123Graph_X" hidden="1">'[1]Eq. Mobilization'!#REF!</definedName>
    <definedName name="__123Graph_XCurrent" localSheetId="0" hidden="1">'[1]Eq. Mobilization'!#REF!</definedName>
    <definedName name="__123Graph_XCurrent" hidden="1">'[1]Eq. Mobilization'!#REF!</definedName>
    <definedName name="_1__123Graph_AChart_1A" localSheetId="0" hidden="1">'[1]Eq. Mobilization'!#REF!</definedName>
    <definedName name="_1__123Graph_AChart_1A" hidden="1">'[1]Eq. Mobilization'!#REF!</definedName>
    <definedName name="_2__123Graph_BChart_1A" localSheetId="0" hidden="1">'[1]Eq. Mobilization'!#REF!</definedName>
    <definedName name="_2__123Graph_BChart_1A" hidden="1">'[1]Eq. Mobilization'!#REF!</definedName>
    <definedName name="_3__123Graph_XChart_1A" localSheetId="0" hidden="1">'[1]Eq. Mobilization'!#REF!</definedName>
    <definedName name="_3__123Graph_XChart_1A" hidden="1">'[1]Eq. Mobilization'!#REF!</definedName>
    <definedName name="_Fill" localSheetId="0" hidden="1">#REF!</definedName>
    <definedName name="_Fill" hidden="1">#REF!</definedName>
    <definedName name="_xlnm._FilterDatabase" localSheetId="0" hidden="1">'Detailed PL'!$B$13:$AG$117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arse_In" localSheetId="0" hidden="1">#REF!</definedName>
    <definedName name="_Parse_In" hidden="1">#REF!</definedName>
    <definedName name="_Parse_Out" hidden="1">#REF!</definedName>
    <definedName name="_Sort" hidden="1">#REF!</definedName>
    <definedName name="A" hidden="1">#REF!</definedName>
    <definedName name="ABC" localSheetId="0" hidden="1">'[2]Eq. Mobilization'!#REF!</definedName>
    <definedName name="ABC" hidden="1">'[2]Eq. Mobilization'!#REF!</definedName>
    <definedName name="CO" localSheetId="0" hidden="1">'[3]Eq. Mobilization'!#REF!</definedName>
    <definedName name="CO" hidden="1">'[3]Eq. Mobilization'!#REF!</definedName>
    <definedName name="e" hidden="1">'[1]Eq. Mobilization'!#REF!</definedName>
    <definedName name="Ge" hidden="1">'[1]Eq. Mobilization'!#REF!</definedName>
    <definedName name="iv2dt" localSheetId="0" hidden="1">'[1]Eq. Mobilization'!#REF!</definedName>
    <definedName name="iv2dt" hidden="1">'[1]Eq. Mobilization'!#REF!</definedName>
    <definedName name="ivdt" localSheetId="0" hidden="1">'[1]Eq. Mobilization'!#REF!</definedName>
    <definedName name="ivdt" hidden="1">'[1]Eq. Mobilization'!#REF!</definedName>
    <definedName name="KABOLINE" localSheetId="0" hidden="1">'[1]Eq. Mobilization'!#REF!</definedName>
    <definedName name="KABOLINE" hidden="1">'[1]Eq. Mobilization'!#REF!</definedName>
    <definedName name="latent">'[4]steam table'!$N$5:$Q$102</definedName>
    <definedName name="_xlnm.Print_Titles" localSheetId="0">'Detailed PL'!$13:$14</definedName>
    <definedName name="SM" hidden="1">#REF!</definedName>
    <definedName name="tube_test_press1_12">#REF!</definedName>
    <definedName name="_xlnm.Print_Area" localSheetId="0">'Detailed PL'!$A$1:$U$118</definedName>
    <definedName name="weki_9701.xls" hidden="1">'[1]Eq. Mobilization'!#REF!</definedName>
    <definedName name="wekir9701.xls" hidden="1">'[1]Eq. Mobilization'!#REF!</definedName>
    <definedName name="X" hidden="1">'[2]Eq. Mobilization'!#REF!</definedName>
    <definedName name="Z" hidden="1">'[2]Eq. Mobilization'!#REF!</definedName>
    <definedName name="ㄴㅇㄹㅇㄹ" localSheetId="0" hidden="1">'[2]Eq. Mobilization'!#REF!</definedName>
    <definedName name="ㄴㅇㄹㅇㄹ" hidden="1">'[2]Eq. Mobilization'!#REF!</definedName>
    <definedName name="느" hidden="1">'[1]Eq. Mobilization'!#REF!</definedName>
    <definedName name="ㅊㅌㅍㅊㅍㅊㅌㅍㅊㅌㅍㅊㅌㅍㅊㅌㅍㅊㅌㅍ" localSheetId="0" hidden="1">'[5]Eq. Mobilization'!#REF!</definedName>
    <definedName name="ㅊㅌㅍㅊㅍㅊㅌㅍㅊㅌㅍㅊㅌㅍㅊㅌㅍㅊㅌㅍ" hidden="1">'[5]Eq. Mobilization'!#REF!</definedName>
    <definedName name="ㅊㅌㅍㅊㅍㅌㅋㅊㅍㅌㅊㅍ" localSheetId="0" hidden="1">'[5]Eq. Mobilization'!#REF!</definedName>
    <definedName name="ㅊㅌㅍㅊㅍㅌㅋㅊㅍㅌㅊㅍ" hidden="1">'[5]Eq. Mobilization'!#REF!</definedName>
    <definedName name="ㅊㅌㅍㅋㅊㅍㅌㅊㅍㅌㅊㅍ" localSheetId="0" hidden="1">'[5]Eq. Mobilization'!#REF!</definedName>
    <definedName name="ㅊㅌㅍㅋㅊㅍㅌㅊㅍㅌㅊㅍ" hidden="1">'[5]Eq. Mobilization'!#REF!</definedName>
    <definedName name="ㅊㅌㅍㅌㅊㅍㅊㅌㅍㅌㅊㅍㅌㅊㅍ" localSheetId="0" hidden="1">'[5]Eq. Mobilization'!#REF!</definedName>
    <definedName name="ㅊㅌㅍㅌㅊㅍㅊㅌㅍㅌㅊㅍㅌㅊㅍ" hidden="1">'[5]Eq. Mobilization'!#REF!</definedName>
    <definedName name="ㅋ" localSheetId="0" hidden="1">'[5]Eq. Mobilization'!#REF!</definedName>
    <definedName name="ㅋ" hidden="1">'[5]Eq. Mobilization'!#REF!</definedName>
    <definedName name="ㅋㅋㅋㅋ" localSheetId="0" hidden="1">'[5]Eq. Mobilization'!#REF!</definedName>
    <definedName name="ㅋㅋㅋㅋ" hidden="1">'[5]Eq. Mobilization'!#REF!</definedName>
    <definedName name="ㅋㅋㅋㅋㅋㅋ" localSheetId="0" hidden="1">'[5]Eq. Mobilization'!#REF!</definedName>
    <definedName name="ㅋㅋㅋㅋㅋㅋ" hidden="1">'[5]Eq. Mobilization'!#REF!</definedName>
    <definedName name="ㅋㅋㅋㅋㅋㅋㅋㅋㅋ" localSheetId="0" hidden="1">'[5]Eq. Mobilization'!#REF!</definedName>
    <definedName name="ㅋㅋㅋㅋㅋㅋㅋㅋㅋ" hidden="1">'[5]Eq. Mobilization'!#REF!</definedName>
    <definedName name="ㅌㅊㅍㅌㅊㅍㅌㅋㅊㅍㅌ" localSheetId="0" hidden="1">'[5]Eq. Mobilization'!#REF!</definedName>
    <definedName name="ㅌㅊㅍㅌㅊㅍㅌㅋㅊㅍㅌ" hidden="1">'[5]Eq. Mobilization'!#REF!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5" i="5" l="1"/>
  <c r="C67" i="5"/>
  <c r="P64" i="5"/>
  <c r="P63" i="5"/>
  <c r="P62" i="5"/>
  <c r="P61" i="5"/>
  <c r="P60" i="5"/>
  <c r="P59" i="5"/>
  <c r="P58" i="5"/>
  <c r="P66" i="5"/>
  <c r="P57" i="5"/>
  <c r="P56" i="5"/>
  <c r="P55" i="5"/>
  <c r="P54" i="5"/>
  <c r="P53" i="5"/>
  <c r="P52" i="5"/>
  <c r="P51" i="5"/>
  <c r="P50" i="5"/>
  <c r="C70" i="5"/>
  <c r="P69" i="5"/>
  <c r="P49" i="5"/>
  <c r="P48" i="5"/>
  <c r="P47" i="5"/>
  <c r="P46" i="5"/>
  <c r="P45" i="5"/>
  <c r="P44" i="5"/>
  <c r="W29" i="5"/>
  <c r="P29" i="5"/>
  <c r="P30" i="5"/>
  <c r="Q30" i="5"/>
  <c r="W43" i="5"/>
  <c r="P43" i="5"/>
  <c r="I117" i="5"/>
  <c r="I80" i="5"/>
  <c r="I72" i="5"/>
  <c r="I68" i="5"/>
  <c r="I37" i="5"/>
  <c r="I30" i="5"/>
  <c r="I28" i="5"/>
  <c r="I26" i="5"/>
  <c r="I24" i="5"/>
  <c r="I22" i="5"/>
  <c r="I20" i="5"/>
  <c r="I18" i="5"/>
  <c r="I16" i="5"/>
  <c r="W79" i="5"/>
  <c r="P79" i="5"/>
  <c r="W78" i="5"/>
  <c r="P78" i="5"/>
  <c r="W77" i="5"/>
  <c r="P77" i="5"/>
  <c r="W76" i="5"/>
  <c r="P76" i="5"/>
  <c r="W75" i="5"/>
  <c r="P75" i="5"/>
  <c r="W74" i="5"/>
  <c r="P74" i="5"/>
  <c r="W73" i="5"/>
  <c r="P73" i="5"/>
  <c r="P116" i="5"/>
  <c r="P115" i="5"/>
  <c r="P114" i="5"/>
  <c r="P113" i="5"/>
  <c r="P112" i="5"/>
  <c r="P111" i="5"/>
  <c r="P110" i="5"/>
  <c r="P109" i="5"/>
  <c r="P108" i="5"/>
  <c r="P107" i="5"/>
  <c r="P106" i="5"/>
  <c r="P105" i="5"/>
  <c r="P104" i="5"/>
  <c r="P103" i="5"/>
  <c r="P102" i="5"/>
  <c r="P101" i="5"/>
  <c r="P100" i="5"/>
  <c r="P99" i="5"/>
  <c r="P98" i="5"/>
  <c r="P97" i="5"/>
  <c r="P96" i="5"/>
  <c r="P95" i="5"/>
  <c r="P94" i="5"/>
  <c r="P93" i="5"/>
  <c r="P92" i="5"/>
  <c r="P91" i="5"/>
  <c r="P90" i="5"/>
  <c r="P89" i="5"/>
  <c r="P88" i="5"/>
  <c r="P87" i="5"/>
  <c r="P86" i="5"/>
  <c r="P85" i="5"/>
  <c r="P84" i="5"/>
  <c r="P83" i="5"/>
  <c r="P82" i="5"/>
  <c r="P81" i="5"/>
  <c r="P71" i="5"/>
  <c r="P70" i="5"/>
  <c r="P67" i="5"/>
  <c r="P39" i="5"/>
  <c r="P40" i="5"/>
  <c r="P41" i="5"/>
  <c r="P42" i="5"/>
  <c r="P38" i="5"/>
  <c r="W36" i="5"/>
  <c r="P36" i="5"/>
  <c r="W35" i="5"/>
  <c r="P35" i="5"/>
  <c r="W34" i="5"/>
  <c r="P34" i="5"/>
  <c r="W33" i="5"/>
  <c r="P33" i="5"/>
  <c r="W32" i="5"/>
  <c r="P32" i="5"/>
  <c r="W31" i="5"/>
  <c r="P3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74" i="5"/>
  <c r="C75" i="5"/>
  <c r="C76" i="5"/>
  <c r="C77" i="5"/>
  <c r="C78" i="5"/>
  <c r="C79" i="5"/>
  <c r="O117" i="5"/>
  <c r="O80" i="5"/>
  <c r="O72" i="5"/>
  <c r="C71" i="5"/>
  <c r="C39" i="5"/>
  <c r="C40" i="5"/>
  <c r="C41" i="5"/>
  <c r="C42" i="5"/>
  <c r="C43" i="5"/>
  <c r="C44" i="5"/>
  <c r="C45" i="5"/>
  <c r="C46" i="5"/>
  <c r="C47" i="5"/>
  <c r="C48" i="5"/>
  <c r="C49" i="5"/>
  <c r="C32" i="5"/>
  <c r="C33" i="5"/>
  <c r="C34" i="5"/>
  <c r="C35" i="5"/>
  <c r="C36" i="5"/>
  <c r="O68" i="5"/>
  <c r="O65" i="5"/>
  <c r="O37" i="5"/>
  <c r="O30" i="5"/>
  <c r="O28" i="5"/>
  <c r="W27" i="5"/>
  <c r="P27" i="5"/>
  <c r="P28" i="5"/>
  <c r="Q28" i="5"/>
  <c r="O26" i="5"/>
  <c r="W25" i="5"/>
  <c r="P25" i="5"/>
  <c r="P26" i="5"/>
  <c r="Q26" i="5"/>
  <c r="O24" i="5"/>
  <c r="W23" i="5"/>
  <c r="P23" i="5"/>
  <c r="P24" i="5"/>
  <c r="Q24" i="5"/>
  <c r="O22" i="5"/>
  <c r="W21" i="5"/>
  <c r="P21" i="5"/>
  <c r="P22" i="5"/>
  <c r="Q22" i="5"/>
  <c r="O20" i="5"/>
  <c r="W19" i="5"/>
  <c r="P19" i="5"/>
  <c r="P20" i="5"/>
  <c r="O18" i="5"/>
  <c r="W17" i="5"/>
  <c r="P17" i="5"/>
  <c r="P18" i="5"/>
  <c r="Q18" i="5"/>
  <c r="W15" i="5"/>
  <c r="P15" i="5"/>
  <c r="P16" i="5"/>
  <c r="Q16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P65" i="5"/>
  <c r="Q65" i="5"/>
  <c r="P80" i="5"/>
  <c r="Q80" i="5"/>
  <c r="Q20" i="5"/>
  <c r="P117" i="5"/>
  <c r="P37" i="5"/>
  <c r="P72" i="5"/>
  <c r="P68" i="5"/>
  <c r="P118" i="5"/>
  <c r="Q37" i="5"/>
  <c r="Q117" i="5"/>
  <c r="Q72" i="5"/>
  <c r="O16" i="5"/>
  <c r="O118" i="5"/>
  <c r="D7" i="5"/>
  <c r="D5" i="5"/>
  <c r="D6" i="5"/>
  <c r="Q68" i="5"/>
  <c r="Q118" i="5"/>
</calcChain>
</file>

<file path=xl/sharedStrings.xml><?xml version="1.0" encoding="utf-8"?>
<sst xmlns="http://schemas.openxmlformats.org/spreadsheetml/2006/main" count="618" uniqueCount="135">
  <si>
    <t>PECC2 Innovation Hub, 45 Street No.2, Truong Tho Ward, Thu Duc City, HCMC, Vietnam
Tel: +84-28-2221 6468 | Fax: +84-28-2221 0408</t>
  </si>
  <si>
    <t>SI.
No.</t>
    <phoneticPr fontId="0" type="noConversion"/>
  </si>
  <si>
    <t>Package No.</t>
    <phoneticPr fontId="0" type="noConversion"/>
  </si>
  <si>
    <t>Dated</t>
    <phoneticPr fontId="0" type="noConversion"/>
  </si>
  <si>
    <t>*  Storage Classification</t>
    <phoneticPr fontId="0" type="noConversion"/>
  </si>
  <si>
    <t>**  Plant/Equipment/Materials for</t>
    <phoneticPr fontId="0" type="noConversion"/>
  </si>
  <si>
    <t>Project</t>
    <phoneticPr fontId="0" type="noConversion"/>
  </si>
  <si>
    <t>"A"</t>
    <phoneticPr fontId="0" type="noConversion"/>
  </si>
  <si>
    <t>: Indoor with Air conditioning</t>
    <phoneticPr fontId="0" type="noConversion"/>
  </si>
  <si>
    <t>BOP</t>
    <phoneticPr fontId="0" type="noConversion"/>
  </si>
  <si>
    <t>"B"</t>
    <phoneticPr fontId="0" type="noConversion"/>
  </si>
  <si>
    <t>: Indoor without Air conditioning</t>
    <phoneticPr fontId="0" type="noConversion"/>
  </si>
  <si>
    <t>Unit 1</t>
    <phoneticPr fontId="0" type="noConversion"/>
  </si>
  <si>
    <t>B1</t>
    <phoneticPr fontId="0" type="noConversion"/>
  </si>
  <si>
    <t>T1</t>
    <phoneticPr fontId="0" type="noConversion"/>
  </si>
  <si>
    <t>G1</t>
    <phoneticPr fontId="0" type="noConversion"/>
  </si>
  <si>
    <t>P2</t>
  </si>
  <si>
    <t>"C"</t>
    <phoneticPr fontId="0" type="noConversion"/>
  </si>
  <si>
    <t>: Hazardous Material</t>
    <phoneticPr fontId="0" type="noConversion"/>
  </si>
  <si>
    <t>Unit 2</t>
    <phoneticPr fontId="0" type="noConversion"/>
  </si>
  <si>
    <t>B2</t>
    <phoneticPr fontId="0" type="noConversion"/>
  </si>
  <si>
    <t>T2</t>
    <phoneticPr fontId="0" type="noConversion"/>
  </si>
  <si>
    <t>G2</t>
    <phoneticPr fontId="0" type="noConversion"/>
  </si>
  <si>
    <t>P2</t>
    <phoneticPr fontId="0" type="noConversion"/>
  </si>
  <si>
    <t>"D"</t>
    <phoneticPr fontId="0" type="noConversion"/>
  </si>
  <si>
    <t>: Outdoor with waterproofing</t>
    <phoneticPr fontId="0" type="noConversion"/>
  </si>
  <si>
    <t>Common</t>
    <phoneticPr fontId="0" type="noConversion"/>
  </si>
  <si>
    <t>B0</t>
    <phoneticPr fontId="0" type="noConversion"/>
  </si>
  <si>
    <t>T0</t>
    <phoneticPr fontId="0" type="noConversion"/>
  </si>
  <si>
    <t>G0</t>
    <phoneticPr fontId="0" type="noConversion"/>
  </si>
  <si>
    <t>P0</t>
    <phoneticPr fontId="0" type="noConversion"/>
  </si>
  <si>
    <t>"E"</t>
    <phoneticPr fontId="0" type="noConversion"/>
  </si>
  <si>
    <t>: Outdoor without waterproofing</t>
    <phoneticPr fontId="0" type="noConversion"/>
  </si>
  <si>
    <t>Description of Goods</t>
    <phoneticPr fontId="0" type="noConversion"/>
  </si>
  <si>
    <t>Quantity</t>
    <phoneticPr fontId="0" type="noConversion"/>
  </si>
  <si>
    <t>Package Type</t>
    <phoneticPr fontId="0" type="noConversion"/>
  </si>
  <si>
    <t>Measurement</t>
    <phoneticPr fontId="0" type="noConversion"/>
  </si>
  <si>
    <t>Net Weight
(kg)</t>
    <phoneticPr fontId="0" type="noConversion"/>
  </si>
  <si>
    <t>Gross Weight
(kg)</t>
    <phoneticPr fontId="0" type="noConversion"/>
  </si>
  <si>
    <t>Hazardous Material</t>
    <phoneticPr fontId="0" type="noConversion"/>
  </si>
  <si>
    <t>Storage Classification
(*)</t>
    <phoneticPr fontId="0" type="noConversion"/>
  </si>
  <si>
    <t>Remark
(**)</t>
    <phoneticPr fontId="0" type="noConversion"/>
  </si>
  <si>
    <t>Nos</t>
    <phoneticPr fontId="0" type="noConversion"/>
  </si>
  <si>
    <t>Unit</t>
    <phoneticPr fontId="0" type="noConversion"/>
  </si>
  <si>
    <t>Length
(cm)</t>
    <phoneticPr fontId="0" type="noConversion"/>
  </si>
  <si>
    <t>Width
(cm)</t>
    <phoneticPr fontId="0" type="noConversion"/>
  </si>
  <si>
    <t>Height
(cm)</t>
    <phoneticPr fontId="0" type="noConversion"/>
  </si>
  <si>
    <t>Volume
(cbm)</t>
    <phoneticPr fontId="0" type="noConversion"/>
  </si>
  <si>
    <t>DETAILED PACKING LIST</t>
    <phoneticPr fontId="0" type="noConversion"/>
  </si>
  <si>
    <t>PL No.</t>
    <phoneticPr fontId="0" type="noConversion"/>
  </si>
  <si>
    <t>Referenced DWG No.</t>
    <phoneticPr fontId="0" type="noConversion"/>
  </si>
  <si>
    <t>Manufacturer</t>
    <phoneticPr fontId="0" type="noConversion"/>
  </si>
  <si>
    <t>Tag No.</t>
    <phoneticPr fontId="0" type="noConversion"/>
  </si>
  <si>
    <t>Sub-Total</t>
    <phoneticPr fontId="0" type="noConversion"/>
  </si>
  <si>
    <t>Grand-Total</t>
    <phoneticPr fontId="0" type="noConversion"/>
  </si>
  <si>
    <t>PVC Conduit</t>
    <phoneticPr fontId="13" type="noConversion"/>
  </si>
  <si>
    <t>150mm (6")</t>
  </si>
  <si>
    <t>C/O of Goods</t>
    <phoneticPr fontId="0" type="noConversion"/>
  </si>
  <si>
    <t>Position in price schedule</t>
    <phoneticPr fontId="0" type="noConversion"/>
  </si>
  <si>
    <t>EA</t>
  </si>
  <si>
    <t>EA</t>
    <phoneticPr fontId="13" type="noConversion"/>
  </si>
  <si>
    <t>SKID</t>
    <phoneticPr fontId="13" type="noConversion"/>
  </si>
  <si>
    <t>N</t>
    <phoneticPr fontId="13" type="noConversion"/>
  </si>
  <si>
    <t>D</t>
    <phoneticPr fontId="13" type="noConversion"/>
  </si>
  <si>
    <t>OM4-DE-IS-0003-001</t>
    <phoneticPr fontId="13" type="noConversion"/>
  </si>
  <si>
    <t>OM4-DE-IS-0003-002</t>
    <phoneticPr fontId="13" type="noConversion"/>
  </si>
  <si>
    <t>OM4-DE-IS-0003-003</t>
    <phoneticPr fontId="13" type="noConversion"/>
  </si>
  <si>
    <t>OM4-DE-IS-0003-004</t>
    <phoneticPr fontId="13" type="noConversion"/>
  </si>
  <si>
    <t>OM4-DE-IS-0003-005</t>
    <phoneticPr fontId="13" type="noConversion"/>
  </si>
  <si>
    <t>OM4-DE-IS-0003-006</t>
    <phoneticPr fontId="13" type="noConversion"/>
  </si>
  <si>
    <t>OM4-DE-IS-0003-007</t>
    <phoneticPr fontId="13" type="noConversion"/>
  </si>
  <si>
    <t>125mm (5")</t>
  </si>
  <si>
    <t>125mm (5")</t>
    <phoneticPr fontId="13" type="noConversion"/>
  </si>
  <si>
    <t>28mm (1")</t>
  </si>
  <si>
    <t>36mm (1-1/4")</t>
  </si>
  <si>
    <t>42mm (1-1/2")</t>
  </si>
  <si>
    <t>54mm (2")</t>
  </si>
  <si>
    <t>82mm (3")</t>
  </si>
  <si>
    <t>104mm (4")</t>
  </si>
  <si>
    <t>Spacer for PVC Conduit</t>
  </si>
  <si>
    <t>Wodden</t>
    <phoneticPr fontId="13" type="noConversion"/>
  </si>
  <si>
    <t>OM4-DE-IS-0003-008</t>
    <phoneticPr fontId="13" type="noConversion"/>
  </si>
  <si>
    <t>OM4-DE-IS-0003-009</t>
    <phoneticPr fontId="13" type="noConversion"/>
  </si>
  <si>
    <t>OM4-DE-IS-0003-010</t>
    <phoneticPr fontId="13" type="noConversion"/>
  </si>
  <si>
    <t>OM4-DE-IS-0003-011</t>
    <phoneticPr fontId="13" type="noConversion"/>
  </si>
  <si>
    <t>OM4-DE-IS-0003-012</t>
    <phoneticPr fontId="13" type="noConversion"/>
  </si>
  <si>
    <t>End Bell for PVC Conduit</t>
  </si>
  <si>
    <t>Warning Tape</t>
  </si>
  <si>
    <t>(W150mm x 200m/Roll)</t>
  </si>
  <si>
    <t>22mm (3/4")</t>
  </si>
  <si>
    <t>100mm (4")</t>
  </si>
  <si>
    <t>Adaptor (PVC to Steel Conduit)</t>
  </si>
  <si>
    <t>OM4-DE-IS-0003-013</t>
    <phoneticPr fontId="13" type="noConversion"/>
  </si>
  <si>
    <t>OM4-DE-IS-0003-014</t>
    <phoneticPr fontId="13" type="noConversion"/>
  </si>
  <si>
    <t>17</t>
  </si>
  <si>
    <t>Republic of Korea</t>
  </si>
  <si>
    <t>HRSG</t>
    <phoneticPr fontId="0" type="noConversion"/>
  </si>
  <si>
    <t>STG</t>
    <phoneticPr fontId="0" type="noConversion"/>
  </si>
  <si>
    <t>GTG</t>
    <phoneticPr fontId="0" type="noConversion"/>
  </si>
  <si>
    <t>P0</t>
    <phoneticPr fontId="13" type="noConversion"/>
  </si>
  <si>
    <t>SAMSUNG E&amp;L</t>
    <phoneticPr fontId="13" type="noConversion"/>
  </si>
  <si>
    <t>15</t>
    <phoneticPr fontId="13" type="noConversion"/>
  </si>
  <si>
    <t>16</t>
    <phoneticPr fontId="13" type="noConversion"/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</si>
  <si>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</si>
  <si>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</si>
  <si>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</si>
  <si>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</si>
  <si>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</si>
  <si>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</si>
  <si>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</si>
  <si>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</si>
  <si>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</si>
  <si>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</si>
  <si>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</si>
  <si>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</si>
  <si>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</si>
  <si>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</si>
  <si>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</si>
  <si>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</si>
  <si>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</si>
  <si>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</si>
  <si>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</si>
  <si>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</si>
  <si>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</si>
  <si>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</si>
  <si>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</si>
  <si>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43</t>
  </si>
  <si>
    <t>44</t>
    <phoneticPr fontId="13" type="noConversion"/>
  </si>
  <si>
    <t>28</t>
  </si>
  <si>
    <t>42</t>
    <phoneticPr fontId="13" type="noConversion"/>
  </si>
  <si>
    <t>Normal Bend for PVC Conduit</t>
  </si>
  <si>
    <t xml:space="preserve">Coupling for PVC Conduit </t>
  </si>
  <si>
    <t>150mm (6") (250x250)</t>
  </si>
  <si>
    <t>PVC Conduit</t>
  </si>
  <si>
    <t xml:space="preserve"> w/One Coupling for PVC Conduit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</si>
</sst>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_-* #,##0.00_-;\-* #,##0.00_-;_-* &quot;-&quot;_-;_-@_-"/>
    <numFmt numFmtId="167" formatCode="0.00_);[Red]\(0.00\)"/>
  </numFmts>
  <fonts count="16">
    <font>
      <sz val="11"/>
      <name val="돋움"/>
      <family val="3"/>
      <charset val="129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10"/>
      <name val="Calibri"/>
      <family val="2"/>
    </font>
    <font>
      <b/>
      <sz val="10"/>
      <name val="Calibri"/>
      <family val="2"/>
    </font>
    <font>
      <b/>
      <sz val="16"/>
      <name val="Calibri"/>
      <family val="2"/>
    </font>
    <font>
      <sz val="11"/>
      <name val="Arial"/>
      <family val="3"/>
      <charset val="129"/>
      <scheme val="minor"/>
    </font>
    <font>
      <sz val="11"/>
      <name val="Calibri"/>
      <family val="2"/>
    </font>
    <font>
      <sz val="10"/>
      <name val="Arial"/>
      <family val="2"/>
      <scheme val="minor"/>
    </font>
    <font>
      <sz val="10"/>
      <name val="Arial"/>
      <family val="3"/>
      <charset val="129"/>
      <scheme val="minor"/>
    </font>
    <font>
      <b/>
      <sz val="10"/>
      <name val="Arial"/>
      <family val="2"/>
      <scheme val="minor"/>
    </font>
    <font>
      <sz val="11"/>
      <color indexed="8"/>
      <name val="맑은 고딕"/>
      <family val="3"/>
      <charset val="129"/>
    </font>
    <font>
      <sz val="10"/>
      <name val="굴림"/>
      <family val="3"/>
      <charset val="129"/>
    </font>
    <font>
      <sz val="8"/>
      <name val="돋움"/>
      <family val="3"/>
      <charset val="129"/>
    </font>
    <font>
      <sz val="11"/>
      <name val="굴림체"/>
      <family val="3"/>
      <charset val="129"/>
    </font>
    <font>
      <sz val="1"/>
      <color indexed="8"/>
      <name val="Courier"/>
      <family val="3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11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7" fontId="2" fillId="0" borderId="0"/>
    <xf numFmtId="0" fontId="11" fillId="0" borderId="0">
      <alignment vertical="center"/>
    </xf>
    <xf numFmtId="41" fontId="1" fillId="0" borderId="0" applyFont="0" applyFill="0" applyBorder="0" applyAlignment="0" applyProtection="0"/>
    <xf numFmtId="0" fontId="1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4" fillId="0" borderId="0"/>
    <xf numFmtId="4" fontId="15" fillId="0" borderId="0">
      <protection locked="0"/>
    </xf>
  </cellStyleXfs>
  <cellXfs count="94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 indent="1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41" fontId="3" fillId="0" borderId="0" xfId="0" applyNumberFormat="1" applyFont="1" applyAlignment="1">
      <alignment horizontal="center" vertical="center"/>
    </xf>
    <xf numFmtId="41" fontId="8" fillId="0" borderId="0" xfId="0" applyNumberFormat="1" applyFont="1" applyAlignment="1">
      <alignment horizontal="left" vertical="center"/>
    </xf>
    <xf numFmtId="41" fontId="3" fillId="0" borderId="0" xfId="1" applyFont="1" applyFill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37" fontId="3" fillId="0" borderId="0" xfId="0" applyNumberFormat="1" applyFont="1" applyAlignment="1">
      <alignment horizontal="left" vertical="center"/>
    </xf>
    <xf numFmtId="16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9" fillId="0" borderId="0" xfId="0" applyFont="1">
      <alignment vertical="center"/>
    </xf>
    <xf numFmtId="0" fontId="3" fillId="0" borderId="0" xfId="0" applyFont="1" applyAlignment="1">
      <alignment horizontal="left" vertical="center"/>
    </xf>
    <xf numFmtId="167" fontId="3" fillId="0" borderId="0" xfId="0" applyNumberFormat="1" applyFont="1" applyAlignment="1">
      <alignment horizontal="left" vertical="center"/>
    </xf>
    <xf numFmtId="167" fontId="3" fillId="0" borderId="7" xfId="0" applyNumberFormat="1" applyFont="1" applyBorder="1" applyAlignment="1">
      <alignment horizontal="left" vertical="center"/>
    </xf>
    <xf numFmtId="167" fontId="3" fillId="0" borderId="7" xfId="0" applyNumberFormat="1" applyFont="1" applyBorder="1" applyAlignment="1">
      <alignment horizontal="center" vertical="center"/>
    </xf>
    <xf numFmtId="0" fontId="10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4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horizontal="center" vertical="center" wrapText="1"/>
    </xf>
    <xf numFmtId="41" fontId="3" fillId="0" borderId="0" xfId="1" applyFont="1" applyAlignment="1">
      <alignment vertical="center"/>
    </xf>
    <xf numFmtId="167" fontId="3" fillId="0" borderId="0" xfId="0" applyNumberFormat="1" applyFont="1">
      <alignment vertical="center"/>
    </xf>
    <xf numFmtId="0" fontId="3" fillId="0" borderId="0" xfId="1" applyNumberFormat="1" applyFont="1" applyFill="1" applyAlignment="1">
      <alignment vertical="center"/>
    </xf>
    <xf numFmtId="14" fontId="3" fillId="0" borderId="0" xfId="0" quotePrefix="1" applyNumberFormat="1" applyFont="1" applyAlignment="1">
      <alignment horizontal="left" vertical="center"/>
    </xf>
    <xf numFmtId="15" fontId="3" fillId="0" borderId="0" xfId="0" applyNumberFormat="1" applyFont="1" applyAlignment="1">
      <alignment horizontal="left" vertical="center"/>
    </xf>
    <xf numFmtId="0" fontId="3" fillId="0" borderId="9" xfId="0" applyFont="1" applyBorder="1" applyAlignment="1">
      <alignment horizontal="center" vertical="center"/>
    </xf>
    <xf numFmtId="41" fontId="4" fillId="0" borderId="7" xfId="1" applyFont="1" applyBorder="1" applyAlignment="1">
      <alignment horizontal="center" vertical="center"/>
    </xf>
    <xf numFmtId="41" fontId="3" fillId="0" borderId="0" xfId="1" applyFont="1">
      <alignment vertical="center"/>
    </xf>
    <xf numFmtId="41" fontId="3" fillId="0" borderId="0" xfId="1" applyFont="1" applyAlignment="1">
      <alignment horizontal="left" vertical="center"/>
    </xf>
    <xf numFmtId="41" fontId="3" fillId="0" borderId="0" xfId="1" applyFont="1" applyAlignment="1">
      <alignment horizontal="center" vertical="center"/>
    </xf>
    <xf numFmtId="41" fontId="3" fillId="0" borderId="0" xfId="1" applyFont="1" applyAlignment="1">
      <alignment vertical="center" wrapText="1"/>
    </xf>
    <xf numFmtId="164" fontId="3" fillId="0" borderId="7" xfId="1" applyNumberFormat="1" applyFont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41" fontId="3" fillId="0" borderId="7" xfId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67" fontId="3" fillId="0" borderId="7" xfId="0" applyNumberFormat="1" applyFont="1" applyBorder="1" applyAlignment="1">
      <alignment horizontal="center" vertical="center" wrapText="1"/>
    </xf>
    <xf numFmtId="164" fontId="3" fillId="0" borderId="5" xfId="1" applyNumberFormat="1" applyFont="1" applyBorder="1" applyAlignment="1">
      <alignment horizontal="center" vertical="center" wrapText="1"/>
    </xf>
    <xf numFmtId="41" fontId="3" fillId="3" borderId="7" xfId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167" fontId="3" fillId="3" borderId="7" xfId="0" applyNumberFormat="1" applyFont="1" applyFill="1" applyBorder="1" applyAlignment="1">
      <alignment horizontal="center" vertical="center" wrapText="1"/>
    </xf>
    <xf numFmtId="164" fontId="3" fillId="3" borderId="5" xfId="1" applyNumberFormat="1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/>
    </xf>
    <xf numFmtId="41" fontId="3" fillId="4" borderId="7" xfId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167" fontId="3" fillId="4" borderId="7" xfId="0" applyNumberFormat="1" applyFont="1" applyFill="1" applyBorder="1" applyAlignment="1">
      <alignment horizontal="center" vertical="center" wrapText="1"/>
    </xf>
    <xf numFmtId="164" fontId="3" fillId="4" borderId="5" xfId="1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0" borderId="5" xfId="0" quotePrefix="1" applyFont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3" fillId="3" borderId="9" xfId="4" applyFont="1" applyFill="1" applyBorder="1" applyAlignment="1">
      <alignment horizontal="center" vertical="center"/>
    </xf>
    <xf numFmtId="0" fontId="3" fillId="3" borderId="8" xfId="4" applyFont="1" applyFill="1" applyBorder="1" applyAlignment="1">
      <alignment horizontal="center" vertical="center"/>
    </xf>
    <xf numFmtId="0" fontId="3" fillId="3" borderId="10" xfId="4" applyFont="1" applyFill="1" applyBorder="1" applyAlignment="1">
      <alignment horizontal="center" vertical="center"/>
    </xf>
    <xf numFmtId="0" fontId="3" fillId="4" borderId="9" xfId="4" applyFont="1" applyFill="1" applyBorder="1" applyAlignment="1">
      <alignment horizontal="center" vertical="center"/>
    </xf>
    <xf numFmtId="0" fontId="3" fillId="4" borderId="8" xfId="4" applyFont="1" applyFill="1" applyBorder="1" applyAlignment="1">
      <alignment horizontal="center" vertical="center"/>
    </xf>
    <xf numFmtId="0" fontId="3" fillId="4" borderId="10" xfId="4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</cellXfs>
  <cellStyles count="11">
    <cellStyle name="Bình thường" xfId="0" builtinId="0"/>
    <cellStyle name="Comma" xfId="10" xr:uid="{00000000-0005-0000-0000-000000000000}"/>
    <cellStyle name="Dấu phẩy [0]" xfId="1" builtinId="6"/>
    <cellStyle name="Normal 3" xfId="8" xr:uid="{00000000-0005-0000-0000-000001000000}"/>
    <cellStyle name="쉼표 [0] 6" xfId="5" xr:uid="{00000000-0005-0000-0000-000003000000}"/>
    <cellStyle name="표준 6" xfId="4" xr:uid="{00000000-0005-0000-0000-000005000000}"/>
    <cellStyle name="표준_080407 3항차 final packing List(r3)통합" xfId="9" xr:uid="{00000000-0005-0000-0000-000006000000}"/>
    <cellStyle name="표준_Cirebon Grating Pk'g list(서흥)_080910_final" xfId="6" xr:uid="{00000000-0005-0000-0000-000007000000}"/>
    <cellStyle name="표준_PACKINGLIST (철골_1항차)" xfId="7" xr:uid="{00000000-0005-0000-0000-000008000000}"/>
    <cellStyle name="표준_STG-PKL" xfId="3" xr:uid="{00000000-0005-0000-0000-00000A000000}"/>
    <cellStyle name="標準_Proforma PL cirebon 2" xfId="2" xr:uid="{00000000-0005-0000-0000-000009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3969</xdr:rowOff>
    </xdr:from>
    <xdr:to>
      <xdr:col>2</xdr:col>
      <xdr:colOff>1503826</xdr:colOff>
      <xdr:row>1</xdr:row>
      <xdr:rowOff>282734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A8E7A8E0-A754-4482-AF74-876E703A6B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117" b="11386"/>
        <a:stretch>
          <a:fillRect/>
        </a:stretch>
      </xdr:blipFill>
      <xdr:spPr bwMode="auto">
        <a:xfrm>
          <a:off x="400050" y="118269"/>
          <a:ext cx="1508271" cy="27622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19</xdr:col>
      <xdr:colOff>46353</xdr:colOff>
      <xdr:row>1</xdr:row>
      <xdr:rowOff>71120</xdr:rowOff>
    </xdr:from>
    <xdr:to>
      <xdr:col>20</xdr:col>
      <xdr:colOff>475315</xdr:colOff>
      <xdr:row>2</xdr:row>
      <xdr:rowOff>36512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2708511-8760-4245-8514-006096CE8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23793" y="182880"/>
          <a:ext cx="972522" cy="29051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&#51204;&#50689;&#44428;/C/WIN98/TEMP/REPORT0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&#50724;&#51008;&#49892;/&#49345;&#48120;&#51452;&#51076;&#45784;/WIN98/TEMP/REPORT0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&#50724;&#51008;&#49892;/&#49345;&#48120;&#51452;&#51076;&#45784;/temp/WIN98/TEMP/REPORT07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&#50689;&#49689;/D/share/loss&#44228;&#49328;-TAWEELAH-msf-jan6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35.daum.net/WIN98/TEMP/REPORT07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Content"/>
      <sheetName val="Project Outline"/>
      <sheetName val="주요공사"/>
      <sheetName val="Contractual Amount"/>
      <sheetName val="시헹예산"/>
      <sheetName val="TENDER vs BUDGET"/>
      <sheetName val="직영 vs 하청 - 2"/>
      <sheetName val="96 당초Schedule"/>
      <sheetName val="96 Performance"/>
      <sheetName val="소화-투입 분석표"/>
      <sheetName val="STF ORG(K)"/>
      <sheetName val="Staff Org. Chart"/>
      <sheetName val="Scope of Work"/>
      <sheetName val="Design Status"/>
      <sheetName val="DWG Status"/>
      <sheetName val="MAT'L Status"/>
      <sheetName val="장비동원"/>
      <sheetName val="근로자동원"/>
      <sheetName val="Install Status"/>
      <sheetName val="Staff Mob. Plan"/>
      <sheetName val="M.P Mob. Plan"/>
      <sheetName val="Eq. Mobilization"/>
      <sheetName val=""/>
      <sheetName val="TTL"/>
      <sheetName val="성광벤드"/>
      <sheetName val="REPORT07"/>
      <sheetName val="GRP PIPING"/>
      <sheetName val="Sheet1"/>
      <sheetName val="현장지지물물량"/>
      <sheetName val="#REF"/>
      <sheetName val="견적기준"/>
      <sheetName val="P-LIST"/>
      <sheetName val="물가자료"/>
      <sheetName val="일위대가"/>
      <sheetName val="M-EQPT-Z"/>
      <sheetName val="2000년1차"/>
      <sheetName val="단가집"/>
      <sheetName val="전열면적"/>
      <sheetName val="SEPARATOR"/>
      <sheetName val="BM "/>
      <sheetName val="DWG LIST"/>
      <sheetName val="자격 땡겨오기"/>
      <sheetName val="VAE264_VALVES"/>
      <sheetName val="5.소재"/>
      <sheetName val="소화실적"/>
      <sheetName val="Summary"/>
      <sheetName val="BM"/>
      <sheetName val="B101"/>
      <sheetName val="카메라"/>
      <sheetName val="COA-17"/>
      <sheetName val="C-18"/>
      <sheetName val="당초"/>
      <sheetName val="MOB-MAN1"/>
      <sheetName val="예제"/>
      <sheetName val="실행예산SHEET도장재검토"/>
      <sheetName val="기준표"/>
      <sheetName val="규격"/>
      <sheetName val="노점수분"/>
      <sheetName val="자재사용현황"/>
      <sheetName val="w't table"/>
      <sheetName val="INDEX"/>
      <sheetName val="DI-ESTI"/>
      <sheetName val="KH-Q1,Q2,01"/>
      <sheetName val="NYS"/>
      <sheetName val="CAT_5"/>
      <sheetName val="kich thuoc"/>
      <sheetName val="DTHH"/>
      <sheetName val="WE'T"/>
      <sheetName val="REDUCER"/>
      <sheetName val="임율 Data"/>
      <sheetName val="Lists"/>
      <sheetName val="REV 4"/>
      <sheetName val="COL"/>
      <sheetName val="Sheet5"/>
      <sheetName val="BEND LOSS"/>
      <sheetName val="CI "/>
      <sheetName val="CI"/>
      <sheetName val="FM"/>
      <sheetName val="내역서"/>
      <sheetName val="노임단가"/>
      <sheetName val="품셈표"/>
      <sheetName val="추가예산"/>
      <sheetName val="자바라1"/>
      <sheetName val="해외 연수비용 계산-삭제"/>
      <sheetName val="Wind Load(3.1) (2)"/>
      <sheetName val="Wind Load(3.2)"/>
      <sheetName val="Wind Load(3.4)"/>
      <sheetName val="Ord"/>
      <sheetName val="Key Data"/>
      <sheetName val="INPUT"/>
      <sheetName val="2.2 띠장의 설계"/>
      <sheetName val="Assembly_list"/>
      <sheetName val="간접비 총괄표"/>
      <sheetName val="ﾀｰﾋﾞﾝ"/>
      <sheetName val="Setup"/>
      <sheetName val="Cover_Sheet"/>
      <sheetName val="Project_Outline"/>
      <sheetName val="Contractual_Amount"/>
      <sheetName val="TENDER_vs_BUDGET"/>
      <sheetName val="직영_vs_하청_-_2"/>
      <sheetName val="96_당초Schedule"/>
      <sheetName val="96_Performance"/>
      <sheetName val="소화-투입_분석표"/>
      <sheetName val="STF_ORG(K)"/>
      <sheetName val="Staff_Org__Chart"/>
      <sheetName val="Scope_of_Work"/>
      <sheetName val="Design_Status"/>
      <sheetName val="DWG_Status"/>
      <sheetName val="MAT'L_Status"/>
      <sheetName val="Install_Status"/>
      <sheetName val="Staff_Mob__Plan"/>
      <sheetName val="M_P_Mob__Plan"/>
      <sheetName val="Eq__Mobilization"/>
      <sheetName val="GRP_PIPING"/>
      <sheetName val="BM_"/>
      <sheetName val="DWG_LIST"/>
      <sheetName val="자격_땡겨오기"/>
      <sheetName val="5_소재"/>
      <sheetName val="表二"/>
      <sheetName val="EQUIPOS"/>
      <sheetName val="石炭性状"/>
      <sheetName val="증감내역서"/>
      <sheetName val="表三(首站)"/>
      <sheetName val="代码表"/>
      <sheetName val="Z- GENERAL PRICE SUMMARY"/>
      <sheetName val="WITHOUT C&amp;I PROFIT (3)"/>
      <sheetName val="목표세부명세"/>
      <sheetName val="Rate Analysis"/>
      <sheetName val="Earthwork"/>
      <sheetName val="2020 회원명부"/>
      <sheetName val="대비표"/>
      <sheetName val="산근"/>
      <sheetName val="집계표(OPTION)"/>
      <sheetName val="DRUM"/>
      <sheetName val="Cash2"/>
      <sheetName val="Z"/>
      <sheetName val="w't_table"/>
      <sheetName val="kich_thuoc"/>
      <sheetName val="임율_Data"/>
      <sheetName val="해외_연수비용_계산-삭제"/>
      <sheetName val="Wind_Load(3_1)_(2)"/>
      <sheetName val="Wind_Load(3_2)"/>
      <sheetName val="Wind_Load(3_4)"/>
      <sheetName val="Key_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/>
      <sheetData sheetId="138"/>
      <sheetData sheetId="139"/>
      <sheetData sheetId="140"/>
      <sheetData sheetId="141"/>
      <sheetData sheetId="142"/>
      <sheetData sheetId="143"/>
      <sheetData sheetId="14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Content"/>
      <sheetName val="Project Outline"/>
      <sheetName val="주요공사"/>
      <sheetName val="Contractual Amount"/>
      <sheetName val="시헹예산"/>
      <sheetName val="TENDER vs BUDGET"/>
      <sheetName val="직영 vs 하청 - 2"/>
      <sheetName val="96 당초Schedule"/>
      <sheetName val="96 Performance"/>
      <sheetName val="소화-투입 분석표"/>
      <sheetName val="STF ORG(K)"/>
      <sheetName val="Staff Org. Chart"/>
      <sheetName val="Scope of Work"/>
      <sheetName val="Design Status"/>
      <sheetName val="DWG Status"/>
      <sheetName val="MAT'L Status"/>
      <sheetName val="장비동원"/>
      <sheetName val="근로자동원"/>
      <sheetName val="Install Status"/>
      <sheetName val="Staff Mob. Plan"/>
      <sheetName val="M.P Mob. Plan"/>
      <sheetName val="Eq. Mobilization"/>
      <sheetName val="견적기준"/>
      <sheetName val="CI "/>
      <sheetName val="CI"/>
      <sheetName val=""/>
      <sheetName val="TTL"/>
      <sheetName val="성광벤드"/>
      <sheetName val="REPORT07"/>
      <sheetName val="GRP PIPING"/>
      <sheetName val="Sheet1"/>
      <sheetName val="P-LIST"/>
      <sheetName val="물가자료"/>
      <sheetName val="일위대가"/>
      <sheetName val="M-EQPT-Z"/>
      <sheetName val="2000년1차"/>
      <sheetName val="단가집"/>
      <sheetName val="전열면적"/>
      <sheetName val="SEPARATOR"/>
      <sheetName val="BM "/>
      <sheetName val="DWG LIST"/>
      <sheetName val="자격 땡겨오기"/>
      <sheetName val="VAE264_VALVES"/>
      <sheetName val="5.소재"/>
      <sheetName val="소화실적"/>
      <sheetName val="현장지지물물량"/>
      <sheetName val="#REF"/>
      <sheetName val="Summary"/>
      <sheetName val="BM"/>
      <sheetName val="B101"/>
      <sheetName val="카메라"/>
      <sheetName val="COA-17"/>
      <sheetName val="C-18"/>
      <sheetName val="당초"/>
      <sheetName val="MOB-MAN1"/>
      <sheetName val="예제"/>
      <sheetName val="실행예산SHEET도장재검토"/>
      <sheetName val="기준표"/>
      <sheetName val="규격"/>
      <sheetName val="노점수분"/>
      <sheetName val="자재사용현황"/>
      <sheetName val="w't table"/>
      <sheetName val="INDEX"/>
      <sheetName val="DI-ESTI"/>
      <sheetName val="KH-Q1,Q2,01"/>
      <sheetName val="NYS"/>
      <sheetName val="CAT_5"/>
      <sheetName val="kich thuoc"/>
      <sheetName val="DTHH"/>
      <sheetName val="Cover_Sheet"/>
      <sheetName val="Project_Outline"/>
      <sheetName val="Contractual_Amount"/>
      <sheetName val="TENDER_vs_BUDGET"/>
      <sheetName val="직영_vs_하청_-_2"/>
      <sheetName val="96_당초Schedule"/>
      <sheetName val="96_Performance"/>
      <sheetName val="소화-투입_분석표"/>
      <sheetName val="STF_ORG(K)"/>
      <sheetName val="Staff_Org__Chart"/>
      <sheetName val="Scope_of_Work"/>
      <sheetName val="Design_Status"/>
      <sheetName val="DWG_Status"/>
      <sheetName val="MAT'L_Status"/>
      <sheetName val="Install_Status"/>
      <sheetName val="Staff_Mob__Plan"/>
      <sheetName val="M_P_Mob__Plan"/>
      <sheetName val="Eq__Mobilization"/>
      <sheetName val="산근터빈"/>
      <sheetName val="2.대외공문"/>
      <sheetName val="XZLC004_PART2"/>
      <sheetName val="XZLC003_PART1"/>
      <sheetName val="수량산출"/>
      <sheetName val="burner-spare"/>
      <sheetName val="일위대가표(DEEP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Content"/>
      <sheetName val="Project Outline"/>
      <sheetName val="주요공사"/>
      <sheetName val="Contractual Amount"/>
      <sheetName val="시헹예산"/>
      <sheetName val="TENDER vs BUDGET"/>
      <sheetName val="직영 vs 하청 - 2"/>
      <sheetName val="96 당초Schedule"/>
      <sheetName val="96 Performance"/>
      <sheetName val="소화-투입 분석표"/>
      <sheetName val="STF ORG(K)"/>
      <sheetName val="Staff Org. Chart"/>
      <sheetName val="Scope of Work"/>
      <sheetName val="Design Status"/>
      <sheetName val="DWG Status"/>
      <sheetName val="MAT'L Status"/>
      <sheetName val="장비동원"/>
      <sheetName val="근로자동원"/>
      <sheetName val="Install Status"/>
      <sheetName val="Staff Mob. Plan"/>
      <sheetName val="M.P Mob. Plan"/>
      <sheetName val="Eq. Mobilization"/>
      <sheetName val="P-LIST"/>
      <sheetName val="물가자료"/>
      <sheetName val="B101"/>
      <sheetName val="카메라"/>
      <sheetName val="COA-17"/>
      <sheetName val="C-18"/>
      <sheetName val=""/>
      <sheetName val="TTL"/>
      <sheetName val="성광벤드"/>
      <sheetName val="REPORT07"/>
      <sheetName val="GRP PIPING"/>
      <sheetName val="Sheet1"/>
      <sheetName val="견적기준"/>
      <sheetName val="일위대가"/>
      <sheetName val="M-EQPT-Z"/>
      <sheetName val="2000년1차"/>
      <sheetName val="단가집"/>
      <sheetName val="전열면적"/>
      <sheetName val="SEPARATOR"/>
      <sheetName val="BM "/>
      <sheetName val="DWG LIST"/>
      <sheetName val="자격 땡겨오기"/>
      <sheetName val="VAE264_VALVES"/>
      <sheetName val="5.소재"/>
      <sheetName val="소화실적"/>
      <sheetName val="현장지지물물량"/>
      <sheetName val="#REF"/>
      <sheetName val="Summary"/>
      <sheetName val="BM"/>
      <sheetName val="당초"/>
      <sheetName val="MOB-MAN1"/>
      <sheetName val="예제"/>
      <sheetName val="실행예산SHEET도장재검토"/>
      <sheetName val="기준표"/>
      <sheetName val="규격"/>
      <sheetName val="노점수분"/>
      <sheetName val="자재사용현황"/>
      <sheetName val="w't table"/>
      <sheetName val="INDEX"/>
      <sheetName val="DI-ESTI"/>
      <sheetName val="KH-Q1,Q2,01"/>
      <sheetName val="NYS"/>
      <sheetName val="CAT_5"/>
      <sheetName val="보일러"/>
      <sheetName val="Renc.Prod"/>
      <sheetName val="Tabel Kode"/>
      <sheetName val="PLN Ags"/>
      <sheetName val="PLN Apr"/>
      <sheetName val="Biaya Tot PLN TDL 2003"/>
      <sheetName val="PLN Des"/>
      <sheetName val="PLN Feb"/>
      <sheetName val="PLN Jan"/>
      <sheetName val="PLN Jul"/>
      <sheetName val="PLN Jun"/>
      <sheetName val="PLN Mar"/>
      <sheetName val="PLN Mei"/>
      <sheetName val="PLN Nov"/>
      <sheetName val="PLN Okt"/>
      <sheetName val="PLN Sep"/>
      <sheetName val="Renc.Semen Keluar prod kantong"/>
      <sheetName val="kich thuoc"/>
      <sheetName val="DTH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ircular bundle"/>
      <sheetName val="steam table"/>
      <sheetName val="loss계산-TAWEELAH-msf-jan6"/>
      <sheetName val="DJ1"/>
      <sheetName val="정부노임단가"/>
      <sheetName val="fitting"/>
      <sheetName val="환율표"/>
      <sheetName val="Evap-기타"/>
      <sheetName val="P-LIST"/>
      <sheetName val="대비"/>
      <sheetName val="BID"/>
      <sheetName val="Testing"/>
      <sheetName val="eq_data"/>
      <sheetName val="BLR 1"/>
      <sheetName val="GEN"/>
      <sheetName val="GAS"/>
      <sheetName val="DEAE"/>
      <sheetName val="BLR2"/>
      <sheetName val="BLR3"/>
      <sheetName val="BLR4"/>
      <sheetName val="BLR5"/>
      <sheetName val="DEM"/>
      <sheetName val="SAM"/>
      <sheetName val="CHEM"/>
      <sheetName val="COP"/>
      <sheetName val="八幡"/>
      <sheetName val="GM 000"/>
      <sheetName val="csdim"/>
      <sheetName val="cdsload"/>
      <sheetName val="chsload"/>
      <sheetName val="CLAMP"/>
      <sheetName val="cvsload"/>
      <sheetName val="pipe"/>
      <sheetName val="Cash2"/>
      <sheetName val="Z"/>
      <sheetName val="BSD _2_"/>
      <sheetName val="BSD (2)"/>
      <sheetName val="환산표"/>
      <sheetName val="MOTOR"/>
      <sheetName val="95신규호표"/>
      <sheetName val="BM"/>
      <sheetName val="CBL_OD"/>
      <sheetName val="MOB-MAN1"/>
      <sheetName val="giathanh1"/>
      <sheetName val="6-2차"/>
      <sheetName val="Code 02"/>
      <sheetName val="Code 03"/>
      <sheetName val="Code 04"/>
      <sheetName val="Code 05"/>
      <sheetName val="Code 06"/>
      <sheetName val="Code 07"/>
      <sheetName val="Code 09"/>
      <sheetName val="Code03"/>
      <sheetName val="Summary"/>
      <sheetName val="5-Digit"/>
      <sheetName val="MixBed"/>
      <sheetName val="CondPol"/>
      <sheetName val="Inputs"/>
      <sheetName val="BD"/>
      <sheetName val="당초"/>
      <sheetName val="LAB"/>
      <sheetName val="노임단가"/>
      <sheetName val="공사계획서"/>
      <sheetName val="품셈표"/>
      <sheetName val="H-shape"/>
      <sheetName val="Dieuchinh"/>
      <sheetName val="gvl"/>
      <sheetName val="IBASE"/>
      <sheetName val="예산M12A"/>
      <sheetName val="JOINT1"/>
      <sheetName val="XL4Poppy"/>
      <sheetName val="현장지지물물량"/>
      <sheetName val="INSULTABLE"/>
      <sheetName val="ex-shell"/>
      <sheetName val="001"/>
      <sheetName val="TTL"/>
      <sheetName val="입력값"/>
      <sheetName val="NEWDRAW"/>
      <sheetName val="내역"/>
      <sheetName val="Sheet3 (2)"/>
      <sheetName val="circular_bundle1"/>
      <sheetName val="steam_table1"/>
      <sheetName val="circular_bundle"/>
      <sheetName val="steam_table"/>
      <sheetName val="ADL DATA"/>
      <sheetName val="FIRE FIGHTING"/>
      <sheetName val="Wind Load(3.1) (2)"/>
      <sheetName val="Wind Load(3.2)"/>
      <sheetName val="Wind Load(3.4)"/>
      <sheetName val="REDUCER"/>
      <sheetName val="Data"/>
      <sheetName val="BM "/>
      <sheetName val="DWG LIST"/>
      <sheetName val="#REF"/>
      <sheetName val="PNT-QUOT-#3"/>
      <sheetName val="COAT&amp;WRAP-QIOT-#3"/>
      <sheetName val="CAT_5"/>
      <sheetName val="COA-17"/>
      <sheetName val="C-18"/>
      <sheetName val="list"/>
      <sheetName val="Break Down Price"/>
      <sheetName val="1100"/>
      <sheetName val="Mech CIF"/>
      <sheetName val="환율-LIBOR"/>
      <sheetName val="JOB特定"/>
      <sheetName val="VL"/>
      <sheetName val="산근"/>
      <sheetName val="PBS"/>
      <sheetName val="LGBOM1절_CheckList"/>
      <sheetName val="카메라"/>
      <sheetName val="보일러"/>
      <sheetName val="ITEM-LIST"/>
      <sheetName val="Eq. Mobilization"/>
      <sheetName val="Proposal"/>
      <sheetName val="적용환율"/>
      <sheetName val="circular_bundle4"/>
      <sheetName val="steam_table4"/>
      <sheetName val="BLR_12"/>
      <sheetName val="GM_0002"/>
      <sheetName val="BSD__2_2"/>
      <sheetName val="BSD_(2)2"/>
      <sheetName val="Code_022"/>
      <sheetName val="Code_032"/>
      <sheetName val="Code_042"/>
      <sheetName val="Code_052"/>
      <sheetName val="Code_062"/>
      <sheetName val="Code_072"/>
      <sheetName val="Code_092"/>
      <sheetName val="Sheet3_(2)2"/>
      <sheetName val="ADL_DATA2"/>
      <sheetName val="FIRE_FIGHTING2"/>
      <sheetName val="BM_2"/>
      <sheetName val="DWG_LIST2"/>
      <sheetName val="Wind_Load(3_1)_(2)2"/>
      <sheetName val="Wind_Load(3_2)2"/>
      <sheetName val="Wind_Load(3_4)2"/>
      <sheetName val="Break_Down_Price2"/>
      <sheetName val="circular_bundle2"/>
      <sheetName val="steam_table2"/>
      <sheetName val="BLR_1"/>
      <sheetName val="GM_000"/>
      <sheetName val="BSD__2_"/>
      <sheetName val="BSD_(2)"/>
      <sheetName val="Code_02"/>
      <sheetName val="Code_03"/>
      <sheetName val="Code_04"/>
      <sheetName val="Code_05"/>
      <sheetName val="Code_06"/>
      <sheetName val="Code_07"/>
      <sheetName val="Code_09"/>
      <sheetName val="Sheet3_(2)"/>
      <sheetName val="ADL_DATA"/>
      <sheetName val="FIRE_FIGHTING"/>
      <sheetName val="BM_"/>
      <sheetName val="DWG_LIST"/>
      <sheetName val="Wind_Load(3_1)_(2)"/>
      <sheetName val="Wind_Load(3_2)"/>
      <sheetName val="Wind_Load(3_4)"/>
      <sheetName val="Break_Down_Price"/>
      <sheetName val="circular_bundle3"/>
      <sheetName val="steam_table3"/>
      <sheetName val="BLR_11"/>
      <sheetName val="GM_0001"/>
      <sheetName val="BSD__2_1"/>
      <sheetName val="BSD_(2)1"/>
      <sheetName val="Code_021"/>
      <sheetName val="Code_031"/>
      <sheetName val="Code_041"/>
      <sheetName val="Code_051"/>
      <sheetName val="Code_061"/>
      <sheetName val="Code_071"/>
      <sheetName val="Code_091"/>
      <sheetName val="Sheet3_(2)1"/>
      <sheetName val="ADL_DATA1"/>
      <sheetName val="FIRE_FIGHTING1"/>
      <sheetName val="BM_1"/>
      <sheetName val="DWG_LIST1"/>
      <sheetName val="Wind_Load(3_1)_(2)1"/>
      <sheetName val="Wind_Load(3_2)1"/>
      <sheetName val="Wind_Load(3_4)1"/>
      <sheetName val="Break_Down_Price1"/>
      <sheetName val="circular_bundle6"/>
      <sheetName val="steam_table6"/>
      <sheetName val="BLR_14"/>
      <sheetName val="GM_0004"/>
      <sheetName val="BSD__2_4"/>
      <sheetName val="BSD_(2)4"/>
      <sheetName val="Code_024"/>
      <sheetName val="Code_034"/>
      <sheetName val="Code_044"/>
      <sheetName val="Code_054"/>
      <sheetName val="Code_064"/>
      <sheetName val="Code_074"/>
      <sheetName val="Code_094"/>
      <sheetName val="Sheet3_(2)4"/>
      <sheetName val="ADL_DATA4"/>
      <sheetName val="FIRE_FIGHTING4"/>
      <sheetName val="BM_4"/>
      <sheetName val="DWG_LIST4"/>
      <sheetName val="Wind_Load(3_1)_(2)4"/>
      <sheetName val="Wind_Load(3_2)4"/>
      <sheetName val="Wind_Load(3_4)4"/>
      <sheetName val="Break_Down_Price4"/>
      <sheetName val="circular_bundle5"/>
      <sheetName val="steam_table5"/>
      <sheetName val="BLR_13"/>
      <sheetName val="GM_0003"/>
      <sheetName val="BSD__2_3"/>
      <sheetName val="BSD_(2)3"/>
      <sheetName val="Code_023"/>
      <sheetName val="Code_033"/>
      <sheetName val="Code_043"/>
      <sheetName val="Code_053"/>
      <sheetName val="Code_063"/>
      <sheetName val="Code_073"/>
      <sheetName val="Code_093"/>
      <sheetName val="Sheet3_(2)3"/>
      <sheetName val="ADL_DATA3"/>
      <sheetName val="FIRE_FIGHTING3"/>
      <sheetName val="BM_3"/>
      <sheetName val="DWG_LIST3"/>
      <sheetName val="Wind_Load(3_1)_(2)3"/>
      <sheetName val="Wind_Load(3_2)3"/>
      <sheetName val="Wind_Load(3_4)3"/>
      <sheetName val="Break_Down_Price3"/>
      <sheetName val="w't table"/>
      <sheetName val="갑지"/>
      <sheetName val="Erection"/>
      <sheetName val="Sheet2"/>
      <sheetName val="circular_bundle7"/>
      <sheetName val="steam_table7"/>
      <sheetName val="BLR_15"/>
      <sheetName val="GM_0005"/>
      <sheetName val="BSD__2_5"/>
      <sheetName val="BSD_(2)5"/>
      <sheetName val="Code_025"/>
      <sheetName val="Code_035"/>
      <sheetName val="Code_045"/>
      <sheetName val="Code_055"/>
      <sheetName val="Code_065"/>
      <sheetName val="Code_075"/>
      <sheetName val="Code_095"/>
      <sheetName val="Sheet3_(2)5"/>
      <sheetName val="ADL_DATA5"/>
      <sheetName val="FIRE_FIGHTING5"/>
      <sheetName val="Wind_Load(3_1)_(2)5"/>
      <sheetName val="Wind_Load(3_2)5"/>
      <sheetName val="Wind_Load(3_4)5"/>
      <sheetName val="BM_5"/>
      <sheetName val="DWG_LIST5"/>
      <sheetName val="Break_Down_Price5"/>
      <sheetName val="Mech_CIF"/>
      <sheetName val="Eq__Mobilization"/>
      <sheetName val="w't_table"/>
      <sheetName val="circular_bundle8"/>
      <sheetName val="steam_table8"/>
      <sheetName val="BLR_16"/>
      <sheetName val="GM_0006"/>
      <sheetName val="BSD__2_6"/>
      <sheetName val="BSD_(2)6"/>
      <sheetName val="Code_026"/>
      <sheetName val="Code_036"/>
      <sheetName val="Code_046"/>
      <sheetName val="Code_056"/>
      <sheetName val="Code_066"/>
      <sheetName val="Code_076"/>
      <sheetName val="Code_096"/>
      <sheetName val="Sheet3_(2)6"/>
      <sheetName val="ADL_DATA6"/>
      <sheetName val="FIRE_FIGHTING6"/>
      <sheetName val="Wind_Load(3_1)_(2)6"/>
      <sheetName val="Wind_Load(3_2)6"/>
      <sheetName val="Wind_Load(3_4)6"/>
      <sheetName val="BM_6"/>
      <sheetName val="DWG_LIST6"/>
      <sheetName val="Break_Down_Price6"/>
      <sheetName val="Mech_CIF1"/>
      <sheetName val="Eq__Mobilization1"/>
      <sheetName val="w't_table1"/>
      <sheetName val="circular_bundle9"/>
      <sheetName val="steam_table9"/>
      <sheetName val="BLR_17"/>
      <sheetName val="GM_0007"/>
      <sheetName val="BSD__2_7"/>
      <sheetName val="BSD_(2)7"/>
      <sheetName val="Code_027"/>
      <sheetName val="Code_037"/>
      <sheetName val="Code_047"/>
      <sheetName val="Code_057"/>
      <sheetName val="Code_067"/>
      <sheetName val="Code_077"/>
      <sheetName val="Code_097"/>
      <sheetName val="Sheet3_(2)7"/>
      <sheetName val="Wind_Load(3_1)_(2)7"/>
      <sheetName val="Wind_Load(3_2)7"/>
      <sheetName val="Wind_Load(3_4)7"/>
      <sheetName val="ADL_DATA7"/>
      <sheetName val="FIRE_FIGHTING7"/>
      <sheetName val="BM_7"/>
      <sheetName val="DWG_LIST7"/>
      <sheetName val="Break_Down_Price7"/>
      <sheetName val="Mech_CIF2"/>
      <sheetName val="Eq__Mobilization2"/>
      <sheetName val="w't_table2"/>
      <sheetName val="circular_bundle10"/>
      <sheetName val="steam_table10"/>
      <sheetName val="BLR_18"/>
      <sheetName val="GM_0008"/>
      <sheetName val="BSD__2_8"/>
      <sheetName val="BSD_(2)8"/>
      <sheetName val="Code_028"/>
      <sheetName val="Code_038"/>
      <sheetName val="Code_048"/>
      <sheetName val="Code_058"/>
      <sheetName val="Code_068"/>
      <sheetName val="Code_078"/>
      <sheetName val="Code_098"/>
      <sheetName val="Sheet3_(2)8"/>
      <sheetName val="Wind_Load(3_1)_(2)8"/>
      <sheetName val="Wind_Load(3_2)8"/>
      <sheetName val="Wind_Load(3_4)8"/>
      <sheetName val="ADL_DATA8"/>
      <sheetName val="FIRE_FIGHTING8"/>
      <sheetName val="BM_8"/>
      <sheetName val="DWG_LIST8"/>
      <sheetName val="Break_Down_Price8"/>
      <sheetName val="Mech_CIF3"/>
      <sheetName val="Eq__Mobilization3"/>
      <sheetName val="w't_table3"/>
      <sheetName val="Labor"/>
      <sheetName val="WT-LIST"/>
      <sheetName val="labor1"/>
      <sheetName val="index"/>
      <sheetName val="22-Plant"/>
      <sheetName val="Supervision List"/>
      <sheetName val="기계내역서"/>
      <sheetName val="사진"/>
      <sheetName val="ancillary"/>
      <sheetName val="DATA LISTS"/>
      <sheetName val="BQ"/>
      <sheetName val="Sheet1"/>
      <sheetName val="PLAN_FEB97"/>
      <sheetName val="차액보증"/>
      <sheetName val="3D-HOR"/>
      <sheetName val="3D-PEN"/>
      <sheetName val="ELE3D"/>
      <sheetName val="ELE DATA"/>
      <sheetName val="ELEMENT BM"/>
      <sheetName val="TubePR"/>
      <sheetName val="UPPER-CP(표지)"/>
      <sheetName val="UPPER-CP(상세)"/>
      <sheetName val="LOWER-CP(표지)"/>
      <sheetName val="LOWER-CP(상세)"/>
      <sheetName val="PENDANT-CP(표지)"/>
      <sheetName val="PENDANT-CP(상세)"/>
      <sheetName val="hotwell_sizing"/>
      <sheetName val="Tubesheet Th'k"/>
      <sheetName val="ESTI."/>
      <sheetName val="DI-ESTI"/>
      <sheetName val="설산1.나"/>
      <sheetName val="본사S"/>
      <sheetName val="PumpSpec"/>
      <sheetName val="co-no.2"/>
      <sheetName val="h-013211-2"/>
      <sheetName val="Table"/>
      <sheetName val="산근터빈"/>
    </sheetNames>
    <sheetDataSet>
      <sheetData sheetId="0" refreshError="1"/>
      <sheetData sheetId="1" refreshError="1">
        <row r="5">
          <cell r="N5">
            <v>20</v>
          </cell>
          <cell r="O5">
            <v>2454.3000000000002</v>
          </cell>
          <cell r="P5">
            <v>21</v>
          </cell>
          <cell r="Q5">
            <v>2452</v>
          </cell>
        </row>
        <row r="6">
          <cell r="N6">
            <v>21</v>
          </cell>
          <cell r="O6">
            <v>2452</v>
          </cell>
          <cell r="P6">
            <v>22</v>
          </cell>
          <cell r="Q6">
            <v>2449.6</v>
          </cell>
        </row>
        <row r="7">
          <cell r="N7">
            <v>22</v>
          </cell>
          <cell r="O7">
            <v>2449.6</v>
          </cell>
          <cell r="P7">
            <v>23</v>
          </cell>
          <cell r="Q7">
            <v>2447.1999999999998</v>
          </cell>
        </row>
        <row r="8">
          <cell r="N8">
            <v>23</v>
          </cell>
          <cell r="O8">
            <v>2447.1999999999998</v>
          </cell>
          <cell r="P8">
            <v>24</v>
          </cell>
          <cell r="Q8">
            <v>2444.9</v>
          </cell>
        </row>
        <row r="9">
          <cell r="N9">
            <v>24</v>
          </cell>
          <cell r="O9">
            <v>2444.9</v>
          </cell>
          <cell r="P9">
            <v>25</v>
          </cell>
          <cell r="Q9">
            <v>2442.5</v>
          </cell>
        </row>
        <row r="10">
          <cell r="N10">
            <v>25</v>
          </cell>
          <cell r="O10">
            <v>2442.5</v>
          </cell>
          <cell r="P10">
            <v>26</v>
          </cell>
          <cell r="Q10">
            <v>2440.1999999999998</v>
          </cell>
        </row>
        <row r="11">
          <cell r="N11">
            <v>26</v>
          </cell>
          <cell r="O11">
            <v>2440.1999999999998</v>
          </cell>
          <cell r="P11">
            <v>27</v>
          </cell>
          <cell r="Q11">
            <v>2437.8000000000002</v>
          </cell>
        </row>
        <row r="12">
          <cell r="N12">
            <v>27</v>
          </cell>
          <cell r="O12">
            <v>2437.8000000000002</v>
          </cell>
          <cell r="P12">
            <v>28</v>
          </cell>
          <cell r="Q12">
            <v>2435.4</v>
          </cell>
        </row>
        <row r="13">
          <cell r="N13">
            <v>28</v>
          </cell>
          <cell r="O13">
            <v>2435.4</v>
          </cell>
          <cell r="P13">
            <v>29</v>
          </cell>
          <cell r="Q13">
            <v>2433.1</v>
          </cell>
        </row>
        <row r="14">
          <cell r="N14">
            <v>29</v>
          </cell>
          <cell r="O14">
            <v>2433.1</v>
          </cell>
          <cell r="P14">
            <v>30</v>
          </cell>
          <cell r="Q14">
            <v>2430.6999999999998</v>
          </cell>
        </row>
        <row r="15">
          <cell r="N15">
            <v>30</v>
          </cell>
          <cell r="O15">
            <v>2430.6999999999998</v>
          </cell>
          <cell r="P15">
            <v>31</v>
          </cell>
          <cell r="Q15">
            <v>2428.3000000000002</v>
          </cell>
        </row>
        <row r="16">
          <cell r="N16">
            <v>31</v>
          </cell>
          <cell r="O16">
            <v>2428.3000000000002</v>
          </cell>
          <cell r="P16">
            <v>32</v>
          </cell>
          <cell r="Q16">
            <v>2425.9</v>
          </cell>
        </row>
        <row r="17">
          <cell r="N17">
            <v>32</v>
          </cell>
          <cell r="O17">
            <v>2425.9</v>
          </cell>
          <cell r="P17">
            <v>33</v>
          </cell>
          <cell r="Q17">
            <v>2423.6</v>
          </cell>
        </row>
        <row r="18">
          <cell r="N18">
            <v>33</v>
          </cell>
          <cell r="O18">
            <v>2423.6</v>
          </cell>
          <cell r="P18">
            <v>34</v>
          </cell>
          <cell r="Q18">
            <v>2421.1999999999998</v>
          </cell>
        </row>
        <row r="19">
          <cell r="N19">
            <v>34</v>
          </cell>
          <cell r="O19">
            <v>2421.1999999999998</v>
          </cell>
          <cell r="P19">
            <v>35</v>
          </cell>
          <cell r="Q19">
            <v>2418.8000000000002</v>
          </cell>
        </row>
        <row r="20">
          <cell r="N20">
            <v>35</v>
          </cell>
          <cell r="O20">
            <v>2418.8000000000002</v>
          </cell>
          <cell r="P20">
            <v>36</v>
          </cell>
          <cell r="Q20">
            <v>2416.4</v>
          </cell>
        </row>
        <row r="21">
          <cell r="N21">
            <v>36</v>
          </cell>
          <cell r="O21">
            <v>2416.4</v>
          </cell>
          <cell r="P21">
            <v>37</v>
          </cell>
          <cell r="Q21">
            <v>2414.1</v>
          </cell>
        </row>
        <row r="22">
          <cell r="N22">
            <v>37</v>
          </cell>
          <cell r="O22">
            <v>2414.1</v>
          </cell>
          <cell r="P22">
            <v>38</v>
          </cell>
          <cell r="Q22">
            <v>2411.6999999999998</v>
          </cell>
        </row>
        <row r="23">
          <cell r="N23">
            <v>38</v>
          </cell>
          <cell r="O23">
            <v>2411.6999999999998</v>
          </cell>
          <cell r="P23">
            <v>39</v>
          </cell>
          <cell r="Q23">
            <v>2409.3000000000002</v>
          </cell>
        </row>
        <row r="24">
          <cell r="N24">
            <v>39</v>
          </cell>
          <cell r="O24">
            <v>2409.3000000000002</v>
          </cell>
          <cell r="P24">
            <v>40</v>
          </cell>
          <cell r="Q24">
            <v>2406.9</v>
          </cell>
        </row>
        <row r="25">
          <cell r="N25">
            <v>40</v>
          </cell>
          <cell r="O25">
            <v>2406.9</v>
          </cell>
          <cell r="P25">
            <v>41</v>
          </cell>
          <cell r="Q25">
            <v>2404.5</v>
          </cell>
        </row>
        <row r="26">
          <cell r="N26">
            <v>41</v>
          </cell>
          <cell r="O26">
            <v>2404.5</v>
          </cell>
          <cell r="P26">
            <v>42</v>
          </cell>
          <cell r="Q26">
            <v>2402.1</v>
          </cell>
        </row>
        <row r="27">
          <cell r="N27">
            <v>42</v>
          </cell>
          <cell r="O27">
            <v>2402.1</v>
          </cell>
          <cell r="P27">
            <v>43</v>
          </cell>
          <cell r="Q27">
            <v>2399.6999999999998</v>
          </cell>
        </row>
        <row r="28">
          <cell r="N28">
            <v>43</v>
          </cell>
          <cell r="O28">
            <v>2399.6999999999998</v>
          </cell>
          <cell r="P28">
            <v>44</v>
          </cell>
          <cell r="Q28">
            <v>2397.3000000000002</v>
          </cell>
        </row>
        <row r="29">
          <cell r="N29">
            <v>44</v>
          </cell>
          <cell r="O29">
            <v>2397.3000000000002</v>
          </cell>
          <cell r="P29">
            <v>45</v>
          </cell>
          <cell r="Q29">
            <v>2394.9</v>
          </cell>
        </row>
        <row r="30">
          <cell r="N30">
            <v>45</v>
          </cell>
          <cell r="O30">
            <v>2394.9</v>
          </cell>
          <cell r="P30">
            <v>46</v>
          </cell>
          <cell r="Q30">
            <v>2392.5</v>
          </cell>
        </row>
        <row r="31">
          <cell r="N31">
            <v>46</v>
          </cell>
          <cell r="O31">
            <v>2392.5</v>
          </cell>
          <cell r="P31">
            <v>47</v>
          </cell>
          <cell r="Q31">
            <v>2390.1</v>
          </cell>
        </row>
        <row r="32">
          <cell r="N32">
            <v>47</v>
          </cell>
          <cell r="O32">
            <v>2390.1</v>
          </cell>
          <cell r="P32">
            <v>48</v>
          </cell>
          <cell r="Q32">
            <v>2387.6999999999998</v>
          </cell>
        </row>
        <row r="33">
          <cell r="N33">
            <v>48</v>
          </cell>
          <cell r="O33">
            <v>2387.6999999999998</v>
          </cell>
          <cell r="P33">
            <v>49</v>
          </cell>
          <cell r="Q33">
            <v>2385.3000000000002</v>
          </cell>
        </row>
        <row r="34">
          <cell r="N34">
            <v>49</v>
          </cell>
          <cell r="O34">
            <v>2385.3000000000002</v>
          </cell>
          <cell r="P34">
            <v>50</v>
          </cell>
          <cell r="Q34">
            <v>2382.9</v>
          </cell>
        </row>
        <row r="35">
          <cell r="N35">
            <v>50</v>
          </cell>
          <cell r="O35">
            <v>2382.9</v>
          </cell>
          <cell r="P35">
            <v>51</v>
          </cell>
          <cell r="Q35">
            <v>2380.5</v>
          </cell>
        </row>
        <row r="36">
          <cell r="N36">
            <v>51</v>
          </cell>
          <cell r="O36">
            <v>2380.5</v>
          </cell>
          <cell r="P36">
            <v>52</v>
          </cell>
          <cell r="Q36">
            <v>2378.1</v>
          </cell>
        </row>
        <row r="37">
          <cell r="N37">
            <v>52</v>
          </cell>
          <cell r="O37">
            <v>2378.1</v>
          </cell>
          <cell r="P37">
            <v>53</v>
          </cell>
          <cell r="Q37">
            <v>2375.6999999999998</v>
          </cell>
        </row>
        <row r="38">
          <cell r="N38">
            <v>53</v>
          </cell>
          <cell r="O38">
            <v>2375.6999999999998</v>
          </cell>
          <cell r="P38">
            <v>54</v>
          </cell>
          <cell r="Q38">
            <v>2373.1999999999998</v>
          </cell>
        </row>
        <row r="39">
          <cell r="N39">
            <v>54</v>
          </cell>
          <cell r="O39">
            <v>2373.1999999999998</v>
          </cell>
          <cell r="P39">
            <v>55</v>
          </cell>
          <cell r="Q39">
            <v>2370.8000000000002</v>
          </cell>
        </row>
        <row r="40">
          <cell r="N40">
            <v>55</v>
          </cell>
          <cell r="O40">
            <v>2370.8000000000002</v>
          </cell>
          <cell r="P40">
            <v>56</v>
          </cell>
          <cell r="Q40">
            <v>2368.4</v>
          </cell>
        </row>
        <row r="41">
          <cell r="N41">
            <v>56</v>
          </cell>
          <cell r="O41">
            <v>2368.4</v>
          </cell>
          <cell r="P41">
            <v>57</v>
          </cell>
          <cell r="Q41">
            <v>2365.9</v>
          </cell>
        </row>
        <row r="42">
          <cell r="N42">
            <v>57</v>
          </cell>
          <cell r="O42">
            <v>2365.9</v>
          </cell>
          <cell r="P42">
            <v>58</v>
          </cell>
          <cell r="Q42">
            <v>2363.5</v>
          </cell>
        </row>
        <row r="43">
          <cell r="N43">
            <v>58</v>
          </cell>
          <cell r="O43">
            <v>2363.5</v>
          </cell>
          <cell r="P43">
            <v>59</v>
          </cell>
          <cell r="Q43">
            <v>2361.1</v>
          </cell>
        </row>
        <row r="44">
          <cell r="N44">
            <v>59</v>
          </cell>
          <cell r="O44">
            <v>2361.1</v>
          </cell>
          <cell r="P44">
            <v>60</v>
          </cell>
          <cell r="Q44">
            <v>2358.6</v>
          </cell>
        </row>
        <row r="45">
          <cell r="N45">
            <v>60</v>
          </cell>
          <cell r="O45">
            <v>2358.6</v>
          </cell>
          <cell r="P45">
            <v>61</v>
          </cell>
          <cell r="Q45">
            <v>2356.1999999999998</v>
          </cell>
        </row>
        <row r="46">
          <cell r="N46">
            <v>61</v>
          </cell>
          <cell r="O46">
            <v>2356.1999999999998</v>
          </cell>
          <cell r="P46">
            <v>62</v>
          </cell>
          <cell r="Q46">
            <v>2353.6999999999998</v>
          </cell>
        </row>
        <row r="47">
          <cell r="N47">
            <v>62</v>
          </cell>
          <cell r="O47">
            <v>2353.6999999999998</v>
          </cell>
          <cell r="P47">
            <v>63</v>
          </cell>
          <cell r="Q47">
            <v>2351.3000000000002</v>
          </cell>
        </row>
        <row r="48">
          <cell r="N48">
            <v>63</v>
          </cell>
          <cell r="O48">
            <v>2351.3000000000002</v>
          </cell>
          <cell r="P48">
            <v>64</v>
          </cell>
          <cell r="Q48">
            <v>2348.8000000000002</v>
          </cell>
        </row>
        <row r="49">
          <cell r="N49">
            <v>64</v>
          </cell>
          <cell r="O49">
            <v>2348.8000000000002</v>
          </cell>
          <cell r="P49">
            <v>65</v>
          </cell>
          <cell r="Q49">
            <v>2346.3000000000002</v>
          </cell>
        </row>
        <row r="50">
          <cell r="N50">
            <v>65</v>
          </cell>
          <cell r="O50">
            <v>2346.3000000000002</v>
          </cell>
          <cell r="P50">
            <v>66</v>
          </cell>
          <cell r="Q50">
            <v>2343.9</v>
          </cell>
        </row>
        <row r="51">
          <cell r="N51">
            <v>66</v>
          </cell>
          <cell r="O51">
            <v>2343.9</v>
          </cell>
          <cell r="P51">
            <v>67</v>
          </cell>
          <cell r="Q51">
            <v>2341.4</v>
          </cell>
        </row>
        <row r="52">
          <cell r="N52">
            <v>67</v>
          </cell>
          <cell r="O52">
            <v>2341.4</v>
          </cell>
          <cell r="P52">
            <v>68</v>
          </cell>
          <cell r="Q52">
            <v>2338.9</v>
          </cell>
        </row>
        <row r="53">
          <cell r="N53">
            <v>68</v>
          </cell>
          <cell r="O53">
            <v>2338.9</v>
          </cell>
          <cell r="P53">
            <v>69</v>
          </cell>
          <cell r="Q53">
            <v>2336.4</v>
          </cell>
        </row>
        <row r="54">
          <cell r="N54">
            <v>69</v>
          </cell>
          <cell r="O54">
            <v>2336.4</v>
          </cell>
          <cell r="P54">
            <v>70</v>
          </cell>
          <cell r="Q54">
            <v>2334</v>
          </cell>
        </row>
        <row r="55">
          <cell r="N55">
            <v>70</v>
          </cell>
          <cell r="O55">
            <v>2334</v>
          </cell>
          <cell r="P55">
            <v>71</v>
          </cell>
          <cell r="Q55">
            <v>2331.5</v>
          </cell>
        </row>
        <row r="56">
          <cell r="N56">
            <v>71</v>
          </cell>
          <cell r="O56">
            <v>2331.5</v>
          </cell>
          <cell r="P56">
            <v>72</v>
          </cell>
          <cell r="Q56">
            <v>2329</v>
          </cell>
        </row>
        <row r="57">
          <cell r="N57">
            <v>72</v>
          </cell>
          <cell r="O57">
            <v>2329</v>
          </cell>
          <cell r="P57">
            <v>73</v>
          </cell>
          <cell r="Q57">
            <v>2326.5</v>
          </cell>
        </row>
        <row r="58">
          <cell r="N58">
            <v>73</v>
          </cell>
          <cell r="O58">
            <v>2326.5</v>
          </cell>
          <cell r="P58">
            <v>74</v>
          </cell>
          <cell r="Q58">
            <v>2324</v>
          </cell>
        </row>
        <row r="59">
          <cell r="N59">
            <v>74</v>
          </cell>
          <cell r="O59">
            <v>2324</v>
          </cell>
          <cell r="P59">
            <v>75</v>
          </cell>
          <cell r="Q59">
            <v>2321.5</v>
          </cell>
        </row>
        <row r="60">
          <cell r="N60">
            <v>75</v>
          </cell>
          <cell r="O60">
            <v>2321.5</v>
          </cell>
          <cell r="P60">
            <v>76</v>
          </cell>
          <cell r="Q60">
            <v>2318.9</v>
          </cell>
        </row>
        <row r="61">
          <cell r="N61">
            <v>76</v>
          </cell>
          <cell r="O61">
            <v>2318.9</v>
          </cell>
          <cell r="P61">
            <v>77</v>
          </cell>
          <cell r="Q61">
            <v>2316.4</v>
          </cell>
        </row>
        <row r="62">
          <cell r="N62">
            <v>77</v>
          </cell>
          <cell r="O62">
            <v>2316.4</v>
          </cell>
          <cell r="P62">
            <v>78</v>
          </cell>
          <cell r="Q62">
            <v>2313.9</v>
          </cell>
        </row>
        <row r="63">
          <cell r="N63">
            <v>78</v>
          </cell>
          <cell r="O63">
            <v>2313.9</v>
          </cell>
          <cell r="P63">
            <v>79</v>
          </cell>
          <cell r="Q63">
            <v>2311.4</v>
          </cell>
        </row>
        <row r="64">
          <cell r="N64">
            <v>79</v>
          </cell>
          <cell r="O64">
            <v>2311.4</v>
          </cell>
          <cell r="P64">
            <v>80</v>
          </cell>
          <cell r="Q64">
            <v>2308.8000000000002</v>
          </cell>
        </row>
        <row r="65">
          <cell r="N65">
            <v>80</v>
          </cell>
          <cell r="O65">
            <v>2308.8000000000002</v>
          </cell>
          <cell r="P65">
            <v>81</v>
          </cell>
          <cell r="Q65">
            <v>2306.3000000000002</v>
          </cell>
        </row>
        <row r="66">
          <cell r="N66">
            <v>81</v>
          </cell>
          <cell r="O66">
            <v>2306.3000000000002</v>
          </cell>
          <cell r="P66">
            <v>82</v>
          </cell>
          <cell r="Q66">
            <v>2303.8000000000002</v>
          </cell>
        </row>
        <row r="67">
          <cell r="N67">
            <v>82</v>
          </cell>
          <cell r="O67">
            <v>2303.8000000000002</v>
          </cell>
          <cell r="P67">
            <v>83</v>
          </cell>
          <cell r="Q67">
            <v>2301.1999999999998</v>
          </cell>
        </row>
        <row r="68">
          <cell r="N68">
            <v>83</v>
          </cell>
          <cell r="O68">
            <v>2301.1999999999998</v>
          </cell>
          <cell r="P68">
            <v>84</v>
          </cell>
          <cell r="Q68">
            <v>2298.6999999999998</v>
          </cell>
        </row>
        <row r="69">
          <cell r="N69">
            <v>84</v>
          </cell>
          <cell r="O69">
            <v>2298.6999999999998</v>
          </cell>
          <cell r="P69">
            <v>85</v>
          </cell>
          <cell r="Q69">
            <v>2296.5</v>
          </cell>
        </row>
        <row r="70">
          <cell r="N70">
            <v>85</v>
          </cell>
          <cell r="O70">
            <v>2296.5</v>
          </cell>
          <cell r="P70">
            <v>86</v>
          </cell>
          <cell r="Q70">
            <v>2293.1</v>
          </cell>
        </row>
        <row r="71">
          <cell r="N71">
            <v>86</v>
          </cell>
          <cell r="O71">
            <v>2293.1</v>
          </cell>
          <cell r="P71">
            <v>87</v>
          </cell>
          <cell r="Q71">
            <v>2290.9</v>
          </cell>
        </row>
        <row r="72">
          <cell r="N72">
            <v>87</v>
          </cell>
          <cell r="O72">
            <v>2290.9</v>
          </cell>
          <cell r="P72">
            <v>88</v>
          </cell>
          <cell r="Q72">
            <v>2288.4</v>
          </cell>
        </row>
        <row r="73">
          <cell r="N73">
            <v>88</v>
          </cell>
          <cell r="O73">
            <v>2288.4</v>
          </cell>
          <cell r="P73">
            <v>89</v>
          </cell>
          <cell r="Q73">
            <v>2285.8000000000002</v>
          </cell>
        </row>
        <row r="74">
          <cell r="N74">
            <v>89</v>
          </cell>
          <cell r="O74">
            <v>2285.8000000000002</v>
          </cell>
          <cell r="P74">
            <v>90</v>
          </cell>
          <cell r="Q74">
            <v>2283.1999999999998</v>
          </cell>
        </row>
        <row r="75">
          <cell r="N75">
            <v>90</v>
          </cell>
          <cell r="O75">
            <v>2283.1999999999998</v>
          </cell>
          <cell r="P75">
            <v>91</v>
          </cell>
          <cell r="Q75">
            <v>2280.6</v>
          </cell>
        </row>
        <row r="76">
          <cell r="N76">
            <v>91</v>
          </cell>
          <cell r="O76">
            <v>2280.6</v>
          </cell>
          <cell r="P76">
            <v>92</v>
          </cell>
          <cell r="Q76">
            <v>2278</v>
          </cell>
        </row>
        <row r="77">
          <cell r="N77">
            <v>92</v>
          </cell>
          <cell r="O77">
            <v>2278</v>
          </cell>
          <cell r="P77">
            <v>93</v>
          </cell>
          <cell r="Q77">
            <v>2275.4</v>
          </cell>
        </row>
        <row r="78">
          <cell r="N78">
            <v>93</v>
          </cell>
          <cell r="O78">
            <v>2275.4</v>
          </cell>
          <cell r="P78">
            <v>94</v>
          </cell>
          <cell r="Q78">
            <v>2272.8000000000002</v>
          </cell>
        </row>
        <row r="79">
          <cell r="N79">
            <v>94</v>
          </cell>
          <cell r="O79">
            <v>2272.8000000000002</v>
          </cell>
          <cell r="P79">
            <v>95</v>
          </cell>
          <cell r="Q79">
            <v>2270.1999999999998</v>
          </cell>
        </row>
        <row r="80">
          <cell r="N80">
            <v>95</v>
          </cell>
          <cell r="O80">
            <v>2270.1999999999998</v>
          </cell>
          <cell r="P80">
            <v>96</v>
          </cell>
          <cell r="Q80">
            <v>2267.5</v>
          </cell>
        </row>
        <row r="81">
          <cell r="N81">
            <v>96</v>
          </cell>
          <cell r="O81">
            <v>2267.5</v>
          </cell>
          <cell r="P81">
            <v>97</v>
          </cell>
          <cell r="Q81">
            <v>2264.9</v>
          </cell>
        </row>
        <row r="82">
          <cell r="N82">
            <v>97</v>
          </cell>
          <cell r="O82">
            <v>2264.9</v>
          </cell>
          <cell r="P82">
            <v>98</v>
          </cell>
          <cell r="Q82">
            <v>2262.1999999999998</v>
          </cell>
        </row>
        <row r="83">
          <cell r="N83">
            <v>98</v>
          </cell>
          <cell r="O83">
            <v>2262.1999999999998</v>
          </cell>
          <cell r="P83">
            <v>99</v>
          </cell>
          <cell r="Q83">
            <v>2259.6</v>
          </cell>
        </row>
        <row r="84">
          <cell r="N84">
            <v>99</v>
          </cell>
          <cell r="O84">
            <v>2259.6</v>
          </cell>
          <cell r="P84">
            <v>100</v>
          </cell>
          <cell r="Q84">
            <v>2256.9</v>
          </cell>
        </row>
        <row r="85">
          <cell r="N85">
            <v>100</v>
          </cell>
          <cell r="O85">
            <v>2256.9</v>
          </cell>
          <cell r="P85">
            <v>101</v>
          </cell>
          <cell r="Q85">
            <v>2254.3000000000002</v>
          </cell>
        </row>
        <row r="86">
          <cell r="N86">
            <v>101</v>
          </cell>
          <cell r="O86">
            <v>2254.3000000000002</v>
          </cell>
          <cell r="P86">
            <v>102</v>
          </cell>
          <cell r="Q86">
            <v>2251.6</v>
          </cell>
        </row>
        <row r="87">
          <cell r="N87">
            <v>102</v>
          </cell>
          <cell r="O87">
            <v>2251.6</v>
          </cell>
          <cell r="P87">
            <v>103</v>
          </cell>
          <cell r="Q87">
            <v>2248.9</v>
          </cell>
        </row>
        <row r="88">
          <cell r="N88">
            <v>103</v>
          </cell>
          <cell r="O88">
            <v>2248.9</v>
          </cell>
          <cell r="P88">
            <v>104</v>
          </cell>
          <cell r="Q88">
            <v>2246.3000000000002</v>
          </cell>
        </row>
        <row r="89">
          <cell r="N89">
            <v>104</v>
          </cell>
          <cell r="O89">
            <v>2246.3000000000002</v>
          </cell>
          <cell r="P89">
            <v>105</v>
          </cell>
          <cell r="Q89">
            <v>2243.6</v>
          </cell>
        </row>
        <row r="90">
          <cell r="N90">
            <v>105</v>
          </cell>
          <cell r="O90">
            <v>2243.6</v>
          </cell>
          <cell r="P90">
            <v>106</v>
          </cell>
          <cell r="Q90">
            <v>2240.9</v>
          </cell>
        </row>
        <row r="91">
          <cell r="N91">
            <v>106</v>
          </cell>
          <cell r="O91">
            <v>2240.9</v>
          </cell>
          <cell r="P91">
            <v>107</v>
          </cell>
          <cell r="Q91">
            <v>2238.1999999999998</v>
          </cell>
        </row>
        <row r="92">
          <cell r="N92">
            <v>107</v>
          </cell>
          <cell r="O92">
            <v>2238.1999999999998</v>
          </cell>
          <cell r="P92">
            <v>108</v>
          </cell>
          <cell r="Q92">
            <v>2235.4</v>
          </cell>
        </row>
        <row r="93">
          <cell r="N93">
            <v>108</v>
          </cell>
          <cell r="O93">
            <v>2235.4</v>
          </cell>
          <cell r="P93">
            <v>109</v>
          </cell>
          <cell r="Q93">
            <v>2232.6999999999998</v>
          </cell>
        </row>
        <row r="94">
          <cell r="N94">
            <v>109</v>
          </cell>
          <cell r="O94">
            <v>2232.6999999999998</v>
          </cell>
          <cell r="P94">
            <v>110</v>
          </cell>
          <cell r="Q94">
            <v>2230</v>
          </cell>
        </row>
        <row r="95">
          <cell r="N95">
            <v>110</v>
          </cell>
          <cell r="O95">
            <v>2230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>
        <row r="5">
          <cell r="N5">
            <v>20</v>
          </cell>
        </row>
      </sheetData>
      <sheetData sheetId="116">
        <row r="5">
          <cell r="N5">
            <v>20</v>
          </cell>
        </row>
      </sheetData>
      <sheetData sheetId="117">
        <row r="5">
          <cell r="N5">
            <v>20</v>
          </cell>
        </row>
      </sheetData>
      <sheetData sheetId="118">
        <row r="5">
          <cell r="N5">
            <v>20</v>
          </cell>
        </row>
      </sheetData>
      <sheetData sheetId="119">
        <row r="5">
          <cell r="N5">
            <v>20</v>
          </cell>
        </row>
      </sheetData>
      <sheetData sheetId="120">
        <row r="5">
          <cell r="N5">
            <v>20</v>
          </cell>
        </row>
      </sheetData>
      <sheetData sheetId="121">
        <row r="5">
          <cell r="N5">
            <v>20</v>
          </cell>
        </row>
      </sheetData>
      <sheetData sheetId="122">
        <row r="5">
          <cell r="N5">
            <v>20</v>
          </cell>
        </row>
      </sheetData>
      <sheetData sheetId="123">
        <row r="5">
          <cell r="N5">
            <v>20</v>
          </cell>
        </row>
      </sheetData>
      <sheetData sheetId="124">
        <row r="5">
          <cell r="N5">
            <v>20</v>
          </cell>
        </row>
      </sheetData>
      <sheetData sheetId="125">
        <row r="5">
          <cell r="N5">
            <v>20</v>
          </cell>
        </row>
      </sheetData>
      <sheetData sheetId="126">
        <row r="5">
          <cell r="N5">
            <v>20</v>
          </cell>
        </row>
      </sheetData>
      <sheetData sheetId="127">
        <row r="5">
          <cell r="N5">
            <v>20</v>
          </cell>
        </row>
      </sheetData>
      <sheetData sheetId="128">
        <row r="5">
          <cell r="N5">
            <v>20</v>
          </cell>
        </row>
      </sheetData>
      <sheetData sheetId="129">
        <row r="5">
          <cell r="N5">
            <v>20</v>
          </cell>
        </row>
      </sheetData>
      <sheetData sheetId="130">
        <row r="5">
          <cell r="N5">
            <v>20</v>
          </cell>
        </row>
      </sheetData>
      <sheetData sheetId="131">
        <row r="5">
          <cell r="N5">
            <v>20</v>
          </cell>
        </row>
      </sheetData>
      <sheetData sheetId="132">
        <row r="5">
          <cell r="N5">
            <v>20</v>
          </cell>
        </row>
      </sheetData>
      <sheetData sheetId="133">
        <row r="5">
          <cell r="N5">
            <v>20</v>
          </cell>
        </row>
      </sheetData>
      <sheetData sheetId="134">
        <row r="5">
          <cell r="N5">
            <v>20</v>
          </cell>
        </row>
      </sheetData>
      <sheetData sheetId="135">
        <row r="5">
          <cell r="N5">
            <v>20</v>
          </cell>
        </row>
      </sheetData>
      <sheetData sheetId="136">
        <row r="5">
          <cell r="N5">
            <v>20</v>
          </cell>
        </row>
      </sheetData>
      <sheetData sheetId="137">
        <row r="5">
          <cell r="N5">
            <v>20</v>
          </cell>
        </row>
      </sheetData>
      <sheetData sheetId="138">
        <row r="5">
          <cell r="N5">
            <v>20</v>
          </cell>
        </row>
      </sheetData>
      <sheetData sheetId="139">
        <row r="5">
          <cell r="N5">
            <v>20</v>
          </cell>
        </row>
      </sheetData>
      <sheetData sheetId="140">
        <row r="5">
          <cell r="N5">
            <v>20</v>
          </cell>
        </row>
      </sheetData>
      <sheetData sheetId="141">
        <row r="5">
          <cell r="N5">
            <v>20</v>
          </cell>
        </row>
      </sheetData>
      <sheetData sheetId="142">
        <row r="5">
          <cell r="N5">
            <v>20</v>
          </cell>
        </row>
      </sheetData>
      <sheetData sheetId="143">
        <row r="5">
          <cell r="N5">
            <v>20</v>
          </cell>
        </row>
      </sheetData>
      <sheetData sheetId="144">
        <row r="5">
          <cell r="N5">
            <v>20</v>
          </cell>
        </row>
      </sheetData>
      <sheetData sheetId="145">
        <row r="5">
          <cell r="N5">
            <v>20</v>
          </cell>
        </row>
      </sheetData>
      <sheetData sheetId="146">
        <row r="5">
          <cell r="N5">
            <v>20</v>
          </cell>
        </row>
      </sheetData>
      <sheetData sheetId="147">
        <row r="5">
          <cell r="N5">
            <v>20</v>
          </cell>
        </row>
      </sheetData>
      <sheetData sheetId="148">
        <row r="5">
          <cell r="N5">
            <v>20</v>
          </cell>
        </row>
      </sheetData>
      <sheetData sheetId="149">
        <row r="5">
          <cell r="N5">
            <v>20</v>
          </cell>
        </row>
      </sheetData>
      <sheetData sheetId="150">
        <row r="5">
          <cell r="N5">
            <v>20</v>
          </cell>
        </row>
      </sheetData>
      <sheetData sheetId="151">
        <row r="5">
          <cell r="N5">
            <v>20</v>
          </cell>
        </row>
      </sheetData>
      <sheetData sheetId="152">
        <row r="5">
          <cell r="N5">
            <v>20</v>
          </cell>
        </row>
      </sheetData>
      <sheetData sheetId="153">
        <row r="5">
          <cell r="N5">
            <v>20</v>
          </cell>
        </row>
      </sheetData>
      <sheetData sheetId="154">
        <row r="5">
          <cell r="N5">
            <v>20</v>
          </cell>
        </row>
      </sheetData>
      <sheetData sheetId="155">
        <row r="5">
          <cell r="N5">
            <v>20</v>
          </cell>
        </row>
      </sheetData>
      <sheetData sheetId="156">
        <row r="5">
          <cell r="N5">
            <v>20</v>
          </cell>
        </row>
      </sheetData>
      <sheetData sheetId="157">
        <row r="5">
          <cell r="N5">
            <v>20</v>
          </cell>
        </row>
      </sheetData>
      <sheetData sheetId="158">
        <row r="5">
          <cell r="N5">
            <v>20</v>
          </cell>
        </row>
      </sheetData>
      <sheetData sheetId="159">
        <row r="5">
          <cell r="N5">
            <v>20</v>
          </cell>
        </row>
      </sheetData>
      <sheetData sheetId="160">
        <row r="5">
          <cell r="N5">
            <v>20</v>
          </cell>
        </row>
      </sheetData>
      <sheetData sheetId="161">
        <row r="5">
          <cell r="N5">
            <v>20</v>
          </cell>
        </row>
      </sheetData>
      <sheetData sheetId="162">
        <row r="5">
          <cell r="N5">
            <v>20</v>
          </cell>
        </row>
      </sheetData>
      <sheetData sheetId="163">
        <row r="5">
          <cell r="N5">
            <v>20</v>
          </cell>
        </row>
      </sheetData>
      <sheetData sheetId="164">
        <row r="5">
          <cell r="N5">
            <v>20</v>
          </cell>
        </row>
      </sheetData>
      <sheetData sheetId="165">
        <row r="5">
          <cell r="N5">
            <v>20</v>
          </cell>
        </row>
      </sheetData>
      <sheetData sheetId="166">
        <row r="5">
          <cell r="N5">
            <v>20</v>
          </cell>
        </row>
      </sheetData>
      <sheetData sheetId="167">
        <row r="5">
          <cell r="N5">
            <v>20</v>
          </cell>
        </row>
      </sheetData>
      <sheetData sheetId="168">
        <row r="5">
          <cell r="N5">
            <v>20</v>
          </cell>
        </row>
      </sheetData>
      <sheetData sheetId="169">
        <row r="5">
          <cell r="N5">
            <v>20</v>
          </cell>
        </row>
      </sheetData>
      <sheetData sheetId="170">
        <row r="5">
          <cell r="N5">
            <v>20</v>
          </cell>
        </row>
      </sheetData>
      <sheetData sheetId="171">
        <row r="5">
          <cell r="N5">
            <v>20</v>
          </cell>
        </row>
      </sheetData>
      <sheetData sheetId="172">
        <row r="5">
          <cell r="N5">
            <v>20</v>
          </cell>
        </row>
      </sheetData>
      <sheetData sheetId="173">
        <row r="5">
          <cell r="N5">
            <v>20</v>
          </cell>
        </row>
      </sheetData>
      <sheetData sheetId="174">
        <row r="5">
          <cell r="N5">
            <v>20</v>
          </cell>
        </row>
      </sheetData>
      <sheetData sheetId="175">
        <row r="5">
          <cell r="N5">
            <v>20</v>
          </cell>
        </row>
      </sheetData>
      <sheetData sheetId="176">
        <row r="5">
          <cell r="N5">
            <v>20</v>
          </cell>
        </row>
      </sheetData>
      <sheetData sheetId="177">
        <row r="5">
          <cell r="N5">
            <v>20</v>
          </cell>
        </row>
      </sheetData>
      <sheetData sheetId="178">
        <row r="5">
          <cell r="N5">
            <v>20</v>
          </cell>
        </row>
      </sheetData>
      <sheetData sheetId="179">
        <row r="5">
          <cell r="N5">
            <v>20</v>
          </cell>
        </row>
      </sheetData>
      <sheetData sheetId="180">
        <row r="5">
          <cell r="N5">
            <v>20</v>
          </cell>
        </row>
      </sheetData>
      <sheetData sheetId="181">
        <row r="5">
          <cell r="N5">
            <v>20</v>
          </cell>
        </row>
      </sheetData>
      <sheetData sheetId="182">
        <row r="5">
          <cell r="N5">
            <v>20</v>
          </cell>
        </row>
      </sheetData>
      <sheetData sheetId="183">
        <row r="5">
          <cell r="N5">
            <v>20</v>
          </cell>
        </row>
      </sheetData>
      <sheetData sheetId="184">
        <row r="5">
          <cell r="N5">
            <v>20</v>
          </cell>
        </row>
      </sheetData>
      <sheetData sheetId="185">
        <row r="5">
          <cell r="N5">
            <v>20</v>
          </cell>
        </row>
      </sheetData>
      <sheetData sheetId="186">
        <row r="5">
          <cell r="N5">
            <v>20</v>
          </cell>
        </row>
      </sheetData>
      <sheetData sheetId="187">
        <row r="5">
          <cell r="N5">
            <v>20</v>
          </cell>
        </row>
      </sheetData>
      <sheetData sheetId="188">
        <row r="5">
          <cell r="N5">
            <v>20</v>
          </cell>
        </row>
      </sheetData>
      <sheetData sheetId="189">
        <row r="5">
          <cell r="N5">
            <v>20</v>
          </cell>
        </row>
      </sheetData>
      <sheetData sheetId="190">
        <row r="5">
          <cell r="N5">
            <v>20</v>
          </cell>
        </row>
      </sheetData>
      <sheetData sheetId="191">
        <row r="5">
          <cell r="N5">
            <v>20</v>
          </cell>
        </row>
      </sheetData>
      <sheetData sheetId="192">
        <row r="5">
          <cell r="N5">
            <v>20</v>
          </cell>
        </row>
      </sheetData>
      <sheetData sheetId="193">
        <row r="5">
          <cell r="N5">
            <v>20</v>
          </cell>
        </row>
      </sheetData>
      <sheetData sheetId="194">
        <row r="5">
          <cell r="N5">
            <v>20</v>
          </cell>
        </row>
      </sheetData>
      <sheetData sheetId="195">
        <row r="5">
          <cell r="N5">
            <v>20</v>
          </cell>
        </row>
      </sheetData>
      <sheetData sheetId="196">
        <row r="5">
          <cell r="N5">
            <v>20</v>
          </cell>
        </row>
      </sheetData>
      <sheetData sheetId="197">
        <row r="5">
          <cell r="N5">
            <v>20</v>
          </cell>
        </row>
      </sheetData>
      <sheetData sheetId="198">
        <row r="5">
          <cell r="N5">
            <v>20</v>
          </cell>
        </row>
      </sheetData>
      <sheetData sheetId="199">
        <row r="5">
          <cell r="N5">
            <v>20</v>
          </cell>
        </row>
      </sheetData>
      <sheetData sheetId="200">
        <row r="5">
          <cell r="N5">
            <v>20</v>
          </cell>
        </row>
      </sheetData>
      <sheetData sheetId="201">
        <row r="5">
          <cell r="N5">
            <v>20</v>
          </cell>
        </row>
      </sheetData>
      <sheetData sheetId="202">
        <row r="5">
          <cell r="N5">
            <v>20</v>
          </cell>
        </row>
      </sheetData>
      <sheetData sheetId="203">
        <row r="5">
          <cell r="N5">
            <v>20</v>
          </cell>
        </row>
      </sheetData>
      <sheetData sheetId="204">
        <row r="5">
          <cell r="N5">
            <v>20</v>
          </cell>
        </row>
      </sheetData>
      <sheetData sheetId="205">
        <row r="5">
          <cell r="N5">
            <v>20</v>
          </cell>
        </row>
      </sheetData>
      <sheetData sheetId="206">
        <row r="5">
          <cell r="N5">
            <v>20</v>
          </cell>
        </row>
      </sheetData>
      <sheetData sheetId="207">
        <row r="5">
          <cell r="N5">
            <v>20</v>
          </cell>
        </row>
      </sheetData>
      <sheetData sheetId="208">
        <row r="5">
          <cell r="N5">
            <v>20</v>
          </cell>
        </row>
      </sheetData>
      <sheetData sheetId="209">
        <row r="5">
          <cell r="N5">
            <v>20</v>
          </cell>
        </row>
      </sheetData>
      <sheetData sheetId="210">
        <row r="5">
          <cell r="N5">
            <v>20</v>
          </cell>
        </row>
      </sheetData>
      <sheetData sheetId="211">
        <row r="5">
          <cell r="N5">
            <v>20</v>
          </cell>
        </row>
      </sheetData>
      <sheetData sheetId="212">
        <row r="5">
          <cell r="N5">
            <v>20</v>
          </cell>
        </row>
      </sheetData>
      <sheetData sheetId="213">
        <row r="5">
          <cell r="N5">
            <v>20</v>
          </cell>
        </row>
      </sheetData>
      <sheetData sheetId="214">
        <row r="5">
          <cell r="N5">
            <v>20</v>
          </cell>
        </row>
      </sheetData>
      <sheetData sheetId="215">
        <row r="5">
          <cell r="N5">
            <v>20</v>
          </cell>
        </row>
      </sheetData>
      <sheetData sheetId="216">
        <row r="5">
          <cell r="N5">
            <v>20</v>
          </cell>
        </row>
      </sheetData>
      <sheetData sheetId="217">
        <row r="5">
          <cell r="N5">
            <v>20</v>
          </cell>
        </row>
      </sheetData>
      <sheetData sheetId="218">
        <row r="5">
          <cell r="N5">
            <v>20</v>
          </cell>
        </row>
      </sheetData>
      <sheetData sheetId="219">
        <row r="5">
          <cell r="N5">
            <v>20</v>
          </cell>
        </row>
      </sheetData>
      <sheetData sheetId="220">
        <row r="5">
          <cell r="N5">
            <v>20</v>
          </cell>
        </row>
      </sheetData>
      <sheetData sheetId="221">
        <row r="5">
          <cell r="N5">
            <v>20</v>
          </cell>
        </row>
      </sheetData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>
        <row r="5">
          <cell r="N5">
            <v>20</v>
          </cell>
        </row>
      </sheetData>
      <sheetData sheetId="230">
        <row r="5">
          <cell r="N5">
            <v>20</v>
          </cell>
        </row>
      </sheetData>
      <sheetData sheetId="231">
        <row r="5">
          <cell r="N5">
            <v>20</v>
          </cell>
        </row>
      </sheetData>
      <sheetData sheetId="232">
        <row r="5">
          <cell r="N5">
            <v>20</v>
          </cell>
        </row>
      </sheetData>
      <sheetData sheetId="233">
        <row r="5">
          <cell r="N5">
            <v>20</v>
          </cell>
        </row>
      </sheetData>
      <sheetData sheetId="234">
        <row r="5">
          <cell r="N5">
            <v>20</v>
          </cell>
        </row>
      </sheetData>
      <sheetData sheetId="235">
        <row r="5">
          <cell r="N5">
            <v>20</v>
          </cell>
        </row>
      </sheetData>
      <sheetData sheetId="236">
        <row r="5">
          <cell r="N5">
            <v>20</v>
          </cell>
        </row>
      </sheetData>
      <sheetData sheetId="237">
        <row r="5">
          <cell r="N5">
            <v>20</v>
          </cell>
        </row>
      </sheetData>
      <sheetData sheetId="238">
        <row r="5">
          <cell r="N5">
            <v>20</v>
          </cell>
        </row>
      </sheetData>
      <sheetData sheetId="239">
        <row r="5">
          <cell r="N5">
            <v>20</v>
          </cell>
        </row>
      </sheetData>
      <sheetData sheetId="240">
        <row r="5">
          <cell r="N5">
            <v>20</v>
          </cell>
        </row>
      </sheetData>
      <sheetData sheetId="241">
        <row r="5">
          <cell r="N5">
            <v>20</v>
          </cell>
        </row>
      </sheetData>
      <sheetData sheetId="242">
        <row r="5">
          <cell r="N5">
            <v>20</v>
          </cell>
        </row>
      </sheetData>
      <sheetData sheetId="243">
        <row r="5">
          <cell r="N5">
            <v>20</v>
          </cell>
        </row>
      </sheetData>
      <sheetData sheetId="244">
        <row r="5">
          <cell r="N5">
            <v>20</v>
          </cell>
        </row>
      </sheetData>
      <sheetData sheetId="245">
        <row r="5">
          <cell r="N5">
            <v>20</v>
          </cell>
        </row>
      </sheetData>
      <sheetData sheetId="246">
        <row r="5">
          <cell r="N5">
            <v>20</v>
          </cell>
        </row>
      </sheetData>
      <sheetData sheetId="247">
        <row r="5">
          <cell r="N5">
            <v>20</v>
          </cell>
        </row>
      </sheetData>
      <sheetData sheetId="248">
        <row r="5">
          <cell r="N5">
            <v>20</v>
          </cell>
        </row>
      </sheetData>
      <sheetData sheetId="249">
        <row r="5">
          <cell r="N5">
            <v>20</v>
          </cell>
        </row>
      </sheetData>
      <sheetData sheetId="250">
        <row r="5">
          <cell r="N5">
            <v>20</v>
          </cell>
        </row>
      </sheetData>
      <sheetData sheetId="251">
        <row r="5">
          <cell r="N5">
            <v>20</v>
          </cell>
        </row>
      </sheetData>
      <sheetData sheetId="252">
        <row r="5">
          <cell r="N5">
            <v>20</v>
          </cell>
        </row>
      </sheetData>
      <sheetData sheetId="253">
        <row r="5">
          <cell r="N5">
            <v>20</v>
          </cell>
        </row>
      </sheetData>
      <sheetData sheetId="254">
        <row r="5">
          <cell r="N5">
            <v>20</v>
          </cell>
        </row>
      </sheetData>
      <sheetData sheetId="255">
        <row r="5">
          <cell r="N5">
            <v>20</v>
          </cell>
        </row>
      </sheetData>
      <sheetData sheetId="256">
        <row r="5">
          <cell r="N5">
            <v>20</v>
          </cell>
        </row>
      </sheetData>
      <sheetData sheetId="257">
        <row r="5">
          <cell r="N5">
            <v>20</v>
          </cell>
        </row>
      </sheetData>
      <sheetData sheetId="258">
        <row r="5">
          <cell r="N5">
            <v>20</v>
          </cell>
        </row>
      </sheetData>
      <sheetData sheetId="259">
        <row r="5">
          <cell r="N5">
            <v>20</v>
          </cell>
        </row>
      </sheetData>
      <sheetData sheetId="260">
        <row r="5">
          <cell r="N5">
            <v>20</v>
          </cell>
        </row>
      </sheetData>
      <sheetData sheetId="261">
        <row r="5">
          <cell r="N5">
            <v>20</v>
          </cell>
        </row>
      </sheetData>
      <sheetData sheetId="262">
        <row r="5">
          <cell r="N5">
            <v>20</v>
          </cell>
        </row>
      </sheetData>
      <sheetData sheetId="263">
        <row r="5">
          <cell r="N5">
            <v>20</v>
          </cell>
        </row>
      </sheetData>
      <sheetData sheetId="264">
        <row r="5">
          <cell r="N5">
            <v>20</v>
          </cell>
        </row>
      </sheetData>
      <sheetData sheetId="265">
        <row r="5">
          <cell r="N5">
            <v>20</v>
          </cell>
        </row>
      </sheetData>
      <sheetData sheetId="266">
        <row r="5">
          <cell r="N5">
            <v>20</v>
          </cell>
        </row>
      </sheetData>
      <sheetData sheetId="267">
        <row r="5">
          <cell r="N5">
            <v>20</v>
          </cell>
        </row>
      </sheetData>
      <sheetData sheetId="268">
        <row r="5">
          <cell r="N5">
            <v>20</v>
          </cell>
        </row>
      </sheetData>
      <sheetData sheetId="269">
        <row r="5">
          <cell r="N5">
            <v>20</v>
          </cell>
        </row>
      </sheetData>
      <sheetData sheetId="270">
        <row r="5">
          <cell r="N5">
            <v>20</v>
          </cell>
        </row>
      </sheetData>
      <sheetData sheetId="271">
        <row r="5">
          <cell r="N5">
            <v>20</v>
          </cell>
        </row>
      </sheetData>
      <sheetData sheetId="272">
        <row r="5">
          <cell r="N5">
            <v>20</v>
          </cell>
        </row>
      </sheetData>
      <sheetData sheetId="273">
        <row r="5">
          <cell r="N5">
            <v>20</v>
          </cell>
        </row>
      </sheetData>
      <sheetData sheetId="274">
        <row r="5">
          <cell r="N5">
            <v>20</v>
          </cell>
        </row>
      </sheetData>
      <sheetData sheetId="275">
        <row r="5">
          <cell r="N5">
            <v>20</v>
          </cell>
        </row>
      </sheetData>
      <sheetData sheetId="276">
        <row r="5">
          <cell r="N5">
            <v>20</v>
          </cell>
        </row>
      </sheetData>
      <sheetData sheetId="277">
        <row r="5">
          <cell r="N5">
            <v>20</v>
          </cell>
        </row>
      </sheetData>
      <sheetData sheetId="278">
        <row r="5">
          <cell r="N5">
            <v>20</v>
          </cell>
        </row>
      </sheetData>
      <sheetData sheetId="279">
        <row r="5">
          <cell r="N5">
            <v>20</v>
          </cell>
        </row>
      </sheetData>
      <sheetData sheetId="280">
        <row r="5">
          <cell r="N5">
            <v>20</v>
          </cell>
        </row>
      </sheetData>
      <sheetData sheetId="281">
        <row r="5">
          <cell r="N5">
            <v>20</v>
          </cell>
        </row>
      </sheetData>
      <sheetData sheetId="282">
        <row r="5">
          <cell r="N5">
            <v>20</v>
          </cell>
        </row>
      </sheetData>
      <sheetData sheetId="283"/>
      <sheetData sheetId="284">
        <row r="5">
          <cell r="N5">
            <v>20</v>
          </cell>
        </row>
      </sheetData>
      <sheetData sheetId="285">
        <row r="5">
          <cell r="N5">
            <v>20</v>
          </cell>
        </row>
      </sheetData>
      <sheetData sheetId="286">
        <row r="5">
          <cell r="N5">
            <v>20</v>
          </cell>
        </row>
      </sheetData>
      <sheetData sheetId="287"/>
      <sheetData sheetId="288">
        <row r="5">
          <cell r="N5">
            <v>20</v>
          </cell>
        </row>
      </sheetData>
      <sheetData sheetId="289">
        <row r="5">
          <cell r="N5">
            <v>20</v>
          </cell>
        </row>
      </sheetData>
      <sheetData sheetId="290">
        <row r="5">
          <cell r="N5">
            <v>20</v>
          </cell>
        </row>
      </sheetData>
      <sheetData sheetId="291"/>
      <sheetData sheetId="292">
        <row r="5">
          <cell r="N5">
            <v>20</v>
          </cell>
        </row>
      </sheetData>
      <sheetData sheetId="293"/>
      <sheetData sheetId="294"/>
      <sheetData sheetId="295"/>
      <sheetData sheetId="296">
        <row r="5">
          <cell r="N5">
            <v>20</v>
          </cell>
        </row>
      </sheetData>
      <sheetData sheetId="297"/>
      <sheetData sheetId="298"/>
      <sheetData sheetId="299"/>
      <sheetData sheetId="300">
        <row r="5">
          <cell r="N5">
            <v>20</v>
          </cell>
        </row>
      </sheetData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>
        <row r="5">
          <cell r="N5">
            <v>20</v>
          </cell>
        </row>
      </sheetData>
      <sheetData sheetId="326">
        <row r="5">
          <cell r="N5">
            <v>20</v>
          </cell>
        </row>
      </sheetData>
      <sheetData sheetId="327">
        <row r="5">
          <cell r="N5">
            <v>20</v>
          </cell>
        </row>
      </sheetData>
      <sheetData sheetId="328">
        <row r="5">
          <cell r="N5">
            <v>20</v>
          </cell>
        </row>
      </sheetData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>
        <row r="14">
          <cell r="EK14" t="str">
            <v>SP-01-1</v>
          </cell>
        </row>
      </sheetData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Content"/>
      <sheetName val="Project Outline"/>
      <sheetName val="주요공사"/>
      <sheetName val="Contractual Amount"/>
      <sheetName val="시헹예산"/>
      <sheetName val="TENDER vs BUDGET"/>
      <sheetName val="직영 vs 하청 - 2"/>
      <sheetName val="96 당초Schedule"/>
      <sheetName val="96 Performance"/>
      <sheetName val="소화-투입 분석표"/>
      <sheetName val="STF ORG(K)"/>
      <sheetName val="Staff Org. Chart"/>
      <sheetName val="Scope of Work"/>
      <sheetName val="Design Status"/>
      <sheetName val="DWG Status"/>
      <sheetName val="MAT'L Status"/>
      <sheetName val="장비동원"/>
      <sheetName val="근로자동원"/>
      <sheetName val="Install Status"/>
      <sheetName val="Staff Mob. Plan"/>
      <sheetName val="M.P Mob. Plan"/>
      <sheetName val="Eq. Mobilization"/>
      <sheetName val="일위대가"/>
      <sheetName val="전열면적"/>
      <sheetName val="SEPARATOR"/>
      <sheetName val="2000년1차"/>
      <sheetName val="M-EQPT-Z"/>
      <sheetName val="REPORT07"/>
      <sheetName val="단가집"/>
      <sheetName val="BM "/>
      <sheetName val="DWG LIST"/>
      <sheetName val="자격 땡겨오기"/>
      <sheetName val="VAE264_VALVES"/>
      <sheetName val="5.소재"/>
      <sheetName val="소화실적"/>
      <sheetName val="현장지지물물량"/>
      <sheetName val="sheet1"/>
      <sheetName val="당초"/>
      <sheetName val="실행예산SHEET도장재검토"/>
      <sheetName val="MOB-MAN1"/>
      <sheetName val="예제"/>
      <sheetName val="기준표"/>
      <sheetName val="규격"/>
      <sheetName val="노점수분"/>
      <sheetName val="견적기준"/>
      <sheetName val="자재사용현황"/>
      <sheetName val="w't table"/>
      <sheetName val="INDEX"/>
      <sheetName val="DI-ESTI"/>
      <sheetName val="NYS"/>
      <sheetName val="KH-Q1,Q2,01"/>
      <sheetName val="CAT_5"/>
      <sheetName val="#REF"/>
      <sheetName val=""/>
      <sheetName val="TTL"/>
      <sheetName val="성광벤드"/>
      <sheetName val="GRP PIPING"/>
      <sheetName val="P-LIST"/>
      <sheetName val="물가자료"/>
      <sheetName val="WE'T"/>
      <sheetName val="REDUCER"/>
      <sheetName val="Summary"/>
      <sheetName val="BM"/>
      <sheetName val="B101"/>
      <sheetName val="카메라"/>
      <sheetName val="COA-17"/>
      <sheetName val="C-18"/>
      <sheetName val="임율 Data"/>
      <sheetName val="kich thuoc"/>
      <sheetName val="DTHH"/>
      <sheetName val="REV 4"/>
      <sheetName val="COL"/>
      <sheetName val="Sheet5"/>
      <sheetName val="BEND LOSS"/>
      <sheetName val="FM"/>
      <sheetName val="내역서"/>
      <sheetName val="노임단가"/>
      <sheetName val="품셈표"/>
      <sheetName val="추가예산"/>
      <sheetName val="간접비 총괄표"/>
      <sheetName val="ﾀｰﾋﾞﾝ"/>
      <sheetName val="Setup"/>
      <sheetName val="Cover_Sheet"/>
      <sheetName val="Project_Outline"/>
      <sheetName val="Contractual_Amount"/>
      <sheetName val="TENDER_vs_BUDGET"/>
      <sheetName val="직영_vs_하청_-_2"/>
      <sheetName val="96_당초Schedule"/>
      <sheetName val="96_Performance"/>
      <sheetName val="소화-투입_분석표"/>
      <sheetName val="STF_ORG(K)"/>
      <sheetName val="Staff_Org__Chart"/>
      <sheetName val="Scope_of_Work"/>
      <sheetName val="Design_Status"/>
      <sheetName val="DWG_Status"/>
      <sheetName val="MAT'L_Status"/>
      <sheetName val="Install_Status"/>
      <sheetName val="Staff_Mob__Plan"/>
      <sheetName val="M_P_Mob__Plan"/>
      <sheetName val="Eq__Mobilization"/>
      <sheetName val="BM_"/>
      <sheetName val="DWG_LIST"/>
      <sheetName val="자격_땡겨오기"/>
      <sheetName val="5_소재"/>
      <sheetName val="w't_table"/>
      <sheetName val="임율_Data"/>
      <sheetName val="GRP_PIPING"/>
      <sheetName val="REV_4"/>
      <sheetName val="BEND_LOSS"/>
      <sheetName val="SPARE PART"/>
      <sheetName val="연환"/>
      <sheetName val="부서코드표"/>
      <sheetName val="WXY"/>
      <sheetName val="입찰안"/>
      <sheetName val="CAUDIT"/>
      <sheetName val="골재산출"/>
      <sheetName val="http___www35_daum_net_WIN98_T_2"/>
      <sheetName val="Lists"/>
      <sheetName val="CI "/>
      <sheetName val="CI"/>
      <sheetName val="골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 refreshError="1"/>
      <sheetData sheetId="119" refreshError="1"/>
      <sheetData sheetId="120" refreshError="1"/>
      <sheetData sheetId="12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  <pageSetUpPr fitToPage="1"/>
  </sheetPr>
  <dimension ref="B1:AM118"/>
  <sheetViews>
    <sheetView showGridLines="0" tabSelected="1" view="pageBreakPreview" zoomScale="80" zoomScaleNormal="100" zoomScaleSheetLayoutView="80" workbookViewId="0">
      <selection activeCell="B4" sqref="B4:U4"/>
    </sheetView>
  </sheetViews>
  <sheetFormatPr defaultColWidth="8.76953125" defaultRowHeight="18" customHeight="1"/>
  <cols>
    <col min="1" max="1" width="1.05078125" style="9" customWidth="1"/>
    <col min="2" max="2" width="3.5078125" style="3" customWidth="1"/>
    <col min="3" max="3" width="21.1640625" style="19" customWidth="1"/>
    <col min="4" max="4" width="23.62109375" style="29" customWidth="1"/>
    <col min="5" max="5" width="21.6328125" style="29" customWidth="1"/>
    <col min="6" max="6" width="14.3828125" style="3" customWidth="1"/>
    <col min="7" max="7" width="21.6328125" style="29" customWidth="1"/>
    <col min="8" max="8" width="9.703125" style="1" customWidth="1"/>
    <col min="9" max="9" width="6.1953125" style="39" customWidth="1"/>
    <col min="10" max="10" width="5.37890625" style="1" customWidth="1"/>
    <col min="11" max="11" width="7.6015625" style="1" customWidth="1"/>
    <col min="12" max="14" width="6.3125" style="1" customWidth="1"/>
    <col min="15" max="15" width="7.3671875" style="30" customWidth="1"/>
    <col min="16" max="16" width="9.703125" style="1" customWidth="1"/>
    <col min="17" max="17" width="9.9375" style="1" customWidth="1"/>
    <col min="18" max="18" width="8.53515625" style="1" customWidth="1"/>
    <col min="19" max="19" width="10.0546875" style="3" customWidth="1"/>
    <col min="20" max="20" width="6.8984375" style="3" customWidth="1"/>
    <col min="21" max="21" width="6.6640625" style="31" customWidth="1"/>
    <col min="22" max="22" width="1.05078125" style="7" customWidth="1"/>
    <col min="23" max="26" width="8.76953125" style="8" customWidth="1"/>
    <col min="27" max="27" width="7.484375" style="8" bestFit="1" customWidth="1"/>
    <col min="28" max="28" width="8.76953125" style="8" customWidth="1"/>
    <col min="29" max="34" width="8.76953125" style="9" customWidth="1"/>
    <col min="35" max="39" width="8.76953125" style="8"/>
    <col min="40" max="16384" width="8.76953125" style="9"/>
  </cols>
  <sheetData>
    <row r="1" spans="2:39" ht="9.1999999999999993" customHeight="1"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</row>
    <row r="2" spans="2:39" ht="26.1" customHeight="1">
      <c r="B2" s="6"/>
      <c r="C2" s="1"/>
      <c r="D2" s="1"/>
      <c r="E2" s="1"/>
      <c r="F2" s="9"/>
      <c r="G2" s="1"/>
      <c r="I2" s="36"/>
      <c r="J2" s="10"/>
      <c r="K2" s="10"/>
      <c r="L2" s="10"/>
      <c r="M2" s="11"/>
      <c r="N2" s="12"/>
      <c r="O2" s="6"/>
      <c r="P2" s="6"/>
      <c r="Q2" s="6"/>
      <c r="R2" s="6"/>
      <c r="S2" s="6"/>
      <c r="T2" s="9"/>
      <c r="U2" s="9"/>
      <c r="V2" s="9"/>
      <c r="W2" s="9"/>
      <c r="X2" s="9"/>
      <c r="Y2" s="9"/>
      <c r="Z2" s="9"/>
      <c r="AA2" s="9"/>
      <c r="AB2" s="9"/>
      <c r="AI2" s="9"/>
      <c r="AJ2" s="9"/>
      <c r="AK2" s="9"/>
      <c r="AL2" s="9"/>
      <c r="AM2" s="9"/>
    </row>
    <row r="3" spans="2:39" ht="27.75" customHeight="1" thickBot="1">
      <c r="B3" s="6"/>
      <c r="C3" s="85" t="s">
        <v>0</v>
      </c>
      <c r="D3" s="85"/>
      <c r="E3" s="85"/>
      <c r="F3" s="85"/>
      <c r="G3" s="85"/>
      <c r="H3" s="85"/>
      <c r="I3" s="85"/>
      <c r="J3" s="85"/>
      <c r="K3" s="85"/>
      <c r="L3" s="10"/>
      <c r="M3" s="11"/>
      <c r="N3" s="12"/>
      <c r="O3" s="13"/>
      <c r="P3" s="6"/>
      <c r="Q3" s="6"/>
      <c r="R3" s="6"/>
      <c r="S3" s="6"/>
      <c r="T3" s="9"/>
      <c r="U3" s="9"/>
      <c r="V3" s="9"/>
      <c r="W3" s="9"/>
      <c r="X3" s="9"/>
      <c r="Y3" s="9"/>
      <c r="Z3" s="9"/>
      <c r="AA3" s="9"/>
      <c r="AB3" s="9"/>
      <c r="AI3" s="9"/>
      <c r="AJ3" s="9"/>
      <c r="AK3" s="9"/>
      <c r="AL3" s="9"/>
      <c r="AM3" s="9"/>
    </row>
    <row r="4" spans="2:39" ht="33.75" customHeight="1" thickTop="1" thickBot="1">
      <c r="B4" s="86" t="s">
        <v>48</v>
      </c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8"/>
    </row>
    <row r="5" spans="2:39" s="1" customFormat="1" ht="17.25" customHeight="1" thickTop="1">
      <c r="B5" s="3"/>
      <c r="C5" s="14" t="s">
        <v>49</v>
      </c>
      <c r="D5" s="15" t="e">
        <f>#REF!</f>
        <v>#REF!</v>
      </c>
      <c r="F5" s="17"/>
      <c r="H5" s="3"/>
      <c r="I5" s="37"/>
      <c r="J5" s="3"/>
      <c r="K5" s="3"/>
      <c r="L5" s="3"/>
      <c r="M5" s="3"/>
      <c r="N5" s="3"/>
      <c r="O5" s="16"/>
      <c r="P5" s="3"/>
      <c r="Q5" s="3"/>
      <c r="R5" s="3"/>
      <c r="S5" s="17"/>
      <c r="T5" s="3"/>
      <c r="U5" s="3"/>
      <c r="V5" s="18"/>
      <c r="AI5" s="3"/>
      <c r="AJ5" s="3"/>
      <c r="AK5" s="3"/>
      <c r="AL5" s="3"/>
      <c r="AM5" s="3"/>
    </row>
    <row r="6" spans="2:39" s="1" customFormat="1" ht="17.25" customHeight="1">
      <c r="B6" s="3"/>
      <c r="C6" s="14" t="s">
        <v>3</v>
      </c>
      <c r="D6" s="32" t="e">
        <f>#REF!</f>
        <v>#REF!</v>
      </c>
      <c r="F6" s="3"/>
      <c r="H6" s="3"/>
      <c r="I6" s="38"/>
      <c r="J6" s="19" t="s">
        <v>4</v>
      </c>
      <c r="K6" s="3"/>
      <c r="L6" s="3"/>
      <c r="M6" s="3"/>
      <c r="N6" s="3"/>
      <c r="O6" s="20" t="s">
        <v>5</v>
      </c>
      <c r="P6" s="3"/>
      <c r="Q6" s="3"/>
      <c r="R6" s="3"/>
      <c r="S6" s="3"/>
      <c r="T6" s="3"/>
      <c r="U6" s="3"/>
      <c r="V6" s="18"/>
      <c r="AI6" s="3"/>
      <c r="AJ6" s="3"/>
      <c r="AK6" s="3"/>
      <c r="AL6" s="3"/>
      <c r="AM6" s="3"/>
    </row>
    <row r="7" spans="2:39" s="1" customFormat="1" ht="17.25" customHeight="1">
      <c r="B7" s="3"/>
      <c r="C7" s="14" t="s">
        <v>6</v>
      </c>
      <c r="D7" s="33" t="e">
        <f>#REF!</f>
        <v>#REF!</v>
      </c>
      <c r="F7" s="3"/>
      <c r="H7" s="3"/>
      <c r="I7" s="38"/>
      <c r="J7" s="2" t="s">
        <v>7</v>
      </c>
      <c r="K7" s="19" t="s">
        <v>8</v>
      </c>
      <c r="L7" s="3"/>
      <c r="M7" s="3"/>
      <c r="N7" s="3"/>
      <c r="O7" s="21"/>
      <c r="P7" s="4" t="s">
        <v>96</v>
      </c>
      <c r="Q7" s="4" t="s">
        <v>97</v>
      </c>
      <c r="R7" s="4" t="s">
        <v>98</v>
      </c>
      <c r="S7" s="4" t="s">
        <v>9</v>
      </c>
      <c r="T7" s="3"/>
      <c r="U7" s="3"/>
      <c r="V7" s="18"/>
      <c r="W7" s="3"/>
      <c r="X7" s="3"/>
      <c r="Y7" s="3"/>
      <c r="Z7" s="3"/>
      <c r="AA7" s="3"/>
      <c r="AB7" s="3"/>
      <c r="AI7" s="3"/>
      <c r="AJ7" s="3"/>
      <c r="AK7" s="3"/>
      <c r="AL7" s="3"/>
      <c r="AM7" s="3"/>
    </row>
    <row r="8" spans="2:39" s="1" customFormat="1" ht="17.25" customHeight="1">
      <c r="B8" s="3"/>
      <c r="C8" s="14" t="s">
        <v>50</v>
      </c>
      <c r="D8" s="68"/>
      <c r="E8" s="69"/>
      <c r="F8" s="3"/>
      <c r="H8" s="3"/>
      <c r="I8" s="38"/>
      <c r="J8" s="2" t="s">
        <v>10</v>
      </c>
      <c r="K8" s="19" t="s">
        <v>11</v>
      </c>
      <c r="L8" s="3"/>
      <c r="M8" s="3"/>
      <c r="N8" s="3"/>
      <c r="O8" s="22" t="s">
        <v>12</v>
      </c>
      <c r="P8" s="4" t="s">
        <v>13</v>
      </c>
      <c r="Q8" s="4" t="s">
        <v>14</v>
      </c>
      <c r="R8" s="4" t="s">
        <v>15</v>
      </c>
      <c r="S8" s="4" t="s">
        <v>16</v>
      </c>
      <c r="T8" s="3"/>
      <c r="U8" s="3"/>
      <c r="V8" s="18"/>
      <c r="W8" s="3"/>
      <c r="X8" s="3"/>
      <c r="Y8" s="3"/>
      <c r="Z8" s="3"/>
      <c r="AA8" s="3"/>
      <c r="AB8" s="3"/>
      <c r="AI8" s="3"/>
      <c r="AJ8" s="3"/>
      <c r="AK8" s="3"/>
      <c r="AL8" s="3"/>
      <c r="AM8" s="3"/>
    </row>
    <row r="9" spans="2:39" s="1" customFormat="1" ht="17.25" customHeight="1">
      <c r="B9" s="3"/>
      <c r="D9" s="69"/>
      <c r="E9" s="70"/>
      <c r="F9" s="3"/>
      <c r="G9" s="14"/>
      <c r="H9" s="3"/>
      <c r="I9" s="38"/>
      <c r="J9" s="2" t="s">
        <v>17</v>
      </c>
      <c r="K9" s="19" t="s">
        <v>18</v>
      </c>
      <c r="L9" s="3"/>
      <c r="M9" s="3"/>
      <c r="N9" s="3"/>
      <c r="O9" s="22" t="s">
        <v>19</v>
      </c>
      <c r="P9" s="4" t="s">
        <v>20</v>
      </c>
      <c r="Q9" s="4" t="s">
        <v>21</v>
      </c>
      <c r="R9" s="4" t="s">
        <v>22</v>
      </c>
      <c r="S9" s="4" t="s">
        <v>23</v>
      </c>
      <c r="T9" s="3"/>
      <c r="U9" s="3"/>
      <c r="V9" s="18"/>
      <c r="W9" s="3"/>
      <c r="X9" s="3"/>
      <c r="Y9" s="3"/>
      <c r="Z9" s="3"/>
      <c r="AA9" s="3"/>
      <c r="AB9" s="3"/>
      <c r="AI9" s="3"/>
      <c r="AJ9" s="3"/>
      <c r="AK9" s="3"/>
      <c r="AL9" s="3"/>
      <c r="AM9" s="3"/>
    </row>
    <row r="10" spans="2:39" s="1" customFormat="1" ht="17.25" customHeight="1">
      <c r="B10" s="3"/>
      <c r="C10" s="14"/>
      <c r="D10" s="70"/>
      <c r="E10" s="70"/>
      <c r="F10" s="3"/>
      <c r="G10" s="14"/>
      <c r="H10" s="3"/>
      <c r="I10" s="38"/>
      <c r="J10" s="2" t="s">
        <v>24</v>
      </c>
      <c r="K10" s="19" t="s">
        <v>25</v>
      </c>
      <c r="L10" s="3"/>
      <c r="M10" s="3"/>
      <c r="N10" s="3"/>
      <c r="O10" s="22" t="s">
        <v>26</v>
      </c>
      <c r="P10" s="4" t="s">
        <v>27</v>
      </c>
      <c r="Q10" s="4" t="s">
        <v>28</v>
      </c>
      <c r="R10" s="4" t="s">
        <v>29</v>
      </c>
      <c r="S10" s="65" t="s">
        <v>30</v>
      </c>
      <c r="T10" s="3"/>
      <c r="U10" s="3"/>
      <c r="V10" s="18"/>
      <c r="W10" s="3"/>
      <c r="X10" s="3"/>
      <c r="Y10" s="3"/>
      <c r="Z10" s="3"/>
      <c r="AA10" s="3"/>
      <c r="AB10" s="3"/>
      <c r="AI10" s="3"/>
      <c r="AJ10" s="3"/>
      <c r="AK10" s="3"/>
      <c r="AL10" s="3"/>
      <c r="AM10" s="3"/>
    </row>
    <row r="11" spans="2:39" s="1" customFormat="1" ht="17.25" customHeight="1">
      <c r="B11" s="3"/>
      <c r="C11" s="14"/>
      <c r="D11" s="14"/>
      <c r="E11" s="14"/>
      <c r="F11" s="3"/>
      <c r="G11" s="14"/>
      <c r="H11" s="3"/>
      <c r="I11" s="38"/>
      <c r="J11" s="2" t="s">
        <v>31</v>
      </c>
      <c r="K11" s="19" t="s">
        <v>32</v>
      </c>
      <c r="L11" s="3"/>
      <c r="M11" s="3"/>
      <c r="N11" s="3"/>
      <c r="O11" s="16"/>
      <c r="P11" s="3"/>
      <c r="Q11" s="3"/>
      <c r="R11" s="3"/>
      <c r="S11" s="3"/>
      <c r="T11" s="3"/>
      <c r="U11" s="3"/>
      <c r="V11" s="18"/>
      <c r="W11" s="3"/>
      <c r="X11" s="3"/>
      <c r="Y11" s="3"/>
      <c r="Z11" s="3"/>
      <c r="AA11" s="3"/>
      <c r="AB11" s="3"/>
      <c r="AI11" s="3"/>
      <c r="AJ11" s="3"/>
      <c r="AK11" s="3"/>
      <c r="AL11" s="3"/>
      <c r="AM11" s="3"/>
    </row>
    <row r="12" spans="2:39" s="1" customFormat="1" ht="17.25" customHeight="1">
      <c r="B12" s="3"/>
      <c r="C12" s="14"/>
      <c r="D12" s="3"/>
      <c r="E12" s="3"/>
      <c r="F12" s="3"/>
      <c r="G12" s="3"/>
      <c r="H12" s="3"/>
      <c r="I12" s="38"/>
      <c r="J12" s="3"/>
      <c r="K12" s="3"/>
      <c r="L12" s="3"/>
      <c r="M12" s="3"/>
      <c r="N12" s="3"/>
      <c r="O12" s="16"/>
      <c r="P12" s="3"/>
      <c r="Q12" s="3"/>
      <c r="R12" s="3"/>
      <c r="S12" s="3"/>
      <c r="T12" s="3"/>
      <c r="U12" s="3"/>
      <c r="V12" s="18"/>
      <c r="W12" s="3"/>
      <c r="X12" s="3"/>
      <c r="Y12" s="3"/>
      <c r="Z12" s="3"/>
      <c r="AA12" s="3"/>
      <c r="AB12" s="3"/>
      <c r="AI12" s="3"/>
      <c r="AJ12" s="3"/>
      <c r="AK12" s="3"/>
      <c r="AL12" s="3"/>
      <c r="AM12" s="3"/>
    </row>
    <row r="13" spans="2:39" s="25" customFormat="1" ht="20.25" customHeight="1">
      <c r="B13" s="72" t="s">
        <v>1</v>
      </c>
      <c r="C13" s="80" t="s">
        <v>2</v>
      </c>
      <c r="D13" s="82" t="s">
        <v>33</v>
      </c>
      <c r="E13" s="89"/>
      <c r="F13" s="72" t="s">
        <v>51</v>
      </c>
      <c r="G13" s="80" t="s">
        <v>57</v>
      </c>
      <c r="H13" s="72" t="s">
        <v>58</v>
      </c>
      <c r="I13" s="91" t="s">
        <v>34</v>
      </c>
      <c r="J13" s="92"/>
      <c r="K13" s="72" t="s">
        <v>35</v>
      </c>
      <c r="L13" s="91" t="s">
        <v>36</v>
      </c>
      <c r="M13" s="93"/>
      <c r="N13" s="93"/>
      <c r="O13" s="92"/>
      <c r="P13" s="72" t="s">
        <v>37</v>
      </c>
      <c r="Q13" s="72" t="s">
        <v>38</v>
      </c>
      <c r="R13" s="72" t="s">
        <v>39</v>
      </c>
      <c r="S13" s="72" t="s">
        <v>40</v>
      </c>
      <c r="T13" s="82" t="s">
        <v>52</v>
      </c>
      <c r="U13" s="72" t="s">
        <v>41</v>
      </c>
      <c r="V13" s="23"/>
      <c r="W13" s="24"/>
      <c r="X13" s="24"/>
      <c r="Y13" s="24"/>
      <c r="Z13" s="24"/>
      <c r="AA13" s="24"/>
      <c r="AB13" s="24"/>
      <c r="AI13" s="24"/>
      <c r="AJ13" s="24"/>
      <c r="AK13" s="24"/>
      <c r="AL13" s="24"/>
      <c r="AM13" s="24"/>
    </row>
    <row r="14" spans="2:39" s="25" customFormat="1" ht="28.7" customHeight="1">
      <c r="B14" s="81"/>
      <c r="C14" s="81"/>
      <c r="D14" s="83"/>
      <c r="E14" s="90"/>
      <c r="F14" s="73"/>
      <c r="G14" s="81"/>
      <c r="H14" s="73"/>
      <c r="I14" s="35" t="s">
        <v>42</v>
      </c>
      <c r="J14" s="26" t="s">
        <v>43</v>
      </c>
      <c r="K14" s="73"/>
      <c r="L14" s="27" t="s">
        <v>44</v>
      </c>
      <c r="M14" s="27" t="s">
        <v>45</v>
      </c>
      <c r="N14" s="27" t="s">
        <v>46</v>
      </c>
      <c r="O14" s="28" t="s">
        <v>47</v>
      </c>
      <c r="P14" s="73"/>
      <c r="Q14" s="73"/>
      <c r="R14" s="73"/>
      <c r="S14" s="73"/>
      <c r="T14" s="83"/>
      <c r="U14" s="73"/>
      <c r="W14" s="24"/>
      <c r="X14" s="24"/>
      <c r="Y14" s="24"/>
      <c r="Z14" s="24"/>
      <c r="AA14" s="24"/>
      <c r="AB14" s="24"/>
      <c r="AI14" s="24"/>
      <c r="AJ14" s="24"/>
      <c r="AK14" s="24"/>
      <c r="AL14" s="24"/>
      <c r="AM14" s="24"/>
    </row>
    <row r="15" spans="2:39" s="25" customFormat="1" ht="28.7" customHeight="1">
      <c r="B15" s="44">
        <v>1</v>
      </c>
      <c r="C15" s="44" t="s">
        <v>64</v>
      </c>
      <c r="D15" s="43" t="s">
        <v>55</v>
      </c>
      <c r="E15" s="5" t="s">
        <v>56</v>
      </c>
      <c r="F15" s="66" t="s">
        <v>100</v>
      </c>
      <c r="G15" s="64" t="s">
        <v>95</v>
      </c>
      <c r="H15" s="42"/>
      <c r="I15" s="46">
        <v>150</v>
      </c>
      <c r="J15" s="4" t="s">
        <v>60</v>
      </c>
      <c r="K15" s="42"/>
      <c r="L15" s="47"/>
      <c r="M15" s="47"/>
      <c r="N15" s="47"/>
      <c r="O15" s="48"/>
      <c r="P15" s="49">
        <f>W15*I15</f>
        <v>3375</v>
      </c>
      <c r="Q15" s="49"/>
      <c r="R15" s="42"/>
      <c r="S15" s="42"/>
      <c r="T15" s="43"/>
      <c r="U15" s="42"/>
      <c r="W15" s="41">
        <f>3.75*6</f>
        <v>22.5</v>
      </c>
      <c r="X15" s="24"/>
      <c r="Y15" s="24"/>
      <c r="Z15" s="24"/>
      <c r="AA15" s="24"/>
      <c r="AB15" s="24"/>
      <c r="AI15" s="24"/>
      <c r="AJ15" s="24"/>
      <c r="AK15" s="24"/>
      <c r="AL15" s="24"/>
      <c r="AM15" s="24"/>
    </row>
    <row r="16" spans="2:39" s="25" customFormat="1" ht="28.7" customHeight="1">
      <c r="B16" s="74" t="s">
        <v>53</v>
      </c>
      <c r="C16" s="75"/>
      <c r="D16" s="75"/>
      <c r="E16" s="75"/>
      <c r="F16" s="75"/>
      <c r="G16" s="75"/>
      <c r="H16" s="76"/>
      <c r="I16" s="50">
        <f>SUM(I15)</f>
        <v>150</v>
      </c>
      <c r="J16" s="51"/>
      <c r="K16" s="52" t="s">
        <v>61</v>
      </c>
      <c r="L16" s="53">
        <v>620</v>
      </c>
      <c r="M16" s="53">
        <v>220</v>
      </c>
      <c r="N16" s="53">
        <v>235</v>
      </c>
      <c r="O16" s="54">
        <f>(L16*M16*N16)/10^6</f>
        <v>32.054000000000002</v>
      </c>
      <c r="P16" s="55">
        <f>P15</f>
        <v>3375</v>
      </c>
      <c r="Q16" s="55">
        <f>P16+200</f>
        <v>3575</v>
      </c>
      <c r="R16" s="52" t="s">
        <v>62</v>
      </c>
      <c r="S16" s="52" t="s">
        <v>63</v>
      </c>
      <c r="T16" s="56"/>
      <c r="U16" s="52" t="s">
        <v>99</v>
      </c>
      <c r="W16" s="41"/>
      <c r="X16" s="24"/>
      <c r="Y16" s="24"/>
      <c r="Z16" s="24"/>
      <c r="AA16" s="24"/>
      <c r="AB16" s="24"/>
      <c r="AI16" s="24"/>
      <c r="AJ16" s="24"/>
      <c r="AK16" s="24"/>
      <c r="AL16" s="24"/>
      <c r="AM16" s="24"/>
    </row>
    <row r="17" spans="2:39" s="25" customFormat="1" ht="28.7" customHeight="1">
      <c r="B17" s="44">
        <v>2</v>
      </c>
      <c r="C17" s="44" t="s">
        <v>65</v>
      </c>
      <c r="D17" s="43" t="s">
        <v>55</v>
      </c>
      <c r="E17" s="5" t="s">
        <v>56</v>
      </c>
      <c r="F17" s="66" t="s">
        <v>100</v>
      </c>
      <c r="G17" s="64" t="s">
        <v>95</v>
      </c>
      <c r="H17" s="42"/>
      <c r="I17" s="46">
        <v>150</v>
      </c>
      <c r="J17" s="4" t="s">
        <v>60</v>
      </c>
      <c r="K17" s="42"/>
      <c r="L17" s="47"/>
      <c r="M17" s="47"/>
      <c r="N17" s="47"/>
      <c r="O17" s="48"/>
      <c r="P17" s="49">
        <f>W17*I17</f>
        <v>3375</v>
      </c>
      <c r="Q17" s="49"/>
      <c r="R17" s="42"/>
      <c r="S17" s="42"/>
      <c r="T17" s="43"/>
      <c r="U17" s="42"/>
      <c r="W17" s="41">
        <f>3.75*6</f>
        <v>22.5</v>
      </c>
      <c r="X17" s="24"/>
      <c r="Y17" s="24"/>
      <c r="Z17" s="24"/>
      <c r="AA17" s="24"/>
      <c r="AB17" s="24"/>
      <c r="AI17" s="24"/>
      <c r="AJ17" s="24"/>
      <c r="AK17" s="24"/>
      <c r="AL17" s="24"/>
      <c r="AM17" s="24"/>
    </row>
    <row r="18" spans="2:39" s="25" customFormat="1" ht="28.7" customHeight="1">
      <c r="B18" s="74" t="s">
        <v>53</v>
      </c>
      <c r="C18" s="75"/>
      <c r="D18" s="75"/>
      <c r="E18" s="75"/>
      <c r="F18" s="75"/>
      <c r="G18" s="75"/>
      <c r="H18" s="76"/>
      <c r="I18" s="50">
        <f>SUM(I17)</f>
        <v>150</v>
      </c>
      <c r="J18" s="51"/>
      <c r="K18" s="52" t="s">
        <v>61</v>
      </c>
      <c r="L18" s="53">
        <v>620</v>
      </c>
      <c r="M18" s="53">
        <v>220</v>
      </c>
      <c r="N18" s="53">
        <v>235</v>
      </c>
      <c r="O18" s="54">
        <f>(L18*M18*N18)/10^6</f>
        <v>32.054000000000002</v>
      </c>
      <c r="P18" s="55">
        <f>P17</f>
        <v>3375</v>
      </c>
      <c r="Q18" s="55">
        <f>P18+200</f>
        <v>3575</v>
      </c>
      <c r="R18" s="52" t="s">
        <v>62</v>
      </c>
      <c r="S18" s="52" t="s">
        <v>63</v>
      </c>
      <c r="T18" s="56"/>
      <c r="U18" s="52" t="s">
        <v>99</v>
      </c>
      <c r="W18" s="41"/>
      <c r="X18" s="24"/>
      <c r="Y18" s="24"/>
      <c r="Z18" s="24"/>
      <c r="AA18" s="24"/>
      <c r="AB18" s="24"/>
      <c r="AI18" s="24"/>
      <c r="AJ18" s="24"/>
      <c r="AK18" s="24"/>
      <c r="AL18" s="24"/>
      <c r="AM18" s="24"/>
    </row>
    <row r="19" spans="2:39" s="25" customFormat="1" ht="28.7" customHeight="1">
      <c r="B19" s="44">
        <v>3</v>
      </c>
      <c r="C19" s="44" t="s">
        <v>66</v>
      </c>
      <c r="D19" s="43" t="s">
        <v>55</v>
      </c>
      <c r="E19" s="5" t="s">
        <v>56</v>
      </c>
      <c r="F19" s="66" t="s">
        <v>100</v>
      </c>
      <c r="G19" s="64" t="s">
        <v>95</v>
      </c>
      <c r="H19" s="42"/>
      <c r="I19" s="46">
        <v>150</v>
      </c>
      <c r="J19" s="4" t="s">
        <v>60</v>
      </c>
      <c r="K19" s="42"/>
      <c r="L19" s="47"/>
      <c r="M19" s="47"/>
      <c r="N19" s="47"/>
      <c r="O19" s="48"/>
      <c r="P19" s="49">
        <f>W19*I19</f>
        <v>3375</v>
      </c>
      <c r="Q19" s="49"/>
      <c r="R19" s="42"/>
      <c r="S19" s="42"/>
      <c r="T19" s="43"/>
      <c r="U19" s="42"/>
      <c r="W19" s="41">
        <f>3.75*6</f>
        <v>22.5</v>
      </c>
      <c r="X19" s="24"/>
      <c r="Y19" s="24"/>
      <c r="Z19" s="24"/>
      <c r="AA19" s="24"/>
      <c r="AB19" s="24"/>
      <c r="AI19" s="24"/>
      <c r="AJ19" s="24"/>
      <c r="AK19" s="24"/>
      <c r="AL19" s="24"/>
      <c r="AM19" s="24"/>
    </row>
    <row r="20" spans="2:39" s="25" customFormat="1" ht="28.7" customHeight="1">
      <c r="B20" s="74" t="s">
        <v>53</v>
      </c>
      <c r="C20" s="75"/>
      <c r="D20" s="75"/>
      <c r="E20" s="75"/>
      <c r="F20" s="75"/>
      <c r="G20" s="75"/>
      <c r="H20" s="76"/>
      <c r="I20" s="50">
        <f>SUM(I19)</f>
        <v>150</v>
      </c>
      <c r="J20" s="51"/>
      <c r="K20" s="52" t="s">
        <v>61</v>
      </c>
      <c r="L20" s="53">
        <v>620</v>
      </c>
      <c r="M20" s="53">
        <v>220</v>
      </c>
      <c r="N20" s="53">
        <v>235</v>
      </c>
      <c r="O20" s="54">
        <f>(L20*M20*N20)/10^6</f>
        <v>32.054000000000002</v>
      </c>
      <c r="P20" s="55">
        <f>P19</f>
        <v>3375</v>
      </c>
      <c r="Q20" s="55">
        <f>P20+200</f>
        <v>3575</v>
      </c>
      <c r="R20" s="52" t="s">
        <v>62</v>
      </c>
      <c r="S20" s="52" t="s">
        <v>63</v>
      </c>
      <c r="T20" s="56"/>
      <c r="U20" s="52" t="s">
        <v>99</v>
      </c>
      <c r="W20" s="41"/>
      <c r="X20" s="24"/>
      <c r="Y20" s="24"/>
      <c r="Z20" s="24"/>
      <c r="AA20" s="24"/>
      <c r="AB20" s="24"/>
      <c r="AI20" s="24"/>
      <c r="AJ20" s="24"/>
      <c r="AK20" s="24"/>
      <c r="AL20" s="24"/>
      <c r="AM20" s="24"/>
    </row>
    <row r="21" spans="2:39" s="25" customFormat="1" ht="28.7" customHeight="1">
      <c r="B21" s="44">
        <v>4</v>
      </c>
      <c r="C21" s="44" t="s">
        <v>67</v>
      </c>
      <c r="D21" s="43" t="s">
        <v>55</v>
      </c>
      <c r="E21" s="5" t="s">
        <v>56</v>
      </c>
      <c r="F21" s="66" t="s">
        <v>100</v>
      </c>
      <c r="G21" s="64" t="s">
        <v>95</v>
      </c>
      <c r="H21" s="42"/>
      <c r="I21" s="46">
        <v>150</v>
      </c>
      <c r="J21" s="4" t="s">
        <v>60</v>
      </c>
      <c r="K21" s="42"/>
      <c r="L21" s="47"/>
      <c r="M21" s="47"/>
      <c r="N21" s="47"/>
      <c r="O21" s="48"/>
      <c r="P21" s="49">
        <f>W21*I21</f>
        <v>3375</v>
      </c>
      <c r="Q21" s="49"/>
      <c r="R21" s="42"/>
      <c r="S21" s="42"/>
      <c r="T21" s="43"/>
      <c r="U21" s="42"/>
      <c r="W21" s="41">
        <f>3.75*6</f>
        <v>22.5</v>
      </c>
      <c r="X21" s="24"/>
      <c r="Y21" s="24"/>
      <c r="Z21" s="24"/>
      <c r="AA21" s="24"/>
      <c r="AB21" s="24"/>
      <c r="AI21" s="24"/>
      <c r="AJ21" s="24"/>
      <c r="AK21" s="24"/>
      <c r="AL21" s="24"/>
      <c r="AM21" s="24"/>
    </row>
    <row r="22" spans="2:39" s="25" customFormat="1" ht="28.7" customHeight="1">
      <c r="B22" s="74" t="s">
        <v>53</v>
      </c>
      <c r="C22" s="75"/>
      <c r="D22" s="75"/>
      <c r="E22" s="75"/>
      <c r="F22" s="75"/>
      <c r="G22" s="75"/>
      <c r="H22" s="76"/>
      <c r="I22" s="50">
        <f>SUM(I21)</f>
        <v>150</v>
      </c>
      <c r="J22" s="51"/>
      <c r="K22" s="52" t="s">
        <v>61</v>
      </c>
      <c r="L22" s="53">
        <v>620</v>
      </c>
      <c r="M22" s="53">
        <v>220</v>
      </c>
      <c r="N22" s="53">
        <v>235</v>
      </c>
      <c r="O22" s="54">
        <f>(L22*M22*N22)/10^6</f>
        <v>32.054000000000002</v>
      </c>
      <c r="P22" s="55">
        <f>P21</f>
        <v>3375</v>
      </c>
      <c r="Q22" s="55">
        <f>P22+200</f>
        <v>3575</v>
      </c>
      <c r="R22" s="52" t="s">
        <v>62</v>
      </c>
      <c r="S22" s="52" t="s">
        <v>63</v>
      </c>
      <c r="T22" s="56"/>
      <c r="U22" s="52" t="s">
        <v>99</v>
      </c>
      <c r="W22" s="41"/>
      <c r="X22" s="24"/>
      <c r="Y22" s="24"/>
      <c r="Z22" s="24"/>
      <c r="AA22" s="24"/>
      <c r="AB22" s="24"/>
      <c r="AI22" s="24"/>
      <c r="AJ22" s="24"/>
      <c r="AK22" s="24"/>
      <c r="AL22" s="24"/>
      <c r="AM22" s="24"/>
    </row>
    <row r="23" spans="2:39" s="25" customFormat="1" ht="28.7" customHeight="1">
      <c r="B23" s="44">
        <v>5</v>
      </c>
      <c r="C23" s="44" t="s">
        <v>68</v>
      </c>
      <c r="D23" s="43" t="s">
        <v>55</v>
      </c>
      <c r="E23" s="5" t="s">
        <v>56</v>
      </c>
      <c r="F23" s="66" t="s">
        <v>100</v>
      </c>
      <c r="G23" s="64" t="s">
        <v>95</v>
      </c>
      <c r="H23" s="42"/>
      <c r="I23" s="46">
        <v>150</v>
      </c>
      <c r="J23" s="4" t="s">
        <v>60</v>
      </c>
      <c r="K23" s="42"/>
      <c r="L23" s="47"/>
      <c r="M23" s="47"/>
      <c r="N23" s="47"/>
      <c r="O23" s="48"/>
      <c r="P23" s="49">
        <f>W23*I23</f>
        <v>3375</v>
      </c>
      <c r="Q23" s="49"/>
      <c r="R23" s="42"/>
      <c r="S23" s="42"/>
      <c r="T23" s="43"/>
      <c r="U23" s="42"/>
      <c r="W23" s="41">
        <f>3.75*6</f>
        <v>22.5</v>
      </c>
      <c r="X23" s="24"/>
      <c r="Y23" s="24"/>
      <c r="Z23" s="24"/>
      <c r="AA23" s="24"/>
      <c r="AB23" s="24"/>
      <c r="AI23" s="24"/>
      <c r="AJ23" s="24"/>
      <c r="AK23" s="24"/>
      <c r="AL23" s="24"/>
      <c r="AM23" s="24"/>
    </row>
    <row r="24" spans="2:39" s="25" customFormat="1" ht="28.7" customHeight="1">
      <c r="B24" s="74" t="s">
        <v>53</v>
      </c>
      <c r="C24" s="75"/>
      <c r="D24" s="75"/>
      <c r="E24" s="75"/>
      <c r="F24" s="75"/>
      <c r="G24" s="75"/>
      <c r="H24" s="76"/>
      <c r="I24" s="50">
        <f>SUM(I23)</f>
        <v>150</v>
      </c>
      <c r="J24" s="51"/>
      <c r="K24" s="52" t="s">
        <v>61</v>
      </c>
      <c r="L24" s="53">
        <v>620</v>
      </c>
      <c r="M24" s="53">
        <v>220</v>
      </c>
      <c r="N24" s="53">
        <v>235</v>
      </c>
      <c r="O24" s="54">
        <f>(L24*M24*N24)/10^6</f>
        <v>32.054000000000002</v>
      </c>
      <c r="P24" s="55">
        <f>P23</f>
        <v>3375</v>
      </c>
      <c r="Q24" s="55">
        <f>P24+200</f>
        <v>3575</v>
      </c>
      <c r="R24" s="52" t="s">
        <v>62</v>
      </c>
      <c r="S24" s="52" t="s">
        <v>63</v>
      </c>
      <c r="T24" s="56"/>
      <c r="U24" s="52" t="s">
        <v>99</v>
      </c>
      <c r="W24" s="41"/>
      <c r="X24" s="24"/>
      <c r="Y24" s="24"/>
      <c r="Z24" s="24"/>
      <c r="AA24" s="24"/>
      <c r="AB24" s="24"/>
      <c r="AI24" s="24"/>
      <c r="AJ24" s="24"/>
      <c r="AK24" s="24"/>
      <c r="AL24" s="24"/>
      <c r="AM24" s="24"/>
    </row>
    <row r="25" spans="2:39" s="25" customFormat="1" ht="28.7" customHeight="1">
      <c r="B25" s="44">
        <v>6</v>
      </c>
      <c r="C25" s="44" t="s">
        <v>69</v>
      </c>
      <c r="D25" s="43" t="s">
        <v>55</v>
      </c>
      <c r="E25" s="5" t="s">
        <v>56</v>
      </c>
      <c r="F25" s="66" t="s">
        <v>100</v>
      </c>
      <c r="G25" s="64" t="s">
        <v>95</v>
      </c>
      <c r="H25" s="42"/>
      <c r="I25" s="46">
        <v>150</v>
      </c>
      <c r="J25" s="4" t="s">
        <v>60</v>
      </c>
      <c r="K25" s="42"/>
      <c r="L25" s="47"/>
      <c r="M25" s="47"/>
      <c r="N25" s="47"/>
      <c r="O25" s="48"/>
      <c r="P25" s="49">
        <f>W25*I25</f>
        <v>3375</v>
      </c>
      <c r="Q25" s="49"/>
      <c r="R25" s="42"/>
      <c r="S25" s="42"/>
      <c r="T25" s="43"/>
      <c r="U25" s="42"/>
      <c r="W25" s="41">
        <f>3.75*6</f>
        <v>22.5</v>
      </c>
      <c r="X25" s="24"/>
      <c r="Y25" s="24"/>
      <c r="Z25" s="24"/>
      <c r="AA25" s="24"/>
      <c r="AB25" s="24"/>
      <c r="AI25" s="24"/>
      <c r="AJ25" s="24"/>
      <c r="AK25" s="24"/>
      <c r="AL25" s="24"/>
      <c r="AM25" s="24"/>
    </row>
    <row r="26" spans="2:39" s="25" customFormat="1" ht="28.7" customHeight="1">
      <c r="B26" s="74" t="s">
        <v>53</v>
      </c>
      <c r="C26" s="75"/>
      <c r="D26" s="75"/>
      <c r="E26" s="75"/>
      <c r="F26" s="75"/>
      <c r="G26" s="75"/>
      <c r="H26" s="76"/>
      <c r="I26" s="50">
        <f>SUM(I25)</f>
        <v>150</v>
      </c>
      <c r="J26" s="51"/>
      <c r="K26" s="52" t="s">
        <v>61</v>
      </c>
      <c r="L26" s="53">
        <v>620</v>
      </c>
      <c r="M26" s="53">
        <v>220</v>
      </c>
      <c r="N26" s="53">
        <v>235</v>
      </c>
      <c r="O26" s="54">
        <f>(L26*M26*N26)/10^6</f>
        <v>32.054000000000002</v>
      </c>
      <c r="P26" s="55">
        <f>P25</f>
        <v>3375</v>
      </c>
      <c r="Q26" s="55">
        <f>P26+200</f>
        <v>3575</v>
      </c>
      <c r="R26" s="52" t="s">
        <v>62</v>
      </c>
      <c r="S26" s="52" t="s">
        <v>63</v>
      </c>
      <c r="T26" s="56"/>
      <c r="U26" s="52" t="s">
        <v>99</v>
      </c>
      <c r="W26" s="41"/>
      <c r="X26" s="24"/>
      <c r="Y26" s="24"/>
      <c r="Z26" s="24"/>
      <c r="AA26" s="24"/>
      <c r="AB26" s="24"/>
      <c r="AI26" s="24"/>
      <c r="AJ26" s="24"/>
      <c r="AK26" s="24"/>
      <c r="AL26" s="24"/>
      <c r="AM26" s="24"/>
    </row>
    <row r="27" spans="2:39" s="25" customFormat="1" ht="28.7" customHeight="1">
      <c r="B27" s="44">
        <v>7</v>
      </c>
      <c r="C27" s="44" t="s">
        <v>70</v>
      </c>
      <c r="D27" s="43" t="s">
        <v>55</v>
      </c>
      <c r="E27" s="5" t="s">
        <v>56</v>
      </c>
      <c r="F27" s="66" t="s">
        <v>100</v>
      </c>
      <c r="G27" s="64" t="s">
        <v>95</v>
      </c>
      <c r="H27" s="42"/>
      <c r="I27" s="46">
        <v>100</v>
      </c>
      <c r="J27" s="4" t="s">
        <v>60</v>
      </c>
      <c r="K27" s="42"/>
      <c r="L27" s="47"/>
      <c r="M27" s="47"/>
      <c r="N27" s="47"/>
      <c r="O27" s="48"/>
      <c r="P27" s="49">
        <f>W27*I27</f>
        <v>2250</v>
      </c>
      <c r="Q27" s="49"/>
      <c r="R27" s="42"/>
      <c r="S27" s="42"/>
      <c r="T27" s="43"/>
      <c r="U27" s="42"/>
      <c r="W27" s="41">
        <f>3.75*6</f>
        <v>22.5</v>
      </c>
      <c r="X27" s="24"/>
      <c r="Y27" s="24"/>
      <c r="Z27" s="24"/>
      <c r="AA27" s="24"/>
      <c r="AB27" s="24"/>
      <c r="AI27" s="24"/>
      <c r="AJ27" s="24"/>
      <c r="AK27" s="24"/>
      <c r="AL27" s="24"/>
      <c r="AM27" s="24"/>
    </row>
    <row r="28" spans="2:39" s="25" customFormat="1" ht="28.7" customHeight="1">
      <c r="B28" s="74" t="s">
        <v>53</v>
      </c>
      <c r="C28" s="75"/>
      <c r="D28" s="75"/>
      <c r="E28" s="75"/>
      <c r="F28" s="75"/>
      <c r="G28" s="75"/>
      <c r="H28" s="76"/>
      <c r="I28" s="50">
        <f>SUM(I27)</f>
        <v>100</v>
      </c>
      <c r="J28" s="51"/>
      <c r="K28" s="52" t="s">
        <v>61</v>
      </c>
      <c r="L28" s="53">
        <v>620</v>
      </c>
      <c r="M28" s="53">
        <v>220</v>
      </c>
      <c r="N28" s="53">
        <v>180</v>
      </c>
      <c r="O28" s="54">
        <f>(L28*M28*N28)/10^6</f>
        <v>24.552</v>
      </c>
      <c r="P28" s="55">
        <f>P27</f>
        <v>2250</v>
      </c>
      <c r="Q28" s="55">
        <f>P28+200</f>
        <v>2450</v>
      </c>
      <c r="R28" s="52" t="s">
        <v>62</v>
      </c>
      <c r="S28" s="52" t="s">
        <v>63</v>
      </c>
      <c r="T28" s="56"/>
      <c r="U28" s="52" t="s">
        <v>99</v>
      </c>
      <c r="W28" s="41"/>
      <c r="X28" s="24"/>
      <c r="Y28" s="24"/>
      <c r="Z28" s="24"/>
      <c r="AA28" s="24"/>
      <c r="AB28" s="24"/>
      <c r="AI28" s="24"/>
      <c r="AJ28" s="24"/>
      <c r="AK28" s="24"/>
      <c r="AL28" s="24"/>
      <c r="AM28" s="24"/>
    </row>
    <row r="29" spans="2:39" s="25" customFormat="1" ht="28.7" customHeight="1">
      <c r="B29" s="44">
        <v>8</v>
      </c>
      <c r="C29" s="44" t="s">
        <v>81</v>
      </c>
      <c r="D29" s="34" t="s">
        <v>55</v>
      </c>
      <c r="E29" s="45" t="s">
        <v>72</v>
      </c>
      <c r="F29" s="66" t="s">
        <v>100</v>
      </c>
      <c r="G29" s="64" t="s">
        <v>95</v>
      </c>
      <c r="H29" s="42"/>
      <c r="I29" s="46">
        <v>100</v>
      </c>
      <c r="J29" s="4" t="s">
        <v>60</v>
      </c>
      <c r="K29" s="42"/>
      <c r="L29" s="47"/>
      <c r="M29" s="47"/>
      <c r="N29" s="47"/>
      <c r="O29" s="48"/>
      <c r="P29" s="49">
        <f>W29*I29</f>
        <v>1120</v>
      </c>
      <c r="Q29" s="49"/>
      <c r="R29" s="42"/>
      <c r="S29" s="42"/>
      <c r="T29" s="43"/>
      <c r="U29" s="42"/>
      <c r="W29" s="41">
        <f>2.8*4</f>
        <v>11.2</v>
      </c>
      <c r="X29" s="24"/>
      <c r="Y29" s="24"/>
      <c r="Z29" s="24"/>
      <c r="AA29" s="24"/>
      <c r="AB29" s="24"/>
      <c r="AI29" s="24"/>
      <c r="AJ29" s="24"/>
      <c r="AK29" s="24"/>
      <c r="AL29" s="24"/>
      <c r="AM29" s="24"/>
    </row>
    <row r="30" spans="2:39" s="25" customFormat="1" ht="28.7" customHeight="1">
      <c r="B30" s="74" t="s">
        <v>53</v>
      </c>
      <c r="C30" s="75"/>
      <c r="D30" s="75"/>
      <c r="E30" s="75"/>
      <c r="F30" s="75"/>
      <c r="G30" s="75"/>
      <c r="H30" s="76"/>
      <c r="I30" s="50">
        <f>SUM(I29)</f>
        <v>100</v>
      </c>
      <c r="J30" s="51"/>
      <c r="K30" s="52" t="s">
        <v>61</v>
      </c>
      <c r="L30" s="53">
        <v>420</v>
      </c>
      <c r="M30" s="53">
        <v>220</v>
      </c>
      <c r="N30" s="53">
        <v>140</v>
      </c>
      <c r="O30" s="54">
        <f>(L30*M30*N30)/10^6</f>
        <v>12.936</v>
      </c>
      <c r="P30" s="55">
        <f>P29</f>
        <v>1120</v>
      </c>
      <c r="Q30" s="55">
        <f>P30+200</f>
        <v>1320</v>
      </c>
      <c r="R30" s="52" t="s">
        <v>62</v>
      </c>
      <c r="S30" s="52" t="s">
        <v>63</v>
      </c>
      <c r="T30" s="56"/>
      <c r="U30" s="52" t="s">
        <v>99</v>
      </c>
      <c r="W30" s="41"/>
      <c r="X30" s="24"/>
      <c r="Y30" s="24"/>
      <c r="Z30" s="24"/>
      <c r="AA30" s="24"/>
      <c r="AB30" s="24"/>
      <c r="AI30" s="24"/>
      <c r="AJ30" s="24"/>
      <c r="AK30" s="24"/>
      <c r="AL30" s="24"/>
      <c r="AM30" s="24"/>
    </row>
    <row r="31" spans="2:39" s="25" customFormat="1" ht="28.7" customHeight="1">
      <c r="B31" s="44">
        <v>9</v>
      </c>
      <c r="C31" s="44" t="s">
        <v>82</v>
      </c>
      <c r="D31" s="43" t="s">
        <v>55</v>
      </c>
      <c r="E31" s="5" t="s">
        <v>73</v>
      </c>
      <c r="F31" s="66" t="s">
        <v>100</v>
      </c>
      <c r="G31" s="64" t="s">
        <v>95</v>
      </c>
      <c r="H31" s="42"/>
      <c r="I31" s="46">
        <v>200</v>
      </c>
      <c r="J31" s="4" t="s">
        <v>60</v>
      </c>
      <c r="K31" s="42"/>
      <c r="L31" s="47"/>
      <c r="M31" s="47"/>
      <c r="N31" s="47"/>
      <c r="O31" s="48"/>
      <c r="P31" s="49">
        <f>W31*I31</f>
        <v>392</v>
      </c>
      <c r="Q31" s="49"/>
      <c r="R31" s="42"/>
      <c r="S31" s="42"/>
      <c r="T31" s="43"/>
      <c r="U31" s="42"/>
      <c r="W31" s="41">
        <f>0.49*4</f>
        <v>1.96</v>
      </c>
      <c r="X31" s="24"/>
      <c r="Y31" s="24"/>
      <c r="Z31" s="24"/>
      <c r="AA31" s="24"/>
      <c r="AB31" s="24"/>
      <c r="AI31" s="24"/>
      <c r="AJ31" s="24"/>
      <c r="AK31" s="24"/>
      <c r="AL31" s="24"/>
      <c r="AM31" s="24"/>
    </row>
    <row r="32" spans="2:39" s="25" customFormat="1" ht="28.7" customHeight="1">
      <c r="B32" s="44">
        <v>10</v>
      </c>
      <c r="C32" s="44" t="str">
        <f>C31</f>
        <v>OM4-DE-IS-0003-009</v>
      </c>
      <c r="D32" s="43" t="s">
        <v>55</v>
      </c>
      <c r="E32" s="5" t="s">
        <v>74</v>
      </c>
      <c r="F32" s="66" t="s">
        <v>100</v>
      </c>
      <c r="G32" s="64" t="s">
        <v>95</v>
      </c>
      <c r="H32" s="42"/>
      <c r="I32" s="46">
        <v>80</v>
      </c>
      <c r="J32" s="4" t="s">
        <v>60</v>
      </c>
      <c r="K32" s="42"/>
      <c r="L32" s="47"/>
      <c r="M32" s="47"/>
      <c r="N32" s="47"/>
      <c r="O32" s="48"/>
      <c r="P32" s="49">
        <f t="shared" ref="P32:P95" si="0">W32*I32</f>
        <v>211.20000000000002</v>
      </c>
      <c r="Q32" s="49"/>
      <c r="R32" s="42"/>
      <c r="S32" s="42"/>
      <c r="T32" s="43"/>
      <c r="U32" s="42"/>
      <c r="W32" s="41">
        <f>0.66*4</f>
        <v>2.64</v>
      </c>
      <c r="X32" s="24"/>
      <c r="Y32" s="24"/>
      <c r="Z32" s="24"/>
      <c r="AA32" s="24"/>
      <c r="AB32" s="24"/>
      <c r="AI32" s="24"/>
      <c r="AJ32" s="24"/>
      <c r="AK32" s="24"/>
      <c r="AL32" s="24"/>
      <c r="AM32" s="24"/>
    </row>
    <row r="33" spans="2:39" s="25" customFormat="1" ht="28.7" customHeight="1">
      <c r="B33" s="44">
        <v>11</v>
      </c>
      <c r="C33" s="44" t="str">
        <f t="shared" ref="C33:C36" si="1">C32</f>
        <v>OM4-DE-IS-0003-009</v>
      </c>
      <c r="D33" s="43" t="s">
        <v>55</v>
      </c>
      <c r="E33" s="5" t="s">
        <v>75</v>
      </c>
      <c r="F33" s="66" t="s">
        <v>100</v>
      </c>
      <c r="G33" s="64" t="s">
        <v>95</v>
      </c>
      <c r="H33" s="42"/>
      <c r="I33" s="46">
        <v>100</v>
      </c>
      <c r="J33" s="4" t="s">
        <v>60</v>
      </c>
      <c r="K33" s="42"/>
      <c r="L33" s="47"/>
      <c r="M33" s="47"/>
      <c r="N33" s="47"/>
      <c r="O33" s="48"/>
      <c r="P33" s="49">
        <f t="shared" si="0"/>
        <v>316</v>
      </c>
      <c r="Q33" s="49"/>
      <c r="R33" s="42"/>
      <c r="S33" s="42"/>
      <c r="T33" s="43"/>
      <c r="U33" s="42"/>
      <c r="W33" s="41">
        <f>0.79*4</f>
        <v>3.16</v>
      </c>
      <c r="X33" s="24"/>
      <c r="Y33" s="24"/>
      <c r="Z33" s="24"/>
      <c r="AA33" s="24"/>
      <c r="AB33" s="24"/>
      <c r="AI33" s="24"/>
      <c r="AJ33" s="24"/>
      <c r="AK33" s="24"/>
      <c r="AL33" s="24"/>
      <c r="AM33" s="24"/>
    </row>
    <row r="34" spans="2:39" s="25" customFormat="1" ht="28.7" customHeight="1">
      <c r="B34" s="44">
        <v>12</v>
      </c>
      <c r="C34" s="44" t="str">
        <f t="shared" si="1"/>
        <v>OM4-DE-IS-0003-009</v>
      </c>
      <c r="D34" s="43" t="s">
        <v>55</v>
      </c>
      <c r="E34" s="5" t="s">
        <v>76</v>
      </c>
      <c r="F34" s="66" t="s">
        <v>100</v>
      </c>
      <c r="G34" s="64" t="s">
        <v>95</v>
      </c>
      <c r="H34" s="42"/>
      <c r="I34" s="46">
        <v>70</v>
      </c>
      <c r="J34" s="4" t="s">
        <v>60</v>
      </c>
      <c r="K34" s="42"/>
      <c r="L34" s="47"/>
      <c r="M34" s="47"/>
      <c r="N34" s="47"/>
      <c r="O34" s="48"/>
      <c r="P34" s="49">
        <f t="shared" si="0"/>
        <v>296.8</v>
      </c>
      <c r="Q34" s="49"/>
      <c r="R34" s="42"/>
      <c r="S34" s="42"/>
      <c r="T34" s="43"/>
      <c r="U34" s="42"/>
      <c r="W34" s="41">
        <f>1.06*4</f>
        <v>4.24</v>
      </c>
      <c r="X34" s="24"/>
      <c r="Y34" s="24"/>
      <c r="Z34" s="24"/>
      <c r="AA34" s="24"/>
      <c r="AB34" s="24"/>
      <c r="AI34" s="24"/>
      <c r="AJ34" s="24"/>
      <c r="AK34" s="24"/>
      <c r="AL34" s="24"/>
      <c r="AM34" s="24"/>
    </row>
    <row r="35" spans="2:39" s="25" customFormat="1" ht="28.7" customHeight="1">
      <c r="B35" s="44">
        <v>13</v>
      </c>
      <c r="C35" s="44" t="str">
        <f t="shared" si="1"/>
        <v>OM4-DE-IS-0003-009</v>
      </c>
      <c r="D35" s="43" t="s">
        <v>55</v>
      </c>
      <c r="E35" s="5" t="s">
        <v>77</v>
      </c>
      <c r="F35" s="66" t="s">
        <v>100</v>
      </c>
      <c r="G35" s="64" t="s">
        <v>95</v>
      </c>
      <c r="H35" s="42"/>
      <c r="I35" s="46">
        <v>50</v>
      </c>
      <c r="J35" s="4" t="s">
        <v>60</v>
      </c>
      <c r="K35" s="42"/>
      <c r="L35" s="47"/>
      <c r="M35" s="47"/>
      <c r="N35" s="47"/>
      <c r="O35" s="48"/>
      <c r="P35" s="49">
        <f t="shared" si="0"/>
        <v>436.00000000000006</v>
      </c>
      <c r="Q35" s="49"/>
      <c r="R35" s="42"/>
      <c r="S35" s="42"/>
      <c r="T35" s="43"/>
      <c r="U35" s="42"/>
      <c r="W35" s="41">
        <f>2.18*4</f>
        <v>8.7200000000000006</v>
      </c>
      <c r="X35" s="24"/>
      <c r="Y35" s="24"/>
      <c r="Z35" s="24"/>
      <c r="AA35" s="24"/>
      <c r="AB35" s="24"/>
      <c r="AI35" s="24"/>
      <c r="AJ35" s="24"/>
      <c r="AK35" s="24"/>
      <c r="AL35" s="24"/>
      <c r="AM35" s="24"/>
    </row>
    <row r="36" spans="2:39" s="25" customFormat="1" ht="28.7" customHeight="1">
      <c r="B36" s="44">
        <v>14</v>
      </c>
      <c r="C36" s="44" t="str">
        <f t="shared" si="1"/>
        <v>OM4-DE-IS-0003-009</v>
      </c>
      <c r="D36" s="43" t="s">
        <v>55</v>
      </c>
      <c r="E36" s="5" t="s">
        <v>78</v>
      </c>
      <c r="F36" s="66" t="s">
        <v>100</v>
      </c>
      <c r="G36" s="64" t="s">
        <v>95</v>
      </c>
      <c r="H36" s="42"/>
      <c r="I36" s="46">
        <v>50</v>
      </c>
      <c r="J36" s="4" t="s">
        <v>60</v>
      </c>
      <c r="K36" s="42"/>
      <c r="L36" s="47"/>
      <c r="M36" s="47"/>
      <c r="N36" s="47"/>
      <c r="O36" s="48"/>
      <c r="P36" s="49">
        <f t="shared" si="0"/>
        <v>620</v>
      </c>
      <c r="Q36" s="49"/>
      <c r="R36" s="42"/>
      <c r="S36" s="42"/>
      <c r="T36" s="43"/>
      <c r="U36" s="42"/>
      <c r="W36" s="41">
        <f>3.1*4</f>
        <v>12.4</v>
      </c>
      <c r="X36" s="24"/>
      <c r="Y36" s="24"/>
      <c r="Z36" s="24"/>
      <c r="AA36" s="24"/>
      <c r="AB36" s="24"/>
      <c r="AI36" s="24"/>
      <c r="AJ36" s="24"/>
      <c r="AK36" s="24"/>
      <c r="AL36" s="24"/>
      <c r="AM36" s="24"/>
    </row>
    <row r="37" spans="2:39" s="25" customFormat="1" ht="28.7" customHeight="1">
      <c r="B37" s="74" t="s">
        <v>53</v>
      </c>
      <c r="C37" s="75"/>
      <c r="D37" s="75"/>
      <c r="E37" s="75"/>
      <c r="F37" s="75"/>
      <c r="G37" s="75"/>
      <c r="H37" s="76"/>
      <c r="I37" s="50">
        <f>SUM(I31:I36)</f>
        <v>550</v>
      </c>
      <c r="J37" s="51"/>
      <c r="K37" s="52" t="s">
        <v>61</v>
      </c>
      <c r="L37" s="53">
        <v>420</v>
      </c>
      <c r="M37" s="53">
        <v>220</v>
      </c>
      <c r="N37" s="53">
        <v>140</v>
      </c>
      <c r="O37" s="54">
        <f>(L37*M37*N37)/10^6</f>
        <v>12.936</v>
      </c>
      <c r="P37" s="55">
        <f>SUM(P31:P36)</f>
        <v>2272</v>
      </c>
      <c r="Q37" s="55">
        <f>P37+200</f>
        <v>2472</v>
      </c>
      <c r="R37" s="52" t="s">
        <v>62</v>
      </c>
      <c r="S37" s="52" t="s">
        <v>63</v>
      </c>
      <c r="T37" s="56"/>
      <c r="U37" s="52" t="s">
        <v>99</v>
      </c>
      <c r="W37" s="41"/>
      <c r="X37" s="24"/>
      <c r="Y37" s="24"/>
      <c r="Z37" s="24"/>
      <c r="AA37" s="24"/>
      <c r="AB37" s="24"/>
      <c r="AI37" s="24"/>
      <c r="AJ37" s="24"/>
      <c r="AK37" s="24"/>
      <c r="AL37" s="24"/>
      <c r="AM37" s="24"/>
    </row>
    <row r="38" spans="2:39" s="25" customFormat="1" ht="28.7" customHeight="1">
      <c r="B38" s="67" t="s">
        <v>101</v>
      </c>
      <c r="C38" s="44" t="s">
        <v>83</v>
      </c>
      <c r="D38" s="43" t="s">
        <v>130</v>
      </c>
      <c r="E38" s="5" t="s">
        <v>74</v>
      </c>
      <c r="F38" s="66" t="s">
        <v>100</v>
      </c>
      <c r="G38" s="64" t="s">
        <v>95</v>
      </c>
      <c r="H38" s="42"/>
      <c r="I38" s="46">
        <v>120</v>
      </c>
      <c r="J38" s="4" t="s">
        <v>59</v>
      </c>
      <c r="K38" s="42"/>
      <c r="L38" s="47"/>
      <c r="M38" s="47"/>
      <c r="N38" s="47"/>
      <c r="O38" s="48"/>
      <c r="P38" s="49">
        <f t="shared" si="0"/>
        <v>79.2</v>
      </c>
      <c r="Q38" s="49"/>
      <c r="R38" s="42"/>
      <c r="S38" s="42"/>
      <c r="T38" s="43"/>
      <c r="U38" s="42"/>
      <c r="W38" s="41">
        <v>0.66</v>
      </c>
      <c r="X38" s="24"/>
      <c r="Y38" s="24"/>
      <c r="Z38" s="24"/>
      <c r="AA38" s="24"/>
      <c r="AB38" s="24"/>
      <c r="AI38" s="24"/>
      <c r="AJ38" s="24"/>
      <c r="AK38" s="24"/>
      <c r="AL38" s="24"/>
      <c r="AM38" s="24"/>
    </row>
    <row r="39" spans="2:39" s="25" customFormat="1" ht="28.7" customHeight="1">
      <c r="B39" s="67" t="s">
        <v>102</v>
      </c>
      <c r="C39" s="44" t="str">
        <f>C38</f>
        <v>OM4-DE-IS-0003-010</v>
      </c>
      <c r="D39" s="43" t="s">
        <v>130</v>
      </c>
      <c r="E39" s="5" t="s">
        <v>75</v>
      </c>
      <c r="F39" s="66" t="s">
        <v>100</v>
      </c>
      <c r="G39" s="64" t="s">
        <v>95</v>
      </c>
      <c r="H39" s="42"/>
      <c r="I39" s="46">
        <v>60</v>
      </c>
      <c r="J39" s="4" t="s">
        <v>59</v>
      </c>
      <c r="K39" s="42"/>
      <c r="L39" s="47"/>
      <c r="M39" s="47"/>
      <c r="N39" s="47"/>
      <c r="O39" s="48"/>
      <c r="P39" s="49">
        <f t="shared" si="0"/>
        <v>47.400000000000006</v>
      </c>
      <c r="Q39" s="49"/>
      <c r="R39" s="42"/>
      <c r="S39" s="42"/>
      <c r="T39" s="43"/>
      <c r="U39" s="42"/>
      <c r="W39" s="41">
        <v>0.79</v>
      </c>
      <c r="X39" s="24"/>
      <c r="Y39" s="24"/>
      <c r="Z39" s="24"/>
      <c r="AA39" s="24"/>
      <c r="AB39" s="24"/>
      <c r="AI39" s="24"/>
      <c r="AJ39" s="24"/>
      <c r="AK39" s="24"/>
      <c r="AL39" s="24"/>
      <c r="AM39" s="24"/>
    </row>
    <row r="40" spans="2:39" s="25" customFormat="1" ht="28.7" customHeight="1">
      <c r="B40" s="67" t="s">
        <v>94</v>
      </c>
      <c r="C40" s="44" t="str">
        <f t="shared" ref="C40:C49" si="2">C39</f>
        <v>OM4-DE-IS-0003-010</v>
      </c>
      <c r="D40" s="43" t="s">
        <v>130</v>
      </c>
      <c r="E40" s="5" t="s">
        <v>76</v>
      </c>
      <c r="F40" s="66" t="s">
        <v>100</v>
      </c>
      <c r="G40" s="64" t="s">
        <v>95</v>
      </c>
      <c r="H40" s="42"/>
      <c r="I40" s="46">
        <v>20</v>
      </c>
      <c r="J40" s="4" t="s">
        <v>59</v>
      </c>
      <c r="K40" s="42"/>
      <c r="L40" s="47"/>
      <c r="M40" s="47"/>
      <c r="N40" s="47"/>
      <c r="O40" s="48"/>
      <c r="P40" s="49">
        <f t="shared" si="0"/>
        <v>21.200000000000003</v>
      </c>
      <c r="Q40" s="49"/>
      <c r="R40" s="42"/>
      <c r="S40" s="42"/>
      <c r="T40" s="43"/>
      <c r="U40" s="42"/>
      <c r="W40" s="41">
        <v>1.06</v>
      </c>
      <c r="X40" s="24"/>
      <c r="Y40" s="24"/>
      <c r="Z40" s="24"/>
      <c r="AA40" s="24"/>
      <c r="AB40" s="24"/>
      <c r="AI40" s="24"/>
      <c r="AJ40" s="24"/>
      <c r="AK40" s="24"/>
      <c r="AL40" s="24"/>
      <c r="AM40" s="24"/>
    </row>
    <row r="41" spans="2:39" s="25" customFormat="1" ht="28.7" customHeight="1">
      <c r="B41" s="67" t="s">
        <v>103</v>
      </c>
      <c r="C41" s="44" t="str">
        <f t="shared" si="2"/>
        <v>OM4-DE-IS-0003-010</v>
      </c>
      <c r="D41" s="43" t="s">
        <v>130</v>
      </c>
      <c r="E41" s="5" t="s">
        <v>77</v>
      </c>
      <c r="F41" s="66" t="s">
        <v>100</v>
      </c>
      <c r="G41" s="64" t="s">
        <v>95</v>
      </c>
      <c r="H41" s="42"/>
      <c r="I41" s="46">
        <v>30</v>
      </c>
      <c r="J41" s="4" t="s">
        <v>59</v>
      </c>
      <c r="K41" s="42"/>
      <c r="L41" s="47"/>
      <c r="M41" s="47"/>
      <c r="N41" s="47"/>
      <c r="O41" s="48"/>
      <c r="P41" s="49">
        <f t="shared" si="0"/>
        <v>65.400000000000006</v>
      </c>
      <c r="Q41" s="49"/>
      <c r="R41" s="42"/>
      <c r="S41" s="42"/>
      <c r="T41" s="43"/>
      <c r="U41" s="42"/>
      <c r="W41" s="41">
        <v>2.1800000000000002</v>
      </c>
      <c r="X41" s="24"/>
      <c r="Y41" s="24"/>
      <c r="Z41" s="24"/>
      <c r="AA41" s="24"/>
      <c r="AB41" s="24"/>
      <c r="AI41" s="24"/>
      <c r="AJ41" s="24"/>
      <c r="AK41" s="24"/>
      <c r="AL41" s="24"/>
      <c r="AM41" s="24"/>
    </row>
    <row r="42" spans="2:39" s="25" customFormat="1" ht="28.7" customHeight="1">
      <c r="B42" s="67" t="s">
        <v>104</v>
      </c>
      <c r="C42" s="44" t="str">
        <f t="shared" si="2"/>
        <v>OM4-DE-IS-0003-010</v>
      </c>
      <c r="D42" s="43" t="s">
        <v>130</v>
      </c>
      <c r="E42" s="5" t="s">
        <v>78</v>
      </c>
      <c r="F42" s="66" t="s">
        <v>100</v>
      </c>
      <c r="G42" s="64" t="s">
        <v>95</v>
      </c>
      <c r="H42" s="42"/>
      <c r="I42" s="46">
        <v>30</v>
      </c>
      <c r="J42" s="4" t="s">
        <v>59</v>
      </c>
      <c r="K42" s="42"/>
      <c r="L42" s="47"/>
      <c r="M42" s="47"/>
      <c r="N42" s="47"/>
      <c r="O42" s="48"/>
      <c r="P42" s="49">
        <f t="shared" si="0"/>
        <v>93</v>
      </c>
      <c r="Q42" s="49"/>
      <c r="R42" s="42"/>
      <c r="S42" s="42"/>
      <c r="T42" s="43"/>
      <c r="U42" s="42"/>
      <c r="W42" s="41">
        <v>3.1</v>
      </c>
      <c r="X42" s="24"/>
      <c r="Y42" s="24"/>
      <c r="Z42" s="24"/>
      <c r="AA42" s="24"/>
      <c r="AB42" s="24"/>
      <c r="AI42" s="24"/>
      <c r="AJ42" s="24"/>
      <c r="AK42" s="24"/>
      <c r="AL42" s="24"/>
      <c r="AM42" s="24"/>
    </row>
    <row r="43" spans="2:39" s="25" customFormat="1" ht="28.7" customHeight="1">
      <c r="B43" s="67" t="s">
        <v>105</v>
      </c>
      <c r="C43" s="44" t="str">
        <f t="shared" si="2"/>
        <v>OM4-DE-IS-0003-010</v>
      </c>
      <c r="D43" s="43" t="s">
        <v>130</v>
      </c>
      <c r="E43" s="5" t="s">
        <v>71</v>
      </c>
      <c r="F43" s="66" t="s">
        <v>100</v>
      </c>
      <c r="G43" s="64" t="s">
        <v>95</v>
      </c>
      <c r="H43" s="42"/>
      <c r="I43" s="46">
        <v>30</v>
      </c>
      <c r="J43" s="4" t="s">
        <v>59</v>
      </c>
      <c r="K43" s="42"/>
      <c r="L43" s="47"/>
      <c r="M43" s="47"/>
      <c r="N43" s="47"/>
      <c r="O43" s="48"/>
      <c r="P43" s="49">
        <f t="shared" si="0"/>
        <v>84</v>
      </c>
      <c r="Q43" s="49"/>
      <c r="R43" s="42"/>
      <c r="S43" s="42"/>
      <c r="T43" s="43"/>
      <c r="U43" s="42"/>
      <c r="W43" s="41">
        <f>2.8</f>
        <v>2.8</v>
      </c>
      <c r="X43" s="24"/>
      <c r="Y43" s="24"/>
      <c r="Z43" s="24"/>
      <c r="AA43" s="24"/>
      <c r="AB43" s="24"/>
      <c r="AI43" s="24"/>
      <c r="AJ43" s="24"/>
      <c r="AK43" s="24"/>
      <c r="AL43" s="24"/>
      <c r="AM43" s="24"/>
    </row>
    <row r="44" spans="2:39" s="25" customFormat="1" ht="28.7" customHeight="1">
      <c r="B44" s="67" t="s">
        <v>106</v>
      </c>
      <c r="C44" s="44" t="str">
        <f t="shared" si="2"/>
        <v>OM4-DE-IS-0003-010</v>
      </c>
      <c r="D44" s="43" t="s">
        <v>86</v>
      </c>
      <c r="E44" s="5" t="s">
        <v>73</v>
      </c>
      <c r="F44" s="66" t="s">
        <v>100</v>
      </c>
      <c r="G44" s="64" t="s">
        <v>95</v>
      </c>
      <c r="H44" s="42"/>
      <c r="I44" s="46">
        <v>150</v>
      </c>
      <c r="J44" s="4" t="s">
        <v>59</v>
      </c>
      <c r="K44" s="42"/>
      <c r="L44" s="47"/>
      <c r="M44" s="47"/>
      <c r="N44" s="47"/>
      <c r="O44" s="48"/>
      <c r="P44" s="49">
        <f t="shared" ref="P44:P49" si="3">W44*I44</f>
        <v>9</v>
      </c>
      <c r="Q44" s="49"/>
      <c r="R44" s="42"/>
      <c r="S44" s="42"/>
      <c r="T44" s="43"/>
      <c r="U44" s="42"/>
      <c r="W44" s="41">
        <v>0.06</v>
      </c>
      <c r="X44" s="24"/>
      <c r="Y44" s="24"/>
      <c r="Z44" s="24"/>
      <c r="AA44" s="24"/>
      <c r="AB44" s="24"/>
      <c r="AI44" s="24"/>
      <c r="AJ44" s="24"/>
      <c r="AK44" s="24"/>
      <c r="AL44" s="24"/>
      <c r="AM44" s="24"/>
    </row>
    <row r="45" spans="2:39" s="25" customFormat="1" ht="28.7" customHeight="1">
      <c r="B45" s="67" t="s">
        <v>107</v>
      </c>
      <c r="C45" s="44" t="str">
        <f t="shared" si="2"/>
        <v>OM4-DE-IS-0003-010</v>
      </c>
      <c r="D45" s="43" t="s">
        <v>86</v>
      </c>
      <c r="E45" s="5" t="s">
        <v>74</v>
      </c>
      <c r="F45" s="66" t="s">
        <v>100</v>
      </c>
      <c r="G45" s="64" t="s">
        <v>95</v>
      </c>
      <c r="H45" s="42"/>
      <c r="I45" s="46">
        <v>80</v>
      </c>
      <c r="J45" s="4" t="s">
        <v>59</v>
      </c>
      <c r="K45" s="42"/>
      <c r="L45" s="47"/>
      <c r="M45" s="47"/>
      <c r="N45" s="47"/>
      <c r="O45" s="48"/>
      <c r="P45" s="49">
        <f t="shared" si="3"/>
        <v>7.6</v>
      </c>
      <c r="Q45" s="49"/>
      <c r="R45" s="42"/>
      <c r="S45" s="42"/>
      <c r="T45" s="43"/>
      <c r="U45" s="42"/>
      <c r="W45" s="41">
        <v>9.5000000000000001E-2</v>
      </c>
      <c r="X45" s="24"/>
      <c r="Y45" s="24"/>
      <c r="Z45" s="24"/>
      <c r="AA45" s="24"/>
      <c r="AB45" s="24"/>
      <c r="AI45" s="24"/>
      <c r="AJ45" s="24"/>
      <c r="AK45" s="24"/>
      <c r="AL45" s="24"/>
      <c r="AM45" s="24"/>
    </row>
    <row r="46" spans="2:39" s="25" customFormat="1" ht="28.7" customHeight="1">
      <c r="B46" s="67" t="s">
        <v>108</v>
      </c>
      <c r="C46" s="44" t="str">
        <f t="shared" si="2"/>
        <v>OM4-DE-IS-0003-010</v>
      </c>
      <c r="D46" s="43" t="s">
        <v>86</v>
      </c>
      <c r="E46" s="5" t="s">
        <v>75</v>
      </c>
      <c r="F46" s="66" t="s">
        <v>100</v>
      </c>
      <c r="G46" s="64" t="s">
        <v>95</v>
      </c>
      <c r="H46" s="42"/>
      <c r="I46" s="46">
        <v>50</v>
      </c>
      <c r="J46" s="4" t="s">
        <v>59</v>
      </c>
      <c r="K46" s="42"/>
      <c r="L46" s="47"/>
      <c r="M46" s="47"/>
      <c r="N46" s="47"/>
      <c r="O46" s="48"/>
      <c r="P46" s="49">
        <f t="shared" si="3"/>
        <v>5.5</v>
      </c>
      <c r="Q46" s="49"/>
      <c r="R46" s="42"/>
      <c r="S46" s="42"/>
      <c r="T46" s="43"/>
      <c r="U46" s="42"/>
      <c r="W46" s="41">
        <v>0.11</v>
      </c>
      <c r="X46" s="24"/>
      <c r="Y46" s="24"/>
      <c r="Z46" s="24"/>
      <c r="AA46" s="24"/>
      <c r="AB46" s="24"/>
      <c r="AI46" s="24"/>
      <c r="AJ46" s="24"/>
      <c r="AK46" s="24"/>
      <c r="AL46" s="24"/>
      <c r="AM46" s="24"/>
    </row>
    <row r="47" spans="2:39" s="25" customFormat="1" ht="28.7" customHeight="1">
      <c r="B47" s="67" t="s">
        <v>109</v>
      </c>
      <c r="C47" s="44" t="str">
        <f t="shared" si="2"/>
        <v>OM4-DE-IS-0003-010</v>
      </c>
      <c r="D47" s="43" t="s">
        <v>86</v>
      </c>
      <c r="E47" s="5" t="s">
        <v>76</v>
      </c>
      <c r="F47" s="66" t="s">
        <v>100</v>
      </c>
      <c r="G47" s="64" t="s">
        <v>95</v>
      </c>
      <c r="H47" s="42"/>
      <c r="I47" s="46">
        <v>30</v>
      </c>
      <c r="J47" s="4" t="s">
        <v>59</v>
      </c>
      <c r="K47" s="42"/>
      <c r="L47" s="47"/>
      <c r="M47" s="47"/>
      <c r="N47" s="47"/>
      <c r="O47" s="48"/>
      <c r="P47" s="49">
        <f t="shared" si="3"/>
        <v>4.95</v>
      </c>
      <c r="Q47" s="49"/>
      <c r="R47" s="42"/>
      <c r="S47" s="42"/>
      <c r="T47" s="43"/>
      <c r="U47" s="42"/>
      <c r="W47" s="41">
        <v>0.16500000000000001</v>
      </c>
      <c r="X47" s="24"/>
      <c r="Y47" s="24"/>
      <c r="Z47" s="24"/>
      <c r="AA47" s="24"/>
      <c r="AB47" s="24"/>
      <c r="AI47" s="24"/>
      <c r="AJ47" s="24"/>
      <c r="AK47" s="24"/>
      <c r="AL47" s="24"/>
      <c r="AM47" s="24"/>
    </row>
    <row r="48" spans="2:39" s="25" customFormat="1" ht="28.7" customHeight="1">
      <c r="B48" s="67" t="s">
        <v>110</v>
      </c>
      <c r="C48" s="44" t="str">
        <f t="shared" si="2"/>
        <v>OM4-DE-IS-0003-010</v>
      </c>
      <c r="D48" s="43" t="s">
        <v>86</v>
      </c>
      <c r="E48" s="5" t="s">
        <v>77</v>
      </c>
      <c r="F48" s="66" t="s">
        <v>100</v>
      </c>
      <c r="G48" s="64" t="s">
        <v>95</v>
      </c>
      <c r="H48" s="42"/>
      <c r="I48" s="46">
        <v>20</v>
      </c>
      <c r="J48" s="4" t="s">
        <v>59</v>
      </c>
      <c r="K48" s="42"/>
      <c r="L48" s="47"/>
      <c r="M48" s="47"/>
      <c r="N48" s="47"/>
      <c r="O48" s="48"/>
      <c r="P48" s="49">
        <f t="shared" si="3"/>
        <v>9.8000000000000007</v>
      </c>
      <c r="Q48" s="49"/>
      <c r="R48" s="42"/>
      <c r="S48" s="42"/>
      <c r="T48" s="43"/>
      <c r="U48" s="42"/>
      <c r="W48" s="41">
        <v>0.49</v>
      </c>
      <c r="X48" s="24"/>
      <c r="Y48" s="24"/>
      <c r="Z48" s="24"/>
      <c r="AA48" s="24"/>
      <c r="AB48" s="24"/>
      <c r="AI48" s="24"/>
      <c r="AJ48" s="24"/>
      <c r="AK48" s="24"/>
      <c r="AL48" s="24"/>
      <c r="AM48" s="24"/>
    </row>
    <row r="49" spans="2:39" s="25" customFormat="1" ht="28.7" customHeight="1">
      <c r="B49" s="67" t="s">
        <v>111</v>
      </c>
      <c r="C49" s="44" t="str">
        <f t="shared" si="2"/>
        <v>OM4-DE-IS-0003-010</v>
      </c>
      <c r="D49" s="43" t="s">
        <v>86</v>
      </c>
      <c r="E49" s="5" t="s">
        <v>78</v>
      </c>
      <c r="F49" s="66" t="s">
        <v>100</v>
      </c>
      <c r="G49" s="64" t="s">
        <v>95</v>
      </c>
      <c r="H49" s="42"/>
      <c r="I49" s="46">
        <v>20</v>
      </c>
      <c r="J49" s="4" t="s">
        <v>59</v>
      </c>
      <c r="K49" s="42"/>
      <c r="L49" s="47"/>
      <c r="M49" s="47"/>
      <c r="N49" s="47"/>
      <c r="O49" s="48"/>
      <c r="P49" s="49">
        <f t="shared" si="3"/>
        <v>12.5</v>
      </c>
      <c r="Q49" s="49"/>
      <c r="R49" s="42"/>
      <c r="S49" s="42"/>
      <c r="T49" s="43"/>
      <c r="U49" s="42"/>
      <c r="W49" s="41">
        <v>0.625</v>
      </c>
      <c r="X49" s="24"/>
      <c r="Y49" s="24"/>
      <c r="Z49" s="24"/>
      <c r="AA49" s="24"/>
      <c r="AB49" s="24"/>
      <c r="AI49" s="24"/>
      <c r="AJ49" s="24"/>
      <c r="AK49" s="24"/>
      <c r="AL49" s="24"/>
      <c r="AM49" s="24"/>
    </row>
    <row r="50" spans="2:39" s="25" customFormat="1" ht="28.7" customHeight="1">
      <c r="B50" s="67" t="s">
        <v>112</v>
      </c>
      <c r="C50" s="44" t="str">
        <f>C49</f>
        <v>OM4-DE-IS-0003-010</v>
      </c>
      <c r="D50" s="43" t="s">
        <v>86</v>
      </c>
      <c r="E50" s="5" t="s">
        <v>71</v>
      </c>
      <c r="F50" s="66" t="s">
        <v>100</v>
      </c>
      <c r="G50" s="64" t="s">
        <v>95</v>
      </c>
      <c r="H50" s="42"/>
      <c r="I50" s="46">
        <v>20</v>
      </c>
      <c r="J50" s="4" t="s">
        <v>59</v>
      </c>
      <c r="K50" s="42"/>
      <c r="L50" s="47"/>
      <c r="M50" s="47"/>
      <c r="N50" s="47"/>
      <c r="O50" s="48"/>
      <c r="P50" s="49">
        <f t="shared" ref="P50:P64" si="4">W50*I50</f>
        <v>16</v>
      </c>
      <c r="Q50" s="49"/>
      <c r="R50" s="42"/>
      <c r="S50" s="42"/>
      <c r="T50" s="43"/>
      <c r="U50" s="42"/>
      <c r="W50" s="41">
        <v>0.8</v>
      </c>
      <c r="X50" s="24"/>
      <c r="Y50" s="24"/>
      <c r="Z50" s="24"/>
      <c r="AA50" s="24"/>
      <c r="AB50" s="24"/>
      <c r="AI50" s="24"/>
      <c r="AJ50" s="24"/>
      <c r="AK50" s="24"/>
      <c r="AL50" s="24"/>
      <c r="AM50" s="24"/>
    </row>
    <row r="51" spans="2:39" s="25" customFormat="1" ht="28.7" customHeight="1">
      <c r="B51" s="67" t="s">
        <v>128</v>
      </c>
      <c r="C51" s="44" t="str">
        <f>C50</f>
        <v>OM4-DE-IS-0003-010</v>
      </c>
      <c r="D51" s="43" t="s">
        <v>134</v>
      </c>
      <c r="E51" s="5" t="s">
        <v>73</v>
      </c>
      <c r="F51" s="66" t="s">
        <v>100</v>
      </c>
      <c r="G51" s="64" t="s">
        <v>95</v>
      </c>
      <c r="H51" s="42"/>
      <c r="I51" s="46">
        <v>200</v>
      </c>
      <c r="J51" s="4" t="s">
        <v>59</v>
      </c>
      <c r="K51" s="42"/>
      <c r="L51" s="47"/>
      <c r="M51" s="47"/>
      <c r="N51" s="47"/>
      <c r="O51" s="48"/>
      <c r="P51" s="49">
        <f t="shared" si="4"/>
        <v>12</v>
      </c>
      <c r="Q51" s="49"/>
      <c r="R51" s="42"/>
      <c r="S51" s="42"/>
      <c r="T51" s="43"/>
      <c r="U51" s="42"/>
      <c r="W51" s="41">
        <v>0.06</v>
      </c>
      <c r="X51" s="24"/>
      <c r="Y51" s="24"/>
      <c r="Z51" s="24"/>
      <c r="AA51" s="24"/>
      <c r="AB51" s="24"/>
      <c r="AI51" s="24"/>
      <c r="AJ51" s="24"/>
      <c r="AK51" s="24"/>
      <c r="AL51" s="24"/>
      <c r="AM51" s="24"/>
    </row>
    <row r="52" spans="2:39" s="25" customFormat="1" ht="28.7" customHeight="1">
      <c r="B52" s="67" t="s">
        <v>113</v>
      </c>
      <c r="C52" s="44" t="str">
        <f>C51</f>
        <v>OM4-DE-IS-0003-010</v>
      </c>
      <c r="D52" s="43" t="s">
        <v>134</v>
      </c>
      <c r="E52" s="5" t="s">
        <v>74</v>
      </c>
      <c r="F52" s="66" t="s">
        <v>100</v>
      </c>
      <c r="G52" s="64" t="s">
        <v>95</v>
      </c>
      <c r="H52" s="42"/>
      <c r="I52" s="46">
        <v>80</v>
      </c>
      <c r="J52" s="4" t="s">
        <v>59</v>
      </c>
      <c r="K52" s="42"/>
      <c r="L52" s="47"/>
      <c r="M52" s="47"/>
      <c r="N52" s="47"/>
      <c r="O52" s="48"/>
      <c r="P52" s="49">
        <f t="shared" si="4"/>
        <v>7.6</v>
      </c>
      <c r="Q52" s="49"/>
      <c r="R52" s="42"/>
      <c r="S52" s="42"/>
      <c r="T52" s="43"/>
      <c r="U52" s="42"/>
      <c r="W52" s="41">
        <v>9.5000000000000001E-2</v>
      </c>
      <c r="X52" s="24"/>
      <c r="Y52" s="24"/>
      <c r="Z52" s="24"/>
      <c r="AA52" s="24"/>
      <c r="AB52" s="24"/>
      <c r="AI52" s="24"/>
      <c r="AJ52" s="24"/>
      <c r="AK52" s="24"/>
      <c r="AL52" s="24"/>
      <c r="AM52" s="24"/>
    </row>
    <row r="53" spans="2:39" s="25" customFormat="1" ht="28.7" customHeight="1">
      <c r="B53" s="67" t="s">
        <v>114</v>
      </c>
      <c r="C53" s="44" t="str">
        <f t="shared" ref="C53:C64" si="5">C52</f>
        <v>OM4-DE-IS-0003-010</v>
      </c>
      <c r="D53" s="43" t="s">
        <v>134</v>
      </c>
      <c r="E53" s="5" t="s">
        <v>75</v>
      </c>
      <c r="F53" s="66" t="s">
        <v>100</v>
      </c>
      <c r="G53" s="64" t="s">
        <v>95</v>
      </c>
      <c r="H53" s="42"/>
      <c r="I53" s="46">
        <v>100</v>
      </c>
      <c r="J53" s="4" t="s">
        <v>59</v>
      </c>
      <c r="K53" s="42"/>
      <c r="L53" s="47"/>
      <c r="M53" s="47"/>
      <c r="N53" s="47"/>
      <c r="O53" s="48"/>
      <c r="P53" s="49">
        <f t="shared" si="4"/>
        <v>11</v>
      </c>
      <c r="Q53" s="49"/>
      <c r="R53" s="42"/>
      <c r="S53" s="42"/>
      <c r="T53" s="43"/>
      <c r="U53" s="42"/>
      <c r="W53" s="41">
        <v>0.11</v>
      </c>
      <c r="X53" s="24"/>
      <c r="Y53" s="24"/>
      <c r="Z53" s="24"/>
      <c r="AA53" s="24"/>
      <c r="AB53" s="24"/>
      <c r="AI53" s="24"/>
      <c r="AJ53" s="24"/>
      <c r="AK53" s="24"/>
      <c r="AL53" s="24"/>
      <c r="AM53" s="24"/>
    </row>
    <row r="54" spans="2:39" s="25" customFormat="1" ht="28.7" customHeight="1">
      <c r="B54" s="67" t="s">
        <v>115</v>
      </c>
      <c r="C54" s="44" t="str">
        <f t="shared" si="5"/>
        <v>OM4-DE-IS-0003-010</v>
      </c>
      <c r="D54" s="43" t="s">
        <v>134</v>
      </c>
      <c r="E54" s="5" t="s">
        <v>76</v>
      </c>
      <c r="F54" s="66" t="s">
        <v>100</v>
      </c>
      <c r="G54" s="64" t="s">
        <v>95</v>
      </c>
      <c r="H54" s="42"/>
      <c r="I54" s="46">
        <v>70</v>
      </c>
      <c r="J54" s="4" t="s">
        <v>59</v>
      </c>
      <c r="K54" s="42"/>
      <c r="L54" s="47"/>
      <c r="M54" s="47"/>
      <c r="N54" s="47"/>
      <c r="O54" s="48"/>
      <c r="P54" s="49">
        <f t="shared" si="4"/>
        <v>11.55</v>
      </c>
      <c r="Q54" s="49"/>
      <c r="R54" s="42"/>
      <c r="S54" s="42"/>
      <c r="T54" s="43"/>
      <c r="U54" s="42"/>
      <c r="W54" s="41">
        <v>0.16500000000000001</v>
      </c>
      <c r="X54" s="24"/>
      <c r="Y54" s="24"/>
      <c r="Z54" s="24"/>
      <c r="AA54" s="24"/>
      <c r="AB54" s="24"/>
      <c r="AI54" s="24"/>
      <c r="AJ54" s="24"/>
      <c r="AK54" s="24"/>
      <c r="AL54" s="24"/>
      <c r="AM54" s="24"/>
    </row>
    <row r="55" spans="2:39" s="25" customFormat="1" ht="28.7" customHeight="1">
      <c r="B55" s="67" t="s">
        <v>116</v>
      </c>
      <c r="C55" s="44" t="str">
        <f t="shared" si="5"/>
        <v>OM4-DE-IS-0003-010</v>
      </c>
      <c r="D55" s="43" t="s">
        <v>134</v>
      </c>
      <c r="E55" s="5" t="s">
        <v>77</v>
      </c>
      <c r="F55" s="66" t="s">
        <v>100</v>
      </c>
      <c r="G55" s="64" t="s">
        <v>95</v>
      </c>
      <c r="H55" s="42"/>
      <c r="I55" s="46">
        <v>50</v>
      </c>
      <c r="J55" s="4" t="s">
        <v>59</v>
      </c>
      <c r="K55" s="42"/>
      <c r="L55" s="47"/>
      <c r="M55" s="47"/>
      <c r="N55" s="47"/>
      <c r="O55" s="48"/>
      <c r="P55" s="49">
        <f t="shared" si="4"/>
        <v>24.5</v>
      </c>
      <c r="Q55" s="49"/>
      <c r="R55" s="42"/>
      <c r="S55" s="42"/>
      <c r="T55" s="43"/>
      <c r="U55" s="42"/>
      <c r="W55" s="41">
        <v>0.49</v>
      </c>
      <c r="X55" s="24"/>
      <c r="Y55" s="24"/>
      <c r="Z55" s="24"/>
      <c r="AA55" s="24"/>
      <c r="AB55" s="24"/>
      <c r="AI55" s="24"/>
      <c r="AJ55" s="24"/>
      <c r="AK55" s="24"/>
      <c r="AL55" s="24"/>
      <c r="AM55" s="24"/>
    </row>
    <row r="56" spans="2:39" s="25" customFormat="1" ht="28.7" customHeight="1">
      <c r="B56" s="67" t="s">
        <v>117</v>
      </c>
      <c r="C56" s="44" t="str">
        <f t="shared" si="5"/>
        <v>OM4-DE-IS-0003-010</v>
      </c>
      <c r="D56" s="43" t="s">
        <v>134</v>
      </c>
      <c r="E56" s="5" t="s">
        <v>78</v>
      </c>
      <c r="F56" s="66" t="s">
        <v>100</v>
      </c>
      <c r="G56" s="64" t="s">
        <v>95</v>
      </c>
      <c r="H56" s="42"/>
      <c r="I56" s="46">
        <v>50</v>
      </c>
      <c r="J56" s="4" t="s">
        <v>59</v>
      </c>
      <c r="K56" s="42"/>
      <c r="L56" s="47"/>
      <c r="M56" s="47"/>
      <c r="N56" s="47"/>
      <c r="O56" s="48"/>
      <c r="P56" s="49">
        <f t="shared" si="4"/>
        <v>31.25</v>
      </c>
      <c r="Q56" s="49"/>
      <c r="R56" s="42"/>
      <c r="S56" s="42"/>
      <c r="T56" s="43"/>
      <c r="U56" s="42"/>
      <c r="W56" s="41">
        <v>0.625</v>
      </c>
      <c r="X56" s="24"/>
      <c r="Y56" s="24"/>
      <c r="Z56" s="24"/>
      <c r="AA56" s="24"/>
      <c r="AB56" s="24"/>
      <c r="AI56" s="24"/>
      <c r="AJ56" s="24"/>
      <c r="AK56" s="24"/>
      <c r="AL56" s="24"/>
      <c r="AM56" s="24"/>
    </row>
    <row r="57" spans="2:39" s="25" customFormat="1" ht="28.7" customHeight="1">
      <c r="B57" s="67" t="s">
        <v>118</v>
      </c>
      <c r="C57" s="44" t="str">
        <f t="shared" si="5"/>
        <v>OM4-DE-IS-0003-010</v>
      </c>
      <c r="D57" s="43" t="s">
        <v>134</v>
      </c>
      <c r="E57" s="5" t="s">
        <v>71</v>
      </c>
      <c r="F57" s="66" t="s">
        <v>100</v>
      </c>
      <c r="G57" s="64" t="s">
        <v>95</v>
      </c>
      <c r="H57" s="42"/>
      <c r="I57" s="46">
        <v>100</v>
      </c>
      <c r="J57" s="4" t="s">
        <v>59</v>
      </c>
      <c r="K57" s="42"/>
      <c r="L57" s="47"/>
      <c r="M57" s="47"/>
      <c r="N57" s="47"/>
      <c r="O57" s="48"/>
      <c r="P57" s="49">
        <f t="shared" si="4"/>
        <v>80</v>
      </c>
      <c r="Q57" s="49"/>
      <c r="R57" s="42"/>
      <c r="S57" s="42"/>
      <c r="T57" s="43"/>
      <c r="U57" s="42"/>
      <c r="W57" s="41">
        <v>0.8</v>
      </c>
      <c r="X57" s="24"/>
      <c r="Y57" s="24"/>
      <c r="Z57" s="24"/>
      <c r="AA57" s="24"/>
      <c r="AB57" s="24"/>
      <c r="AI57" s="24"/>
      <c r="AJ57" s="24"/>
      <c r="AK57" s="24"/>
      <c r="AL57" s="24"/>
      <c r="AM57" s="24"/>
    </row>
    <row r="58" spans="2:39" s="25" customFormat="1" ht="28.7" customHeight="1">
      <c r="B58" s="67" t="s">
        <v>119</v>
      </c>
      <c r="C58" s="44" t="str">
        <f t="shared" si="5"/>
        <v>OM4-DE-IS-0003-010</v>
      </c>
      <c r="D58" s="43" t="s">
        <v>131</v>
      </c>
      <c r="E58" s="5" t="s">
        <v>73</v>
      </c>
      <c r="F58" s="66" t="s">
        <v>100</v>
      </c>
      <c r="G58" s="64" t="s">
        <v>95</v>
      </c>
      <c r="H58" s="42"/>
      <c r="I58" s="46">
        <v>100</v>
      </c>
      <c r="J58" s="4" t="s">
        <v>59</v>
      </c>
      <c r="K58" s="42"/>
      <c r="L58" s="47"/>
      <c r="M58" s="47"/>
      <c r="N58" s="47"/>
      <c r="O58" s="48"/>
      <c r="P58" s="49">
        <f t="shared" si="4"/>
        <v>6</v>
      </c>
      <c r="Q58" s="49"/>
      <c r="R58" s="42"/>
      <c r="S58" s="42"/>
      <c r="T58" s="43"/>
      <c r="U58" s="42"/>
      <c r="W58" s="41">
        <v>0.06</v>
      </c>
      <c r="X58" s="24"/>
      <c r="Y58" s="24"/>
      <c r="Z58" s="24"/>
      <c r="AA58" s="24"/>
      <c r="AB58" s="24"/>
      <c r="AI58" s="24"/>
      <c r="AJ58" s="24"/>
      <c r="AK58" s="24"/>
      <c r="AL58" s="24"/>
      <c r="AM58" s="24"/>
    </row>
    <row r="59" spans="2:39" s="25" customFormat="1" ht="28.7" customHeight="1">
      <c r="B59" s="67" t="s">
        <v>120</v>
      </c>
      <c r="C59" s="44" t="str">
        <f t="shared" si="5"/>
        <v>OM4-DE-IS-0003-010</v>
      </c>
      <c r="D59" s="43" t="s">
        <v>131</v>
      </c>
      <c r="E59" s="5" t="s">
        <v>74</v>
      </c>
      <c r="F59" s="66" t="s">
        <v>100</v>
      </c>
      <c r="G59" s="64" t="s">
        <v>95</v>
      </c>
      <c r="H59" s="42"/>
      <c r="I59" s="46">
        <v>50</v>
      </c>
      <c r="J59" s="4" t="s">
        <v>59</v>
      </c>
      <c r="K59" s="42"/>
      <c r="L59" s="47"/>
      <c r="M59" s="47"/>
      <c r="N59" s="47"/>
      <c r="O59" s="48"/>
      <c r="P59" s="49">
        <f t="shared" si="4"/>
        <v>4.75</v>
      </c>
      <c r="Q59" s="49"/>
      <c r="R59" s="42"/>
      <c r="S59" s="42"/>
      <c r="T59" s="43"/>
      <c r="U59" s="42"/>
      <c r="W59" s="41">
        <v>9.5000000000000001E-2</v>
      </c>
      <c r="X59" s="24"/>
      <c r="Y59" s="24"/>
      <c r="Z59" s="24"/>
      <c r="AA59" s="24"/>
      <c r="AB59" s="24"/>
      <c r="AI59" s="24"/>
      <c r="AJ59" s="24"/>
      <c r="AK59" s="24"/>
      <c r="AL59" s="24"/>
      <c r="AM59" s="24"/>
    </row>
    <row r="60" spans="2:39" s="25" customFormat="1" ht="28.7" customHeight="1">
      <c r="B60" s="67" t="s">
        <v>121</v>
      </c>
      <c r="C60" s="44" t="str">
        <f t="shared" si="5"/>
        <v>OM4-DE-IS-0003-010</v>
      </c>
      <c r="D60" s="43" t="s">
        <v>131</v>
      </c>
      <c r="E60" s="5" t="s">
        <v>75</v>
      </c>
      <c r="F60" s="66" t="s">
        <v>100</v>
      </c>
      <c r="G60" s="64" t="s">
        <v>95</v>
      </c>
      <c r="H60" s="42"/>
      <c r="I60" s="46">
        <v>50</v>
      </c>
      <c r="J60" s="4" t="s">
        <v>59</v>
      </c>
      <c r="K60" s="42"/>
      <c r="L60" s="47"/>
      <c r="M60" s="47"/>
      <c r="N60" s="47"/>
      <c r="O60" s="48"/>
      <c r="P60" s="49">
        <f t="shared" si="4"/>
        <v>5.5</v>
      </c>
      <c r="Q60" s="49"/>
      <c r="R60" s="42"/>
      <c r="S60" s="42"/>
      <c r="T60" s="43"/>
      <c r="U60" s="42"/>
      <c r="W60" s="41">
        <v>0.11</v>
      </c>
      <c r="X60" s="24"/>
      <c r="Y60" s="24"/>
      <c r="Z60" s="24"/>
      <c r="AA60" s="24"/>
      <c r="AB60" s="24"/>
      <c r="AI60" s="24"/>
      <c r="AJ60" s="24"/>
      <c r="AK60" s="24"/>
      <c r="AL60" s="24"/>
      <c r="AM60" s="24"/>
    </row>
    <row r="61" spans="2:39" s="25" customFormat="1" ht="28.7" customHeight="1">
      <c r="B61" s="67" t="s">
        <v>122</v>
      </c>
      <c r="C61" s="44" t="str">
        <f t="shared" si="5"/>
        <v>OM4-DE-IS-0003-010</v>
      </c>
      <c r="D61" s="43" t="s">
        <v>131</v>
      </c>
      <c r="E61" s="5" t="s">
        <v>76</v>
      </c>
      <c r="F61" s="66" t="s">
        <v>100</v>
      </c>
      <c r="G61" s="64" t="s">
        <v>95</v>
      </c>
      <c r="H61" s="42"/>
      <c r="I61" s="46">
        <v>50</v>
      </c>
      <c r="J61" s="4" t="s">
        <v>59</v>
      </c>
      <c r="K61" s="42"/>
      <c r="L61" s="47"/>
      <c r="M61" s="47"/>
      <c r="N61" s="47"/>
      <c r="O61" s="48"/>
      <c r="P61" s="49">
        <f t="shared" si="4"/>
        <v>8.25</v>
      </c>
      <c r="Q61" s="49"/>
      <c r="R61" s="42"/>
      <c r="S61" s="42"/>
      <c r="T61" s="43"/>
      <c r="U61" s="42"/>
      <c r="W61" s="41">
        <v>0.16500000000000001</v>
      </c>
      <c r="X61" s="24"/>
      <c r="Y61" s="24"/>
      <c r="Z61" s="24"/>
      <c r="AA61" s="24"/>
      <c r="AB61" s="24"/>
      <c r="AI61" s="24"/>
      <c r="AJ61" s="24"/>
      <c r="AK61" s="24"/>
      <c r="AL61" s="24"/>
      <c r="AM61" s="24"/>
    </row>
    <row r="62" spans="2:39" s="25" customFormat="1" ht="28.7" customHeight="1">
      <c r="B62" s="67" t="s">
        <v>123</v>
      </c>
      <c r="C62" s="44" t="str">
        <f t="shared" si="5"/>
        <v>OM4-DE-IS-0003-010</v>
      </c>
      <c r="D62" s="43" t="s">
        <v>131</v>
      </c>
      <c r="E62" s="5" t="s">
        <v>77</v>
      </c>
      <c r="F62" s="66" t="s">
        <v>100</v>
      </c>
      <c r="G62" s="64" t="s">
        <v>95</v>
      </c>
      <c r="H62" s="42"/>
      <c r="I62" s="46">
        <v>20</v>
      </c>
      <c r="J62" s="4" t="s">
        <v>59</v>
      </c>
      <c r="K62" s="42"/>
      <c r="L62" s="47"/>
      <c r="M62" s="47"/>
      <c r="N62" s="47"/>
      <c r="O62" s="48"/>
      <c r="P62" s="49">
        <f t="shared" si="4"/>
        <v>9.8000000000000007</v>
      </c>
      <c r="Q62" s="49"/>
      <c r="R62" s="42"/>
      <c r="S62" s="42"/>
      <c r="T62" s="43"/>
      <c r="U62" s="42"/>
      <c r="W62" s="41">
        <v>0.49</v>
      </c>
      <c r="X62" s="24"/>
      <c r="Y62" s="24"/>
      <c r="Z62" s="24"/>
      <c r="AA62" s="24"/>
      <c r="AB62" s="24"/>
      <c r="AI62" s="24"/>
      <c r="AJ62" s="24"/>
      <c r="AK62" s="24"/>
      <c r="AL62" s="24"/>
      <c r="AM62" s="24"/>
    </row>
    <row r="63" spans="2:39" s="25" customFormat="1" ht="28.7" customHeight="1">
      <c r="B63" s="67" t="s">
        <v>124</v>
      </c>
      <c r="C63" s="44" t="str">
        <f t="shared" si="5"/>
        <v>OM4-DE-IS-0003-010</v>
      </c>
      <c r="D63" s="43" t="s">
        <v>131</v>
      </c>
      <c r="E63" s="5" t="s">
        <v>78</v>
      </c>
      <c r="F63" s="66" t="s">
        <v>100</v>
      </c>
      <c r="G63" s="64" t="s">
        <v>95</v>
      </c>
      <c r="H63" s="42"/>
      <c r="I63" s="46">
        <v>30</v>
      </c>
      <c r="J63" s="4" t="s">
        <v>59</v>
      </c>
      <c r="K63" s="42"/>
      <c r="L63" s="47"/>
      <c r="M63" s="47"/>
      <c r="N63" s="47"/>
      <c r="O63" s="48"/>
      <c r="P63" s="49">
        <f t="shared" si="4"/>
        <v>18.75</v>
      </c>
      <c r="Q63" s="49"/>
      <c r="R63" s="42"/>
      <c r="S63" s="42"/>
      <c r="T63" s="43"/>
      <c r="U63" s="42"/>
      <c r="W63" s="41">
        <v>0.625</v>
      </c>
      <c r="X63" s="24"/>
      <c r="Y63" s="24"/>
      <c r="Z63" s="24"/>
      <c r="AA63" s="24"/>
      <c r="AB63" s="24"/>
      <c r="AI63" s="24"/>
      <c r="AJ63" s="24"/>
      <c r="AK63" s="24"/>
      <c r="AL63" s="24"/>
      <c r="AM63" s="24"/>
    </row>
    <row r="64" spans="2:39" s="25" customFormat="1" ht="28.7" customHeight="1">
      <c r="B64" s="67" t="s">
        <v>125</v>
      </c>
      <c r="C64" s="44" t="str">
        <f t="shared" si="5"/>
        <v>OM4-DE-IS-0003-010</v>
      </c>
      <c r="D64" s="43" t="s">
        <v>131</v>
      </c>
      <c r="E64" s="5" t="s">
        <v>71</v>
      </c>
      <c r="F64" s="66" t="s">
        <v>100</v>
      </c>
      <c r="G64" s="64" t="s">
        <v>95</v>
      </c>
      <c r="H64" s="42"/>
      <c r="I64" s="46">
        <v>30</v>
      </c>
      <c r="J64" s="4" t="s">
        <v>59</v>
      </c>
      <c r="K64" s="42"/>
      <c r="L64" s="47"/>
      <c r="M64" s="47"/>
      <c r="N64" s="47"/>
      <c r="O64" s="48"/>
      <c r="P64" s="49">
        <f t="shared" si="4"/>
        <v>24</v>
      </c>
      <c r="Q64" s="49"/>
      <c r="R64" s="42"/>
      <c r="S64" s="42"/>
      <c r="T64" s="43"/>
      <c r="U64" s="42"/>
      <c r="W64" s="41">
        <v>0.8</v>
      </c>
      <c r="X64" s="24"/>
      <c r="Y64" s="24"/>
      <c r="Z64" s="24"/>
      <c r="AA64" s="24"/>
      <c r="AB64" s="24"/>
      <c r="AI64" s="24"/>
      <c r="AJ64" s="24"/>
      <c r="AK64" s="24"/>
      <c r="AL64" s="24"/>
      <c r="AM64" s="24"/>
    </row>
    <row r="65" spans="2:39" s="25" customFormat="1" ht="28.7" customHeight="1">
      <c r="B65" s="74" t="s">
        <v>53</v>
      </c>
      <c r="C65" s="75"/>
      <c r="D65" s="75"/>
      <c r="E65" s="75"/>
      <c r="F65" s="75"/>
      <c r="G65" s="75"/>
      <c r="H65" s="76"/>
      <c r="I65" s="50">
        <f>SUM(I38:I64)</f>
        <v>1640</v>
      </c>
      <c r="J65" s="51"/>
      <c r="K65" s="52" t="s">
        <v>80</v>
      </c>
      <c r="L65" s="53">
        <v>420</v>
      </c>
      <c r="M65" s="53">
        <v>220</v>
      </c>
      <c r="N65" s="53">
        <v>120</v>
      </c>
      <c r="O65" s="54">
        <f>(L65*M65*N65)/10^6</f>
        <v>11.087999999999999</v>
      </c>
      <c r="P65" s="55">
        <f>SUM(P38:P64)</f>
        <v>710.5</v>
      </c>
      <c r="Q65" s="55">
        <f>P65+300</f>
        <v>1010.5</v>
      </c>
      <c r="R65" s="52" t="s">
        <v>62</v>
      </c>
      <c r="S65" s="52" t="s">
        <v>63</v>
      </c>
      <c r="T65" s="56"/>
      <c r="U65" s="52" t="s">
        <v>99</v>
      </c>
      <c r="W65" s="41"/>
      <c r="X65" s="24"/>
      <c r="Y65" s="24"/>
      <c r="Z65" s="24"/>
      <c r="AA65" s="24"/>
      <c r="AB65" s="24"/>
      <c r="AI65" s="24"/>
      <c r="AJ65" s="24"/>
      <c r="AK65" s="24"/>
      <c r="AL65" s="24"/>
      <c r="AM65" s="24"/>
    </row>
    <row r="66" spans="2:39" s="25" customFormat="1" ht="28.7" customHeight="1">
      <c r="B66" s="67" t="s">
        <v>129</v>
      </c>
      <c r="C66" s="44" t="s">
        <v>84</v>
      </c>
      <c r="D66" s="43" t="s">
        <v>134</v>
      </c>
      <c r="E66" s="5" t="s">
        <v>56</v>
      </c>
      <c r="F66" s="66" t="s">
        <v>100</v>
      </c>
      <c r="G66" s="64" t="s">
        <v>95</v>
      </c>
      <c r="H66" s="42"/>
      <c r="I66" s="46">
        <v>1000</v>
      </c>
      <c r="J66" s="4" t="s">
        <v>59</v>
      </c>
      <c r="K66" s="42"/>
      <c r="L66" s="47"/>
      <c r="M66" s="47"/>
      <c r="N66" s="47"/>
      <c r="O66" s="48"/>
      <c r="P66" s="49">
        <f t="shared" ref="P66" si="6">W66*I66</f>
        <v>1000</v>
      </c>
      <c r="Q66" s="49"/>
      <c r="R66" s="42"/>
      <c r="S66" s="42"/>
      <c r="T66" s="43"/>
      <c r="U66" s="42"/>
      <c r="W66" s="41">
        <v>1</v>
      </c>
      <c r="X66" s="24"/>
      <c r="Y66" s="24"/>
      <c r="Z66" s="24"/>
      <c r="AA66" s="24"/>
      <c r="AB66" s="24"/>
      <c r="AI66" s="24"/>
      <c r="AJ66" s="24"/>
      <c r="AK66" s="24"/>
      <c r="AL66" s="24"/>
      <c r="AM66" s="24"/>
    </row>
    <row r="67" spans="2:39" s="25" customFormat="1" ht="28.7" customHeight="1">
      <c r="B67" s="67" t="s">
        <v>126</v>
      </c>
      <c r="C67" s="44" t="str">
        <f>C66</f>
        <v>OM4-DE-IS-0003-011</v>
      </c>
      <c r="D67" s="43" t="s">
        <v>131</v>
      </c>
      <c r="E67" s="5" t="s">
        <v>56</v>
      </c>
      <c r="F67" s="66" t="s">
        <v>100</v>
      </c>
      <c r="G67" s="64" t="s">
        <v>95</v>
      </c>
      <c r="H67" s="42"/>
      <c r="I67" s="46">
        <v>300</v>
      </c>
      <c r="J67" s="4" t="s">
        <v>59</v>
      </c>
      <c r="K67" s="42"/>
      <c r="L67" s="47"/>
      <c r="M67" s="47"/>
      <c r="N67" s="47"/>
      <c r="O67" s="48"/>
      <c r="P67" s="49">
        <f t="shared" si="0"/>
        <v>300</v>
      </c>
      <c r="Q67" s="49"/>
      <c r="R67" s="42"/>
      <c r="S67" s="42"/>
      <c r="T67" s="43"/>
      <c r="U67" s="42"/>
      <c r="W67" s="41">
        <v>1</v>
      </c>
      <c r="X67" s="24"/>
      <c r="Y67" s="24"/>
      <c r="Z67" s="24"/>
      <c r="AA67" s="24"/>
      <c r="AB67" s="24"/>
      <c r="AI67" s="24"/>
      <c r="AJ67" s="24"/>
      <c r="AK67" s="24"/>
      <c r="AL67" s="24"/>
      <c r="AM67" s="24"/>
    </row>
    <row r="68" spans="2:39" s="25" customFormat="1" ht="28.7" customHeight="1">
      <c r="B68" s="74" t="s">
        <v>53</v>
      </c>
      <c r="C68" s="75"/>
      <c r="D68" s="75"/>
      <c r="E68" s="75"/>
      <c r="F68" s="75"/>
      <c r="G68" s="75"/>
      <c r="H68" s="76"/>
      <c r="I68" s="50">
        <f>SUM(I66:I67)</f>
        <v>1300</v>
      </c>
      <c r="J68" s="51"/>
      <c r="K68" s="52" t="s">
        <v>80</v>
      </c>
      <c r="L68" s="53">
        <v>420</v>
      </c>
      <c r="M68" s="53">
        <v>220</v>
      </c>
      <c r="N68" s="53">
        <v>170</v>
      </c>
      <c r="O68" s="54">
        <f>(L68*M68*N68)/10^6</f>
        <v>15.708</v>
      </c>
      <c r="P68" s="55">
        <f>SUM(P66:P67)</f>
        <v>1300</v>
      </c>
      <c r="Q68" s="55">
        <f>P68+300</f>
        <v>1600</v>
      </c>
      <c r="R68" s="52" t="s">
        <v>62</v>
      </c>
      <c r="S68" s="52" t="s">
        <v>63</v>
      </c>
      <c r="T68" s="56"/>
      <c r="U68" s="52" t="s">
        <v>99</v>
      </c>
      <c r="W68" s="41"/>
      <c r="X68" s="24"/>
      <c r="Y68" s="24"/>
      <c r="Z68" s="24"/>
      <c r="AA68" s="24"/>
      <c r="AB68" s="24"/>
      <c r="AI68" s="24"/>
      <c r="AJ68" s="24"/>
      <c r="AK68" s="24"/>
      <c r="AL68" s="24"/>
      <c r="AM68" s="24"/>
    </row>
    <row r="69" spans="2:39" s="25" customFormat="1" ht="28.7" customHeight="1">
      <c r="B69" s="67" t="s">
        <v>127</v>
      </c>
      <c r="C69" s="44" t="s">
        <v>85</v>
      </c>
      <c r="D69" s="43" t="s">
        <v>79</v>
      </c>
      <c r="E69" s="5" t="s">
        <v>132</v>
      </c>
      <c r="F69" s="66" t="s">
        <v>100</v>
      </c>
      <c r="G69" s="64" t="s">
        <v>95</v>
      </c>
      <c r="H69" s="42"/>
      <c r="I69" s="46">
        <v>3000</v>
      </c>
      <c r="J69" s="4" t="s">
        <v>59</v>
      </c>
      <c r="K69" s="42"/>
      <c r="L69" s="47"/>
      <c r="M69" s="47"/>
      <c r="N69" s="47"/>
      <c r="O69" s="48"/>
      <c r="P69" s="49">
        <f t="shared" ref="P69" si="7">W69*I69</f>
        <v>1050</v>
      </c>
      <c r="Q69" s="49"/>
      <c r="R69" s="42"/>
      <c r="S69" s="42"/>
      <c r="T69" s="43"/>
      <c r="U69" s="42"/>
      <c r="W69" s="41">
        <v>0.35</v>
      </c>
      <c r="X69" s="24"/>
      <c r="Y69" s="24"/>
      <c r="Z69" s="24"/>
      <c r="AA69" s="24"/>
      <c r="AB69" s="24"/>
      <c r="AI69" s="24"/>
      <c r="AJ69" s="24"/>
      <c r="AK69" s="24"/>
      <c r="AL69" s="24"/>
      <c r="AM69" s="24"/>
    </row>
    <row r="70" spans="2:39" s="25" customFormat="1" ht="28.7" customHeight="1">
      <c r="B70" s="44">
        <v>45</v>
      </c>
      <c r="C70" s="44" t="str">
        <f>C69</f>
        <v>OM4-DE-IS-0003-012</v>
      </c>
      <c r="D70" s="43" t="s">
        <v>86</v>
      </c>
      <c r="E70" s="5" t="s">
        <v>56</v>
      </c>
      <c r="F70" s="66" t="s">
        <v>100</v>
      </c>
      <c r="G70" s="64" t="s">
        <v>95</v>
      </c>
      <c r="H70" s="42"/>
      <c r="I70" s="46">
        <v>800</v>
      </c>
      <c r="J70" s="4" t="s">
        <v>59</v>
      </c>
      <c r="K70" s="42"/>
      <c r="L70" s="47"/>
      <c r="M70" s="47"/>
      <c r="N70" s="47"/>
      <c r="O70" s="48"/>
      <c r="P70" s="49">
        <f t="shared" si="0"/>
        <v>800</v>
      </c>
      <c r="Q70" s="49"/>
      <c r="R70" s="42"/>
      <c r="S70" s="42"/>
      <c r="T70" s="43"/>
      <c r="U70" s="42"/>
      <c r="W70" s="41">
        <v>1</v>
      </c>
      <c r="X70" s="24"/>
      <c r="Y70" s="24"/>
      <c r="Z70" s="24"/>
      <c r="AA70" s="24"/>
      <c r="AB70" s="24"/>
      <c r="AI70" s="24"/>
      <c r="AJ70" s="24"/>
      <c r="AK70" s="24"/>
      <c r="AL70" s="24"/>
      <c r="AM70" s="24"/>
    </row>
    <row r="71" spans="2:39" s="25" customFormat="1" ht="28.7" customHeight="1">
      <c r="B71" s="44">
        <v>46</v>
      </c>
      <c r="C71" s="44" t="str">
        <f t="shared" ref="C71" si="8">C70</f>
        <v>OM4-DE-IS-0003-012</v>
      </c>
      <c r="D71" s="43" t="s">
        <v>87</v>
      </c>
      <c r="E71" s="5" t="s">
        <v>88</v>
      </c>
      <c r="F71" s="66" t="s">
        <v>100</v>
      </c>
      <c r="G71" s="64" t="s">
        <v>95</v>
      </c>
      <c r="H71" s="42"/>
      <c r="I71" s="46">
        <v>5</v>
      </c>
      <c r="J71" s="4" t="s">
        <v>59</v>
      </c>
      <c r="K71" s="42"/>
      <c r="L71" s="47"/>
      <c r="M71" s="47"/>
      <c r="N71" s="47"/>
      <c r="O71" s="48"/>
      <c r="P71" s="49">
        <f t="shared" si="0"/>
        <v>10</v>
      </c>
      <c r="Q71" s="49"/>
      <c r="R71" s="42"/>
      <c r="S71" s="42"/>
      <c r="T71" s="43"/>
      <c r="U71" s="42"/>
      <c r="W71" s="41">
        <v>2</v>
      </c>
      <c r="X71" s="24"/>
      <c r="Y71" s="24"/>
      <c r="Z71" s="24"/>
      <c r="AA71" s="24"/>
      <c r="AB71" s="24"/>
      <c r="AI71" s="24"/>
      <c r="AJ71" s="24"/>
      <c r="AK71" s="24"/>
      <c r="AL71" s="24"/>
      <c r="AM71" s="24"/>
    </row>
    <row r="72" spans="2:39" s="25" customFormat="1" ht="28.7" customHeight="1">
      <c r="B72" s="74" t="s">
        <v>53</v>
      </c>
      <c r="C72" s="75"/>
      <c r="D72" s="75"/>
      <c r="E72" s="75"/>
      <c r="F72" s="75"/>
      <c r="G72" s="75"/>
      <c r="H72" s="76"/>
      <c r="I72" s="50">
        <f>SUM(I69:I71)</f>
        <v>3805</v>
      </c>
      <c r="J72" s="51"/>
      <c r="K72" s="52" t="s">
        <v>80</v>
      </c>
      <c r="L72" s="53">
        <v>420</v>
      </c>
      <c r="M72" s="53">
        <v>220</v>
      </c>
      <c r="N72" s="53">
        <v>200</v>
      </c>
      <c r="O72" s="54">
        <f>(L72*M72*N72)/10^6</f>
        <v>18.48</v>
      </c>
      <c r="P72" s="55">
        <f>SUM(P69:P71)</f>
        <v>1860</v>
      </c>
      <c r="Q72" s="55">
        <f>P72+300</f>
        <v>2160</v>
      </c>
      <c r="R72" s="52" t="s">
        <v>62</v>
      </c>
      <c r="S72" s="52" t="s">
        <v>63</v>
      </c>
      <c r="T72" s="56"/>
      <c r="U72" s="52" t="s">
        <v>99</v>
      </c>
      <c r="W72" s="41"/>
      <c r="X72" s="24"/>
      <c r="Y72" s="24"/>
      <c r="Z72" s="24"/>
      <c r="AA72" s="24"/>
      <c r="AB72" s="24"/>
      <c r="AI72" s="24"/>
      <c r="AJ72" s="24"/>
      <c r="AK72" s="24"/>
      <c r="AL72" s="24"/>
      <c r="AM72" s="24"/>
    </row>
    <row r="73" spans="2:39" s="25" customFormat="1" ht="28.7" customHeight="1">
      <c r="B73" s="44">
        <v>47</v>
      </c>
      <c r="C73" s="44" t="s">
        <v>92</v>
      </c>
      <c r="D73" s="43" t="s">
        <v>133</v>
      </c>
      <c r="E73" s="5" t="s">
        <v>89</v>
      </c>
      <c r="F73" s="66" t="s">
        <v>100</v>
      </c>
      <c r="G73" s="64" t="s">
        <v>95</v>
      </c>
      <c r="H73" s="42"/>
      <c r="I73" s="46">
        <v>50</v>
      </c>
      <c r="J73" s="4" t="s">
        <v>59</v>
      </c>
      <c r="K73" s="42"/>
      <c r="L73" s="47"/>
      <c r="M73" s="47"/>
      <c r="N73" s="47"/>
      <c r="O73" s="48"/>
      <c r="P73" s="49">
        <f t="shared" si="0"/>
        <v>68</v>
      </c>
      <c r="Q73" s="49"/>
      <c r="R73" s="42"/>
      <c r="S73" s="42"/>
      <c r="T73" s="43"/>
      <c r="U73" s="42"/>
      <c r="W73" s="41">
        <f>0.34*4</f>
        <v>1.36</v>
      </c>
      <c r="X73" s="24"/>
      <c r="Y73" s="24"/>
      <c r="Z73" s="24"/>
      <c r="AA73" s="24"/>
      <c r="AB73" s="24"/>
      <c r="AI73" s="24"/>
      <c r="AJ73" s="24"/>
      <c r="AK73" s="24"/>
      <c r="AL73" s="24"/>
      <c r="AM73" s="24"/>
    </row>
    <row r="74" spans="2:39" s="25" customFormat="1" ht="28.7" customHeight="1">
      <c r="B74" s="44">
        <v>48</v>
      </c>
      <c r="C74" s="44" t="str">
        <f>C73</f>
        <v>OM4-DE-IS-0003-013</v>
      </c>
      <c r="D74" s="43" t="s">
        <v>133</v>
      </c>
      <c r="E74" s="5" t="s">
        <v>73</v>
      </c>
      <c r="F74" s="66" t="s">
        <v>100</v>
      </c>
      <c r="G74" s="64" t="s">
        <v>95</v>
      </c>
      <c r="H74" s="42"/>
      <c r="I74" s="46">
        <v>25</v>
      </c>
      <c r="J74" s="4" t="s">
        <v>59</v>
      </c>
      <c r="K74" s="42"/>
      <c r="L74" s="47"/>
      <c r="M74" s="47"/>
      <c r="N74" s="47"/>
      <c r="O74" s="48"/>
      <c r="P74" s="49">
        <f t="shared" si="0"/>
        <v>49</v>
      </c>
      <c r="Q74" s="49"/>
      <c r="R74" s="42"/>
      <c r="S74" s="42"/>
      <c r="T74" s="43"/>
      <c r="U74" s="42"/>
      <c r="W74" s="41">
        <f>0.49*4</f>
        <v>1.96</v>
      </c>
      <c r="X74" s="24"/>
      <c r="Y74" s="24"/>
      <c r="Z74" s="24"/>
      <c r="AA74" s="24"/>
      <c r="AB74" s="24"/>
      <c r="AI74" s="24"/>
      <c r="AJ74" s="24"/>
      <c r="AK74" s="24"/>
      <c r="AL74" s="24"/>
      <c r="AM74" s="24"/>
    </row>
    <row r="75" spans="2:39" s="25" customFormat="1" ht="28.7" customHeight="1">
      <c r="B75" s="44">
        <v>49</v>
      </c>
      <c r="C75" s="44" t="str">
        <f t="shared" ref="C75:C79" si="9">C74</f>
        <v>OM4-DE-IS-0003-013</v>
      </c>
      <c r="D75" s="43" t="s">
        <v>133</v>
      </c>
      <c r="E75" s="5" t="s">
        <v>74</v>
      </c>
      <c r="F75" s="66" t="s">
        <v>100</v>
      </c>
      <c r="G75" s="64" t="s">
        <v>95</v>
      </c>
      <c r="H75" s="42"/>
      <c r="I75" s="46">
        <v>50</v>
      </c>
      <c r="J75" s="4" t="s">
        <v>59</v>
      </c>
      <c r="K75" s="42"/>
      <c r="L75" s="47"/>
      <c r="M75" s="47"/>
      <c r="N75" s="47"/>
      <c r="O75" s="48"/>
      <c r="P75" s="49">
        <f t="shared" si="0"/>
        <v>132</v>
      </c>
      <c r="Q75" s="49"/>
      <c r="R75" s="42"/>
      <c r="S75" s="42"/>
      <c r="T75" s="43"/>
      <c r="U75" s="42"/>
      <c r="W75" s="41">
        <f>0.66*4</f>
        <v>2.64</v>
      </c>
      <c r="X75" s="24"/>
      <c r="Y75" s="24"/>
      <c r="Z75" s="24"/>
      <c r="AA75" s="24"/>
      <c r="AB75" s="24"/>
      <c r="AI75" s="24"/>
      <c r="AJ75" s="24"/>
      <c r="AK75" s="24"/>
      <c r="AL75" s="24"/>
      <c r="AM75" s="24"/>
    </row>
    <row r="76" spans="2:39" s="25" customFormat="1" ht="28.7" customHeight="1">
      <c r="B76" s="44">
        <v>50</v>
      </c>
      <c r="C76" s="44" t="str">
        <f t="shared" si="9"/>
        <v>OM4-DE-IS-0003-013</v>
      </c>
      <c r="D76" s="43" t="s">
        <v>133</v>
      </c>
      <c r="E76" s="5" t="s">
        <v>75</v>
      </c>
      <c r="F76" s="66" t="s">
        <v>100</v>
      </c>
      <c r="G76" s="64" t="s">
        <v>95</v>
      </c>
      <c r="H76" s="42"/>
      <c r="I76" s="46">
        <v>13</v>
      </c>
      <c r="J76" s="4" t="s">
        <v>59</v>
      </c>
      <c r="K76" s="42"/>
      <c r="L76" s="47"/>
      <c r="M76" s="47"/>
      <c r="N76" s="47"/>
      <c r="O76" s="48"/>
      <c r="P76" s="49">
        <f t="shared" si="0"/>
        <v>41.08</v>
      </c>
      <c r="Q76" s="49"/>
      <c r="R76" s="42"/>
      <c r="S76" s="42"/>
      <c r="T76" s="43"/>
      <c r="U76" s="42"/>
      <c r="W76" s="41">
        <f>0.79*4</f>
        <v>3.16</v>
      </c>
      <c r="X76" s="24"/>
      <c r="Y76" s="24"/>
      <c r="Z76" s="24"/>
      <c r="AA76" s="24"/>
      <c r="AB76" s="24"/>
      <c r="AI76" s="24"/>
      <c r="AJ76" s="24"/>
      <c r="AK76" s="24"/>
      <c r="AL76" s="24"/>
      <c r="AM76" s="24"/>
    </row>
    <row r="77" spans="2:39" s="25" customFormat="1" ht="28.7" customHeight="1">
      <c r="B77" s="44">
        <v>51</v>
      </c>
      <c r="C77" s="44" t="str">
        <f t="shared" si="9"/>
        <v>OM4-DE-IS-0003-013</v>
      </c>
      <c r="D77" s="43" t="s">
        <v>133</v>
      </c>
      <c r="E77" s="5" t="s">
        <v>76</v>
      </c>
      <c r="F77" s="66" t="s">
        <v>100</v>
      </c>
      <c r="G77" s="64" t="s">
        <v>95</v>
      </c>
      <c r="H77" s="42"/>
      <c r="I77" s="46">
        <v>75</v>
      </c>
      <c r="J77" s="4" t="s">
        <v>59</v>
      </c>
      <c r="K77" s="42"/>
      <c r="L77" s="47"/>
      <c r="M77" s="47"/>
      <c r="N77" s="47"/>
      <c r="O77" s="48"/>
      <c r="P77" s="49">
        <f t="shared" si="0"/>
        <v>318</v>
      </c>
      <c r="Q77" s="49"/>
      <c r="R77" s="42"/>
      <c r="S77" s="42"/>
      <c r="T77" s="43"/>
      <c r="U77" s="42"/>
      <c r="W77" s="41">
        <f>1.06*4</f>
        <v>4.24</v>
      </c>
      <c r="X77" s="24"/>
      <c r="Y77" s="24"/>
      <c r="Z77" s="24"/>
      <c r="AA77" s="24"/>
      <c r="AB77" s="24"/>
      <c r="AI77" s="24"/>
      <c r="AJ77" s="24"/>
      <c r="AK77" s="24"/>
      <c r="AL77" s="24"/>
      <c r="AM77" s="24"/>
    </row>
    <row r="78" spans="2:39" s="25" customFormat="1" ht="28.7" customHeight="1">
      <c r="B78" s="44">
        <v>52</v>
      </c>
      <c r="C78" s="44" t="str">
        <f t="shared" si="9"/>
        <v>OM4-DE-IS-0003-013</v>
      </c>
      <c r="D78" s="43" t="s">
        <v>133</v>
      </c>
      <c r="E78" s="5" t="s">
        <v>77</v>
      </c>
      <c r="F78" s="66" t="s">
        <v>100</v>
      </c>
      <c r="G78" s="64" t="s">
        <v>95</v>
      </c>
      <c r="H78" s="42"/>
      <c r="I78" s="46">
        <v>25</v>
      </c>
      <c r="J78" s="4" t="s">
        <v>59</v>
      </c>
      <c r="K78" s="42"/>
      <c r="L78" s="47"/>
      <c r="M78" s="47"/>
      <c r="N78" s="47"/>
      <c r="O78" s="48"/>
      <c r="P78" s="49">
        <f t="shared" si="0"/>
        <v>218.00000000000003</v>
      </c>
      <c r="Q78" s="49"/>
      <c r="R78" s="42"/>
      <c r="S78" s="42"/>
      <c r="T78" s="43"/>
      <c r="U78" s="42"/>
      <c r="W78" s="41">
        <f>2.18*4</f>
        <v>8.7200000000000006</v>
      </c>
      <c r="X78" s="24"/>
      <c r="Y78" s="24"/>
      <c r="Z78" s="24"/>
      <c r="AA78" s="24"/>
      <c r="AB78" s="24"/>
      <c r="AI78" s="24"/>
      <c r="AJ78" s="24"/>
      <c r="AK78" s="24"/>
      <c r="AL78" s="24"/>
      <c r="AM78" s="24"/>
    </row>
    <row r="79" spans="2:39" s="25" customFormat="1" ht="28.7" customHeight="1">
      <c r="B79" s="44">
        <v>53</v>
      </c>
      <c r="C79" s="44" t="str">
        <f t="shared" si="9"/>
        <v>OM4-DE-IS-0003-013</v>
      </c>
      <c r="D79" s="43" t="s">
        <v>133</v>
      </c>
      <c r="E79" s="5" t="s">
        <v>90</v>
      </c>
      <c r="F79" s="66" t="s">
        <v>100</v>
      </c>
      <c r="G79" s="64" t="s">
        <v>95</v>
      </c>
      <c r="H79" s="42"/>
      <c r="I79" s="46">
        <v>13</v>
      </c>
      <c r="J79" s="4" t="s">
        <v>59</v>
      </c>
      <c r="K79" s="42"/>
      <c r="L79" s="47"/>
      <c r="M79" s="47"/>
      <c r="N79" s="47"/>
      <c r="O79" s="48"/>
      <c r="P79" s="49">
        <f t="shared" si="0"/>
        <v>161.20000000000002</v>
      </c>
      <c r="Q79" s="49"/>
      <c r="R79" s="42"/>
      <c r="S79" s="42"/>
      <c r="T79" s="43"/>
      <c r="U79" s="42"/>
      <c r="W79" s="41">
        <f>3.1*4</f>
        <v>12.4</v>
      </c>
      <c r="X79" s="24"/>
      <c r="Y79" s="24"/>
      <c r="Z79" s="24"/>
      <c r="AA79" s="24"/>
      <c r="AB79" s="24"/>
      <c r="AI79" s="24"/>
      <c r="AJ79" s="24"/>
      <c r="AK79" s="24"/>
      <c r="AL79" s="24"/>
      <c r="AM79" s="24"/>
    </row>
    <row r="80" spans="2:39" s="25" customFormat="1" ht="28.7" customHeight="1">
      <c r="B80" s="77" t="s">
        <v>53</v>
      </c>
      <c r="C80" s="78"/>
      <c r="D80" s="78"/>
      <c r="E80" s="78"/>
      <c r="F80" s="78"/>
      <c r="G80" s="78"/>
      <c r="H80" s="79"/>
      <c r="I80" s="57">
        <f>SUM(I73:I79)</f>
        <v>251</v>
      </c>
      <c r="J80" s="58"/>
      <c r="K80" s="59" t="s">
        <v>61</v>
      </c>
      <c r="L80" s="60">
        <v>420</v>
      </c>
      <c r="M80" s="60">
        <v>220</v>
      </c>
      <c r="N80" s="60">
        <v>80</v>
      </c>
      <c r="O80" s="61">
        <f>(L80*M80*N80)/10^6</f>
        <v>7.3920000000000003</v>
      </c>
      <c r="P80" s="62">
        <f>SUM(P73:P79)</f>
        <v>987.28</v>
      </c>
      <c r="Q80" s="62">
        <f>P80+200</f>
        <v>1187.28</v>
      </c>
      <c r="R80" s="59" t="s">
        <v>62</v>
      </c>
      <c r="S80" s="59" t="s">
        <v>63</v>
      </c>
      <c r="T80" s="63"/>
      <c r="U80" s="59" t="s">
        <v>99</v>
      </c>
      <c r="W80" s="41"/>
      <c r="X80" s="24"/>
      <c r="Y80" s="24"/>
      <c r="Z80" s="24"/>
      <c r="AA80" s="24"/>
      <c r="AB80" s="24"/>
      <c r="AI80" s="24"/>
      <c r="AJ80" s="24"/>
      <c r="AK80" s="24"/>
      <c r="AL80" s="24"/>
      <c r="AM80" s="24"/>
    </row>
    <row r="81" spans="2:39" s="25" customFormat="1" ht="28.7" customHeight="1">
      <c r="B81" s="44">
        <v>54</v>
      </c>
      <c r="C81" s="44" t="s">
        <v>93</v>
      </c>
      <c r="D81" s="43" t="s">
        <v>130</v>
      </c>
      <c r="E81" s="5" t="s">
        <v>89</v>
      </c>
      <c r="F81" s="66" t="s">
        <v>100</v>
      </c>
      <c r="G81" s="64" t="s">
        <v>95</v>
      </c>
      <c r="H81" s="42"/>
      <c r="I81" s="46">
        <v>100</v>
      </c>
      <c r="J81" s="4" t="s">
        <v>59</v>
      </c>
      <c r="K81" s="42"/>
      <c r="L81" s="47"/>
      <c r="M81" s="47"/>
      <c r="N81" s="47"/>
      <c r="O81" s="48"/>
      <c r="P81" s="49">
        <f t="shared" si="0"/>
        <v>34</v>
      </c>
      <c r="Q81" s="49"/>
      <c r="R81" s="42"/>
      <c r="S81" s="42"/>
      <c r="T81" s="43"/>
      <c r="U81" s="42"/>
      <c r="W81" s="41">
        <v>0.34</v>
      </c>
      <c r="X81" s="24"/>
      <c r="Y81" s="24"/>
      <c r="Z81" s="24"/>
      <c r="AA81" s="24"/>
      <c r="AB81" s="24"/>
      <c r="AI81" s="24"/>
      <c r="AJ81" s="24"/>
      <c r="AK81" s="24"/>
      <c r="AL81" s="24"/>
      <c r="AM81" s="24"/>
    </row>
    <row r="82" spans="2:39" s="25" customFormat="1" ht="28.7" customHeight="1">
      <c r="B82" s="44">
        <v>55</v>
      </c>
      <c r="C82" s="44" t="str">
        <f>C81</f>
        <v>OM4-DE-IS-0003-014</v>
      </c>
      <c r="D82" s="43" t="s">
        <v>130</v>
      </c>
      <c r="E82" s="5" t="s">
        <v>73</v>
      </c>
      <c r="F82" s="66" t="s">
        <v>100</v>
      </c>
      <c r="G82" s="64" t="s">
        <v>95</v>
      </c>
      <c r="H82" s="42"/>
      <c r="I82" s="46">
        <v>50</v>
      </c>
      <c r="J82" s="4" t="s">
        <v>59</v>
      </c>
      <c r="K82" s="42"/>
      <c r="L82" s="47"/>
      <c r="M82" s="47"/>
      <c r="N82" s="47"/>
      <c r="O82" s="48"/>
      <c r="P82" s="49">
        <f t="shared" si="0"/>
        <v>24.5</v>
      </c>
      <c r="Q82" s="49"/>
      <c r="R82" s="42"/>
      <c r="S82" s="42"/>
      <c r="T82" s="43"/>
      <c r="U82" s="42"/>
      <c r="W82" s="41">
        <v>0.49</v>
      </c>
      <c r="X82" s="24"/>
      <c r="Y82" s="24"/>
      <c r="Z82" s="24"/>
      <c r="AA82" s="24"/>
      <c r="AB82" s="24"/>
      <c r="AI82" s="24"/>
      <c r="AJ82" s="24"/>
      <c r="AK82" s="24"/>
      <c r="AL82" s="24"/>
      <c r="AM82" s="24"/>
    </row>
    <row r="83" spans="2:39" s="25" customFormat="1" ht="28.7" customHeight="1">
      <c r="B83" s="44">
        <v>56</v>
      </c>
      <c r="C83" s="44" t="str">
        <f t="shared" ref="C83:C116" si="10">C82</f>
        <v>OM4-DE-IS-0003-014</v>
      </c>
      <c r="D83" s="43" t="s">
        <v>130</v>
      </c>
      <c r="E83" s="5" t="s">
        <v>74</v>
      </c>
      <c r="F83" s="66" t="s">
        <v>100</v>
      </c>
      <c r="G83" s="64" t="s">
        <v>95</v>
      </c>
      <c r="H83" s="42"/>
      <c r="I83" s="46">
        <v>100</v>
      </c>
      <c r="J83" s="4" t="s">
        <v>59</v>
      </c>
      <c r="K83" s="42"/>
      <c r="L83" s="47"/>
      <c r="M83" s="47"/>
      <c r="N83" s="47"/>
      <c r="O83" s="48"/>
      <c r="P83" s="49">
        <f t="shared" si="0"/>
        <v>66</v>
      </c>
      <c r="Q83" s="49"/>
      <c r="R83" s="42"/>
      <c r="S83" s="42"/>
      <c r="T83" s="43"/>
      <c r="U83" s="42"/>
      <c r="W83" s="41">
        <v>0.66</v>
      </c>
      <c r="X83" s="24"/>
      <c r="Y83" s="24"/>
      <c r="Z83" s="24"/>
      <c r="AA83" s="24"/>
      <c r="AB83" s="24"/>
      <c r="AI83" s="24"/>
      <c r="AJ83" s="24"/>
      <c r="AK83" s="24"/>
      <c r="AL83" s="24"/>
      <c r="AM83" s="24"/>
    </row>
    <row r="84" spans="2:39" s="25" customFormat="1" ht="28.7" customHeight="1">
      <c r="B84" s="44">
        <v>57</v>
      </c>
      <c r="C84" s="44" t="str">
        <f t="shared" si="10"/>
        <v>OM4-DE-IS-0003-014</v>
      </c>
      <c r="D84" s="43" t="s">
        <v>130</v>
      </c>
      <c r="E84" s="5" t="s">
        <v>75</v>
      </c>
      <c r="F84" s="66" t="s">
        <v>100</v>
      </c>
      <c r="G84" s="64" t="s">
        <v>95</v>
      </c>
      <c r="H84" s="42"/>
      <c r="I84" s="46">
        <v>25</v>
      </c>
      <c r="J84" s="4" t="s">
        <v>59</v>
      </c>
      <c r="K84" s="42"/>
      <c r="L84" s="47"/>
      <c r="M84" s="47"/>
      <c r="N84" s="47"/>
      <c r="O84" s="48"/>
      <c r="P84" s="49">
        <f t="shared" si="0"/>
        <v>19.75</v>
      </c>
      <c r="Q84" s="49"/>
      <c r="R84" s="42"/>
      <c r="S84" s="42"/>
      <c r="T84" s="43"/>
      <c r="U84" s="42"/>
      <c r="W84" s="41">
        <v>0.79</v>
      </c>
      <c r="X84" s="24"/>
      <c r="Y84" s="24"/>
      <c r="Z84" s="24"/>
      <c r="AA84" s="24"/>
      <c r="AB84" s="24"/>
      <c r="AI84" s="24"/>
      <c r="AJ84" s="24"/>
      <c r="AK84" s="24"/>
      <c r="AL84" s="24"/>
      <c r="AM84" s="24"/>
    </row>
    <row r="85" spans="2:39" s="25" customFormat="1" ht="28.7" customHeight="1">
      <c r="B85" s="44">
        <v>58</v>
      </c>
      <c r="C85" s="44" t="str">
        <f t="shared" si="10"/>
        <v>OM4-DE-IS-0003-014</v>
      </c>
      <c r="D85" s="43" t="s">
        <v>130</v>
      </c>
      <c r="E85" s="5" t="s">
        <v>76</v>
      </c>
      <c r="F85" s="66" t="s">
        <v>100</v>
      </c>
      <c r="G85" s="64" t="s">
        <v>95</v>
      </c>
      <c r="H85" s="42"/>
      <c r="I85" s="46">
        <v>150</v>
      </c>
      <c r="J85" s="4" t="s">
        <v>59</v>
      </c>
      <c r="K85" s="42"/>
      <c r="L85" s="47"/>
      <c r="M85" s="47"/>
      <c r="N85" s="47"/>
      <c r="O85" s="48"/>
      <c r="P85" s="49">
        <f t="shared" si="0"/>
        <v>159</v>
      </c>
      <c r="Q85" s="49"/>
      <c r="R85" s="42"/>
      <c r="S85" s="42"/>
      <c r="T85" s="43"/>
      <c r="U85" s="42"/>
      <c r="W85" s="41">
        <v>1.06</v>
      </c>
      <c r="X85" s="24"/>
      <c r="Y85" s="24"/>
      <c r="Z85" s="24"/>
      <c r="AA85" s="24"/>
      <c r="AB85" s="24"/>
      <c r="AI85" s="24"/>
      <c r="AJ85" s="24"/>
      <c r="AK85" s="24"/>
      <c r="AL85" s="24"/>
      <c r="AM85" s="24"/>
    </row>
    <row r="86" spans="2:39" s="25" customFormat="1" ht="28.7" customHeight="1">
      <c r="B86" s="44">
        <v>59</v>
      </c>
      <c r="C86" s="44" t="str">
        <f t="shared" si="10"/>
        <v>OM4-DE-IS-0003-014</v>
      </c>
      <c r="D86" s="43" t="s">
        <v>130</v>
      </c>
      <c r="E86" s="5" t="s">
        <v>77</v>
      </c>
      <c r="F86" s="66" t="s">
        <v>100</v>
      </c>
      <c r="G86" s="64" t="s">
        <v>95</v>
      </c>
      <c r="H86" s="42"/>
      <c r="I86" s="46">
        <v>50</v>
      </c>
      <c r="J86" s="4" t="s">
        <v>59</v>
      </c>
      <c r="K86" s="42"/>
      <c r="L86" s="47"/>
      <c r="M86" s="47"/>
      <c r="N86" s="47"/>
      <c r="O86" s="48"/>
      <c r="P86" s="49">
        <f t="shared" si="0"/>
        <v>109.00000000000001</v>
      </c>
      <c r="Q86" s="49"/>
      <c r="R86" s="42"/>
      <c r="S86" s="42"/>
      <c r="T86" s="43"/>
      <c r="U86" s="42"/>
      <c r="W86" s="41">
        <v>2.1800000000000002</v>
      </c>
      <c r="X86" s="24"/>
      <c r="Y86" s="24"/>
      <c r="Z86" s="24"/>
      <c r="AA86" s="24"/>
      <c r="AB86" s="24"/>
      <c r="AI86" s="24"/>
      <c r="AJ86" s="24"/>
      <c r="AK86" s="24"/>
      <c r="AL86" s="24"/>
      <c r="AM86" s="24"/>
    </row>
    <row r="87" spans="2:39" s="25" customFormat="1" ht="28.7" customHeight="1">
      <c r="B87" s="44">
        <v>60</v>
      </c>
      <c r="C87" s="44" t="str">
        <f t="shared" si="10"/>
        <v>OM4-DE-IS-0003-014</v>
      </c>
      <c r="D87" s="43" t="s">
        <v>130</v>
      </c>
      <c r="E87" s="5" t="s">
        <v>90</v>
      </c>
      <c r="F87" s="66" t="s">
        <v>100</v>
      </c>
      <c r="G87" s="64" t="s">
        <v>95</v>
      </c>
      <c r="H87" s="42"/>
      <c r="I87" s="46">
        <v>25</v>
      </c>
      <c r="J87" s="4" t="s">
        <v>59</v>
      </c>
      <c r="K87" s="42"/>
      <c r="L87" s="47"/>
      <c r="M87" s="47"/>
      <c r="N87" s="47"/>
      <c r="O87" s="48"/>
      <c r="P87" s="49">
        <f t="shared" si="0"/>
        <v>77.5</v>
      </c>
      <c r="Q87" s="49"/>
      <c r="R87" s="42"/>
      <c r="S87" s="42"/>
      <c r="T87" s="43"/>
      <c r="U87" s="42"/>
      <c r="W87" s="41">
        <v>3.1</v>
      </c>
      <c r="X87" s="24"/>
      <c r="Y87" s="24"/>
      <c r="Z87" s="24"/>
      <c r="AA87" s="24"/>
      <c r="AB87" s="24"/>
      <c r="AI87" s="24"/>
      <c r="AJ87" s="24"/>
      <c r="AK87" s="24"/>
      <c r="AL87" s="24"/>
      <c r="AM87" s="24"/>
    </row>
    <row r="88" spans="2:39" s="25" customFormat="1" ht="28.7" customHeight="1">
      <c r="B88" s="44">
        <v>61</v>
      </c>
      <c r="C88" s="44" t="str">
        <f t="shared" si="10"/>
        <v>OM4-DE-IS-0003-014</v>
      </c>
      <c r="D88" s="43" t="s">
        <v>134</v>
      </c>
      <c r="E88" s="5" t="s">
        <v>89</v>
      </c>
      <c r="F88" s="66" t="s">
        <v>100</v>
      </c>
      <c r="G88" s="64" t="s">
        <v>95</v>
      </c>
      <c r="H88" s="42"/>
      <c r="I88" s="46">
        <v>50</v>
      </c>
      <c r="J88" s="4" t="s">
        <v>59</v>
      </c>
      <c r="K88" s="42"/>
      <c r="L88" s="47"/>
      <c r="M88" s="47"/>
      <c r="N88" s="47"/>
      <c r="O88" s="48"/>
      <c r="P88" s="49">
        <f t="shared" si="0"/>
        <v>1.7500000000000002</v>
      </c>
      <c r="Q88" s="49"/>
      <c r="R88" s="42"/>
      <c r="S88" s="42"/>
      <c r="T88" s="43"/>
      <c r="U88" s="42"/>
      <c r="W88" s="41">
        <v>3.5000000000000003E-2</v>
      </c>
      <c r="X88" s="24"/>
      <c r="Y88" s="24"/>
      <c r="Z88" s="24"/>
      <c r="AA88" s="24"/>
      <c r="AB88" s="24"/>
      <c r="AI88" s="24"/>
      <c r="AJ88" s="24"/>
      <c r="AK88" s="24"/>
      <c r="AL88" s="24"/>
      <c r="AM88" s="24"/>
    </row>
    <row r="89" spans="2:39" s="25" customFormat="1" ht="28.7" customHeight="1">
      <c r="B89" s="44">
        <v>62</v>
      </c>
      <c r="C89" s="44" t="str">
        <f t="shared" si="10"/>
        <v>OM4-DE-IS-0003-014</v>
      </c>
      <c r="D89" s="43" t="s">
        <v>134</v>
      </c>
      <c r="E89" s="5" t="s">
        <v>73</v>
      </c>
      <c r="F89" s="66" t="s">
        <v>100</v>
      </c>
      <c r="G89" s="64" t="s">
        <v>95</v>
      </c>
      <c r="H89" s="42"/>
      <c r="I89" s="46">
        <v>25</v>
      </c>
      <c r="J89" s="4" t="s">
        <v>59</v>
      </c>
      <c r="K89" s="42"/>
      <c r="L89" s="47"/>
      <c r="M89" s="47"/>
      <c r="N89" s="47"/>
      <c r="O89" s="48"/>
      <c r="P89" s="49">
        <f t="shared" si="0"/>
        <v>1.5</v>
      </c>
      <c r="Q89" s="49"/>
      <c r="R89" s="42"/>
      <c r="S89" s="42"/>
      <c r="T89" s="43"/>
      <c r="U89" s="42"/>
      <c r="W89" s="41">
        <v>0.06</v>
      </c>
      <c r="X89" s="24"/>
      <c r="Y89" s="24"/>
      <c r="Z89" s="24"/>
      <c r="AA89" s="24"/>
      <c r="AB89" s="24"/>
      <c r="AI89" s="24"/>
      <c r="AJ89" s="24"/>
      <c r="AK89" s="24"/>
      <c r="AL89" s="24"/>
      <c r="AM89" s="24"/>
    </row>
    <row r="90" spans="2:39" s="25" customFormat="1" ht="28.7" customHeight="1">
      <c r="B90" s="44">
        <v>63</v>
      </c>
      <c r="C90" s="44" t="str">
        <f t="shared" si="10"/>
        <v>OM4-DE-IS-0003-014</v>
      </c>
      <c r="D90" s="43" t="s">
        <v>134</v>
      </c>
      <c r="E90" s="5" t="s">
        <v>74</v>
      </c>
      <c r="F90" s="66" t="s">
        <v>100</v>
      </c>
      <c r="G90" s="64" t="s">
        <v>95</v>
      </c>
      <c r="H90" s="42"/>
      <c r="I90" s="46">
        <v>50</v>
      </c>
      <c r="J90" s="4" t="s">
        <v>59</v>
      </c>
      <c r="K90" s="42"/>
      <c r="L90" s="47"/>
      <c r="M90" s="47"/>
      <c r="N90" s="47"/>
      <c r="O90" s="48"/>
      <c r="P90" s="49">
        <f t="shared" si="0"/>
        <v>4.75</v>
      </c>
      <c r="Q90" s="49"/>
      <c r="R90" s="42"/>
      <c r="S90" s="42"/>
      <c r="T90" s="43"/>
      <c r="U90" s="42"/>
      <c r="W90" s="41">
        <v>9.5000000000000001E-2</v>
      </c>
      <c r="X90" s="24"/>
      <c r="Y90" s="24"/>
      <c r="Z90" s="24"/>
      <c r="AA90" s="24"/>
      <c r="AB90" s="24"/>
      <c r="AI90" s="24"/>
      <c r="AJ90" s="24"/>
      <c r="AK90" s="24"/>
      <c r="AL90" s="24"/>
      <c r="AM90" s="24"/>
    </row>
    <row r="91" spans="2:39" s="25" customFormat="1" ht="28.7" customHeight="1">
      <c r="B91" s="44">
        <v>64</v>
      </c>
      <c r="C91" s="44" t="str">
        <f t="shared" si="10"/>
        <v>OM4-DE-IS-0003-014</v>
      </c>
      <c r="D91" s="43" t="s">
        <v>134</v>
      </c>
      <c r="E91" s="5" t="s">
        <v>75</v>
      </c>
      <c r="F91" s="66" t="s">
        <v>100</v>
      </c>
      <c r="G91" s="64" t="s">
        <v>95</v>
      </c>
      <c r="H91" s="42"/>
      <c r="I91" s="46">
        <v>13</v>
      </c>
      <c r="J91" s="4" t="s">
        <v>59</v>
      </c>
      <c r="K91" s="42"/>
      <c r="L91" s="47"/>
      <c r="M91" s="47"/>
      <c r="N91" s="47"/>
      <c r="O91" s="48"/>
      <c r="P91" s="49">
        <f t="shared" si="0"/>
        <v>1.43</v>
      </c>
      <c r="Q91" s="49"/>
      <c r="R91" s="42"/>
      <c r="S91" s="42"/>
      <c r="T91" s="43"/>
      <c r="U91" s="42"/>
      <c r="W91" s="41">
        <v>0.11</v>
      </c>
      <c r="X91" s="24"/>
      <c r="Y91" s="24"/>
      <c r="Z91" s="24"/>
      <c r="AA91" s="24"/>
      <c r="AB91" s="24"/>
      <c r="AI91" s="24"/>
      <c r="AJ91" s="24"/>
      <c r="AK91" s="24"/>
      <c r="AL91" s="24"/>
      <c r="AM91" s="24"/>
    </row>
    <row r="92" spans="2:39" s="25" customFormat="1" ht="28.7" customHeight="1">
      <c r="B92" s="44">
        <v>65</v>
      </c>
      <c r="C92" s="44" t="str">
        <f t="shared" si="10"/>
        <v>OM4-DE-IS-0003-014</v>
      </c>
      <c r="D92" s="43" t="s">
        <v>134</v>
      </c>
      <c r="E92" s="5" t="s">
        <v>76</v>
      </c>
      <c r="F92" s="66" t="s">
        <v>100</v>
      </c>
      <c r="G92" s="64" t="s">
        <v>95</v>
      </c>
      <c r="H92" s="42"/>
      <c r="I92" s="46">
        <v>75</v>
      </c>
      <c r="J92" s="4" t="s">
        <v>59</v>
      </c>
      <c r="K92" s="42"/>
      <c r="L92" s="47"/>
      <c r="M92" s="47"/>
      <c r="N92" s="47"/>
      <c r="O92" s="48"/>
      <c r="P92" s="49">
        <f t="shared" si="0"/>
        <v>12.375</v>
      </c>
      <c r="Q92" s="49"/>
      <c r="R92" s="42"/>
      <c r="S92" s="42"/>
      <c r="T92" s="43"/>
      <c r="U92" s="42"/>
      <c r="W92" s="41">
        <v>0.16500000000000001</v>
      </c>
      <c r="X92" s="24"/>
      <c r="Y92" s="24"/>
      <c r="Z92" s="24"/>
      <c r="AA92" s="24"/>
      <c r="AB92" s="24"/>
      <c r="AI92" s="24"/>
      <c r="AJ92" s="24"/>
      <c r="AK92" s="24"/>
      <c r="AL92" s="24"/>
      <c r="AM92" s="24"/>
    </row>
    <row r="93" spans="2:39" s="25" customFormat="1" ht="28.7" customHeight="1">
      <c r="B93" s="44">
        <v>66</v>
      </c>
      <c r="C93" s="44" t="str">
        <f t="shared" si="10"/>
        <v>OM4-DE-IS-0003-014</v>
      </c>
      <c r="D93" s="43" t="s">
        <v>134</v>
      </c>
      <c r="E93" s="5" t="s">
        <v>77</v>
      </c>
      <c r="F93" s="66" t="s">
        <v>100</v>
      </c>
      <c r="G93" s="64" t="s">
        <v>95</v>
      </c>
      <c r="H93" s="42"/>
      <c r="I93" s="46">
        <v>25</v>
      </c>
      <c r="J93" s="4" t="s">
        <v>59</v>
      </c>
      <c r="K93" s="42"/>
      <c r="L93" s="47"/>
      <c r="M93" s="47"/>
      <c r="N93" s="47"/>
      <c r="O93" s="48"/>
      <c r="P93" s="49">
        <f t="shared" si="0"/>
        <v>12.25</v>
      </c>
      <c r="Q93" s="49"/>
      <c r="R93" s="42"/>
      <c r="S93" s="42"/>
      <c r="T93" s="43"/>
      <c r="U93" s="42"/>
      <c r="W93" s="41">
        <v>0.49</v>
      </c>
      <c r="X93" s="24"/>
      <c r="Y93" s="24"/>
      <c r="Z93" s="24"/>
      <c r="AA93" s="24"/>
      <c r="AB93" s="24"/>
      <c r="AI93" s="24"/>
      <c r="AJ93" s="24"/>
      <c r="AK93" s="24"/>
      <c r="AL93" s="24"/>
      <c r="AM93" s="24"/>
    </row>
    <row r="94" spans="2:39" s="25" customFormat="1" ht="28.7" customHeight="1">
      <c r="B94" s="44">
        <v>67</v>
      </c>
      <c r="C94" s="44" t="str">
        <f t="shared" si="10"/>
        <v>OM4-DE-IS-0003-014</v>
      </c>
      <c r="D94" s="43" t="s">
        <v>134</v>
      </c>
      <c r="E94" s="5" t="s">
        <v>90</v>
      </c>
      <c r="F94" s="66" t="s">
        <v>100</v>
      </c>
      <c r="G94" s="64" t="s">
        <v>95</v>
      </c>
      <c r="H94" s="42"/>
      <c r="I94" s="46">
        <v>13</v>
      </c>
      <c r="J94" s="4" t="s">
        <v>59</v>
      </c>
      <c r="K94" s="42"/>
      <c r="L94" s="47"/>
      <c r="M94" s="47"/>
      <c r="N94" s="47"/>
      <c r="O94" s="48"/>
      <c r="P94" s="49">
        <f t="shared" si="0"/>
        <v>8.125</v>
      </c>
      <c r="Q94" s="49"/>
      <c r="R94" s="42"/>
      <c r="S94" s="42"/>
      <c r="T94" s="43"/>
      <c r="U94" s="42"/>
      <c r="W94" s="41">
        <v>0.625</v>
      </c>
      <c r="X94" s="24"/>
      <c r="Y94" s="24"/>
      <c r="Z94" s="24"/>
      <c r="AA94" s="24"/>
      <c r="AB94" s="24"/>
      <c r="AI94" s="24"/>
      <c r="AJ94" s="24"/>
      <c r="AK94" s="24"/>
      <c r="AL94" s="24"/>
      <c r="AM94" s="24"/>
    </row>
    <row r="95" spans="2:39" s="25" customFormat="1" ht="28.7" customHeight="1">
      <c r="B95" s="44">
        <v>68</v>
      </c>
      <c r="C95" s="44" t="str">
        <f t="shared" si="10"/>
        <v>OM4-DE-IS-0003-014</v>
      </c>
      <c r="D95" s="43" t="s">
        <v>131</v>
      </c>
      <c r="E95" s="5" t="s">
        <v>89</v>
      </c>
      <c r="F95" s="66" t="s">
        <v>100</v>
      </c>
      <c r="G95" s="64" t="s">
        <v>95</v>
      </c>
      <c r="H95" s="42"/>
      <c r="I95" s="46">
        <v>60</v>
      </c>
      <c r="J95" s="4" t="s">
        <v>59</v>
      </c>
      <c r="K95" s="42"/>
      <c r="L95" s="47"/>
      <c r="M95" s="47"/>
      <c r="N95" s="47"/>
      <c r="O95" s="48"/>
      <c r="P95" s="49">
        <f t="shared" si="0"/>
        <v>2.1</v>
      </c>
      <c r="Q95" s="49"/>
      <c r="R95" s="42"/>
      <c r="S95" s="42"/>
      <c r="T95" s="43"/>
      <c r="U95" s="42"/>
      <c r="W95" s="41">
        <v>3.5000000000000003E-2</v>
      </c>
      <c r="X95" s="24"/>
      <c r="Y95" s="24"/>
      <c r="Z95" s="24"/>
      <c r="AA95" s="24"/>
      <c r="AB95" s="24"/>
      <c r="AI95" s="24"/>
      <c r="AJ95" s="24"/>
      <c r="AK95" s="24"/>
      <c r="AL95" s="24"/>
      <c r="AM95" s="24"/>
    </row>
    <row r="96" spans="2:39" s="25" customFormat="1" ht="28.7" customHeight="1">
      <c r="B96" s="44">
        <v>69</v>
      </c>
      <c r="C96" s="44" t="str">
        <f t="shared" si="10"/>
        <v>OM4-DE-IS-0003-014</v>
      </c>
      <c r="D96" s="43" t="s">
        <v>131</v>
      </c>
      <c r="E96" s="5" t="s">
        <v>73</v>
      </c>
      <c r="F96" s="66" t="s">
        <v>100</v>
      </c>
      <c r="G96" s="64" t="s">
        <v>95</v>
      </c>
      <c r="H96" s="42"/>
      <c r="I96" s="46">
        <v>30</v>
      </c>
      <c r="J96" s="4" t="s">
        <v>59</v>
      </c>
      <c r="K96" s="42"/>
      <c r="L96" s="47"/>
      <c r="M96" s="47"/>
      <c r="N96" s="47"/>
      <c r="O96" s="48"/>
      <c r="P96" s="49">
        <f t="shared" ref="P96:P116" si="11">W96*I96</f>
        <v>1.7999999999999998</v>
      </c>
      <c r="Q96" s="49"/>
      <c r="R96" s="42"/>
      <c r="S96" s="42"/>
      <c r="T96" s="43"/>
      <c r="U96" s="42"/>
      <c r="W96" s="41">
        <v>0.06</v>
      </c>
      <c r="X96" s="24"/>
      <c r="Y96" s="24"/>
      <c r="Z96" s="24"/>
      <c r="AA96" s="24"/>
      <c r="AB96" s="24"/>
      <c r="AI96" s="24"/>
      <c r="AJ96" s="24"/>
      <c r="AK96" s="24"/>
      <c r="AL96" s="24"/>
      <c r="AM96" s="24"/>
    </row>
    <row r="97" spans="2:39" s="25" customFormat="1" ht="28.7" customHeight="1">
      <c r="B97" s="44">
        <v>70</v>
      </c>
      <c r="C97" s="44" t="str">
        <f t="shared" si="10"/>
        <v>OM4-DE-IS-0003-014</v>
      </c>
      <c r="D97" s="43" t="s">
        <v>131</v>
      </c>
      <c r="E97" s="5" t="s">
        <v>74</v>
      </c>
      <c r="F97" s="66" t="s">
        <v>100</v>
      </c>
      <c r="G97" s="64" t="s">
        <v>95</v>
      </c>
      <c r="H97" s="42"/>
      <c r="I97" s="46">
        <v>60</v>
      </c>
      <c r="J97" s="4" t="s">
        <v>59</v>
      </c>
      <c r="K97" s="42"/>
      <c r="L97" s="47"/>
      <c r="M97" s="47"/>
      <c r="N97" s="47"/>
      <c r="O97" s="48"/>
      <c r="P97" s="49">
        <f t="shared" si="11"/>
        <v>5.7</v>
      </c>
      <c r="Q97" s="49"/>
      <c r="R97" s="42"/>
      <c r="S97" s="42"/>
      <c r="T97" s="43"/>
      <c r="U97" s="42"/>
      <c r="W97" s="41">
        <v>9.5000000000000001E-2</v>
      </c>
      <c r="X97" s="24"/>
      <c r="Y97" s="24"/>
      <c r="Z97" s="24"/>
      <c r="AA97" s="24"/>
      <c r="AB97" s="24"/>
      <c r="AI97" s="24"/>
      <c r="AJ97" s="24"/>
      <c r="AK97" s="24"/>
      <c r="AL97" s="24"/>
      <c r="AM97" s="24"/>
    </row>
    <row r="98" spans="2:39" s="25" customFormat="1" ht="28.7" customHeight="1">
      <c r="B98" s="44">
        <v>71</v>
      </c>
      <c r="C98" s="44" t="str">
        <f t="shared" si="10"/>
        <v>OM4-DE-IS-0003-014</v>
      </c>
      <c r="D98" s="43" t="s">
        <v>131</v>
      </c>
      <c r="E98" s="5" t="s">
        <v>75</v>
      </c>
      <c r="F98" s="66" t="s">
        <v>100</v>
      </c>
      <c r="G98" s="64" t="s">
        <v>95</v>
      </c>
      <c r="H98" s="42"/>
      <c r="I98" s="46">
        <v>15</v>
      </c>
      <c r="J98" s="4" t="s">
        <v>59</v>
      </c>
      <c r="K98" s="42"/>
      <c r="L98" s="47"/>
      <c r="M98" s="47"/>
      <c r="N98" s="47"/>
      <c r="O98" s="48"/>
      <c r="P98" s="49">
        <f t="shared" si="11"/>
        <v>1.65</v>
      </c>
      <c r="Q98" s="49"/>
      <c r="R98" s="42"/>
      <c r="S98" s="42"/>
      <c r="T98" s="43"/>
      <c r="U98" s="42"/>
      <c r="W98" s="41">
        <v>0.11</v>
      </c>
      <c r="X98" s="24"/>
      <c r="Y98" s="24"/>
      <c r="Z98" s="24"/>
      <c r="AA98" s="24"/>
      <c r="AB98" s="24"/>
      <c r="AI98" s="24"/>
      <c r="AJ98" s="24"/>
      <c r="AK98" s="24"/>
      <c r="AL98" s="24"/>
      <c r="AM98" s="24"/>
    </row>
    <row r="99" spans="2:39" s="25" customFormat="1" ht="28.7" customHeight="1">
      <c r="B99" s="44">
        <v>72</v>
      </c>
      <c r="C99" s="44" t="str">
        <f t="shared" si="10"/>
        <v>OM4-DE-IS-0003-014</v>
      </c>
      <c r="D99" s="43" t="s">
        <v>131</v>
      </c>
      <c r="E99" s="5" t="s">
        <v>76</v>
      </c>
      <c r="F99" s="66" t="s">
        <v>100</v>
      </c>
      <c r="G99" s="64" t="s">
        <v>95</v>
      </c>
      <c r="H99" s="42"/>
      <c r="I99" s="46">
        <v>90</v>
      </c>
      <c r="J99" s="4" t="s">
        <v>59</v>
      </c>
      <c r="K99" s="42"/>
      <c r="L99" s="47"/>
      <c r="M99" s="47"/>
      <c r="N99" s="47"/>
      <c r="O99" s="48"/>
      <c r="P99" s="49">
        <f t="shared" si="11"/>
        <v>14.850000000000001</v>
      </c>
      <c r="Q99" s="49"/>
      <c r="R99" s="42"/>
      <c r="S99" s="42"/>
      <c r="T99" s="43"/>
      <c r="U99" s="42"/>
      <c r="W99" s="41">
        <v>0.16500000000000001</v>
      </c>
      <c r="X99" s="24"/>
      <c r="Y99" s="24"/>
      <c r="Z99" s="24"/>
      <c r="AA99" s="24"/>
      <c r="AB99" s="24"/>
      <c r="AI99" s="24"/>
      <c r="AJ99" s="24"/>
      <c r="AK99" s="24"/>
      <c r="AL99" s="24"/>
      <c r="AM99" s="24"/>
    </row>
    <row r="100" spans="2:39" s="25" customFormat="1" ht="28.7" customHeight="1">
      <c r="B100" s="44">
        <v>73</v>
      </c>
      <c r="C100" s="44" t="str">
        <f t="shared" si="10"/>
        <v>OM4-DE-IS-0003-014</v>
      </c>
      <c r="D100" s="43" t="s">
        <v>131</v>
      </c>
      <c r="E100" s="5" t="s">
        <v>77</v>
      </c>
      <c r="F100" s="66" t="s">
        <v>100</v>
      </c>
      <c r="G100" s="64" t="s">
        <v>95</v>
      </c>
      <c r="H100" s="42"/>
      <c r="I100" s="46">
        <v>30</v>
      </c>
      <c r="J100" s="4" t="s">
        <v>59</v>
      </c>
      <c r="K100" s="42"/>
      <c r="L100" s="47"/>
      <c r="M100" s="47"/>
      <c r="N100" s="47"/>
      <c r="O100" s="48"/>
      <c r="P100" s="49">
        <f t="shared" si="11"/>
        <v>14.7</v>
      </c>
      <c r="Q100" s="49"/>
      <c r="R100" s="42"/>
      <c r="S100" s="42"/>
      <c r="T100" s="43"/>
      <c r="U100" s="42"/>
      <c r="W100" s="41">
        <v>0.49</v>
      </c>
      <c r="X100" s="24"/>
      <c r="Y100" s="24"/>
      <c r="Z100" s="24"/>
      <c r="AA100" s="24"/>
      <c r="AB100" s="24"/>
      <c r="AI100" s="24"/>
      <c r="AJ100" s="24"/>
      <c r="AK100" s="24"/>
      <c r="AL100" s="24"/>
      <c r="AM100" s="24"/>
    </row>
    <row r="101" spans="2:39" s="25" customFormat="1" ht="28.7" customHeight="1">
      <c r="B101" s="44">
        <v>74</v>
      </c>
      <c r="C101" s="44" t="str">
        <f t="shared" si="10"/>
        <v>OM4-DE-IS-0003-014</v>
      </c>
      <c r="D101" s="43" t="s">
        <v>131</v>
      </c>
      <c r="E101" s="5" t="s">
        <v>90</v>
      </c>
      <c r="F101" s="66" t="s">
        <v>100</v>
      </c>
      <c r="G101" s="64" t="s">
        <v>95</v>
      </c>
      <c r="H101" s="42"/>
      <c r="I101" s="46">
        <v>15</v>
      </c>
      <c r="J101" s="4" t="s">
        <v>59</v>
      </c>
      <c r="K101" s="42"/>
      <c r="L101" s="47"/>
      <c r="M101" s="47"/>
      <c r="N101" s="47"/>
      <c r="O101" s="48"/>
      <c r="P101" s="49">
        <f t="shared" si="11"/>
        <v>9.375</v>
      </c>
      <c r="Q101" s="49"/>
      <c r="R101" s="42"/>
      <c r="S101" s="42"/>
      <c r="T101" s="43"/>
      <c r="U101" s="42"/>
      <c r="W101" s="41">
        <v>0.625</v>
      </c>
      <c r="X101" s="24"/>
      <c r="Y101" s="24"/>
      <c r="Z101" s="24"/>
      <c r="AA101" s="24"/>
      <c r="AB101" s="24"/>
      <c r="AI101" s="24"/>
      <c r="AJ101" s="24"/>
      <c r="AK101" s="24"/>
      <c r="AL101" s="24"/>
      <c r="AM101" s="24"/>
    </row>
    <row r="102" spans="2:39" s="25" customFormat="1" ht="28.7" customHeight="1">
      <c r="B102" s="44">
        <v>75</v>
      </c>
      <c r="C102" s="44" t="str">
        <f t="shared" si="10"/>
        <v>OM4-DE-IS-0003-014</v>
      </c>
      <c r="D102" s="43" t="s">
        <v>91</v>
      </c>
      <c r="E102" s="5" t="s">
        <v>89</v>
      </c>
      <c r="F102" s="66" t="s">
        <v>100</v>
      </c>
      <c r="G102" s="64" t="s">
        <v>95</v>
      </c>
      <c r="H102" s="42"/>
      <c r="I102" s="46">
        <v>10</v>
      </c>
      <c r="J102" s="4" t="s">
        <v>59</v>
      </c>
      <c r="K102" s="42"/>
      <c r="L102" s="47"/>
      <c r="M102" s="47"/>
      <c r="N102" s="47"/>
      <c r="O102" s="48"/>
      <c r="P102" s="49">
        <f t="shared" si="11"/>
        <v>0.35000000000000003</v>
      </c>
      <c r="Q102" s="49"/>
      <c r="R102" s="42"/>
      <c r="S102" s="42"/>
      <c r="T102" s="43"/>
      <c r="U102" s="42"/>
      <c r="W102" s="41">
        <v>3.5000000000000003E-2</v>
      </c>
      <c r="X102" s="24"/>
      <c r="Y102" s="24"/>
      <c r="Z102" s="24"/>
      <c r="AA102" s="24"/>
      <c r="AB102" s="24"/>
      <c r="AI102" s="24"/>
      <c r="AJ102" s="24"/>
      <c r="AK102" s="24"/>
      <c r="AL102" s="24"/>
      <c r="AM102" s="24"/>
    </row>
    <row r="103" spans="2:39" s="25" customFormat="1" ht="28.7" customHeight="1">
      <c r="B103" s="44">
        <v>76</v>
      </c>
      <c r="C103" s="44" t="str">
        <f t="shared" si="10"/>
        <v>OM4-DE-IS-0003-014</v>
      </c>
      <c r="D103" s="43" t="s">
        <v>91</v>
      </c>
      <c r="E103" s="5" t="s">
        <v>73</v>
      </c>
      <c r="F103" s="66" t="s">
        <v>100</v>
      </c>
      <c r="G103" s="64" t="s">
        <v>95</v>
      </c>
      <c r="H103" s="42"/>
      <c r="I103" s="46">
        <v>10</v>
      </c>
      <c r="J103" s="4" t="s">
        <v>59</v>
      </c>
      <c r="K103" s="42"/>
      <c r="L103" s="47"/>
      <c r="M103" s="47"/>
      <c r="N103" s="47"/>
      <c r="O103" s="48"/>
      <c r="P103" s="49">
        <f t="shared" si="11"/>
        <v>0.6</v>
      </c>
      <c r="Q103" s="49"/>
      <c r="R103" s="42"/>
      <c r="S103" s="42"/>
      <c r="T103" s="43"/>
      <c r="U103" s="42"/>
      <c r="W103" s="41">
        <v>0.06</v>
      </c>
      <c r="X103" s="24"/>
      <c r="Y103" s="24"/>
      <c r="Z103" s="24"/>
      <c r="AA103" s="24"/>
      <c r="AB103" s="24"/>
      <c r="AI103" s="24"/>
      <c r="AJ103" s="24"/>
      <c r="AK103" s="24"/>
      <c r="AL103" s="24"/>
      <c r="AM103" s="24"/>
    </row>
    <row r="104" spans="2:39" s="25" customFormat="1" ht="28.7" customHeight="1">
      <c r="B104" s="44">
        <v>77</v>
      </c>
      <c r="C104" s="44" t="str">
        <f t="shared" si="10"/>
        <v>OM4-DE-IS-0003-014</v>
      </c>
      <c r="D104" s="43" t="s">
        <v>91</v>
      </c>
      <c r="E104" s="5" t="s">
        <v>74</v>
      </c>
      <c r="F104" s="66" t="s">
        <v>100</v>
      </c>
      <c r="G104" s="64" t="s">
        <v>95</v>
      </c>
      <c r="H104" s="42"/>
      <c r="I104" s="46">
        <v>10</v>
      </c>
      <c r="J104" s="4" t="s">
        <v>59</v>
      </c>
      <c r="K104" s="42"/>
      <c r="L104" s="47"/>
      <c r="M104" s="47"/>
      <c r="N104" s="47"/>
      <c r="O104" s="48"/>
      <c r="P104" s="49">
        <f t="shared" si="11"/>
        <v>0.95</v>
      </c>
      <c r="Q104" s="49"/>
      <c r="R104" s="42"/>
      <c r="S104" s="42"/>
      <c r="T104" s="43"/>
      <c r="U104" s="42"/>
      <c r="W104" s="41">
        <v>9.5000000000000001E-2</v>
      </c>
      <c r="X104" s="24"/>
      <c r="Y104" s="24"/>
      <c r="Z104" s="24"/>
      <c r="AA104" s="24"/>
      <c r="AB104" s="24"/>
      <c r="AI104" s="24"/>
      <c r="AJ104" s="24"/>
      <c r="AK104" s="24"/>
      <c r="AL104" s="24"/>
      <c r="AM104" s="24"/>
    </row>
    <row r="105" spans="2:39" s="25" customFormat="1" ht="28.7" customHeight="1">
      <c r="B105" s="44">
        <v>78</v>
      </c>
      <c r="C105" s="44" t="str">
        <f t="shared" si="10"/>
        <v>OM4-DE-IS-0003-014</v>
      </c>
      <c r="D105" s="43" t="s">
        <v>91</v>
      </c>
      <c r="E105" s="5" t="s">
        <v>75</v>
      </c>
      <c r="F105" s="66" t="s">
        <v>100</v>
      </c>
      <c r="G105" s="64" t="s">
        <v>95</v>
      </c>
      <c r="H105" s="42"/>
      <c r="I105" s="46">
        <v>5</v>
      </c>
      <c r="J105" s="4" t="s">
        <v>59</v>
      </c>
      <c r="K105" s="42"/>
      <c r="L105" s="47"/>
      <c r="M105" s="47"/>
      <c r="N105" s="47"/>
      <c r="O105" s="48"/>
      <c r="P105" s="49">
        <f t="shared" si="11"/>
        <v>0.55000000000000004</v>
      </c>
      <c r="Q105" s="49"/>
      <c r="R105" s="42"/>
      <c r="S105" s="42"/>
      <c r="T105" s="43"/>
      <c r="U105" s="42"/>
      <c r="W105" s="41">
        <v>0.11</v>
      </c>
      <c r="X105" s="24"/>
      <c r="Y105" s="24"/>
      <c r="Z105" s="24"/>
      <c r="AA105" s="24"/>
      <c r="AB105" s="24"/>
      <c r="AI105" s="24"/>
      <c r="AJ105" s="24"/>
      <c r="AK105" s="24"/>
      <c r="AL105" s="24"/>
      <c r="AM105" s="24"/>
    </row>
    <row r="106" spans="2:39" s="25" customFormat="1" ht="28.7" customHeight="1">
      <c r="B106" s="44">
        <v>79</v>
      </c>
      <c r="C106" s="44" t="str">
        <f t="shared" si="10"/>
        <v>OM4-DE-IS-0003-014</v>
      </c>
      <c r="D106" s="43" t="s">
        <v>91</v>
      </c>
      <c r="E106" s="5" t="s">
        <v>76</v>
      </c>
      <c r="F106" s="66" t="s">
        <v>100</v>
      </c>
      <c r="G106" s="64" t="s">
        <v>95</v>
      </c>
      <c r="H106" s="42"/>
      <c r="I106" s="46">
        <v>10</v>
      </c>
      <c r="J106" s="4" t="s">
        <v>59</v>
      </c>
      <c r="K106" s="42"/>
      <c r="L106" s="47"/>
      <c r="M106" s="47"/>
      <c r="N106" s="47"/>
      <c r="O106" s="48"/>
      <c r="P106" s="49">
        <f t="shared" si="11"/>
        <v>1.6500000000000001</v>
      </c>
      <c r="Q106" s="49"/>
      <c r="R106" s="42"/>
      <c r="S106" s="42"/>
      <c r="T106" s="43"/>
      <c r="U106" s="42"/>
      <c r="W106" s="41">
        <v>0.16500000000000001</v>
      </c>
      <c r="X106" s="24"/>
      <c r="Y106" s="24"/>
      <c r="Z106" s="24"/>
      <c r="AA106" s="24"/>
      <c r="AB106" s="24"/>
      <c r="AI106" s="24"/>
      <c r="AJ106" s="24"/>
      <c r="AK106" s="24"/>
      <c r="AL106" s="24"/>
      <c r="AM106" s="24"/>
    </row>
    <row r="107" spans="2:39" s="25" customFormat="1" ht="28.7" customHeight="1">
      <c r="B107" s="44">
        <v>80</v>
      </c>
      <c r="C107" s="44" t="str">
        <f t="shared" si="10"/>
        <v>OM4-DE-IS-0003-014</v>
      </c>
      <c r="D107" s="43" t="s">
        <v>91</v>
      </c>
      <c r="E107" s="5" t="s">
        <v>77</v>
      </c>
      <c r="F107" s="66" t="s">
        <v>100</v>
      </c>
      <c r="G107" s="64" t="s">
        <v>95</v>
      </c>
      <c r="H107" s="42"/>
      <c r="I107" s="46">
        <v>5</v>
      </c>
      <c r="J107" s="4" t="s">
        <v>59</v>
      </c>
      <c r="K107" s="42"/>
      <c r="L107" s="47"/>
      <c r="M107" s="47"/>
      <c r="N107" s="47"/>
      <c r="O107" s="48"/>
      <c r="P107" s="49">
        <f t="shared" si="11"/>
        <v>2.4500000000000002</v>
      </c>
      <c r="Q107" s="49"/>
      <c r="R107" s="42"/>
      <c r="S107" s="42"/>
      <c r="T107" s="43"/>
      <c r="U107" s="42"/>
      <c r="W107" s="41">
        <v>0.49</v>
      </c>
      <c r="X107" s="24"/>
      <c r="Y107" s="24"/>
      <c r="Z107" s="24"/>
      <c r="AA107" s="24"/>
      <c r="AB107" s="24"/>
      <c r="AI107" s="24"/>
      <c r="AJ107" s="24"/>
      <c r="AK107" s="24"/>
      <c r="AL107" s="24"/>
      <c r="AM107" s="24"/>
    </row>
    <row r="108" spans="2:39" s="25" customFormat="1" ht="28.7" customHeight="1">
      <c r="B108" s="44">
        <v>81</v>
      </c>
      <c r="C108" s="44" t="str">
        <f t="shared" si="10"/>
        <v>OM4-DE-IS-0003-014</v>
      </c>
      <c r="D108" s="43" t="s">
        <v>91</v>
      </c>
      <c r="E108" s="5" t="s">
        <v>90</v>
      </c>
      <c r="F108" s="66" t="s">
        <v>100</v>
      </c>
      <c r="G108" s="64" t="s">
        <v>95</v>
      </c>
      <c r="H108" s="42"/>
      <c r="I108" s="46">
        <v>5</v>
      </c>
      <c r="J108" s="4" t="s">
        <v>59</v>
      </c>
      <c r="K108" s="42"/>
      <c r="L108" s="47"/>
      <c r="M108" s="47"/>
      <c r="N108" s="47"/>
      <c r="O108" s="48"/>
      <c r="P108" s="49">
        <f t="shared" si="11"/>
        <v>3.125</v>
      </c>
      <c r="Q108" s="49"/>
      <c r="R108" s="42"/>
      <c r="S108" s="42"/>
      <c r="T108" s="43"/>
      <c r="U108" s="42"/>
      <c r="W108" s="41">
        <v>0.625</v>
      </c>
      <c r="X108" s="24"/>
      <c r="Y108" s="24"/>
      <c r="Z108" s="24"/>
      <c r="AA108" s="24"/>
      <c r="AB108" s="24"/>
      <c r="AI108" s="24"/>
      <c r="AJ108" s="24"/>
      <c r="AK108" s="24"/>
      <c r="AL108" s="24"/>
      <c r="AM108" s="24"/>
    </row>
    <row r="109" spans="2:39" s="25" customFormat="1" ht="28.7" customHeight="1">
      <c r="B109" s="44">
        <v>82</v>
      </c>
      <c r="C109" s="44" t="str">
        <f t="shared" si="10"/>
        <v>OM4-DE-IS-0003-014</v>
      </c>
      <c r="D109" s="43" t="s">
        <v>86</v>
      </c>
      <c r="E109" s="5" t="s">
        <v>89</v>
      </c>
      <c r="F109" s="66" t="s">
        <v>100</v>
      </c>
      <c r="G109" s="64" t="s">
        <v>95</v>
      </c>
      <c r="H109" s="42"/>
      <c r="I109" s="46">
        <v>10</v>
      </c>
      <c r="J109" s="4" t="s">
        <v>59</v>
      </c>
      <c r="K109" s="42"/>
      <c r="L109" s="47"/>
      <c r="M109" s="47"/>
      <c r="N109" s="47"/>
      <c r="O109" s="48"/>
      <c r="P109" s="49">
        <f t="shared" si="11"/>
        <v>0.35000000000000003</v>
      </c>
      <c r="Q109" s="49"/>
      <c r="R109" s="42"/>
      <c r="S109" s="42"/>
      <c r="T109" s="43"/>
      <c r="U109" s="42"/>
      <c r="W109" s="41">
        <v>3.5000000000000003E-2</v>
      </c>
      <c r="X109" s="24"/>
      <c r="Y109" s="24"/>
      <c r="Z109" s="24"/>
      <c r="AA109" s="24"/>
      <c r="AB109" s="24"/>
      <c r="AI109" s="24"/>
      <c r="AJ109" s="24"/>
      <c r="AK109" s="24"/>
      <c r="AL109" s="24"/>
      <c r="AM109" s="24"/>
    </row>
    <row r="110" spans="2:39" s="25" customFormat="1" ht="28.7" customHeight="1">
      <c r="B110" s="44">
        <v>83</v>
      </c>
      <c r="C110" s="44" t="str">
        <f t="shared" si="10"/>
        <v>OM4-DE-IS-0003-014</v>
      </c>
      <c r="D110" s="43" t="s">
        <v>86</v>
      </c>
      <c r="E110" s="5" t="s">
        <v>73</v>
      </c>
      <c r="F110" s="66" t="s">
        <v>100</v>
      </c>
      <c r="G110" s="64" t="s">
        <v>95</v>
      </c>
      <c r="H110" s="42"/>
      <c r="I110" s="46">
        <v>10</v>
      </c>
      <c r="J110" s="4" t="s">
        <v>59</v>
      </c>
      <c r="K110" s="42"/>
      <c r="L110" s="47"/>
      <c r="M110" s="47"/>
      <c r="N110" s="47"/>
      <c r="O110" s="48"/>
      <c r="P110" s="49">
        <f t="shared" si="11"/>
        <v>0.6</v>
      </c>
      <c r="Q110" s="49"/>
      <c r="R110" s="42"/>
      <c r="S110" s="42"/>
      <c r="T110" s="43"/>
      <c r="U110" s="42"/>
      <c r="W110" s="41">
        <v>0.06</v>
      </c>
      <c r="X110" s="24"/>
      <c r="Y110" s="24"/>
      <c r="Z110" s="24"/>
      <c r="AA110" s="24"/>
      <c r="AB110" s="24"/>
      <c r="AI110" s="24"/>
      <c r="AJ110" s="24"/>
      <c r="AK110" s="24"/>
      <c r="AL110" s="24"/>
      <c r="AM110" s="24"/>
    </row>
    <row r="111" spans="2:39" s="25" customFormat="1" ht="28.7" customHeight="1">
      <c r="B111" s="44">
        <v>84</v>
      </c>
      <c r="C111" s="44" t="str">
        <f t="shared" si="10"/>
        <v>OM4-DE-IS-0003-014</v>
      </c>
      <c r="D111" s="43" t="s">
        <v>86</v>
      </c>
      <c r="E111" s="5" t="s">
        <v>74</v>
      </c>
      <c r="F111" s="66" t="s">
        <v>100</v>
      </c>
      <c r="G111" s="64" t="s">
        <v>95</v>
      </c>
      <c r="H111" s="42"/>
      <c r="I111" s="46">
        <v>10</v>
      </c>
      <c r="J111" s="4" t="s">
        <v>59</v>
      </c>
      <c r="K111" s="42"/>
      <c r="L111" s="47"/>
      <c r="M111" s="47"/>
      <c r="N111" s="47"/>
      <c r="O111" s="48"/>
      <c r="P111" s="49">
        <f t="shared" si="11"/>
        <v>0.95</v>
      </c>
      <c r="Q111" s="49"/>
      <c r="R111" s="42"/>
      <c r="S111" s="42"/>
      <c r="T111" s="43"/>
      <c r="U111" s="42"/>
      <c r="W111" s="41">
        <v>9.5000000000000001E-2</v>
      </c>
      <c r="X111" s="24"/>
      <c r="Y111" s="24"/>
      <c r="Z111" s="24"/>
      <c r="AA111" s="24"/>
      <c r="AB111" s="24"/>
      <c r="AI111" s="24"/>
      <c r="AJ111" s="24"/>
      <c r="AK111" s="24"/>
      <c r="AL111" s="24"/>
      <c r="AM111" s="24"/>
    </row>
    <row r="112" spans="2:39" s="25" customFormat="1" ht="28.7" customHeight="1">
      <c r="B112" s="44">
        <v>85</v>
      </c>
      <c r="C112" s="44" t="str">
        <f t="shared" si="10"/>
        <v>OM4-DE-IS-0003-014</v>
      </c>
      <c r="D112" s="43" t="s">
        <v>86</v>
      </c>
      <c r="E112" s="5" t="s">
        <v>75</v>
      </c>
      <c r="F112" s="66" t="s">
        <v>100</v>
      </c>
      <c r="G112" s="64" t="s">
        <v>95</v>
      </c>
      <c r="H112" s="42"/>
      <c r="I112" s="46">
        <v>5</v>
      </c>
      <c r="J112" s="4" t="s">
        <v>59</v>
      </c>
      <c r="K112" s="42"/>
      <c r="L112" s="47"/>
      <c r="M112" s="47"/>
      <c r="N112" s="47"/>
      <c r="O112" s="48"/>
      <c r="P112" s="49">
        <f t="shared" si="11"/>
        <v>0.55000000000000004</v>
      </c>
      <c r="Q112" s="49"/>
      <c r="R112" s="42"/>
      <c r="S112" s="42"/>
      <c r="T112" s="43"/>
      <c r="U112" s="42"/>
      <c r="W112" s="41">
        <v>0.11</v>
      </c>
      <c r="X112" s="24"/>
      <c r="Y112" s="24"/>
      <c r="Z112" s="24"/>
      <c r="AA112" s="24"/>
      <c r="AB112" s="24"/>
      <c r="AI112" s="24"/>
      <c r="AJ112" s="24"/>
      <c r="AK112" s="24"/>
      <c r="AL112" s="24"/>
      <c r="AM112" s="24"/>
    </row>
    <row r="113" spans="2:39" s="25" customFormat="1" ht="28.7" customHeight="1">
      <c r="B113" s="44">
        <v>86</v>
      </c>
      <c r="C113" s="44" t="str">
        <f t="shared" si="10"/>
        <v>OM4-DE-IS-0003-014</v>
      </c>
      <c r="D113" s="43" t="s">
        <v>86</v>
      </c>
      <c r="E113" s="5" t="s">
        <v>76</v>
      </c>
      <c r="F113" s="66" t="s">
        <v>100</v>
      </c>
      <c r="G113" s="64" t="s">
        <v>95</v>
      </c>
      <c r="H113" s="42"/>
      <c r="I113" s="46">
        <v>10</v>
      </c>
      <c r="J113" s="4" t="s">
        <v>59</v>
      </c>
      <c r="K113" s="42"/>
      <c r="L113" s="47"/>
      <c r="M113" s="47"/>
      <c r="N113" s="47"/>
      <c r="O113" s="48"/>
      <c r="P113" s="49">
        <f t="shared" si="11"/>
        <v>1.6500000000000001</v>
      </c>
      <c r="Q113" s="49"/>
      <c r="R113" s="42"/>
      <c r="S113" s="42"/>
      <c r="T113" s="43"/>
      <c r="U113" s="42"/>
      <c r="W113" s="41">
        <v>0.16500000000000001</v>
      </c>
      <c r="X113" s="24"/>
      <c r="Y113" s="24"/>
      <c r="Z113" s="24"/>
      <c r="AA113" s="24"/>
      <c r="AB113" s="24"/>
      <c r="AI113" s="24"/>
      <c r="AJ113" s="24"/>
      <c r="AK113" s="24"/>
      <c r="AL113" s="24"/>
      <c r="AM113" s="24"/>
    </row>
    <row r="114" spans="2:39" s="25" customFormat="1" ht="28.7" customHeight="1">
      <c r="B114" s="44">
        <v>87</v>
      </c>
      <c r="C114" s="44" t="str">
        <f t="shared" si="10"/>
        <v>OM4-DE-IS-0003-014</v>
      </c>
      <c r="D114" s="43" t="s">
        <v>86</v>
      </c>
      <c r="E114" s="5" t="s">
        <v>77</v>
      </c>
      <c r="F114" s="66" t="s">
        <v>100</v>
      </c>
      <c r="G114" s="64" t="s">
        <v>95</v>
      </c>
      <c r="H114" s="42"/>
      <c r="I114" s="46">
        <v>5</v>
      </c>
      <c r="J114" s="4" t="s">
        <v>59</v>
      </c>
      <c r="K114" s="42"/>
      <c r="L114" s="47"/>
      <c r="M114" s="47"/>
      <c r="N114" s="47"/>
      <c r="O114" s="48"/>
      <c r="P114" s="49">
        <f t="shared" si="11"/>
        <v>2.4500000000000002</v>
      </c>
      <c r="Q114" s="49"/>
      <c r="R114" s="42"/>
      <c r="S114" s="42"/>
      <c r="T114" s="43"/>
      <c r="U114" s="42"/>
      <c r="W114" s="41">
        <v>0.49</v>
      </c>
      <c r="X114" s="24"/>
      <c r="Y114" s="24"/>
      <c r="Z114" s="24"/>
      <c r="AA114" s="24"/>
      <c r="AB114" s="24"/>
      <c r="AI114" s="24"/>
      <c r="AJ114" s="24"/>
      <c r="AK114" s="24"/>
      <c r="AL114" s="24"/>
      <c r="AM114" s="24"/>
    </row>
    <row r="115" spans="2:39" s="25" customFormat="1" ht="28.7" customHeight="1">
      <c r="B115" s="44">
        <v>88</v>
      </c>
      <c r="C115" s="44" t="str">
        <f t="shared" si="10"/>
        <v>OM4-DE-IS-0003-014</v>
      </c>
      <c r="D115" s="43" t="s">
        <v>86</v>
      </c>
      <c r="E115" s="5" t="s">
        <v>90</v>
      </c>
      <c r="F115" s="66" t="s">
        <v>100</v>
      </c>
      <c r="G115" s="64" t="s">
        <v>95</v>
      </c>
      <c r="H115" s="42"/>
      <c r="I115" s="46">
        <v>5</v>
      </c>
      <c r="J115" s="4" t="s">
        <v>59</v>
      </c>
      <c r="K115" s="42"/>
      <c r="L115" s="47"/>
      <c r="M115" s="47"/>
      <c r="N115" s="47"/>
      <c r="O115" s="48"/>
      <c r="P115" s="49">
        <f t="shared" si="11"/>
        <v>3.125</v>
      </c>
      <c r="Q115" s="49"/>
      <c r="R115" s="42"/>
      <c r="S115" s="42"/>
      <c r="T115" s="43"/>
      <c r="U115" s="42"/>
      <c r="W115" s="41">
        <v>0.625</v>
      </c>
      <c r="X115" s="24"/>
      <c r="Y115" s="24"/>
      <c r="Z115" s="24"/>
      <c r="AA115" s="24"/>
      <c r="AB115" s="24"/>
      <c r="AI115" s="24"/>
      <c r="AJ115" s="24"/>
      <c r="AK115" s="24"/>
      <c r="AL115" s="24"/>
      <c r="AM115" s="24"/>
    </row>
    <row r="116" spans="2:39" s="25" customFormat="1" ht="28.7" customHeight="1">
      <c r="B116" s="44">
        <v>89</v>
      </c>
      <c r="C116" s="44" t="str">
        <f t="shared" si="10"/>
        <v>OM4-DE-IS-0003-014</v>
      </c>
      <c r="D116" s="43" t="s">
        <v>87</v>
      </c>
      <c r="E116" s="5" t="s">
        <v>88</v>
      </c>
      <c r="F116" s="66" t="s">
        <v>100</v>
      </c>
      <c r="G116" s="64" t="s">
        <v>95</v>
      </c>
      <c r="H116" s="42"/>
      <c r="I116" s="46">
        <v>1</v>
      </c>
      <c r="J116" s="4" t="s">
        <v>59</v>
      </c>
      <c r="K116" s="42"/>
      <c r="L116" s="47"/>
      <c r="M116" s="47"/>
      <c r="N116" s="47"/>
      <c r="O116" s="48"/>
      <c r="P116" s="49">
        <f t="shared" si="11"/>
        <v>2</v>
      </c>
      <c r="Q116" s="49"/>
      <c r="R116" s="42"/>
      <c r="S116" s="42"/>
      <c r="T116" s="43"/>
      <c r="U116" s="42"/>
      <c r="W116" s="41">
        <v>2</v>
      </c>
      <c r="X116" s="24"/>
      <c r="Y116" s="24"/>
      <c r="Z116" s="24"/>
      <c r="AA116" s="24"/>
      <c r="AB116" s="24"/>
      <c r="AI116" s="24"/>
      <c r="AJ116" s="24"/>
      <c r="AK116" s="24"/>
      <c r="AL116" s="24"/>
      <c r="AM116" s="24"/>
    </row>
    <row r="117" spans="2:39" s="25" customFormat="1" ht="28.7" customHeight="1">
      <c r="B117" s="77" t="s">
        <v>53</v>
      </c>
      <c r="C117" s="78"/>
      <c r="D117" s="78"/>
      <c r="E117" s="78"/>
      <c r="F117" s="78"/>
      <c r="G117" s="78"/>
      <c r="H117" s="79"/>
      <c r="I117" s="57">
        <f>SUM(I81:I116)</f>
        <v>1162</v>
      </c>
      <c r="J117" s="58"/>
      <c r="K117" s="59" t="s">
        <v>80</v>
      </c>
      <c r="L117" s="60">
        <v>200</v>
      </c>
      <c r="M117" s="60">
        <v>200</v>
      </c>
      <c r="N117" s="60">
        <v>150</v>
      </c>
      <c r="O117" s="61">
        <f>(L117*M117*N117)/10^6</f>
        <v>6</v>
      </c>
      <c r="P117" s="62">
        <f>SUM(P81:P116)</f>
        <v>603.45500000000027</v>
      </c>
      <c r="Q117" s="62">
        <f>P117+300</f>
        <v>903.45500000000027</v>
      </c>
      <c r="R117" s="59" t="s">
        <v>62</v>
      </c>
      <c r="S117" s="59" t="s">
        <v>63</v>
      </c>
      <c r="T117" s="63"/>
      <c r="U117" s="59" t="s">
        <v>99</v>
      </c>
      <c r="W117" s="41"/>
      <c r="X117" s="24"/>
      <c r="Y117" s="24"/>
      <c r="Z117" s="24"/>
      <c r="AA117" s="24"/>
      <c r="AB117" s="24"/>
      <c r="AI117" s="24"/>
      <c r="AJ117" s="24"/>
      <c r="AK117" s="24"/>
      <c r="AL117" s="24"/>
      <c r="AM117" s="24"/>
    </row>
    <row r="118" spans="2:39" s="1" customFormat="1" ht="32.25" customHeight="1">
      <c r="B118" s="71" t="s">
        <v>54</v>
      </c>
      <c r="C118" s="71"/>
      <c r="D118" s="71"/>
      <c r="E118" s="71"/>
      <c r="F118" s="71"/>
      <c r="G118" s="71"/>
      <c r="H118" s="71"/>
      <c r="I118" s="71"/>
      <c r="J118" s="71"/>
      <c r="K118" s="4"/>
      <c r="L118" s="4"/>
      <c r="M118" s="4"/>
      <c r="N118" s="4"/>
      <c r="O118" s="40">
        <f>SUM(O15:O117)</f>
        <v>301.41600000000005</v>
      </c>
      <c r="P118" s="40">
        <f>SUM(P16,P18,P20,P22,P24,P26,P28,P30,P37,P65,P68,P72,P80,P117)</f>
        <v>31353.235000000001</v>
      </c>
      <c r="Q118" s="40">
        <f>SUM(Q15:Q117)</f>
        <v>34553.235000000001</v>
      </c>
      <c r="R118" s="4"/>
      <c r="S118" s="4"/>
      <c r="T118" s="4"/>
      <c r="U118" s="4"/>
      <c r="V118" s="18"/>
      <c r="W118" s="3"/>
      <c r="X118" s="3"/>
      <c r="Y118" s="3"/>
      <c r="Z118" s="3"/>
      <c r="AA118" s="3"/>
      <c r="AB118" s="3"/>
      <c r="AI118" s="3"/>
      <c r="AJ118" s="3"/>
      <c r="AK118" s="3"/>
      <c r="AL118" s="3"/>
      <c r="AM118" s="3"/>
    </row>
  </sheetData>
  <mergeCells count="33">
    <mergeCell ref="T13:T14"/>
    <mergeCell ref="B18:H18"/>
    <mergeCell ref="B16:H16"/>
    <mergeCell ref="B68:H68"/>
    <mergeCell ref="B1:U1"/>
    <mergeCell ref="C3:K3"/>
    <mergeCell ref="B4:U4"/>
    <mergeCell ref="B13:B14"/>
    <mergeCell ref="C13:C14"/>
    <mergeCell ref="D13:E14"/>
    <mergeCell ref="H13:H14"/>
    <mergeCell ref="I13:J13"/>
    <mergeCell ref="K13:K14"/>
    <mergeCell ref="L13:O13"/>
    <mergeCell ref="U13:U14"/>
    <mergeCell ref="S13:S14"/>
    <mergeCell ref="Q13:Q14"/>
    <mergeCell ref="B72:H72"/>
    <mergeCell ref="G13:G14"/>
    <mergeCell ref="B80:H80"/>
    <mergeCell ref="R13:R14"/>
    <mergeCell ref="B118:J118"/>
    <mergeCell ref="P13:P14"/>
    <mergeCell ref="B20:H20"/>
    <mergeCell ref="B22:H22"/>
    <mergeCell ref="B24:H24"/>
    <mergeCell ref="B26:H26"/>
    <mergeCell ref="B28:H28"/>
    <mergeCell ref="B30:H30"/>
    <mergeCell ref="B37:H37"/>
    <mergeCell ref="B117:H117"/>
    <mergeCell ref="B65:H65"/>
    <mergeCell ref="F13:F14"/>
  </mergeCells>
  <phoneticPr fontId="13" type="noConversion"/>
  <printOptions horizontalCentered="1"/>
  <pageMargins left="0.23622047244094491" right="0.23622047244094491" top="0.47244094488188981" bottom="0.51181102362204722" header="0.31496062992125984" footer="0.31496062992125984"/>
  <pageSetup paperSize="9" scale="58" fitToHeight="0" orientation="landscape" r:id="rId1"/>
  <headerFooter alignWithMargins="0">
    <oddFooter>&amp;C&amp;P/&amp;N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773B10CB8FFDF9469F3E3F484CB15F17" ma:contentTypeVersion="20" ma:contentTypeDescription="새 문서를 만듭니다." ma:contentTypeScope="" ma:versionID="73e5e41b4b986c1cf42ade4961a7bdbd">
  <xsd:schema xmlns:xsd="http://www.w3.org/2001/XMLSchema" xmlns:xs="http://www.w3.org/2001/XMLSchema" xmlns:p="http://schemas.microsoft.com/office/2006/metadata/properties" xmlns:ns2="06cf42de-094b-45c2-a264-a0f407601353" xmlns:ns3="86aeacc3-1195-4c69-a7a8-7b800422657c" targetNamespace="http://schemas.microsoft.com/office/2006/metadata/properties" ma:root="true" ma:fieldsID="158e53829ec77a1b006a5ab316311990" ns2:_="" ns3:_="">
    <xsd:import namespace="06cf42de-094b-45c2-a264-a0f407601353"/>
    <xsd:import namespace="86aeacc3-1195-4c69-a7a8-7b80042265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_Flow_SignoffStatu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cf42de-094b-45c2-a264-a0f40760135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_Flow_SignoffStatus" ma:index="21" nillable="true" ma:displayName="Sign-off status" ma:internalName="Sign_x002d_off_x0020_status">
      <xsd:simpleType>
        <xsd:restriction base="dms:Text"/>
      </xsd:simpleType>
    </xsd:element>
    <xsd:element name="lcf76f155ced4ddcb4097134ff3c332f" ma:index="23" nillable="true" ma:taxonomy="true" ma:internalName="lcf76f155ced4ddcb4097134ff3c332f" ma:taxonomyFieldName="MediaServiceImageTags" ma:displayName="이미지 태그" ma:readOnly="false" ma:fieldId="{5cf76f15-5ced-4ddc-b409-7134ff3c332f}" ma:taxonomyMulti="true" ma:sspId="c8a7d0b2-06ec-47a5-9bd5-a2ea2905d2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aeacc3-1195-4c69-a7a8-7b800422657c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077910bd-24df-412d-bf10-9f10a105d0ba}" ma:internalName="TaxCatchAll" ma:showField="CatchAllData" ma:web="86aeacc3-1195-4c69-a7a8-7b800422657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6cf42de-094b-45c2-a264-a0f407601353" xsi:nil="true"/>
    <TaxCatchAll xmlns="86aeacc3-1195-4c69-a7a8-7b800422657c" xsi:nil="true"/>
    <lcf76f155ced4ddcb4097134ff3c332f xmlns="06cf42de-094b-45c2-a264-a0f40760135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1F5E521-FC34-4F31-BB72-5ACC58806CF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06cf42de-094b-45c2-a264-a0f407601353"/>
    <ds:schemaRef ds:uri="86aeacc3-1195-4c69-a7a8-7b800422657c"/>
  </ds:schemaRefs>
</ds:datastoreItem>
</file>

<file path=customXml/itemProps2.xml><?xml version="1.0" encoding="utf-8"?>
<ds:datastoreItem xmlns:ds="http://schemas.openxmlformats.org/officeDocument/2006/customXml" ds:itemID="{7628A189-2553-4850-BA87-2C225D4CAE4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507194A-9C38-4A26-BBDD-F3E46630C9B3}">
  <ds:schemaRefs>
    <ds:schemaRef ds:uri="http://schemas.microsoft.com/office/2006/metadata/properties"/>
    <ds:schemaRef ds:uri="http://www.w3.org/2000/xmlns/"/>
    <ds:schemaRef ds:uri="06cf42de-094b-45c2-a264-a0f407601353"/>
    <ds:schemaRef ds:uri="http://www.w3.org/2001/XMLSchema-instance"/>
    <ds:schemaRef ds:uri="86aeacc3-1195-4c69-a7a8-7b800422657c"/>
    <ds:schemaRef ds:uri="http://schemas.microsoft.com/office/infopath/2007/PartnerControls"/>
  </ds:schemaRefs>
</ds:datastoreItem>
</file>

<file path=docMetadata/LabelInfo.xml><?xml version="1.0" encoding="utf-8"?>
<clbl:labelList xmlns:clbl="http://schemas.microsoft.com/office/2020/mipLabelMetadata">
  <clbl:label id="{55c3c93c-4c7c-4709-9e9e-2b12e2d560ab}" enabled="1" method="Privileged" siteId="{9d1b3610-9ab0-42d5-93aa-46150d723d8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4" baseType="variant">
      <vt:variant>
        <vt:lpstr>Trang tính</vt:lpstr>
      </vt:variant>
      <vt:variant>
        <vt:i4>1</vt:i4>
      </vt:variant>
      <vt:variant>
        <vt:lpstr>Phạm vi Có tên</vt:lpstr>
      </vt:variant>
      <vt:variant>
        <vt:i4>2</vt:i4>
      </vt:variant>
    </vt:vector>
  </HeadingPairs>
  <TitlesOfParts>
    <vt:vector size="3" baseType="lpstr">
      <vt:lpstr>Detailed PL</vt:lpstr>
      <vt:lpstr>Detailed PL!Print_Titles</vt:lpstr>
      <vt:lpstr>Detailed PL!Vùng_In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Bùi Thị Thu Nguyệt</dc:creator>
  <cp:lastModifiedBy>Dai Leduy</cp:lastModifiedBy>
  <cp:lastPrinted>2026-06-17T10:26:21Z</cp:lastPrinted>
  <dcterms:created xsi:type="dcterms:W3CDTF">2025-07-09T09:39:20Z</dcterms:created>
  <dcterms:modified xsi:type="dcterms:W3CDTF">2026-06-17T10:26:23Z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0x010100773B10CB8FFDF9469F3E3F484CB15F17</vt:lpwstr>
  </property>
</Properties>
</file>