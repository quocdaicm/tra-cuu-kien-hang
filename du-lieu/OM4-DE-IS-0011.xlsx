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3"/>
  <workbookPr/>
  <mc:AlternateContent xmlns:mc="http://schemas.openxmlformats.org/markup-compatibility/2006">
    <mc:Choice Requires="x15">
      <x15ac:absPath xmlns:x15ac="http://schemas.microsoft.com/office/spreadsheetml/2010/11/ac" url="D:\Documents\Downloads\OM4-DE-IS-0011\"/>
    </mc:Choice>
  </mc:AlternateContent>
  <xr:revisionPtr revIDLastSave="0" documentId="13_ncr:1_{5781B9B5-74D9-4F6B-8B35-0B9BC8C0662D}" xr6:coauthVersionLast="47" xr6:coauthVersionMax="47" xr10:uidLastSave="{00000000-0000-0000-0000-000000000000}"/>
  <bookViews>
    <workbookView xWindow="-108" yWindow="-108" windowWidth="23256" windowHeight="13896" tabRatio="667" xr2:uid="{00000000-000D-0000-FFFF-FFFF00000000}"/>
  </bookViews>
  <sheets>
    <sheet name="Detailed PL" sheetId="31" r:id="rId1"/>
  </sheets>
  <externalReferences>
    <externalReference r:id="rId2"/>
    <externalReference r:id="rId3"/>
    <externalReference r:id="rId4"/>
    <externalReference r:id="rId5"/>
    <externalReference r:id="rId6"/>
    <externalReference r:id="rId7"/>
  </externalReferences>
  <definedNames>
    <definedName name="__123Graph_A" localSheetId="0" hidden="1">'[1]Eq. Mobilization'!#REF!</definedName>
    <definedName name="__123Graph_A" hidden="1">'[1]Eq. Mobilization'!#REF!</definedName>
    <definedName name="__123Graph_ACurrent" localSheetId="0" hidden="1">'[1]Eq. Mobilization'!#REF!</definedName>
    <definedName name="__123Graph_ACurrent" hidden="1">'[1]Eq. Mobilization'!#REF!</definedName>
    <definedName name="__123Graph_B" localSheetId="0" hidden="1">'[1]Eq. Mobilization'!#REF!</definedName>
    <definedName name="__123Graph_B" hidden="1">'[1]Eq. Mobilization'!#REF!</definedName>
    <definedName name="__123Graph_BCurrent" localSheetId="0" hidden="1">'[1]Eq. Mobilization'!#REF!</definedName>
    <definedName name="__123Graph_BCurrent" hidden="1">'[1]Eq. Mobilization'!#REF!</definedName>
    <definedName name="__123Graph_D" localSheetId="0" hidden="1">#REF!</definedName>
    <definedName name="__123Graph_D" hidden="1">#REF!</definedName>
    <definedName name="__123Graph_E" hidden="1">#REF!</definedName>
    <definedName name="__123Graph_LBL_A" localSheetId="0" hidden="1">'[1]Eq. Mobilization'!#REF!</definedName>
    <definedName name="__123Graph_LBL_A" hidden="1">'[1]Eq. Mobilization'!#REF!</definedName>
    <definedName name="__123Graph_LBL_B" localSheetId="0" hidden="1">'[1]Eq. Mobilization'!#REF!</definedName>
    <definedName name="__123Graph_LBL_B" hidden="1">'[1]Eq. Mobilization'!#REF!</definedName>
    <definedName name="__123Graph_X" localSheetId="0" hidden="1">'[1]Eq. Mobilization'!#REF!</definedName>
    <definedName name="__123Graph_X" hidden="1">'[1]Eq. Mobilization'!#REF!</definedName>
    <definedName name="__123Graph_XCurrent" localSheetId="0" hidden="1">'[1]Eq. Mobilization'!#REF!</definedName>
    <definedName name="__123Graph_XCurrent" hidden="1">'[1]Eq. Mobilization'!#REF!</definedName>
    <definedName name="_1__123Graph_AChart_1A" localSheetId="0" hidden="1">'[1]Eq. Mobilization'!#REF!</definedName>
    <definedName name="_1__123Graph_AChart_1A" hidden="1">'[1]Eq. Mobilization'!#REF!</definedName>
    <definedName name="_2__123Graph_BChart_1A" localSheetId="0" hidden="1">'[1]Eq. Mobilization'!#REF!</definedName>
    <definedName name="_2__123Graph_BChart_1A" hidden="1">'[1]Eq. Mobilization'!#REF!</definedName>
    <definedName name="_3__123Graph_XChart_1A" localSheetId="0" hidden="1">'[1]Eq. Mobilization'!#REF!</definedName>
    <definedName name="_3__123Graph_XChart_1A" hidden="1">'[1]Eq. Mobilization'!#REF!</definedName>
    <definedName name="_Fill" localSheetId="0" hidden="1">#REF!</definedName>
    <definedName name="_Fill" hidden="1">#REF!</definedName>
    <definedName name="_xlnm._FilterDatabase" localSheetId="0" hidden="1">'Detailed PL'!$B$13:$AH$22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In" localSheetId="0" hidden="1">#REF!</definedName>
    <definedName name="_Parse_In" hidden="1">#REF!</definedName>
    <definedName name="_Parse_Out" hidden="1">#REF!</definedName>
    <definedName name="_Sort" hidden="1">#REF!</definedName>
    <definedName name="A" hidden="1">#REF!</definedName>
    <definedName name="ABC" localSheetId="0" hidden="1">'[2]Eq. Mobilization'!#REF!</definedName>
    <definedName name="ABC" hidden="1">'[2]Eq. Mobilization'!#REF!</definedName>
    <definedName name="CO" localSheetId="0" hidden="1">'[3]Eq. Mobilization'!#REF!</definedName>
    <definedName name="CO" hidden="1">'[3]Eq. Mobilization'!#REF!</definedName>
    <definedName name="e" hidden="1">'[1]Eq. Mobilization'!#REF!</definedName>
    <definedName name="Ge" hidden="1">'[1]Eq. Mobilization'!#REF!</definedName>
    <definedName name="iv2dt" localSheetId="0" hidden="1">'[1]Eq. Mobilization'!#REF!</definedName>
    <definedName name="iv2dt" hidden="1">'[1]Eq. Mobilization'!#REF!</definedName>
    <definedName name="ivdt" localSheetId="0" hidden="1">'[1]Eq. Mobilization'!#REF!</definedName>
    <definedName name="ivdt" hidden="1">'[1]Eq. Mobilization'!#REF!</definedName>
    <definedName name="KABOLINE" localSheetId="0" hidden="1">'[1]Eq. Mobilization'!#REF!</definedName>
    <definedName name="KABOLINE" hidden="1">'[1]Eq. Mobilization'!#REF!</definedName>
    <definedName name="latent">'[4]steam table'!$N$5:$Q$102</definedName>
    <definedName name="_xlnm.Print_Titles" localSheetId="0">'Detailed PL'!$13:$14</definedName>
    <definedName name="SM" hidden="1">#REF!</definedName>
    <definedName name="tube_test_press1_12">#REF!</definedName>
    <definedName name="_xlnm.Print_Area" localSheetId="0">'Detailed PL'!$A$1:$U$23</definedName>
    <definedName name="weki_9701.xls" hidden="1">'[1]Eq. Mobilization'!#REF!</definedName>
    <definedName name="wekir9701.xls" hidden="1">'[1]Eq. Mobilization'!#REF!</definedName>
    <definedName name="X" hidden="1">'[2]Eq. Mobilization'!#REF!</definedName>
    <definedName name="Z" hidden="1">'[2]Eq. Mobilization'!#REF!</definedName>
    <definedName name="ㄴㅇㄹㅇㄹ" localSheetId="0" hidden="1">'[2]Eq. Mobilization'!#REF!</definedName>
    <definedName name="ㄴㅇㄹㅇㄹ" hidden="1">'[2]Eq. Mobilization'!#REF!</definedName>
    <definedName name="느" hidden="1">'[1]Eq. Mobilization'!#REF!</definedName>
    <definedName name="ㅊㅌㅍㅊㅍㅊㅌㅍㅊㅌㅍㅊㅌㅍㅊㅌㅍㅊㅌㅍ" localSheetId="0" hidden="1">'[5]Eq. Mobilization'!#REF!</definedName>
    <definedName name="ㅊㅌㅍㅊㅍㅊㅌㅍㅊㅌㅍㅊㅌㅍㅊㅌㅍㅊㅌㅍ" hidden="1">'[5]Eq. Mobilization'!#REF!</definedName>
    <definedName name="ㅊㅌㅍㅊㅍㅌㅋㅊㅍㅌㅊㅍ" localSheetId="0" hidden="1">'[5]Eq. Mobilization'!#REF!</definedName>
    <definedName name="ㅊㅌㅍㅊㅍㅌㅋㅊㅍㅌㅊㅍ" hidden="1">'[5]Eq. Mobilization'!#REF!</definedName>
    <definedName name="ㅊㅌㅍㅋㅊㅍㅌㅊㅍㅌㅊㅍ" localSheetId="0" hidden="1">'[5]Eq. Mobilization'!#REF!</definedName>
    <definedName name="ㅊㅌㅍㅋㅊㅍㅌㅊㅍㅌㅊㅍ" hidden="1">'[5]Eq. Mobilization'!#REF!</definedName>
    <definedName name="ㅊㅌㅍㅌㅊㅍㅊㅌㅍㅌㅊㅍㅌㅊㅍ" localSheetId="0" hidden="1">'[5]Eq. Mobilization'!#REF!</definedName>
    <definedName name="ㅊㅌㅍㅌㅊㅍㅊㅌㅍㅌㅊㅍㅌㅊㅍ" hidden="1">'[5]Eq. Mobilization'!#REF!</definedName>
    <definedName name="ㅋ" localSheetId="0" hidden="1">'[5]Eq. Mobilization'!#REF!</definedName>
    <definedName name="ㅋ" hidden="1">'[5]Eq. Mobilization'!#REF!</definedName>
    <definedName name="ㅋㅋㅋㅋ" localSheetId="0" hidden="1">'[5]Eq. Mobilization'!#REF!</definedName>
    <definedName name="ㅋㅋㅋㅋ" hidden="1">'[5]Eq. Mobilization'!#REF!</definedName>
    <definedName name="ㅋㅋㅋㅋㅋㅋ" localSheetId="0" hidden="1">'[5]Eq. Mobilization'!#REF!</definedName>
    <definedName name="ㅋㅋㅋㅋㅋㅋ" hidden="1">'[5]Eq. Mobilization'!#REF!</definedName>
    <definedName name="ㅋㅋㅋㅋㅋㅋㅋㅋㅋ" localSheetId="0" hidden="1">'[5]Eq. Mobilization'!#REF!</definedName>
    <definedName name="ㅋㅋㅋㅋㅋㅋㅋㅋㅋ" hidden="1">'[5]Eq. Mobilization'!#REF!</definedName>
    <definedName name="ㅌㅊㅍㅌㅊㅍㅌㅋㅊㅍㅌ" localSheetId="0" hidden="1">'[5]Eq. Mobilization'!#REF!</definedName>
    <definedName name="ㅌㅊㅍㅌㅊㅍㅌㅋㅊㅍㅌ" hidden="1">'[5]Eq. Mobilization'!#REF!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31" l="1"/>
  <c r="C17" i="31"/>
  <c r="C18" i="31"/>
  <c r="C19" i="31"/>
  <c r="I20" i="31"/>
  <c r="P15" i="31"/>
  <c r="P19" i="31"/>
  <c r="P18" i="31"/>
  <c r="P17" i="31"/>
  <c r="P16" i="31"/>
  <c r="P20" i="31"/>
  <c r="D7" i="31"/>
  <c r="I22" i="31"/>
  <c r="P21" i="31"/>
  <c r="O20" i="31"/>
  <c r="D5" i="31"/>
  <c r="P22" i="31"/>
  <c r="P23" i="31"/>
  <c r="O23" i="31"/>
  <c r="Q20" i="31"/>
  <c r="Q22" i="31"/>
  <c r="Q23" i="31"/>
  <c r="D6" i="31"/>
</calcChain>
</file>

<file path=xl/sharedStrings.xml><?xml version="1.0" encoding="utf-8"?>
<sst xmlns="http://schemas.openxmlformats.org/spreadsheetml/2006/main" count="106" uniqueCount="84">
  <si>
    <t>PECC2 Innovation Hub, 45 Street No.2, Truong Tho Ward, Thu Duc City, HCMC, Vietnam
Tel: +84-28-2221 6468 | Fax: +84-28-2221 0408</t>
  </si>
  <si>
    <t>SI.
No.</t>
    <phoneticPr fontId="0" type="noConversion"/>
  </si>
  <si>
    <t>Package No.</t>
    <phoneticPr fontId="0" type="noConversion"/>
  </si>
  <si>
    <t>Dated</t>
    <phoneticPr fontId="0" type="noConversion"/>
  </si>
  <si>
    <t>*  Storage Classification</t>
    <phoneticPr fontId="0" type="noConversion"/>
  </si>
  <si>
    <t>**  Plant/Equipment/Materials for</t>
    <phoneticPr fontId="0" type="noConversion"/>
  </si>
  <si>
    <t>Project</t>
    <phoneticPr fontId="0" type="noConversion"/>
  </si>
  <si>
    <t>"A"</t>
    <phoneticPr fontId="0" type="noConversion"/>
  </si>
  <si>
    <t>: Indoor with Air conditioning</t>
    <phoneticPr fontId="0" type="noConversion"/>
  </si>
  <si>
    <t>BOP</t>
    <phoneticPr fontId="0" type="noConversion"/>
  </si>
  <si>
    <t>"B"</t>
    <phoneticPr fontId="0" type="noConversion"/>
  </si>
  <si>
    <t>: Indoor without Air conditioning</t>
    <phoneticPr fontId="0" type="noConversion"/>
  </si>
  <si>
    <t>Unit 1</t>
    <phoneticPr fontId="0" type="noConversion"/>
  </si>
  <si>
    <t>B1</t>
    <phoneticPr fontId="0" type="noConversion"/>
  </si>
  <si>
    <t>T1</t>
    <phoneticPr fontId="0" type="noConversion"/>
  </si>
  <si>
    <t>G1</t>
    <phoneticPr fontId="0" type="noConversion"/>
  </si>
  <si>
    <t>P2</t>
  </si>
  <si>
    <t>"C"</t>
    <phoneticPr fontId="0" type="noConversion"/>
  </si>
  <si>
    <t>: Hazardous Material</t>
    <phoneticPr fontId="0" type="noConversion"/>
  </si>
  <si>
    <t>Unit 2</t>
    <phoneticPr fontId="0" type="noConversion"/>
  </si>
  <si>
    <t>B2</t>
    <phoneticPr fontId="0" type="noConversion"/>
  </si>
  <si>
    <t>T2</t>
    <phoneticPr fontId="0" type="noConversion"/>
  </si>
  <si>
    <t>G2</t>
    <phoneticPr fontId="0" type="noConversion"/>
  </si>
  <si>
    <t>P2</t>
    <phoneticPr fontId="0" type="noConversion"/>
  </si>
  <si>
    <t>"D"</t>
    <phoneticPr fontId="0" type="noConversion"/>
  </si>
  <si>
    <t>: Outdoor with waterproofing</t>
    <phoneticPr fontId="0" type="noConversion"/>
  </si>
  <si>
    <t>Common</t>
    <phoneticPr fontId="0" type="noConversion"/>
  </si>
  <si>
    <t>B0</t>
    <phoneticPr fontId="0" type="noConversion"/>
  </si>
  <si>
    <t>T0</t>
    <phoneticPr fontId="0" type="noConversion"/>
  </si>
  <si>
    <t>G0</t>
    <phoneticPr fontId="0" type="noConversion"/>
  </si>
  <si>
    <t>P0</t>
    <phoneticPr fontId="0" type="noConversion"/>
  </si>
  <si>
    <t>"E"</t>
    <phoneticPr fontId="0" type="noConversion"/>
  </si>
  <si>
    <t>: Outdoor without waterproofing</t>
    <phoneticPr fontId="0" type="noConversion"/>
  </si>
  <si>
    <t>Description of Goods</t>
    <phoneticPr fontId="0" type="noConversion"/>
  </si>
  <si>
    <t>Quantity</t>
    <phoneticPr fontId="0" type="noConversion"/>
  </si>
  <si>
    <t>Package Type</t>
    <phoneticPr fontId="0" type="noConversion"/>
  </si>
  <si>
    <t>Measurement</t>
    <phoneticPr fontId="0" type="noConversion"/>
  </si>
  <si>
    <t>Net Weight
(kg)</t>
    <phoneticPr fontId="0" type="noConversion"/>
  </si>
  <si>
    <t>Gross Weight
(kg)</t>
    <phoneticPr fontId="0" type="noConversion"/>
  </si>
  <si>
    <t>Hazardous Material</t>
    <phoneticPr fontId="0" type="noConversion"/>
  </si>
  <si>
    <t>Storage Classification
(*)</t>
    <phoneticPr fontId="0" type="noConversion"/>
  </si>
  <si>
    <t>Remark
(**)</t>
    <phoneticPr fontId="0" type="noConversion"/>
  </si>
  <si>
    <t>Nos</t>
    <phoneticPr fontId="0" type="noConversion"/>
  </si>
  <si>
    <t>Unit</t>
    <phoneticPr fontId="0" type="noConversion"/>
  </si>
  <si>
    <t>Length
(cm)</t>
    <phoneticPr fontId="0" type="noConversion"/>
  </si>
  <si>
    <t>Width
(cm)</t>
    <phoneticPr fontId="0" type="noConversion"/>
  </si>
  <si>
    <t>Height
(cm)</t>
    <phoneticPr fontId="0" type="noConversion"/>
  </si>
  <si>
    <t>Volume
(cbm)</t>
    <phoneticPr fontId="0" type="noConversion"/>
  </si>
  <si>
    <t>DETAILED PACKING LIST</t>
    <phoneticPr fontId="0" type="noConversion"/>
  </si>
  <si>
    <t>PL No.</t>
    <phoneticPr fontId="0" type="noConversion"/>
  </si>
  <si>
    <t>Referenced DWG No.</t>
    <phoneticPr fontId="0" type="noConversion"/>
  </si>
  <si>
    <t>Manufacturer</t>
    <phoneticPr fontId="0" type="noConversion"/>
  </si>
  <si>
    <t>Tag No.</t>
    <phoneticPr fontId="0" type="noConversion"/>
  </si>
  <si>
    <t>Sub-Total</t>
    <phoneticPr fontId="0" type="noConversion"/>
  </si>
  <si>
    <t>Grand-Total</t>
    <phoneticPr fontId="0" type="noConversion"/>
  </si>
  <si>
    <t>C/O of Goods</t>
    <phoneticPr fontId="0" type="noConversion"/>
  </si>
  <si>
    <t>Position in price schedule</t>
    <phoneticPr fontId="0" type="noConversion"/>
  </si>
  <si>
    <t>EA</t>
    <phoneticPr fontId="13" type="noConversion"/>
  </si>
  <si>
    <t>N</t>
    <phoneticPr fontId="13" type="noConversion"/>
  </si>
  <si>
    <t>D</t>
    <phoneticPr fontId="13" type="noConversion"/>
  </si>
  <si>
    <t>125mm (5")</t>
  </si>
  <si>
    <t>2</t>
  </si>
  <si>
    <t>3</t>
  </si>
  <si>
    <t>4</t>
  </si>
  <si>
    <t>5</t>
  </si>
  <si>
    <t>Republic of Korea</t>
  </si>
  <si>
    <t>HRSG</t>
    <phoneticPr fontId="0" type="noConversion"/>
  </si>
  <si>
    <t>STG</t>
    <phoneticPr fontId="0" type="noConversion"/>
  </si>
  <si>
    <t>GTG</t>
    <phoneticPr fontId="0" type="noConversion"/>
  </si>
  <si>
    <t>P0</t>
    <phoneticPr fontId="13" type="noConversion"/>
  </si>
  <si>
    <t>SAMSUNG E&amp;L</t>
    <phoneticPr fontId="13" type="noConversion"/>
  </si>
  <si>
    <t>Wooden</t>
    <phoneticPr fontId="13" type="noConversion"/>
  </si>
  <si>
    <t>Flexible Conduit (Water proof type)</t>
  </si>
  <si>
    <t>PIPE CLAMP With Bolt/Nut/Washer</t>
  </si>
  <si>
    <t>M</t>
    <phoneticPr fontId="13" type="noConversion"/>
  </si>
  <si>
    <t>Flexible Conduit Connector (Male Type)</t>
  </si>
  <si>
    <t>Flexible Conduit Connector (Female Type)</t>
  </si>
  <si>
    <t>Insulation Bushing W/Earthing</t>
  </si>
  <si>
    <t>SET</t>
    <phoneticPr fontId="13" type="noConversion"/>
  </si>
  <si>
    <t>150mm (6")</t>
    <phoneticPr fontId="13" type="noConversion"/>
  </si>
  <si>
    <t>1</t>
    <phoneticPr fontId="13" type="noConversion"/>
  </si>
  <si>
    <t>OM4-DE-IS-0011-001</t>
    <phoneticPr fontId="13" type="noConversion"/>
  </si>
  <si>
    <t>OM4-DE-IS-0011-002</t>
    <phoneticPr fontId="13" type="noConversion"/>
  </si>
  <si>
    <t>Coupling for Steel Conduit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</si>
</sst>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_-* #,##0.00_-;\-* #,##0.00_-;_-* &quot;-&quot;_-;_-@_-"/>
    <numFmt numFmtId="168" formatCode="0.00_);[Red]\(0.00\)"/>
  </numFmts>
  <fonts count="16">
    <font>
      <sz val="11"/>
      <name val="돋움"/>
      <family val="3"/>
      <charset val="129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0"/>
      <name val="Calibri"/>
      <family val="2"/>
    </font>
    <font>
      <b/>
      <sz val="10"/>
      <name val="Calibri"/>
      <family val="2"/>
    </font>
    <font>
      <b/>
      <sz val="16"/>
      <name val="Calibri"/>
      <family val="2"/>
    </font>
    <font>
      <sz val="11"/>
      <name val="Arial"/>
      <family val="3"/>
      <charset val="129"/>
      <scheme val="minor"/>
    </font>
    <font>
      <sz val="11"/>
      <name val="Calibri"/>
      <family val="2"/>
    </font>
    <font>
      <sz val="10"/>
      <name val="Arial"/>
      <family val="2"/>
      <scheme val="minor"/>
    </font>
    <font>
      <sz val="10"/>
      <name val="Arial"/>
      <family val="3"/>
      <charset val="129"/>
      <scheme val="minor"/>
    </font>
    <font>
      <b/>
      <sz val="10"/>
      <name val="Arial"/>
      <family val="2"/>
      <scheme val="minor"/>
    </font>
    <font>
      <sz val="11"/>
      <color indexed="8"/>
      <name val="맑은 고딕"/>
      <family val="3"/>
      <charset val="129"/>
    </font>
    <font>
      <sz val="10"/>
      <name val="굴림"/>
      <family val="3"/>
      <charset val="129"/>
    </font>
    <font>
      <sz val="8"/>
      <name val="돋움"/>
      <family val="3"/>
      <charset val="129"/>
    </font>
    <font>
      <sz val="11"/>
      <name val="굴림체"/>
      <family val="3"/>
      <charset val="129"/>
    </font>
    <font>
      <sz val="1"/>
      <color indexed="8"/>
      <name val="Courier"/>
      <family val="3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7" fontId="2" fillId="0" borderId="0"/>
    <xf numFmtId="0" fontId="11" fillId="0" borderId="0">
      <alignment vertical="center"/>
    </xf>
    <xf numFmtId="41" fontId="1" fillId="0" borderId="0" applyFont="0" applyFill="0" applyBorder="0" applyAlignment="0" applyProtection="0"/>
    <xf numFmtId="0" fontId="1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0" fontId="14" fillId="0" borderId="0"/>
    <xf numFmtId="4" fontId="15" fillId="0" borderId="0">
      <protection locked="0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</cellStyleXfs>
  <cellXfs count="88">
    <xf numFmtId="0" fontId="0" fillId="0" borderId="0" xfId="0">
      <alignment vertical="center"/>
    </xf>
    <xf numFmtId="0" fontId="3" fillId="0" borderId="0" xfId="0" applyFont="1" applyAlignment="1">
      <alignment horizontal="left" vertical="center" indent="1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41" fontId="3" fillId="0" borderId="0" xfId="0" applyNumberFormat="1" applyFont="1" applyAlignment="1">
      <alignment horizontal="center" vertical="center"/>
    </xf>
    <xf numFmtId="41" fontId="8" fillId="0" borderId="0" xfId="0" applyNumberFormat="1" applyFont="1" applyAlignment="1">
      <alignment horizontal="left" vertical="center"/>
    </xf>
    <xf numFmtId="41" fontId="3" fillId="0" borderId="0" xfId="1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37" fontId="3" fillId="0" borderId="0" xfId="0" applyNumberFormat="1" applyFont="1" applyAlignment="1">
      <alignment horizontal="left" vertical="center"/>
    </xf>
    <xf numFmtId="168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9" fillId="0" borderId="0" xfId="0" applyFont="1">
      <alignment vertical="center"/>
    </xf>
    <xf numFmtId="0" fontId="3" fillId="0" borderId="0" xfId="0" applyFont="1" applyAlignment="1">
      <alignment horizontal="left" vertical="center"/>
    </xf>
    <xf numFmtId="168" fontId="3" fillId="0" borderId="0" xfId="0" applyNumberFormat="1" applyFont="1" applyAlignment="1">
      <alignment horizontal="left" vertical="center"/>
    </xf>
    <xf numFmtId="168" fontId="3" fillId="0" borderId="7" xfId="0" applyNumberFormat="1" applyFont="1" applyBorder="1" applyAlignment="1">
      <alignment horizontal="left" vertical="center"/>
    </xf>
    <xf numFmtId="168" fontId="3" fillId="0" borderId="7" xfId="0" applyNumberFormat="1" applyFont="1" applyBorder="1" applyAlignment="1">
      <alignment horizontal="center" vertical="center"/>
    </xf>
    <xf numFmtId="0" fontId="10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168" fontId="4" fillId="0" borderId="7" xfId="0" applyNumberFormat="1" applyFont="1" applyBorder="1" applyAlignment="1">
      <alignment horizontal="center" vertical="center" wrapText="1"/>
    </xf>
    <xf numFmtId="41" fontId="3" fillId="0" borderId="0" xfId="1" applyFont="1" applyAlignment="1">
      <alignment vertical="center"/>
    </xf>
    <xf numFmtId="168" fontId="3" fillId="0" borderId="0" xfId="0" applyNumberFormat="1" applyFont="1">
      <alignment vertical="center"/>
    </xf>
    <xf numFmtId="0" fontId="3" fillId="0" borderId="0" xfId="1" applyNumberFormat="1" applyFont="1" applyFill="1" applyAlignment="1">
      <alignment vertical="center"/>
    </xf>
    <xf numFmtId="14" fontId="3" fillId="0" borderId="0" xfId="0" quotePrefix="1" applyNumberFormat="1" applyFont="1" applyAlignment="1">
      <alignment horizontal="left" vertical="center"/>
    </xf>
    <xf numFmtId="15" fontId="3" fillId="0" borderId="0" xfId="0" applyNumberFormat="1" applyFont="1" applyAlignment="1">
      <alignment horizontal="left" vertical="center"/>
    </xf>
    <xf numFmtId="41" fontId="4" fillId="0" borderId="7" xfId="1" applyFont="1" applyBorder="1" applyAlignment="1">
      <alignment horizontal="center" vertical="center"/>
    </xf>
    <xf numFmtId="41" fontId="3" fillId="0" borderId="0" xfId="1" applyFont="1">
      <alignment vertical="center"/>
    </xf>
    <xf numFmtId="41" fontId="3" fillId="0" borderId="0" xfId="1" applyFont="1" applyAlignment="1">
      <alignment horizontal="left" vertical="center"/>
    </xf>
    <xf numFmtId="41" fontId="3" fillId="0" borderId="0" xfId="1" applyFont="1" applyAlignment="1">
      <alignment horizontal="center" vertical="center"/>
    </xf>
    <xf numFmtId="41" fontId="3" fillId="0" borderId="0" xfId="1" applyFont="1" applyAlignment="1">
      <alignment vertical="center" wrapText="1"/>
    </xf>
    <xf numFmtId="164" fontId="3" fillId="0" borderId="7" xfId="1" applyNumberFormat="1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41" fontId="3" fillId="0" borderId="7" xfId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68" fontId="3" fillId="0" borderId="7" xfId="0" applyNumberFormat="1" applyFont="1" applyBorder="1" applyAlignment="1">
      <alignment horizontal="center" vertical="center" wrapText="1"/>
    </xf>
    <xf numFmtId="164" fontId="3" fillId="0" borderId="5" xfId="1" applyNumberFormat="1" applyFont="1" applyBorder="1" applyAlignment="1">
      <alignment horizontal="center" vertical="center" wrapText="1"/>
    </xf>
    <xf numFmtId="41" fontId="3" fillId="3" borderId="7" xfId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168" fontId="3" fillId="3" borderId="7" xfId="0" applyNumberFormat="1" applyFont="1" applyFill="1" applyBorder="1" applyAlignment="1">
      <alignment horizontal="center" vertical="center" wrapText="1"/>
    </xf>
    <xf numFmtId="164" fontId="3" fillId="3" borderId="5" xfId="1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3" borderId="9" xfId="4" applyFont="1" applyFill="1" applyBorder="1" applyAlignment="1">
      <alignment horizontal="center" vertical="center"/>
    </xf>
    <xf numFmtId="0" fontId="3" fillId="3" borderId="8" xfId="4" applyFont="1" applyFill="1" applyBorder="1" applyAlignment="1">
      <alignment horizontal="center" vertical="center"/>
    </xf>
    <xf numFmtId="0" fontId="3" fillId="3" borderId="10" xfId="4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</cellXfs>
  <cellStyles count="13">
    <cellStyle name="Bình thường" xfId="0" builtinId="0"/>
    <cellStyle name="Comma" xfId="10" xr:uid="{00000000-0005-0000-0000-000000000000}"/>
    <cellStyle name="Dấu phẩy [0]" xfId="1" builtinId="6"/>
    <cellStyle name="Normal 3" xfId="8" xr:uid="{00000000-0005-0000-0000-000001000000}"/>
    <cellStyle name="쉼표 [0] 2" xfId="11" xr:uid="{00000000-0005-0000-0000-000003000000}"/>
    <cellStyle name="쉼표 [0] 6" xfId="5" xr:uid="{00000000-0005-0000-0000-000004000000}"/>
    <cellStyle name="쉼표 [0] 6 2" xfId="12" xr:uid="{00000000-0005-0000-0000-000005000000}"/>
    <cellStyle name="표준 6" xfId="4" xr:uid="{00000000-0005-0000-0000-000007000000}"/>
    <cellStyle name="표준_080407 3항차 final packing List(r3)통합" xfId="9" xr:uid="{00000000-0005-0000-0000-000008000000}"/>
    <cellStyle name="표준_Cirebon Grating Pk'g list(서흥)_080910_final" xfId="6" xr:uid="{00000000-0005-0000-0000-000009000000}"/>
    <cellStyle name="표준_PACKINGLIST (철골_1항차)" xfId="7" xr:uid="{00000000-0005-0000-0000-00000A000000}"/>
    <cellStyle name="표준_STG-PKL" xfId="3" xr:uid="{00000000-0005-0000-0000-00000C000000}"/>
    <cellStyle name="標準_Proforma PL cirebon 2" xfId="2" xr:uid="{00000000-0005-0000-0000-00000B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3969</xdr:rowOff>
    </xdr:from>
    <xdr:to>
      <xdr:col>2</xdr:col>
      <xdr:colOff>1507636</xdr:colOff>
      <xdr:row>1</xdr:row>
      <xdr:rowOff>286544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B095F0C7-C74E-47A0-80EC-894CB76603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117" b="11386"/>
        <a:stretch>
          <a:fillRect/>
        </a:stretch>
      </xdr:blipFill>
      <xdr:spPr bwMode="auto">
        <a:xfrm>
          <a:off x="352425" y="120174"/>
          <a:ext cx="1503826" cy="276860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19</xdr:col>
      <xdr:colOff>8730</xdr:colOff>
      <xdr:row>1</xdr:row>
      <xdr:rowOff>65405</xdr:rowOff>
    </xdr:from>
    <xdr:to>
      <xdr:col>20</xdr:col>
      <xdr:colOff>441502</xdr:colOff>
      <xdr:row>2</xdr:row>
      <xdr:rowOff>36512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1F4E70-2077-4C05-964A-ACA37C7DB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855949" y="184468"/>
          <a:ext cx="956647" cy="2925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&#51204;&#50689;&#44428;/C/WIN98/TEMP/REPORT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&#50724;&#51008;&#49892;/&#49345;&#48120;&#51452;&#51076;&#45784;/WIN98/TEMP/REPORT0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&#50724;&#51008;&#49892;/&#49345;&#48120;&#51452;&#51076;&#45784;/temp/WIN98/TEMP/REPORT07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&#50689;&#49689;/D/share/loss&#44228;&#49328;-TAWEELAH-msf-jan6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35.daum.net/WIN98/TEMP/REPORT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80C4F2C1/OM4_Payment%20Form%2004,%2005%20-%20Commercial%20invoice%20and%20Packing%20list,%20rev%202507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ontent"/>
      <sheetName val="Project Outline"/>
      <sheetName val="주요공사"/>
      <sheetName val="Contractual Amount"/>
      <sheetName val="시헹예산"/>
      <sheetName val="TENDER vs BUDGET"/>
      <sheetName val="직영 vs 하청 - 2"/>
      <sheetName val="96 당초Schedule"/>
      <sheetName val="96 Performance"/>
      <sheetName val="소화-투입 분석표"/>
      <sheetName val="STF ORG(K)"/>
      <sheetName val="Staff Org. Chart"/>
      <sheetName val="Scope of Work"/>
      <sheetName val="Design Status"/>
      <sheetName val="DWG Status"/>
      <sheetName val="MAT'L Status"/>
      <sheetName val="장비동원"/>
      <sheetName val="근로자동원"/>
      <sheetName val="Install Status"/>
      <sheetName val="Staff Mob. Plan"/>
      <sheetName val="M.P Mob. Plan"/>
      <sheetName val="Eq. Mobilization"/>
      <sheetName val=""/>
      <sheetName val="TTL"/>
      <sheetName val="성광벤드"/>
      <sheetName val="REPORT07"/>
      <sheetName val="GRP PIPING"/>
      <sheetName val="Sheet1"/>
      <sheetName val="현장지지물물량"/>
      <sheetName val="#REF"/>
      <sheetName val="견적기준"/>
      <sheetName val="P-LIST"/>
      <sheetName val="물가자료"/>
      <sheetName val="일위대가"/>
      <sheetName val="M-EQPT-Z"/>
      <sheetName val="2000년1차"/>
      <sheetName val="단가집"/>
      <sheetName val="전열면적"/>
      <sheetName val="SEPARATOR"/>
      <sheetName val="BM "/>
      <sheetName val="DWG LIST"/>
      <sheetName val="자격 땡겨오기"/>
      <sheetName val="VAE264_VALVES"/>
      <sheetName val="5.소재"/>
      <sheetName val="소화실적"/>
      <sheetName val="Summary"/>
      <sheetName val="BM"/>
      <sheetName val="B101"/>
      <sheetName val="카메라"/>
      <sheetName val="COA-17"/>
      <sheetName val="C-18"/>
      <sheetName val="당초"/>
      <sheetName val="MOB-MAN1"/>
      <sheetName val="예제"/>
      <sheetName val="실행예산SHEET도장재검토"/>
      <sheetName val="기준표"/>
      <sheetName val="규격"/>
      <sheetName val="노점수분"/>
      <sheetName val="자재사용현황"/>
      <sheetName val="w't table"/>
      <sheetName val="INDEX"/>
      <sheetName val="DI-ESTI"/>
      <sheetName val="KH-Q1,Q2,01"/>
      <sheetName val="NYS"/>
      <sheetName val="CAT_5"/>
      <sheetName val="kich thuoc"/>
      <sheetName val="DTHH"/>
      <sheetName val="WE'T"/>
      <sheetName val="REDUCER"/>
      <sheetName val="임율 Data"/>
      <sheetName val="Lists"/>
      <sheetName val="REV 4"/>
      <sheetName val="COL"/>
      <sheetName val="Sheet5"/>
      <sheetName val="BEND LOSS"/>
      <sheetName val="CI "/>
      <sheetName val="CI"/>
      <sheetName val="FM"/>
      <sheetName val="내역서"/>
      <sheetName val="노임단가"/>
      <sheetName val="품셈표"/>
      <sheetName val="추가예산"/>
      <sheetName val="자바라1"/>
      <sheetName val="해외 연수비용 계산-삭제"/>
      <sheetName val="Wind Load(3.1) (2)"/>
      <sheetName val="Wind Load(3.2)"/>
      <sheetName val="Wind Load(3.4)"/>
      <sheetName val="Ord"/>
      <sheetName val="Key Data"/>
      <sheetName val="INPUT"/>
      <sheetName val="2.2 띠장의 설계"/>
      <sheetName val="Assembly_list"/>
      <sheetName val="간접비 총괄표"/>
      <sheetName val="ﾀｰﾋﾞﾝ"/>
      <sheetName val="Setup"/>
      <sheetName val="Cover_Sheet"/>
      <sheetName val="Project_Outline"/>
      <sheetName val="Contractual_Amount"/>
      <sheetName val="TENDER_vs_BUDGET"/>
      <sheetName val="직영_vs_하청_-_2"/>
      <sheetName val="96_당초Schedule"/>
      <sheetName val="96_Performance"/>
      <sheetName val="소화-투입_분석표"/>
      <sheetName val="STF_ORG(K)"/>
      <sheetName val="Staff_Org__Chart"/>
      <sheetName val="Scope_of_Work"/>
      <sheetName val="Design_Status"/>
      <sheetName val="DWG_Status"/>
      <sheetName val="MAT'L_Status"/>
      <sheetName val="Install_Status"/>
      <sheetName val="Staff_Mob__Plan"/>
      <sheetName val="M_P_Mob__Plan"/>
      <sheetName val="Eq__Mobilization"/>
      <sheetName val="GRP_PIPING"/>
      <sheetName val="BM_"/>
      <sheetName val="DWG_LIST"/>
      <sheetName val="자격_땡겨오기"/>
      <sheetName val="5_소재"/>
      <sheetName val="表二"/>
      <sheetName val="EQUIPOS"/>
      <sheetName val="石炭性状"/>
      <sheetName val="증감내역서"/>
      <sheetName val="表三(首站)"/>
      <sheetName val="代码表"/>
      <sheetName val="Z- GENERAL PRICE SUMMARY"/>
      <sheetName val="WITHOUT C&amp;I PROFIT (3)"/>
      <sheetName val="목표세부명세"/>
      <sheetName val="Rate Analysis"/>
      <sheetName val="Earthwork"/>
      <sheetName val="2020 회원명부"/>
      <sheetName val="대비표"/>
      <sheetName val="산근"/>
      <sheetName val="집계표(OPTION)"/>
      <sheetName val="DRUM"/>
      <sheetName val="Cash2"/>
      <sheetName val="Z"/>
      <sheetName val="w't_table"/>
      <sheetName val="kich_thuoc"/>
      <sheetName val="임율_Data"/>
      <sheetName val="해외_연수비용_계산-삭제"/>
      <sheetName val="Wind_Load(3_1)_(2)"/>
      <sheetName val="Wind_Load(3_2)"/>
      <sheetName val="Wind_Load(3_4)"/>
      <sheetName val="Key_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/>
      <sheetData sheetId="138"/>
      <sheetData sheetId="139"/>
      <sheetData sheetId="140"/>
      <sheetData sheetId="141"/>
      <sheetData sheetId="142"/>
      <sheetData sheetId="143"/>
      <sheetData sheetId="14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ontent"/>
      <sheetName val="Project Outline"/>
      <sheetName val="주요공사"/>
      <sheetName val="Contractual Amount"/>
      <sheetName val="시헹예산"/>
      <sheetName val="TENDER vs BUDGET"/>
      <sheetName val="직영 vs 하청 - 2"/>
      <sheetName val="96 당초Schedule"/>
      <sheetName val="96 Performance"/>
      <sheetName val="소화-투입 분석표"/>
      <sheetName val="STF ORG(K)"/>
      <sheetName val="Staff Org. Chart"/>
      <sheetName val="Scope of Work"/>
      <sheetName val="Design Status"/>
      <sheetName val="DWG Status"/>
      <sheetName val="MAT'L Status"/>
      <sheetName val="장비동원"/>
      <sheetName val="근로자동원"/>
      <sheetName val="Install Status"/>
      <sheetName val="Staff Mob. Plan"/>
      <sheetName val="M.P Mob. Plan"/>
      <sheetName val="Eq. Mobilization"/>
      <sheetName val="견적기준"/>
      <sheetName val="CI "/>
      <sheetName val="CI"/>
      <sheetName val=""/>
      <sheetName val="TTL"/>
      <sheetName val="성광벤드"/>
      <sheetName val="REPORT07"/>
      <sheetName val="GRP PIPING"/>
      <sheetName val="Sheet1"/>
      <sheetName val="P-LIST"/>
      <sheetName val="물가자료"/>
      <sheetName val="일위대가"/>
      <sheetName val="M-EQPT-Z"/>
      <sheetName val="2000년1차"/>
      <sheetName val="단가집"/>
      <sheetName val="전열면적"/>
      <sheetName val="SEPARATOR"/>
      <sheetName val="BM "/>
      <sheetName val="DWG LIST"/>
      <sheetName val="자격 땡겨오기"/>
      <sheetName val="VAE264_VALVES"/>
      <sheetName val="5.소재"/>
      <sheetName val="소화실적"/>
      <sheetName val="현장지지물물량"/>
      <sheetName val="#REF"/>
      <sheetName val="Summary"/>
      <sheetName val="BM"/>
      <sheetName val="B101"/>
      <sheetName val="카메라"/>
      <sheetName val="COA-17"/>
      <sheetName val="C-18"/>
      <sheetName val="당초"/>
      <sheetName val="MOB-MAN1"/>
      <sheetName val="예제"/>
      <sheetName val="실행예산SHEET도장재검토"/>
      <sheetName val="기준표"/>
      <sheetName val="규격"/>
      <sheetName val="노점수분"/>
      <sheetName val="자재사용현황"/>
      <sheetName val="w't table"/>
      <sheetName val="INDEX"/>
      <sheetName val="DI-ESTI"/>
      <sheetName val="KH-Q1,Q2,01"/>
      <sheetName val="NYS"/>
      <sheetName val="CAT_5"/>
      <sheetName val="kich thuoc"/>
      <sheetName val="DTHH"/>
      <sheetName val="Cover_Sheet"/>
      <sheetName val="Project_Outline"/>
      <sheetName val="Contractual_Amount"/>
      <sheetName val="TENDER_vs_BUDGET"/>
      <sheetName val="직영_vs_하청_-_2"/>
      <sheetName val="96_당초Schedule"/>
      <sheetName val="96_Performance"/>
      <sheetName val="소화-투입_분석표"/>
      <sheetName val="STF_ORG(K)"/>
      <sheetName val="Staff_Org__Chart"/>
      <sheetName val="Scope_of_Work"/>
      <sheetName val="Design_Status"/>
      <sheetName val="DWG_Status"/>
      <sheetName val="MAT'L_Status"/>
      <sheetName val="Install_Status"/>
      <sheetName val="Staff_Mob__Plan"/>
      <sheetName val="M_P_Mob__Plan"/>
      <sheetName val="Eq__Mobilization"/>
      <sheetName val="산근터빈"/>
      <sheetName val="2.대외공문"/>
      <sheetName val="XZLC004_PART2"/>
      <sheetName val="XZLC003_PART1"/>
      <sheetName val="수량산출"/>
      <sheetName val="burner-spare"/>
      <sheetName val="일위대가표(DEEP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ontent"/>
      <sheetName val="Project Outline"/>
      <sheetName val="주요공사"/>
      <sheetName val="Contractual Amount"/>
      <sheetName val="시헹예산"/>
      <sheetName val="TENDER vs BUDGET"/>
      <sheetName val="직영 vs 하청 - 2"/>
      <sheetName val="96 당초Schedule"/>
      <sheetName val="96 Performance"/>
      <sheetName val="소화-투입 분석표"/>
      <sheetName val="STF ORG(K)"/>
      <sheetName val="Staff Org. Chart"/>
      <sheetName val="Scope of Work"/>
      <sheetName val="Design Status"/>
      <sheetName val="DWG Status"/>
      <sheetName val="MAT'L Status"/>
      <sheetName val="장비동원"/>
      <sheetName val="근로자동원"/>
      <sheetName val="Install Status"/>
      <sheetName val="Staff Mob. Plan"/>
      <sheetName val="M.P Mob. Plan"/>
      <sheetName val="Eq. Mobilization"/>
      <sheetName val="P-LIST"/>
      <sheetName val="물가자료"/>
      <sheetName val="B101"/>
      <sheetName val="카메라"/>
      <sheetName val="COA-17"/>
      <sheetName val="C-18"/>
      <sheetName val=""/>
      <sheetName val="TTL"/>
      <sheetName val="성광벤드"/>
      <sheetName val="REPORT07"/>
      <sheetName val="GRP PIPING"/>
      <sheetName val="Sheet1"/>
      <sheetName val="견적기준"/>
      <sheetName val="일위대가"/>
      <sheetName val="M-EQPT-Z"/>
      <sheetName val="2000년1차"/>
      <sheetName val="단가집"/>
      <sheetName val="전열면적"/>
      <sheetName val="SEPARATOR"/>
      <sheetName val="BM "/>
      <sheetName val="DWG LIST"/>
      <sheetName val="자격 땡겨오기"/>
      <sheetName val="VAE264_VALVES"/>
      <sheetName val="5.소재"/>
      <sheetName val="소화실적"/>
      <sheetName val="현장지지물물량"/>
      <sheetName val="#REF"/>
      <sheetName val="Summary"/>
      <sheetName val="BM"/>
      <sheetName val="당초"/>
      <sheetName val="MOB-MAN1"/>
      <sheetName val="예제"/>
      <sheetName val="실행예산SHEET도장재검토"/>
      <sheetName val="기준표"/>
      <sheetName val="규격"/>
      <sheetName val="노점수분"/>
      <sheetName val="자재사용현황"/>
      <sheetName val="w't table"/>
      <sheetName val="INDEX"/>
      <sheetName val="DI-ESTI"/>
      <sheetName val="KH-Q1,Q2,01"/>
      <sheetName val="NYS"/>
      <sheetName val="CAT_5"/>
      <sheetName val="보일러"/>
      <sheetName val="Renc.Prod"/>
      <sheetName val="Tabel Kode"/>
      <sheetName val="PLN Ags"/>
      <sheetName val="PLN Apr"/>
      <sheetName val="Biaya Tot PLN TDL 2003"/>
      <sheetName val="PLN Des"/>
      <sheetName val="PLN Feb"/>
      <sheetName val="PLN Jan"/>
      <sheetName val="PLN Jul"/>
      <sheetName val="PLN Jun"/>
      <sheetName val="PLN Mar"/>
      <sheetName val="PLN Mei"/>
      <sheetName val="PLN Nov"/>
      <sheetName val="PLN Okt"/>
      <sheetName val="PLN Sep"/>
      <sheetName val="Renc.Semen Keluar prod kantong"/>
      <sheetName val="kich thuoc"/>
      <sheetName val="DTH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ircular bundle"/>
      <sheetName val="steam table"/>
      <sheetName val="loss계산-TAWEELAH-msf-jan6"/>
      <sheetName val="DJ1"/>
      <sheetName val="정부노임단가"/>
      <sheetName val="fitting"/>
      <sheetName val="환율표"/>
      <sheetName val="Evap-기타"/>
      <sheetName val="P-LIST"/>
      <sheetName val="대비"/>
      <sheetName val="BID"/>
      <sheetName val="Testing"/>
      <sheetName val="eq_data"/>
      <sheetName val="BLR 1"/>
      <sheetName val="GEN"/>
      <sheetName val="GAS"/>
      <sheetName val="DEAE"/>
      <sheetName val="BLR2"/>
      <sheetName val="BLR3"/>
      <sheetName val="BLR4"/>
      <sheetName val="BLR5"/>
      <sheetName val="DEM"/>
      <sheetName val="SAM"/>
      <sheetName val="CHEM"/>
      <sheetName val="COP"/>
      <sheetName val="八幡"/>
      <sheetName val="GM 000"/>
      <sheetName val="csdim"/>
      <sheetName val="cdsload"/>
      <sheetName val="chsload"/>
      <sheetName val="CLAMP"/>
      <sheetName val="cvsload"/>
      <sheetName val="pipe"/>
      <sheetName val="Cash2"/>
      <sheetName val="Z"/>
      <sheetName val="BSD _2_"/>
      <sheetName val="BSD (2)"/>
      <sheetName val="환산표"/>
      <sheetName val="MOTOR"/>
      <sheetName val="95신규호표"/>
      <sheetName val="BM"/>
      <sheetName val="CBL_OD"/>
      <sheetName val="MOB-MAN1"/>
      <sheetName val="giathanh1"/>
      <sheetName val="6-2차"/>
      <sheetName val="Code 02"/>
      <sheetName val="Code 03"/>
      <sheetName val="Code 04"/>
      <sheetName val="Code 05"/>
      <sheetName val="Code 06"/>
      <sheetName val="Code 07"/>
      <sheetName val="Code 09"/>
      <sheetName val="Code03"/>
      <sheetName val="Summary"/>
      <sheetName val="5-Digit"/>
      <sheetName val="MixBed"/>
      <sheetName val="CondPol"/>
      <sheetName val="Inputs"/>
      <sheetName val="BD"/>
      <sheetName val="당초"/>
      <sheetName val="LAB"/>
      <sheetName val="노임단가"/>
      <sheetName val="공사계획서"/>
      <sheetName val="품셈표"/>
      <sheetName val="H-shape"/>
      <sheetName val="Dieuchinh"/>
      <sheetName val="gvl"/>
      <sheetName val="IBASE"/>
      <sheetName val="예산M12A"/>
      <sheetName val="JOINT1"/>
      <sheetName val="XL4Poppy"/>
      <sheetName val="현장지지물물량"/>
      <sheetName val="INSULTABLE"/>
      <sheetName val="ex-shell"/>
      <sheetName val="001"/>
      <sheetName val="TTL"/>
      <sheetName val="입력값"/>
      <sheetName val="NEWDRAW"/>
      <sheetName val="내역"/>
      <sheetName val="Sheet3 (2)"/>
      <sheetName val="circular_bundle1"/>
      <sheetName val="steam_table1"/>
      <sheetName val="circular_bundle"/>
      <sheetName val="steam_table"/>
      <sheetName val="ADL DATA"/>
      <sheetName val="FIRE FIGHTING"/>
      <sheetName val="Wind Load(3.1) (2)"/>
      <sheetName val="Wind Load(3.2)"/>
      <sheetName val="Wind Load(3.4)"/>
      <sheetName val="REDUCER"/>
      <sheetName val="Data"/>
      <sheetName val="BM "/>
      <sheetName val="DWG LIST"/>
      <sheetName val="#REF"/>
      <sheetName val="PNT-QUOT-#3"/>
      <sheetName val="COAT&amp;WRAP-QIOT-#3"/>
      <sheetName val="CAT_5"/>
      <sheetName val="COA-17"/>
      <sheetName val="C-18"/>
      <sheetName val="list"/>
      <sheetName val="Break Down Price"/>
      <sheetName val="1100"/>
      <sheetName val="Mech CIF"/>
      <sheetName val="환율-LIBOR"/>
      <sheetName val="JOB特定"/>
      <sheetName val="VL"/>
      <sheetName val="산근"/>
      <sheetName val="PBS"/>
      <sheetName val="LGBOM1절_CheckList"/>
      <sheetName val="카메라"/>
      <sheetName val="보일러"/>
      <sheetName val="ITEM-LIST"/>
      <sheetName val="Eq. Mobilization"/>
      <sheetName val="Proposal"/>
      <sheetName val="적용환율"/>
      <sheetName val="circular_bundle4"/>
      <sheetName val="steam_table4"/>
      <sheetName val="BLR_12"/>
      <sheetName val="GM_0002"/>
      <sheetName val="BSD__2_2"/>
      <sheetName val="BSD_(2)2"/>
      <sheetName val="Code_022"/>
      <sheetName val="Code_032"/>
      <sheetName val="Code_042"/>
      <sheetName val="Code_052"/>
      <sheetName val="Code_062"/>
      <sheetName val="Code_072"/>
      <sheetName val="Code_092"/>
      <sheetName val="Sheet3_(2)2"/>
      <sheetName val="ADL_DATA2"/>
      <sheetName val="FIRE_FIGHTING2"/>
      <sheetName val="BM_2"/>
      <sheetName val="DWG_LIST2"/>
      <sheetName val="Wind_Load(3_1)_(2)2"/>
      <sheetName val="Wind_Load(3_2)2"/>
      <sheetName val="Wind_Load(3_4)2"/>
      <sheetName val="Break_Down_Price2"/>
      <sheetName val="circular_bundle2"/>
      <sheetName val="steam_table2"/>
      <sheetName val="BLR_1"/>
      <sheetName val="GM_000"/>
      <sheetName val="BSD__2_"/>
      <sheetName val="BSD_(2)"/>
      <sheetName val="Code_02"/>
      <sheetName val="Code_03"/>
      <sheetName val="Code_04"/>
      <sheetName val="Code_05"/>
      <sheetName val="Code_06"/>
      <sheetName val="Code_07"/>
      <sheetName val="Code_09"/>
      <sheetName val="Sheet3_(2)"/>
      <sheetName val="ADL_DATA"/>
      <sheetName val="FIRE_FIGHTING"/>
      <sheetName val="BM_"/>
      <sheetName val="DWG_LIST"/>
      <sheetName val="Wind_Load(3_1)_(2)"/>
      <sheetName val="Wind_Load(3_2)"/>
      <sheetName val="Wind_Load(3_4)"/>
      <sheetName val="Break_Down_Price"/>
      <sheetName val="circular_bundle3"/>
      <sheetName val="steam_table3"/>
      <sheetName val="BLR_11"/>
      <sheetName val="GM_0001"/>
      <sheetName val="BSD__2_1"/>
      <sheetName val="BSD_(2)1"/>
      <sheetName val="Code_021"/>
      <sheetName val="Code_031"/>
      <sheetName val="Code_041"/>
      <sheetName val="Code_051"/>
      <sheetName val="Code_061"/>
      <sheetName val="Code_071"/>
      <sheetName val="Code_091"/>
      <sheetName val="Sheet3_(2)1"/>
      <sheetName val="ADL_DATA1"/>
      <sheetName val="FIRE_FIGHTING1"/>
      <sheetName val="BM_1"/>
      <sheetName val="DWG_LIST1"/>
      <sheetName val="Wind_Load(3_1)_(2)1"/>
      <sheetName val="Wind_Load(3_2)1"/>
      <sheetName val="Wind_Load(3_4)1"/>
      <sheetName val="Break_Down_Price1"/>
      <sheetName val="circular_bundle6"/>
      <sheetName val="steam_table6"/>
      <sheetName val="BLR_14"/>
      <sheetName val="GM_0004"/>
      <sheetName val="BSD__2_4"/>
      <sheetName val="BSD_(2)4"/>
      <sheetName val="Code_024"/>
      <sheetName val="Code_034"/>
      <sheetName val="Code_044"/>
      <sheetName val="Code_054"/>
      <sheetName val="Code_064"/>
      <sheetName val="Code_074"/>
      <sheetName val="Code_094"/>
      <sheetName val="Sheet3_(2)4"/>
      <sheetName val="ADL_DATA4"/>
      <sheetName val="FIRE_FIGHTING4"/>
      <sheetName val="BM_4"/>
      <sheetName val="DWG_LIST4"/>
      <sheetName val="Wind_Load(3_1)_(2)4"/>
      <sheetName val="Wind_Load(3_2)4"/>
      <sheetName val="Wind_Load(3_4)4"/>
      <sheetName val="Break_Down_Price4"/>
      <sheetName val="circular_bundle5"/>
      <sheetName val="steam_table5"/>
      <sheetName val="BLR_13"/>
      <sheetName val="GM_0003"/>
      <sheetName val="BSD__2_3"/>
      <sheetName val="BSD_(2)3"/>
      <sheetName val="Code_023"/>
      <sheetName val="Code_033"/>
      <sheetName val="Code_043"/>
      <sheetName val="Code_053"/>
      <sheetName val="Code_063"/>
      <sheetName val="Code_073"/>
      <sheetName val="Code_093"/>
      <sheetName val="Sheet3_(2)3"/>
      <sheetName val="ADL_DATA3"/>
      <sheetName val="FIRE_FIGHTING3"/>
      <sheetName val="BM_3"/>
      <sheetName val="DWG_LIST3"/>
      <sheetName val="Wind_Load(3_1)_(2)3"/>
      <sheetName val="Wind_Load(3_2)3"/>
      <sheetName val="Wind_Load(3_4)3"/>
      <sheetName val="Break_Down_Price3"/>
      <sheetName val="w't table"/>
      <sheetName val="갑지"/>
      <sheetName val="Erection"/>
      <sheetName val="Sheet2"/>
      <sheetName val="circular_bundle7"/>
      <sheetName val="steam_table7"/>
      <sheetName val="BLR_15"/>
      <sheetName val="GM_0005"/>
      <sheetName val="BSD__2_5"/>
      <sheetName val="BSD_(2)5"/>
      <sheetName val="Code_025"/>
      <sheetName val="Code_035"/>
      <sheetName val="Code_045"/>
      <sheetName val="Code_055"/>
      <sheetName val="Code_065"/>
      <sheetName val="Code_075"/>
      <sheetName val="Code_095"/>
      <sheetName val="Sheet3_(2)5"/>
      <sheetName val="ADL_DATA5"/>
      <sheetName val="FIRE_FIGHTING5"/>
      <sheetName val="Wind_Load(3_1)_(2)5"/>
      <sheetName val="Wind_Load(3_2)5"/>
      <sheetName val="Wind_Load(3_4)5"/>
      <sheetName val="BM_5"/>
      <sheetName val="DWG_LIST5"/>
      <sheetName val="Break_Down_Price5"/>
      <sheetName val="Mech_CIF"/>
      <sheetName val="Eq__Mobilization"/>
      <sheetName val="w't_table"/>
      <sheetName val="circular_bundle8"/>
      <sheetName val="steam_table8"/>
      <sheetName val="BLR_16"/>
      <sheetName val="GM_0006"/>
      <sheetName val="BSD__2_6"/>
      <sheetName val="BSD_(2)6"/>
      <sheetName val="Code_026"/>
      <sheetName val="Code_036"/>
      <sheetName val="Code_046"/>
      <sheetName val="Code_056"/>
      <sheetName val="Code_066"/>
      <sheetName val="Code_076"/>
      <sheetName val="Code_096"/>
      <sheetName val="Sheet3_(2)6"/>
      <sheetName val="ADL_DATA6"/>
      <sheetName val="FIRE_FIGHTING6"/>
      <sheetName val="Wind_Load(3_1)_(2)6"/>
      <sheetName val="Wind_Load(3_2)6"/>
      <sheetName val="Wind_Load(3_4)6"/>
      <sheetName val="BM_6"/>
      <sheetName val="DWG_LIST6"/>
      <sheetName val="Break_Down_Price6"/>
      <sheetName val="Mech_CIF1"/>
      <sheetName val="Eq__Mobilization1"/>
      <sheetName val="w't_table1"/>
      <sheetName val="circular_bundle9"/>
      <sheetName val="steam_table9"/>
      <sheetName val="BLR_17"/>
      <sheetName val="GM_0007"/>
      <sheetName val="BSD__2_7"/>
      <sheetName val="BSD_(2)7"/>
      <sheetName val="Code_027"/>
      <sheetName val="Code_037"/>
      <sheetName val="Code_047"/>
      <sheetName val="Code_057"/>
      <sheetName val="Code_067"/>
      <sheetName val="Code_077"/>
      <sheetName val="Code_097"/>
      <sheetName val="Sheet3_(2)7"/>
      <sheetName val="Wind_Load(3_1)_(2)7"/>
      <sheetName val="Wind_Load(3_2)7"/>
      <sheetName val="Wind_Load(3_4)7"/>
      <sheetName val="ADL_DATA7"/>
      <sheetName val="FIRE_FIGHTING7"/>
      <sheetName val="BM_7"/>
      <sheetName val="DWG_LIST7"/>
      <sheetName val="Break_Down_Price7"/>
      <sheetName val="Mech_CIF2"/>
      <sheetName val="Eq__Mobilization2"/>
      <sheetName val="w't_table2"/>
      <sheetName val="circular_bundle10"/>
      <sheetName val="steam_table10"/>
      <sheetName val="BLR_18"/>
      <sheetName val="GM_0008"/>
      <sheetName val="BSD__2_8"/>
      <sheetName val="BSD_(2)8"/>
      <sheetName val="Code_028"/>
      <sheetName val="Code_038"/>
      <sheetName val="Code_048"/>
      <sheetName val="Code_058"/>
      <sheetName val="Code_068"/>
      <sheetName val="Code_078"/>
      <sheetName val="Code_098"/>
      <sheetName val="Sheet3_(2)8"/>
      <sheetName val="Wind_Load(3_1)_(2)8"/>
      <sheetName val="Wind_Load(3_2)8"/>
      <sheetName val="Wind_Load(3_4)8"/>
      <sheetName val="ADL_DATA8"/>
      <sheetName val="FIRE_FIGHTING8"/>
      <sheetName val="BM_8"/>
      <sheetName val="DWG_LIST8"/>
      <sheetName val="Break_Down_Price8"/>
      <sheetName val="Mech_CIF3"/>
      <sheetName val="Eq__Mobilization3"/>
      <sheetName val="w't_table3"/>
      <sheetName val="Labor"/>
      <sheetName val="WT-LIST"/>
      <sheetName val="labor1"/>
      <sheetName val="index"/>
      <sheetName val="22-Plant"/>
      <sheetName val="Supervision List"/>
      <sheetName val="기계내역서"/>
      <sheetName val="사진"/>
      <sheetName val="ancillary"/>
      <sheetName val="DATA LISTS"/>
      <sheetName val="BQ"/>
      <sheetName val="Sheet1"/>
      <sheetName val="PLAN_FEB97"/>
      <sheetName val="차액보증"/>
      <sheetName val="3D-HOR"/>
      <sheetName val="3D-PEN"/>
      <sheetName val="ELE3D"/>
      <sheetName val="ELE DATA"/>
      <sheetName val="ELEMENT BM"/>
      <sheetName val="TubePR"/>
      <sheetName val="UPPER-CP(표지)"/>
      <sheetName val="UPPER-CP(상세)"/>
      <sheetName val="LOWER-CP(표지)"/>
      <sheetName val="LOWER-CP(상세)"/>
      <sheetName val="PENDANT-CP(표지)"/>
      <sheetName val="PENDANT-CP(상세)"/>
      <sheetName val="hotwell_sizing"/>
      <sheetName val="Tubesheet Th'k"/>
      <sheetName val="ESTI."/>
      <sheetName val="DI-ESTI"/>
      <sheetName val="설산1.나"/>
      <sheetName val="본사S"/>
      <sheetName val="PumpSpec"/>
      <sheetName val="co-no.2"/>
      <sheetName val="h-013211-2"/>
      <sheetName val="Table"/>
      <sheetName val="산근터빈"/>
    </sheetNames>
    <sheetDataSet>
      <sheetData sheetId="0" refreshError="1"/>
      <sheetData sheetId="1" refreshError="1">
        <row r="5">
          <cell r="N5">
            <v>20</v>
          </cell>
          <cell r="O5">
            <v>2454.3000000000002</v>
          </cell>
          <cell r="P5">
            <v>21</v>
          </cell>
          <cell r="Q5">
            <v>2452</v>
          </cell>
        </row>
        <row r="6">
          <cell r="N6">
            <v>21</v>
          </cell>
          <cell r="O6">
            <v>2452</v>
          </cell>
          <cell r="P6">
            <v>22</v>
          </cell>
          <cell r="Q6">
            <v>2449.6</v>
          </cell>
        </row>
        <row r="7">
          <cell r="N7">
            <v>22</v>
          </cell>
          <cell r="O7">
            <v>2449.6</v>
          </cell>
          <cell r="P7">
            <v>23</v>
          </cell>
          <cell r="Q7">
            <v>2447.1999999999998</v>
          </cell>
        </row>
        <row r="8">
          <cell r="N8">
            <v>23</v>
          </cell>
          <cell r="O8">
            <v>2447.1999999999998</v>
          </cell>
          <cell r="P8">
            <v>24</v>
          </cell>
          <cell r="Q8">
            <v>2444.9</v>
          </cell>
        </row>
        <row r="9">
          <cell r="N9">
            <v>24</v>
          </cell>
          <cell r="O9">
            <v>2444.9</v>
          </cell>
          <cell r="P9">
            <v>25</v>
          </cell>
          <cell r="Q9">
            <v>2442.5</v>
          </cell>
        </row>
        <row r="10">
          <cell r="N10">
            <v>25</v>
          </cell>
          <cell r="O10">
            <v>2442.5</v>
          </cell>
          <cell r="P10">
            <v>26</v>
          </cell>
          <cell r="Q10">
            <v>2440.1999999999998</v>
          </cell>
        </row>
        <row r="11">
          <cell r="N11">
            <v>26</v>
          </cell>
          <cell r="O11">
            <v>2440.1999999999998</v>
          </cell>
          <cell r="P11">
            <v>27</v>
          </cell>
          <cell r="Q11">
            <v>2437.8000000000002</v>
          </cell>
        </row>
        <row r="12">
          <cell r="N12">
            <v>27</v>
          </cell>
          <cell r="O12">
            <v>2437.8000000000002</v>
          </cell>
          <cell r="P12">
            <v>28</v>
          </cell>
          <cell r="Q12">
            <v>2435.4</v>
          </cell>
        </row>
        <row r="13">
          <cell r="N13">
            <v>28</v>
          </cell>
          <cell r="O13">
            <v>2435.4</v>
          </cell>
          <cell r="P13">
            <v>29</v>
          </cell>
          <cell r="Q13">
            <v>2433.1</v>
          </cell>
        </row>
        <row r="14">
          <cell r="N14">
            <v>29</v>
          </cell>
          <cell r="O14">
            <v>2433.1</v>
          </cell>
          <cell r="P14">
            <v>30</v>
          </cell>
          <cell r="Q14">
            <v>2430.6999999999998</v>
          </cell>
        </row>
        <row r="15">
          <cell r="N15">
            <v>30</v>
          </cell>
          <cell r="O15">
            <v>2430.6999999999998</v>
          </cell>
          <cell r="P15">
            <v>31</v>
          </cell>
          <cell r="Q15">
            <v>2428.3000000000002</v>
          </cell>
        </row>
        <row r="16">
          <cell r="N16">
            <v>31</v>
          </cell>
          <cell r="O16">
            <v>2428.3000000000002</v>
          </cell>
          <cell r="P16">
            <v>32</v>
          </cell>
          <cell r="Q16">
            <v>2425.9</v>
          </cell>
        </row>
        <row r="17">
          <cell r="N17">
            <v>32</v>
          </cell>
          <cell r="O17">
            <v>2425.9</v>
          </cell>
          <cell r="P17">
            <v>33</v>
          </cell>
          <cell r="Q17">
            <v>2423.6</v>
          </cell>
        </row>
        <row r="18">
          <cell r="N18">
            <v>33</v>
          </cell>
          <cell r="O18">
            <v>2423.6</v>
          </cell>
          <cell r="P18">
            <v>34</v>
          </cell>
          <cell r="Q18">
            <v>2421.1999999999998</v>
          </cell>
        </row>
        <row r="19">
          <cell r="N19">
            <v>34</v>
          </cell>
          <cell r="O19">
            <v>2421.1999999999998</v>
          </cell>
          <cell r="P19">
            <v>35</v>
          </cell>
          <cell r="Q19">
            <v>2418.8000000000002</v>
          </cell>
        </row>
        <row r="20">
          <cell r="N20">
            <v>35</v>
          </cell>
          <cell r="O20">
            <v>2418.8000000000002</v>
          </cell>
          <cell r="P20">
            <v>36</v>
          </cell>
          <cell r="Q20">
            <v>2416.4</v>
          </cell>
        </row>
        <row r="21">
          <cell r="N21">
            <v>36</v>
          </cell>
          <cell r="O21">
            <v>2416.4</v>
          </cell>
          <cell r="P21">
            <v>37</v>
          </cell>
          <cell r="Q21">
            <v>2414.1</v>
          </cell>
        </row>
        <row r="22">
          <cell r="N22">
            <v>37</v>
          </cell>
          <cell r="O22">
            <v>2414.1</v>
          </cell>
          <cell r="P22">
            <v>38</v>
          </cell>
          <cell r="Q22">
            <v>2411.6999999999998</v>
          </cell>
        </row>
        <row r="23">
          <cell r="N23">
            <v>38</v>
          </cell>
          <cell r="O23">
            <v>2411.6999999999998</v>
          </cell>
          <cell r="P23">
            <v>39</v>
          </cell>
          <cell r="Q23">
            <v>2409.3000000000002</v>
          </cell>
        </row>
        <row r="24">
          <cell r="N24">
            <v>39</v>
          </cell>
          <cell r="O24">
            <v>2409.3000000000002</v>
          </cell>
          <cell r="P24">
            <v>40</v>
          </cell>
          <cell r="Q24">
            <v>2406.9</v>
          </cell>
        </row>
        <row r="25">
          <cell r="N25">
            <v>40</v>
          </cell>
          <cell r="O25">
            <v>2406.9</v>
          </cell>
          <cell r="P25">
            <v>41</v>
          </cell>
          <cell r="Q25">
            <v>2404.5</v>
          </cell>
        </row>
        <row r="26">
          <cell r="N26">
            <v>41</v>
          </cell>
          <cell r="O26">
            <v>2404.5</v>
          </cell>
          <cell r="P26">
            <v>42</v>
          </cell>
          <cell r="Q26">
            <v>2402.1</v>
          </cell>
        </row>
        <row r="27">
          <cell r="N27">
            <v>42</v>
          </cell>
          <cell r="O27">
            <v>2402.1</v>
          </cell>
          <cell r="P27">
            <v>43</v>
          </cell>
          <cell r="Q27">
            <v>2399.6999999999998</v>
          </cell>
        </row>
        <row r="28">
          <cell r="N28">
            <v>43</v>
          </cell>
          <cell r="O28">
            <v>2399.6999999999998</v>
          </cell>
          <cell r="P28">
            <v>44</v>
          </cell>
          <cell r="Q28">
            <v>2397.3000000000002</v>
          </cell>
        </row>
        <row r="29">
          <cell r="N29">
            <v>44</v>
          </cell>
          <cell r="O29">
            <v>2397.3000000000002</v>
          </cell>
          <cell r="P29">
            <v>45</v>
          </cell>
          <cell r="Q29">
            <v>2394.9</v>
          </cell>
        </row>
        <row r="30">
          <cell r="N30">
            <v>45</v>
          </cell>
          <cell r="O30">
            <v>2394.9</v>
          </cell>
          <cell r="P30">
            <v>46</v>
          </cell>
          <cell r="Q30">
            <v>2392.5</v>
          </cell>
        </row>
        <row r="31">
          <cell r="N31">
            <v>46</v>
          </cell>
          <cell r="O31">
            <v>2392.5</v>
          </cell>
          <cell r="P31">
            <v>47</v>
          </cell>
          <cell r="Q31">
            <v>2390.1</v>
          </cell>
        </row>
        <row r="32">
          <cell r="N32">
            <v>47</v>
          </cell>
          <cell r="O32">
            <v>2390.1</v>
          </cell>
          <cell r="P32">
            <v>48</v>
          </cell>
          <cell r="Q32">
            <v>2387.6999999999998</v>
          </cell>
        </row>
        <row r="33">
          <cell r="N33">
            <v>48</v>
          </cell>
          <cell r="O33">
            <v>2387.6999999999998</v>
          </cell>
          <cell r="P33">
            <v>49</v>
          </cell>
          <cell r="Q33">
            <v>2385.3000000000002</v>
          </cell>
        </row>
        <row r="34">
          <cell r="N34">
            <v>49</v>
          </cell>
          <cell r="O34">
            <v>2385.3000000000002</v>
          </cell>
          <cell r="P34">
            <v>50</v>
          </cell>
          <cell r="Q34">
            <v>2382.9</v>
          </cell>
        </row>
        <row r="35">
          <cell r="N35">
            <v>50</v>
          </cell>
          <cell r="O35">
            <v>2382.9</v>
          </cell>
          <cell r="P35">
            <v>51</v>
          </cell>
          <cell r="Q35">
            <v>2380.5</v>
          </cell>
        </row>
        <row r="36">
          <cell r="N36">
            <v>51</v>
          </cell>
          <cell r="O36">
            <v>2380.5</v>
          </cell>
          <cell r="P36">
            <v>52</v>
          </cell>
          <cell r="Q36">
            <v>2378.1</v>
          </cell>
        </row>
        <row r="37">
          <cell r="N37">
            <v>52</v>
          </cell>
          <cell r="O37">
            <v>2378.1</v>
          </cell>
          <cell r="P37">
            <v>53</v>
          </cell>
          <cell r="Q37">
            <v>2375.6999999999998</v>
          </cell>
        </row>
        <row r="38">
          <cell r="N38">
            <v>53</v>
          </cell>
          <cell r="O38">
            <v>2375.6999999999998</v>
          </cell>
          <cell r="P38">
            <v>54</v>
          </cell>
          <cell r="Q38">
            <v>2373.1999999999998</v>
          </cell>
        </row>
        <row r="39">
          <cell r="N39">
            <v>54</v>
          </cell>
          <cell r="O39">
            <v>2373.1999999999998</v>
          </cell>
          <cell r="P39">
            <v>55</v>
          </cell>
          <cell r="Q39">
            <v>2370.8000000000002</v>
          </cell>
        </row>
        <row r="40">
          <cell r="N40">
            <v>55</v>
          </cell>
          <cell r="O40">
            <v>2370.8000000000002</v>
          </cell>
          <cell r="P40">
            <v>56</v>
          </cell>
          <cell r="Q40">
            <v>2368.4</v>
          </cell>
        </row>
        <row r="41">
          <cell r="N41">
            <v>56</v>
          </cell>
          <cell r="O41">
            <v>2368.4</v>
          </cell>
          <cell r="P41">
            <v>57</v>
          </cell>
          <cell r="Q41">
            <v>2365.9</v>
          </cell>
        </row>
        <row r="42">
          <cell r="N42">
            <v>57</v>
          </cell>
          <cell r="O42">
            <v>2365.9</v>
          </cell>
          <cell r="P42">
            <v>58</v>
          </cell>
          <cell r="Q42">
            <v>2363.5</v>
          </cell>
        </row>
        <row r="43">
          <cell r="N43">
            <v>58</v>
          </cell>
          <cell r="O43">
            <v>2363.5</v>
          </cell>
          <cell r="P43">
            <v>59</v>
          </cell>
          <cell r="Q43">
            <v>2361.1</v>
          </cell>
        </row>
        <row r="44">
          <cell r="N44">
            <v>59</v>
          </cell>
          <cell r="O44">
            <v>2361.1</v>
          </cell>
          <cell r="P44">
            <v>60</v>
          </cell>
          <cell r="Q44">
            <v>2358.6</v>
          </cell>
        </row>
        <row r="45">
          <cell r="N45">
            <v>60</v>
          </cell>
          <cell r="O45">
            <v>2358.6</v>
          </cell>
          <cell r="P45">
            <v>61</v>
          </cell>
          <cell r="Q45">
            <v>2356.1999999999998</v>
          </cell>
        </row>
        <row r="46">
          <cell r="N46">
            <v>61</v>
          </cell>
          <cell r="O46">
            <v>2356.1999999999998</v>
          </cell>
          <cell r="P46">
            <v>62</v>
          </cell>
          <cell r="Q46">
            <v>2353.6999999999998</v>
          </cell>
        </row>
        <row r="47">
          <cell r="N47">
            <v>62</v>
          </cell>
          <cell r="O47">
            <v>2353.6999999999998</v>
          </cell>
          <cell r="P47">
            <v>63</v>
          </cell>
          <cell r="Q47">
            <v>2351.3000000000002</v>
          </cell>
        </row>
        <row r="48">
          <cell r="N48">
            <v>63</v>
          </cell>
          <cell r="O48">
            <v>2351.3000000000002</v>
          </cell>
          <cell r="P48">
            <v>64</v>
          </cell>
          <cell r="Q48">
            <v>2348.8000000000002</v>
          </cell>
        </row>
        <row r="49">
          <cell r="N49">
            <v>64</v>
          </cell>
          <cell r="O49">
            <v>2348.8000000000002</v>
          </cell>
          <cell r="P49">
            <v>65</v>
          </cell>
          <cell r="Q49">
            <v>2346.3000000000002</v>
          </cell>
        </row>
        <row r="50">
          <cell r="N50">
            <v>65</v>
          </cell>
          <cell r="O50">
            <v>2346.3000000000002</v>
          </cell>
          <cell r="P50">
            <v>66</v>
          </cell>
          <cell r="Q50">
            <v>2343.9</v>
          </cell>
        </row>
        <row r="51">
          <cell r="N51">
            <v>66</v>
          </cell>
          <cell r="O51">
            <v>2343.9</v>
          </cell>
          <cell r="P51">
            <v>67</v>
          </cell>
          <cell r="Q51">
            <v>2341.4</v>
          </cell>
        </row>
        <row r="52">
          <cell r="N52">
            <v>67</v>
          </cell>
          <cell r="O52">
            <v>2341.4</v>
          </cell>
          <cell r="P52">
            <v>68</v>
          </cell>
          <cell r="Q52">
            <v>2338.9</v>
          </cell>
        </row>
        <row r="53">
          <cell r="N53">
            <v>68</v>
          </cell>
          <cell r="O53">
            <v>2338.9</v>
          </cell>
          <cell r="P53">
            <v>69</v>
          </cell>
          <cell r="Q53">
            <v>2336.4</v>
          </cell>
        </row>
        <row r="54">
          <cell r="N54">
            <v>69</v>
          </cell>
          <cell r="O54">
            <v>2336.4</v>
          </cell>
          <cell r="P54">
            <v>70</v>
          </cell>
          <cell r="Q54">
            <v>2334</v>
          </cell>
        </row>
        <row r="55">
          <cell r="N55">
            <v>70</v>
          </cell>
          <cell r="O55">
            <v>2334</v>
          </cell>
          <cell r="P55">
            <v>71</v>
          </cell>
          <cell r="Q55">
            <v>2331.5</v>
          </cell>
        </row>
        <row r="56">
          <cell r="N56">
            <v>71</v>
          </cell>
          <cell r="O56">
            <v>2331.5</v>
          </cell>
          <cell r="P56">
            <v>72</v>
          </cell>
          <cell r="Q56">
            <v>2329</v>
          </cell>
        </row>
        <row r="57">
          <cell r="N57">
            <v>72</v>
          </cell>
          <cell r="O57">
            <v>2329</v>
          </cell>
          <cell r="P57">
            <v>73</v>
          </cell>
          <cell r="Q57">
            <v>2326.5</v>
          </cell>
        </row>
        <row r="58">
          <cell r="N58">
            <v>73</v>
          </cell>
          <cell r="O58">
            <v>2326.5</v>
          </cell>
          <cell r="P58">
            <v>74</v>
          </cell>
          <cell r="Q58">
            <v>2324</v>
          </cell>
        </row>
        <row r="59">
          <cell r="N59">
            <v>74</v>
          </cell>
          <cell r="O59">
            <v>2324</v>
          </cell>
          <cell r="P59">
            <v>75</v>
          </cell>
          <cell r="Q59">
            <v>2321.5</v>
          </cell>
        </row>
        <row r="60">
          <cell r="N60">
            <v>75</v>
          </cell>
          <cell r="O60">
            <v>2321.5</v>
          </cell>
          <cell r="P60">
            <v>76</v>
          </cell>
          <cell r="Q60">
            <v>2318.9</v>
          </cell>
        </row>
        <row r="61">
          <cell r="N61">
            <v>76</v>
          </cell>
          <cell r="O61">
            <v>2318.9</v>
          </cell>
          <cell r="P61">
            <v>77</v>
          </cell>
          <cell r="Q61">
            <v>2316.4</v>
          </cell>
        </row>
        <row r="62">
          <cell r="N62">
            <v>77</v>
          </cell>
          <cell r="O62">
            <v>2316.4</v>
          </cell>
          <cell r="P62">
            <v>78</v>
          </cell>
          <cell r="Q62">
            <v>2313.9</v>
          </cell>
        </row>
        <row r="63">
          <cell r="N63">
            <v>78</v>
          </cell>
          <cell r="O63">
            <v>2313.9</v>
          </cell>
          <cell r="P63">
            <v>79</v>
          </cell>
          <cell r="Q63">
            <v>2311.4</v>
          </cell>
        </row>
        <row r="64">
          <cell r="N64">
            <v>79</v>
          </cell>
          <cell r="O64">
            <v>2311.4</v>
          </cell>
          <cell r="P64">
            <v>80</v>
          </cell>
          <cell r="Q64">
            <v>2308.8000000000002</v>
          </cell>
        </row>
        <row r="65">
          <cell r="N65">
            <v>80</v>
          </cell>
          <cell r="O65">
            <v>2308.8000000000002</v>
          </cell>
          <cell r="P65">
            <v>81</v>
          </cell>
          <cell r="Q65">
            <v>2306.3000000000002</v>
          </cell>
        </row>
        <row r="66">
          <cell r="N66">
            <v>81</v>
          </cell>
          <cell r="O66">
            <v>2306.3000000000002</v>
          </cell>
          <cell r="P66">
            <v>82</v>
          </cell>
          <cell r="Q66">
            <v>2303.8000000000002</v>
          </cell>
        </row>
        <row r="67">
          <cell r="N67">
            <v>82</v>
          </cell>
          <cell r="O67">
            <v>2303.8000000000002</v>
          </cell>
          <cell r="P67">
            <v>83</v>
          </cell>
          <cell r="Q67">
            <v>2301.1999999999998</v>
          </cell>
        </row>
        <row r="68">
          <cell r="N68">
            <v>83</v>
          </cell>
          <cell r="O68">
            <v>2301.1999999999998</v>
          </cell>
          <cell r="P68">
            <v>84</v>
          </cell>
          <cell r="Q68">
            <v>2298.6999999999998</v>
          </cell>
        </row>
        <row r="69">
          <cell r="N69">
            <v>84</v>
          </cell>
          <cell r="O69">
            <v>2298.6999999999998</v>
          </cell>
          <cell r="P69">
            <v>85</v>
          </cell>
          <cell r="Q69">
            <v>2296.5</v>
          </cell>
        </row>
        <row r="70">
          <cell r="N70">
            <v>85</v>
          </cell>
          <cell r="O70">
            <v>2296.5</v>
          </cell>
          <cell r="P70">
            <v>86</v>
          </cell>
          <cell r="Q70">
            <v>2293.1</v>
          </cell>
        </row>
        <row r="71">
          <cell r="N71">
            <v>86</v>
          </cell>
          <cell r="O71">
            <v>2293.1</v>
          </cell>
          <cell r="P71">
            <v>87</v>
          </cell>
          <cell r="Q71">
            <v>2290.9</v>
          </cell>
        </row>
        <row r="72">
          <cell r="N72">
            <v>87</v>
          </cell>
          <cell r="O72">
            <v>2290.9</v>
          </cell>
          <cell r="P72">
            <v>88</v>
          </cell>
          <cell r="Q72">
            <v>2288.4</v>
          </cell>
        </row>
        <row r="73">
          <cell r="N73">
            <v>88</v>
          </cell>
          <cell r="O73">
            <v>2288.4</v>
          </cell>
          <cell r="P73">
            <v>89</v>
          </cell>
          <cell r="Q73">
            <v>2285.8000000000002</v>
          </cell>
        </row>
        <row r="74">
          <cell r="N74">
            <v>89</v>
          </cell>
          <cell r="O74">
            <v>2285.8000000000002</v>
          </cell>
          <cell r="P74">
            <v>90</v>
          </cell>
          <cell r="Q74">
            <v>2283.1999999999998</v>
          </cell>
        </row>
        <row r="75">
          <cell r="N75">
            <v>90</v>
          </cell>
          <cell r="O75">
            <v>2283.1999999999998</v>
          </cell>
          <cell r="P75">
            <v>91</v>
          </cell>
          <cell r="Q75">
            <v>2280.6</v>
          </cell>
        </row>
        <row r="76">
          <cell r="N76">
            <v>91</v>
          </cell>
          <cell r="O76">
            <v>2280.6</v>
          </cell>
          <cell r="P76">
            <v>92</v>
          </cell>
          <cell r="Q76">
            <v>2278</v>
          </cell>
        </row>
        <row r="77">
          <cell r="N77">
            <v>92</v>
          </cell>
          <cell r="O77">
            <v>2278</v>
          </cell>
          <cell r="P77">
            <v>93</v>
          </cell>
          <cell r="Q77">
            <v>2275.4</v>
          </cell>
        </row>
        <row r="78">
          <cell r="N78">
            <v>93</v>
          </cell>
          <cell r="O78">
            <v>2275.4</v>
          </cell>
          <cell r="P78">
            <v>94</v>
          </cell>
          <cell r="Q78">
            <v>2272.8000000000002</v>
          </cell>
        </row>
        <row r="79">
          <cell r="N79">
            <v>94</v>
          </cell>
          <cell r="O79">
            <v>2272.8000000000002</v>
          </cell>
          <cell r="P79">
            <v>95</v>
          </cell>
          <cell r="Q79">
            <v>2270.1999999999998</v>
          </cell>
        </row>
        <row r="80">
          <cell r="N80">
            <v>95</v>
          </cell>
          <cell r="O80">
            <v>2270.1999999999998</v>
          </cell>
          <cell r="P80">
            <v>96</v>
          </cell>
          <cell r="Q80">
            <v>2267.5</v>
          </cell>
        </row>
        <row r="81">
          <cell r="N81">
            <v>96</v>
          </cell>
          <cell r="O81">
            <v>2267.5</v>
          </cell>
          <cell r="P81">
            <v>97</v>
          </cell>
          <cell r="Q81">
            <v>2264.9</v>
          </cell>
        </row>
        <row r="82">
          <cell r="N82">
            <v>97</v>
          </cell>
          <cell r="O82">
            <v>2264.9</v>
          </cell>
          <cell r="P82">
            <v>98</v>
          </cell>
          <cell r="Q82">
            <v>2262.1999999999998</v>
          </cell>
        </row>
        <row r="83">
          <cell r="N83">
            <v>98</v>
          </cell>
          <cell r="O83">
            <v>2262.1999999999998</v>
          </cell>
          <cell r="P83">
            <v>99</v>
          </cell>
          <cell r="Q83">
            <v>2259.6</v>
          </cell>
        </row>
        <row r="84">
          <cell r="N84">
            <v>99</v>
          </cell>
          <cell r="O84">
            <v>2259.6</v>
          </cell>
          <cell r="P84">
            <v>100</v>
          </cell>
          <cell r="Q84">
            <v>2256.9</v>
          </cell>
        </row>
        <row r="85">
          <cell r="N85">
            <v>100</v>
          </cell>
          <cell r="O85">
            <v>2256.9</v>
          </cell>
          <cell r="P85">
            <v>101</v>
          </cell>
          <cell r="Q85">
            <v>2254.3000000000002</v>
          </cell>
        </row>
        <row r="86">
          <cell r="N86">
            <v>101</v>
          </cell>
          <cell r="O86">
            <v>2254.3000000000002</v>
          </cell>
          <cell r="P86">
            <v>102</v>
          </cell>
          <cell r="Q86">
            <v>2251.6</v>
          </cell>
        </row>
        <row r="87">
          <cell r="N87">
            <v>102</v>
          </cell>
          <cell r="O87">
            <v>2251.6</v>
          </cell>
          <cell r="P87">
            <v>103</v>
          </cell>
          <cell r="Q87">
            <v>2248.9</v>
          </cell>
        </row>
        <row r="88">
          <cell r="N88">
            <v>103</v>
          </cell>
          <cell r="O88">
            <v>2248.9</v>
          </cell>
          <cell r="P88">
            <v>104</v>
          </cell>
          <cell r="Q88">
            <v>2246.3000000000002</v>
          </cell>
        </row>
        <row r="89">
          <cell r="N89">
            <v>104</v>
          </cell>
          <cell r="O89">
            <v>2246.3000000000002</v>
          </cell>
          <cell r="P89">
            <v>105</v>
          </cell>
          <cell r="Q89">
            <v>2243.6</v>
          </cell>
        </row>
        <row r="90">
          <cell r="N90">
            <v>105</v>
          </cell>
          <cell r="O90">
            <v>2243.6</v>
          </cell>
          <cell r="P90">
            <v>106</v>
          </cell>
          <cell r="Q90">
            <v>2240.9</v>
          </cell>
        </row>
        <row r="91">
          <cell r="N91">
            <v>106</v>
          </cell>
          <cell r="O91">
            <v>2240.9</v>
          </cell>
          <cell r="P91">
            <v>107</v>
          </cell>
          <cell r="Q91">
            <v>2238.1999999999998</v>
          </cell>
        </row>
        <row r="92">
          <cell r="N92">
            <v>107</v>
          </cell>
          <cell r="O92">
            <v>2238.1999999999998</v>
          </cell>
          <cell r="P92">
            <v>108</v>
          </cell>
          <cell r="Q92">
            <v>2235.4</v>
          </cell>
        </row>
        <row r="93">
          <cell r="N93">
            <v>108</v>
          </cell>
          <cell r="O93">
            <v>2235.4</v>
          </cell>
          <cell r="P93">
            <v>109</v>
          </cell>
          <cell r="Q93">
            <v>2232.6999999999998</v>
          </cell>
        </row>
        <row r="94">
          <cell r="N94">
            <v>109</v>
          </cell>
          <cell r="O94">
            <v>2232.6999999999998</v>
          </cell>
          <cell r="P94">
            <v>110</v>
          </cell>
          <cell r="Q94">
            <v>2230</v>
          </cell>
        </row>
        <row r="95">
          <cell r="N95">
            <v>110</v>
          </cell>
          <cell r="O95">
            <v>2230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>
        <row r="5">
          <cell r="N5">
            <v>20</v>
          </cell>
        </row>
      </sheetData>
      <sheetData sheetId="116">
        <row r="5">
          <cell r="N5">
            <v>20</v>
          </cell>
        </row>
      </sheetData>
      <sheetData sheetId="117">
        <row r="5">
          <cell r="N5">
            <v>20</v>
          </cell>
        </row>
      </sheetData>
      <sheetData sheetId="118">
        <row r="5">
          <cell r="N5">
            <v>20</v>
          </cell>
        </row>
      </sheetData>
      <sheetData sheetId="119">
        <row r="5">
          <cell r="N5">
            <v>20</v>
          </cell>
        </row>
      </sheetData>
      <sheetData sheetId="120">
        <row r="5">
          <cell r="N5">
            <v>20</v>
          </cell>
        </row>
      </sheetData>
      <sheetData sheetId="121">
        <row r="5">
          <cell r="N5">
            <v>20</v>
          </cell>
        </row>
      </sheetData>
      <sheetData sheetId="122">
        <row r="5">
          <cell r="N5">
            <v>20</v>
          </cell>
        </row>
      </sheetData>
      <sheetData sheetId="123">
        <row r="5">
          <cell r="N5">
            <v>20</v>
          </cell>
        </row>
      </sheetData>
      <sheetData sheetId="124">
        <row r="5">
          <cell r="N5">
            <v>20</v>
          </cell>
        </row>
      </sheetData>
      <sheetData sheetId="125">
        <row r="5">
          <cell r="N5">
            <v>20</v>
          </cell>
        </row>
      </sheetData>
      <sheetData sheetId="126">
        <row r="5">
          <cell r="N5">
            <v>20</v>
          </cell>
        </row>
      </sheetData>
      <sheetData sheetId="127">
        <row r="5">
          <cell r="N5">
            <v>20</v>
          </cell>
        </row>
      </sheetData>
      <sheetData sheetId="128">
        <row r="5">
          <cell r="N5">
            <v>20</v>
          </cell>
        </row>
      </sheetData>
      <sheetData sheetId="129">
        <row r="5">
          <cell r="N5">
            <v>20</v>
          </cell>
        </row>
      </sheetData>
      <sheetData sheetId="130">
        <row r="5">
          <cell r="N5">
            <v>20</v>
          </cell>
        </row>
      </sheetData>
      <sheetData sheetId="131">
        <row r="5">
          <cell r="N5">
            <v>20</v>
          </cell>
        </row>
      </sheetData>
      <sheetData sheetId="132">
        <row r="5">
          <cell r="N5">
            <v>20</v>
          </cell>
        </row>
      </sheetData>
      <sheetData sheetId="133">
        <row r="5">
          <cell r="N5">
            <v>20</v>
          </cell>
        </row>
      </sheetData>
      <sheetData sheetId="134">
        <row r="5">
          <cell r="N5">
            <v>20</v>
          </cell>
        </row>
      </sheetData>
      <sheetData sheetId="135">
        <row r="5">
          <cell r="N5">
            <v>20</v>
          </cell>
        </row>
      </sheetData>
      <sheetData sheetId="136">
        <row r="5">
          <cell r="N5">
            <v>20</v>
          </cell>
        </row>
      </sheetData>
      <sheetData sheetId="137">
        <row r="5">
          <cell r="N5">
            <v>20</v>
          </cell>
        </row>
      </sheetData>
      <sheetData sheetId="138">
        <row r="5">
          <cell r="N5">
            <v>20</v>
          </cell>
        </row>
      </sheetData>
      <sheetData sheetId="139">
        <row r="5">
          <cell r="N5">
            <v>20</v>
          </cell>
        </row>
      </sheetData>
      <sheetData sheetId="140">
        <row r="5">
          <cell r="N5">
            <v>20</v>
          </cell>
        </row>
      </sheetData>
      <sheetData sheetId="141">
        <row r="5">
          <cell r="N5">
            <v>20</v>
          </cell>
        </row>
      </sheetData>
      <sheetData sheetId="142">
        <row r="5">
          <cell r="N5">
            <v>20</v>
          </cell>
        </row>
      </sheetData>
      <sheetData sheetId="143">
        <row r="5">
          <cell r="N5">
            <v>20</v>
          </cell>
        </row>
      </sheetData>
      <sheetData sheetId="144">
        <row r="5">
          <cell r="N5">
            <v>20</v>
          </cell>
        </row>
      </sheetData>
      <sheetData sheetId="145">
        <row r="5">
          <cell r="N5">
            <v>20</v>
          </cell>
        </row>
      </sheetData>
      <sheetData sheetId="146">
        <row r="5">
          <cell r="N5">
            <v>20</v>
          </cell>
        </row>
      </sheetData>
      <sheetData sheetId="147">
        <row r="5">
          <cell r="N5">
            <v>20</v>
          </cell>
        </row>
      </sheetData>
      <sheetData sheetId="148">
        <row r="5">
          <cell r="N5">
            <v>20</v>
          </cell>
        </row>
      </sheetData>
      <sheetData sheetId="149">
        <row r="5">
          <cell r="N5">
            <v>20</v>
          </cell>
        </row>
      </sheetData>
      <sheetData sheetId="150">
        <row r="5">
          <cell r="N5">
            <v>20</v>
          </cell>
        </row>
      </sheetData>
      <sheetData sheetId="151">
        <row r="5">
          <cell r="N5">
            <v>20</v>
          </cell>
        </row>
      </sheetData>
      <sheetData sheetId="152">
        <row r="5">
          <cell r="N5">
            <v>20</v>
          </cell>
        </row>
      </sheetData>
      <sheetData sheetId="153">
        <row r="5">
          <cell r="N5">
            <v>20</v>
          </cell>
        </row>
      </sheetData>
      <sheetData sheetId="154">
        <row r="5">
          <cell r="N5">
            <v>20</v>
          </cell>
        </row>
      </sheetData>
      <sheetData sheetId="155">
        <row r="5">
          <cell r="N5">
            <v>20</v>
          </cell>
        </row>
      </sheetData>
      <sheetData sheetId="156">
        <row r="5">
          <cell r="N5">
            <v>20</v>
          </cell>
        </row>
      </sheetData>
      <sheetData sheetId="157">
        <row r="5">
          <cell r="N5">
            <v>20</v>
          </cell>
        </row>
      </sheetData>
      <sheetData sheetId="158">
        <row r="5">
          <cell r="N5">
            <v>20</v>
          </cell>
        </row>
      </sheetData>
      <sheetData sheetId="159">
        <row r="5">
          <cell r="N5">
            <v>20</v>
          </cell>
        </row>
      </sheetData>
      <sheetData sheetId="160">
        <row r="5">
          <cell r="N5">
            <v>20</v>
          </cell>
        </row>
      </sheetData>
      <sheetData sheetId="161">
        <row r="5">
          <cell r="N5">
            <v>20</v>
          </cell>
        </row>
      </sheetData>
      <sheetData sheetId="162">
        <row r="5">
          <cell r="N5">
            <v>20</v>
          </cell>
        </row>
      </sheetData>
      <sheetData sheetId="163">
        <row r="5">
          <cell r="N5">
            <v>20</v>
          </cell>
        </row>
      </sheetData>
      <sheetData sheetId="164">
        <row r="5">
          <cell r="N5">
            <v>20</v>
          </cell>
        </row>
      </sheetData>
      <sheetData sheetId="165">
        <row r="5">
          <cell r="N5">
            <v>20</v>
          </cell>
        </row>
      </sheetData>
      <sheetData sheetId="166">
        <row r="5">
          <cell r="N5">
            <v>20</v>
          </cell>
        </row>
      </sheetData>
      <sheetData sheetId="167">
        <row r="5">
          <cell r="N5">
            <v>20</v>
          </cell>
        </row>
      </sheetData>
      <sheetData sheetId="168">
        <row r="5">
          <cell r="N5">
            <v>20</v>
          </cell>
        </row>
      </sheetData>
      <sheetData sheetId="169">
        <row r="5">
          <cell r="N5">
            <v>20</v>
          </cell>
        </row>
      </sheetData>
      <sheetData sheetId="170">
        <row r="5">
          <cell r="N5">
            <v>20</v>
          </cell>
        </row>
      </sheetData>
      <sheetData sheetId="171">
        <row r="5">
          <cell r="N5">
            <v>20</v>
          </cell>
        </row>
      </sheetData>
      <sheetData sheetId="172">
        <row r="5">
          <cell r="N5">
            <v>20</v>
          </cell>
        </row>
      </sheetData>
      <sheetData sheetId="173">
        <row r="5">
          <cell r="N5">
            <v>20</v>
          </cell>
        </row>
      </sheetData>
      <sheetData sheetId="174">
        <row r="5">
          <cell r="N5">
            <v>20</v>
          </cell>
        </row>
      </sheetData>
      <sheetData sheetId="175">
        <row r="5">
          <cell r="N5">
            <v>20</v>
          </cell>
        </row>
      </sheetData>
      <sheetData sheetId="176">
        <row r="5">
          <cell r="N5">
            <v>20</v>
          </cell>
        </row>
      </sheetData>
      <sheetData sheetId="177">
        <row r="5">
          <cell r="N5">
            <v>20</v>
          </cell>
        </row>
      </sheetData>
      <sheetData sheetId="178">
        <row r="5">
          <cell r="N5">
            <v>20</v>
          </cell>
        </row>
      </sheetData>
      <sheetData sheetId="179">
        <row r="5">
          <cell r="N5">
            <v>20</v>
          </cell>
        </row>
      </sheetData>
      <sheetData sheetId="180">
        <row r="5">
          <cell r="N5">
            <v>20</v>
          </cell>
        </row>
      </sheetData>
      <sheetData sheetId="181">
        <row r="5">
          <cell r="N5">
            <v>20</v>
          </cell>
        </row>
      </sheetData>
      <sheetData sheetId="182">
        <row r="5">
          <cell r="N5">
            <v>20</v>
          </cell>
        </row>
      </sheetData>
      <sheetData sheetId="183">
        <row r="5">
          <cell r="N5">
            <v>20</v>
          </cell>
        </row>
      </sheetData>
      <sheetData sheetId="184">
        <row r="5">
          <cell r="N5">
            <v>20</v>
          </cell>
        </row>
      </sheetData>
      <sheetData sheetId="185">
        <row r="5">
          <cell r="N5">
            <v>20</v>
          </cell>
        </row>
      </sheetData>
      <sheetData sheetId="186">
        <row r="5">
          <cell r="N5">
            <v>20</v>
          </cell>
        </row>
      </sheetData>
      <sheetData sheetId="187">
        <row r="5">
          <cell r="N5">
            <v>20</v>
          </cell>
        </row>
      </sheetData>
      <sheetData sheetId="188">
        <row r="5">
          <cell r="N5">
            <v>20</v>
          </cell>
        </row>
      </sheetData>
      <sheetData sheetId="189">
        <row r="5">
          <cell r="N5">
            <v>20</v>
          </cell>
        </row>
      </sheetData>
      <sheetData sheetId="190">
        <row r="5">
          <cell r="N5">
            <v>20</v>
          </cell>
        </row>
      </sheetData>
      <sheetData sheetId="191">
        <row r="5">
          <cell r="N5">
            <v>20</v>
          </cell>
        </row>
      </sheetData>
      <sheetData sheetId="192">
        <row r="5">
          <cell r="N5">
            <v>20</v>
          </cell>
        </row>
      </sheetData>
      <sheetData sheetId="193">
        <row r="5">
          <cell r="N5">
            <v>20</v>
          </cell>
        </row>
      </sheetData>
      <sheetData sheetId="194">
        <row r="5">
          <cell r="N5">
            <v>20</v>
          </cell>
        </row>
      </sheetData>
      <sheetData sheetId="195">
        <row r="5">
          <cell r="N5">
            <v>20</v>
          </cell>
        </row>
      </sheetData>
      <sheetData sheetId="196">
        <row r="5">
          <cell r="N5">
            <v>20</v>
          </cell>
        </row>
      </sheetData>
      <sheetData sheetId="197">
        <row r="5">
          <cell r="N5">
            <v>20</v>
          </cell>
        </row>
      </sheetData>
      <sheetData sheetId="198">
        <row r="5">
          <cell r="N5">
            <v>20</v>
          </cell>
        </row>
      </sheetData>
      <sheetData sheetId="199">
        <row r="5">
          <cell r="N5">
            <v>20</v>
          </cell>
        </row>
      </sheetData>
      <sheetData sheetId="200">
        <row r="5">
          <cell r="N5">
            <v>20</v>
          </cell>
        </row>
      </sheetData>
      <sheetData sheetId="201">
        <row r="5">
          <cell r="N5">
            <v>20</v>
          </cell>
        </row>
      </sheetData>
      <sheetData sheetId="202">
        <row r="5">
          <cell r="N5">
            <v>20</v>
          </cell>
        </row>
      </sheetData>
      <sheetData sheetId="203">
        <row r="5">
          <cell r="N5">
            <v>20</v>
          </cell>
        </row>
      </sheetData>
      <sheetData sheetId="204">
        <row r="5">
          <cell r="N5">
            <v>20</v>
          </cell>
        </row>
      </sheetData>
      <sheetData sheetId="205">
        <row r="5">
          <cell r="N5">
            <v>20</v>
          </cell>
        </row>
      </sheetData>
      <sheetData sheetId="206">
        <row r="5">
          <cell r="N5">
            <v>20</v>
          </cell>
        </row>
      </sheetData>
      <sheetData sheetId="207">
        <row r="5">
          <cell r="N5">
            <v>20</v>
          </cell>
        </row>
      </sheetData>
      <sheetData sheetId="208">
        <row r="5">
          <cell r="N5">
            <v>20</v>
          </cell>
        </row>
      </sheetData>
      <sheetData sheetId="209">
        <row r="5">
          <cell r="N5">
            <v>20</v>
          </cell>
        </row>
      </sheetData>
      <sheetData sheetId="210">
        <row r="5">
          <cell r="N5">
            <v>20</v>
          </cell>
        </row>
      </sheetData>
      <sheetData sheetId="211">
        <row r="5">
          <cell r="N5">
            <v>20</v>
          </cell>
        </row>
      </sheetData>
      <sheetData sheetId="212">
        <row r="5">
          <cell r="N5">
            <v>20</v>
          </cell>
        </row>
      </sheetData>
      <sheetData sheetId="213">
        <row r="5">
          <cell r="N5">
            <v>20</v>
          </cell>
        </row>
      </sheetData>
      <sheetData sheetId="214">
        <row r="5">
          <cell r="N5">
            <v>20</v>
          </cell>
        </row>
      </sheetData>
      <sheetData sheetId="215">
        <row r="5">
          <cell r="N5">
            <v>20</v>
          </cell>
        </row>
      </sheetData>
      <sheetData sheetId="216">
        <row r="5">
          <cell r="N5">
            <v>20</v>
          </cell>
        </row>
      </sheetData>
      <sheetData sheetId="217">
        <row r="5">
          <cell r="N5">
            <v>20</v>
          </cell>
        </row>
      </sheetData>
      <sheetData sheetId="218">
        <row r="5">
          <cell r="N5">
            <v>20</v>
          </cell>
        </row>
      </sheetData>
      <sheetData sheetId="219">
        <row r="5">
          <cell r="N5">
            <v>20</v>
          </cell>
        </row>
      </sheetData>
      <sheetData sheetId="220">
        <row r="5">
          <cell r="N5">
            <v>20</v>
          </cell>
        </row>
      </sheetData>
      <sheetData sheetId="221">
        <row r="5">
          <cell r="N5">
            <v>20</v>
          </cell>
        </row>
      </sheetData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>
        <row r="5">
          <cell r="N5">
            <v>20</v>
          </cell>
        </row>
      </sheetData>
      <sheetData sheetId="230">
        <row r="5">
          <cell r="N5">
            <v>20</v>
          </cell>
        </row>
      </sheetData>
      <sheetData sheetId="231">
        <row r="5">
          <cell r="N5">
            <v>20</v>
          </cell>
        </row>
      </sheetData>
      <sheetData sheetId="232">
        <row r="5">
          <cell r="N5">
            <v>20</v>
          </cell>
        </row>
      </sheetData>
      <sheetData sheetId="233">
        <row r="5">
          <cell r="N5">
            <v>20</v>
          </cell>
        </row>
      </sheetData>
      <sheetData sheetId="234">
        <row r="5">
          <cell r="N5">
            <v>20</v>
          </cell>
        </row>
      </sheetData>
      <sheetData sheetId="235">
        <row r="5">
          <cell r="N5">
            <v>20</v>
          </cell>
        </row>
      </sheetData>
      <sheetData sheetId="236">
        <row r="5">
          <cell r="N5">
            <v>20</v>
          </cell>
        </row>
      </sheetData>
      <sheetData sheetId="237">
        <row r="5">
          <cell r="N5">
            <v>20</v>
          </cell>
        </row>
      </sheetData>
      <sheetData sheetId="238">
        <row r="5">
          <cell r="N5">
            <v>20</v>
          </cell>
        </row>
      </sheetData>
      <sheetData sheetId="239">
        <row r="5">
          <cell r="N5">
            <v>20</v>
          </cell>
        </row>
      </sheetData>
      <sheetData sheetId="240">
        <row r="5">
          <cell r="N5">
            <v>20</v>
          </cell>
        </row>
      </sheetData>
      <sheetData sheetId="241">
        <row r="5">
          <cell r="N5">
            <v>20</v>
          </cell>
        </row>
      </sheetData>
      <sheetData sheetId="242">
        <row r="5">
          <cell r="N5">
            <v>20</v>
          </cell>
        </row>
      </sheetData>
      <sheetData sheetId="243">
        <row r="5">
          <cell r="N5">
            <v>20</v>
          </cell>
        </row>
      </sheetData>
      <sheetData sheetId="244">
        <row r="5">
          <cell r="N5">
            <v>20</v>
          </cell>
        </row>
      </sheetData>
      <sheetData sheetId="245">
        <row r="5">
          <cell r="N5">
            <v>20</v>
          </cell>
        </row>
      </sheetData>
      <sheetData sheetId="246">
        <row r="5">
          <cell r="N5">
            <v>20</v>
          </cell>
        </row>
      </sheetData>
      <sheetData sheetId="247">
        <row r="5">
          <cell r="N5">
            <v>20</v>
          </cell>
        </row>
      </sheetData>
      <sheetData sheetId="248">
        <row r="5">
          <cell r="N5">
            <v>20</v>
          </cell>
        </row>
      </sheetData>
      <sheetData sheetId="249">
        <row r="5">
          <cell r="N5">
            <v>20</v>
          </cell>
        </row>
      </sheetData>
      <sheetData sheetId="250">
        <row r="5">
          <cell r="N5">
            <v>20</v>
          </cell>
        </row>
      </sheetData>
      <sheetData sheetId="251">
        <row r="5">
          <cell r="N5">
            <v>20</v>
          </cell>
        </row>
      </sheetData>
      <sheetData sheetId="252">
        <row r="5">
          <cell r="N5">
            <v>20</v>
          </cell>
        </row>
      </sheetData>
      <sheetData sheetId="253">
        <row r="5">
          <cell r="N5">
            <v>20</v>
          </cell>
        </row>
      </sheetData>
      <sheetData sheetId="254">
        <row r="5">
          <cell r="N5">
            <v>20</v>
          </cell>
        </row>
      </sheetData>
      <sheetData sheetId="255">
        <row r="5">
          <cell r="N5">
            <v>20</v>
          </cell>
        </row>
      </sheetData>
      <sheetData sheetId="256">
        <row r="5">
          <cell r="N5">
            <v>20</v>
          </cell>
        </row>
      </sheetData>
      <sheetData sheetId="257">
        <row r="5">
          <cell r="N5">
            <v>20</v>
          </cell>
        </row>
      </sheetData>
      <sheetData sheetId="258">
        <row r="5">
          <cell r="N5">
            <v>20</v>
          </cell>
        </row>
      </sheetData>
      <sheetData sheetId="259">
        <row r="5">
          <cell r="N5">
            <v>20</v>
          </cell>
        </row>
      </sheetData>
      <sheetData sheetId="260">
        <row r="5">
          <cell r="N5">
            <v>20</v>
          </cell>
        </row>
      </sheetData>
      <sheetData sheetId="261">
        <row r="5">
          <cell r="N5">
            <v>20</v>
          </cell>
        </row>
      </sheetData>
      <sheetData sheetId="262">
        <row r="5">
          <cell r="N5">
            <v>20</v>
          </cell>
        </row>
      </sheetData>
      <sheetData sheetId="263">
        <row r="5">
          <cell r="N5">
            <v>20</v>
          </cell>
        </row>
      </sheetData>
      <sheetData sheetId="264">
        <row r="5">
          <cell r="N5">
            <v>20</v>
          </cell>
        </row>
      </sheetData>
      <sheetData sheetId="265">
        <row r="5">
          <cell r="N5">
            <v>20</v>
          </cell>
        </row>
      </sheetData>
      <sheetData sheetId="266">
        <row r="5">
          <cell r="N5">
            <v>20</v>
          </cell>
        </row>
      </sheetData>
      <sheetData sheetId="267">
        <row r="5">
          <cell r="N5">
            <v>20</v>
          </cell>
        </row>
      </sheetData>
      <sheetData sheetId="268">
        <row r="5">
          <cell r="N5">
            <v>20</v>
          </cell>
        </row>
      </sheetData>
      <sheetData sheetId="269">
        <row r="5">
          <cell r="N5">
            <v>20</v>
          </cell>
        </row>
      </sheetData>
      <sheetData sheetId="270">
        <row r="5">
          <cell r="N5">
            <v>20</v>
          </cell>
        </row>
      </sheetData>
      <sheetData sheetId="271">
        <row r="5">
          <cell r="N5">
            <v>20</v>
          </cell>
        </row>
      </sheetData>
      <sheetData sheetId="272">
        <row r="5">
          <cell r="N5">
            <v>20</v>
          </cell>
        </row>
      </sheetData>
      <sheetData sheetId="273">
        <row r="5">
          <cell r="N5">
            <v>20</v>
          </cell>
        </row>
      </sheetData>
      <sheetData sheetId="274">
        <row r="5">
          <cell r="N5">
            <v>20</v>
          </cell>
        </row>
      </sheetData>
      <sheetData sheetId="275">
        <row r="5">
          <cell r="N5">
            <v>20</v>
          </cell>
        </row>
      </sheetData>
      <sheetData sheetId="276">
        <row r="5">
          <cell r="N5">
            <v>20</v>
          </cell>
        </row>
      </sheetData>
      <sheetData sheetId="277">
        <row r="5">
          <cell r="N5">
            <v>20</v>
          </cell>
        </row>
      </sheetData>
      <sheetData sheetId="278">
        <row r="5">
          <cell r="N5">
            <v>20</v>
          </cell>
        </row>
      </sheetData>
      <sheetData sheetId="279">
        <row r="5">
          <cell r="N5">
            <v>20</v>
          </cell>
        </row>
      </sheetData>
      <sheetData sheetId="280">
        <row r="5">
          <cell r="N5">
            <v>20</v>
          </cell>
        </row>
      </sheetData>
      <sheetData sheetId="281">
        <row r="5">
          <cell r="N5">
            <v>20</v>
          </cell>
        </row>
      </sheetData>
      <sheetData sheetId="282">
        <row r="5">
          <cell r="N5">
            <v>20</v>
          </cell>
        </row>
      </sheetData>
      <sheetData sheetId="283"/>
      <sheetData sheetId="284">
        <row r="5">
          <cell r="N5">
            <v>20</v>
          </cell>
        </row>
      </sheetData>
      <sheetData sheetId="285">
        <row r="5">
          <cell r="N5">
            <v>20</v>
          </cell>
        </row>
      </sheetData>
      <sheetData sheetId="286">
        <row r="5">
          <cell r="N5">
            <v>20</v>
          </cell>
        </row>
      </sheetData>
      <sheetData sheetId="287"/>
      <sheetData sheetId="288">
        <row r="5">
          <cell r="N5">
            <v>20</v>
          </cell>
        </row>
      </sheetData>
      <sheetData sheetId="289">
        <row r="5">
          <cell r="N5">
            <v>20</v>
          </cell>
        </row>
      </sheetData>
      <sheetData sheetId="290">
        <row r="5">
          <cell r="N5">
            <v>20</v>
          </cell>
        </row>
      </sheetData>
      <sheetData sheetId="291"/>
      <sheetData sheetId="292">
        <row r="5">
          <cell r="N5">
            <v>20</v>
          </cell>
        </row>
      </sheetData>
      <sheetData sheetId="293"/>
      <sheetData sheetId="294"/>
      <sheetData sheetId="295"/>
      <sheetData sheetId="296">
        <row r="5">
          <cell r="N5">
            <v>20</v>
          </cell>
        </row>
      </sheetData>
      <sheetData sheetId="297"/>
      <sheetData sheetId="298"/>
      <sheetData sheetId="299"/>
      <sheetData sheetId="300">
        <row r="5">
          <cell r="N5">
            <v>20</v>
          </cell>
        </row>
      </sheetData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>
        <row r="5">
          <cell r="N5">
            <v>20</v>
          </cell>
        </row>
      </sheetData>
      <sheetData sheetId="326">
        <row r="5">
          <cell r="N5">
            <v>20</v>
          </cell>
        </row>
      </sheetData>
      <sheetData sheetId="327">
        <row r="5">
          <cell r="N5">
            <v>20</v>
          </cell>
        </row>
      </sheetData>
      <sheetData sheetId="328">
        <row r="5">
          <cell r="N5">
            <v>20</v>
          </cell>
        </row>
      </sheetData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14">
          <cell r="EK14" t="str">
            <v>SP-01-1</v>
          </cell>
        </row>
      </sheetData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ontent"/>
      <sheetName val="Project Outline"/>
      <sheetName val="주요공사"/>
      <sheetName val="Contractual Amount"/>
      <sheetName val="시헹예산"/>
      <sheetName val="TENDER vs BUDGET"/>
      <sheetName val="직영 vs 하청 - 2"/>
      <sheetName val="96 당초Schedule"/>
      <sheetName val="96 Performance"/>
      <sheetName val="소화-투입 분석표"/>
      <sheetName val="STF ORG(K)"/>
      <sheetName val="Staff Org. Chart"/>
      <sheetName val="Scope of Work"/>
      <sheetName val="Design Status"/>
      <sheetName val="DWG Status"/>
      <sheetName val="MAT'L Status"/>
      <sheetName val="장비동원"/>
      <sheetName val="근로자동원"/>
      <sheetName val="Install Status"/>
      <sheetName val="Staff Mob. Plan"/>
      <sheetName val="M.P Mob. Plan"/>
      <sheetName val="Eq. Mobilization"/>
      <sheetName val="일위대가"/>
      <sheetName val="전열면적"/>
      <sheetName val="SEPARATOR"/>
      <sheetName val="2000년1차"/>
      <sheetName val="M-EQPT-Z"/>
      <sheetName val="REPORT07"/>
      <sheetName val="단가집"/>
      <sheetName val="BM "/>
      <sheetName val="DWG LIST"/>
      <sheetName val="자격 땡겨오기"/>
      <sheetName val="VAE264_VALVES"/>
      <sheetName val="5.소재"/>
      <sheetName val="소화실적"/>
      <sheetName val="현장지지물물량"/>
      <sheetName val="sheet1"/>
      <sheetName val="당초"/>
      <sheetName val="실행예산SHEET도장재검토"/>
      <sheetName val="MOB-MAN1"/>
      <sheetName val="예제"/>
      <sheetName val="기준표"/>
      <sheetName val="규격"/>
      <sheetName val="노점수분"/>
      <sheetName val="견적기준"/>
      <sheetName val="자재사용현황"/>
      <sheetName val="w't table"/>
      <sheetName val="INDEX"/>
      <sheetName val="DI-ESTI"/>
      <sheetName val="NYS"/>
      <sheetName val="KH-Q1,Q2,01"/>
      <sheetName val="CAT_5"/>
      <sheetName val="#REF"/>
      <sheetName val=""/>
      <sheetName val="TTL"/>
      <sheetName val="성광벤드"/>
      <sheetName val="GRP PIPING"/>
      <sheetName val="P-LIST"/>
      <sheetName val="물가자료"/>
      <sheetName val="WE'T"/>
      <sheetName val="REDUCER"/>
      <sheetName val="Summary"/>
      <sheetName val="BM"/>
      <sheetName val="B101"/>
      <sheetName val="카메라"/>
      <sheetName val="COA-17"/>
      <sheetName val="C-18"/>
      <sheetName val="임율 Data"/>
      <sheetName val="kich thuoc"/>
      <sheetName val="DTHH"/>
      <sheetName val="REV 4"/>
      <sheetName val="COL"/>
      <sheetName val="Sheet5"/>
      <sheetName val="BEND LOSS"/>
      <sheetName val="FM"/>
      <sheetName val="내역서"/>
      <sheetName val="노임단가"/>
      <sheetName val="품셈표"/>
      <sheetName val="추가예산"/>
      <sheetName val="간접비 총괄표"/>
      <sheetName val="ﾀｰﾋﾞﾝ"/>
      <sheetName val="Setup"/>
      <sheetName val="Cover_Sheet"/>
      <sheetName val="Project_Outline"/>
      <sheetName val="Contractual_Amount"/>
      <sheetName val="TENDER_vs_BUDGET"/>
      <sheetName val="직영_vs_하청_-_2"/>
      <sheetName val="96_당초Schedule"/>
      <sheetName val="96_Performance"/>
      <sheetName val="소화-투입_분석표"/>
      <sheetName val="STF_ORG(K)"/>
      <sheetName val="Staff_Org__Chart"/>
      <sheetName val="Scope_of_Work"/>
      <sheetName val="Design_Status"/>
      <sheetName val="DWG_Status"/>
      <sheetName val="MAT'L_Status"/>
      <sheetName val="Install_Status"/>
      <sheetName val="Staff_Mob__Plan"/>
      <sheetName val="M_P_Mob__Plan"/>
      <sheetName val="Eq__Mobilization"/>
      <sheetName val="BM_"/>
      <sheetName val="DWG_LIST"/>
      <sheetName val="자격_땡겨오기"/>
      <sheetName val="5_소재"/>
      <sheetName val="w't_table"/>
      <sheetName val="임율_Data"/>
      <sheetName val="GRP_PIPING"/>
      <sheetName val="REV_4"/>
      <sheetName val="BEND_LOSS"/>
      <sheetName val="SPARE PART"/>
      <sheetName val="연환"/>
      <sheetName val="부서코드표"/>
      <sheetName val="WXY"/>
      <sheetName val="입찰안"/>
      <sheetName val="CAUDIT"/>
      <sheetName val="골재산출"/>
      <sheetName val="http___www35_daum_net_WIN98_T_2"/>
      <sheetName val="Lists"/>
      <sheetName val="CI "/>
      <sheetName val="CI"/>
      <sheetName val="골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 refreshError="1"/>
      <sheetData sheetId="119" refreshError="1"/>
      <sheetData sheetId="120" refreshError="1"/>
      <sheetData sheetId="1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I"/>
      <sheetName val="Break Down CI"/>
      <sheetName val="PL(1_2)"/>
      <sheetName val="PL(2_2)"/>
      <sheetName val="Detailed PL"/>
      <sheetName val="SHIPPING MARK"/>
      <sheetName val="SHIPPING MARK1"/>
      <sheetName val="SHIPPING MARK2"/>
    </sheetNames>
    <sheetDataSet>
      <sheetData sheetId="0" refreshError="1">
        <row r="8">
          <cell r="G8" t="str">
            <v>DATE:</v>
          </cell>
        </row>
        <row r="9">
          <cell r="G9" t="str">
            <v>SHIPPING MARK</v>
          </cell>
        </row>
        <row r="26">
          <cell r="B26" t="str">
            <v>Address: O Mon Power Complex at Phuoc Thoi wards, O Mon district, Can Tho city</v>
          </cell>
        </row>
        <row r="28">
          <cell r="B28" t="str">
            <v>PLANT/ EQUIPMENT AND MATERIALS FOR O MON IV THERMAL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  <pageSetUpPr fitToPage="1"/>
  </sheetPr>
  <dimension ref="B1:AN23"/>
  <sheetViews>
    <sheetView showGridLines="0" tabSelected="1" view="pageBreakPreview" zoomScale="80" zoomScaleNormal="100" zoomScaleSheetLayoutView="80" workbookViewId="0">
      <selection activeCell="B4" sqref="B4:U4"/>
    </sheetView>
  </sheetViews>
  <sheetFormatPr defaultColWidth="8.76953125" defaultRowHeight="18" customHeight="1"/>
  <cols>
    <col min="1" max="1" width="1.05078125" style="6" customWidth="1"/>
    <col min="2" max="2" width="3.625" style="2" customWidth="1"/>
    <col min="3" max="3" width="21.1640625" style="16" customWidth="1"/>
    <col min="4" max="4" width="32.39453125" style="33" bestFit="1" customWidth="1"/>
    <col min="5" max="5" width="21.75" style="26" customWidth="1"/>
    <col min="6" max="6" width="14.265625" style="2" customWidth="1"/>
    <col min="7" max="7" width="21.75" style="26" customWidth="1"/>
    <col min="8" max="8" width="9.703125" style="53" customWidth="1"/>
    <col min="9" max="9" width="7.015625" style="35" customWidth="1"/>
    <col min="10" max="10" width="5.26171875" style="53" customWidth="1"/>
    <col min="11" max="11" width="7.6015625" style="53" customWidth="1"/>
    <col min="12" max="14" width="6.3125" style="53" customWidth="1"/>
    <col min="15" max="15" width="7.25" style="27" customWidth="1"/>
    <col min="16" max="17" width="8.88671875" style="53" customWidth="1"/>
    <col min="18" max="18" width="8.53515625" style="53" customWidth="1"/>
    <col min="19" max="19" width="10.0546875" style="2" customWidth="1"/>
    <col min="20" max="20" width="6.8984375" style="2" customWidth="1"/>
    <col min="21" max="21" width="6.6640625" style="28" customWidth="1"/>
    <col min="22" max="22" width="1.05078125" style="4" customWidth="1"/>
    <col min="23" max="27" width="8.76953125" style="5" customWidth="1"/>
    <col min="28" max="28" width="7.3671875" style="5" bestFit="1" customWidth="1"/>
    <col min="29" max="29" width="8.76953125" style="5" customWidth="1"/>
    <col min="30" max="35" width="8.76953125" style="6" customWidth="1"/>
    <col min="36" max="40" width="8.76953125" style="5"/>
    <col min="41" max="16384" width="8.76953125" style="6"/>
  </cols>
  <sheetData>
    <row r="1" spans="2:40" ht="9" customHeight="1"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</row>
    <row r="2" spans="2:40" ht="26.1" customHeight="1">
      <c r="B2" s="58"/>
      <c r="C2" s="53"/>
      <c r="D2" s="16"/>
      <c r="E2" s="53"/>
      <c r="F2" s="6"/>
      <c r="G2" s="53"/>
      <c r="I2" s="32"/>
      <c r="J2" s="7"/>
      <c r="K2" s="7"/>
      <c r="L2" s="7"/>
      <c r="M2" s="8"/>
      <c r="N2" s="9"/>
      <c r="O2" s="58"/>
      <c r="P2" s="58"/>
      <c r="Q2" s="58"/>
      <c r="R2" s="58"/>
      <c r="S2" s="58"/>
      <c r="T2" s="6"/>
      <c r="U2" s="6"/>
      <c r="V2" s="6"/>
      <c r="W2" s="6"/>
      <c r="X2" s="6"/>
      <c r="Y2" s="6"/>
      <c r="Z2" s="6"/>
      <c r="AA2" s="6"/>
      <c r="AB2" s="6"/>
      <c r="AC2" s="6"/>
      <c r="AJ2" s="6"/>
      <c r="AK2" s="6"/>
      <c r="AL2" s="6"/>
      <c r="AM2" s="6"/>
      <c r="AN2" s="6"/>
    </row>
    <row r="3" spans="2:40" ht="27.6" customHeight="1" thickBot="1">
      <c r="B3" s="58"/>
      <c r="C3" s="75" t="s">
        <v>0</v>
      </c>
      <c r="D3" s="75"/>
      <c r="E3" s="75"/>
      <c r="F3" s="75"/>
      <c r="G3" s="75"/>
      <c r="H3" s="75"/>
      <c r="I3" s="75"/>
      <c r="J3" s="75"/>
      <c r="K3" s="75"/>
      <c r="L3" s="7"/>
      <c r="M3" s="8"/>
      <c r="N3" s="9"/>
      <c r="O3" s="10"/>
      <c r="P3" s="58"/>
      <c r="Q3" s="58"/>
      <c r="R3" s="58"/>
      <c r="S3" s="58"/>
      <c r="T3" s="6"/>
      <c r="U3" s="6"/>
      <c r="V3" s="6"/>
      <c r="W3" s="6"/>
      <c r="X3" s="6"/>
      <c r="Y3" s="6"/>
      <c r="Z3" s="6"/>
      <c r="AA3" s="6"/>
      <c r="AB3" s="6"/>
      <c r="AC3" s="6"/>
      <c r="AJ3" s="6"/>
      <c r="AK3" s="6"/>
      <c r="AL3" s="6"/>
      <c r="AM3" s="6"/>
      <c r="AN3" s="6"/>
    </row>
    <row r="4" spans="2:40" ht="33.75" customHeight="1" thickTop="1" thickBot="1">
      <c r="B4" s="76" t="s">
        <v>48</v>
      </c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8"/>
    </row>
    <row r="5" spans="2:40" s="53" customFormat="1" ht="17.25" customHeight="1" thickTop="1">
      <c r="B5" s="2"/>
      <c r="C5" s="11" t="s">
        <v>49</v>
      </c>
      <c r="D5" s="12" t="e">
        <f>#REF!</f>
        <v>#REF!</v>
      </c>
      <c r="F5" s="14"/>
      <c r="H5" s="2"/>
      <c r="I5" s="33"/>
      <c r="J5" s="2"/>
      <c r="K5" s="2"/>
      <c r="L5" s="2"/>
      <c r="M5" s="2"/>
      <c r="N5" s="2"/>
      <c r="O5" s="13"/>
      <c r="P5" s="2"/>
      <c r="Q5" s="2"/>
      <c r="R5" s="2"/>
      <c r="S5" s="14"/>
      <c r="T5" s="2"/>
      <c r="U5" s="2"/>
      <c r="V5" s="15"/>
      <c r="AJ5" s="2"/>
      <c r="AK5" s="2"/>
      <c r="AL5" s="2"/>
      <c r="AM5" s="2"/>
      <c r="AN5" s="2"/>
    </row>
    <row r="6" spans="2:40" s="53" customFormat="1" ht="17.25" customHeight="1">
      <c r="B6" s="2"/>
      <c r="C6" s="11" t="s">
        <v>3</v>
      </c>
      <c r="D6" s="29" t="e">
        <f>#REF!</f>
        <v>#REF!</v>
      </c>
      <c r="F6" s="2"/>
      <c r="H6" s="2"/>
      <c r="I6" s="34"/>
      <c r="J6" s="16" t="s">
        <v>4</v>
      </c>
      <c r="K6" s="2"/>
      <c r="L6" s="2"/>
      <c r="M6" s="2"/>
      <c r="N6" s="2"/>
      <c r="O6" s="17" t="s">
        <v>5</v>
      </c>
      <c r="P6" s="2"/>
      <c r="Q6" s="2"/>
      <c r="R6" s="2"/>
      <c r="S6" s="2"/>
      <c r="T6" s="2"/>
      <c r="U6" s="2"/>
      <c r="V6" s="15"/>
      <c r="AJ6" s="2"/>
      <c r="AK6" s="2"/>
      <c r="AL6" s="2"/>
      <c r="AM6" s="2"/>
      <c r="AN6" s="2"/>
    </row>
    <row r="7" spans="2:40" s="53" customFormat="1" ht="17.25" customHeight="1">
      <c r="B7" s="2"/>
      <c r="C7" s="11" t="s">
        <v>6</v>
      </c>
      <c r="D7" s="30" t="e">
        <f>#REF!</f>
        <v>#REF!</v>
      </c>
      <c r="F7" s="2"/>
      <c r="H7" s="2"/>
      <c r="I7" s="34"/>
      <c r="J7" s="1" t="s">
        <v>7</v>
      </c>
      <c r="K7" s="16" t="s">
        <v>8</v>
      </c>
      <c r="L7" s="2"/>
      <c r="M7" s="2"/>
      <c r="N7" s="2"/>
      <c r="O7" s="18"/>
      <c r="P7" s="57" t="s">
        <v>66</v>
      </c>
      <c r="Q7" s="57" t="s">
        <v>67</v>
      </c>
      <c r="R7" s="57" t="s">
        <v>68</v>
      </c>
      <c r="S7" s="57" t="s">
        <v>9</v>
      </c>
      <c r="T7" s="2"/>
      <c r="U7" s="2"/>
      <c r="V7" s="15"/>
      <c r="W7" s="2"/>
      <c r="X7" s="2"/>
      <c r="Y7" s="2"/>
      <c r="Z7" s="2"/>
      <c r="AA7" s="2"/>
      <c r="AB7" s="2"/>
      <c r="AC7" s="2"/>
      <c r="AJ7" s="2"/>
      <c r="AK7" s="2"/>
      <c r="AL7" s="2"/>
      <c r="AM7" s="2"/>
      <c r="AN7" s="2"/>
    </row>
    <row r="8" spans="2:40" s="53" customFormat="1" ht="17.25" customHeight="1">
      <c r="B8" s="2"/>
      <c r="C8" s="11" t="s">
        <v>50</v>
      </c>
      <c r="D8" s="66"/>
      <c r="F8" s="2"/>
      <c r="H8" s="2"/>
      <c r="I8" s="34"/>
      <c r="J8" s="1" t="s">
        <v>10</v>
      </c>
      <c r="K8" s="16" t="s">
        <v>11</v>
      </c>
      <c r="L8" s="2"/>
      <c r="M8" s="2"/>
      <c r="N8" s="2"/>
      <c r="O8" s="19" t="s">
        <v>12</v>
      </c>
      <c r="P8" s="57" t="s">
        <v>13</v>
      </c>
      <c r="Q8" s="57" t="s">
        <v>14</v>
      </c>
      <c r="R8" s="57" t="s">
        <v>15</v>
      </c>
      <c r="S8" s="57" t="s">
        <v>16</v>
      </c>
      <c r="T8" s="2"/>
      <c r="U8" s="2"/>
      <c r="V8" s="15"/>
      <c r="W8" s="2"/>
      <c r="X8" s="2"/>
      <c r="Y8" s="2"/>
      <c r="Z8" s="2"/>
      <c r="AA8" s="2"/>
      <c r="AB8" s="2"/>
      <c r="AC8" s="2"/>
      <c r="AJ8" s="2"/>
      <c r="AK8" s="2"/>
      <c r="AL8" s="2"/>
      <c r="AM8" s="2"/>
      <c r="AN8" s="2"/>
    </row>
    <row r="9" spans="2:40" s="53" customFormat="1" ht="17.25" customHeight="1">
      <c r="B9" s="2"/>
      <c r="D9" s="66"/>
      <c r="E9" s="11"/>
      <c r="F9" s="2"/>
      <c r="G9" s="11"/>
      <c r="H9" s="2"/>
      <c r="I9" s="34"/>
      <c r="J9" s="1" t="s">
        <v>17</v>
      </c>
      <c r="K9" s="16" t="s">
        <v>18</v>
      </c>
      <c r="L9" s="2"/>
      <c r="M9" s="2"/>
      <c r="N9" s="2"/>
      <c r="O9" s="19" t="s">
        <v>19</v>
      </c>
      <c r="P9" s="57" t="s">
        <v>20</v>
      </c>
      <c r="Q9" s="57" t="s">
        <v>21</v>
      </c>
      <c r="R9" s="57" t="s">
        <v>22</v>
      </c>
      <c r="S9" s="57" t="s">
        <v>23</v>
      </c>
      <c r="T9" s="2"/>
      <c r="U9" s="2"/>
      <c r="V9" s="15"/>
      <c r="W9" s="2"/>
      <c r="X9" s="2"/>
      <c r="Y9" s="2"/>
      <c r="Z9" s="2"/>
      <c r="AA9" s="2"/>
      <c r="AB9" s="2"/>
      <c r="AC9" s="2"/>
      <c r="AJ9" s="2"/>
      <c r="AK9" s="2"/>
      <c r="AL9" s="2"/>
      <c r="AM9" s="2"/>
      <c r="AN9" s="2"/>
    </row>
    <row r="10" spans="2:40" s="53" customFormat="1" ht="17.25" customHeight="1">
      <c r="B10" s="2"/>
      <c r="C10" s="11"/>
      <c r="D10" s="67"/>
      <c r="E10" s="11"/>
      <c r="F10" s="2"/>
      <c r="G10" s="11"/>
      <c r="H10" s="2"/>
      <c r="I10" s="34"/>
      <c r="J10" s="1" t="s">
        <v>24</v>
      </c>
      <c r="K10" s="16" t="s">
        <v>25</v>
      </c>
      <c r="L10" s="2"/>
      <c r="M10" s="2"/>
      <c r="N10" s="2"/>
      <c r="O10" s="19" t="s">
        <v>26</v>
      </c>
      <c r="P10" s="57" t="s">
        <v>27</v>
      </c>
      <c r="Q10" s="57" t="s">
        <v>28</v>
      </c>
      <c r="R10" s="57" t="s">
        <v>29</v>
      </c>
      <c r="S10" s="51" t="s">
        <v>30</v>
      </c>
      <c r="T10" s="2"/>
      <c r="U10" s="2"/>
      <c r="V10" s="15"/>
      <c r="W10" s="2"/>
      <c r="X10" s="2"/>
      <c r="Y10" s="2"/>
      <c r="Z10" s="2"/>
      <c r="AA10" s="2"/>
      <c r="AB10" s="2"/>
      <c r="AC10" s="2"/>
      <c r="AJ10" s="2"/>
      <c r="AK10" s="2"/>
      <c r="AL10" s="2"/>
      <c r="AM10" s="2"/>
      <c r="AN10" s="2"/>
    </row>
    <row r="11" spans="2:40" s="53" customFormat="1" ht="17.25" customHeight="1">
      <c r="B11" s="2"/>
      <c r="C11" s="11"/>
      <c r="D11" s="67"/>
      <c r="E11" s="11"/>
      <c r="F11" s="2"/>
      <c r="G11" s="11"/>
      <c r="H11" s="2"/>
      <c r="I11" s="34"/>
      <c r="J11" s="1" t="s">
        <v>31</v>
      </c>
      <c r="K11" s="16" t="s">
        <v>32</v>
      </c>
      <c r="L11" s="2"/>
      <c r="M11" s="2"/>
      <c r="N11" s="2"/>
      <c r="O11" s="13"/>
      <c r="P11" s="2"/>
      <c r="Q11" s="2"/>
      <c r="R11" s="2"/>
      <c r="S11" s="2"/>
      <c r="T11" s="2"/>
      <c r="U11" s="2"/>
      <c r="V11" s="15"/>
      <c r="W11" s="2"/>
      <c r="X11" s="2"/>
      <c r="Y11" s="2"/>
      <c r="Z11" s="2"/>
      <c r="AA11" s="2"/>
      <c r="AB11" s="2"/>
      <c r="AC11" s="2"/>
      <c r="AJ11" s="2"/>
      <c r="AK11" s="2"/>
      <c r="AL11" s="2"/>
      <c r="AM11" s="2"/>
      <c r="AN11" s="2"/>
    </row>
    <row r="12" spans="2:40" s="53" customFormat="1" ht="17.25" customHeight="1">
      <c r="B12" s="2"/>
      <c r="C12" s="11"/>
      <c r="D12" s="16"/>
      <c r="E12" s="2"/>
      <c r="F12" s="2"/>
      <c r="G12" s="2"/>
      <c r="H12" s="2"/>
      <c r="I12" s="34"/>
      <c r="J12" s="2"/>
      <c r="K12" s="2"/>
      <c r="L12" s="2"/>
      <c r="M12" s="2"/>
      <c r="N12" s="2"/>
      <c r="O12" s="13"/>
      <c r="P12" s="2"/>
      <c r="Q12" s="2"/>
      <c r="R12" s="2"/>
      <c r="S12" s="2"/>
      <c r="T12" s="2"/>
      <c r="U12" s="2"/>
      <c r="V12" s="15"/>
      <c r="W12" s="2"/>
      <c r="X12" s="2"/>
      <c r="Y12" s="2"/>
      <c r="Z12" s="2"/>
      <c r="AA12" s="2"/>
      <c r="AB12" s="2"/>
      <c r="AC12" s="2"/>
      <c r="AJ12" s="2"/>
      <c r="AK12" s="2"/>
      <c r="AL12" s="2"/>
      <c r="AM12" s="2"/>
      <c r="AN12" s="2"/>
    </row>
    <row r="13" spans="2:40" s="22" customFormat="1" ht="20.25" customHeight="1">
      <c r="B13" s="72" t="s">
        <v>1</v>
      </c>
      <c r="C13" s="80" t="s">
        <v>2</v>
      </c>
      <c r="D13" s="81" t="s">
        <v>33</v>
      </c>
      <c r="E13" s="82"/>
      <c r="F13" s="72" t="s">
        <v>51</v>
      </c>
      <c r="G13" s="80" t="s">
        <v>55</v>
      </c>
      <c r="H13" s="72" t="s">
        <v>56</v>
      </c>
      <c r="I13" s="85" t="s">
        <v>34</v>
      </c>
      <c r="J13" s="86"/>
      <c r="K13" s="72" t="s">
        <v>35</v>
      </c>
      <c r="L13" s="85" t="s">
        <v>36</v>
      </c>
      <c r="M13" s="87"/>
      <c r="N13" s="87"/>
      <c r="O13" s="86"/>
      <c r="P13" s="72" t="s">
        <v>37</v>
      </c>
      <c r="Q13" s="72" t="s">
        <v>38</v>
      </c>
      <c r="R13" s="72" t="s">
        <v>39</v>
      </c>
      <c r="S13" s="72" t="s">
        <v>40</v>
      </c>
      <c r="T13" s="81" t="s">
        <v>52</v>
      </c>
      <c r="U13" s="72" t="s">
        <v>41</v>
      </c>
      <c r="V13" s="20"/>
      <c r="W13" s="21"/>
      <c r="X13" s="21"/>
      <c r="Y13" s="21"/>
      <c r="Z13" s="21"/>
      <c r="AA13" s="21"/>
      <c r="AB13" s="21"/>
      <c r="AC13" s="21"/>
      <c r="AJ13" s="21"/>
      <c r="AK13" s="21"/>
      <c r="AL13" s="21"/>
      <c r="AM13" s="21"/>
      <c r="AN13" s="21"/>
    </row>
    <row r="14" spans="2:40" s="22" customFormat="1" ht="28.5" customHeight="1">
      <c r="B14" s="79"/>
      <c r="C14" s="79"/>
      <c r="D14" s="83"/>
      <c r="E14" s="84"/>
      <c r="F14" s="73"/>
      <c r="G14" s="79"/>
      <c r="H14" s="73"/>
      <c r="I14" s="31" t="s">
        <v>42</v>
      </c>
      <c r="J14" s="23" t="s">
        <v>43</v>
      </c>
      <c r="K14" s="73"/>
      <c r="L14" s="24" t="s">
        <v>44</v>
      </c>
      <c r="M14" s="24" t="s">
        <v>45</v>
      </c>
      <c r="N14" s="24" t="s">
        <v>46</v>
      </c>
      <c r="O14" s="25" t="s">
        <v>47</v>
      </c>
      <c r="P14" s="73"/>
      <c r="Q14" s="73"/>
      <c r="R14" s="73"/>
      <c r="S14" s="73"/>
      <c r="T14" s="83"/>
      <c r="U14" s="73"/>
      <c r="W14" s="21"/>
      <c r="X14" s="21"/>
      <c r="Y14" s="21"/>
      <c r="Z14" s="21"/>
      <c r="AA14" s="21"/>
      <c r="AB14" s="21"/>
      <c r="AC14" s="21"/>
      <c r="AJ14" s="21"/>
      <c r="AK14" s="21"/>
      <c r="AL14" s="21"/>
      <c r="AM14" s="21"/>
      <c r="AN14" s="21"/>
    </row>
    <row r="15" spans="2:40" s="22" customFormat="1" ht="28.5" customHeight="1">
      <c r="B15" s="59" t="s">
        <v>80</v>
      </c>
      <c r="C15" s="55" t="s">
        <v>81</v>
      </c>
      <c r="D15" s="60" t="s">
        <v>83</v>
      </c>
      <c r="E15" s="3" t="s">
        <v>60</v>
      </c>
      <c r="F15" s="49" t="s">
        <v>70</v>
      </c>
      <c r="G15" s="51" t="s">
        <v>65</v>
      </c>
      <c r="H15" s="61"/>
      <c r="I15" s="38">
        <v>50</v>
      </c>
      <c r="J15" s="64" t="s">
        <v>57</v>
      </c>
      <c r="K15" s="61"/>
      <c r="L15" s="39"/>
      <c r="M15" s="39"/>
      <c r="N15" s="39"/>
      <c r="O15" s="40"/>
      <c r="P15" s="41">
        <f t="shared" ref="P15" si="0">W15*I15</f>
        <v>125</v>
      </c>
      <c r="Q15" s="41"/>
      <c r="R15" s="61"/>
      <c r="S15" s="61"/>
      <c r="T15" s="62"/>
      <c r="U15" s="61"/>
      <c r="W15" s="37">
        <v>2.5</v>
      </c>
      <c r="X15" s="21"/>
      <c r="Y15" s="21"/>
      <c r="Z15" s="21"/>
      <c r="AA15" s="21"/>
      <c r="AB15" s="21"/>
      <c r="AC15" s="21"/>
      <c r="AJ15" s="21"/>
      <c r="AK15" s="21"/>
      <c r="AL15" s="21"/>
      <c r="AM15" s="21"/>
      <c r="AN15" s="21"/>
    </row>
    <row r="16" spans="2:40" s="22" customFormat="1" ht="28.5" customHeight="1">
      <c r="B16" s="59" t="s">
        <v>61</v>
      </c>
      <c r="C16" s="63" t="str">
        <f>C15</f>
        <v>OM4-DE-IS-0011-001</v>
      </c>
      <c r="D16" s="60" t="s">
        <v>75</v>
      </c>
      <c r="E16" s="3" t="s">
        <v>60</v>
      </c>
      <c r="F16" s="52" t="s">
        <v>70</v>
      </c>
      <c r="G16" s="50" t="s">
        <v>65</v>
      </c>
      <c r="H16" s="61"/>
      <c r="I16" s="38">
        <v>50</v>
      </c>
      <c r="J16" s="64" t="s">
        <v>57</v>
      </c>
      <c r="K16" s="61"/>
      <c r="L16" s="39"/>
      <c r="M16" s="39"/>
      <c r="N16" s="39"/>
      <c r="O16" s="40"/>
      <c r="P16" s="41">
        <f t="shared" ref="P16:P19" si="1">W16*I16</f>
        <v>140</v>
      </c>
      <c r="Q16" s="41"/>
      <c r="R16" s="61"/>
      <c r="S16" s="61"/>
      <c r="T16" s="62"/>
      <c r="U16" s="61"/>
      <c r="W16" s="37">
        <v>2.8</v>
      </c>
      <c r="X16" s="21"/>
      <c r="Y16" s="21"/>
      <c r="Z16" s="21"/>
      <c r="AA16" s="21"/>
      <c r="AB16" s="21"/>
      <c r="AC16" s="21"/>
      <c r="AJ16" s="21"/>
      <c r="AK16" s="21"/>
      <c r="AL16" s="21"/>
      <c r="AM16" s="21"/>
      <c r="AN16" s="21"/>
    </row>
    <row r="17" spans="2:40" s="22" customFormat="1" ht="28.5" customHeight="1">
      <c r="B17" s="59" t="s">
        <v>62</v>
      </c>
      <c r="C17" s="65" t="str">
        <f t="shared" ref="C17:C19" si="2">C16</f>
        <v>OM4-DE-IS-0011-001</v>
      </c>
      <c r="D17" s="60" t="s">
        <v>76</v>
      </c>
      <c r="E17" s="3" t="s">
        <v>60</v>
      </c>
      <c r="F17" s="52" t="s">
        <v>70</v>
      </c>
      <c r="G17" s="50" t="s">
        <v>65</v>
      </c>
      <c r="H17" s="61"/>
      <c r="I17" s="38">
        <v>50</v>
      </c>
      <c r="J17" s="64" t="s">
        <v>57</v>
      </c>
      <c r="K17" s="61"/>
      <c r="L17" s="39"/>
      <c r="M17" s="39"/>
      <c r="N17" s="39"/>
      <c r="O17" s="40"/>
      <c r="P17" s="41">
        <f t="shared" si="1"/>
        <v>140</v>
      </c>
      <c r="Q17" s="41"/>
      <c r="R17" s="61"/>
      <c r="S17" s="61"/>
      <c r="T17" s="62"/>
      <c r="U17" s="61"/>
      <c r="W17" s="37">
        <v>2.8</v>
      </c>
      <c r="X17" s="21"/>
      <c r="Y17" s="21"/>
      <c r="Z17" s="21"/>
      <c r="AA17" s="21"/>
      <c r="AB17" s="21"/>
      <c r="AC17" s="21"/>
      <c r="AJ17" s="21"/>
      <c r="AK17" s="21"/>
      <c r="AL17" s="21"/>
      <c r="AM17" s="21"/>
      <c r="AN17" s="21"/>
    </row>
    <row r="18" spans="2:40" s="22" customFormat="1" ht="28.5" customHeight="1">
      <c r="B18" s="59" t="s">
        <v>63</v>
      </c>
      <c r="C18" s="65" t="str">
        <f t="shared" si="2"/>
        <v>OM4-DE-IS-0011-001</v>
      </c>
      <c r="D18" s="60" t="s">
        <v>73</v>
      </c>
      <c r="E18" s="3" t="s">
        <v>60</v>
      </c>
      <c r="F18" s="52" t="s">
        <v>70</v>
      </c>
      <c r="G18" s="50" t="s">
        <v>65</v>
      </c>
      <c r="H18" s="61"/>
      <c r="I18" s="38">
        <v>500</v>
      </c>
      <c r="J18" s="64" t="s">
        <v>78</v>
      </c>
      <c r="K18" s="61"/>
      <c r="L18" s="39"/>
      <c r="M18" s="39"/>
      <c r="N18" s="39"/>
      <c r="O18" s="40"/>
      <c r="P18" s="41">
        <f t="shared" si="1"/>
        <v>500</v>
      </c>
      <c r="Q18" s="41"/>
      <c r="R18" s="61"/>
      <c r="S18" s="61"/>
      <c r="T18" s="62"/>
      <c r="U18" s="61"/>
      <c r="W18" s="37">
        <v>1</v>
      </c>
      <c r="X18" s="21"/>
      <c r="Y18" s="21"/>
      <c r="Z18" s="21"/>
      <c r="AA18" s="21"/>
      <c r="AB18" s="21"/>
      <c r="AC18" s="21"/>
      <c r="AJ18" s="21"/>
      <c r="AK18" s="21"/>
      <c r="AL18" s="21"/>
      <c r="AM18" s="21"/>
      <c r="AN18" s="21"/>
    </row>
    <row r="19" spans="2:40" s="22" customFormat="1" ht="28.5" customHeight="1">
      <c r="B19" s="59" t="s">
        <v>64</v>
      </c>
      <c r="C19" s="65" t="str">
        <f t="shared" si="2"/>
        <v>OM4-DE-IS-0011-001</v>
      </c>
      <c r="D19" s="60" t="s">
        <v>77</v>
      </c>
      <c r="E19" s="3" t="s">
        <v>79</v>
      </c>
      <c r="F19" s="52" t="s">
        <v>70</v>
      </c>
      <c r="G19" s="50" t="s">
        <v>65</v>
      </c>
      <c r="H19" s="61"/>
      <c r="I19" s="38">
        <v>70</v>
      </c>
      <c r="J19" s="64" t="s">
        <v>57</v>
      </c>
      <c r="K19" s="61"/>
      <c r="L19" s="39"/>
      <c r="M19" s="39"/>
      <c r="N19" s="39"/>
      <c r="O19" s="40"/>
      <c r="P19" s="41">
        <f t="shared" si="1"/>
        <v>70</v>
      </c>
      <c r="Q19" s="41"/>
      <c r="R19" s="61"/>
      <c r="S19" s="61"/>
      <c r="T19" s="62"/>
      <c r="U19" s="61"/>
      <c r="W19" s="37">
        <v>1</v>
      </c>
      <c r="X19" s="21"/>
      <c r="Y19" s="21"/>
      <c r="Z19" s="21"/>
      <c r="AA19" s="21"/>
      <c r="AB19" s="21"/>
      <c r="AC19" s="21"/>
      <c r="AJ19" s="21"/>
      <c r="AK19" s="21"/>
      <c r="AL19" s="21"/>
      <c r="AM19" s="21"/>
      <c r="AN19" s="21"/>
    </row>
    <row r="20" spans="2:40" s="22" customFormat="1" ht="28.5" customHeight="1">
      <c r="B20" s="69" t="s">
        <v>53</v>
      </c>
      <c r="C20" s="70"/>
      <c r="D20" s="70"/>
      <c r="E20" s="70"/>
      <c r="F20" s="70"/>
      <c r="G20" s="70"/>
      <c r="H20" s="71"/>
      <c r="I20" s="42">
        <f>SUM(I15:I19)</f>
        <v>720</v>
      </c>
      <c r="J20" s="43"/>
      <c r="K20" s="44" t="s">
        <v>71</v>
      </c>
      <c r="L20" s="45">
        <v>150</v>
      </c>
      <c r="M20" s="45">
        <v>150</v>
      </c>
      <c r="N20" s="45">
        <v>100</v>
      </c>
      <c r="O20" s="46">
        <f>(L20*M20*N20)/10^6</f>
        <v>2.25</v>
      </c>
      <c r="P20" s="47">
        <f>SUM(P15:P19)</f>
        <v>975</v>
      </c>
      <c r="Q20" s="47">
        <f>P20+300</f>
        <v>1275</v>
      </c>
      <c r="R20" s="44" t="s">
        <v>58</v>
      </c>
      <c r="S20" s="44" t="s">
        <v>59</v>
      </c>
      <c r="T20" s="48"/>
      <c r="U20" s="44" t="s">
        <v>69</v>
      </c>
      <c r="W20" s="37"/>
      <c r="X20" s="21"/>
      <c r="Y20" s="21"/>
      <c r="Z20" s="21"/>
      <c r="AA20" s="21"/>
      <c r="AB20" s="21"/>
      <c r="AC20" s="21"/>
      <c r="AJ20" s="21"/>
      <c r="AK20" s="21"/>
      <c r="AL20" s="21"/>
      <c r="AM20" s="21"/>
      <c r="AN20" s="21"/>
    </row>
    <row r="21" spans="2:40" s="22" customFormat="1" ht="28.5" customHeight="1">
      <c r="B21" s="55">
        <v>6</v>
      </c>
      <c r="C21" s="55" t="s">
        <v>82</v>
      </c>
      <c r="D21" s="60" t="s">
        <v>72</v>
      </c>
      <c r="E21" s="3" t="s">
        <v>60</v>
      </c>
      <c r="F21" s="52" t="s">
        <v>70</v>
      </c>
      <c r="G21" s="50" t="s">
        <v>65</v>
      </c>
      <c r="H21" s="54"/>
      <c r="I21" s="38">
        <v>120</v>
      </c>
      <c r="J21" s="57" t="s">
        <v>74</v>
      </c>
      <c r="K21" s="54"/>
      <c r="L21" s="39"/>
      <c r="M21" s="39"/>
      <c r="N21" s="39"/>
      <c r="O21" s="40"/>
      <c r="P21" s="41">
        <f>W21*I21</f>
        <v>840</v>
      </c>
      <c r="Q21" s="41"/>
      <c r="R21" s="54"/>
      <c r="S21" s="54"/>
      <c r="T21" s="56"/>
      <c r="U21" s="54"/>
      <c r="W21" s="37">
        <v>7</v>
      </c>
      <c r="X21" s="21"/>
      <c r="Y21" s="21"/>
      <c r="Z21" s="21"/>
      <c r="AA21" s="21"/>
      <c r="AB21" s="21"/>
      <c r="AC21" s="21"/>
      <c r="AJ21" s="21"/>
      <c r="AK21" s="21"/>
      <c r="AL21" s="21"/>
      <c r="AM21" s="21"/>
      <c r="AN21" s="21"/>
    </row>
    <row r="22" spans="2:40" s="22" customFormat="1" ht="28.5" customHeight="1">
      <c r="B22" s="69" t="s">
        <v>53</v>
      </c>
      <c r="C22" s="70"/>
      <c r="D22" s="70"/>
      <c r="E22" s="70"/>
      <c r="F22" s="70"/>
      <c r="G22" s="70"/>
      <c r="H22" s="71"/>
      <c r="I22" s="42">
        <f>SUM(I21)</f>
        <v>120</v>
      </c>
      <c r="J22" s="43"/>
      <c r="K22" s="44" t="s">
        <v>71</v>
      </c>
      <c r="L22" s="45">
        <v>620</v>
      </c>
      <c r="M22" s="45">
        <v>100</v>
      </c>
      <c r="N22" s="45">
        <v>100</v>
      </c>
      <c r="O22" s="46">
        <v>6.14</v>
      </c>
      <c r="P22" s="47">
        <f>P21</f>
        <v>840</v>
      </c>
      <c r="Q22" s="47">
        <f>P22+300</f>
        <v>1140</v>
      </c>
      <c r="R22" s="44" t="s">
        <v>58</v>
      </c>
      <c r="S22" s="44" t="s">
        <v>59</v>
      </c>
      <c r="T22" s="48"/>
      <c r="U22" s="44" t="s">
        <v>69</v>
      </c>
      <c r="W22" s="37"/>
      <c r="X22" s="21"/>
      <c r="Y22" s="21"/>
      <c r="Z22" s="21"/>
      <c r="AA22" s="21"/>
      <c r="AB22" s="21"/>
      <c r="AC22" s="21"/>
      <c r="AJ22" s="21"/>
      <c r="AK22" s="21"/>
      <c r="AL22" s="21"/>
      <c r="AM22" s="21"/>
      <c r="AN22" s="21"/>
    </row>
    <row r="23" spans="2:40" s="53" customFormat="1" ht="32.25" customHeight="1">
      <c r="B23" s="68" t="s">
        <v>54</v>
      </c>
      <c r="C23" s="68"/>
      <c r="D23" s="68"/>
      <c r="E23" s="68"/>
      <c r="F23" s="68"/>
      <c r="G23" s="68"/>
      <c r="H23" s="68"/>
      <c r="I23" s="68"/>
      <c r="J23" s="68"/>
      <c r="K23" s="57"/>
      <c r="L23" s="57"/>
      <c r="M23" s="57"/>
      <c r="N23" s="57"/>
      <c r="O23" s="36">
        <f>SUM(O15:O22)</f>
        <v>8.39</v>
      </c>
      <c r="P23" s="36">
        <f>SUM(P20,P22)</f>
        <v>1815</v>
      </c>
      <c r="Q23" s="36">
        <f>SUM(Q15:Q22)</f>
        <v>2415</v>
      </c>
      <c r="R23" s="57"/>
      <c r="S23" s="57"/>
      <c r="T23" s="57"/>
      <c r="U23" s="57"/>
      <c r="V23" s="15"/>
      <c r="W23" s="2"/>
      <c r="X23" s="2"/>
      <c r="Y23" s="2"/>
      <c r="Z23" s="2"/>
      <c r="AA23" s="2"/>
      <c r="AB23" s="2"/>
      <c r="AC23" s="2"/>
      <c r="AJ23" s="2"/>
      <c r="AK23" s="2"/>
      <c r="AL23" s="2"/>
      <c r="AM23" s="2"/>
      <c r="AN23" s="2"/>
    </row>
  </sheetData>
  <mergeCells count="21">
    <mergeCell ref="B1:U1"/>
    <mergeCell ref="C3:K3"/>
    <mergeCell ref="B4:U4"/>
    <mergeCell ref="B13:B14"/>
    <mergeCell ref="C13:C14"/>
    <mergeCell ref="D13:E14"/>
    <mergeCell ref="F13:F14"/>
    <mergeCell ref="G13:G14"/>
    <mergeCell ref="H13:H14"/>
    <mergeCell ref="I13:J13"/>
    <mergeCell ref="K13:K14"/>
    <mergeCell ref="L13:O13"/>
    <mergeCell ref="T13:T14"/>
    <mergeCell ref="U13:U14"/>
    <mergeCell ref="B23:J23"/>
    <mergeCell ref="B20:H20"/>
    <mergeCell ref="B22:H22"/>
    <mergeCell ref="R13:R14"/>
    <mergeCell ref="S13:S14"/>
    <mergeCell ref="P13:P14"/>
    <mergeCell ref="Q13:Q14"/>
  </mergeCells>
  <phoneticPr fontId="13" type="noConversion"/>
  <printOptions horizontalCentered="1"/>
  <pageMargins left="0.23622047244094491" right="0.23622047244094491" top="0.47244094488188981" bottom="0.51181102362204722" header="0.31496062992125984" footer="0.31496062992125984"/>
  <pageSetup paperSize="9" scale="56" fitToHeight="0" orientation="landscape" r:id="rId1"/>
  <headerFooter alignWithMargins="0">
    <oddFooter>&amp;C&amp;P/&amp;N</oddFooter>
  </headerFooter>
  <drawing r:id="rId2"/>
</worksheet>
</file>

<file path=docMetadata/LabelInfo.xml><?xml version="1.0" encoding="utf-8"?>
<clbl:labelList xmlns:clbl="http://schemas.microsoft.com/office/2020/mipLabelMetadata">
  <clbl:label id="{55c3c93c-4c7c-4709-9e9e-2b12e2d560ab}" enabled="1" method="Privileged" siteId="{9d1b3610-9ab0-42d5-93aa-46150d723d8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4" baseType="variant">
      <vt:variant>
        <vt:lpstr>Trang tính</vt:lpstr>
      </vt:variant>
      <vt:variant>
        <vt:i4>1</vt:i4>
      </vt:variant>
      <vt:variant>
        <vt:lpstr>Phạm vi Có tên</vt:lpstr>
      </vt:variant>
      <vt:variant>
        <vt:i4>2</vt:i4>
      </vt:variant>
    </vt:vector>
  </HeadingPairs>
  <TitlesOfParts>
    <vt:vector size="3" baseType="lpstr">
      <vt:lpstr>Detailed PL</vt:lpstr>
      <vt:lpstr>Detailed PL!Print_Titles</vt:lpstr>
      <vt:lpstr>Detailed PL!Vùng_In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Bùi Thị Thu Nguyệt</dc:creator>
  <cp:lastModifiedBy>차수민(Soomin Cha) 선임 두산에너빌리티</cp:lastModifiedBy>
  <cp:lastPrinted>2026-05-26T01:53:22Z</cp:lastPrinted>
  <dcterms:created xsi:type="dcterms:W3CDTF">2025-07-09T09:39:20Z</dcterms:created>
  <dcterms:modified xsi:type="dcterms:W3CDTF">2026-07-02T04:13:04Z</dcterms:modified>
</cp:coreProperties>
</file>