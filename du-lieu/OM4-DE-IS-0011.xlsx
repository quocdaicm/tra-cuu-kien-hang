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Documents\Downloads\OM4-DE-IS-0011\"/>
    </mc:Choice>
  </mc:AlternateContent>
  <xr:revisionPtr revIDLastSave="0" documentId="13_ncr:1_{5781B9B5-74D9-4F6B-8B35-0B9BC8C0662D}" xr6:coauthVersionLast="47" xr6:coauthVersionMax="47" xr10:uidLastSave="{00000000-0000-0000-0000-000000000000}"/>
  <bookViews>
    <workbookView xWindow="-108" yWindow="-108" windowWidth="23256" windowHeight="13896" tabRatio="667" xr2:uid="{00000000-000D-0000-FFFF-FFFF00000000}"/>
  </bookViews>
  <sheets>
    <sheet name="Detailed PL" sheetId="31" r:id="rId1"/>
    <sheet name="Commercial Invoice" sheetId="1" r:id="rId2"/>
    <sheet name="Break Down CI" sheetId="2" r:id="rId3"/>
    <sheet name="Packing List (1_2)" sheetId="3" r:id="rId4"/>
    <sheet name="PL(2_2)" sheetId="30" r:id="rId5"/>
    <sheet name="SHIPPING MARK (1)" sheetId="12" r:id="rId6"/>
    <sheet name="SHIPPING MARK (2)" sheetId="32" r:id="rId7"/>
    <sheet name="Technical Description" sheetId="13" r:id="rId8"/>
    <sheet name="CO" sheetId="6" r:id="rId9"/>
    <sheet name="CQ" sheetId="10" r:id="rId10"/>
    <sheet name="BL" sheetId="7" r:id="rId11"/>
    <sheet name="PSIC" sheetId="11" r:id="rId12"/>
  </sheets>
  <externalReferences>
    <externalReference r:id="rId13"/>
    <externalReference r:id="rId14"/>
    <externalReference r:id="rId15"/>
    <externalReference r:id="rId16"/>
    <externalReference r:id="rId17"/>
    <externalReference r:id="rId18"/>
  </externalReferences>
  <definedNames>
    <definedName name="__123Graph_A" localSheetId="2" hidden="1">'[1]Eq. Mobilization'!#REF!</definedName>
    <definedName name="__123Graph_A" localSheetId="1" hidden="1">'[1]Eq. Mobilization'!#REF!</definedName>
    <definedName name="__123Graph_A" localSheetId="0" hidden="1">'[1]Eq. Mobilization'!#REF!</definedName>
    <definedName name="__123Graph_A" localSheetId="3" hidden="1">'[1]Eq. Mobilization'!#REF!</definedName>
    <definedName name="__123Graph_A" localSheetId="5" hidden="1">'[1]Eq. Mobilization'!#REF!</definedName>
    <definedName name="__123Graph_A" localSheetId="6" hidden="1">'[1]Eq. Mobilization'!#REF!</definedName>
    <definedName name="__123Graph_A" localSheetId="7" hidden="1">#REF!</definedName>
    <definedName name="__123Graph_A" hidden="1">'[1]Eq. Mobilization'!#REF!</definedName>
    <definedName name="__123Graph_ACurrent" localSheetId="2" hidden="1">'[1]Eq. Mobilization'!#REF!</definedName>
    <definedName name="__123Graph_ACurrent" localSheetId="1" hidden="1">'[1]Eq. Mobilization'!#REF!</definedName>
    <definedName name="__123Graph_ACurrent" localSheetId="0" hidden="1">'[1]Eq. Mobilization'!#REF!</definedName>
    <definedName name="__123Graph_ACurrent" localSheetId="3" hidden="1">'[1]Eq. Mobilization'!#REF!</definedName>
    <definedName name="__123Graph_ACurrent" localSheetId="5" hidden="1">'[1]Eq. Mobilization'!#REF!</definedName>
    <definedName name="__123Graph_ACurrent" localSheetId="6" hidden="1">'[1]Eq. Mobilization'!#REF!</definedName>
    <definedName name="__123Graph_ACurrent" localSheetId="7" hidden="1">#REF!</definedName>
    <definedName name="__123Graph_ACurrent" hidden="1">'[1]Eq. Mobilization'!#REF!</definedName>
    <definedName name="__123Graph_B" localSheetId="2" hidden="1">'[1]Eq. Mobilization'!#REF!</definedName>
    <definedName name="__123Graph_B" localSheetId="1" hidden="1">'[1]Eq. Mobilization'!#REF!</definedName>
    <definedName name="__123Graph_B" localSheetId="0" hidden="1">'[1]Eq. Mobilization'!#REF!</definedName>
    <definedName name="__123Graph_B" localSheetId="3" hidden="1">'[1]Eq. Mobilization'!#REF!</definedName>
    <definedName name="__123Graph_B" localSheetId="5" hidden="1">'[1]Eq. Mobilization'!#REF!</definedName>
    <definedName name="__123Graph_B" localSheetId="6" hidden="1">'[1]Eq. Mobilization'!#REF!</definedName>
    <definedName name="__123Graph_B" localSheetId="7" hidden="1">#REF!</definedName>
    <definedName name="__123Graph_B" hidden="1">'[1]Eq. Mobilization'!#REF!</definedName>
    <definedName name="__123Graph_BCurrent" localSheetId="2" hidden="1">'[1]Eq. Mobilization'!#REF!</definedName>
    <definedName name="__123Graph_BCurrent" localSheetId="1" hidden="1">'[1]Eq. Mobilization'!#REF!</definedName>
    <definedName name="__123Graph_BCurrent" localSheetId="0" hidden="1">'[1]Eq. Mobilization'!#REF!</definedName>
    <definedName name="__123Graph_BCurrent" localSheetId="3" hidden="1">'[1]Eq. Mobilization'!#REF!</definedName>
    <definedName name="__123Graph_BCurrent" localSheetId="5" hidden="1">'[1]Eq. Mobilization'!#REF!</definedName>
    <definedName name="__123Graph_BCurrent" localSheetId="6" hidden="1">'[1]Eq. Mobilization'!#REF!</definedName>
    <definedName name="__123Graph_BCurrent" localSheetId="7" hidden="1">#REF!</definedName>
    <definedName name="__123Graph_BCurrent" hidden="1">'[1]Eq. Mobilization'!#REF!</definedName>
    <definedName name="__123Graph_D" localSheetId="2" hidden="1">#REF!</definedName>
    <definedName name="__123Graph_D" localSheetId="1" hidden="1">#REF!</definedName>
    <definedName name="__123Graph_D" localSheetId="0" hidden="1">#REF!</definedName>
    <definedName name="__123Graph_D" localSheetId="3" hidden="1">#REF!</definedName>
    <definedName name="__123Graph_D" localSheetId="5" hidden="1">#REF!</definedName>
    <definedName name="__123Graph_D" localSheetId="6" hidden="1">#REF!</definedName>
    <definedName name="__123Graph_D" hidden="1">#REF!</definedName>
    <definedName name="__123Graph_E" localSheetId="2" hidden="1">#REF!</definedName>
    <definedName name="__123Graph_E" localSheetId="1" hidden="1">#REF!</definedName>
    <definedName name="__123Graph_E" localSheetId="3" hidden="1">#REF!</definedName>
    <definedName name="__123Graph_E" localSheetId="5" hidden="1">#REF!</definedName>
    <definedName name="__123Graph_E" localSheetId="6" hidden="1">#REF!</definedName>
    <definedName name="__123Graph_E" hidden="1">#REF!</definedName>
    <definedName name="__123Graph_LBL_A" localSheetId="2" hidden="1">'[1]Eq. Mobilization'!#REF!</definedName>
    <definedName name="__123Graph_LBL_A" localSheetId="1" hidden="1">'[1]Eq. Mobilization'!#REF!</definedName>
    <definedName name="__123Graph_LBL_A" localSheetId="0" hidden="1">'[1]Eq. Mobilization'!#REF!</definedName>
    <definedName name="__123Graph_LBL_A" localSheetId="3" hidden="1">'[1]Eq. Mobilization'!#REF!</definedName>
    <definedName name="__123Graph_LBL_A" localSheetId="5" hidden="1">'[1]Eq. Mobilization'!#REF!</definedName>
    <definedName name="__123Graph_LBL_A" localSheetId="6" hidden="1">'[1]Eq. Mobilization'!#REF!</definedName>
    <definedName name="__123Graph_LBL_A" localSheetId="7" hidden="1">#REF!</definedName>
    <definedName name="__123Graph_LBL_A" hidden="1">'[1]Eq. Mobilization'!#REF!</definedName>
    <definedName name="__123Graph_LBL_B" localSheetId="2" hidden="1">'[1]Eq. Mobilization'!#REF!</definedName>
    <definedName name="__123Graph_LBL_B" localSheetId="1" hidden="1">'[1]Eq. Mobilization'!#REF!</definedName>
    <definedName name="__123Graph_LBL_B" localSheetId="0" hidden="1">'[1]Eq. Mobilization'!#REF!</definedName>
    <definedName name="__123Graph_LBL_B" localSheetId="3" hidden="1">'[1]Eq. Mobilization'!#REF!</definedName>
    <definedName name="__123Graph_LBL_B" localSheetId="5" hidden="1">'[1]Eq. Mobilization'!#REF!</definedName>
    <definedName name="__123Graph_LBL_B" localSheetId="6" hidden="1">'[1]Eq. Mobilization'!#REF!</definedName>
    <definedName name="__123Graph_LBL_B" localSheetId="7" hidden="1">#REF!</definedName>
    <definedName name="__123Graph_LBL_B" hidden="1">'[1]Eq. Mobilization'!#REF!</definedName>
    <definedName name="__123Graph_X" localSheetId="2" hidden="1">'[1]Eq. Mobilization'!#REF!</definedName>
    <definedName name="__123Graph_X" localSheetId="1" hidden="1">'[1]Eq. Mobilization'!#REF!</definedName>
    <definedName name="__123Graph_X" localSheetId="0" hidden="1">'[1]Eq. Mobilization'!#REF!</definedName>
    <definedName name="__123Graph_X" localSheetId="3" hidden="1">'[1]Eq. Mobilization'!#REF!</definedName>
    <definedName name="__123Graph_X" localSheetId="5" hidden="1">'[1]Eq. Mobilization'!#REF!</definedName>
    <definedName name="__123Graph_X" localSheetId="6" hidden="1">'[1]Eq. Mobilization'!#REF!</definedName>
    <definedName name="__123Graph_X" localSheetId="7" hidden="1">#REF!</definedName>
    <definedName name="__123Graph_X" hidden="1">'[1]Eq. Mobilization'!#REF!</definedName>
    <definedName name="__123Graph_XCurrent" localSheetId="2" hidden="1">'[1]Eq. Mobilization'!#REF!</definedName>
    <definedName name="__123Graph_XCurrent" localSheetId="1" hidden="1">'[1]Eq. Mobilization'!#REF!</definedName>
    <definedName name="__123Graph_XCurrent" localSheetId="0" hidden="1">'[1]Eq. Mobilization'!#REF!</definedName>
    <definedName name="__123Graph_XCurrent" localSheetId="3" hidden="1">'[1]Eq. Mobilization'!#REF!</definedName>
    <definedName name="__123Graph_XCurrent" localSheetId="5" hidden="1">'[1]Eq. Mobilization'!#REF!</definedName>
    <definedName name="__123Graph_XCurrent" localSheetId="6" hidden="1">'[1]Eq. Mobilization'!#REF!</definedName>
    <definedName name="__123Graph_XCurrent" localSheetId="7" hidden="1">#REF!</definedName>
    <definedName name="__123Graph_XCurrent" hidden="1">'[1]Eq. Mobilization'!#REF!</definedName>
    <definedName name="_1__123Graph_AChart_1A" localSheetId="2" hidden="1">'[1]Eq. Mobilization'!#REF!</definedName>
    <definedName name="_1__123Graph_AChart_1A" localSheetId="1" hidden="1">'[1]Eq. Mobilization'!#REF!</definedName>
    <definedName name="_1__123Graph_AChart_1A" localSheetId="0" hidden="1">'[1]Eq. Mobilization'!#REF!</definedName>
    <definedName name="_1__123Graph_AChart_1A" localSheetId="3" hidden="1">'[1]Eq. Mobilization'!#REF!</definedName>
    <definedName name="_1__123Graph_AChart_1A" localSheetId="5" hidden="1">'[1]Eq. Mobilization'!#REF!</definedName>
    <definedName name="_1__123Graph_AChart_1A" localSheetId="6" hidden="1">'[1]Eq. Mobilization'!#REF!</definedName>
    <definedName name="_1__123Graph_AChart_1A" localSheetId="7" hidden="1">#REF!</definedName>
    <definedName name="_1__123Graph_AChart_1A" hidden="1">'[1]Eq. Mobilization'!#REF!</definedName>
    <definedName name="_2__123Graph_BChart_1A" localSheetId="2" hidden="1">'[1]Eq. Mobilization'!#REF!</definedName>
    <definedName name="_2__123Graph_BChart_1A" localSheetId="1" hidden="1">'[1]Eq. Mobilization'!#REF!</definedName>
    <definedName name="_2__123Graph_BChart_1A" localSheetId="0" hidden="1">'[1]Eq. Mobilization'!#REF!</definedName>
    <definedName name="_2__123Graph_BChart_1A" localSheetId="3" hidden="1">'[1]Eq. Mobilization'!#REF!</definedName>
    <definedName name="_2__123Graph_BChart_1A" localSheetId="5" hidden="1">'[1]Eq. Mobilization'!#REF!</definedName>
    <definedName name="_2__123Graph_BChart_1A" localSheetId="6" hidden="1">'[1]Eq. Mobilization'!#REF!</definedName>
    <definedName name="_2__123Graph_BChart_1A" localSheetId="7" hidden="1">#REF!</definedName>
    <definedName name="_2__123Graph_BChart_1A" hidden="1">'[1]Eq. Mobilization'!#REF!</definedName>
    <definedName name="_3__123Graph_XChart_1A" localSheetId="2" hidden="1">'[1]Eq. Mobilization'!#REF!</definedName>
    <definedName name="_3__123Graph_XChart_1A" localSheetId="1" hidden="1">'[1]Eq. Mobilization'!#REF!</definedName>
    <definedName name="_3__123Graph_XChart_1A" localSheetId="0" hidden="1">'[1]Eq. Mobilization'!#REF!</definedName>
    <definedName name="_3__123Graph_XChart_1A" localSheetId="3" hidden="1">'[1]Eq. Mobilization'!#REF!</definedName>
    <definedName name="_3__123Graph_XChart_1A" localSheetId="5" hidden="1">'[1]Eq. Mobilization'!#REF!</definedName>
    <definedName name="_3__123Graph_XChart_1A" localSheetId="6" hidden="1">'[1]Eq. Mobilization'!#REF!</definedName>
    <definedName name="_3__123Graph_XChart_1A" localSheetId="7" hidden="1">#REF!</definedName>
    <definedName name="_3__123Graph_XChart_1A" hidden="1">'[1]Eq. Mobilization'!#REF!</definedName>
    <definedName name="_Fill" localSheetId="2" hidden="1">#REF!</definedName>
    <definedName name="_Fill" localSheetId="1" hidden="1">#REF!</definedName>
    <definedName name="_Fill" localSheetId="0" hidden="1">#REF!</definedName>
    <definedName name="_Fill" localSheetId="3" hidden="1">#REF!</definedName>
    <definedName name="_Fill" localSheetId="5" hidden="1">#REF!</definedName>
    <definedName name="_Fill" localSheetId="6" hidden="1">#REF!</definedName>
    <definedName name="_Fill" hidden="1">#REF!</definedName>
    <definedName name="_xlnm._FilterDatabase" localSheetId="2" hidden="1">'Break Down CI'!$A$8:$P$15</definedName>
    <definedName name="_xlnm._FilterDatabase" localSheetId="0" hidden="1">'Detailed PL'!$B$13:$AH$22</definedName>
    <definedName name="_xlnm._FilterDatabase" localSheetId="5" hidden="1">'SHIPPING MARK (1)'!$A$1:$A$24</definedName>
    <definedName name="_xlnm._FilterDatabase" localSheetId="6" hidden="1">'SHIPPING MARK (2)'!$A$1:$A$24</definedName>
    <definedName name="_xlnm._FilterDatabase" localSheetId="7" hidden="1">'Technical Description'!$A$8:$H$11</definedName>
    <definedName name="_Hlk215568700" localSheetId="11">PSIC!$B$2</definedName>
    <definedName name="_Key1" localSheetId="2" hidden="1">#REF!</definedName>
    <definedName name="_Key1" localSheetId="1" hidden="1">#REF!</definedName>
    <definedName name="_Key1" localSheetId="3" hidden="1">#REF!</definedName>
    <definedName name="_Key1" localSheetId="5" hidden="1">#REF!</definedName>
    <definedName name="_Key1" localSheetId="6" hidden="1">#REF!</definedName>
    <definedName name="_Key1" hidden="1">#REF!</definedName>
    <definedName name="_Key2" localSheetId="2" hidden="1">#REF!</definedName>
    <definedName name="_Key2" localSheetId="1" hidden="1">#REF!</definedName>
    <definedName name="_Key2" localSheetId="3" hidden="1">#REF!</definedName>
    <definedName name="_Key2" localSheetId="5" hidden="1">#REF!</definedName>
    <definedName name="_Key2" localSheetId="6" hidden="1">#REF!</definedName>
    <definedName name="_Key2" hidden="1">#REF!</definedName>
    <definedName name="_Order1" hidden="1">255</definedName>
    <definedName name="_Order2" hidden="1">255</definedName>
    <definedName name="_Parse_In" localSheetId="2" hidden="1">#REF!</definedName>
    <definedName name="_Parse_In" localSheetId="1" hidden="1">#REF!</definedName>
    <definedName name="_Parse_In" localSheetId="0" hidden="1">#REF!</definedName>
    <definedName name="_Parse_In" localSheetId="3" hidden="1">#REF!</definedName>
    <definedName name="_Parse_In" localSheetId="5" hidden="1">#REF!</definedName>
    <definedName name="_Parse_In" localSheetId="6" hidden="1">#REF!</definedName>
    <definedName name="_Parse_In" hidden="1">#REF!</definedName>
    <definedName name="_Parse_Out" localSheetId="2" hidden="1">#REF!</definedName>
    <definedName name="_Parse_Out" localSheetId="1" hidden="1">#REF!</definedName>
    <definedName name="_Parse_Out" localSheetId="3" hidden="1">#REF!</definedName>
    <definedName name="_Parse_Out" localSheetId="5" hidden="1">#REF!</definedName>
    <definedName name="_Parse_Out" localSheetId="6" hidden="1">#REF!</definedName>
    <definedName name="_Parse_Out" hidden="1">#REF!</definedName>
    <definedName name="_Sort" localSheetId="2" hidden="1">#REF!</definedName>
    <definedName name="_Sort" localSheetId="1" hidden="1">#REF!</definedName>
    <definedName name="_Sort" localSheetId="3" hidden="1">#REF!</definedName>
    <definedName name="_Sort" localSheetId="5" hidden="1">#REF!</definedName>
    <definedName name="_Sort" localSheetId="6" hidden="1">#REF!</definedName>
    <definedName name="_Sort" hidden="1">#REF!</definedName>
    <definedName name="A" localSheetId="2" hidden="1">#REF!</definedName>
    <definedName name="A" localSheetId="1" hidden="1">#REF!</definedName>
    <definedName name="A" localSheetId="3" hidden="1">#REF!</definedName>
    <definedName name="A" localSheetId="5" hidden="1">#REF!</definedName>
    <definedName name="A" localSheetId="6" hidden="1">#REF!</definedName>
    <definedName name="A" hidden="1">#REF!</definedName>
    <definedName name="ABC" localSheetId="2" hidden="1">'[2]Eq. Mobilization'!#REF!</definedName>
    <definedName name="ABC" localSheetId="1" hidden="1">'[2]Eq. Mobilization'!#REF!</definedName>
    <definedName name="ABC" localSheetId="0" hidden="1">'[2]Eq. Mobilization'!#REF!</definedName>
    <definedName name="ABC" localSheetId="3" hidden="1">'[2]Eq. Mobilization'!#REF!</definedName>
    <definedName name="ABC" localSheetId="5" hidden="1">'[2]Eq. Mobilization'!#REF!</definedName>
    <definedName name="ABC" localSheetId="6" hidden="1">'[2]Eq. Mobilization'!#REF!</definedName>
    <definedName name="ABC" localSheetId="7" hidden="1">#REF!</definedName>
    <definedName name="ABC" hidden="1">'[2]Eq. Mobilization'!#REF!</definedName>
    <definedName name="CO" localSheetId="2" hidden="1">'[3]Eq. Mobilization'!#REF!</definedName>
    <definedName name="CO" localSheetId="1" hidden="1">'[3]Eq. Mobilization'!#REF!</definedName>
    <definedName name="CO" localSheetId="0" hidden="1">'[3]Eq. Mobilization'!#REF!</definedName>
    <definedName name="CO" localSheetId="3" hidden="1">'[3]Eq. Mobilization'!#REF!</definedName>
    <definedName name="CO" localSheetId="5" hidden="1">'[3]Eq. Mobilization'!#REF!</definedName>
    <definedName name="CO" localSheetId="6" hidden="1">'[3]Eq. Mobilization'!#REF!</definedName>
    <definedName name="CO" localSheetId="7" hidden="1">#REF!</definedName>
    <definedName name="CO" hidden="1">'[3]Eq. Mobilization'!#REF!</definedName>
    <definedName name="e" localSheetId="5" hidden="1">'[1]Eq. Mobilization'!#REF!</definedName>
    <definedName name="e" localSheetId="6" hidden="1">'[1]Eq. Mobilization'!#REF!</definedName>
    <definedName name="e" localSheetId="7" hidden="1">#REF!</definedName>
    <definedName name="e" hidden="1">'[1]Eq. Mobilization'!#REF!</definedName>
    <definedName name="Ge" localSheetId="5" hidden="1">'[1]Eq. Mobilization'!#REF!</definedName>
    <definedName name="Ge" localSheetId="6" hidden="1">'[1]Eq. Mobilization'!#REF!</definedName>
    <definedName name="Ge" localSheetId="7" hidden="1">#REF!</definedName>
    <definedName name="Ge" hidden="1">'[1]Eq. Mobilization'!#REF!</definedName>
    <definedName name="iv2dt" localSheetId="2" hidden="1">'[1]Eq. Mobilization'!#REF!</definedName>
    <definedName name="iv2dt" localSheetId="1" hidden="1">'[1]Eq. Mobilization'!#REF!</definedName>
    <definedName name="iv2dt" localSheetId="0" hidden="1">'[1]Eq. Mobilization'!#REF!</definedName>
    <definedName name="iv2dt" localSheetId="3" hidden="1">'[1]Eq. Mobilization'!#REF!</definedName>
    <definedName name="iv2dt" localSheetId="5" hidden="1">'[1]Eq. Mobilization'!#REF!</definedName>
    <definedName name="iv2dt" localSheetId="6" hidden="1">'[1]Eq. Mobilization'!#REF!</definedName>
    <definedName name="iv2dt" localSheetId="7" hidden="1">#REF!</definedName>
    <definedName name="iv2dt" hidden="1">'[1]Eq. Mobilization'!#REF!</definedName>
    <definedName name="ivdt" localSheetId="2" hidden="1">'[1]Eq. Mobilization'!#REF!</definedName>
    <definedName name="ivdt" localSheetId="1" hidden="1">'[1]Eq. Mobilization'!#REF!</definedName>
    <definedName name="ivdt" localSheetId="0" hidden="1">'[1]Eq. Mobilization'!#REF!</definedName>
    <definedName name="ivdt" localSheetId="3" hidden="1">'[1]Eq. Mobilization'!#REF!</definedName>
    <definedName name="ivdt" localSheetId="5" hidden="1">'[1]Eq. Mobilization'!#REF!</definedName>
    <definedName name="ivdt" localSheetId="6" hidden="1">'[1]Eq. Mobilization'!#REF!</definedName>
    <definedName name="ivdt" localSheetId="7" hidden="1">#REF!</definedName>
    <definedName name="ivdt" hidden="1">'[1]Eq. Mobilization'!#REF!</definedName>
    <definedName name="KABOLINE" localSheetId="2" hidden="1">'[1]Eq. Mobilization'!#REF!</definedName>
    <definedName name="KABOLINE" localSheetId="1" hidden="1">'[1]Eq. Mobilization'!#REF!</definedName>
    <definedName name="KABOLINE" localSheetId="0" hidden="1">'[1]Eq. Mobilization'!#REF!</definedName>
    <definedName name="KABOLINE" localSheetId="3" hidden="1">'[1]Eq. Mobilization'!#REF!</definedName>
    <definedName name="KABOLINE" localSheetId="5" hidden="1">'[1]Eq. Mobilization'!#REF!</definedName>
    <definedName name="KABOLINE" localSheetId="6" hidden="1">'[1]Eq. Mobilization'!#REF!</definedName>
    <definedName name="KABOLINE" localSheetId="7" hidden="1">#REF!</definedName>
    <definedName name="KABOLINE" hidden="1">'[1]Eq. Mobilization'!#REF!</definedName>
    <definedName name="latent" localSheetId="7">#REF!</definedName>
    <definedName name="latent">'[4]steam table'!$N$5:$Q$102</definedName>
    <definedName name="_xlnm.Print_Titles" localSheetId="2">'Break Down CI'!$7:$7</definedName>
    <definedName name="_xlnm.Print_Titles" localSheetId="0">'Detailed PL'!$13:$14</definedName>
    <definedName name="_xlnm.Print_Titles" localSheetId="4">'PL(2_2)'!$13:$14</definedName>
    <definedName name="_xlnm.Print_Titles" localSheetId="7">'Technical Description'!$7:$8</definedName>
    <definedName name="SM" localSheetId="5" hidden="1">#REF!</definedName>
    <definedName name="SM" localSheetId="6" hidden="1">#REF!</definedName>
    <definedName name="SM" hidden="1">#REF!</definedName>
    <definedName name="tube_test_press1_12">#REF!</definedName>
    <definedName name="_xlnm.Print_Area" localSheetId="2">'Break Down CI'!$A$1:$O$16</definedName>
    <definedName name="_xlnm.Print_Area" localSheetId="1">'Commercial Invoice'!$A$1:$K$47</definedName>
    <definedName name="_xlnm.Print_Area" localSheetId="0">'Detailed PL'!$A$1:$U$23</definedName>
    <definedName name="_xlnm.Print_Area" localSheetId="3">'Packing List (1_2)'!$A$1:$K$48</definedName>
    <definedName name="_xlnm.Print_Area" localSheetId="4">'PL(2_2)'!$B$1:$T$17</definedName>
    <definedName name="_xlnm.Print_Area" localSheetId="5">'SHIPPING MARK (1)'!$A$1:$J$24</definedName>
    <definedName name="_xlnm.Print_Area" localSheetId="6">'SHIPPING MARK (2)'!$A$1:$J$24</definedName>
    <definedName name="_xlnm.Print_Area" localSheetId="7">'Technical Description'!$A$1:$H$11</definedName>
    <definedName name="weki_9701.xls" localSheetId="2" hidden="1">'[1]Eq. Mobilization'!#REF!</definedName>
    <definedName name="weki_9701.xls" localSheetId="1" hidden="1">'[1]Eq. Mobilization'!#REF!</definedName>
    <definedName name="weki_9701.xls" localSheetId="3" hidden="1">'[1]Eq. Mobilization'!#REF!</definedName>
    <definedName name="weki_9701.xls" localSheetId="5" hidden="1">'[1]Eq. Mobilization'!#REF!</definedName>
    <definedName name="weki_9701.xls" localSheetId="6" hidden="1">'[1]Eq. Mobilization'!#REF!</definedName>
    <definedName name="weki_9701.xls" localSheetId="7" hidden="1">#REF!</definedName>
    <definedName name="weki_9701.xls" hidden="1">'[1]Eq. Mobilization'!#REF!</definedName>
    <definedName name="wekir9701.xls" localSheetId="2" hidden="1">'[1]Eq. Mobilization'!#REF!</definedName>
    <definedName name="wekir9701.xls" localSheetId="1" hidden="1">'[1]Eq. Mobilization'!#REF!</definedName>
    <definedName name="wekir9701.xls" localSheetId="3" hidden="1">'[1]Eq. Mobilization'!#REF!</definedName>
    <definedName name="wekir9701.xls" localSheetId="5" hidden="1">'[1]Eq. Mobilization'!#REF!</definedName>
    <definedName name="wekir9701.xls" localSheetId="6" hidden="1">'[1]Eq. Mobilization'!#REF!</definedName>
    <definedName name="wekir9701.xls" localSheetId="7" hidden="1">#REF!</definedName>
    <definedName name="wekir9701.xls" hidden="1">'[1]Eq. Mobilization'!#REF!</definedName>
    <definedName name="X" localSheetId="2" hidden="1">'[2]Eq. Mobilization'!#REF!</definedName>
    <definedName name="X" localSheetId="1" hidden="1">'[2]Eq. Mobilization'!#REF!</definedName>
    <definedName name="X" localSheetId="3" hidden="1">'[2]Eq. Mobilization'!#REF!</definedName>
    <definedName name="X" localSheetId="5" hidden="1">'[2]Eq. Mobilization'!#REF!</definedName>
    <definedName name="X" localSheetId="6" hidden="1">'[2]Eq. Mobilization'!#REF!</definedName>
    <definedName name="X" localSheetId="7" hidden="1">#REF!</definedName>
    <definedName name="X" hidden="1">'[2]Eq. Mobilization'!#REF!</definedName>
    <definedName name="Z" localSheetId="2" hidden="1">'[2]Eq. Mobilization'!#REF!</definedName>
    <definedName name="Z" localSheetId="1" hidden="1">'[2]Eq. Mobilization'!#REF!</definedName>
    <definedName name="Z" localSheetId="3" hidden="1">'[2]Eq. Mobilization'!#REF!</definedName>
    <definedName name="Z" localSheetId="5" hidden="1">'[2]Eq. Mobilization'!#REF!</definedName>
    <definedName name="Z" localSheetId="6" hidden="1">'[2]Eq. Mobilization'!#REF!</definedName>
    <definedName name="Z" localSheetId="7" hidden="1">#REF!</definedName>
    <definedName name="Z" hidden="1">'[2]Eq. Mobilization'!#REF!</definedName>
    <definedName name="ㄴㅇㄹㅇㄹ" localSheetId="2" hidden="1">'[2]Eq. Mobilization'!#REF!</definedName>
    <definedName name="ㄴㅇㄹㅇㄹ" localSheetId="1" hidden="1">'[2]Eq. Mobilization'!#REF!</definedName>
    <definedName name="ㄴㅇㄹㅇㄹ" localSheetId="0" hidden="1">'[2]Eq. Mobilization'!#REF!</definedName>
    <definedName name="ㄴㅇㄹㅇㄹ" localSheetId="3" hidden="1">'[2]Eq. Mobilization'!#REF!</definedName>
    <definedName name="ㄴㅇㄹㅇㄹ" localSheetId="5" hidden="1">'[2]Eq. Mobilization'!#REF!</definedName>
    <definedName name="ㄴㅇㄹㅇㄹ" localSheetId="6" hidden="1">'[2]Eq. Mobilization'!#REF!</definedName>
    <definedName name="ㄴㅇㄹㅇㄹ" localSheetId="7" hidden="1">#REF!</definedName>
    <definedName name="ㄴㅇㄹㅇㄹ" hidden="1">'[2]Eq. Mobilization'!#REF!</definedName>
    <definedName name="느" localSheetId="5" hidden="1">'[1]Eq. Mobilization'!#REF!</definedName>
    <definedName name="느" localSheetId="6" hidden="1">'[1]Eq. Mobilization'!#REF!</definedName>
    <definedName name="느" localSheetId="7" hidden="1">#REF!</definedName>
    <definedName name="느" hidden="1">'[1]Eq. Mobilization'!#REF!</definedName>
    <definedName name="ㅊㅌㅍㅊㅍㅊㅌㅍㅊㅌㅍㅊㅌㅍㅊㅌㅍㅊㅌㅍ" localSheetId="2" hidden="1">'[5]Eq. Mobilization'!#REF!</definedName>
    <definedName name="ㅊㅌㅍㅊㅍㅊㅌㅍㅊㅌㅍㅊㅌㅍㅊㅌㅍㅊㅌㅍ" localSheetId="1" hidden="1">'[5]Eq. Mobilization'!#REF!</definedName>
    <definedName name="ㅊㅌㅍㅊㅍㅊㅌㅍㅊㅌㅍㅊㅌㅍㅊㅌㅍㅊㅌㅍ" localSheetId="0" hidden="1">'[5]Eq. Mobilization'!#REF!</definedName>
    <definedName name="ㅊㅌㅍㅊㅍㅊㅌㅍㅊㅌㅍㅊㅌㅍㅊㅌㅍㅊㅌㅍ" localSheetId="3" hidden="1">'[5]Eq. Mobilization'!#REF!</definedName>
    <definedName name="ㅊㅌㅍㅊㅍㅊㅌㅍㅊㅌㅍㅊㅌㅍㅊㅌㅍㅊㅌㅍ" localSheetId="5" hidden="1">'[5]Eq. Mobilization'!#REF!</definedName>
    <definedName name="ㅊㅌㅍㅊㅍㅊㅌㅍㅊㅌㅍㅊㅌㅍㅊㅌㅍㅊㅌㅍ" localSheetId="6" hidden="1">'[5]Eq. Mobilization'!#REF!</definedName>
    <definedName name="ㅊㅌㅍㅊㅍㅊㅌㅍㅊㅌㅍㅊㅌㅍㅊㅌㅍㅊㅌㅍ" localSheetId="7" hidden="1">#REF!</definedName>
    <definedName name="ㅊㅌㅍㅊㅍㅊㅌㅍㅊㅌㅍㅊㅌㅍㅊㅌㅍㅊㅌㅍ" hidden="1">'[5]Eq. Mobilization'!#REF!</definedName>
    <definedName name="ㅊㅌㅍㅊㅍㅌㅋㅊㅍㅌㅊㅍ" localSheetId="2" hidden="1">'[5]Eq. Mobilization'!#REF!</definedName>
    <definedName name="ㅊㅌㅍㅊㅍㅌㅋㅊㅍㅌㅊㅍ" localSheetId="1" hidden="1">'[5]Eq. Mobilization'!#REF!</definedName>
    <definedName name="ㅊㅌㅍㅊㅍㅌㅋㅊㅍㅌㅊㅍ" localSheetId="0" hidden="1">'[5]Eq. Mobilization'!#REF!</definedName>
    <definedName name="ㅊㅌㅍㅊㅍㅌㅋㅊㅍㅌㅊㅍ" localSheetId="3" hidden="1">'[5]Eq. Mobilization'!#REF!</definedName>
    <definedName name="ㅊㅌㅍㅊㅍㅌㅋㅊㅍㅌㅊㅍ" localSheetId="5" hidden="1">'[5]Eq. Mobilization'!#REF!</definedName>
    <definedName name="ㅊㅌㅍㅊㅍㅌㅋㅊㅍㅌㅊㅍ" localSheetId="6" hidden="1">'[5]Eq. Mobilization'!#REF!</definedName>
    <definedName name="ㅊㅌㅍㅊㅍㅌㅋㅊㅍㅌㅊㅍ" localSheetId="7" hidden="1">#REF!</definedName>
    <definedName name="ㅊㅌㅍㅊㅍㅌㅋㅊㅍㅌㅊㅍ" hidden="1">'[5]Eq. Mobilization'!#REF!</definedName>
    <definedName name="ㅊㅌㅍㅋㅊㅍㅌㅊㅍㅌㅊㅍ" localSheetId="2" hidden="1">'[5]Eq. Mobilization'!#REF!</definedName>
    <definedName name="ㅊㅌㅍㅋㅊㅍㅌㅊㅍㅌㅊㅍ" localSheetId="1" hidden="1">'[5]Eq. Mobilization'!#REF!</definedName>
    <definedName name="ㅊㅌㅍㅋㅊㅍㅌㅊㅍㅌㅊㅍ" localSheetId="0" hidden="1">'[5]Eq. Mobilization'!#REF!</definedName>
    <definedName name="ㅊㅌㅍㅋㅊㅍㅌㅊㅍㅌㅊㅍ" localSheetId="3" hidden="1">'[5]Eq. Mobilization'!#REF!</definedName>
    <definedName name="ㅊㅌㅍㅋㅊㅍㅌㅊㅍㅌㅊㅍ" localSheetId="5" hidden="1">'[5]Eq. Mobilization'!#REF!</definedName>
    <definedName name="ㅊㅌㅍㅋㅊㅍㅌㅊㅍㅌㅊㅍ" localSheetId="6" hidden="1">'[5]Eq. Mobilization'!#REF!</definedName>
    <definedName name="ㅊㅌㅍㅋㅊㅍㅌㅊㅍㅌㅊㅍ" localSheetId="7" hidden="1">#REF!</definedName>
    <definedName name="ㅊㅌㅍㅋㅊㅍㅌㅊㅍㅌㅊㅍ" hidden="1">'[5]Eq. Mobilization'!#REF!</definedName>
    <definedName name="ㅊㅌㅍㅌㅊㅍㅊㅌㅍㅌㅊㅍㅌㅊㅍ" localSheetId="2" hidden="1">'[5]Eq. Mobilization'!#REF!</definedName>
    <definedName name="ㅊㅌㅍㅌㅊㅍㅊㅌㅍㅌㅊㅍㅌㅊㅍ" localSheetId="1" hidden="1">'[5]Eq. Mobilization'!#REF!</definedName>
    <definedName name="ㅊㅌㅍㅌㅊㅍㅊㅌㅍㅌㅊㅍㅌㅊㅍ" localSheetId="0" hidden="1">'[5]Eq. Mobilization'!#REF!</definedName>
    <definedName name="ㅊㅌㅍㅌㅊㅍㅊㅌㅍㅌㅊㅍㅌㅊㅍ" localSheetId="3" hidden="1">'[5]Eq. Mobilization'!#REF!</definedName>
    <definedName name="ㅊㅌㅍㅌㅊㅍㅊㅌㅍㅌㅊㅍㅌㅊㅍ" localSheetId="5" hidden="1">'[5]Eq. Mobilization'!#REF!</definedName>
    <definedName name="ㅊㅌㅍㅌㅊㅍㅊㅌㅍㅌㅊㅍㅌㅊㅍ" localSheetId="6" hidden="1">'[5]Eq. Mobilization'!#REF!</definedName>
    <definedName name="ㅊㅌㅍㅌㅊㅍㅊㅌㅍㅌㅊㅍㅌㅊㅍ" localSheetId="7" hidden="1">#REF!</definedName>
    <definedName name="ㅊㅌㅍㅌㅊㅍㅊㅌㅍㅌㅊㅍㅌㅊㅍ" hidden="1">'[5]Eq. Mobilization'!#REF!</definedName>
    <definedName name="ㅋ" localSheetId="2" hidden="1">'[5]Eq. Mobilization'!#REF!</definedName>
    <definedName name="ㅋ" localSheetId="1" hidden="1">'[5]Eq. Mobilization'!#REF!</definedName>
    <definedName name="ㅋ" localSheetId="0" hidden="1">'[5]Eq. Mobilization'!#REF!</definedName>
    <definedName name="ㅋ" localSheetId="3" hidden="1">'[5]Eq. Mobilization'!#REF!</definedName>
    <definedName name="ㅋ" localSheetId="5" hidden="1">'[5]Eq. Mobilization'!#REF!</definedName>
    <definedName name="ㅋ" localSheetId="6" hidden="1">'[5]Eq. Mobilization'!#REF!</definedName>
    <definedName name="ㅋ" localSheetId="7" hidden="1">#REF!</definedName>
    <definedName name="ㅋ" hidden="1">'[5]Eq. Mobilization'!#REF!</definedName>
    <definedName name="ㅋㅋㅋㅋ" localSheetId="2" hidden="1">'[5]Eq. Mobilization'!#REF!</definedName>
    <definedName name="ㅋㅋㅋㅋ" localSheetId="1" hidden="1">'[5]Eq. Mobilization'!#REF!</definedName>
    <definedName name="ㅋㅋㅋㅋ" localSheetId="0" hidden="1">'[5]Eq. Mobilization'!#REF!</definedName>
    <definedName name="ㅋㅋㅋㅋ" localSheetId="3" hidden="1">'[5]Eq. Mobilization'!#REF!</definedName>
    <definedName name="ㅋㅋㅋㅋ" localSheetId="5" hidden="1">'[5]Eq. Mobilization'!#REF!</definedName>
    <definedName name="ㅋㅋㅋㅋ" localSheetId="6" hidden="1">'[5]Eq. Mobilization'!#REF!</definedName>
    <definedName name="ㅋㅋㅋㅋ" localSheetId="7" hidden="1">#REF!</definedName>
    <definedName name="ㅋㅋㅋㅋ" hidden="1">'[5]Eq. Mobilization'!#REF!</definedName>
    <definedName name="ㅋㅋㅋㅋㅋㅋ" localSheetId="2" hidden="1">'[5]Eq. Mobilization'!#REF!</definedName>
    <definedName name="ㅋㅋㅋㅋㅋㅋ" localSheetId="1" hidden="1">'[5]Eq. Mobilization'!#REF!</definedName>
    <definedName name="ㅋㅋㅋㅋㅋㅋ" localSheetId="0" hidden="1">'[5]Eq. Mobilization'!#REF!</definedName>
    <definedName name="ㅋㅋㅋㅋㅋㅋ" localSheetId="3" hidden="1">'[5]Eq. Mobilization'!#REF!</definedName>
    <definedName name="ㅋㅋㅋㅋㅋㅋ" localSheetId="5" hidden="1">'[5]Eq. Mobilization'!#REF!</definedName>
    <definedName name="ㅋㅋㅋㅋㅋㅋ" localSheetId="6" hidden="1">'[5]Eq. Mobilization'!#REF!</definedName>
    <definedName name="ㅋㅋㅋㅋㅋㅋ" localSheetId="7" hidden="1">#REF!</definedName>
    <definedName name="ㅋㅋㅋㅋㅋㅋ" hidden="1">'[5]Eq. Mobilization'!#REF!</definedName>
    <definedName name="ㅋㅋㅋㅋㅋㅋㅋㅋㅋ" localSheetId="2" hidden="1">'[5]Eq. Mobilization'!#REF!</definedName>
    <definedName name="ㅋㅋㅋㅋㅋㅋㅋㅋㅋ" localSheetId="1" hidden="1">'[5]Eq. Mobilization'!#REF!</definedName>
    <definedName name="ㅋㅋㅋㅋㅋㅋㅋㅋㅋ" localSheetId="0" hidden="1">'[5]Eq. Mobilization'!#REF!</definedName>
    <definedName name="ㅋㅋㅋㅋㅋㅋㅋㅋㅋ" localSheetId="3" hidden="1">'[5]Eq. Mobilization'!#REF!</definedName>
    <definedName name="ㅋㅋㅋㅋㅋㅋㅋㅋㅋ" localSheetId="5" hidden="1">'[5]Eq. Mobilization'!#REF!</definedName>
    <definedName name="ㅋㅋㅋㅋㅋㅋㅋㅋㅋ" localSheetId="6" hidden="1">'[5]Eq. Mobilization'!#REF!</definedName>
    <definedName name="ㅋㅋㅋㅋㅋㅋㅋㅋㅋ" localSheetId="7" hidden="1">#REF!</definedName>
    <definedName name="ㅋㅋㅋㅋㅋㅋㅋㅋㅋ" hidden="1">'[5]Eq. Mobilization'!#REF!</definedName>
    <definedName name="ㅌㅊㅍㅌㅊㅍㅌㅋㅊㅍㅌ" localSheetId="2" hidden="1">'[5]Eq. Mobilization'!#REF!</definedName>
    <definedName name="ㅌㅊㅍㅌㅊㅍㅌㅋㅊㅍㅌ" localSheetId="1" hidden="1">'[5]Eq. Mobilization'!#REF!</definedName>
    <definedName name="ㅌㅊㅍㅌㅊㅍㅌㅋㅊㅍㅌ" localSheetId="0" hidden="1">'[5]Eq. Mobilization'!#REF!</definedName>
    <definedName name="ㅌㅊㅍㅌㅊㅍㅌㅋㅊㅍㅌ" localSheetId="3" hidden="1">'[5]Eq. Mobilization'!#REF!</definedName>
    <definedName name="ㅌㅊㅍㅌㅊㅍㅌㅋㅊㅍㅌ" localSheetId="5" hidden="1">'[5]Eq. Mobilization'!#REF!</definedName>
    <definedName name="ㅌㅊㅍㅌㅊㅍㅌㅋㅊㅍㅌ" localSheetId="6" hidden="1">'[5]Eq. Mobilization'!#REF!</definedName>
    <definedName name="ㅌㅊㅍㅌㅊㅍㅌㅋㅊㅍㅌ" localSheetId="7" hidden="1">#REF!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2" l="1"/>
  <c r="C19" i="12"/>
  <c r="C18" i="12"/>
  <c r="C17" i="12"/>
  <c r="C16" i="31"/>
  <c r="C17" i="31"/>
  <c r="C18" i="31"/>
  <c r="C19" i="31"/>
  <c r="K10" i="2"/>
  <c r="H14" i="2"/>
  <c r="S14" i="2"/>
  <c r="H10" i="2"/>
  <c r="S10" i="2"/>
  <c r="H11" i="2"/>
  <c r="S11" i="2"/>
  <c r="H12" i="2"/>
  <c r="S12" i="2"/>
  <c r="H13" i="2"/>
  <c r="S13" i="2"/>
  <c r="H9" i="2"/>
  <c r="S9" i="2"/>
  <c r="I20" i="31"/>
  <c r="P15" i="31"/>
  <c r="K9" i="2"/>
  <c r="P19" i="31"/>
  <c r="K13" i="2"/>
  <c r="P18" i="31"/>
  <c r="K12" i="2"/>
  <c r="P17" i="31"/>
  <c r="K11" i="2"/>
  <c r="P16" i="31"/>
  <c r="P20" i="31"/>
  <c r="H16" i="30"/>
  <c r="H15" i="30"/>
  <c r="J15" i="30"/>
  <c r="K15" i="30"/>
  <c r="J16" i="30"/>
  <c r="K16" i="30"/>
  <c r="I16" i="30"/>
  <c r="I15" i="30"/>
  <c r="C15" i="32"/>
  <c r="C21" i="32"/>
  <c r="C14" i="32"/>
  <c r="A3" i="32"/>
  <c r="E11" i="13"/>
  <c r="C11" i="13"/>
  <c r="E10" i="13"/>
  <c r="C10" i="13"/>
  <c r="C15" i="12"/>
  <c r="C16" i="30"/>
  <c r="B11" i="13"/>
  <c r="C15" i="30"/>
  <c r="D7" i="31"/>
  <c r="K31" i="3"/>
  <c r="I22" i="31"/>
  <c r="F16" i="30"/>
  <c r="H31" i="3"/>
  <c r="P21" i="31"/>
  <c r="K14" i="2"/>
  <c r="O20" i="31"/>
  <c r="L15" i="30"/>
  <c r="K30" i="3"/>
  <c r="F15" i="30"/>
  <c r="H30" i="3"/>
  <c r="D5" i="30"/>
  <c r="D5" i="31"/>
  <c r="G20" i="32"/>
  <c r="E20" i="32"/>
  <c r="C20" i="32"/>
  <c r="G20" i="12"/>
  <c r="E20" i="12"/>
  <c r="N15" i="2"/>
  <c r="K29" i="1"/>
  <c r="I29" i="1"/>
  <c r="J29" i="1"/>
  <c r="D11" i="13"/>
  <c r="I20" i="32"/>
  <c r="I20" i="12"/>
  <c r="D10" i="13"/>
  <c r="L17" i="30"/>
  <c r="P22" i="31"/>
  <c r="P23" i="31"/>
  <c r="B10" i="13"/>
  <c r="C17" i="32"/>
  <c r="O23" i="31"/>
  <c r="Q20" i="31"/>
  <c r="M15" i="30"/>
  <c r="Q22" i="31"/>
  <c r="M16" i="30"/>
  <c r="I31" i="3"/>
  <c r="N34" i="1"/>
  <c r="N16" i="30"/>
  <c r="J31" i="3"/>
  <c r="N15" i="30"/>
  <c r="J30" i="3"/>
  <c r="I30" i="3"/>
  <c r="M17" i="30"/>
  <c r="Q23" i="31"/>
  <c r="C18" i="32"/>
  <c r="K38" i="1"/>
  <c r="C19" i="32"/>
  <c r="N17" i="30"/>
  <c r="C21" i="12"/>
  <c r="B7" i="13"/>
  <c r="H15" i="1"/>
  <c r="H15" i="3"/>
  <c r="K38" i="3"/>
  <c r="C5" i="2"/>
  <c r="O5" i="2"/>
  <c r="H8" i="3"/>
  <c r="H6" i="3"/>
  <c r="D6" i="30"/>
  <c r="D6" i="31"/>
  <c r="C14" i="12"/>
  <c r="A3" i="12"/>
  <c r="I38" i="3"/>
  <c r="G9" i="3"/>
  <c r="B5" i="2"/>
  <c r="J38" i="3"/>
</calcChain>
</file>

<file path=xl/sharedStrings.xml><?xml version="1.0" encoding="utf-8"?>
<sst xmlns="http://schemas.openxmlformats.org/spreadsheetml/2006/main" count="481" uniqueCount="240">
  <si>
    <t>PECC2 Innovation Hub, 45 Street No.2, Truong Tho Ward, Thu Duc City, HCMC, Vietnam
Tel: +84-28-2221 6468 | Fax: +84-28-2221 0408</t>
  </si>
  <si>
    <t>COMMERCIAL INVOICE</t>
    <phoneticPr fontId="0" type="noConversion"/>
  </si>
  <si>
    <t>SHIPPER:</t>
  </si>
  <si>
    <t>INVOICE NO. :</t>
    <phoneticPr fontId="0" type="noConversion"/>
  </si>
  <si>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</si>
  <si>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</si>
  <si>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</si>
  <si>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</si>
  <si>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</si>
  <si>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</si>
  <si>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</si>
  <si>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</si>
  <si>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TERM OF DELIVERY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</si>
  <si>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</si>
  <si>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</si>
  <si>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</si>
  <si>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</si>
  <si>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</si>
  <si>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</si>
  <si>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</si>
  <si>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</si>
  <si>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</si>
  <si>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</si>
  <si>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</si>
  <si>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</si>
  <si>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</si>
  <si>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</si>
  <si>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</si>
  <si>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</si>
  <si>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</si>
  <si>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</si>
  <si>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</si>
  <si>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TOTAL AMOUNT AT THIS SHIPMENT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</si>
  <si>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</si>
  <si>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</si>
  <si>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</si>
  <si>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</si>
  <si>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</si>
  <si>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</si>
  <si>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</si>
  <si>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</si>
  <si>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</si>
  <si>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</si>
  <si>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</si>
  <si>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</si>
  <si>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</si>
  <si>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</si>
  <si>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</si>
  <si>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</si>
  <si>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</si>
  <si>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</si>
  <si>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</si>
  <si>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</si>
  <si>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</si>
  <si>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</si>
  <si>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</si>
  <si>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</si>
  <si>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</si>
  <si>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</si>
  <si>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</si>
  <si>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</si>
  <si>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</si>
  <si>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</si>
  <si>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</si>
  <si>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</si>
  <si>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</si>
  <si>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</si>
  <si>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</si>
  <si>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</si>
  <si>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</si>
  <si>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</si>
  <si>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</si>
  <si>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</si>
  <si>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</si>
  <si>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</si>
  <si>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</si>
  <si>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</si>
  <si>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</si>
  <si>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</si>
  <si>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</si>
  <si>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</si>
  <si>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</si>
  <si>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</si>
  <si>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</si>
  <si>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</si>
  <si>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</si>
  <si>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</si>
  <si>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</si>
  <si>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</si>
  <si>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</si>
  <si>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</si>
  <si>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</si>
  <si>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Sub-Total</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</si>
  <si>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</si>
  <si>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</si>
  <si>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</si>
  <si>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</si>
  <si>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</si>
  <si>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</si>
  <si>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</si>
  <si>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</si>
  <si>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</si>
  <si>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</si>
  <si>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</si>
  <si>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</si>
  <si>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</si>
  <si>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</si>
  <si>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</si>
  <si>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</si>
  <si>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</si>
  <si>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</si>
  <si>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</si>
  <si>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</si>
  <si>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</si>
  <si>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4" type="noConversion"/>
  </si>
  <si>
    <t>06/2025/HĐ-PVN/OM4-06</t>
    <phoneticPr fontId="34"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</si>
  <si>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</si>
  <si>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</si>
  <si>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</si>
  <si>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</si>
  <si>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</si>
  <si>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</si>
  <si>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</si>
  <si>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</si>
  <si>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</si>
  <si>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PECC2 Innovation Hub, 45 Street No.2, Truong Tho Ward, 
Thu Duc City, HCMC, Vietnam
Tel: +84-28-2221 6468 | Fax: +84-28-2221 0408</t>
    <phoneticPr fontId="34" type="noConversion"/>
  </si>
  <si>
    <t>O MON IV THERMAL POWER PLANT</t>
    <phoneticPr fontId="34" type="noConversion"/>
  </si>
  <si>
    <t xml:space="preserve">DATE  : </t>
    <phoneticPr fontId="34" type="noConversion"/>
  </si>
  <si>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4" type="noConversion"/>
  </si>
  <si>
    <t>Cty Doosan Enerbility Co.,Ltd HQ-Nha thau TH CV thuoc Goi thau so OM4-EPC-HHO-06 cho NMND O Mon IV 
Thoi Loi Area, Phuoc Thoi Ward, Can Tho City, Vietnam
T : (+84) 367 566 167 F : (+84 243) 624 8485</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</si>
  <si>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4" type="noConversion"/>
  </si>
  <si>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4" type="noConversion"/>
  </si>
  <si>
    <t>Address: O Mon Power Complex at Phuoc Thoi wards, Can Tho city</t>
  </si>
  <si>
    <t>PLANT/ EQUIPMENT AND MATERIALS FOR O MON IV THERMAL POWER PLANT
(Contract No. OM4-PO-DE-001)</t>
    <phoneticPr fontId="34" type="noConversion"/>
  </si>
  <si>
    <t>PLANT/ EQUIPMENT AND MATERIALS FOR 
O MON IV THERMAL POWER PLANT
(Contract No. OM4-PO-DE-001)</t>
    <phoneticPr fontId="34" type="noConversion"/>
  </si>
  <si>
    <t xml:space="preserve">Doosan Enerbility Co., Ltd.
</t>
    <phoneticPr fontId="34" type="noConversion"/>
  </si>
  <si>
    <t xml:space="preserve">22 DoosanVolvo-ro, Seongsan-gu, Chang-won-si, 
Gyeongsangnam-do 51711, Republic of Korea </t>
    <phoneticPr fontId="34" type="noConversion"/>
  </si>
  <si>
    <t>Cty Doosan Enerbility Co.,Ltd HQ-Nha thau TH CV thuoc Goi thau so OM4-EPC-HHO-06 cho NMND O Mon IV 
Thoi Loi Area, Phuoc Thoi Ward, Can Tho City, Vietnam
T : (+84) 367 566 167 F : (+84 243) 624 8485</t>
    <phoneticPr fontId="34"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</si>
  <si>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4" type="noConversion"/>
  </si>
  <si>
    <t>Ho Chi Minh City Port, Vietnam</t>
  </si>
  <si>
    <t>COG Marked (Y/N)</t>
    <phoneticPr fontId="34" type="noConversion"/>
  </si>
  <si>
    <t>Sling Point Marked (Y/N)</t>
    <phoneticPr fontId="34" type="noConversion"/>
  </si>
  <si>
    <t>Handle with care Marked
(Y/N)</t>
    <phoneticPr fontId="34" type="noConversion"/>
  </si>
  <si>
    <t>Republic of Korea</t>
    <phoneticPr fontId="34" type="noConversion"/>
  </si>
  <si>
    <t>C/O of Goods</t>
    <phoneticPr fontId="0" type="noConversion"/>
  </si>
  <si>
    <t>Position in price schedule</t>
    <phoneticPr fontId="0" type="noConversion"/>
  </si>
  <si>
    <t>EA</t>
  </si>
  <si>
    <t>EA</t>
    <phoneticPr fontId="34" type="noConversion"/>
  </si>
  <si>
    <t>N</t>
    <phoneticPr fontId="34" type="noConversion"/>
  </si>
  <si>
    <t>D</t>
    <phoneticPr fontId="34" type="noConversion"/>
  </si>
  <si>
    <t>125mm (5")</t>
  </si>
  <si>
    <t>Y</t>
    <phoneticPr fontId="34" type="noConversion"/>
  </si>
  <si>
    <t xml:space="preserve">SHIPMENT NO. : </t>
    <phoneticPr fontId="34" type="noConversion"/>
  </si>
  <si>
    <t>1</t>
    <phoneticPr fontId="34" type="noConversion"/>
  </si>
  <si>
    <t>2</t>
  </si>
  <si>
    <t>3</t>
  </si>
  <si>
    <t>4</t>
  </si>
  <si>
    <t>5</t>
  </si>
  <si>
    <t>6</t>
  </si>
  <si>
    <t>C/O of Goods</t>
  </si>
  <si>
    <t>Quantity</t>
  </si>
  <si>
    <t>Package Type</t>
  </si>
  <si>
    <t>UNIT PRICE
(USD)</t>
  </si>
  <si>
    <t>AMOUNT
(USD)</t>
  </si>
  <si>
    <t>Remark
(**)</t>
  </si>
  <si>
    <t>Nos</t>
  </si>
  <si>
    <t>Unit</t>
  </si>
  <si>
    <t>GROSS WEIGHT
(KG)</t>
    <phoneticPr fontId="34" type="noConversion"/>
  </si>
  <si>
    <t>NET 
WEIGHT
(KG)</t>
    <phoneticPr fontId="34" type="noConversion"/>
  </si>
  <si>
    <t>BOP</t>
  </si>
  <si>
    <t>Republic of Korea</t>
  </si>
  <si>
    <t>HRSG</t>
  </si>
  <si>
    <t>HRSG</t>
    <phoneticPr fontId="0" type="noConversion"/>
  </si>
  <si>
    <t>STG</t>
  </si>
  <si>
    <t>STG</t>
    <phoneticPr fontId="0" type="noConversion"/>
  </si>
  <si>
    <t>GTG</t>
  </si>
  <si>
    <t>GTG</t>
    <phoneticPr fontId="0" type="noConversion"/>
  </si>
  <si>
    <t>P0</t>
    <phoneticPr fontId="34" type="noConversion"/>
  </si>
  <si>
    <t>SAMSUNG E&amp;L</t>
  </si>
  <si>
    <t>SAMSUNG E&amp;L</t>
    <phoneticPr fontId="34" type="noConversion"/>
  </si>
  <si>
    <t>Technical Description</t>
    <phoneticPr fontId="34" type="noConversion"/>
  </si>
  <si>
    <t>Invoice no.</t>
    <phoneticPr fontId="34" type="noConversion"/>
  </si>
  <si>
    <t>№</t>
  </si>
  <si>
    <t>Package No.</t>
    <phoneticPr fontId="34" type="noConversion"/>
  </si>
  <si>
    <t>Description of Goods</t>
    <phoneticPr fontId="34" type="noConversion"/>
  </si>
  <si>
    <t>Quantity</t>
    <phoneticPr fontId="34" type="noConversion"/>
  </si>
  <si>
    <t>Photo</t>
    <phoneticPr fontId="34" type="noConversion"/>
  </si>
  <si>
    <t>Technical specifications</t>
    <phoneticPr fontId="34" type="noConversion"/>
  </si>
  <si>
    <t>Nos</t>
    <phoneticPr fontId="34" type="noConversion"/>
  </si>
  <si>
    <t>Unit</t>
    <phoneticPr fontId="34" type="noConversion"/>
  </si>
  <si>
    <t>Before packing</t>
    <phoneticPr fontId="34" type="noConversion"/>
  </si>
  <si>
    <t>After packing</t>
    <phoneticPr fontId="34" type="noConversion"/>
  </si>
  <si>
    <t>DESCRIPTION OF GOODS</t>
    <phoneticPr fontId="34" type="noConversion"/>
  </si>
  <si>
    <t>Jinho. Lee / Deputy Project Director</t>
  </si>
  <si>
    <t>Busan International Port, Korea</t>
  </si>
  <si>
    <t>T/T</t>
    <phoneticPr fontId="34" type="noConversion"/>
  </si>
  <si>
    <t>PAYMENT TERMS:</t>
    <phoneticPr fontId="34" type="noConversion"/>
  </si>
  <si>
    <t>Busan International Port, Korea</t>
    <phoneticPr fontId="34" type="noConversion"/>
  </si>
  <si>
    <t>Freight</t>
  </si>
  <si>
    <t>Insurance</t>
  </si>
  <si>
    <t>Ho Chi Minh City Port, Vietnam</t>
    <phoneticPr fontId="34" type="noConversion"/>
  </si>
  <si>
    <t>CIF, Ho Chi Minh City Port, Vietnam</t>
    <phoneticPr fontId="34" type="noConversion"/>
  </si>
  <si>
    <t xml:space="preserve"> P0 </t>
  </si>
  <si>
    <t>PS 1.1, Ⅴ, 11</t>
  </si>
  <si>
    <t>Conduit &amp; Accessories included I&amp;C Conduit 
(Steel Conduit)</t>
    <phoneticPr fontId="34" type="noConversion"/>
  </si>
  <si>
    <t>Flexible Conduit</t>
    <phoneticPr fontId="34" type="noConversion"/>
  </si>
  <si>
    <t>Wooden</t>
    <phoneticPr fontId="34" type="noConversion"/>
  </si>
  <si>
    <t>Flexible Conduit (Water proof type)</t>
  </si>
  <si>
    <t>PIPE CLAMP With Bolt/Nut/Washer</t>
  </si>
  <si>
    <t>M</t>
    <phoneticPr fontId="34" type="noConversion"/>
  </si>
  <si>
    <t>Flexible Conduit Connector (Male Type)</t>
  </si>
  <si>
    <t>Flexible Conduit Connector (Female Type)</t>
  </si>
  <si>
    <t>Insulation Bushing W/Earthing</t>
  </si>
  <si>
    <t>P0</t>
  </si>
  <si>
    <t>SET</t>
    <phoneticPr fontId="34" type="noConversion"/>
  </si>
  <si>
    <t>150mm (6")</t>
  </si>
  <si>
    <t>150mm (6")</t>
    <phoneticPr fontId="34" type="noConversion"/>
  </si>
  <si>
    <t>Conduit Fittings</t>
    <phoneticPr fontId="34" type="noConversion"/>
  </si>
  <si>
    <t>OM4-DE-IS-0011</t>
    <phoneticPr fontId="34" type="noConversion"/>
  </si>
  <si>
    <t>OM4-DE-IS-0011-001</t>
    <phoneticPr fontId="34" type="noConversion"/>
  </si>
  <si>
    <t>OM4-DE-IS-0011-002</t>
    <phoneticPr fontId="34" type="noConversion"/>
  </si>
  <si>
    <t>Coupling for Steel Conduit</t>
    <phoneticPr fontId="34" type="noConversion"/>
  </si>
  <si>
    <t>HS CODE</t>
    <phoneticPr fontId="34" type="noConversion"/>
  </si>
  <si>
    <t>7307.92-9000</t>
  </si>
  <si>
    <t>7326.90-9000</t>
  </si>
  <si>
    <t>7907.00-2020</t>
  </si>
  <si>
    <t>7907.00-9090</t>
  </si>
  <si>
    <t>8307.10-0000</t>
  </si>
  <si>
    <t>POSITION IN THE MASTER LIST</t>
  </si>
  <si>
    <t>N/A</t>
    <phoneticPr fontId="34" type="noConversion"/>
  </si>
  <si>
    <t>SAWASDEE SUNRISE 2608S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</si>
</sst>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00_-;\-* #,##0.00_-;_-* &quot;-&quot;_-;_-@_-"/>
    <numFmt numFmtId="165" formatCode="_-* #,##0.000_-;\-* #,##0.000_-;_-* &quot;-&quot;???_-;_-@_-"/>
    <numFmt numFmtId="166" formatCode="#,##0.000_);[Red]\(#,##0.000\)"/>
    <numFmt numFmtId="167" formatCode="_-* #,##0.0_-;\-* #,##0.0_-;_-* &quot;-&quot;_-;_-@_-"/>
    <numFmt numFmtId="168" formatCode="0.00_);[Red]\(0.00\)"/>
    <numFmt numFmtId="169" formatCode="&quot;#&quot;\ 00"/>
    <numFmt numFmtId="170" formatCode="&quot;#&quot;00"/>
    <numFmt numFmtId="171" formatCode="0_);[Red]\(0\)"/>
    <numFmt numFmtId="172" formatCode="0.000_);[Red]\(0.000\)"/>
    <numFmt numFmtId="173" formatCode="_(* #,##0_);_(* \(#,##0\);_(* &quot;-&quot;??_);_(@_)"/>
    <numFmt numFmtId="174" formatCode="#,##0_ "/>
    <numFmt numFmtId="175" formatCode="#,##0.00_ ;[Red]\-#,##0.00\ "/>
  </numFmts>
  <fonts count="59">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sz val="10"/>
      <color rgb="FFFF0000"/>
      <name val="Arial"/>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10"/>
      <name val="돋움"/>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18"/>
      <color rgb="FFFF0000"/>
      <name val="Calibri"/>
      <family val="2"/>
    </font>
    <font>
      <sz val="8"/>
      <name val="Arial"/>
      <family val="2"/>
    </font>
    <font>
      <i/>
      <sz val="20"/>
      <color rgb="FFFF0000"/>
      <name val="Calibri"/>
      <family val="2"/>
    </font>
    <font>
      <i/>
      <sz val="20"/>
      <name val="돋움"/>
      <family val="3"/>
      <charset val="129"/>
    </font>
    <font>
      <sz val="9"/>
      <name val="돋움"/>
      <family val="3"/>
      <charset val="129"/>
    </font>
    <font>
      <sz val="10"/>
      <color rgb="FF0000FF"/>
      <name val="Calibri"/>
      <family val="2"/>
    </font>
    <font>
      <b/>
      <sz val="10"/>
      <name val="돋움"/>
      <family val="3"/>
      <charset val="129"/>
    </font>
    <font>
      <b/>
      <sz val="14"/>
      <name val="Arial"/>
      <family val="2"/>
    </font>
    <font>
      <sz val="9"/>
      <name val="Calibri"/>
      <family val="2"/>
    </font>
    <font>
      <u/>
      <sz val="11"/>
      <color theme="10"/>
      <name val="돋움"/>
      <family val="3"/>
      <charset val="129"/>
    </font>
    <font>
      <u/>
      <sz val="10"/>
      <name val="Calibri"/>
      <family val="2"/>
    </font>
    <font>
      <b/>
      <sz val="14"/>
      <name val="Calibri"/>
      <family val="2"/>
    </font>
    <font>
      <b/>
      <i/>
      <sz val="14"/>
      <name val="Calibri"/>
      <family val="2"/>
    </font>
    <font>
      <sz val="13"/>
      <name val="Calibri"/>
      <family val="2"/>
    </font>
    <font>
      <i/>
      <sz val="13"/>
      <name val="Calibri"/>
      <family val="2"/>
    </font>
    <font>
      <sz val="11"/>
      <name val="굴림체"/>
      <family val="3"/>
      <charset val="129"/>
    </font>
    <font>
      <sz val="13"/>
      <color rgb="FF0000CC"/>
      <name val="Calibri"/>
      <family val="2"/>
    </font>
    <font>
      <i/>
      <sz val="13"/>
      <color rgb="FF0000CC"/>
      <name val="Calibri"/>
      <family val="2"/>
    </font>
    <font>
      <sz val="14"/>
      <name val="Calibri"/>
      <family val="2"/>
    </font>
    <font>
      <sz val="1"/>
      <color indexed="8"/>
      <name val="Courier"/>
      <family val="3"/>
    </font>
    <font>
      <b/>
      <sz val="9"/>
      <name val="Calibri"/>
      <family val="2"/>
    </font>
    <font>
      <b/>
      <i/>
      <sz val="9"/>
      <name val="Calibri"/>
      <family val="2"/>
    </font>
    <font>
      <b/>
      <sz val="10"/>
      <color rgb="FFFF0000"/>
      <name val="Arial"/>
      <family val="2"/>
    </font>
    <font>
      <sz val="20"/>
      <name val="Calibr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5" fillId="0" borderId="0">
      <alignment vertical="center"/>
    </xf>
    <xf numFmtId="41" fontId="1" fillId="0" borderId="0" applyFont="0" applyFill="0" applyBorder="0" applyAlignment="0" applyProtection="0"/>
    <xf numFmtId="0" fontId="1" fillId="0" borderId="0">
      <alignment vertical="center"/>
    </xf>
    <xf numFmtId="0" fontId="31" fillId="0" borderId="0">
      <alignment vertical="center"/>
    </xf>
    <xf numFmtId="0" fontId="1" fillId="0" borderId="0">
      <alignment vertical="center"/>
    </xf>
    <xf numFmtId="0" fontId="44" fillId="0" borderId="0" applyNumberFormat="0" applyFill="0" applyBorder="0" applyAlignment="0" applyProtection="0">
      <alignment vertical="center"/>
    </xf>
    <xf numFmtId="0" fontId="50" fillId="0" borderId="0"/>
    <xf numFmtId="4" fontId="54"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cellStyleXfs>
  <cellXfs count="520">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10" xfId="3" applyFont="1" applyBorder="1" applyAlignment="1">
      <alignment vertical="center"/>
    </xf>
    <xf numFmtId="37" fontId="2" fillId="0" borderId="10" xfId="3" applyFont="1" applyBorder="1" applyAlignment="1">
      <alignment horizontal="center" vertical="center"/>
    </xf>
    <xf numFmtId="37" fontId="2" fillId="0" borderId="11" xfId="3" applyFont="1" applyBorder="1" applyAlignment="1">
      <alignment horizontal="center" vertical="center"/>
    </xf>
    <xf numFmtId="37" fontId="3" fillId="0" borderId="12" xfId="3" applyFont="1" applyBorder="1" applyAlignment="1">
      <alignment vertical="center"/>
    </xf>
    <xf numFmtId="37" fontId="2" fillId="0" borderId="10" xfId="3" applyFont="1" applyBorder="1" applyAlignment="1">
      <alignment horizontal="left" vertical="center"/>
    </xf>
    <xf numFmtId="37" fontId="2" fillId="0" borderId="13"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37" fontId="8" fillId="0" borderId="4" xfId="3" applyFont="1" applyBorder="1" applyAlignment="1">
      <alignment vertical="center"/>
    </xf>
    <xf numFmtId="37" fontId="3" fillId="0" borderId="15" xfId="3" applyFont="1" applyBorder="1" applyAlignment="1">
      <alignment vertical="center"/>
    </xf>
    <xf numFmtId="37" fontId="2" fillId="0" borderId="7" xfId="3" applyFont="1" applyBorder="1" applyAlignment="1">
      <alignment horizontal="left" vertical="center"/>
    </xf>
    <xf numFmtId="15" fontId="2" fillId="0" borderId="7" xfId="0" applyNumberFormat="1" applyFont="1" applyBorder="1" applyAlignment="1">
      <alignment horizontal="left" vertical="center"/>
    </xf>
    <xf numFmtId="37" fontId="2" fillId="0" borderId="8" xfId="3" applyFont="1" applyBorder="1" applyAlignme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2" fillId="0" borderId="13" xfId="0" applyFont="1" applyBorder="1">
      <alignment vertical="center"/>
    </xf>
    <xf numFmtId="37" fontId="2" fillId="0" borderId="7" xfId="3" applyFont="1" applyBorder="1" applyAlignment="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8"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15" fontId="2" fillId="0" borderId="7" xfId="3" applyNumberFormat="1" applyFont="1" applyBorder="1" applyAlignment="1">
      <alignment horizontal="lef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41" fontId="2" fillId="0" borderId="14" xfId="0" applyNumberFormat="1" applyFont="1" applyBorder="1" applyAlignment="1">
      <alignment horizontal="center" vertical="center"/>
    </xf>
    <xf numFmtId="41" fontId="2" fillId="0" borderId="24"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41" fontId="14" fillId="0" borderId="10" xfId="0" applyNumberFormat="1" applyFont="1" applyBorder="1" applyAlignment="1">
      <alignment horizontal="left" vertical="center"/>
    </xf>
    <xf numFmtId="0" fontId="12" fillId="0" borderId="10" xfId="0" applyFont="1" applyBorder="1" applyAlignment="1">
      <alignment horizontal="center" vertical="center"/>
    </xf>
    <xf numFmtId="164" fontId="12" fillId="0" borderId="14" xfId="0" applyNumberFormat="1" applyFont="1" applyBorder="1">
      <alignmen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41" fontId="2" fillId="0" borderId="0" xfId="3" applyNumberFormat="1" applyFont="1" applyAlignment="1">
      <alignment vertical="center"/>
    </xf>
    <xf numFmtId="165" fontId="2" fillId="0" borderId="0" xfId="3" applyNumberFormat="1" applyFont="1" applyAlignment="1">
      <alignment vertical="center"/>
    </xf>
    <xf numFmtId="37" fontId="3" fillId="0" borderId="4" xfId="3" applyFont="1" applyBorder="1" applyAlignment="1">
      <alignment vertical="center"/>
    </xf>
    <xf numFmtId="0" fontId="15" fillId="0" borderId="5" xfId="0" applyFont="1" applyBorder="1">
      <alignment vertical="center"/>
    </xf>
    <xf numFmtId="0" fontId="9" fillId="0" borderId="19" xfId="0" applyFont="1" applyBorder="1" applyAlignment="1">
      <alignment horizontal="left" vertical="center"/>
    </xf>
    <xf numFmtId="41" fontId="3" fillId="0" borderId="26" xfId="0" applyNumberFormat="1" applyFont="1" applyBorder="1" applyAlignment="1">
      <alignment horizontal="center" vertical="center"/>
    </xf>
    <xf numFmtId="41" fontId="3" fillId="0" borderId="26" xfId="0" applyNumberFormat="1" applyFont="1" applyBorder="1" applyAlignment="1">
      <alignment horizontal="center" vertical="center" wrapText="1"/>
    </xf>
    <xf numFmtId="41" fontId="3" fillId="0" borderId="29" xfId="0" applyNumberFormat="1" applyFont="1" applyBorder="1" applyAlignment="1">
      <alignment horizontal="center" vertical="center" wrapText="1"/>
    </xf>
    <xf numFmtId="4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167" fontId="2" fillId="0" borderId="23" xfId="0" applyNumberFormat="1" applyFont="1" applyBorder="1" applyAlignment="1">
      <alignment horizontal="center" vertical="center"/>
    </xf>
    <xf numFmtId="164" fontId="2" fillId="0" borderId="24" xfId="0" applyNumberFormat="1" applyFont="1" applyBorder="1" applyAlignment="1">
      <alignment horizontal="center" vertical="center"/>
    </xf>
    <xf numFmtId="41" fontId="15" fillId="0" borderId="23" xfId="0" applyNumberFormat="1" applyFont="1" applyBorder="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7"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37" fontId="2" fillId="0" borderId="0" xfId="0" applyNumberFormat="1"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0" fontId="2" fillId="0" borderId="25" xfId="0" applyFont="1" applyBorder="1" applyAlignment="1">
      <alignment horizontal="center" vertical="center"/>
    </xf>
    <xf numFmtId="0" fontId="18" fillId="0" borderId="26" xfId="0" applyFont="1" applyBorder="1" applyAlignment="1">
      <alignment horizontal="center" vertical="center" wrapText="1"/>
    </xf>
    <xf numFmtId="167" fontId="2" fillId="0" borderId="26" xfId="1" applyNumberFormat="1" applyFont="1" applyFill="1" applyBorder="1" applyAlignment="1">
      <alignment horizontal="center" vertical="center" wrapText="1"/>
    </xf>
    <xf numFmtId="0" fontId="2"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20" fillId="0" borderId="0" xfId="0" applyFont="1">
      <alignment vertical="center"/>
    </xf>
    <xf numFmtId="0" fontId="21" fillId="0" borderId="0" xfId="0" applyFont="1" applyAlignment="1">
      <alignment horizontal="center" vertical="center"/>
    </xf>
    <xf numFmtId="0" fontId="21" fillId="0" borderId="0" xfId="0" applyFont="1">
      <alignment vertical="center"/>
    </xf>
    <xf numFmtId="41" fontId="12" fillId="0" borderId="0" xfId="0" applyNumberFormat="1" applyFont="1" applyAlignment="1">
      <alignment horizontal="center" vertical="center"/>
    </xf>
    <xf numFmtId="41" fontId="22" fillId="0" borderId="0" xfId="0" applyNumberFormat="1" applyFont="1" applyAlignment="1">
      <alignment horizontal="left" vertical="center"/>
    </xf>
    <xf numFmtId="41" fontId="12" fillId="0" borderId="0" xfId="1" applyFont="1" applyFill="1" applyBorder="1" applyAlignment="1">
      <alignment horizontal="center" vertical="center"/>
    </xf>
    <xf numFmtId="0" fontId="19"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8" fontId="12" fillId="0" borderId="0" xfId="0" applyNumberFormat="1" applyFont="1" applyAlignment="1">
      <alignment horizontal="center" vertical="center"/>
    </xf>
    <xf numFmtId="0" fontId="12" fillId="0" borderId="0" xfId="0" applyFont="1" applyAlignment="1">
      <alignment horizontal="right" vertical="center"/>
    </xf>
    <xf numFmtId="0" fontId="23" fillId="0" borderId="0" xfId="0" applyFont="1">
      <alignment vertical="center"/>
    </xf>
    <xf numFmtId="0" fontId="12" fillId="0" borderId="0" xfId="0" applyFont="1" applyAlignment="1">
      <alignment horizontal="left" vertical="center"/>
    </xf>
    <xf numFmtId="168" fontId="12" fillId="0" borderId="0" xfId="0" applyNumberFormat="1" applyFont="1" applyAlignment="1">
      <alignment horizontal="left" vertical="center"/>
    </xf>
    <xf numFmtId="168" fontId="12" fillId="0" borderId="26" xfId="0" applyNumberFormat="1" applyFont="1" applyBorder="1" applyAlignment="1">
      <alignment horizontal="left" vertical="center"/>
    </xf>
    <xf numFmtId="168" fontId="12" fillId="0" borderId="26" xfId="0" applyNumberFormat="1" applyFont="1" applyBorder="1" applyAlignment="1">
      <alignment horizontal="center" vertical="center"/>
    </xf>
    <xf numFmtId="0" fontId="24"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8" fontId="14" fillId="0" borderId="26" xfId="0" applyNumberFormat="1" applyFont="1" applyBorder="1" applyAlignment="1">
      <alignment horizontal="center" vertical="center" wrapText="1"/>
    </xf>
    <xf numFmtId="41" fontId="12" fillId="0" borderId="0" xfId="1" applyFont="1" applyAlignment="1">
      <alignment vertical="center"/>
    </xf>
    <xf numFmtId="168" fontId="12" fillId="0" borderId="0" xfId="0" applyNumberFormat="1" applyFont="1">
      <alignment vertical="center"/>
    </xf>
    <xf numFmtId="0" fontId="12" fillId="0" borderId="0" xfId="1" applyNumberFormat="1" applyFont="1" applyFill="1" applyAlignment="1">
      <alignment vertical="center"/>
    </xf>
    <xf numFmtId="0" fontId="28" fillId="0" borderId="0" xfId="6" applyFont="1">
      <alignment vertical="center"/>
    </xf>
    <xf numFmtId="0" fontId="28" fillId="0" borderId="0" xfId="6" applyFont="1" applyAlignment="1">
      <alignment horizontal="center" vertical="center"/>
    </xf>
    <xf numFmtId="0" fontId="30" fillId="0" borderId="10" xfId="6" applyFont="1" applyBorder="1" applyAlignment="1">
      <alignment horizontal="center" vertical="top" wrapText="1"/>
    </xf>
    <xf numFmtId="0" fontId="28" fillId="0" borderId="0" xfId="6" applyFont="1" applyAlignment="1">
      <alignment horizontal="left" vertical="center" indent="2"/>
    </xf>
    <xf numFmtId="0" fontId="30" fillId="0" borderId="0" xfId="6" applyFont="1" applyAlignment="1">
      <alignment horizontal="center" vertical="top" wrapText="1"/>
    </xf>
    <xf numFmtId="0" fontId="30" fillId="0" borderId="0" xfId="6" applyFont="1" applyAlignment="1">
      <alignment horizontal="center" vertical="top"/>
    </xf>
    <xf numFmtId="170" fontId="28" fillId="0" borderId="0" xfId="6" applyNumberFormat="1" applyFont="1" applyAlignment="1">
      <alignment horizontal="left" vertical="center" indent="2"/>
    </xf>
    <xf numFmtId="41" fontId="28" fillId="0" borderId="0" xfId="1" applyFont="1" applyFill="1" applyBorder="1" applyAlignment="1">
      <alignment horizontal="left" vertical="top"/>
    </xf>
    <xf numFmtId="41" fontId="28" fillId="0" borderId="0" xfId="1" applyFont="1" applyFill="1" applyBorder="1" applyAlignment="1">
      <alignment vertical="top"/>
    </xf>
    <xf numFmtId="164" fontId="28" fillId="0" borderId="0" xfId="1" applyNumberFormat="1" applyFont="1" applyFill="1" applyBorder="1" applyAlignment="1">
      <alignment vertical="top"/>
    </xf>
    <xf numFmtId="49" fontId="28" fillId="0" borderId="14" xfId="6" applyNumberFormat="1" applyFont="1" applyBorder="1" applyAlignment="1">
      <alignment horizontal="left" vertical="top"/>
    </xf>
    <xf numFmtId="0" fontId="28" fillId="0" borderId="0" xfId="1" applyNumberFormat="1" applyFont="1" applyFill="1" applyBorder="1" applyAlignment="1">
      <alignment vertical="top"/>
    </xf>
    <xf numFmtId="0" fontId="30" fillId="0" borderId="7" xfId="6" applyFont="1" applyBorder="1" applyAlignment="1">
      <alignment horizontal="center" vertical="top" wrapText="1"/>
    </xf>
    <xf numFmtId="0" fontId="28" fillId="0" borderId="7" xfId="7" applyFont="1" applyBorder="1" applyAlignment="1">
      <alignment vertical="top" wrapText="1"/>
    </xf>
    <xf numFmtId="0" fontId="28" fillId="0" borderId="20" xfId="7" applyFont="1" applyBorder="1" applyAlignment="1">
      <alignment vertical="top" wrapText="1"/>
    </xf>
    <xf numFmtId="0" fontId="15" fillId="0" borderId="19" xfId="0" applyFont="1" applyBorder="1" applyAlignment="1">
      <alignment horizontal="left" vertical="center"/>
    </xf>
    <xf numFmtId="0" fontId="32" fillId="0" borderId="0" xfId="0" quotePrefix="1" applyFont="1" applyAlignment="1">
      <alignment vertical="center" wrapText="1"/>
    </xf>
    <xf numFmtId="0" fontId="28" fillId="0" borderId="25" xfId="6" applyFont="1" applyBorder="1" applyAlignment="1">
      <alignment horizontal="right" vertical="top" wrapText="1" indent="1"/>
    </xf>
    <xf numFmtId="0" fontId="28" fillId="0" borderId="23" xfId="6" applyFont="1" applyBorder="1" applyAlignment="1">
      <alignment horizontal="right" vertical="top" wrapText="1" indent="1"/>
    </xf>
    <xf numFmtId="0" fontId="28" fillId="0" borderId="23" xfId="6" applyFont="1" applyBorder="1" applyAlignment="1">
      <alignment horizontal="right" vertical="top" indent="1"/>
    </xf>
    <xf numFmtId="0" fontId="28" fillId="0" borderId="21" xfId="6" applyFont="1" applyBorder="1" applyAlignment="1">
      <alignment horizontal="right" vertical="top" wrapText="1" indent="1"/>
    </xf>
    <xf numFmtId="0" fontId="35" fillId="0" borderId="7" xfId="7" applyFont="1" applyBorder="1" applyAlignment="1">
      <alignment horizontal="left" vertical="top"/>
    </xf>
    <xf numFmtId="0" fontId="2" fillId="0" borderId="0" xfId="0" applyFont="1" applyBorder="1">
      <alignment vertical="center"/>
    </xf>
    <xf numFmtId="41" fontId="2" fillId="0" borderId="0" xfId="0" applyNumberFormat="1" applyFont="1" applyBorder="1" applyAlignment="1">
      <alignment horizontal="center" vertical="center"/>
    </xf>
    <xf numFmtId="41" fontId="2" fillId="0" borderId="0" xfId="0" applyNumberFormat="1" applyFont="1" applyBorder="1" applyAlignment="1">
      <alignment horizontal="left" vertical="center"/>
    </xf>
    <xf numFmtId="0" fontId="0" fillId="0" borderId="0" xfId="0" applyBorder="1" applyAlignment="1">
      <alignment horizontal="left" vertical="center" wrapText="1"/>
    </xf>
    <xf numFmtId="0" fontId="36" fillId="0" borderId="0" xfId="0" applyFont="1" applyBorder="1" applyAlignment="1">
      <alignment horizontal="left" vertical="top" wrapText="1"/>
    </xf>
    <xf numFmtId="0" fontId="3" fillId="0" borderId="0" xfId="0" applyFont="1" applyBorder="1">
      <alignment vertical="center"/>
    </xf>
    <xf numFmtId="0" fontId="8" fillId="0" borderId="0" xfId="0" applyFont="1" applyBorder="1">
      <alignment vertical="center"/>
    </xf>
    <xf numFmtId="0" fontId="8" fillId="0" borderId="0" xfId="0" applyFont="1" applyBorder="1" applyAlignment="1">
      <alignment vertical="center" wrapText="1"/>
    </xf>
    <xf numFmtId="0" fontId="2" fillId="0" borderId="0" xfId="0" applyFont="1" applyBorder="1" applyAlignment="1">
      <alignment horizontal="center" vertical="center"/>
    </xf>
    <xf numFmtId="41" fontId="2" fillId="0" borderId="18" xfId="0" applyNumberFormat="1" applyFont="1" applyBorder="1" applyAlignment="1">
      <alignment horizontal="left" vertical="center"/>
    </xf>
    <xf numFmtId="14" fontId="8" fillId="0" borderId="7" xfId="3" applyNumberFormat="1" applyFont="1" applyBorder="1" applyAlignment="1">
      <alignment vertical="center"/>
    </xf>
    <xf numFmtId="14" fontId="40" fillId="0" borderId="0" xfId="0" applyNumberFormat="1" applyFont="1">
      <alignment vertical="center"/>
    </xf>
    <xf numFmtId="14" fontId="2" fillId="0" borderId="0" xfId="0" quotePrefix="1" applyNumberFormat="1" applyFont="1" applyAlignment="1">
      <alignment horizontal="left" vertical="center"/>
    </xf>
    <xf numFmtId="14" fontId="12" fillId="0" borderId="0" xfId="0" quotePrefix="1" applyNumberFormat="1" applyFont="1" applyAlignment="1">
      <alignment horizontal="left" vertical="center"/>
    </xf>
    <xf numFmtId="15" fontId="12" fillId="0" borderId="0" xfId="0" applyNumberFormat="1" applyFont="1" applyAlignment="1">
      <alignment horizontal="left" vertical="center"/>
    </xf>
    <xf numFmtId="0" fontId="2" fillId="0" borderId="0" xfId="0" applyFont="1" applyBorder="1" applyAlignment="1">
      <alignment horizontal="left" vertical="center" wrapText="1"/>
    </xf>
    <xf numFmtId="0" fontId="2" fillId="0" borderId="0" xfId="0" quotePrefix="1" applyFont="1" applyBorder="1">
      <alignment vertical="center"/>
    </xf>
    <xf numFmtId="0" fontId="2" fillId="0" borderId="17" xfId="0" quotePrefix="1" applyFont="1" applyBorder="1">
      <alignment vertical="center"/>
    </xf>
    <xf numFmtId="0" fontId="12" fillId="0" borderId="26" xfId="0" quotePrefix="1" applyFont="1" applyBorder="1" applyAlignment="1">
      <alignment horizontal="center" vertical="center"/>
    </xf>
    <xf numFmtId="41" fontId="14" fillId="0" borderId="26" xfId="1" applyFont="1" applyBorder="1" applyAlignment="1">
      <alignment horizontal="center" vertical="center"/>
    </xf>
    <xf numFmtId="41" fontId="12" fillId="0" borderId="0" xfId="1" applyFont="1">
      <alignment vertical="center"/>
    </xf>
    <xf numFmtId="41" fontId="12" fillId="0" borderId="0" xfId="1" applyFont="1" applyAlignment="1">
      <alignment horizontal="left" vertical="center"/>
    </xf>
    <xf numFmtId="41" fontId="12" fillId="0" borderId="0" xfId="1" applyFont="1" applyAlignment="1">
      <alignment horizontal="center" vertical="center"/>
    </xf>
    <xf numFmtId="41" fontId="12" fillId="0" borderId="0" xfId="1" applyFont="1" applyAlignment="1">
      <alignment vertical="center" wrapText="1"/>
    </xf>
    <xf numFmtId="164" fontId="12" fillId="0" borderId="26" xfId="1" applyNumberFormat="1" applyFont="1" applyBorder="1" applyAlignment="1">
      <alignment horizontal="center" vertical="center"/>
    </xf>
    <xf numFmtId="2" fontId="14" fillId="0" borderId="0" xfId="0" applyNumberFormat="1" applyFont="1" applyAlignment="1">
      <alignment horizontal="center" vertical="center"/>
    </xf>
    <xf numFmtId="0" fontId="2" fillId="0" borderId="26" xfId="0" quotePrefix="1" applyFont="1" applyBorder="1" applyAlignment="1">
      <alignment horizontal="center" vertical="center"/>
    </xf>
    <xf numFmtId="41" fontId="2" fillId="0" borderId="26" xfId="0" applyNumberFormat="1" applyFont="1" applyBorder="1" applyAlignment="1">
      <alignment horizontal="center" vertical="center"/>
    </xf>
    <xf numFmtId="0" fontId="8" fillId="0" borderId="5" xfId="0" applyFont="1" applyBorder="1" applyAlignment="1">
      <alignment vertical="center" wrapText="1"/>
    </xf>
    <xf numFmtId="0" fontId="43" fillId="0" borderId="0" xfId="0" applyFont="1">
      <alignment vertical="center"/>
    </xf>
    <xf numFmtId="0" fontId="43" fillId="0" borderId="0" xfId="0" applyFont="1" applyAlignment="1">
      <alignment vertical="center" wrapText="1"/>
    </xf>
    <xf numFmtId="171" fontId="43" fillId="0" borderId="0" xfId="1" applyNumberFormat="1" applyFont="1">
      <alignment vertical="center"/>
    </xf>
    <xf numFmtId="0" fontId="43" fillId="0" borderId="0" xfId="0" applyFont="1" applyAlignment="1">
      <alignment horizontal="center" vertical="center"/>
    </xf>
    <xf numFmtId="0" fontId="45" fillId="0" borderId="0" xfId="9" applyFont="1">
      <alignment vertical="center"/>
    </xf>
    <xf numFmtId="0" fontId="12" fillId="0" borderId="0" xfId="0" applyFont="1" applyAlignment="1">
      <alignment vertical="center" wrapText="1"/>
    </xf>
    <xf numFmtId="0" fontId="46" fillId="0" borderId="0" xfId="0" applyFont="1">
      <alignment vertical="center"/>
    </xf>
    <xf numFmtId="0" fontId="21" fillId="0" borderId="0" xfId="0" applyFont="1" applyAlignment="1">
      <alignment vertical="center" wrapText="1"/>
    </xf>
    <xf numFmtId="172" fontId="43" fillId="0" borderId="0" xfId="0" applyNumberFormat="1" applyFont="1" applyAlignment="1">
      <alignment horizontal="left" vertical="center"/>
    </xf>
    <xf numFmtId="0" fontId="48" fillId="0" borderId="0" xfId="0" applyFont="1" applyAlignment="1">
      <alignment vertical="center" wrapText="1"/>
    </xf>
    <xf numFmtId="0" fontId="48" fillId="0" borderId="0" xfId="0" applyFont="1">
      <alignment vertical="center"/>
    </xf>
    <xf numFmtId="172" fontId="48" fillId="0" borderId="21" xfId="0" applyNumberFormat="1" applyFont="1" applyBorder="1" applyAlignment="1">
      <alignment horizontal="center" vertical="center" wrapText="1"/>
    </xf>
    <xf numFmtId="0" fontId="49" fillId="0" borderId="44" xfId="0" applyFont="1" applyBorder="1" applyAlignment="1">
      <alignment horizontal="center" vertical="center"/>
    </xf>
    <xf numFmtId="40" fontId="49" fillId="2" borderId="30" xfId="1" applyNumberFormat="1" applyFont="1" applyFill="1" applyBorder="1" applyAlignment="1">
      <alignment horizontal="center" vertical="center"/>
    </xf>
    <xf numFmtId="4" fontId="48" fillId="2" borderId="29" xfId="0" applyNumberFormat="1" applyFont="1" applyFill="1" applyBorder="1" applyAlignment="1">
      <alignment horizontal="center" vertical="center"/>
    </xf>
    <xf numFmtId="0" fontId="51" fillId="0" borderId="0" xfId="0" applyFont="1" applyAlignment="1">
      <alignment vertical="center" wrapText="1"/>
    </xf>
    <xf numFmtId="0" fontId="52" fillId="0" borderId="0" xfId="0" applyFont="1" applyAlignment="1">
      <alignment vertical="center" wrapText="1"/>
    </xf>
    <xf numFmtId="0" fontId="52" fillId="0" borderId="0" xfId="0" applyFont="1">
      <alignment vertical="center"/>
    </xf>
    <xf numFmtId="40" fontId="53" fillId="2" borderId="30" xfId="1" applyNumberFormat="1" applyFont="1" applyFill="1" applyBorder="1" applyAlignment="1">
      <alignment horizontal="center" vertical="center"/>
    </xf>
    <xf numFmtId="0" fontId="43" fillId="0" borderId="0" xfId="0" applyFont="1" applyAlignment="1">
      <alignment horizontal="left" vertical="center"/>
    </xf>
    <xf numFmtId="171" fontId="43" fillId="0" borderId="0" xfId="1" applyNumberFormat="1" applyFont="1" applyFill="1" applyBorder="1" applyAlignment="1">
      <alignment horizontal="left" vertical="center"/>
    </xf>
    <xf numFmtId="173" fontId="43" fillId="0" borderId="0" xfId="11" applyNumberFormat="1" applyFont="1" applyAlignment="1">
      <alignment horizontal="center" vertical="center"/>
      <protection locked="0"/>
    </xf>
    <xf numFmtId="40" fontId="53" fillId="2" borderId="2" xfId="1" applyNumberFormat="1" applyFont="1" applyFill="1" applyBorder="1" applyAlignment="1">
      <alignment horizontal="center" vertical="center"/>
    </xf>
    <xf numFmtId="172" fontId="43" fillId="2" borderId="0" xfId="0" applyNumberFormat="1" applyFont="1" applyFill="1" applyAlignment="1">
      <alignment horizontal="left" vertical="center"/>
    </xf>
    <xf numFmtId="174" fontId="43" fillId="0" borderId="0" xfId="0" applyNumberFormat="1" applyFont="1" applyAlignment="1">
      <alignment horizontal="left" vertical="center"/>
    </xf>
    <xf numFmtId="0" fontId="43" fillId="0" borderId="0" xfId="0" applyFont="1" applyAlignment="1">
      <alignment horizontal="left" vertical="center" wrapText="1"/>
    </xf>
    <xf numFmtId="171" fontId="43" fillId="0" borderId="0" xfId="1" applyNumberFormat="1" applyFont="1" applyFill="1" applyBorder="1" applyAlignment="1">
      <alignment horizontal="center" vertical="center"/>
    </xf>
    <xf numFmtId="172" fontId="43" fillId="0" borderId="0" xfId="0" applyNumberFormat="1" applyFont="1" applyAlignment="1">
      <alignment horizontal="center" vertical="center"/>
    </xf>
    <xf numFmtId="174" fontId="43" fillId="0" borderId="0" xfId="0" applyNumberFormat="1" applyFont="1" applyAlignment="1">
      <alignment horizontal="center" vertical="center"/>
    </xf>
    <xf numFmtId="171" fontId="43" fillId="0" borderId="0" xfId="1" applyNumberFormat="1" applyFont="1" applyBorder="1" applyAlignment="1">
      <alignment horizontal="center" vertical="center"/>
    </xf>
    <xf numFmtId="172" fontId="56" fillId="0" borderId="0" xfId="0" applyNumberFormat="1" applyFont="1" applyAlignment="1">
      <alignment horizontal="center" vertical="center"/>
    </xf>
    <xf numFmtId="171" fontId="12" fillId="0" borderId="0" xfId="1" applyNumberFormat="1" applyFont="1" applyBorder="1">
      <alignment vertical="center"/>
    </xf>
    <xf numFmtId="172" fontId="12" fillId="0" borderId="0" xfId="0" applyNumberFormat="1" applyFont="1">
      <alignment vertical="center"/>
    </xf>
    <xf numFmtId="171" fontId="12" fillId="0" borderId="0" xfId="1" applyNumberFormat="1" applyFont="1">
      <alignment vertical="center"/>
    </xf>
    <xf numFmtId="41" fontId="12" fillId="0" borderId="26" xfId="1" applyFont="1" applyBorder="1" applyAlignment="1">
      <alignment horizontal="center" vertical="center"/>
    </xf>
    <xf numFmtId="0" fontId="12" fillId="0" borderId="26" xfId="0" applyFont="1" applyBorder="1" applyAlignment="1">
      <alignment horizontal="center" vertical="center" wrapText="1"/>
    </xf>
    <xf numFmtId="168" fontId="12" fillId="0" borderId="26" xfId="0" applyNumberFormat="1" applyFont="1" applyBorder="1" applyAlignment="1">
      <alignment horizontal="center" vertical="center" wrapText="1"/>
    </xf>
    <xf numFmtId="164" fontId="12" fillId="0" borderId="21" xfId="1" applyNumberFormat="1" applyFont="1" applyBorder="1" applyAlignment="1">
      <alignment horizontal="center" vertical="center" wrapText="1"/>
    </xf>
    <xf numFmtId="41" fontId="12" fillId="3" borderId="26" xfId="1" applyFont="1" applyFill="1" applyBorder="1" applyAlignment="1">
      <alignment horizontal="center" vertical="center"/>
    </xf>
    <xf numFmtId="0" fontId="12" fillId="3" borderId="26" xfId="0" applyFont="1" applyFill="1" applyBorder="1" applyAlignment="1">
      <alignment horizontal="center" vertical="center"/>
    </xf>
    <xf numFmtId="0" fontId="12" fillId="3"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168" fontId="12" fillId="3" borderId="26" xfId="0" applyNumberFormat="1" applyFont="1" applyFill="1" applyBorder="1" applyAlignment="1">
      <alignment horizontal="center" vertical="center" wrapText="1"/>
    </xf>
    <xf numFmtId="164" fontId="12" fillId="3" borderId="21" xfId="1"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0" fontId="2" fillId="2" borderId="20" xfId="0" applyFont="1" applyFill="1" applyBorder="1" applyAlignment="1">
      <alignment vertical="center" wrapText="1"/>
    </xf>
    <xf numFmtId="0" fontId="2" fillId="2" borderId="15" xfId="0" applyFont="1" applyFill="1" applyBorder="1">
      <alignment vertical="center"/>
    </xf>
    <xf numFmtId="0" fontId="12" fillId="0" borderId="30" xfId="0" quotePrefix="1"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11" fillId="0" borderId="4" xfId="0" applyFont="1" applyBorder="1" applyAlignment="1">
      <alignment vertical="center"/>
    </xf>
    <xf numFmtId="0" fontId="28" fillId="2" borderId="23" xfId="6" applyFont="1" applyFill="1" applyBorder="1" applyAlignment="1">
      <alignment horizontal="right" vertical="top" wrapText="1" indent="1"/>
    </xf>
    <xf numFmtId="0" fontId="30" fillId="2" borderId="0" xfId="6" applyFont="1" applyFill="1" applyAlignment="1">
      <alignment horizontal="center" vertical="top" wrapText="1"/>
    </xf>
    <xf numFmtId="0" fontId="12" fillId="2" borderId="26" xfId="0" applyFont="1" applyFill="1" applyBorder="1" applyAlignment="1">
      <alignment horizontal="center" vertical="center" wrapText="1"/>
    </xf>
    <xf numFmtId="0" fontId="12" fillId="2" borderId="21" xfId="0" applyFont="1" applyFill="1" applyBorder="1" applyAlignment="1">
      <alignment horizontal="center" vertical="center"/>
    </xf>
    <xf numFmtId="164" fontId="12" fillId="2" borderId="26" xfId="1" applyNumberFormat="1" applyFont="1" applyFill="1" applyBorder="1" applyAlignment="1">
      <alignment horizontal="center" vertical="center"/>
    </xf>
    <xf numFmtId="0" fontId="8" fillId="2" borderId="0" xfId="0" applyFont="1" applyFill="1" applyBorder="1">
      <alignment vertical="center"/>
    </xf>
    <xf numFmtId="0" fontId="9" fillId="2" borderId="0" xfId="0" applyFont="1" applyFill="1" applyBorder="1">
      <alignment vertical="center"/>
    </xf>
    <xf numFmtId="0" fontId="9" fillId="2" borderId="14" xfId="0" applyFont="1" applyFill="1" applyBorder="1">
      <alignment vertical="center"/>
    </xf>
    <xf numFmtId="0" fontId="8" fillId="2" borderId="19" xfId="0" applyFont="1" applyFill="1" applyBorder="1" applyAlignment="1">
      <alignment horizontal="left" vertical="center"/>
    </xf>
    <xf numFmtId="0" fontId="8" fillId="2" borderId="5" xfId="0" applyFont="1" applyFill="1" applyBorder="1" applyAlignment="1">
      <alignment vertical="center" wrapText="1"/>
    </xf>
    <xf numFmtId="0" fontId="2" fillId="2" borderId="4" xfId="0" applyFont="1" applyFill="1" applyBorder="1">
      <alignment vertical="center"/>
    </xf>
    <xf numFmtId="41" fontId="2" fillId="2" borderId="0" xfId="0" applyNumberFormat="1" applyFont="1" applyFill="1" applyAlignment="1">
      <alignment horizontal="center" vertical="center"/>
    </xf>
    <xf numFmtId="0" fontId="2" fillId="2" borderId="0" xfId="0" applyFont="1" applyFill="1">
      <alignment vertical="center"/>
    </xf>
    <xf numFmtId="41" fontId="2" fillId="2" borderId="19"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3" fillId="2" borderId="4" xfId="0" applyFont="1" applyFill="1" applyBorder="1">
      <alignment vertical="center"/>
    </xf>
    <xf numFmtId="0" fontId="2" fillId="2" borderId="0" xfId="0" applyFont="1" applyFill="1" applyBorder="1">
      <alignment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41" fontId="2" fillId="2" borderId="24"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0" fontId="2" fillId="2" borderId="0" xfId="0" applyFont="1" applyFill="1" applyBorder="1" applyAlignment="1">
      <alignment vertical="center" wrapText="1"/>
    </xf>
    <xf numFmtId="0" fontId="12" fillId="2" borderId="26" xfId="0" applyFont="1" applyFill="1" applyBorder="1" applyAlignment="1">
      <alignment horizontal="center" vertical="center"/>
    </xf>
    <xf numFmtId="164" fontId="2" fillId="0" borderId="21" xfId="1" applyNumberFormat="1" applyFont="1" applyBorder="1" applyAlignment="1">
      <alignment horizontal="center" vertical="center"/>
    </xf>
    <xf numFmtId="164" fontId="2" fillId="0" borderId="22" xfId="1" applyNumberFormat="1" applyFont="1" applyBorder="1" applyAlignment="1">
      <alignment horizontal="center" vertical="center"/>
    </xf>
    <xf numFmtId="164" fontId="3" fillId="0" borderId="26" xfId="1" applyNumberFormat="1" applyFont="1" applyBorder="1" applyAlignment="1">
      <alignment horizontal="center" vertical="center"/>
    </xf>
    <xf numFmtId="164" fontId="3" fillId="0" borderId="29" xfId="1"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37" fontId="37" fillId="2" borderId="0" xfId="6" applyNumberFormat="1" applyFont="1" applyFill="1" applyAlignment="1">
      <alignment vertical="top" wrapText="1"/>
    </xf>
    <xf numFmtId="0" fontId="38" fillId="2" borderId="0" xfId="0" applyFont="1" applyFill="1" applyAlignment="1">
      <alignment vertical="top" wrapText="1"/>
    </xf>
    <xf numFmtId="0" fontId="38" fillId="2" borderId="14" xfId="0" applyFont="1" applyFill="1" applyBorder="1" applyAlignment="1">
      <alignment vertical="top" wrapText="1"/>
    </xf>
    <xf numFmtId="0" fontId="28" fillId="2" borderId="0" xfId="6" applyFont="1" applyFill="1" applyAlignment="1">
      <alignment horizontal="left" vertical="center" indent="2"/>
    </xf>
    <xf numFmtId="0" fontId="30" fillId="2" borderId="0" xfId="6" applyFont="1" applyFill="1" applyAlignment="1">
      <alignment horizontal="center" vertical="top"/>
    </xf>
    <xf numFmtId="169" fontId="28" fillId="2" borderId="0" xfId="6" applyNumberFormat="1" applyFont="1" applyFill="1" applyAlignment="1">
      <alignment horizontal="left" vertical="top"/>
    </xf>
    <xf numFmtId="170" fontId="28" fillId="2" borderId="0" xfId="6" applyNumberFormat="1" applyFont="1" applyFill="1" applyAlignment="1">
      <alignment horizontal="left" vertical="center" indent="2"/>
    </xf>
    <xf numFmtId="167" fontId="28" fillId="2" borderId="0" xfId="1" applyNumberFormat="1" applyFont="1" applyFill="1" applyBorder="1" applyAlignment="1">
      <alignment vertical="top"/>
    </xf>
    <xf numFmtId="41" fontId="28" fillId="2" borderId="0" xfId="1" applyFont="1" applyFill="1" applyBorder="1" applyAlignment="1">
      <alignment horizontal="left" vertical="top"/>
    </xf>
    <xf numFmtId="41" fontId="28" fillId="2" borderId="0" xfId="1" applyFont="1" applyFill="1" applyBorder="1" applyAlignment="1">
      <alignment vertical="top"/>
    </xf>
    <xf numFmtId="0" fontId="28" fillId="2" borderId="14" xfId="6" applyFont="1" applyFill="1" applyBorder="1" applyAlignment="1">
      <alignment vertical="top"/>
    </xf>
    <xf numFmtId="0" fontId="28" fillId="2" borderId="0" xfId="6" applyFont="1" applyFill="1" applyAlignment="1">
      <alignment horizontal="left" vertical="top"/>
    </xf>
    <xf numFmtId="171" fontId="28" fillId="2" borderId="14" xfId="6" applyNumberFormat="1" applyFont="1" applyFill="1" applyBorder="1" applyAlignment="1">
      <alignment vertical="top"/>
    </xf>
    <xf numFmtId="49" fontId="28" fillId="2" borderId="0" xfId="1" applyNumberFormat="1" applyFont="1" applyFill="1" applyBorder="1" applyAlignment="1">
      <alignment horizontal="left" vertical="top"/>
    </xf>
    <xf numFmtId="164" fontId="28" fillId="2" borderId="0" xfId="1" applyNumberFormat="1" applyFont="1" applyFill="1" applyBorder="1" applyAlignment="1">
      <alignment vertical="top"/>
    </xf>
    <xf numFmtId="49" fontId="28" fillId="2" borderId="14" xfId="6" applyNumberFormat="1" applyFont="1" applyFill="1" applyBorder="1" applyAlignment="1">
      <alignment horizontal="left" vertical="top"/>
    </xf>
    <xf numFmtId="41" fontId="8" fillId="2" borderId="5" xfId="0" applyNumberFormat="1" applyFont="1" applyFill="1" applyBorder="1" applyAlignment="1">
      <alignment vertical="center" wrapText="1"/>
    </xf>
    <xf numFmtId="43" fontId="57" fillId="0" borderId="0" xfId="0" applyNumberFormat="1" applyFont="1">
      <alignment vertical="center"/>
    </xf>
    <xf numFmtId="0" fontId="28" fillId="2" borderId="0" xfId="1" applyNumberFormat="1" applyFont="1" applyFill="1" applyBorder="1" applyAlignment="1">
      <alignment vertical="top"/>
    </xf>
    <xf numFmtId="2" fontId="2" fillId="0" borderId="26" xfId="0" applyNumberFormat="1" applyFont="1" applyBorder="1" applyAlignment="1">
      <alignment horizontal="center" vertical="center" wrapText="1"/>
    </xf>
    <xf numFmtId="37" fontId="47" fillId="2" borderId="0" xfId="0" applyNumberFormat="1" applyFont="1" applyFill="1">
      <alignment vertical="center"/>
    </xf>
    <xf numFmtId="0" fontId="21" fillId="2" borderId="0" xfId="0" applyFont="1" applyFill="1" applyAlignment="1">
      <alignment vertical="center" wrapText="1"/>
    </xf>
    <xf numFmtId="171" fontId="21" fillId="2" borderId="0" xfId="1" applyNumberFormat="1" applyFont="1" applyFill="1">
      <alignment vertical="center"/>
    </xf>
    <xf numFmtId="0" fontId="21" fillId="2" borderId="0" xfId="0" applyFont="1" applyFill="1" applyAlignment="1">
      <alignment horizontal="center" vertical="center"/>
    </xf>
    <xf numFmtId="171" fontId="48" fillId="2" borderId="21" xfId="1" applyNumberFormat="1" applyFont="1" applyFill="1" applyBorder="1" applyAlignment="1">
      <alignment horizontal="center" vertical="center" wrapText="1"/>
    </xf>
    <xf numFmtId="0" fontId="48" fillId="2" borderId="21" xfId="0" applyFont="1" applyFill="1" applyBorder="1" applyAlignment="1">
      <alignment horizontal="center" vertical="center" wrapText="1"/>
    </xf>
    <xf numFmtId="0" fontId="48" fillId="2" borderId="26" xfId="10" applyFont="1" applyFill="1" applyBorder="1" applyAlignment="1">
      <alignment horizontal="center" vertical="center"/>
    </xf>
    <xf numFmtId="0" fontId="48" fillId="2" borderId="26" xfId="0" applyFont="1" applyFill="1" applyBorder="1" applyAlignment="1">
      <alignment horizontal="center" vertical="center" wrapText="1"/>
    </xf>
    <xf numFmtId="41" fontId="48" fillId="2" borderId="26" xfId="1" applyFont="1" applyFill="1" applyBorder="1" applyAlignment="1">
      <alignment horizontal="center" vertical="center"/>
    </xf>
    <xf numFmtId="0" fontId="48" fillId="2" borderId="26" xfId="0" applyFont="1" applyFill="1" applyBorder="1" applyAlignment="1">
      <alignment horizontal="center" vertical="center"/>
    </xf>
    <xf numFmtId="43" fontId="2" fillId="2" borderId="0" xfId="0" applyNumberFormat="1" applyFont="1" applyFill="1">
      <alignment vertical="center"/>
    </xf>
    <xf numFmtId="0" fontId="12" fillId="0" borderId="0" xfId="0" applyFont="1">
      <alignment vertical="center"/>
    </xf>
    <xf numFmtId="164" fontId="12" fillId="0" borderId="14" xfId="0" applyNumberFormat="1" applyFont="1" applyBorder="1">
      <alignment vertical="center"/>
    </xf>
    <xf numFmtId="0" fontId="12" fillId="0" borderId="21" xfId="0" applyFont="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center" vertical="center"/>
    </xf>
    <xf numFmtId="0" fontId="12" fillId="0" borderId="26" xfId="0" applyFont="1" applyBorder="1" applyAlignment="1">
      <alignment horizontal="center" vertical="center"/>
    </xf>
    <xf numFmtId="0" fontId="19" fillId="0" borderId="0" xfId="0" applyFont="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4" fillId="0" borderId="0" xfId="0" applyFont="1">
      <alignment vertical="center"/>
    </xf>
    <xf numFmtId="41" fontId="2" fillId="0" borderId="0" xfId="0" applyNumberFormat="1" applyFont="1" applyAlignment="1">
      <alignment horizontal="left" vertical="center"/>
    </xf>
    <xf numFmtId="0" fontId="4" fillId="0" borderId="0" xfId="0" applyFont="1" applyAlignment="1">
      <alignment horizontal="center" vertical="center"/>
    </xf>
    <xf numFmtId="0" fontId="12" fillId="0" borderId="21" xfId="0" quotePrefix="1" applyFont="1" applyBorder="1" applyAlignment="1">
      <alignment horizontal="center" vertical="center"/>
    </xf>
    <xf numFmtId="0" fontId="12" fillId="0" borderId="15" xfId="0" applyFont="1" applyBorder="1" applyAlignment="1">
      <alignment horizontal="left" vertical="center"/>
    </xf>
    <xf numFmtId="0" fontId="12" fillId="2" borderId="28" xfId="0" applyFont="1" applyFill="1" applyBorder="1" applyAlignment="1">
      <alignment horizontal="center" vertical="center" wrapText="1"/>
    </xf>
    <xf numFmtId="41" fontId="12" fillId="2" borderId="26" xfId="0" quotePrefix="1" applyNumberFormat="1" applyFont="1" applyFill="1" applyBorder="1" applyAlignment="1">
      <alignment horizontal="center" vertical="center"/>
    </xf>
    <xf numFmtId="0" fontId="12" fillId="2" borderId="26" xfId="0" quotePrefix="1" applyFont="1" applyFill="1" applyBorder="1" applyAlignment="1">
      <alignment horizontal="center" vertical="center"/>
    </xf>
    <xf numFmtId="175" fontId="12" fillId="2" borderId="26" xfId="1" applyNumberFormat="1" applyFont="1" applyFill="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0" fontId="12" fillId="0" borderId="26" xfId="0" applyFont="1" applyBorder="1" applyAlignment="1">
      <alignment horizontal="center" vertical="center"/>
    </xf>
    <xf numFmtId="0" fontId="12" fillId="0" borderId="21" xfId="0" applyFont="1" applyBorder="1" applyAlignment="1">
      <alignment horizontal="center" vertical="center"/>
    </xf>
    <xf numFmtId="164" fontId="12" fillId="0" borderId="0" xfId="1" applyNumberFormat="1" applyFont="1" applyAlignment="1">
      <alignment horizontal="center" vertical="center"/>
    </xf>
    <xf numFmtId="164" fontId="2" fillId="2" borderId="23" xfId="1" applyNumberFormat="1" applyFont="1" applyFill="1" applyBorder="1" applyAlignment="1">
      <alignment horizontal="center" vertical="center"/>
    </xf>
    <xf numFmtId="164" fontId="2" fillId="2" borderId="19" xfId="1" applyNumberFormat="1" applyFont="1" applyFill="1" applyBorder="1" applyAlignment="1">
      <alignment horizontal="center" vertical="center"/>
    </xf>
    <xf numFmtId="14" fontId="8" fillId="2" borderId="7" xfId="3" applyNumberFormat="1" applyFont="1" applyFill="1" applyBorder="1" applyAlignment="1">
      <alignment vertical="center"/>
    </xf>
    <xf numFmtId="41" fontId="2" fillId="2" borderId="23" xfId="0" applyNumberFormat="1" applyFont="1" applyFill="1" applyBorder="1" applyAlignment="1">
      <alignment horizontal="center" vertical="center" wrapText="1"/>
    </xf>
    <xf numFmtId="164" fontId="2" fillId="2" borderId="24" xfId="1" applyNumberFormat="1" applyFont="1" applyFill="1" applyBorder="1" applyAlignment="1">
      <alignment horizontal="center" vertical="center"/>
    </xf>
    <xf numFmtId="0" fontId="12" fillId="2" borderId="0" xfId="0" applyFont="1" applyFill="1" applyAlignment="1">
      <alignment horizontal="left" vertical="center"/>
    </xf>
    <xf numFmtId="0" fontId="14" fillId="2" borderId="0" xfId="0" applyFont="1" applyFill="1" applyAlignment="1">
      <alignment horizontal="left" vertical="center"/>
    </xf>
    <xf numFmtId="164" fontId="12" fillId="0" borderId="0" xfId="1" applyNumberFormat="1" applyFont="1">
      <alignment vertical="center"/>
    </xf>
    <xf numFmtId="164" fontId="2" fillId="0" borderId="0" xfId="1" applyNumberFormat="1" applyFont="1">
      <alignment vertical="center"/>
    </xf>
    <xf numFmtId="0" fontId="11" fillId="2" borderId="0" xfId="0" applyFont="1" applyFill="1" applyBorder="1" applyAlignment="1">
      <alignment horizontal="center" vertical="center" wrapText="1"/>
    </xf>
    <xf numFmtId="0" fontId="11" fillId="2" borderId="14" xfId="0" applyFont="1" applyFill="1" applyBorder="1" applyAlignment="1">
      <alignment horizontal="center" vertical="center" wrapText="1"/>
    </xf>
    <xf numFmtId="164" fontId="2" fillId="0" borderId="26" xfId="1" applyNumberFormat="1" applyFont="1" applyBorder="1" applyAlignment="1">
      <alignment horizontal="center" vertical="center" wrapText="1"/>
    </xf>
    <xf numFmtId="0" fontId="3" fillId="0" borderId="30" xfId="0" applyFont="1" applyBorder="1" applyAlignment="1">
      <alignment horizontal="center" vertical="center"/>
    </xf>
    <xf numFmtId="0" fontId="3" fillId="0" borderId="28" xfId="0" applyFont="1" applyBorder="1" applyAlignment="1">
      <alignment horizontal="center" vertical="center"/>
    </xf>
    <xf numFmtId="0" fontId="3" fillId="0" borderId="31" xfId="0" applyFont="1" applyBorder="1" applyAlignment="1">
      <alignment horizontal="center" vertical="center"/>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2" fillId="0" borderId="0" xfId="0" applyFont="1" applyAlignment="1">
      <alignment horizontal="left"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6"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8" fillId="0" borderId="0" xfId="2" applyFont="1" applyBorder="1" applyAlignment="1">
      <alignment vertical="top" wrapText="1"/>
    </xf>
    <xf numFmtId="0" fontId="39" fillId="0" borderId="0" xfId="0" applyFont="1" applyBorder="1" applyAlignment="1">
      <alignment vertical="top"/>
    </xf>
    <xf numFmtId="0" fontId="39" fillId="0" borderId="14" xfId="0" applyFont="1" applyBorder="1" applyAlignment="1">
      <alignment vertical="top"/>
    </xf>
    <xf numFmtId="0" fontId="39" fillId="0" borderId="7" xfId="0" applyFont="1" applyBorder="1" applyAlignment="1">
      <alignment vertical="top"/>
    </xf>
    <xf numFmtId="0" fontId="39" fillId="0" borderId="20" xfId="0" applyFont="1" applyBorder="1" applyAlignment="1">
      <alignment vertical="top"/>
    </xf>
    <xf numFmtId="41" fontId="42" fillId="0" borderId="1" xfId="0" applyNumberFormat="1" applyFont="1" applyBorder="1" applyAlignment="1">
      <alignment horizontal="center" vertical="center"/>
    </xf>
    <xf numFmtId="41" fontId="42" fillId="0" borderId="2" xfId="0" applyNumberFormat="1" applyFont="1" applyBorder="1" applyAlignment="1">
      <alignment horizontal="center" vertical="center"/>
    </xf>
    <xf numFmtId="41" fontId="42" fillId="0" borderId="3" xfId="0" applyNumberFormat="1" applyFont="1" applyBorder="1" applyAlignment="1">
      <alignment horizontal="center" vertical="center"/>
    </xf>
    <xf numFmtId="41" fontId="42" fillId="0" borderId="4" xfId="0" applyNumberFormat="1" applyFont="1" applyBorder="1" applyAlignment="1">
      <alignment horizontal="center" vertical="center"/>
    </xf>
    <xf numFmtId="41" fontId="42" fillId="0" borderId="0" xfId="0" applyNumberFormat="1" applyFont="1" applyBorder="1" applyAlignment="1">
      <alignment horizontal="center" vertical="center"/>
    </xf>
    <xf numFmtId="41" fontId="42" fillId="0" borderId="5" xfId="0" applyNumberFormat="1" applyFont="1" applyBorder="1" applyAlignment="1">
      <alignment horizontal="center" vertical="center"/>
    </xf>
    <xf numFmtId="41" fontId="42" fillId="0" borderId="16" xfId="0" applyNumberFormat="1" applyFont="1" applyBorder="1" applyAlignment="1">
      <alignment horizontal="center" vertical="center"/>
    </xf>
    <xf numFmtId="41" fontId="42" fillId="0" borderId="17" xfId="0" applyNumberFormat="1" applyFont="1" applyBorder="1" applyAlignment="1">
      <alignment horizontal="center" vertical="center"/>
    </xf>
    <xf numFmtId="41" fontId="42" fillId="0" borderId="18" xfId="0" applyNumberFormat="1" applyFont="1" applyBorder="1" applyAlignment="1">
      <alignment horizontal="center" vertical="center"/>
    </xf>
    <xf numFmtId="0" fontId="2" fillId="0" borderId="0" xfId="0" applyFont="1" applyBorder="1" applyAlignment="1">
      <alignment horizontal="left" vertical="center"/>
    </xf>
    <xf numFmtId="0" fontId="2" fillId="0" borderId="5" xfId="0" applyFont="1" applyBorder="1" applyAlignment="1">
      <alignment horizontal="left" vertical="center"/>
    </xf>
    <xf numFmtId="37" fontId="8" fillId="2" borderId="0" xfId="0" applyNumberFormat="1" applyFont="1" applyFill="1" applyBorder="1" applyAlignment="1">
      <alignment horizontal="left" vertical="center" wrapText="1"/>
    </xf>
    <xf numFmtId="0" fontId="8" fillId="2" borderId="0" xfId="0" applyFont="1" applyFill="1" applyBorder="1" applyAlignment="1">
      <alignment horizontal="left" vertical="center" wrapText="1"/>
    </xf>
    <xf numFmtId="0" fontId="8" fillId="2" borderId="5" xfId="0" applyFont="1" applyFill="1" applyBorder="1" applyAlignment="1">
      <alignment horizontal="left" vertical="center" wrapText="1"/>
    </xf>
    <xf numFmtId="41" fontId="8" fillId="2" borderId="0" xfId="0" applyNumberFormat="1" applyFont="1" applyFill="1" applyBorder="1" applyAlignment="1">
      <alignment horizontal="left" vertical="center" wrapText="1"/>
    </xf>
    <xf numFmtId="41" fontId="8" fillId="2" borderId="5" xfId="0" applyNumberFormat="1" applyFont="1" applyFill="1" applyBorder="1" applyAlignment="1">
      <alignment horizontal="left" vertical="center" wrapText="1"/>
    </xf>
    <xf numFmtId="0" fontId="3" fillId="0" borderId="0" xfId="0" applyFont="1" applyBorder="1" applyAlignment="1">
      <alignment vertical="top" wrapText="1"/>
    </xf>
    <xf numFmtId="0" fontId="3" fillId="0" borderId="5"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2" fillId="2" borderId="0" xfId="0" applyFont="1" applyFill="1" applyAlignment="1">
      <alignment vertical="top" wrapText="1"/>
    </xf>
    <xf numFmtId="0" fontId="26" fillId="2" borderId="0" xfId="0" applyFont="1" applyFill="1" applyAlignment="1">
      <alignment vertical="top"/>
    </xf>
    <xf numFmtId="0" fontId="26" fillId="2" borderId="14"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41" fontId="2" fillId="2" borderId="10" xfId="0" applyNumberFormat="1" applyFont="1" applyFill="1" applyBorder="1" applyAlignment="1">
      <alignment horizontal="center" vertical="center"/>
    </xf>
    <xf numFmtId="41" fontId="2" fillId="0" borderId="0" xfId="0" applyNumberFormat="1" applyFont="1" applyBorder="1" applyAlignment="1">
      <alignment horizontal="left" vertical="center" wrapText="1"/>
    </xf>
    <xf numFmtId="41" fontId="2" fillId="0" borderId="5" xfId="0" applyNumberFormat="1" applyFont="1" applyBorder="1" applyAlignment="1">
      <alignment horizontal="left" vertical="center" wrapText="1"/>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0" fontId="3" fillId="0" borderId="10" xfId="0" applyFont="1" applyBorder="1" applyAlignment="1">
      <alignment horizontal="center" vertical="center"/>
    </xf>
    <xf numFmtId="0" fontId="3" fillId="0" borderId="7" xfId="0" applyFont="1" applyBorder="1" applyAlignment="1">
      <alignment horizontal="center" vertical="center"/>
    </xf>
    <xf numFmtId="15" fontId="2" fillId="2" borderId="7" xfId="3" applyNumberFormat="1" applyFont="1" applyFill="1" applyBorder="1" applyAlignment="1">
      <alignment horizontal="left" vertical="center"/>
    </xf>
    <xf numFmtId="15" fontId="2" fillId="2" borderId="20" xfId="3"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20" xfId="0" applyFont="1" applyBorder="1" applyAlignment="1">
      <alignment horizontal="left"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2" borderId="0" xfId="0" applyFont="1" applyFill="1" applyBorder="1" applyAlignment="1">
      <alignment horizontal="center" vertical="center" wrapText="1"/>
    </xf>
    <xf numFmtId="0" fontId="11" fillId="2" borderId="14" xfId="0" applyFont="1" applyFill="1" applyBorder="1" applyAlignment="1">
      <alignment horizontal="center" vertical="center" wrapText="1"/>
    </xf>
    <xf numFmtId="15" fontId="12" fillId="0" borderId="0" xfId="0" applyNumberFormat="1" applyFont="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5" xfId="0" applyFont="1" applyBorder="1" applyAlignment="1">
      <alignment horizontal="center" vertical="center"/>
    </xf>
    <xf numFmtId="0" fontId="12" fillId="0" borderId="21"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12" fillId="0" borderId="15" xfId="0" applyFont="1" applyBorder="1" applyAlignment="1">
      <alignment horizontal="center" vertical="center"/>
    </xf>
    <xf numFmtId="0" fontId="12" fillId="0" borderId="20" xfId="0" applyFont="1" applyBorder="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34" fillId="0" borderId="0" xfId="0" applyFont="1" applyBorder="1" applyAlignment="1">
      <alignment horizontal="left" vertical="center" wrapText="1"/>
    </xf>
    <xf numFmtId="0" fontId="36" fillId="0" borderId="0" xfId="0" applyFont="1" applyBorder="1" applyAlignment="1">
      <alignment horizontal="left" vertical="center" wrapText="1" indent="3"/>
    </xf>
    <xf numFmtId="0" fontId="0" fillId="0" borderId="0" xfId="0" applyBorder="1"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41" fontId="8" fillId="0" borderId="0" xfId="0" applyNumberFormat="1" applyFont="1" applyBorder="1" applyAlignment="1">
      <alignment horizontal="left" vertical="center" wrapText="1"/>
    </xf>
    <xf numFmtId="41" fontId="8" fillId="0" borderId="5" xfId="0" applyNumberFormat="1" applyFont="1" applyBorder="1" applyAlignment="1">
      <alignment horizontal="left" vertical="center" wrapText="1"/>
    </xf>
    <xf numFmtId="41" fontId="15" fillId="0" borderId="0" xfId="0" applyNumberFormat="1" applyFont="1" applyBorder="1" applyAlignment="1">
      <alignment horizontal="left" vertical="center" wrapText="1"/>
    </xf>
    <xf numFmtId="41" fontId="15" fillId="0" borderId="5" xfId="0" applyNumberFormat="1" applyFont="1" applyBorder="1" applyAlignment="1">
      <alignment horizontal="left" vertical="center" wrapText="1"/>
    </xf>
    <xf numFmtId="0" fontId="3" fillId="0" borderId="27" xfId="0" applyFont="1" applyBorder="1" applyAlignment="1">
      <alignment horizontal="center" vertical="center"/>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9" fillId="0" borderId="0" xfId="0" applyFont="1" applyBorder="1">
      <alignment vertical="center"/>
    </xf>
    <xf numFmtId="0" fontId="9" fillId="0" borderId="5" xfId="0" applyFont="1" applyBorder="1">
      <alignment vertical="center"/>
    </xf>
    <xf numFmtId="41" fontId="8" fillId="2" borderId="0" xfId="0" applyNumberFormat="1" applyFont="1" applyFill="1" applyBorder="1" applyAlignment="1">
      <alignment horizontal="center" vertical="center" wrapText="1"/>
    </xf>
    <xf numFmtId="0" fontId="11" fillId="0" borderId="0" xfId="0" applyFont="1" applyBorder="1" applyAlignment="1">
      <alignment horizontal="center" vertical="center" wrapText="1"/>
    </xf>
    <xf numFmtId="0" fontId="11" fillId="0" borderId="14" xfId="0" applyFont="1" applyBorder="1" applyAlignment="1">
      <alignment horizontal="center" vertical="center" wrapText="1"/>
    </xf>
    <xf numFmtId="0" fontId="3" fillId="2" borderId="0" xfId="0" applyFont="1" applyFill="1" applyAlignment="1">
      <alignment vertical="top" wrapText="1"/>
    </xf>
    <xf numFmtId="0" fontId="41" fillId="2" borderId="0" xfId="0" applyFont="1" applyFill="1" applyAlignment="1">
      <alignment vertical="top"/>
    </xf>
    <xf numFmtId="0" fontId="41" fillId="2" borderId="5" xfId="0" applyFont="1" applyFill="1" applyBorder="1" applyAlignment="1">
      <alignment vertical="top"/>
    </xf>
    <xf numFmtId="0" fontId="41" fillId="2" borderId="7" xfId="0" applyFont="1" applyFill="1" applyBorder="1" applyAlignment="1">
      <alignment vertical="top"/>
    </xf>
    <xf numFmtId="0" fontId="41" fillId="2" borderId="8" xfId="0" applyFont="1" applyFill="1" applyBorder="1" applyAlignment="1">
      <alignment vertical="top"/>
    </xf>
    <xf numFmtId="0" fontId="18" fillId="2" borderId="0" xfId="2" applyFont="1" applyFill="1" applyAlignment="1">
      <alignment vertical="top" wrapText="1"/>
    </xf>
    <xf numFmtId="0" fontId="39" fillId="2" borderId="0" xfId="0" applyFont="1" applyFill="1" applyAlignment="1">
      <alignment vertical="top"/>
    </xf>
    <xf numFmtId="0" fontId="39" fillId="2" borderId="14" xfId="0" applyFont="1" applyFill="1" applyBorder="1" applyAlignment="1">
      <alignment vertical="top"/>
    </xf>
    <xf numFmtId="0" fontId="39" fillId="2" borderId="7" xfId="0" applyFont="1" applyFill="1" applyBorder="1" applyAlignment="1">
      <alignment vertical="top"/>
    </xf>
    <xf numFmtId="0" fontId="39" fillId="2" borderId="20" xfId="0" applyFont="1" applyFill="1" applyBorder="1" applyAlignment="1">
      <alignment vertical="top"/>
    </xf>
    <xf numFmtId="0" fontId="12" fillId="0" borderId="26" xfId="0" applyFont="1" applyBorder="1" applyAlignment="1">
      <alignment horizontal="center" vertical="center"/>
    </xf>
    <xf numFmtId="0" fontId="12" fillId="3" borderId="30" xfId="4" applyFont="1" applyFill="1" applyBorder="1" applyAlignment="1">
      <alignment horizontal="center" vertical="center"/>
    </xf>
    <xf numFmtId="0" fontId="12" fillId="3" borderId="28" xfId="4" applyFont="1" applyFill="1" applyBorder="1" applyAlignment="1">
      <alignment horizontal="center" vertical="center"/>
    </xf>
    <xf numFmtId="0" fontId="12" fillId="3" borderId="31" xfId="4" applyFont="1" applyFill="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9" fillId="0" borderId="0" xfId="0" applyFont="1" applyAlignment="1">
      <alignment horizontal="center" vertical="center"/>
    </xf>
    <xf numFmtId="0" fontId="12" fillId="0" borderId="0" xfId="0" applyFont="1" applyAlignment="1">
      <alignment horizontal="left" vertical="center" wrapText="1"/>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8" fillId="0" borderId="0" xfId="6" applyFont="1" applyAlignment="1">
      <alignment horizontal="left" vertical="top" wrapText="1"/>
    </xf>
    <xf numFmtId="0" fontId="28" fillId="0" borderId="14" xfId="6" applyFont="1" applyBorder="1" applyAlignment="1">
      <alignment horizontal="left" vertical="top" wrapText="1"/>
    </xf>
    <xf numFmtId="0" fontId="27" fillId="0" borderId="17" xfId="6" applyFont="1" applyBorder="1" applyAlignment="1">
      <alignment horizontal="center" vertical="center"/>
    </xf>
    <xf numFmtId="0" fontId="29" fillId="0" borderId="1" xfId="6" applyFont="1" applyBorder="1" applyAlignment="1">
      <alignment horizontal="center" vertical="center" wrapText="1"/>
    </xf>
    <xf numFmtId="0" fontId="29" fillId="0" borderId="2" xfId="6" applyFont="1" applyBorder="1" applyAlignment="1">
      <alignment horizontal="center" vertical="center" wrapText="1"/>
    </xf>
    <xf numFmtId="0" fontId="29" fillId="0" borderId="3" xfId="6" applyFont="1" applyBorder="1" applyAlignment="1">
      <alignment horizontal="center" vertical="center" wrapText="1"/>
    </xf>
    <xf numFmtId="0" fontId="29" fillId="0" borderId="6" xfId="6" applyFont="1" applyBorder="1" applyAlignment="1">
      <alignment horizontal="center" vertical="center" wrapText="1"/>
    </xf>
    <xf numFmtId="0" fontId="29" fillId="0" borderId="7" xfId="6" applyFont="1" applyBorder="1" applyAlignment="1">
      <alignment horizontal="center" vertical="center" wrapText="1"/>
    </xf>
    <xf numFmtId="0" fontId="29" fillId="0" borderId="8" xfId="6" applyFont="1" applyBorder="1" applyAlignment="1">
      <alignment horizontal="center" vertical="center" wrapText="1"/>
    </xf>
    <xf numFmtId="0" fontId="28" fillId="2" borderId="10" xfId="6" applyFont="1" applyFill="1" applyBorder="1" applyAlignment="1">
      <alignment horizontal="left" vertical="top" wrapText="1"/>
    </xf>
    <xf numFmtId="0" fontId="28" fillId="2" borderId="10" xfId="6" applyFont="1" applyFill="1" applyBorder="1" applyAlignment="1">
      <alignment horizontal="left" vertical="top"/>
    </xf>
    <xf numFmtId="0" fontId="28" fillId="2" borderId="11" xfId="6" applyFont="1" applyFill="1" applyBorder="1" applyAlignment="1">
      <alignment horizontal="left" vertical="top"/>
    </xf>
    <xf numFmtId="37" fontId="58" fillId="2" borderId="0" xfId="6" applyNumberFormat="1" applyFont="1" applyFill="1" applyAlignment="1">
      <alignment horizontal="left" vertical="top" wrapText="1"/>
    </xf>
    <xf numFmtId="0" fontId="55" fillId="0" borderId="0" xfId="0" applyFont="1" applyAlignment="1">
      <alignment horizontal="center" vertical="center"/>
    </xf>
    <xf numFmtId="0" fontId="48" fillId="0" borderId="36" xfId="0" applyFont="1" applyBorder="1" applyAlignment="1">
      <alignment horizontal="center" vertical="center"/>
    </xf>
    <xf numFmtId="0" fontId="48" fillId="0" borderId="43" xfId="0" applyFont="1" applyBorder="1" applyAlignment="1">
      <alignment horizontal="center" vertical="center"/>
    </xf>
    <xf numFmtId="0" fontId="48" fillId="2" borderId="37" xfId="0" applyFont="1" applyFill="1" applyBorder="1" applyAlignment="1">
      <alignment horizontal="center" vertical="center" wrapText="1"/>
    </xf>
    <xf numFmtId="0" fontId="48" fillId="2" borderId="21" xfId="0" applyFont="1" applyFill="1" applyBorder="1" applyAlignment="1">
      <alignment horizontal="center" vertical="center" wrapText="1"/>
    </xf>
    <xf numFmtId="41" fontId="48" fillId="2" borderId="38" xfId="1" applyFont="1" applyFill="1" applyBorder="1" applyAlignment="1">
      <alignment horizontal="center" vertical="center" wrapText="1"/>
    </xf>
    <xf numFmtId="41" fontId="48" fillId="2" borderId="39" xfId="1" applyFont="1" applyFill="1" applyBorder="1" applyAlignment="1">
      <alignment horizontal="center" vertical="center" wrapText="1"/>
    </xf>
    <xf numFmtId="172" fontId="48" fillId="0" borderId="40" xfId="0" applyNumberFormat="1" applyFont="1" applyBorder="1" applyAlignment="1">
      <alignment horizontal="center" vertical="center" wrapText="1"/>
    </xf>
    <xf numFmtId="172" fontId="48" fillId="0" borderId="41" xfId="0" applyNumberFormat="1" applyFont="1" applyBorder="1" applyAlignment="1">
      <alignment horizontal="center" vertical="center" wrapText="1"/>
    </xf>
    <xf numFmtId="0" fontId="48" fillId="0" borderId="42" xfId="0" applyFont="1" applyBorder="1" applyAlignment="1">
      <alignment horizontal="center" vertical="center" wrapText="1"/>
    </xf>
    <xf numFmtId="0" fontId="48" fillId="0" borderId="22" xfId="0" applyFont="1" applyBorder="1" applyAlignment="1">
      <alignment horizontal="center" vertical="center" wrapText="1"/>
    </xf>
  </cellXfs>
  <cellStyles count="14">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00000000-0005-0000-0000-000003000000}"/>
    <cellStyle name="쉼표 [0] 6" xfId="5" xr:uid="{00000000-0005-0000-0000-000004000000}"/>
    <cellStyle name="쉼표 [0] 6 2" xfId="13" xr:uid="{00000000-0005-0000-0000-000005000000}"/>
    <cellStyle name="표준 6" xfId="4" xr:uid="{00000000-0005-0000-0000-000007000000}"/>
    <cellStyle name="표준_080407 3항차 final packing List(r3)통합" xfId="10" xr:uid="{00000000-0005-0000-0000-000008000000}"/>
    <cellStyle name="표준_Cirebon Grating Pk'g list(서흥)_080910_final" xfId="6" xr:uid="{00000000-0005-0000-0000-000009000000}"/>
    <cellStyle name="표준_PACKINGLIST (철골_1항차)" xfId="7" xr:uid="{00000000-0005-0000-0000-00000A000000}"/>
    <cellStyle name="표준_STG-PKL" xfId="3" xr:uid="{00000000-0005-0000-0000-00000C000000}"/>
    <cellStyle name="標準_Proforma PL cirebon 2" xfId="2" xr:uid="{00000000-0005-0000-0000-00000B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1507636</xdr:colOff>
      <xdr:row>1</xdr:row>
      <xdr:rowOff>286544</xdr:rowOff>
    </xdr:to>
    <xdr:pic>
      <xdr:nvPicPr>
        <xdr:cNvPr id="2" name="그림 2">
          <a:extLst>
            <a:ext uri="{FF2B5EF4-FFF2-40B4-BE49-F238E27FC236}">
              <a16:creationId xmlns:a16="http://schemas.microsoft.com/office/drawing/2014/main" id="{B095F0C7-C74E-47A0-80EC-894CB76603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352425" y="120174"/>
          <a:ext cx="1503826" cy="27686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8730</xdr:colOff>
      <xdr:row>1</xdr:row>
      <xdr:rowOff>65405</xdr:rowOff>
    </xdr:from>
    <xdr:to>
      <xdr:col>20</xdr:col>
      <xdr:colOff>441502</xdr:colOff>
      <xdr:row>2</xdr:row>
      <xdr:rowOff>36512</xdr:rowOff>
    </xdr:to>
    <xdr:pic>
      <xdr:nvPicPr>
        <xdr:cNvPr id="3" name="Picture 2">
          <a:extLst>
            <a:ext uri="{FF2B5EF4-FFF2-40B4-BE49-F238E27FC236}">
              <a16:creationId xmlns:a16="http://schemas.microsoft.com/office/drawing/2014/main" id="{621F4E70-2077-4C05-964A-ACA37C7DBE77}"/>
            </a:ext>
          </a:extLst>
        </xdr:cNvPr>
        <xdr:cNvPicPr>
          <a:picLocks noChangeAspect="1"/>
        </xdr:cNvPicPr>
      </xdr:nvPicPr>
      <xdr:blipFill>
        <a:blip xmlns:r="http://schemas.openxmlformats.org/officeDocument/2006/relationships" r:embed="rId2"/>
        <a:stretch>
          <a:fillRect/>
        </a:stretch>
      </xdr:blipFill>
      <xdr:spPr>
        <a:xfrm>
          <a:off x="15855949" y="184468"/>
          <a:ext cx="956647" cy="292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650189</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91440</xdr:colOff>
      <xdr:row>39</xdr:row>
      <xdr:rowOff>60960</xdr:rowOff>
    </xdr:from>
    <xdr:to>
      <xdr:col>9</xdr:col>
      <xdr:colOff>517177</xdr:colOff>
      <xdr:row>44</xdr:row>
      <xdr:rowOff>132290</xdr:rowOff>
    </xdr:to>
    <xdr:pic>
      <xdr:nvPicPr>
        <xdr:cNvPr id="4" name="그림 3">
          <a:extLst>
            <a:ext uri="{FF2B5EF4-FFF2-40B4-BE49-F238E27FC236}">
              <a16:creationId xmlns:a16="http://schemas.microsoft.com/office/drawing/2014/main" id="{446F3F29-7BF5-4174-BFBC-8A176CA661CB}"/>
            </a:ext>
          </a:extLst>
        </xdr:cNvPr>
        <xdr:cNvPicPr>
          <a:picLocks noChangeAspect="1"/>
        </xdr:cNvPicPr>
      </xdr:nvPicPr>
      <xdr:blipFill>
        <a:blip xmlns:r="http://schemas.openxmlformats.org/officeDocument/2006/relationships" r:embed="rId3"/>
        <a:stretch>
          <a:fillRect/>
        </a:stretch>
      </xdr:blipFill>
      <xdr:spPr>
        <a:xfrm>
          <a:off x="5623560" y="11193780"/>
          <a:ext cx="1846867" cy="9609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402</xdr:colOff>
      <xdr:row>0</xdr:row>
      <xdr:rowOff>108912</xdr:rowOff>
    </xdr:from>
    <xdr:to>
      <xdr:col>10</xdr:col>
      <xdr:colOff>455532</xdr:colOff>
      <xdr:row>3</xdr:row>
      <xdr:rowOff>57150</xdr:rowOff>
    </xdr:to>
    <xdr:sp macro="" textlink="">
      <xdr:nvSpPr>
        <xdr:cNvPr id="2" name="TextBox 1">
          <a:extLst>
            <a:ext uri="{FF2B5EF4-FFF2-40B4-BE49-F238E27FC236}">
              <a16:creationId xmlns:a16="http://schemas.microsoft.com/office/drawing/2014/main" id="{F8AEE470-DCE2-4D18-881B-F891B5EF8496}"/>
            </a:ext>
          </a:extLst>
        </xdr:cNvPr>
        <xdr:cNvSpPr txBox="1"/>
      </xdr:nvSpPr>
      <xdr:spPr>
        <a:xfrm>
          <a:off x="2415942" y="108912"/>
          <a:ext cx="5141430" cy="47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1431436</xdr:colOff>
      <xdr:row>1</xdr:row>
      <xdr:rowOff>134144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821113</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76200</xdr:colOff>
      <xdr:row>40</xdr:row>
      <xdr:rowOff>7620</xdr:rowOff>
    </xdr:from>
    <xdr:to>
      <xdr:col>9</xdr:col>
      <xdr:colOff>307627</xdr:colOff>
      <xdr:row>45</xdr:row>
      <xdr:rowOff>96096</xdr:rowOff>
    </xdr:to>
    <xdr:pic>
      <xdr:nvPicPr>
        <xdr:cNvPr id="4" name="그림 3">
          <a:extLst>
            <a:ext uri="{FF2B5EF4-FFF2-40B4-BE49-F238E27FC236}">
              <a16:creationId xmlns:a16="http://schemas.microsoft.com/office/drawing/2014/main" id="{2423DBB0-6848-42FE-A640-2117E182D749}"/>
            </a:ext>
          </a:extLst>
        </xdr:cNvPr>
        <xdr:cNvPicPr>
          <a:picLocks noChangeAspect="1"/>
        </xdr:cNvPicPr>
      </xdr:nvPicPr>
      <xdr:blipFill>
        <a:blip xmlns:r="http://schemas.openxmlformats.org/officeDocument/2006/relationships" r:embed="rId3"/>
        <a:stretch>
          <a:fillRect/>
        </a:stretch>
      </xdr:blipFill>
      <xdr:spPr>
        <a:xfrm>
          <a:off x="5463540" y="11971020"/>
          <a:ext cx="1846867" cy="960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1507001</xdr:colOff>
      <xdr:row>1</xdr:row>
      <xdr:rowOff>287179</xdr:rowOff>
    </xdr:to>
    <xdr:pic>
      <xdr:nvPicPr>
        <xdr:cNvPr id="2" name="그림 2">
          <a:extLst>
            <a:ext uri="{FF2B5EF4-FFF2-40B4-BE49-F238E27FC236}">
              <a16:creationId xmlns:a16="http://schemas.microsoft.com/office/drawing/2014/main" id="{F3127DDA-FCA4-42D3-BA78-3FEBF5BA06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352425" y="120174"/>
          <a:ext cx="1503191" cy="27749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33800</xdr:colOff>
      <xdr:row>1</xdr:row>
      <xdr:rowOff>26894</xdr:rowOff>
    </xdr:from>
    <xdr:to>
      <xdr:col>19</xdr:col>
      <xdr:colOff>248394</xdr:colOff>
      <xdr:row>2</xdr:row>
      <xdr:rowOff>3558</xdr:rowOff>
    </xdr:to>
    <xdr:pic>
      <xdr:nvPicPr>
        <xdr:cNvPr id="3" name="Picture 2">
          <a:extLst>
            <a:ext uri="{FF2B5EF4-FFF2-40B4-BE49-F238E27FC236}">
              <a16:creationId xmlns:a16="http://schemas.microsoft.com/office/drawing/2014/main" id="{F1A6FEDD-062B-482C-85F4-4B21D41673CB}"/>
            </a:ext>
          </a:extLst>
        </xdr:cNvPr>
        <xdr:cNvPicPr>
          <a:picLocks noChangeAspect="1"/>
        </xdr:cNvPicPr>
      </xdr:nvPicPr>
      <xdr:blipFill>
        <a:blip xmlns:r="http://schemas.openxmlformats.org/officeDocument/2006/relationships" r:embed="rId2"/>
        <a:stretch>
          <a:fillRect/>
        </a:stretch>
      </xdr:blipFill>
      <xdr:spPr>
        <a:xfrm>
          <a:off x="14014595" y="139289"/>
          <a:ext cx="946114" cy="3024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41</xdr:row>
      <xdr:rowOff>0</xdr:rowOff>
    </xdr:from>
    <xdr:to>
      <xdr:col>5</xdr:col>
      <xdr:colOff>0</xdr:colOff>
      <xdr:row>41</xdr:row>
      <xdr:rowOff>0</xdr:rowOff>
    </xdr:to>
    <xdr:sp macro="" textlink="">
      <xdr:nvSpPr>
        <xdr:cNvPr id="2" name="Text Box 3">
          <a:extLst>
            <a:ext uri="{FF2B5EF4-FFF2-40B4-BE49-F238E27FC236}">
              <a16:creationId xmlns:a16="http://schemas.microsoft.com/office/drawing/2014/main" id="{174A1CA9-C052-4A72-BA92-5F52C3A8B05C}"/>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41</xdr:row>
      <xdr:rowOff>0</xdr:rowOff>
    </xdr:from>
    <xdr:to>
      <xdr:col>5</xdr:col>
      <xdr:colOff>0</xdr:colOff>
      <xdr:row>41</xdr:row>
      <xdr:rowOff>0</xdr:rowOff>
    </xdr:to>
    <xdr:sp macro="" textlink="">
      <xdr:nvSpPr>
        <xdr:cNvPr id="3" name="Text Box 4">
          <a:extLst>
            <a:ext uri="{FF2B5EF4-FFF2-40B4-BE49-F238E27FC236}">
              <a16:creationId xmlns:a16="http://schemas.microsoft.com/office/drawing/2014/main" id="{42CF3817-54AB-46A2-960D-BD8CEB377AD4}"/>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41</xdr:row>
      <xdr:rowOff>0</xdr:rowOff>
    </xdr:from>
    <xdr:to>
      <xdr:col>5</xdr:col>
      <xdr:colOff>0</xdr:colOff>
      <xdr:row>41</xdr:row>
      <xdr:rowOff>0</xdr:rowOff>
    </xdr:to>
    <xdr:sp macro="" textlink="">
      <xdr:nvSpPr>
        <xdr:cNvPr id="4" name="Text Box 5">
          <a:extLst>
            <a:ext uri="{FF2B5EF4-FFF2-40B4-BE49-F238E27FC236}">
              <a16:creationId xmlns:a16="http://schemas.microsoft.com/office/drawing/2014/main" id="{593BFF94-DD68-42F0-AAD7-42B7D46FE8A5}"/>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19</xdr:row>
      <xdr:rowOff>0</xdr:rowOff>
    </xdr:from>
    <xdr:to>
      <xdr:col>5</xdr:col>
      <xdr:colOff>0</xdr:colOff>
      <xdr:row>19</xdr:row>
      <xdr:rowOff>0</xdr:rowOff>
    </xdr:to>
    <xdr:sp macro="" textlink="">
      <xdr:nvSpPr>
        <xdr:cNvPr id="5" name="Text Box 6">
          <a:extLst>
            <a:ext uri="{FF2B5EF4-FFF2-40B4-BE49-F238E27FC236}">
              <a16:creationId xmlns:a16="http://schemas.microsoft.com/office/drawing/2014/main" id="{2B077CD0-E5FD-4516-B1F3-5005C7409AEE}"/>
            </a:ext>
          </a:extLst>
        </xdr:cNvPr>
        <xdr:cNvSpPr txBox="1">
          <a:spLocks noChangeArrowheads="1"/>
        </xdr:cNvSpPr>
      </xdr:nvSpPr>
      <xdr:spPr bwMode="auto">
        <a:xfrm>
          <a:off x="3048000" y="274243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F858FDC-69C0-47FB-84A5-F0BC56724B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Cash2"/>
      <sheetName val="Z"/>
      <sheetName val="w't_table"/>
      <sheetName val="kich_thuoc"/>
      <sheetName val="임율_Data"/>
      <sheetName val="해외_연수비용_계산-삭제"/>
      <sheetName val="Wind_Load(3_1)_(2)"/>
      <sheetName val="Wind_Load(3_2)"/>
      <sheetName val="Wind_Load(3_4)"/>
      <sheetName val="Key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22-Plant"/>
      <sheetName val="Supervision List"/>
      <sheetName val="기계내역서"/>
      <sheetName val="사진"/>
      <sheetName val="ancillary"/>
      <sheetName val="DATA LISTS"/>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설산1.나"/>
      <sheetName val="본사S"/>
      <sheetName val="PumpSpec"/>
      <sheetName val="co-no.2"/>
      <sheetName val="h-013211-2"/>
      <sheetName val="Table"/>
      <sheetName val="산근터빈"/>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row r="5">
          <cell r="N5">
            <v>20</v>
          </cell>
        </row>
      </sheetData>
      <sheetData sheetId="242">
        <row r="5">
          <cell r="N5">
            <v>20</v>
          </cell>
        </row>
      </sheetData>
      <sheetData sheetId="243">
        <row r="5">
          <cell r="N5">
            <v>20</v>
          </cell>
        </row>
      </sheetData>
      <sheetData sheetId="244">
        <row r="5">
          <cell r="N5">
            <v>20</v>
          </cell>
        </row>
      </sheetData>
      <sheetData sheetId="245">
        <row r="5">
          <cell r="N5">
            <v>20</v>
          </cell>
        </row>
      </sheetData>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row r="5">
          <cell r="N5">
            <v>20</v>
          </cell>
        </row>
      </sheetData>
      <sheetData sheetId="267">
        <row r="5">
          <cell r="N5">
            <v>20</v>
          </cell>
        </row>
      </sheetData>
      <sheetData sheetId="268">
        <row r="5">
          <cell r="N5">
            <v>20</v>
          </cell>
        </row>
      </sheetData>
      <sheetData sheetId="269">
        <row r="5">
          <cell r="N5">
            <v>20</v>
          </cell>
        </row>
      </sheetData>
      <sheetData sheetId="270">
        <row r="5">
          <cell r="N5">
            <v>20</v>
          </cell>
        </row>
      </sheetData>
      <sheetData sheetId="271">
        <row r="5">
          <cell r="N5">
            <v>20</v>
          </cell>
        </row>
      </sheetData>
      <sheetData sheetId="272">
        <row r="5">
          <cell r="N5">
            <v>20</v>
          </cell>
        </row>
      </sheetData>
      <sheetData sheetId="273">
        <row r="5">
          <cell r="N5">
            <v>20</v>
          </cell>
        </row>
      </sheetData>
      <sheetData sheetId="274">
        <row r="5">
          <cell r="N5">
            <v>20</v>
          </cell>
        </row>
      </sheetData>
      <sheetData sheetId="275">
        <row r="5">
          <cell r="N5">
            <v>20</v>
          </cell>
        </row>
      </sheetData>
      <sheetData sheetId="276">
        <row r="5">
          <cell r="N5">
            <v>20</v>
          </cell>
        </row>
      </sheetData>
      <sheetData sheetId="277">
        <row r="5">
          <cell r="N5">
            <v>20</v>
          </cell>
        </row>
      </sheetData>
      <sheetData sheetId="278">
        <row r="5">
          <cell r="N5">
            <v>20</v>
          </cell>
        </row>
      </sheetData>
      <sheetData sheetId="279">
        <row r="5">
          <cell r="N5">
            <v>20</v>
          </cell>
        </row>
      </sheetData>
      <sheetData sheetId="280">
        <row r="5">
          <cell r="N5">
            <v>20</v>
          </cell>
        </row>
      </sheetData>
      <sheetData sheetId="281">
        <row r="5">
          <cell r="N5">
            <v>20</v>
          </cell>
        </row>
      </sheetData>
      <sheetData sheetId="282">
        <row r="5">
          <cell r="N5">
            <v>20</v>
          </cell>
        </row>
      </sheetData>
      <sheetData sheetId="283"/>
      <sheetData sheetId="284">
        <row r="5">
          <cell r="N5">
            <v>20</v>
          </cell>
        </row>
      </sheetData>
      <sheetData sheetId="285">
        <row r="5">
          <cell r="N5">
            <v>20</v>
          </cell>
        </row>
      </sheetData>
      <sheetData sheetId="286">
        <row r="5">
          <cell r="N5">
            <v>20</v>
          </cell>
        </row>
      </sheetData>
      <sheetData sheetId="287"/>
      <sheetData sheetId="288">
        <row r="5">
          <cell r="N5">
            <v>20</v>
          </cell>
        </row>
      </sheetData>
      <sheetData sheetId="289">
        <row r="5">
          <cell r="N5">
            <v>20</v>
          </cell>
        </row>
      </sheetData>
      <sheetData sheetId="290">
        <row r="5">
          <cell r="N5">
            <v>20</v>
          </cell>
        </row>
      </sheetData>
      <sheetData sheetId="291"/>
      <sheetData sheetId="292">
        <row r="5">
          <cell r="N5">
            <v>20</v>
          </cell>
        </row>
      </sheetData>
      <sheetData sheetId="293"/>
      <sheetData sheetId="294"/>
      <sheetData sheetId="295"/>
      <sheetData sheetId="296">
        <row r="5">
          <cell r="N5">
            <v>20</v>
          </cell>
        </row>
      </sheetData>
      <sheetData sheetId="297"/>
      <sheetData sheetId="298"/>
      <sheetData sheetId="299"/>
      <sheetData sheetId="300">
        <row r="5">
          <cell r="N5">
            <v>20</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ow r="5">
          <cell r="N5">
            <v>20</v>
          </cell>
        </row>
      </sheetData>
      <sheetData sheetId="326">
        <row r="5">
          <cell r="N5">
            <v>20</v>
          </cell>
        </row>
      </sheetData>
      <sheetData sheetId="327">
        <row r="5">
          <cell r="N5">
            <v>20</v>
          </cell>
        </row>
      </sheetData>
      <sheetData sheetId="328">
        <row r="5">
          <cell r="N5">
            <v>20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14">
          <cell r="EK14" t="str">
            <v>SP-01-1</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BM_"/>
      <sheetName val="DWG_LIST"/>
      <sheetName val="자격_땡겨오기"/>
      <sheetName val="5_소재"/>
      <sheetName val="w't_table"/>
      <sheetName val="임율_Data"/>
      <sheetName val="GRP_PIPING"/>
      <sheetName val="REV_4"/>
      <sheetName val="BEND_LOSS"/>
      <sheetName val="SPARE PART"/>
      <sheetName val="연환"/>
      <sheetName val="부서코드표"/>
      <sheetName val="WXY"/>
      <sheetName val="입찰안"/>
      <sheetName val="CAUDIT"/>
      <sheetName val="골재산출"/>
      <sheetName val="http___www35_daum_net_WIN98_T_2"/>
      <sheetName val="Lists"/>
      <sheetName val="CI "/>
      <sheetName val="CI"/>
      <sheetName val="골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Break Down CI"/>
      <sheetName val="PL(1_2)"/>
      <sheetName val="PL(2_2)"/>
      <sheetName val="Detailed PL"/>
      <sheetName val="SHIPPING MARK"/>
      <sheetName val="SHIPPING MARK1"/>
      <sheetName val="SHIPPING MARK2"/>
    </sheetNames>
    <sheetDataSet>
      <sheetData sheetId="0" refreshError="1">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N23"/>
  <sheetViews>
    <sheetView showGridLines="0" tabSelected="1" view="pageBreakPreview" zoomScale="80" zoomScaleNormal="100" zoomScaleSheetLayoutView="80" workbookViewId="0">
      <selection activeCell="B4" sqref="B4:U4"/>
    </sheetView>
  </sheetViews>
  <sheetFormatPr defaultColWidth="8.76953125" defaultRowHeight="18" customHeight="1"/>
  <cols>
    <col min="1" max="1" width="1.05078125" style="139" customWidth="1"/>
    <col min="2" max="2" width="3.625" style="78" customWidth="1"/>
    <col min="3" max="3" width="21.1640625" style="149" customWidth="1"/>
    <col min="4" max="4" width="32.39453125" style="205" bestFit="1" customWidth="1"/>
    <col min="5" max="5" width="21.75" style="159" customWidth="1"/>
    <col min="6" max="6" width="14.265625" style="78" customWidth="1"/>
    <col min="7" max="7" width="21.75" style="159" customWidth="1"/>
    <col min="8" max="8" width="9.703125" style="327" customWidth="1"/>
    <col min="9" max="9" width="7.015625" style="207" customWidth="1"/>
    <col min="10" max="10" width="5.26171875" style="327" customWidth="1"/>
    <col min="11" max="11" width="7.6015625" style="327" customWidth="1"/>
    <col min="12" max="14" width="6.3125" style="327" customWidth="1"/>
    <col min="15" max="15" width="7.25" style="160" customWidth="1"/>
    <col min="16" max="17" width="8.88671875" style="327" customWidth="1"/>
    <col min="18" max="18" width="8.53515625" style="327" customWidth="1"/>
    <col min="19" max="19" width="10.0546875" style="78" customWidth="1"/>
    <col min="20" max="20" width="6.8984375" style="78" customWidth="1"/>
    <col min="21" max="21" width="6.6640625" style="161" customWidth="1"/>
    <col min="22" max="22" width="1.05078125" style="137" customWidth="1"/>
    <col min="23" max="27" width="8.76953125" style="138" customWidth="1"/>
    <col min="28" max="28" width="7.3671875" style="138" bestFit="1" customWidth="1"/>
    <col min="29" max="29" width="8.76953125" style="138" customWidth="1"/>
    <col min="30" max="35" width="8.76953125" style="139" customWidth="1"/>
    <col min="36" max="40" width="8.76953125" style="138"/>
    <col min="41" max="16384" width="8.76953125" style="139"/>
  </cols>
  <sheetData>
    <row r="1" spans="2:40" ht="9" customHeight="1">
      <c r="B1" s="480"/>
      <c r="C1" s="480"/>
      <c r="D1" s="480"/>
      <c r="E1" s="480"/>
      <c r="F1" s="480"/>
      <c r="G1" s="480"/>
      <c r="H1" s="480"/>
      <c r="I1" s="480"/>
      <c r="J1" s="480"/>
      <c r="K1" s="480"/>
      <c r="L1" s="480"/>
      <c r="M1" s="480"/>
      <c r="N1" s="480"/>
      <c r="O1" s="480"/>
      <c r="P1" s="480"/>
      <c r="Q1" s="480"/>
      <c r="R1" s="480"/>
      <c r="S1" s="480"/>
      <c r="T1" s="480"/>
      <c r="U1" s="480"/>
    </row>
    <row r="2" spans="2:40" ht="26.1" customHeight="1">
      <c r="B2" s="333"/>
      <c r="C2" s="327"/>
      <c r="D2" s="149"/>
      <c r="E2" s="327"/>
      <c r="F2" s="139"/>
      <c r="G2" s="327"/>
      <c r="I2" s="204"/>
      <c r="J2" s="140"/>
      <c r="K2" s="140"/>
      <c r="L2" s="140"/>
      <c r="M2" s="141"/>
      <c r="N2" s="142"/>
      <c r="O2" s="333"/>
      <c r="P2" s="333"/>
      <c r="Q2" s="333"/>
      <c r="R2" s="333"/>
      <c r="S2" s="333"/>
      <c r="T2" s="139"/>
      <c r="U2" s="139"/>
      <c r="V2" s="139"/>
      <c r="W2" s="139"/>
      <c r="X2" s="139"/>
      <c r="Y2" s="139"/>
      <c r="Z2" s="139"/>
      <c r="AA2" s="139"/>
      <c r="AB2" s="139"/>
      <c r="AC2" s="139"/>
      <c r="AJ2" s="139"/>
      <c r="AK2" s="139"/>
      <c r="AL2" s="139"/>
      <c r="AM2" s="139"/>
      <c r="AN2" s="139"/>
    </row>
    <row r="3" spans="2:40" ht="27.6" customHeight="1" thickBot="1">
      <c r="B3" s="333"/>
      <c r="C3" s="481" t="s">
        <v>0</v>
      </c>
      <c r="D3" s="481"/>
      <c r="E3" s="481"/>
      <c r="F3" s="481"/>
      <c r="G3" s="481"/>
      <c r="H3" s="481"/>
      <c r="I3" s="481"/>
      <c r="J3" s="481"/>
      <c r="K3" s="481"/>
      <c r="L3" s="140"/>
      <c r="M3" s="141"/>
      <c r="N3" s="142"/>
      <c r="O3" s="143"/>
      <c r="P3" s="333"/>
      <c r="Q3" s="333"/>
      <c r="R3" s="333"/>
      <c r="S3" s="333"/>
      <c r="T3" s="139"/>
      <c r="U3" s="139"/>
      <c r="V3" s="139"/>
      <c r="W3" s="139"/>
      <c r="X3" s="139"/>
      <c r="Y3" s="139"/>
      <c r="Z3" s="139"/>
      <c r="AA3" s="139"/>
      <c r="AB3" s="139"/>
      <c r="AC3" s="139"/>
      <c r="AJ3" s="139"/>
      <c r="AK3" s="139"/>
      <c r="AL3" s="139"/>
      <c r="AM3" s="139"/>
      <c r="AN3" s="139"/>
    </row>
    <row r="4" spans="2:40" ht="33.75" customHeight="1" thickTop="1" thickBot="1">
      <c r="B4" s="482" t="s">
        <v>87</v>
      </c>
      <c r="C4" s="483"/>
      <c r="D4" s="483"/>
      <c r="E4" s="483"/>
      <c r="F4" s="483"/>
      <c r="G4" s="483"/>
      <c r="H4" s="483"/>
      <c r="I4" s="483"/>
      <c r="J4" s="483"/>
      <c r="K4" s="483"/>
      <c r="L4" s="483"/>
      <c r="M4" s="483"/>
      <c r="N4" s="483"/>
      <c r="O4" s="483"/>
      <c r="P4" s="483"/>
      <c r="Q4" s="483"/>
      <c r="R4" s="483"/>
      <c r="S4" s="483"/>
      <c r="T4" s="483"/>
      <c r="U4" s="484"/>
    </row>
    <row r="5" spans="2:40" s="327" customFormat="1" ht="17.25" customHeight="1" thickTop="1">
      <c r="B5" s="78"/>
      <c r="C5" s="144" t="s">
        <v>88</v>
      </c>
      <c r="D5" s="145" t="str">
        <f>'PL(2_2)'!D5</f>
        <v>OM4-DE-IS-0011</v>
      </c>
      <c r="F5" s="147"/>
      <c r="H5" s="78"/>
      <c r="I5" s="205"/>
      <c r="J5" s="78"/>
      <c r="K5" s="78"/>
      <c r="L5" s="78"/>
      <c r="M5" s="78"/>
      <c r="N5" s="78"/>
      <c r="O5" s="146"/>
      <c r="P5" s="78"/>
      <c r="Q5" s="78"/>
      <c r="R5" s="78"/>
      <c r="S5" s="147"/>
      <c r="T5" s="78"/>
      <c r="U5" s="78"/>
      <c r="V5" s="148"/>
      <c r="AJ5" s="78"/>
      <c r="AK5" s="78"/>
      <c r="AL5" s="78"/>
      <c r="AM5" s="78"/>
      <c r="AN5" s="78"/>
    </row>
    <row r="6" spans="2:40" s="327" customFormat="1" ht="17.25" customHeight="1">
      <c r="B6" s="78"/>
      <c r="C6" s="144" t="s">
        <v>41</v>
      </c>
      <c r="D6" s="197">
        <f>'PL(2_2)'!D6</f>
        <v>46181</v>
      </c>
      <c r="F6" s="78"/>
      <c r="H6" s="78"/>
      <c r="I6" s="206"/>
      <c r="J6" s="149" t="s">
        <v>42</v>
      </c>
      <c r="K6" s="78"/>
      <c r="L6" s="78"/>
      <c r="M6" s="78"/>
      <c r="N6" s="78"/>
      <c r="O6" s="150" t="s">
        <v>43</v>
      </c>
      <c r="P6" s="78"/>
      <c r="Q6" s="78"/>
      <c r="R6" s="78"/>
      <c r="S6" s="78"/>
      <c r="T6" s="78"/>
      <c r="U6" s="78"/>
      <c r="V6" s="148"/>
      <c r="AJ6" s="78"/>
      <c r="AK6" s="78"/>
      <c r="AL6" s="78"/>
      <c r="AM6" s="78"/>
      <c r="AN6" s="78"/>
    </row>
    <row r="7" spans="2:40" s="327" customFormat="1" ht="17.25" customHeight="1">
      <c r="B7" s="78"/>
      <c r="C7" s="144" t="s">
        <v>44</v>
      </c>
      <c r="D7" s="198" t="str">
        <f>'PL(2_2)'!D7</f>
        <v>O MON IV THERMAL POWER PLANT</v>
      </c>
      <c r="F7" s="78"/>
      <c r="H7" s="78"/>
      <c r="I7" s="206"/>
      <c r="J7" s="75" t="s">
        <v>45</v>
      </c>
      <c r="K7" s="149" t="s">
        <v>46</v>
      </c>
      <c r="L7" s="78"/>
      <c r="M7" s="78"/>
      <c r="N7" s="78"/>
      <c r="O7" s="151"/>
      <c r="P7" s="332" t="s">
        <v>172</v>
      </c>
      <c r="Q7" s="332" t="s">
        <v>174</v>
      </c>
      <c r="R7" s="332" t="s">
        <v>176</v>
      </c>
      <c r="S7" s="332" t="s">
        <v>47</v>
      </c>
      <c r="T7" s="78"/>
      <c r="U7" s="78"/>
      <c r="V7" s="148"/>
      <c r="W7" s="78"/>
      <c r="X7" s="78"/>
      <c r="Y7" s="78"/>
      <c r="Z7" s="78"/>
      <c r="AA7" s="78"/>
      <c r="AB7" s="78"/>
      <c r="AC7" s="78"/>
      <c r="AJ7" s="78"/>
      <c r="AK7" s="78"/>
      <c r="AL7" s="78"/>
      <c r="AM7" s="78"/>
      <c r="AN7" s="78"/>
    </row>
    <row r="8" spans="2:40" s="327" customFormat="1" ht="17.25" customHeight="1">
      <c r="B8" s="78"/>
      <c r="C8" s="144" t="s">
        <v>89</v>
      </c>
      <c r="D8" s="356"/>
      <c r="F8" s="78"/>
      <c r="H8" s="78"/>
      <c r="I8" s="206"/>
      <c r="J8" s="75" t="s">
        <v>48</v>
      </c>
      <c r="K8" s="149" t="s">
        <v>49</v>
      </c>
      <c r="L8" s="78"/>
      <c r="M8" s="78"/>
      <c r="N8" s="78"/>
      <c r="O8" s="152" t="s">
        <v>50</v>
      </c>
      <c r="P8" s="332" t="s">
        <v>51</v>
      </c>
      <c r="Q8" s="332" t="s">
        <v>52</v>
      </c>
      <c r="R8" s="332" t="s">
        <v>53</v>
      </c>
      <c r="S8" s="332" t="s">
        <v>54</v>
      </c>
      <c r="T8" s="78"/>
      <c r="U8" s="78"/>
      <c r="V8" s="148"/>
      <c r="W8" s="78"/>
      <c r="X8" s="78"/>
      <c r="Y8" s="78"/>
      <c r="Z8" s="78"/>
      <c r="AA8" s="78"/>
      <c r="AB8" s="78"/>
      <c r="AC8" s="78"/>
      <c r="AJ8" s="78"/>
      <c r="AK8" s="78"/>
      <c r="AL8" s="78"/>
      <c r="AM8" s="78"/>
      <c r="AN8" s="78"/>
    </row>
    <row r="9" spans="2:40" s="327" customFormat="1" ht="17.25" customHeight="1">
      <c r="B9" s="78"/>
      <c r="D9" s="356"/>
      <c r="E9" s="144"/>
      <c r="F9" s="78"/>
      <c r="G9" s="144"/>
      <c r="H9" s="78"/>
      <c r="I9" s="206"/>
      <c r="J9" s="75" t="s">
        <v>55</v>
      </c>
      <c r="K9" s="149" t="s">
        <v>56</v>
      </c>
      <c r="L9" s="78"/>
      <c r="M9" s="78"/>
      <c r="N9" s="78"/>
      <c r="O9" s="152" t="s">
        <v>57</v>
      </c>
      <c r="P9" s="332" t="s">
        <v>58</v>
      </c>
      <c r="Q9" s="332" t="s">
        <v>59</v>
      </c>
      <c r="R9" s="332" t="s">
        <v>60</v>
      </c>
      <c r="S9" s="332" t="s">
        <v>61</v>
      </c>
      <c r="T9" s="78"/>
      <c r="U9" s="78"/>
      <c r="V9" s="148"/>
      <c r="W9" s="78"/>
      <c r="X9" s="78"/>
      <c r="Y9" s="78"/>
      <c r="Z9" s="78"/>
      <c r="AA9" s="78"/>
      <c r="AB9" s="78"/>
      <c r="AC9" s="78"/>
      <c r="AJ9" s="78"/>
      <c r="AK9" s="78"/>
      <c r="AL9" s="78"/>
      <c r="AM9" s="78"/>
      <c r="AN9" s="78"/>
    </row>
    <row r="10" spans="2:40" s="327" customFormat="1" ht="17.25" customHeight="1">
      <c r="B10" s="78"/>
      <c r="C10" s="144"/>
      <c r="D10" s="357"/>
      <c r="E10" s="144"/>
      <c r="F10" s="78"/>
      <c r="G10" s="144"/>
      <c r="H10" s="78"/>
      <c r="I10" s="206"/>
      <c r="J10" s="75" t="s">
        <v>62</v>
      </c>
      <c r="K10" s="149" t="s">
        <v>63</v>
      </c>
      <c r="L10" s="78"/>
      <c r="M10" s="78"/>
      <c r="N10" s="78"/>
      <c r="O10" s="152" t="s">
        <v>64</v>
      </c>
      <c r="P10" s="332" t="s">
        <v>65</v>
      </c>
      <c r="Q10" s="332" t="s">
        <v>66</v>
      </c>
      <c r="R10" s="332" t="s">
        <v>67</v>
      </c>
      <c r="S10" s="288" t="s">
        <v>68</v>
      </c>
      <c r="T10" s="78"/>
      <c r="U10" s="78"/>
      <c r="V10" s="148"/>
      <c r="W10" s="78"/>
      <c r="X10" s="78"/>
      <c r="Y10" s="78"/>
      <c r="Z10" s="78"/>
      <c r="AA10" s="78"/>
      <c r="AB10" s="78"/>
      <c r="AC10" s="78"/>
      <c r="AJ10" s="78"/>
      <c r="AK10" s="78"/>
      <c r="AL10" s="78"/>
      <c r="AM10" s="78"/>
      <c r="AN10" s="78"/>
    </row>
    <row r="11" spans="2:40" s="327" customFormat="1" ht="17.25" customHeight="1">
      <c r="B11" s="78"/>
      <c r="C11" s="144"/>
      <c r="D11" s="357"/>
      <c r="E11" s="144"/>
      <c r="F11" s="78"/>
      <c r="G11" s="144"/>
      <c r="H11" s="78"/>
      <c r="I11" s="206"/>
      <c r="J11" s="75" t="s">
        <v>69</v>
      </c>
      <c r="K11" s="149" t="s">
        <v>70</v>
      </c>
      <c r="L11" s="78"/>
      <c r="M11" s="78"/>
      <c r="N11" s="78"/>
      <c r="O11" s="146"/>
      <c r="P11" s="78"/>
      <c r="Q11" s="78"/>
      <c r="R11" s="78"/>
      <c r="S11" s="78"/>
      <c r="T11" s="78"/>
      <c r="U11" s="78"/>
      <c r="V11" s="148"/>
      <c r="W11" s="78"/>
      <c r="X11" s="78"/>
      <c r="Y11" s="78"/>
      <c r="Z11" s="78"/>
      <c r="AA11" s="78"/>
      <c r="AB11" s="78"/>
      <c r="AC11" s="78"/>
      <c r="AJ11" s="78"/>
      <c r="AK11" s="78"/>
      <c r="AL11" s="78"/>
      <c r="AM11" s="78"/>
      <c r="AN11" s="78"/>
    </row>
    <row r="12" spans="2:40" s="327" customFormat="1" ht="17.25" customHeight="1">
      <c r="B12" s="78"/>
      <c r="C12" s="144"/>
      <c r="D12" s="149"/>
      <c r="E12" s="78"/>
      <c r="F12" s="78"/>
      <c r="G12" s="78"/>
      <c r="H12" s="78"/>
      <c r="I12" s="206"/>
      <c r="J12" s="78"/>
      <c r="K12" s="78"/>
      <c r="L12" s="78"/>
      <c r="M12" s="78"/>
      <c r="N12" s="78"/>
      <c r="O12" s="146"/>
      <c r="P12" s="78"/>
      <c r="Q12" s="78"/>
      <c r="R12" s="78"/>
      <c r="S12" s="78"/>
      <c r="T12" s="78"/>
      <c r="U12" s="78"/>
      <c r="V12" s="148"/>
      <c r="W12" s="78"/>
      <c r="X12" s="78"/>
      <c r="Y12" s="78"/>
      <c r="Z12" s="78"/>
      <c r="AA12" s="78"/>
      <c r="AB12" s="78"/>
      <c r="AC12" s="78"/>
      <c r="AJ12" s="78"/>
      <c r="AK12" s="78"/>
      <c r="AL12" s="78"/>
      <c r="AM12" s="78"/>
      <c r="AN12" s="78"/>
    </row>
    <row r="13" spans="2:40" s="155" customFormat="1" ht="20.25" customHeight="1">
      <c r="B13" s="478" t="s">
        <v>29</v>
      </c>
      <c r="C13" s="486" t="s">
        <v>30</v>
      </c>
      <c r="D13" s="487" t="s">
        <v>71</v>
      </c>
      <c r="E13" s="488"/>
      <c r="F13" s="478" t="s">
        <v>90</v>
      </c>
      <c r="G13" s="486" t="s">
        <v>144</v>
      </c>
      <c r="H13" s="478" t="s">
        <v>145</v>
      </c>
      <c r="I13" s="491" t="s">
        <v>72</v>
      </c>
      <c r="J13" s="492"/>
      <c r="K13" s="478" t="s">
        <v>73</v>
      </c>
      <c r="L13" s="491" t="s">
        <v>74</v>
      </c>
      <c r="M13" s="493"/>
      <c r="N13" s="493"/>
      <c r="O13" s="492"/>
      <c r="P13" s="478" t="s">
        <v>75</v>
      </c>
      <c r="Q13" s="478" t="s">
        <v>76</v>
      </c>
      <c r="R13" s="478" t="s">
        <v>77</v>
      </c>
      <c r="S13" s="478" t="s">
        <v>78</v>
      </c>
      <c r="T13" s="487" t="s">
        <v>91</v>
      </c>
      <c r="U13" s="478" t="s">
        <v>79</v>
      </c>
      <c r="V13" s="153"/>
      <c r="W13" s="154"/>
      <c r="X13" s="154"/>
      <c r="Y13" s="154"/>
      <c r="Z13" s="154"/>
      <c r="AA13" s="154"/>
      <c r="AB13" s="154"/>
      <c r="AC13" s="154"/>
      <c r="AJ13" s="154"/>
      <c r="AK13" s="154"/>
      <c r="AL13" s="154"/>
      <c r="AM13" s="154"/>
      <c r="AN13" s="154"/>
    </row>
    <row r="14" spans="2:40" s="155" customFormat="1" ht="28.5" customHeight="1">
      <c r="B14" s="485"/>
      <c r="C14" s="485"/>
      <c r="D14" s="489"/>
      <c r="E14" s="490"/>
      <c r="F14" s="479"/>
      <c r="G14" s="485"/>
      <c r="H14" s="479"/>
      <c r="I14" s="203" t="s">
        <v>80</v>
      </c>
      <c r="J14" s="156" t="s">
        <v>81</v>
      </c>
      <c r="K14" s="479"/>
      <c r="L14" s="157" t="s">
        <v>82</v>
      </c>
      <c r="M14" s="157" t="s">
        <v>83</v>
      </c>
      <c r="N14" s="157" t="s">
        <v>84</v>
      </c>
      <c r="O14" s="158" t="s">
        <v>85</v>
      </c>
      <c r="P14" s="479"/>
      <c r="Q14" s="479"/>
      <c r="R14" s="479"/>
      <c r="S14" s="479"/>
      <c r="T14" s="489"/>
      <c r="U14" s="479"/>
      <c r="W14" s="154"/>
      <c r="X14" s="154"/>
      <c r="Y14" s="154"/>
      <c r="Z14" s="154"/>
      <c r="AA14" s="154"/>
      <c r="AB14" s="154"/>
      <c r="AC14" s="154"/>
      <c r="AJ14" s="154"/>
      <c r="AK14" s="154"/>
      <c r="AL14" s="154"/>
      <c r="AM14" s="154"/>
      <c r="AN14" s="154"/>
    </row>
    <row r="15" spans="2:40" s="155" customFormat="1" ht="28.5" customHeight="1">
      <c r="B15" s="339" t="s">
        <v>153</v>
      </c>
      <c r="C15" s="330" t="s">
        <v>219</v>
      </c>
      <c r="D15" s="340" t="s">
        <v>221</v>
      </c>
      <c r="E15" s="93" t="s">
        <v>150</v>
      </c>
      <c r="F15" s="266" t="s">
        <v>179</v>
      </c>
      <c r="G15" s="288" t="s">
        <v>170</v>
      </c>
      <c r="H15" s="345"/>
      <c r="I15" s="247">
        <v>50</v>
      </c>
      <c r="J15" s="348" t="s">
        <v>147</v>
      </c>
      <c r="K15" s="345"/>
      <c r="L15" s="248"/>
      <c r="M15" s="248"/>
      <c r="N15" s="248"/>
      <c r="O15" s="249"/>
      <c r="P15" s="250">
        <f t="shared" ref="P15" si="0">W15*I15</f>
        <v>125</v>
      </c>
      <c r="Q15" s="250"/>
      <c r="R15" s="345"/>
      <c r="S15" s="345"/>
      <c r="T15" s="346"/>
      <c r="U15" s="345"/>
      <c r="W15" s="209">
        <v>2.5</v>
      </c>
      <c r="X15" s="154"/>
      <c r="Y15" s="154"/>
      <c r="Z15" s="154"/>
      <c r="AA15" s="154"/>
      <c r="AB15" s="154"/>
      <c r="AC15" s="154"/>
      <c r="AJ15" s="154"/>
      <c r="AK15" s="154"/>
      <c r="AL15" s="154"/>
      <c r="AM15" s="154"/>
      <c r="AN15" s="154"/>
    </row>
    <row r="16" spans="2:40" s="155" customFormat="1" ht="28.5" customHeight="1">
      <c r="B16" s="339" t="s">
        <v>154</v>
      </c>
      <c r="C16" s="347" t="str">
        <f>C15</f>
        <v>OM4-DE-IS-0011-001</v>
      </c>
      <c r="D16" s="340" t="s">
        <v>210</v>
      </c>
      <c r="E16" s="93" t="s">
        <v>150</v>
      </c>
      <c r="F16" s="295" t="s">
        <v>179</v>
      </c>
      <c r="G16" s="267" t="s">
        <v>170</v>
      </c>
      <c r="H16" s="345"/>
      <c r="I16" s="247">
        <v>50</v>
      </c>
      <c r="J16" s="348" t="s">
        <v>147</v>
      </c>
      <c r="K16" s="345"/>
      <c r="L16" s="248"/>
      <c r="M16" s="248"/>
      <c r="N16" s="248"/>
      <c r="O16" s="249"/>
      <c r="P16" s="250">
        <f t="shared" ref="P16:P19" si="1">W16*I16</f>
        <v>140</v>
      </c>
      <c r="Q16" s="250"/>
      <c r="R16" s="345"/>
      <c r="S16" s="345"/>
      <c r="T16" s="346"/>
      <c r="U16" s="345"/>
      <c r="W16" s="209">
        <v>2.8</v>
      </c>
      <c r="X16" s="154"/>
      <c r="Y16" s="154"/>
      <c r="Z16" s="154"/>
      <c r="AA16" s="154"/>
      <c r="AB16" s="154"/>
      <c r="AC16" s="154"/>
      <c r="AJ16" s="154"/>
      <c r="AK16" s="154"/>
      <c r="AL16" s="154"/>
      <c r="AM16" s="154"/>
      <c r="AN16" s="154"/>
    </row>
    <row r="17" spans="2:40" s="155" customFormat="1" ht="28.5" customHeight="1">
      <c r="B17" s="339" t="s">
        <v>155</v>
      </c>
      <c r="C17" s="349" t="str">
        <f t="shared" ref="C17:C19" si="2">C16</f>
        <v>OM4-DE-IS-0011-001</v>
      </c>
      <c r="D17" s="340" t="s">
        <v>211</v>
      </c>
      <c r="E17" s="93" t="s">
        <v>150</v>
      </c>
      <c r="F17" s="295" t="s">
        <v>179</v>
      </c>
      <c r="G17" s="267" t="s">
        <v>170</v>
      </c>
      <c r="H17" s="345"/>
      <c r="I17" s="247">
        <v>50</v>
      </c>
      <c r="J17" s="348" t="s">
        <v>147</v>
      </c>
      <c r="K17" s="345"/>
      <c r="L17" s="248"/>
      <c r="M17" s="248"/>
      <c r="N17" s="248"/>
      <c r="O17" s="249"/>
      <c r="P17" s="250">
        <f t="shared" si="1"/>
        <v>140</v>
      </c>
      <c r="Q17" s="250"/>
      <c r="R17" s="345"/>
      <c r="S17" s="345"/>
      <c r="T17" s="346"/>
      <c r="U17" s="345"/>
      <c r="W17" s="209">
        <v>2.8</v>
      </c>
      <c r="X17" s="154"/>
      <c r="Y17" s="154"/>
      <c r="Z17" s="154"/>
      <c r="AA17" s="154"/>
      <c r="AB17" s="154"/>
      <c r="AC17" s="154"/>
      <c r="AJ17" s="154"/>
      <c r="AK17" s="154"/>
      <c r="AL17" s="154"/>
      <c r="AM17" s="154"/>
      <c r="AN17" s="154"/>
    </row>
    <row r="18" spans="2:40" s="155" customFormat="1" ht="28.5" customHeight="1">
      <c r="B18" s="339" t="s">
        <v>156</v>
      </c>
      <c r="C18" s="349" t="str">
        <f t="shared" si="2"/>
        <v>OM4-DE-IS-0011-001</v>
      </c>
      <c r="D18" s="340" t="s">
        <v>208</v>
      </c>
      <c r="E18" s="93" t="s">
        <v>150</v>
      </c>
      <c r="F18" s="295" t="s">
        <v>179</v>
      </c>
      <c r="G18" s="267" t="s">
        <v>170</v>
      </c>
      <c r="H18" s="345"/>
      <c r="I18" s="247">
        <v>500</v>
      </c>
      <c r="J18" s="348" t="s">
        <v>214</v>
      </c>
      <c r="K18" s="345"/>
      <c r="L18" s="248"/>
      <c r="M18" s="248"/>
      <c r="N18" s="248"/>
      <c r="O18" s="249"/>
      <c r="P18" s="250">
        <f t="shared" si="1"/>
        <v>500</v>
      </c>
      <c r="Q18" s="250"/>
      <c r="R18" s="345"/>
      <c r="S18" s="345"/>
      <c r="T18" s="346"/>
      <c r="U18" s="345"/>
      <c r="W18" s="209">
        <v>1</v>
      </c>
      <c r="X18" s="154"/>
      <c r="Y18" s="154"/>
      <c r="Z18" s="154"/>
      <c r="AA18" s="154"/>
      <c r="AB18" s="154"/>
      <c r="AC18" s="154"/>
      <c r="AJ18" s="154"/>
      <c r="AK18" s="154"/>
      <c r="AL18" s="154"/>
      <c r="AM18" s="154"/>
      <c r="AN18" s="154"/>
    </row>
    <row r="19" spans="2:40" s="155" customFormat="1" ht="28.5" customHeight="1">
      <c r="B19" s="339" t="s">
        <v>157</v>
      </c>
      <c r="C19" s="349" t="str">
        <f t="shared" si="2"/>
        <v>OM4-DE-IS-0011-001</v>
      </c>
      <c r="D19" s="340" t="s">
        <v>212</v>
      </c>
      <c r="E19" s="93" t="s">
        <v>216</v>
      </c>
      <c r="F19" s="295" t="s">
        <v>179</v>
      </c>
      <c r="G19" s="267" t="s">
        <v>170</v>
      </c>
      <c r="H19" s="345"/>
      <c r="I19" s="247">
        <v>70</v>
      </c>
      <c r="J19" s="348" t="s">
        <v>147</v>
      </c>
      <c r="K19" s="345"/>
      <c r="L19" s="248"/>
      <c r="M19" s="248"/>
      <c r="N19" s="248"/>
      <c r="O19" s="249"/>
      <c r="P19" s="250">
        <f t="shared" si="1"/>
        <v>70</v>
      </c>
      <c r="Q19" s="250"/>
      <c r="R19" s="345"/>
      <c r="S19" s="345"/>
      <c r="T19" s="346"/>
      <c r="U19" s="345"/>
      <c r="W19" s="209">
        <v>1</v>
      </c>
      <c r="X19" s="154"/>
      <c r="Y19" s="154"/>
      <c r="Z19" s="154"/>
      <c r="AA19" s="154"/>
      <c r="AB19" s="154"/>
      <c r="AC19" s="154"/>
      <c r="AJ19" s="154"/>
      <c r="AK19" s="154"/>
      <c r="AL19" s="154"/>
      <c r="AM19" s="154"/>
      <c r="AN19" s="154"/>
    </row>
    <row r="20" spans="2:40" s="155" customFormat="1" ht="28.5" customHeight="1">
      <c r="B20" s="475" t="s">
        <v>92</v>
      </c>
      <c r="C20" s="476"/>
      <c r="D20" s="476"/>
      <c r="E20" s="476"/>
      <c r="F20" s="476"/>
      <c r="G20" s="476"/>
      <c r="H20" s="477"/>
      <c r="I20" s="251">
        <f>SUM(I15:I19)</f>
        <v>720</v>
      </c>
      <c r="J20" s="252"/>
      <c r="K20" s="253" t="s">
        <v>206</v>
      </c>
      <c r="L20" s="254">
        <v>150</v>
      </c>
      <c r="M20" s="254">
        <v>150</v>
      </c>
      <c r="N20" s="254">
        <v>100</v>
      </c>
      <c r="O20" s="255">
        <f>(L20*M20*N20)/10^6</f>
        <v>2.25</v>
      </c>
      <c r="P20" s="256">
        <f>SUM(P15:P19)</f>
        <v>975</v>
      </c>
      <c r="Q20" s="256">
        <f>P20+300</f>
        <v>1275</v>
      </c>
      <c r="R20" s="253" t="s">
        <v>148</v>
      </c>
      <c r="S20" s="253" t="s">
        <v>149</v>
      </c>
      <c r="T20" s="257"/>
      <c r="U20" s="253" t="s">
        <v>177</v>
      </c>
      <c r="W20" s="209"/>
      <c r="X20" s="154"/>
      <c r="Y20" s="154"/>
      <c r="Z20" s="154"/>
      <c r="AA20" s="154"/>
      <c r="AB20" s="154"/>
      <c r="AC20" s="154"/>
      <c r="AJ20" s="154"/>
      <c r="AK20" s="154"/>
      <c r="AL20" s="154"/>
      <c r="AM20" s="154"/>
      <c r="AN20" s="154"/>
    </row>
    <row r="21" spans="2:40" s="155" customFormat="1" ht="28.5" customHeight="1">
      <c r="B21" s="330">
        <v>6</v>
      </c>
      <c r="C21" s="330" t="s">
        <v>220</v>
      </c>
      <c r="D21" s="340" t="s">
        <v>207</v>
      </c>
      <c r="E21" s="93" t="s">
        <v>150</v>
      </c>
      <c r="F21" s="295" t="s">
        <v>179</v>
      </c>
      <c r="G21" s="267" t="s">
        <v>170</v>
      </c>
      <c r="H21" s="329"/>
      <c r="I21" s="247">
        <v>120</v>
      </c>
      <c r="J21" s="332" t="s">
        <v>209</v>
      </c>
      <c r="K21" s="329"/>
      <c r="L21" s="248"/>
      <c r="M21" s="248"/>
      <c r="N21" s="248"/>
      <c r="O21" s="249"/>
      <c r="P21" s="250">
        <f>W21*I21</f>
        <v>840</v>
      </c>
      <c r="Q21" s="250"/>
      <c r="R21" s="329"/>
      <c r="S21" s="329"/>
      <c r="T21" s="331"/>
      <c r="U21" s="329"/>
      <c r="W21" s="209">
        <v>7</v>
      </c>
      <c r="X21" s="154"/>
      <c r="Y21" s="154"/>
      <c r="Z21" s="154"/>
      <c r="AA21" s="154"/>
      <c r="AB21" s="154"/>
      <c r="AC21" s="154"/>
      <c r="AJ21" s="154"/>
      <c r="AK21" s="154"/>
      <c r="AL21" s="154"/>
      <c r="AM21" s="154"/>
      <c r="AN21" s="154"/>
    </row>
    <row r="22" spans="2:40" s="155" customFormat="1" ht="28.5" customHeight="1">
      <c r="B22" s="475" t="s">
        <v>92</v>
      </c>
      <c r="C22" s="476"/>
      <c r="D22" s="476"/>
      <c r="E22" s="476"/>
      <c r="F22" s="476"/>
      <c r="G22" s="476"/>
      <c r="H22" s="477"/>
      <c r="I22" s="251">
        <f>SUM(I21)</f>
        <v>120</v>
      </c>
      <c r="J22" s="252"/>
      <c r="K22" s="253" t="s">
        <v>206</v>
      </c>
      <c r="L22" s="254">
        <v>620</v>
      </c>
      <c r="M22" s="254">
        <v>100</v>
      </c>
      <c r="N22" s="254">
        <v>100</v>
      </c>
      <c r="O22" s="255">
        <v>6.14</v>
      </c>
      <c r="P22" s="256">
        <f>P21</f>
        <v>840</v>
      </c>
      <c r="Q22" s="256">
        <f>P22+300</f>
        <v>1140</v>
      </c>
      <c r="R22" s="253" t="s">
        <v>148</v>
      </c>
      <c r="S22" s="253" t="s">
        <v>149</v>
      </c>
      <c r="T22" s="257"/>
      <c r="U22" s="253" t="s">
        <v>177</v>
      </c>
      <c r="W22" s="209"/>
      <c r="X22" s="154"/>
      <c r="Y22" s="154"/>
      <c r="Z22" s="154"/>
      <c r="AA22" s="154"/>
      <c r="AB22" s="154"/>
      <c r="AC22" s="154"/>
      <c r="AJ22" s="154"/>
      <c r="AK22" s="154"/>
      <c r="AL22" s="154"/>
      <c r="AM22" s="154"/>
      <c r="AN22" s="154"/>
    </row>
    <row r="23" spans="2:40" s="327" customFormat="1" ht="32.25" customHeight="1">
      <c r="B23" s="474" t="s">
        <v>93</v>
      </c>
      <c r="C23" s="474"/>
      <c r="D23" s="474"/>
      <c r="E23" s="474"/>
      <c r="F23" s="474"/>
      <c r="G23" s="474"/>
      <c r="H23" s="474"/>
      <c r="I23" s="474"/>
      <c r="J23" s="474"/>
      <c r="K23" s="332"/>
      <c r="L23" s="332"/>
      <c r="M23" s="332"/>
      <c r="N23" s="332"/>
      <c r="O23" s="208">
        <f>SUM(O15:O22)</f>
        <v>8.39</v>
      </c>
      <c r="P23" s="208">
        <f>SUM(P20,P22)</f>
        <v>1815</v>
      </c>
      <c r="Q23" s="208">
        <f>SUM(Q15:Q22)</f>
        <v>2415</v>
      </c>
      <c r="R23" s="332"/>
      <c r="S23" s="332"/>
      <c r="T23" s="332"/>
      <c r="U23" s="332"/>
      <c r="V23" s="148"/>
      <c r="W23" s="78"/>
      <c r="X23" s="78"/>
      <c r="Y23" s="78"/>
      <c r="Z23" s="78"/>
      <c r="AA23" s="78"/>
      <c r="AB23" s="78"/>
      <c r="AC23" s="78"/>
      <c r="AJ23" s="78"/>
      <c r="AK23" s="78"/>
      <c r="AL23" s="78"/>
      <c r="AM23" s="78"/>
      <c r="AN23" s="78"/>
    </row>
  </sheetData>
  <mergeCells count="21">
    <mergeCell ref="B1:U1"/>
    <mergeCell ref="C3:K3"/>
    <mergeCell ref="B4:U4"/>
    <mergeCell ref="B13:B14"/>
    <mergeCell ref="C13:C14"/>
    <mergeCell ref="D13:E14"/>
    <mergeCell ref="F13:F14"/>
    <mergeCell ref="G13:G14"/>
    <mergeCell ref="H13:H14"/>
    <mergeCell ref="I13:J13"/>
    <mergeCell ref="K13:K14"/>
    <mergeCell ref="L13:O13"/>
    <mergeCell ref="T13:T14"/>
    <mergeCell ref="U13:U14"/>
    <mergeCell ref="B23:J23"/>
    <mergeCell ref="B20:H20"/>
    <mergeCell ref="B22:H22"/>
    <mergeCell ref="R13:R14"/>
    <mergeCell ref="S13:S14"/>
    <mergeCell ref="P13:P14"/>
    <mergeCell ref="Q13:Q14"/>
  </mergeCells>
  <phoneticPr fontId="34" type="noConversion"/>
  <printOptions horizontalCentered="1"/>
  <pageMargins left="0.23622047244094491" right="0.23622047244094491" top="0.47244094488188981" bottom="0.51181102362204722" header="0.31496062992125984" footer="0.31496062992125984"/>
  <pageSetup paperSize="9" scale="56" fitToHeight="0" orientation="landscape" r:id="rId1"/>
  <headerFooter alignWithMargins="0">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Q47"/>
  <sheetViews>
    <sheetView showGridLines="0" view="pageBreakPreview" topLeftCell="A17" zoomScale="80" zoomScaleNormal="100" zoomScaleSheetLayoutView="80" workbookViewId="0">
      <selection activeCell="A4" sqref="A4:K4"/>
    </sheetView>
  </sheetViews>
  <sheetFormatPr defaultColWidth="9.5859375" defaultRowHeight="17.25" customHeight="1"/>
  <cols>
    <col min="1" max="1" width="1.63671875" style="7" customWidth="1"/>
    <col min="2" max="2" width="27.24609375" style="7" customWidth="1"/>
    <col min="3" max="3" width="1.75390625" style="7" customWidth="1"/>
    <col min="4" max="4" width="6.3125" style="7" customWidth="1"/>
    <col min="5" max="5" width="4.32421875" style="7" customWidth="1"/>
    <col min="6" max="6" width="13.5625" style="7" customWidth="1"/>
    <col min="7" max="7" width="17.65625" style="6" customWidth="1"/>
    <col min="8" max="8" width="9.5859375" style="6" customWidth="1"/>
    <col min="9" max="10" width="9.00390625" style="6" customWidth="1"/>
    <col min="11" max="11" width="10.875" style="72" customWidth="1"/>
    <col min="12" max="12" width="7.71484375" style="6" customWidth="1"/>
    <col min="13" max="16384" width="9.5859375" style="7"/>
  </cols>
  <sheetData>
    <row r="1" spans="1:14" ht="22.15" customHeight="1">
      <c r="A1" s="1"/>
      <c r="B1" s="2"/>
      <c r="C1" s="2"/>
      <c r="D1" s="2"/>
      <c r="E1" s="2"/>
      <c r="F1" s="2"/>
      <c r="G1" s="3"/>
      <c r="H1" s="3"/>
      <c r="I1" s="3"/>
      <c r="J1" s="4"/>
      <c r="K1" s="5"/>
    </row>
    <row r="2" spans="1:14" ht="22.15" customHeight="1">
      <c r="A2" s="8"/>
      <c r="B2" s="184"/>
      <c r="C2" s="184"/>
      <c r="D2" s="184"/>
      <c r="E2" s="184"/>
      <c r="F2" s="184"/>
      <c r="G2" s="185"/>
      <c r="H2" s="185"/>
      <c r="I2" s="185"/>
      <c r="J2" s="186"/>
      <c r="K2" s="9"/>
    </row>
    <row r="3" spans="1:14" ht="37.5" customHeight="1">
      <c r="A3" s="10"/>
      <c r="B3" s="378" t="s">
        <v>114</v>
      </c>
      <c r="C3" s="379"/>
      <c r="D3" s="379"/>
      <c r="E3" s="379"/>
      <c r="F3" s="187"/>
      <c r="G3" s="188"/>
      <c r="H3" s="378"/>
      <c r="I3" s="379"/>
      <c r="J3" s="379"/>
      <c r="K3" s="380"/>
    </row>
    <row r="4" spans="1:14" s="13" customFormat="1" ht="24.75" customHeight="1">
      <c r="A4" s="381" t="s">
        <v>1</v>
      </c>
      <c r="B4" s="382"/>
      <c r="C4" s="382"/>
      <c r="D4" s="382"/>
      <c r="E4" s="382"/>
      <c r="F4" s="382"/>
      <c r="G4" s="382"/>
      <c r="H4" s="382"/>
      <c r="I4" s="382"/>
      <c r="J4" s="382"/>
      <c r="K4" s="383"/>
      <c r="L4" s="11"/>
      <c r="M4" s="12"/>
      <c r="N4" s="12"/>
    </row>
    <row r="5" spans="1:14" s="13" customFormat="1" ht="16.149999999999999" customHeight="1">
      <c r="A5" s="14" t="s">
        <v>2</v>
      </c>
      <c r="B5" s="15"/>
      <c r="C5" s="15"/>
      <c r="D5" s="15"/>
      <c r="E5" s="16"/>
      <c r="F5" s="17"/>
      <c r="G5" s="18" t="s">
        <v>3</v>
      </c>
      <c r="H5" s="19" t="s">
        <v>218</v>
      </c>
      <c r="I5" s="19"/>
      <c r="J5" s="19"/>
      <c r="K5" s="20"/>
      <c r="L5" s="21"/>
      <c r="M5" s="22"/>
      <c r="N5" s="12"/>
    </row>
    <row r="6" spans="1:14" s="13" customFormat="1" ht="12.75">
      <c r="A6" s="23"/>
      <c r="B6" s="387" t="s">
        <v>130</v>
      </c>
      <c r="C6" s="388"/>
      <c r="D6" s="388"/>
      <c r="E6" s="388"/>
      <c r="F6" s="389"/>
      <c r="G6" s="24" t="s">
        <v>4</v>
      </c>
      <c r="H6" s="353">
        <v>46181</v>
      </c>
      <c r="I6" s="25"/>
      <c r="J6" s="26"/>
      <c r="K6" s="27"/>
      <c r="L6" s="21"/>
      <c r="M6" s="12"/>
      <c r="N6" s="12"/>
    </row>
    <row r="7" spans="1:14" ht="15.4" customHeight="1">
      <c r="A7" s="8"/>
      <c r="B7" s="388"/>
      <c r="C7" s="388"/>
      <c r="D7" s="388"/>
      <c r="E7" s="388"/>
      <c r="F7" s="389"/>
      <c r="G7" s="29" t="s">
        <v>5</v>
      </c>
      <c r="H7" s="30" t="s">
        <v>115</v>
      </c>
      <c r="I7" s="30"/>
      <c r="J7" s="30"/>
      <c r="K7" s="31"/>
    </row>
    <row r="8" spans="1:14" ht="16.5" customHeight="1">
      <c r="A8" s="8"/>
      <c r="B8" s="390"/>
      <c r="C8" s="390"/>
      <c r="D8" s="390"/>
      <c r="E8" s="390"/>
      <c r="F8" s="391"/>
      <c r="G8" s="24" t="s">
        <v>4</v>
      </c>
      <c r="H8" s="194">
        <v>45814</v>
      </c>
      <c r="I8" s="32"/>
      <c r="J8" s="32"/>
      <c r="K8" s="27"/>
    </row>
    <row r="9" spans="1:14" ht="21" thickBot="1">
      <c r="A9" s="33" t="s">
        <v>7</v>
      </c>
      <c r="B9" s="30"/>
      <c r="C9" s="30"/>
      <c r="D9" s="30"/>
      <c r="E9" s="30"/>
      <c r="F9" s="34"/>
      <c r="G9" s="384" t="s">
        <v>8</v>
      </c>
      <c r="H9" s="385"/>
      <c r="I9" s="385"/>
      <c r="J9" s="385"/>
      <c r="K9" s="386"/>
    </row>
    <row r="10" spans="1:14" ht="14.1" customHeight="1">
      <c r="A10" s="8"/>
      <c r="B10" s="408" t="s">
        <v>129</v>
      </c>
      <c r="C10" s="408"/>
      <c r="D10" s="408"/>
      <c r="E10" s="408"/>
      <c r="F10" s="409"/>
      <c r="G10" s="392" t="s">
        <v>126</v>
      </c>
      <c r="H10" s="393"/>
      <c r="I10" s="393"/>
      <c r="J10" s="393"/>
      <c r="K10" s="394"/>
    </row>
    <row r="11" spans="1:14" ht="14.1" customHeight="1">
      <c r="A11" s="8"/>
      <c r="B11" s="408"/>
      <c r="C11" s="408"/>
      <c r="D11" s="408"/>
      <c r="E11" s="408"/>
      <c r="F11" s="409"/>
      <c r="G11" s="395"/>
      <c r="H11" s="396"/>
      <c r="I11" s="396"/>
      <c r="J11" s="396"/>
      <c r="K11" s="397"/>
    </row>
    <row r="12" spans="1:14" ht="28.15" customHeight="1" thickBot="1">
      <c r="A12" s="35"/>
      <c r="B12" s="410"/>
      <c r="C12" s="410"/>
      <c r="D12" s="410"/>
      <c r="E12" s="410"/>
      <c r="F12" s="411"/>
      <c r="G12" s="398"/>
      <c r="H12" s="399"/>
      <c r="I12" s="399"/>
      <c r="J12" s="399"/>
      <c r="K12" s="400"/>
    </row>
    <row r="13" spans="1:14" ht="14.1" customHeight="1">
      <c r="A13" s="36" t="s">
        <v>10</v>
      </c>
      <c r="B13" s="189"/>
      <c r="C13" s="184"/>
      <c r="D13" s="184"/>
      <c r="E13" s="184"/>
      <c r="F13" s="184"/>
      <c r="G13" s="37"/>
      <c r="H13" s="184"/>
      <c r="I13" s="184"/>
      <c r="J13" s="186"/>
      <c r="K13" s="9"/>
    </row>
    <row r="14" spans="1:14" ht="14.1" customHeight="1">
      <c r="A14" s="8"/>
      <c r="B14" s="412" t="s">
        <v>131</v>
      </c>
      <c r="C14" s="413"/>
      <c r="D14" s="413"/>
      <c r="E14" s="413"/>
      <c r="F14" s="414"/>
      <c r="G14" s="38"/>
      <c r="H14" s="401"/>
      <c r="I14" s="401"/>
      <c r="J14" s="401"/>
      <c r="K14" s="402"/>
    </row>
    <row r="15" spans="1:14" s="276" customFormat="1" ht="14.1" customHeight="1">
      <c r="A15" s="274"/>
      <c r="B15" s="413"/>
      <c r="C15" s="413"/>
      <c r="D15" s="413"/>
      <c r="E15" s="413"/>
      <c r="F15" s="414"/>
      <c r="G15" s="272" t="s">
        <v>11</v>
      </c>
      <c r="H15" s="403" t="str">
        <f>H5</f>
        <v>OM4-DE-IS-0011</v>
      </c>
      <c r="I15" s="404"/>
      <c r="J15" s="404"/>
      <c r="K15" s="405"/>
      <c r="L15" s="275"/>
    </row>
    <row r="16" spans="1:14" ht="9" customHeight="1">
      <c r="A16" s="8"/>
      <c r="B16" s="413"/>
      <c r="C16" s="413"/>
      <c r="D16" s="413"/>
      <c r="E16" s="413"/>
      <c r="F16" s="414"/>
      <c r="G16" s="38"/>
      <c r="H16" s="404"/>
      <c r="I16" s="404"/>
      <c r="J16" s="404"/>
      <c r="K16" s="405"/>
    </row>
    <row r="17" spans="1:15" ht="100.15" customHeight="1">
      <c r="A17" s="8"/>
      <c r="B17" s="415"/>
      <c r="C17" s="415"/>
      <c r="D17" s="415"/>
      <c r="E17" s="415"/>
      <c r="F17" s="416"/>
      <c r="G17" s="272" t="s">
        <v>12</v>
      </c>
      <c r="H17" s="406" t="s">
        <v>201</v>
      </c>
      <c r="I17" s="406"/>
      <c r="J17" s="406"/>
      <c r="K17" s="407"/>
    </row>
    <row r="18" spans="1:15" ht="18.600000000000001" customHeight="1">
      <c r="A18" s="33" t="s">
        <v>13</v>
      </c>
      <c r="B18" s="40"/>
      <c r="C18" s="29" t="s">
        <v>14</v>
      </c>
      <c r="D18" s="30"/>
      <c r="E18" s="30"/>
      <c r="F18" s="34"/>
      <c r="G18" s="37"/>
      <c r="H18" s="418"/>
      <c r="I18" s="418"/>
      <c r="J18" s="418"/>
      <c r="K18" s="419"/>
    </row>
    <row r="19" spans="1:15" s="6" customFormat="1" ht="11.65" customHeight="1">
      <c r="A19" s="35"/>
      <c r="B19" s="258" t="s">
        <v>230</v>
      </c>
      <c r="C19" s="259"/>
      <c r="D19" s="420">
        <v>46208</v>
      </c>
      <c r="E19" s="420"/>
      <c r="F19" s="421"/>
      <c r="G19" s="37" t="s">
        <v>110</v>
      </c>
      <c r="H19" s="418" t="s">
        <v>111</v>
      </c>
      <c r="I19" s="418"/>
      <c r="J19" s="418"/>
      <c r="K19" s="419"/>
      <c r="M19" s="7"/>
      <c r="N19" s="7"/>
      <c r="O19" s="7"/>
    </row>
    <row r="20" spans="1:15" s="6" customFormat="1" ht="18.600000000000001" customHeight="1">
      <c r="A20" s="33" t="s">
        <v>15</v>
      </c>
      <c r="B20" s="30"/>
      <c r="C20" s="29" t="s">
        <v>16</v>
      </c>
      <c r="D20" s="30"/>
      <c r="E20" s="30"/>
      <c r="F20" s="34"/>
      <c r="G20" s="278" t="s">
        <v>196</v>
      </c>
      <c r="H20" s="406" t="s">
        <v>195</v>
      </c>
      <c r="I20" s="406"/>
      <c r="J20" s="406"/>
      <c r="K20" s="407"/>
      <c r="M20" s="7"/>
      <c r="N20" s="7"/>
      <c r="O20" s="7"/>
    </row>
    <row r="21" spans="1:15" s="6" customFormat="1" ht="13.15" customHeight="1">
      <c r="A21" s="274"/>
      <c r="B21" s="280" t="s">
        <v>197</v>
      </c>
      <c r="C21" s="277"/>
      <c r="D21" s="269" t="s">
        <v>200</v>
      </c>
      <c r="E21" s="270"/>
      <c r="F21" s="271"/>
      <c r="G21" s="278"/>
      <c r="H21" s="186"/>
      <c r="I21" s="185"/>
      <c r="J21" s="185"/>
      <c r="K21" s="9"/>
      <c r="M21" s="7"/>
      <c r="N21" s="7"/>
      <c r="O21" s="7"/>
    </row>
    <row r="22" spans="1:15" s="6" customFormat="1" ht="18.600000000000001" customHeight="1">
      <c r="A22" s="33" t="s">
        <v>17</v>
      </c>
      <c r="B22" s="40"/>
      <c r="C22" s="29" t="s">
        <v>18</v>
      </c>
      <c r="D22" s="30"/>
      <c r="E22" s="30"/>
      <c r="F22" s="34"/>
      <c r="G22" s="37"/>
      <c r="H22" s="186"/>
      <c r="I22" s="185"/>
      <c r="J22" s="185"/>
      <c r="K22" s="9"/>
      <c r="M22" s="7"/>
      <c r="N22" s="7"/>
      <c r="O22" s="7"/>
    </row>
    <row r="23" spans="1:15" s="6" customFormat="1" ht="13.9" customHeight="1">
      <c r="A23" s="35"/>
      <c r="B23" s="258"/>
      <c r="C23" s="259"/>
      <c r="D23" s="424"/>
      <c r="E23" s="424"/>
      <c r="F23" s="425"/>
      <c r="G23" s="37"/>
      <c r="H23" s="185"/>
      <c r="I23" s="185"/>
      <c r="J23" s="185"/>
      <c r="K23" s="9"/>
      <c r="M23" s="7"/>
      <c r="N23" s="7"/>
      <c r="O23" s="7"/>
    </row>
    <row r="24" spans="1:15" s="6" customFormat="1" ht="19.149999999999999" customHeight="1">
      <c r="A24" s="33" t="s">
        <v>19</v>
      </c>
      <c r="B24" s="30"/>
      <c r="C24" s="30"/>
      <c r="D24" s="30"/>
      <c r="E24" s="30"/>
      <c r="F24" s="30"/>
      <c r="G24" s="43"/>
      <c r="H24" s="44"/>
      <c r="I24" s="45"/>
      <c r="J24" s="44"/>
      <c r="K24" s="46"/>
      <c r="M24" s="7"/>
      <c r="N24" s="7"/>
      <c r="O24" s="7"/>
    </row>
    <row r="25" spans="1:15" s="6" customFormat="1" ht="12.75">
      <c r="A25" s="8"/>
      <c r="B25" s="189" t="s">
        <v>9</v>
      </c>
      <c r="C25" s="184"/>
      <c r="D25" s="184"/>
      <c r="E25" s="184"/>
      <c r="F25" s="184"/>
      <c r="G25" s="37"/>
      <c r="H25" s="185"/>
      <c r="I25" s="185"/>
      <c r="J25" s="185"/>
      <c r="K25" s="9"/>
      <c r="M25" s="7"/>
      <c r="N25" s="7"/>
      <c r="O25" s="7"/>
    </row>
    <row r="26" spans="1:15" s="6" customFormat="1" ht="19.149999999999999" customHeight="1">
      <c r="A26" s="35"/>
      <c r="B26" s="426" t="s">
        <v>132</v>
      </c>
      <c r="C26" s="426"/>
      <c r="D26" s="426"/>
      <c r="E26" s="426"/>
      <c r="F26" s="427"/>
      <c r="G26" s="47"/>
      <c r="H26" s="48"/>
      <c r="I26" s="48"/>
      <c r="J26" s="48"/>
      <c r="K26" s="49"/>
      <c r="M26" s="7"/>
      <c r="N26" s="7"/>
      <c r="O26" s="7"/>
    </row>
    <row r="27" spans="1:15" ht="45" customHeight="1">
      <c r="A27" s="428" t="s">
        <v>20</v>
      </c>
      <c r="B27" s="423"/>
      <c r="C27" s="423"/>
      <c r="D27" s="423"/>
      <c r="E27" s="423"/>
      <c r="F27" s="423"/>
      <c r="G27" s="429"/>
      <c r="H27" s="50" t="s">
        <v>21</v>
      </c>
      <c r="I27" s="50" t="s">
        <v>22</v>
      </c>
      <c r="J27" s="51" t="s">
        <v>23</v>
      </c>
      <c r="K27" s="52" t="s">
        <v>24</v>
      </c>
    </row>
    <row r="28" spans="1:15" ht="36" customHeight="1">
      <c r="A28" s="36"/>
      <c r="B28" s="430" t="s">
        <v>133</v>
      </c>
      <c r="C28" s="430"/>
      <c r="D28" s="430"/>
      <c r="E28" s="430"/>
      <c r="F28" s="430"/>
      <c r="G28" s="431"/>
      <c r="H28" s="53"/>
      <c r="I28" s="53"/>
      <c r="J28" s="53"/>
      <c r="K28" s="54"/>
    </row>
    <row r="29" spans="1:15" ht="15" customHeight="1">
      <c r="A29" s="263"/>
      <c r="B29" s="432" t="s">
        <v>204</v>
      </c>
      <c r="C29" s="432"/>
      <c r="D29" s="432"/>
      <c r="E29" s="432"/>
      <c r="F29" s="432"/>
      <c r="G29" s="433"/>
      <c r="H29" s="282" t="s">
        <v>147</v>
      </c>
      <c r="I29" s="354">
        <f>SUM('Packing List (1_2)'!H30:H36)</f>
        <v>840</v>
      </c>
      <c r="J29" s="282">
        <f>ROUND(K29/I29,2)</f>
        <v>45.09</v>
      </c>
      <c r="K29" s="355">
        <f>'Break Down CI'!N15</f>
        <v>37873.86</v>
      </c>
      <c r="M29" s="313"/>
    </row>
    <row r="30" spans="1:15" ht="15" customHeight="1">
      <c r="A30" s="263"/>
      <c r="B30" s="432"/>
      <c r="C30" s="432"/>
      <c r="D30" s="432"/>
      <c r="E30" s="432"/>
      <c r="F30" s="432"/>
      <c r="G30" s="433"/>
      <c r="H30" s="282"/>
      <c r="I30" s="354"/>
      <c r="J30" s="282"/>
      <c r="K30" s="355"/>
      <c r="M30" s="313"/>
    </row>
    <row r="31" spans="1:15" ht="15" customHeight="1">
      <c r="A31" s="263"/>
      <c r="B31" s="432"/>
      <c r="C31" s="432"/>
      <c r="D31" s="432"/>
      <c r="E31" s="432"/>
      <c r="F31" s="432"/>
      <c r="G31" s="433"/>
      <c r="H31" s="282"/>
      <c r="I31" s="282"/>
      <c r="J31" s="282"/>
      <c r="K31" s="355"/>
    </row>
    <row r="32" spans="1:15" ht="15" customHeight="1">
      <c r="A32" s="263"/>
      <c r="B32" s="360"/>
      <c r="C32" s="360"/>
      <c r="D32" s="360"/>
      <c r="E32" s="360"/>
      <c r="F32" s="360"/>
      <c r="G32" s="361"/>
      <c r="H32" s="282"/>
      <c r="I32" s="282"/>
      <c r="J32" s="282"/>
      <c r="K32" s="355"/>
    </row>
    <row r="33" spans="1:17" s="276" customFormat="1" ht="12.75">
      <c r="A33" s="279"/>
      <c r="B33" s="280" t="s">
        <v>25</v>
      </c>
      <c r="C33" s="280"/>
      <c r="D33" s="280">
        <v>2</v>
      </c>
      <c r="E33" s="280" t="s">
        <v>26</v>
      </c>
      <c r="F33" s="280"/>
      <c r="G33" s="281"/>
      <c r="H33" s="282"/>
      <c r="I33" s="282"/>
      <c r="J33" s="282"/>
      <c r="K33" s="283"/>
      <c r="L33" s="275"/>
      <c r="M33" s="7" t="s">
        <v>198</v>
      </c>
      <c r="N33" s="359">
        <v>1277</v>
      </c>
      <c r="P33" s="7"/>
      <c r="Q33" s="7"/>
    </row>
    <row r="34" spans="1:17" ht="18" customHeight="1">
      <c r="A34" s="36"/>
      <c r="B34" s="184"/>
      <c r="C34" s="184"/>
      <c r="D34" s="184"/>
      <c r="E34" s="184"/>
      <c r="F34" s="184"/>
      <c r="G34" s="55"/>
      <c r="H34" s="53"/>
      <c r="I34" s="53"/>
      <c r="J34" s="53"/>
      <c r="K34" s="56"/>
      <c r="M34" s="7" t="s">
        <v>199</v>
      </c>
      <c r="N34" s="326">
        <f>K29*110%*0.1045%</f>
        <v>43.536002070000002</v>
      </c>
    </row>
    <row r="35" spans="1:17" ht="18" customHeight="1">
      <c r="A35" s="36"/>
      <c r="B35" s="184"/>
      <c r="C35" s="184"/>
      <c r="D35" s="184"/>
      <c r="E35" s="184"/>
      <c r="F35" s="184"/>
      <c r="G35" s="55"/>
      <c r="H35" s="53"/>
      <c r="I35" s="53"/>
      <c r="J35" s="53"/>
      <c r="K35" s="56"/>
    </row>
    <row r="36" spans="1:17" ht="18" customHeight="1">
      <c r="A36" s="36"/>
      <c r="B36" s="184"/>
      <c r="C36" s="184"/>
      <c r="D36" s="184"/>
      <c r="E36" s="184"/>
      <c r="F36" s="184"/>
      <c r="G36" s="55"/>
      <c r="H36" s="53"/>
      <c r="I36" s="53"/>
      <c r="J36" s="53"/>
      <c r="K36" s="56"/>
    </row>
    <row r="37" spans="1:17" ht="18" customHeight="1">
      <c r="A37" s="57"/>
      <c r="B37" s="58"/>
      <c r="C37" s="58"/>
      <c r="D37" s="58"/>
      <c r="E37" s="58"/>
      <c r="F37" s="58"/>
      <c r="G37" s="59"/>
      <c r="H37" s="60"/>
      <c r="I37" s="60"/>
      <c r="J37" s="60"/>
      <c r="K37" s="61"/>
    </row>
    <row r="38" spans="1:17" ht="14.1" customHeight="1">
      <c r="A38" s="33"/>
      <c r="B38" s="422" t="s">
        <v>27</v>
      </c>
      <c r="C38" s="422"/>
      <c r="D38" s="422"/>
      <c r="E38" s="422"/>
      <c r="F38" s="422"/>
      <c r="G38" s="422"/>
      <c r="H38" s="62"/>
      <c r="I38" s="45"/>
      <c r="J38" s="45"/>
      <c r="K38" s="63">
        <f>SUM(K29:K33)</f>
        <v>37873.86</v>
      </c>
    </row>
    <row r="39" spans="1:17" ht="14.1" customHeight="1">
      <c r="A39" s="57"/>
      <c r="B39" s="423"/>
      <c r="C39" s="423"/>
      <c r="D39" s="423"/>
      <c r="E39" s="423"/>
      <c r="F39" s="423"/>
      <c r="G39" s="423"/>
      <c r="H39" s="64"/>
      <c r="I39" s="64"/>
      <c r="J39" s="64"/>
      <c r="K39" s="65"/>
    </row>
    <row r="40" spans="1:17" ht="14.1" customHeight="1">
      <c r="A40" s="36"/>
      <c r="B40" s="184"/>
      <c r="C40" s="184"/>
      <c r="D40" s="184"/>
      <c r="E40" s="184"/>
      <c r="F40" s="184"/>
      <c r="G40" s="185"/>
      <c r="H40" s="185"/>
      <c r="I40" s="185"/>
      <c r="J40" s="185"/>
      <c r="K40" s="9"/>
    </row>
    <row r="41" spans="1:17" ht="14.1" customHeight="1">
      <c r="A41" s="36"/>
      <c r="B41" s="184"/>
      <c r="C41" s="184"/>
      <c r="D41" s="184"/>
      <c r="E41" s="184"/>
      <c r="F41" s="184"/>
      <c r="G41" s="185"/>
      <c r="H41" s="185"/>
      <c r="I41" s="185"/>
      <c r="J41" s="185"/>
      <c r="K41" s="9"/>
    </row>
    <row r="42" spans="1:17" ht="14.1" customHeight="1">
      <c r="A42" s="8"/>
      <c r="B42" s="184"/>
      <c r="C42" s="184"/>
      <c r="D42" s="184"/>
      <c r="E42" s="184"/>
      <c r="F42" s="184"/>
      <c r="G42" s="185"/>
      <c r="H42" s="185"/>
      <c r="I42" s="185"/>
      <c r="J42" s="185"/>
      <c r="K42" s="9"/>
    </row>
    <row r="43" spans="1:17" ht="14.1" customHeight="1">
      <c r="A43" s="8"/>
      <c r="B43" s="184"/>
      <c r="C43" s="184"/>
      <c r="D43" s="184"/>
      <c r="E43" s="184"/>
      <c r="F43" s="184"/>
      <c r="G43" s="185"/>
      <c r="H43" s="185"/>
      <c r="I43" s="185"/>
      <c r="J43" s="185"/>
      <c r="K43" s="9"/>
    </row>
    <row r="44" spans="1:17" ht="14.1" customHeight="1">
      <c r="A44" s="8"/>
      <c r="B44" s="184"/>
      <c r="C44" s="184"/>
      <c r="D44" s="184"/>
      <c r="E44" s="184"/>
      <c r="F44" s="184"/>
      <c r="G44" s="185"/>
      <c r="H44" s="185"/>
      <c r="I44" s="185"/>
      <c r="J44" s="185"/>
      <c r="K44" s="9"/>
    </row>
    <row r="45" spans="1:17" ht="14.1" customHeight="1">
      <c r="A45" s="8"/>
      <c r="B45" s="184"/>
      <c r="C45" s="184"/>
      <c r="D45" s="184"/>
      <c r="E45" s="184"/>
      <c r="F45" s="184"/>
      <c r="G45" s="192" t="s">
        <v>28</v>
      </c>
      <c r="H45" s="48"/>
      <c r="I45" s="48"/>
      <c r="J45" s="48"/>
      <c r="K45" s="9"/>
    </row>
    <row r="46" spans="1:17" ht="14.1" customHeight="1">
      <c r="A46" s="8"/>
      <c r="B46" s="184"/>
      <c r="C46" s="184"/>
      <c r="D46" s="184"/>
      <c r="E46" s="184"/>
      <c r="F46" s="184"/>
      <c r="G46" s="185"/>
      <c r="H46" s="417" t="s">
        <v>193</v>
      </c>
      <c r="I46" s="417"/>
      <c r="J46" s="417"/>
      <c r="K46" s="9"/>
    </row>
    <row r="47" spans="1:17" ht="14.1" customHeight="1" thickBot="1">
      <c r="A47" s="115"/>
      <c r="B47" s="68"/>
      <c r="C47" s="68"/>
      <c r="D47" s="68"/>
      <c r="E47" s="68"/>
      <c r="F47" s="68"/>
      <c r="G47" s="69"/>
      <c r="H47" s="70"/>
      <c r="I47" s="70"/>
      <c r="J47" s="70"/>
      <c r="K47" s="193"/>
    </row>
  </sheetData>
  <sheetProtection selectLockedCells="1" selectUnlockedCells="1"/>
  <mergeCells count="22">
    <mergeCell ref="H46:J46"/>
    <mergeCell ref="H18:K18"/>
    <mergeCell ref="D19:F19"/>
    <mergeCell ref="H19:K19"/>
    <mergeCell ref="B38:G39"/>
    <mergeCell ref="H20:K20"/>
    <mergeCell ref="D23:F23"/>
    <mergeCell ref="B26:F26"/>
    <mergeCell ref="A27:G27"/>
    <mergeCell ref="B28:G28"/>
    <mergeCell ref="B29:G31"/>
    <mergeCell ref="G10:K12"/>
    <mergeCell ref="H14:K14"/>
    <mergeCell ref="H15:K16"/>
    <mergeCell ref="H17:K17"/>
    <mergeCell ref="B10:F12"/>
    <mergeCell ref="B14:F17"/>
    <mergeCell ref="B3:E3"/>
    <mergeCell ref="H3:K3"/>
    <mergeCell ref="A4:K4"/>
    <mergeCell ref="G9:K9"/>
    <mergeCell ref="B6:F8"/>
  </mergeCells>
  <phoneticPr fontId="34" type="noConversion"/>
  <printOptions horizontalCentered="1" verticalCentered="1"/>
  <pageMargins left="0.49" right="0.53" top="0.41" bottom="0.57999999999999996" header="0.31496062992125984" footer="0.31496062992125984"/>
  <pageSetup paperSize="9" scale="72"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5:U21"/>
  <sheetViews>
    <sheetView showGridLines="0" view="pageBreakPreview" topLeftCell="B1" zoomScale="80" zoomScaleNormal="100" zoomScaleSheetLayoutView="80" workbookViewId="0">
      <selection activeCell="B7" sqref="B7:B8"/>
    </sheetView>
  </sheetViews>
  <sheetFormatPr defaultColWidth="8.76953125" defaultRowHeight="14.25"/>
  <cols>
    <col min="1" max="1" width="8.76953125" style="73"/>
    <col min="2" max="2" width="16.72265625" style="73" bestFit="1" customWidth="1"/>
    <col min="3" max="3" width="40.2265625" style="73" customWidth="1"/>
    <col min="4" max="4" width="21.1640625" style="327" bestFit="1" customWidth="1"/>
    <col min="5" max="5" width="20.11328125" style="73" customWidth="1"/>
    <col min="6" max="6" width="11.109375" style="327" customWidth="1"/>
    <col min="7" max="7" width="11.34375" style="73" customWidth="1"/>
    <col min="8" max="8" width="8.06640625" style="73" bestFit="1" customWidth="1"/>
    <col min="9" max="9" width="8.41796875" style="73" bestFit="1" customWidth="1"/>
    <col min="10" max="10" width="9.703125" style="73" customWidth="1"/>
    <col min="11" max="12" width="8.06640625" style="78" customWidth="1"/>
    <col min="13" max="13" width="9.23828125" style="73" customWidth="1"/>
    <col min="14" max="14" width="11.92578125" style="73" bestFit="1" customWidth="1"/>
    <col min="15" max="15" width="10.171875" style="73" bestFit="1" customWidth="1"/>
    <col min="16" max="16" width="8.76953125" style="73"/>
    <col min="17" max="18" width="8.76953125" style="327"/>
    <col min="19" max="19" width="9.47265625" style="73" hidden="1" customWidth="1"/>
    <col min="20" max="20" width="0" style="73" hidden="1" customWidth="1"/>
    <col min="21" max="21" width="9.47265625" style="73" hidden="1" customWidth="1"/>
    <col min="22" max="24" width="0" style="73" hidden="1" customWidth="1"/>
    <col min="25" max="16384" width="8.76953125" style="73"/>
  </cols>
  <sheetData>
    <row r="5" spans="1:21">
      <c r="B5" s="74" t="str">
        <f>'Commercial Invoice'!G5</f>
        <v>INVOICE NO. :</v>
      </c>
      <c r="C5" s="74" t="str">
        <f>'Commercial Invoice'!H5</f>
        <v>OM4-DE-IS-0011</v>
      </c>
      <c r="D5" s="74"/>
      <c r="E5" s="74"/>
      <c r="F5" s="74"/>
      <c r="G5" s="75"/>
      <c r="H5" s="74"/>
      <c r="I5" s="74"/>
      <c r="J5" s="74"/>
      <c r="K5" s="434"/>
      <c r="L5" s="435"/>
      <c r="M5" s="76" t="s">
        <v>127</v>
      </c>
      <c r="N5" s="76"/>
      <c r="O5" s="195">
        <f>'Commercial Invoice'!H6</f>
        <v>46181</v>
      </c>
    </row>
    <row r="6" spans="1:21">
      <c r="B6" s="77"/>
      <c r="C6" s="77"/>
      <c r="D6" s="77"/>
      <c r="E6" s="77"/>
      <c r="F6" s="77"/>
    </row>
    <row r="7" spans="1:21" ht="47.25" customHeight="1">
      <c r="A7" s="436" t="s">
        <v>29</v>
      </c>
      <c r="B7" s="438" t="s">
        <v>30</v>
      </c>
      <c r="C7" s="440" t="s">
        <v>20</v>
      </c>
      <c r="D7" s="441"/>
      <c r="E7" s="438" t="s">
        <v>159</v>
      </c>
      <c r="F7" s="436" t="s">
        <v>228</v>
      </c>
      <c r="G7" s="436" t="s">
        <v>31</v>
      </c>
      <c r="H7" s="444" t="s">
        <v>160</v>
      </c>
      <c r="I7" s="445"/>
      <c r="J7" s="436" t="s">
        <v>161</v>
      </c>
      <c r="K7" s="436" t="s">
        <v>168</v>
      </c>
      <c r="L7" s="436" t="s">
        <v>167</v>
      </c>
      <c r="M7" s="436" t="s">
        <v>162</v>
      </c>
      <c r="N7" s="436" t="s">
        <v>163</v>
      </c>
      <c r="O7" s="440" t="s">
        <v>164</v>
      </c>
    </row>
    <row r="8" spans="1:21" ht="14.45" customHeight="1">
      <c r="A8" s="437"/>
      <c r="B8" s="439"/>
      <c r="C8" s="442"/>
      <c r="D8" s="443"/>
      <c r="E8" s="439"/>
      <c r="F8" s="437"/>
      <c r="G8" s="437"/>
      <c r="H8" s="202" t="s">
        <v>165</v>
      </c>
      <c r="I8" s="202" t="s">
        <v>166</v>
      </c>
      <c r="J8" s="437"/>
      <c r="K8" s="437"/>
      <c r="L8" s="437"/>
      <c r="M8" s="437"/>
      <c r="N8" s="437"/>
      <c r="O8" s="442"/>
      <c r="Q8" s="327" t="s">
        <v>222</v>
      </c>
    </row>
    <row r="9" spans="1:21" ht="14.45" customHeight="1">
      <c r="A9" s="260" t="s">
        <v>153</v>
      </c>
      <c r="B9" s="288" t="s">
        <v>219</v>
      </c>
      <c r="C9" s="341" t="s">
        <v>221</v>
      </c>
      <c r="D9" s="341" t="s">
        <v>150</v>
      </c>
      <c r="E9" s="266" t="s">
        <v>170</v>
      </c>
      <c r="F9" s="266" t="s">
        <v>229</v>
      </c>
      <c r="G9" s="288" t="s">
        <v>203</v>
      </c>
      <c r="H9" s="342">
        <f>'Detailed PL'!I15</f>
        <v>50</v>
      </c>
      <c r="I9" s="343" t="s">
        <v>146</v>
      </c>
      <c r="J9" s="343" t="s">
        <v>206</v>
      </c>
      <c r="K9" s="344">
        <f>'Detailed PL'!P15</f>
        <v>125</v>
      </c>
      <c r="L9" s="344">
        <v>146</v>
      </c>
      <c r="M9" s="268">
        <v>22.86</v>
      </c>
      <c r="N9" s="268">
        <v>1143</v>
      </c>
      <c r="O9" s="268" t="s">
        <v>202</v>
      </c>
      <c r="Q9" s="327" t="s">
        <v>223</v>
      </c>
      <c r="S9" s="358">
        <f>H9*M9</f>
        <v>1143</v>
      </c>
      <c r="U9" s="358">
        <v>1143.3900000000001</v>
      </c>
    </row>
    <row r="10" spans="1:21" ht="14.45" customHeight="1">
      <c r="A10" s="260" t="s">
        <v>154</v>
      </c>
      <c r="B10" s="288" t="s">
        <v>219</v>
      </c>
      <c r="C10" s="341" t="s">
        <v>210</v>
      </c>
      <c r="D10" s="341" t="s">
        <v>150</v>
      </c>
      <c r="E10" s="266" t="s">
        <v>170</v>
      </c>
      <c r="F10" s="266" t="s">
        <v>229</v>
      </c>
      <c r="G10" s="288" t="s">
        <v>203</v>
      </c>
      <c r="H10" s="342">
        <f>'Detailed PL'!I16</f>
        <v>50</v>
      </c>
      <c r="I10" s="343" t="s">
        <v>146</v>
      </c>
      <c r="J10" s="343" t="s">
        <v>206</v>
      </c>
      <c r="K10" s="344">
        <f>'Detailed PL'!P16</f>
        <v>140</v>
      </c>
      <c r="L10" s="344">
        <v>160</v>
      </c>
      <c r="M10" s="268">
        <v>104.91</v>
      </c>
      <c r="N10" s="268">
        <v>5245.5</v>
      </c>
      <c r="O10" s="268" t="s">
        <v>202</v>
      </c>
      <c r="Q10" s="327" t="s">
        <v>225</v>
      </c>
      <c r="S10" s="358">
        <f t="shared" ref="S10:S14" si="0">H10*M10</f>
        <v>5245.5</v>
      </c>
      <c r="U10" s="358">
        <v>5245.81</v>
      </c>
    </row>
    <row r="11" spans="1:21" s="327" customFormat="1" ht="14.45" customHeight="1">
      <c r="A11" s="260" t="s">
        <v>155</v>
      </c>
      <c r="B11" s="288" t="s">
        <v>219</v>
      </c>
      <c r="C11" s="341" t="s">
        <v>211</v>
      </c>
      <c r="D11" s="341" t="s">
        <v>150</v>
      </c>
      <c r="E11" s="266" t="s">
        <v>170</v>
      </c>
      <c r="F11" s="266" t="s">
        <v>229</v>
      </c>
      <c r="G11" s="288" t="s">
        <v>203</v>
      </c>
      <c r="H11" s="342">
        <f>'Detailed PL'!I17</f>
        <v>50</v>
      </c>
      <c r="I11" s="343" t="s">
        <v>146</v>
      </c>
      <c r="J11" s="343" t="s">
        <v>206</v>
      </c>
      <c r="K11" s="344">
        <f>'Detailed PL'!P17</f>
        <v>140</v>
      </c>
      <c r="L11" s="344">
        <v>160</v>
      </c>
      <c r="M11" s="268">
        <v>114.89</v>
      </c>
      <c r="N11" s="268">
        <v>5744.5</v>
      </c>
      <c r="O11" s="268" t="s">
        <v>202</v>
      </c>
      <c r="Q11" s="327" t="s">
        <v>225</v>
      </c>
      <c r="S11" s="358">
        <f t="shared" si="0"/>
        <v>5744.5</v>
      </c>
      <c r="U11" s="358">
        <v>5745.21</v>
      </c>
    </row>
    <row r="12" spans="1:21" s="327" customFormat="1" ht="14.45" customHeight="1">
      <c r="A12" s="260" t="s">
        <v>156</v>
      </c>
      <c r="B12" s="288" t="s">
        <v>219</v>
      </c>
      <c r="C12" s="341" t="s">
        <v>208</v>
      </c>
      <c r="D12" s="341" t="s">
        <v>150</v>
      </c>
      <c r="E12" s="266" t="s">
        <v>170</v>
      </c>
      <c r="F12" s="266" t="s">
        <v>229</v>
      </c>
      <c r="G12" s="288" t="s">
        <v>203</v>
      </c>
      <c r="H12" s="342">
        <f>'Detailed PL'!I18</f>
        <v>500</v>
      </c>
      <c r="I12" s="343" t="s">
        <v>214</v>
      </c>
      <c r="J12" s="343" t="s">
        <v>206</v>
      </c>
      <c r="K12" s="344">
        <f>'Detailed PL'!P18</f>
        <v>500</v>
      </c>
      <c r="L12" s="344">
        <v>710</v>
      </c>
      <c r="M12" s="268">
        <v>6.3</v>
      </c>
      <c r="N12" s="268">
        <v>3150</v>
      </c>
      <c r="O12" s="268" t="s">
        <v>202</v>
      </c>
      <c r="Q12" s="327" t="s">
        <v>224</v>
      </c>
      <c r="S12" s="358">
        <f t="shared" si="0"/>
        <v>3150</v>
      </c>
      <c r="U12" s="358">
        <v>3149.31</v>
      </c>
    </row>
    <row r="13" spans="1:21" s="327" customFormat="1" ht="14.45" customHeight="1">
      <c r="A13" s="260" t="s">
        <v>157</v>
      </c>
      <c r="B13" s="288" t="s">
        <v>219</v>
      </c>
      <c r="C13" s="341" t="s">
        <v>212</v>
      </c>
      <c r="D13" s="341" t="s">
        <v>215</v>
      </c>
      <c r="E13" s="266" t="s">
        <v>170</v>
      </c>
      <c r="F13" s="266" t="s">
        <v>229</v>
      </c>
      <c r="G13" s="288" t="s">
        <v>203</v>
      </c>
      <c r="H13" s="342">
        <f>'Detailed PL'!I19</f>
        <v>70</v>
      </c>
      <c r="I13" s="343" t="s">
        <v>146</v>
      </c>
      <c r="J13" s="343" t="s">
        <v>206</v>
      </c>
      <c r="K13" s="344">
        <f>'Detailed PL'!P19</f>
        <v>70</v>
      </c>
      <c r="L13" s="344">
        <v>99</v>
      </c>
      <c r="M13" s="268">
        <v>26.91</v>
      </c>
      <c r="N13" s="268">
        <v>1883.66</v>
      </c>
      <c r="O13" s="268" t="s">
        <v>202</v>
      </c>
      <c r="Q13" s="327" t="s">
        <v>226</v>
      </c>
      <c r="S13" s="358">
        <f t="shared" si="0"/>
        <v>1883.7</v>
      </c>
      <c r="U13" s="358">
        <v>1883.44</v>
      </c>
    </row>
    <row r="14" spans="1:21" s="327" customFormat="1" ht="14.45" customHeight="1">
      <c r="A14" s="260" t="s">
        <v>158</v>
      </c>
      <c r="B14" s="288" t="s">
        <v>220</v>
      </c>
      <c r="C14" s="341" t="s">
        <v>207</v>
      </c>
      <c r="D14" s="341" t="s">
        <v>150</v>
      </c>
      <c r="E14" s="266" t="s">
        <v>170</v>
      </c>
      <c r="F14" s="266" t="s">
        <v>229</v>
      </c>
      <c r="G14" s="288" t="s">
        <v>203</v>
      </c>
      <c r="H14" s="342">
        <f>'Detailed PL'!I21</f>
        <v>120</v>
      </c>
      <c r="I14" s="343" t="s">
        <v>209</v>
      </c>
      <c r="J14" s="343" t="s">
        <v>206</v>
      </c>
      <c r="K14" s="344">
        <f>'Detailed PL'!P21</f>
        <v>840</v>
      </c>
      <c r="L14" s="344">
        <v>1140</v>
      </c>
      <c r="M14" s="268">
        <v>172.56</v>
      </c>
      <c r="N14" s="268">
        <v>20707.2</v>
      </c>
      <c r="O14" s="268" t="s">
        <v>202</v>
      </c>
      <c r="Q14" s="327" t="s">
        <v>227</v>
      </c>
      <c r="S14" s="358">
        <f t="shared" si="0"/>
        <v>20707.2</v>
      </c>
      <c r="U14" s="358">
        <v>20706.689999999999</v>
      </c>
    </row>
    <row r="15" spans="1:21" ht="14.1" customHeight="1">
      <c r="A15" s="81"/>
      <c r="B15" s="82"/>
      <c r="C15" s="83"/>
      <c r="D15" s="83"/>
      <c r="E15" s="83"/>
      <c r="F15" s="83"/>
      <c r="G15" s="84"/>
      <c r="H15" s="85"/>
      <c r="I15" s="85"/>
      <c r="J15" s="86" t="s">
        <v>32</v>
      </c>
      <c r="K15" s="87"/>
      <c r="L15" s="83"/>
      <c r="M15" s="83"/>
      <c r="N15" s="328">
        <f>SUM(N9:N14)</f>
        <v>37873.86</v>
      </c>
      <c r="O15" s="88"/>
      <c r="U15" s="358">
        <v>37873.86</v>
      </c>
    </row>
    <row r="16" spans="1:21" ht="14.1" customHeight="1">
      <c r="A16" s="89"/>
      <c r="B16" s="90"/>
      <c r="C16" s="80"/>
      <c r="D16" s="80"/>
      <c r="E16" s="80"/>
      <c r="F16" s="80"/>
      <c r="G16" s="91"/>
      <c r="H16" s="92"/>
      <c r="I16" s="92"/>
      <c r="J16" s="92"/>
      <c r="K16" s="93"/>
      <c r="L16" s="93"/>
      <c r="M16" s="80"/>
      <c r="N16" s="80"/>
      <c r="O16" s="90"/>
      <c r="P16" s="79"/>
      <c r="Q16" s="79"/>
      <c r="R16" s="79"/>
    </row>
    <row r="21" spans="11:11">
      <c r="K21" s="350"/>
    </row>
  </sheetData>
  <autoFilter ref="A8:P15" xr:uid="{00000000-0009-0000-0000-000001000000}"/>
  <mergeCells count="14">
    <mergeCell ref="M7:M8"/>
    <mergeCell ref="N7:N8"/>
    <mergeCell ref="O7:O8"/>
    <mergeCell ref="H7:I7"/>
    <mergeCell ref="J7:J8"/>
    <mergeCell ref="K7:K8"/>
    <mergeCell ref="L7:L8"/>
    <mergeCell ref="K5:L5"/>
    <mergeCell ref="A7:A8"/>
    <mergeCell ref="B7:B8"/>
    <mergeCell ref="E7:E8"/>
    <mergeCell ref="G7:G8"/>
    <mergeCell ref="C7:D8"/>
    <mergeCell ref="F7:F8"/>
  </mergeCells>
  <phoneticPr fontId="34" type="noConversion"/>
  <printOptions horizontalCentered="1"/>
  <pageMargins left="0.70866141732283472" right="0.31496062992125984" top="0.74803149606299213" bottom="0.74803149606299213" header="0.31496062992125984" footer="0.31496062992125984"/>
  <pageSetup paperSize="9" scale="58"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48"/>
  <sheetViews>
    <sheetView showGridLines="0" view="pageBreakPreview" topLeftCell="A16" zoomScale="80" zoomScaleNormal="100" zoomScaleSheetLayoutView="80" workbookViewId="0">
      <selection activeCell="A4" sqref="A4:K4"/>
    </sheetView>
  </sheetViews>
  <sheetFormatPr defaultColWidth="9.5859375" defaultRowHeight="17.25" customHeight="1"/>
  <cols>
    <col min="1" max="1" width="1.6367187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7.3046875" style="6" customWidth="1"/>
    <col min="8" max="8" width="11.57421875" style="6" customWidth="1"/>
    <col min="9" max="10" width="9.5859375" style="6" customWidth="1"/>
    <col min="11" max="11" width="14.3828125" style="72" bestFit="1" customWidth="1"/>
    <col min="12" max="12" width="7.71484375" style="6" customWidth="1"/>
    <col min="13" max="13" width="7.71484375" style="94" customWidth="1"/>
    <col min="14" max="14" width="7.71484375" style="66" customWidth="1"/>
    <col min="15" max="15" width="9.5859375" style="95"/>
    <col min="16" max="17" width="9.5859375" style="66"/>
    <col min="18" max="16384" width="9.5859375" style="7"/>
  </cols>
  <sheetData>
    <row r="1" spans="1:21" ht="22.15" customHeight="1">
      <c r="A1" s="1"/>
      <c r="B1" s="2"/>
      <c r="C1" s="2"/>
      <c r="D1" s="2"/>
      <c r="E1" s="2"/>
      <c r="F1" s="2"/>
      <c r="G1" s="3"/>
      <c r="H1" s="3"/>
      <c r="I1" s="3"/>
      <c r="J1" s="4"/>
      <c r="K1" s="5"/>
    </row>
    <row r="2" spans="1:21" ht="22.15" customHeight="1">
      <c r="A2" s="8"/>
      <c r="B2" s="184"/>
      <c r="C2" s="184"/>
      <c r="D2" s="184"/>
      <c r="E2" s="184"/>
      <c r="F2" s="184"/>
      <c r="G2" s="185"/>
      <c r="H2" s="185"/>
      <c r="I2" s="185"/>
      <c r="J2" s="186"/>
      <c r="K2" s="9"/>
    </row>
    <row r="3" spans="1:21" ht="37.5" customHeight="1">
      <c r="A3" s="10"/>
      <c r="B3" s="378" t="s">
        <v>125</v>
      </c>
      <c r="C3" s="446"/>
      <c r="D3" s="446"/>
      <c r="E3" s="446"/>
      <c r="F3" s="446"/>
      <c r="G3" s="199"/>
      <c r="H3" s="447"/>
      <c r="I3" s="448"/>
      <c r="J3" s="448"/>
      <c r="K3" s="449"/>
    </row>
    <row r="4" spans="1:21" s="13" customFormat="1" ht="22.15" customHeight="1">
      <c r="A4" s="381" t="s">
        <v>33</v>
      </c>
      <c r="B4" s="382"/>
      <c r="C4" s="382"/>
      <c r="D4" s="382"/>
      <c r="E4" s="382"/>
      <c r="F4" s="382"/>
      <c r="G4" s="382"/>
      <c r="H4" s="382"/>
      <c r="I4" s="382"/>
      <c r="J4" s="382"/>
      <c r="K4" s="383"/>
      <c r="L4" s="11"/>
      <c r="M4" s="11"/>
      <c r="N4" s="96"/>
      <c r="O4" s="96"/>
      <c r="P4" s="97"/>
      <c r="R4" s="12"/>
      <c r="S4" s="12"/>
      <c r="T4" s="12"/>
      <c r="U4" s="12"/>
    </row>
    <row r="5" spans="1:21" s="13" customFormat="1" ht="12.75">
      <c r="A5" s="14" t="s">
        <v>2</v>
      </c>
      <c r="B5" s="15"/>
      <c r="C5" s="15"/>
      <c r="D5" s="15"/>
      <c r="E5" s="16"/>
      <c r="F5" s="17"/>
      <c r="G5" s="18" t="s">
        <v>34</v>
      </c>
      <c r="H5" s="19" t="s">
        <v>218</v>
      </c>
      <c r="I5" s="19"/>
      <c r="J5" s="19"/>
      <c r="K5" s="20"/>
      <c r="L5" s="21"/>
      <c r="M5" s="21"/>
      <c r="N5" s="21"/>
      <c r="O5" s="21"/>
      <c r="P5" s="21"/>
      <c r="Q5" s="21"/>
      <c r="R5" s="12"/>
      <c r="S5" s="12"/>
      <c r="T5" s="12"/>
      <c r="U5" s="12"/>
    </row>
    <row r="6" spans="1:21" s="13" customFormat="1" ht="12.75">
      <c r="A6" s="98"/>
      <c r="B6" s="469" t="s">
        <v>130</v>
      </c>
      <c r="C6" s="470"/>
      <c r="D6" s="470"/>
      <c r="E6" s="470"/>
      <c r="F6" s="471"/>
      <c r="G6" s="24" t="s">
        <v>4</v>
      </c>
      <c r="H6" s="353">
        <f>'Commercial Invoice'!H6</f>
        <v>46181</v>
      </c>
      <c r="I6" s="32"/>
      <c r="J6" s="41"/>
      <c r="K6" s="27"/>
      <c r="L6" s="21"/>
      <c r="M6" s="21"/>
      <c r="N6" s="21"/>
      <c r="O6" s="21"/>
      <c r="P6" s="21"/>
      <c r="Q6" s="21"/>
      <c r="R6" s="12"/>
      <c r="S6" s="12"/>
      <c r="T6" s="12"/>
      <c r="U6" s="12"/>
    </row>
    <row r="7" spans="1:21" ht="12.75">
      <c r="A7" s="8"/>
      <c r="B7" s="470"/>
      <c r="C7" s="470"/>
      <c r="D7" s="470"/>
      <c r="E7" s="470"/>
      <c r="F7" s="471"/>
      <c r="G7" s="29" t="s">
        <v>5</v>
      </c>
      <c r="H7" s="30" t="s">
        <v>6</v>
      </c>
      <c r="I7" s="30"/>
      <c r="J7" s="30"/>
      <c r="K7" s="99"/>
    </row>
    <row r="8" spans="1:21" ht="12.75">
      <c r="A8" s="8"/>
      <c r="B8" s="472"/>
      <c r="C8" s="472"/>
      <c r="D8" s="472"/>
      <c r="E8" s="472"/>
      <c r="F8" s="473"/>
      <c r="G8" s="24" t="s">
        <v>4</v>
      </c>
      <c r="H8" s="194">
        <f>'Commercial Invoice'!H8</f>
        <v>45814</v>
      </c>
      <c r="I8" s="32"/>
      <c r="J8" s="32"/>
      <c r="K8" s="99"/>
    </row>
    <row r="9" spans="1:21" ht="21" thickBot="1">
      <c r="A9" s="33" t="s">
        <v>7</v>
      </c>
      <c r="B9" s="30"/>
      <c r="C9" s="30"/>
      <c r="D9" s="30"/>
      <c r="E9" s="30"/>
      <c r="F9" s="34"/>
      <c r="G9" s="384" t="str">
        <f>[6]CI!G9</f>
        <v>SHIPPING MARK</v>
      </c>
      <c r="H9" s="385"/>
      <c r="I9" s="385"/>
      <c r="J9" s="385"/>
      <c r="K9" s="386"/>
    </row>
    <row r="10" spans="1:21" ht="17.649999999999999" customHeight="1">
      <c r="A10" s="8"/>
      <c r="B10" s="464" t="s">
        <v>128</v>
      </c>
      <c r="C10" s="465"/>
      <c r="D10" s="465"/>
      <c r="E10" s="465"/>
      <c r="F10" s="466"/>
      <c r="G10" s="392" t="s">
        <v>9</v>
      </c>
      <c r="H10" s="393"/>
      <c r="I10" s="393"/>
      <c r="J10" s="393"/>
      <c r="K10" s="394"/>
    </row>
    <row r="11" spans="1:21" ht="17.649999999999999" customHeight="1">
      <c r="A11" s="8"/>
      <c r="B11" s="465"/>
      <c r="C11" s="465"/>
      <c r="D11" s="465"/>
      <c r="E11" s="465"/>
      <c r="F11" s="466"/>
      <c r="G11" s="395"/>
      <c r="H11" s="396"/>
      <c r="I11" s="396"/>
      <c r="J11" s="396"/>
      <c r="K11" s="397"/>
    </row>
    <row r="12" spans="1:21" ht="24" customHeight="1" thickBot="1">
      <c r="A12" s="35"/>
      <c r="B12" s="467"/>
      <c r="C12" s="467"/>
      <c r="D12" s="467"/>
      <c r="E12" s="467"/>
      <c r="F12" s="468"/>
      <c r="G12" s="398"/>
      <c r="H12" s="399"/>
      <c r="I12" s="399"/>
      <c r="J12" s="399"/>
      <c r="K12" s="400"/>
    </row>
    <row r="13" spans="1:21" ht="21.6" customHeight="1">
      <c r="A13" s="36" t="s">
        <v>10</v>
      </c>
      <c r="B13" s="189"/>
      <c r="C13" s="184"/>
      <c r="D13" s="184"/>
      <c r="E13" s="184"/>
      <c r="F13" s="184"/>
      <c r="G13" s="100"/>
      <c r="H13" s="459"/>
      <c r="I13" s="459"/>
      <c r="J13" s="459"/>
      <c r="K13" s="460"/>
    </row>
    <row r="14" spans="1:21" ht="14.1" customHeight="1">
      <c r="A14" s="8"/>
      <c r="B14" s="412" t="s">
        <v>131</v>
      </c>
      <c r="C14" s="413"/>
      <c r="D14" s="413"/>
      <c r="E14" s="413"/>
      <c r="F14" s="414"/>
      <c r="G14" s="38"/>
      <c r="H14" s="401"/>
      <c r="I14" s="401"/>
      <c r="J14" s="401"/>
      <c r="K14" s="402"/>
    </row>
    <row r="15" spans="1:21" ht="14.1" customHeight="1">
      <c r="A15" s="8"/>
      <c r="B15" s="413"/>
      <c r="C15" s="413"/>
      <c r="D15" s="413"/>
      <c r="E15" s="413"/>
      <c r="F15" s="414"/>
      <c r="G15" s="272" t="s">
        <v>152</v>
      </c>
      <c r="H15" s="403" t="str">
        <f>H5</f>
        <v>OM4-DE-IS-0011</v>
      </c>
      <c r="I15" s="403"/>
      <c r="J15" s="403"/>
      <c r="K15" s="273"/>
    </row>
    <row r="16" spans="1:21" ht="13.9" customHeight="1">
      <c r="A16" s="8"/>
      <c r="B16" s="413"/>
      <c r="C16" s="413"/>
      <c r="D16" s="413"/>
      <c r="E16" s="413"/>
      <c r="F16" s="414"/>
      <c r="G16" s="38"/>
      <c r="H16" s="191"/>
      <c r="I16" s="191"/>
      <c r="J16" s="191"/>
      <c r="K16" s="212"/>
    </row>
    <row r="17" spans="1:22" ht="99.4" customHeight="1">
      <c r="A17" s="8"/>
      <c r="B17" s="415"/>
      <c r="C17" s="415"/>
      <c r="D17" s="415"/>
      <c r="E17" s="415"/>
      <c r="F17" s="416"/>
      <c r="G17" s="272" t="s">
        <v>12</v>
      </c>
      <c r="H17" s="461" t="s">
        <v>201</v>
      </c>
      <c r="I17" s="461"/>
      <c r="J17" s="461"/>
      <c r="K17" s="312"/>
    </row>
    <row r="18" spans="1:22" ht="18.600000000000001" customHeight="1">
      <c r="A18" s="33" t="s">
        <v>13</v>
      </c>
      <c r="B18" s="40"/>
      <c r="C18" s="29" t="s">
        <v>14</v>
      </c>
      <c r="D18" s="30"/>
      <c r="E18" s="30"/>
      <c r="F18" s="34"/>
      <c r="G18" s="38"/>
      <c r="H18" s="452"/>
      <c r="I18" s="452"/>
      <c r="J18" s="452"/>
      <c r="K18" s="453"/>
    </row>
    <row r="19" spans="1:22" s="6" customFormat="1" ht="12.75">
      <c r="A19" s="35"/>
      <c r="B19" s="258" t="s">
        <v>230</v>
      </c>
      <c r="C19" s="259"/>
      <c r="D19" s="420">
        <v>46208</v>
      </c>
      <c r="E19" s="420"/>
      <c r="F19" s="421"/>
      <c r="G19" s="177" t="s">
        <v>110</v>
      </c>
      <c r="H19" s="454" t="s">
        <v>111</v>
      </c>
      <c r="I19" s="454"/>
      <c r="J19" s="454"/>
      <c r="K19" s="455"/>
      <c r="M19" s="94"/>
      <c r="N19" s="66"/>
      <c r="O19" s="95"/>
      <c r="P19" s="66"/>
      <c r="Q19" s="66"/>
      <c r="R19" s="7"/>
      <c r="S19" s="7"/>
      <c r="T19" s="7"/>
      <c r="U19" s="7"/>
      <c r="V19" s="7"/>
    </row>
    <row r="20" spans="1:22" s="6" customFormat="1" ht="18.600000000000001" customHeight="1">
      <c r="A20" s="33" t="s">
        <v>15</v>
      </c>
      <c r="B20" s="30"/>
      <c r="C20" s="29" t="s">
        <v>16</v>
      </c>
      <c r="D20" s="30"/>
      <c r="E20" s="30"/>
      <c r="F20" s="34"/>
      <c r="G20" s="37"/>
      <c r="H20" s="452"/>
      <c r="I20" s="452"/>
      <c r="J20" s="452"/>
      <c r="K20" s="453"/>
      <c r="M20" s="94"/>
      <c r="N20" s="66"/>
      <c r="O20" s="95"/>
      <c r="P20" s="66"/>
      <c r="Q20" s="66"/>
      <c r="R20" s="7"/>
      <c r="S20" s="7"/>
      <c r="T20" s="7"/>
      <c r="U20" s="7"/>
      <c r="V20" s="7"/>
    </row>
    <row r="21" spans="1:22" s="6" customFormat="1" ht="12.75">
      <c r="A21" s="274"/>
      <c r="B21" s="280" t="s">
        <v>194</v>
      </c>
      <c r="C21" s="42"/>
      <c r="D21" s="269" t="s">
        <v>200</v>
      </c>
      <c r="E21" s="270"/>
      <c r="F21" s="271"/>
      <c r="G21" s="37"/>
      <c r="H21" s="186"/>
      <c r="I21" s="185"/>
      <c r="J21" s="185"/>
      <c r="K21" s="9"/>
      <c r="M21" s="94"/>
      <c r="N21" s="66"/>
      <c r="O21" s="95"/>
      <c r="P21" s="66"/>
      <c r="Q21" s="66"/>
      <c r="R21" s="7"/>
      <c r="S21" s="7"/>
      <c r="T21" s="7"/>
      <c r="U21" s="7"/>
      <c r="V21" s="7"/>
    </row>
    <row r="22" spans="1:22" s="6" customFormat="1" ht="18.600000000000001" customHeight="1">
      <c r="A22" s="33" t="s">
        <v>17</v>
      </c>
      <c r="B22" s="40"/>
      <c r="C22" s="29" t="s">
        <v>18</v>
      </c>
      <c r="D22" s="30"/>
      <c r="E22" s="30"/>
      <c r="F22" s="34"/>
      <c r="G22" s="37"/>
      <c r="H22" s="186"/>
      <c r="I22" s="185"/>
      <c r="J22" s="185"/>
      <c r="K22" s="9"/>
      <c r="M22" s="94"/>
      <c r="N22" s="66"/>
      <c r="O22" s="95"/>
      <c r="P22" s="66"/>
      <c r="Q22" s="66"/>
      <c r="R22" s="7"/>
      <c r="S22" s="7"/>
      <c r="T22" s="7"/>
      <c r="U22" s="7"/>
      <c r="V22" s="7"/>
    </row>
    <row r="23" spans="1:22" s="6" customFormat="1" ht="12.75">
      <c r="A23" s="35"/>
      <c r="B23" s="258"/>
      <c r="C23" s="259"/>
      <c r="D23" s="424"/>
      <c r="E23" s="424"/>
      <c r="F23" s="425"/>
      <c r="G23" s="37"/>
      <c r="H23" s="185"/>
      <c r="I23" s="185"/>
      <c r="J23" s="185"/>
      <c r="K23" s="9"/>
      <c r="M23" s="94"/>
      <c r="N23" s="66"/>
      <c r="O23" s="95"/>
      <c r="P23" s="66"/>
      <c r="Q23" s="66"/>
      <c r="R23" s="7"/>
      <c r="S23" s="7"/>
      <c r="T23" s="7"/>
      <c r="U23" s="7"/>
      <c r="V23" s="7"/>
    </row>
    <row r="24" spans="1:22" s="6" customFormat="1" ht="18.600000000000001" customHeight="1">
      <c r="A24" s="33" t="s">
        <v>19</v>
      </c>
      <c r="B24" s="30"/>
      <c r="C24" s="30"/>
      <c r="D24" s="30"/>
      <c r="E24" s="30"/>
      <c r="F24" s="30"/>
      <c r="G24" s="43"/>
      <c r="H24" s="44"/>
      <c r="I24" s="44"/>
      <c r="J24" s="44"/>
      <c r="K24" s="46"/>
      <c r="M24" s="94"/>
      <c r="N24" s="66"/>
      <c r="O24" s="95"/>
      <c r="P24" s="66"/>
      <c r="Q24" s="66"/>
      <c r="R24" s="7"/>
      <c r="S24" s="7"/>
      <c r="T24" s="7"/>
      <c r="U24" s="7"/>
      <c r="V24" s="7"/>
    </row>
    <row r="25" spans="1:22" s="6" customFormat="1" ht="12.75">
      <c r="A25" s="8"/>
      <c r="B25" s="189" t="s">
        <v>9</v>
      </c>
      <c r="C25" s="184"/>
      <c r="D25" s="184"/>
      <c r="E25" s="184"/>
      <c r="F25" s="184"/>
      <c r="G25" s="37"/>
      <c r="H25" s="185"/>
      <c r="I25" s="185"/>
      <c r="J25" s="185"/>
      <c r="K25" s="9"/>
      <c r="M25" s="94"/>
      <c r="N25" s="66"/>
      <c r="O25" s="95"/>
      <c r="P25" s="66"/>
      <c r="Q25" s="66"/>
      <c r="R25" s="7"/>
      <c r="S25" s="7"/>
      <c r="T25" s="7"/>
      <c r="U25" s="7"/>
      <c r="V25" s="7"/>
    </row>
    <row r="26" spans="1:22" s="6" customFormat="1" ht="12.75">
      <c r="A26" s="35"/>
      <c r="B26" s="426" t="s">
        <v>132</v>
      </c>
      <c r="C26" s="426"/>
      <c r="D26" s="426"/>
      <c r="E26" s="426"/>
      <c r="F26" s="427"/>
      <c r="G26" s="47"/>
      <c r="H26" s="48"/>
      <c r="I26" s="48"/>
      <c r="J26" s="48"/>
      <c r="K26" s="49"/>
      <c r="M26" s="94"/>
      <c r="N26" s="66"/>
      <c r="O26" s="95"/>
      <c r="P26" s="66"/>
      <c r="Q26" s="66"/>
      <c r="R26" s="7"/>
      <c r="S26" s="7"/>
      <c r="T26" s="7"/>
      <c r="U26" s="7"/>
      <c r="V26" s="7"/>
    </row>
    <row r="27" spans="1:22" s="28" customFormat="1" ht="35.25">
      <c r="A27" s="456" t="s">
        <v>20</v>
      </c>
      <c r="B27" s="364"/>
      <c r="C27" s="364"/>
      <c r="D27" s="364"/>
      <c r="E27" s="364"/>
      <c r="F27" s="364"/>
      <c r="G27" s="101" t="s">
        <v>21</v>
      </c>
      <c r="H27" s="101" t="s">
        <v>22</v>
      </c>
      <c r="I27" s="102" t="s">
        <v>35</v>
      </c>
      <c r="J27" s="102" t="s">
        <v>36</v>
      </c>
      <c r="K27" s="103" t="s">
        <v>37</v>
      </c>
      <c r="L27" s="104"/>
      <c r="M27" s="105"/>
      <c r="N27" s="106"/>
      <c r="O27" s="107"/>
      <c r="P27" s="106"/>
      <c r="Q27" s="106"/>
    </row>
    <row r="28" spans="1:22" ht="52.9" customHeight="1">
      <c r="A28" s="36"/>
      <c r="B28" s="457" t="s">
        <v>134</v>
      </c>
      <c r="C28" s="457"/>
      <c r="D28" s="457"/>
      <c r="E28" s="457"/>
      <c r="F28" s="458"/>
      <c r="G28" s="53"/>
      <c r="H28" s="53"/>
      <c r="I28" s="108"/>
      <c r="J28" s="108"/>
      <c r="K28" s="109"/>
    </row>
    <row r="29" spans="1:22" ht="14.1" customHeight="1">
      <c r="A29" s="462" t="s">
        <v>204</v>
      </c>
      <c r="B29" s="462"/>
      <c r="C29" s="462"/>
      <c r="D29" s="462"/>
      <c r="E29" s="462"/>
      <c r="F29" s="463"/>
      <c r="G29" s="110"/>
      <c r="H29" s="110"/>
      <c r="I29" s="53"/>
      <c r="J29" s="53"/>
      <c r="K29" s="56"/>
    </row>
    <row r="30" spans="1:22" ht="14.1" customHeight="1">
      <c r="A30" s="462"/>
      <c r="B30" s="462"/>
      <c r="C30" s="462"/>
      <c r="D30" s="462"/>
      <c r="E30" s="462"/>
      <c r="F30" s="463"/>
      <c r="G30" s="282" t="s">
        <v>146</v>
      </c>
      <c r="H30" s="282">
        <f>'PL(2_2)'!F15</f>
        <v>720</v>
      </c>
      <c r="I30" s="351">
        <f>'PL(2_2)'!M15</f>
        <v>975</v>
      </c>
      <c r="J30" s="351">
        <f>'PL(2_2)'!N15</f>
        <v>1275</v>
      </c>
      <c r="K30" s="352">
        <f>'PL(2_2)'!L15</f>
        <v>2.25</v>
      </c>
    </row>
    <row r="31" spans="1:22" ht="14.1" customHeight="1">
      <c r="A31" s="462"/>
      <c r="B31" s="462"/>
      <c r="C31" s="462"/>
      <c r="D31" s="462"/>
      <c r="E31" s="462"/>
      <c r="F31" s="463"/>
      <c r="G31" s="282" t="s">
        <v>146</v>
      </c>
      <c r="H31" s="282">
        <f>'PL(2_2)'!F16</f>
        <v>120</v>
      </c>
      <c r="I31" s="351">
        <f>'PL(2_2)'!M16</f>
        <v>840</v>
      </c>
      <c r="J31" s="351">
        <f>'PL(2_2)'!N16</f>
        <v>1140</v>
      </c>
      <c r="K31" s="352">
        <f>'PL(2_2)'!L16</f>
        <v>6.14</v>
      </c>
    </row>
    <row r="32" spans="1:22" ht="14.1" customHeight="1">
      <c r="A32" s="462"/>
      <c r="B32" s="462"/>
      <c r="C32" s="462"/>
      <c r="D32" s="462"/>
      <c r="E32" s="462"/>
      <c r="F32" s="463"/>
      <c r="G32" s="282"/>
      <c r="H32" s="282"/>
      <c r="I32" s="351"/>
      <c r="J32" s="351"/>
      <c r="K32" s="352"/>
    </row>
    <row r="33" spans="1:22" ht="14.1" customHeight="1">
      <c r="A33" s="462"/>
      <c r="B33" s="462"/>
      <c r="C33" s="462"/>
      <c r="D33" s="462"/>
      <c r="E33" s="462"/>
      <c r="F33" s="463"/>
      <c r="G33" s="282"/>
      <c r="H33" s="282"/>
      <c r="I33" s="351"/>
      <c r="J33" s="351"/>
      <c r="K33" s="352"/>
    </row>
    <row r="34" spans="1:22" s="276" customFormat="1" ht="14.1" customHeight="1">
      <c r="A34" s="279"/>
      <c r="B34" s="287" t="s">
        <v>25</v>
      </c>
      <c r="C34" s="280"/>
      <c r="D34" s="280">
        <v>2</v>
      </c>
      <c r="E34" s="280" t="s">
        <v>26</v>
      </c>
      <c r="F34" s="280"/>
      <c r="G34" s="282"/>
      <c r="H34" s="282"/>
      <c r="I34" s="351"/>
      <c r="J34" s="351"/>
      <c r="K34" s="352"/>
      <c r="L34" s="275"/>
      <c r="M34" s="284"/>
      <c r="N34" s="285"/>
      <c r="O34" s="286"/>
      <c r="P34" s="285"/>
      <c r="Q34" s="285"/>
    </row>
    <row r="35" spans="1:22" ht="14.1" customHeight="1">
      <c r="A35" s="36"/>
      <c r="B35" s="184"/>
      <c r="C35" s="184"/>
      <c r="D35" s="184"/>
      <c r="E35" s="184"/>
      <c r="F35" s="184"/>
      <c r="G35" s="282"/>
      <c r="H35" s="282"/>
      <c r="I35" s="351"/>
      <c r="J35" s="351"/>
      <c r="K35" s="352"/>
    </row>
    <row r="36" spans="1:22" ht="14.1" customHeight="1">
      <c r="A36" s="36"/>
      <c r="B36" s="191"/>
      <c r="C36" s="184"/>
      <c r="D36" s="190"/>
      <c r="E36" s="184"/>
      <c r="F36" s="184"/>
      <c r="G36" s="282"/>
      <c r="H36" s="282"/>
      <c r="I36" s="351"/>
      <c r="J36" s="351"/>
      <c r="K36" s="352"/>
    </row>
    <row r="37" spans="1:22" ht="14.1" customHeight="1">
      <c r="A37" s="57"/>
      <c r="B37" s="58"/>
      <c r="C37" s="58"/>
      <c r="D37" s="58"/>
      <c r="E37" s="58"/>
      <c r="F37" s="58"/>
      <c r="G37" s="60"/>
      <c r="H37" s="60"/>
      <c r="I37" s="289"/>
      <c r="J37" s="289"/>
      <c r="K37" s="290"/>
    </row>
    <row r="38" spans="1:22" s="104" customFormat="1" ht="22.9" customHeight="1">
      <c r="A38" s="111"/>
      <c r="B38" s="112"/>
      <c r="C38" s="112"/>
      <c r="D38" s="112"/>
      <c r="E38" s="112"/>
      <c r="F38" s="112"/>
      <c r="G38" s="450" t="s">
        <v>38</v>
      </c>
      <c r="H38" s="451"/>
      <c r="I38" s="291">
        <f>SUM(I28:I37)</f>
        <v>1815</v>
      </c>
      <c r="J38" s="291">
        <f>SUM(J28:J37)</f>
        <v>2415</v>
      </c>
      <c r="K38" s="292">
        <f>SUM(K28:K37)</f>
        <v>8.39</v>
      </c>
      <c r="M38" s="105"/>
      <c r="N38" s="106"/>
      <c r="O38" s="107"/>
      <c r="P38" s="106"/>
      <c r="Q38" s="106"/>
      <c r="R38" s="28"/>
      <c r="S38" s="28"/>
      <c r="T38" s="28"/>
      <c r="U38" s="28"/>
      <c r="V38" s="28"/>
    </row>
    <row r="39" spans="1:22" s="6" customFormat="1" ht="14.1" customHeight="1">
      <c r="A39" s="36"/>
      <c r="B39" s="184"/>
      <c r="C39" s="184"/>
      <c r="D39" s="184"/>
      <c r="E39" s="184"/>
      <c r="F39" s="184"/>
      <c r="G39" s="185"/>
      <c r="H39" s="185"/>
      <c r="I39" s="185"/>
      <c r="J39" s="185"/>
      <c r="K39" s="9"/>
      <c r="M39" s="94"/>
      <c r="N39" s="66"/>
      <c r="O39" s="95"/>
      <c r="P39" s="66"/>
      <c r="Q39" s="66"/>
      <c r="R39" s="7"/>
      <c r="S39" s="7"/>
      <c r="T39" s="7"/>
      <c r="U39" s="7"/>
      <c r="V39" s="7"/>
    </row>
    <row r="40" spans="1:22" s="6" customFormat="1" ht="14.1" customHeight="1">
      <c r="A40" s="36"/>
      <c r="B40" s="184"/>
      <c r="C40" s="184"/>
      <c r="D40" s="184"/>
      <c r="E40" s="184"/>
      <c r="F40" s="184"/>
      <c r="G40" s="185"/>
      <c r="H40" s="185"/>
      <c r="I40" s="185"/>
      <c r="J40" s="185"/>
      <c r="K40" s="9"/>
      <c r="M40" s="94"/>
      <c r="N40" s="66"/>
      <c r="O40" s="95"/>
      <c r="P40" s="66"/>
      <c r="Q40" s="66"/>
      <c r="R40" s="7"/>
      <c r="S40" s="7"/>
      <c r="T40" s="7"/>
      <c r="U40" s="7"/>
      <c r="V40" s="7"/>
    </row>
    <row r="41" spans="1:22" s="6" customFormat="1" ht="14.1" customHeight="1">
      <c r="A41" s="36"/>
      <c r="B41" s="184"/>
      <c r="C41" s="184"/>
      <c r="D41" s="184"/>
      <c r="E41" s="184"/>
      <c r="F41" s="184"/>
      <c r="G41" s="185"/>
      <c r="H41" s="185"/>
      <c r="I41" s="185"/>
      <c r="J41" s="185"/>
      <c r="K41" s="9"/>
      <c r="M41" s="94"/>
      <c r="N41" s="66"/>
      <c r="O41" s="95"/>
      <c r="P41" s="66"/>
      <c r="Q41" s="66"/>
      <c r="R41" s="7"/>
      <c r="S41" s="7"/>
      <c r="T41" s="7"/>
      <c r="U41" s="7"/>
      <c r="V41" s="7"/>
    </row>
    <row r="42" spans="1:22" s="6" customFormat="1" ht="14.1" customHeight="1">
      <c r="A42" s="36"/>
      <c r="B42" s="184"/>
      <c r="C42" s="184"/>
      <c r="D42" s="184"/>
      <c r="E42" s="184"/>
      <c r="F42" s="184"/>
      <c r="G42" s="185"/>
      <c r="H42" s="185"/>
      <c r="I42" s="185"/>
      <c r="J42" s="185"/>
      <c r="K42" s="9"/>
      <c r="M42" s="94"/>
      <c r="N42" s="66"/>
      <c r="O42" s="95"/>
      <c r="P42" s="66"/>
      <c r="Q42" s="66"/>
      <c r="R42" s="7"/>
      <c r="S42" s="7"/>
      <c r="T42" s="7"/>
      <c r="U42" s="7"/>
      <c r="V42" s="7"/>
    </row>
    <row r="43" spans="1:22" s="6" customFormat="1" ht="14.1" customHeight="1">
      <c r="A43" s="8"/>
      <c r="B43" s="184"/>
      <c r="C43" s="184"/>
      <c r="D43" s="184"/>
      <c r="E43" s="184"/>
      <c r="F43" s="184"/>
      <c r="G43" s="185"/>
      <c r="H43" s="185"/>
      <c r="I43" s="185"/>
      <c r="J43" s="185"/>
      <c r="K43" s="9"/>
      <c r="M43" s="94"/>
      <c r="N43" s="66"/>
      <c r="O43" s="95"/>
      <c r="P43" s="66"/>
      <c r="Q43" s="66"/>
      <c r="R43" s="7"/>
      <c r="S43" s="7"/>
      <c r="T43" s="7"/>
      <c r="U43" s="7"/>
      <c r="V43" s="7"/>
    </row>
    <row r="44" spans="1:22" s="6" customFormat="1" ht="14.1" customHeight="1">
      <c r="A44" s="113"/>
      <c r="B44" s="184"/>
      <c r="C44" s="184"/>
      <c r="D44" s="184"/>
      <c r="E44" s="184"/>
      <c r="F44" s="184"/>
      <c r="G44" s="185"/>
      <c r="H44" s="185"/>
      <c r="I44" s="185"/>
      <c r="J44" s="185"/>
      <c r="K44" s="9"/>
      <c r="M44" s="94"/>
      <c r="N44" s="66"/>
      <c r="O44" s="95"/>
      <c r="P44" s="66"/>
      <c r="Q44" s="66"/>
      <c r="R44" s="7"/>
      <c r="S44" s="7"/>
      <c r="T44" s="7"/>
      <c r="U44" s="7"/>
      <c r="V44" s="7"/>
    </row>
    <row r="45" spans="1:22" s="6" customFormat="1" ht="14.1" customHeight="1">
      <c r="A45" s="114"/>
      <c r="B45" s="184"/>
      <c r="C45" s="184"/>
      <c r="D45" s="184"/>
      <c r="E45" s="184"/>
      <c r="F45" s="184"/>
      <c r="G45" s="185"/>
      <c r="H45" s="185"/>
      <c r="I45" s="185"/>
      <c r="J45" s="185"/>
      <c r="K45" s="9"/>
      <c r="M45" s="94"/>
      <c r="N45" s="66"/>
      <c r="O45" s="95"/>
      <c r="P45" s="66"/>
      <c r="Q45" s="66"/>
      <c r="R45" s="7"/>
      <c r="S45" s="7"/>
      <c r="T45" s="7"/>
      <c r="U45" s="7"/>
      <c r="V45" s="7"/>
    </row>
    <row r="46" spans="1:22" s="6" customFormat="1" ht="14.1" customHeight="1">
      <c r="A46" s="114"/>
      <c r="B46" s="200"/>
      <c r="C46" s="184"/>
      <c r="D46" s="184"/>
      <c r="E46" s="184"/>
      <c r="F46" s="184"/>
      <c r="G46" s="192" t="s">
        <v>28</v>
      </c>
      <c r="H46" s="48"/>
      <c r="I46" s="48"/>
      <c r="J46" s="48"/>
      <c r="K46" s="9"/>
      <c r="M46" s="94"/>
      <c r="N46" s="66"/>
      <c r="O46" s="95"/>
      <c r="P46" s="66"/>
      <c r="Q46" s="66"/>
      <c r="R46" s="7"/>
      <c r="S46" s="7"/>
      <c r="T46" s="7"/>
      <c r="U46" s="7"/>
      <c r="V46" s="7"/>
    </row>
    <row r="47" spans="1:22" s="6" customFormat="1" ht="14.1" customHeight="1">
      <c r="A47" s="114"/>
      <c r="B47" s="200"/>
      <c r="C47" s="184"/>
      <c r="D47" s="184"/>
      <c r="E47" s="184"/>
      <c r="F47" s="184"/>
      <c r="G47" s="192"/>
      <c r="H47" s="417" t="s">
        <v>193</v>
      </c>
      <c r="I47" s="417"/>
      <c r="J47" s="417"/>
      <c r="K47" s="9"/>
      <c r="M47" s="94"/>
      <c r="N47" s="66"/>
      <c r="O47" s="95"/>
      <c r="P47" s="66"/>
      <c r="Q47" s="66"/>
      <c r="R47" s="7"/>
      <c r="S47" s="7"/>
      <c r="T47" s="7"/>
      <c r="U47" s="7"/>
      <c r="V47" s="7"/>
    </row>
    <row r="48" spans="1:22" s="6" customFormat="1" ht="13.5" thickBot="1">
      <c r="A48" s="67"/>
      <c r="B48" s="201"/>
      <c r="C48" s="68"/>
      <c r="D48" s="68"/>
      <c r="E48" s="68"/>
      <c r="F48" s="68"/>
      <c r="G48" s="69"/>
      <c r="H48" s="70"/>
      <c r="I48" s="70"/>
      <c r="J48" s="69"/>
      <c r="K48" s="71"/>
      <c r="M48" s="94"/>
      <c r="N48" s="66"/>
      <c r="O48" s="95"/>
      <c r="P48" s="66"/>
      <c r="Q48" s="66"/>
      <c r="R48" s="7"/>
      <c r="S48" s="7"/>
      <c r="T48" s="7"/>
      <c r="U48" s="7"/>
      <c r="V48" s="7"/>
    </row>
  </sheetData>
  <mergeCells count="23">
    <mergeCell ref="H47:J47"/>
    <mergeCell ref="A29:F33"/>
    <mergeCell ref="A4:K4"/>
    <mergeCell ref="G9:K9"/>
    <mergeCell ref="G10:K12"/>
    <mergeCell ref="B10:F12"/>
    <mergeCell ref="B6:F8"/>
    <mergeCell ref="H15:J15"/>
    <mergeCell ref="B3:F3"/>
    <mergeCell ref="H3:K3"/>
    <mergeCell ref="G38:H38"/>
    <mergeCell ref="H14:K14"/>
    <mergeCell ref="H18:K18"/>
    <mergeCell ref="D19:F19"/>
    <mergeCell ref="H19:K19"/>
    <mergeCell ref="H20:K20"/>
    <mergeCell ref="D23:F23"/>
    <mergeCell ref="B26:F26"/>
    <mergeCell ref="A27:F27"/>
    <mergeCell ref="B28:F28"/>
    <mergeCell ref="B14:F17"/>
    <mergeCell ref="H13:K13"/>
    <mergeCell ref="H17:J17"/>
  </mergeCells>
  <phoneticPr fontId="34"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T27"/>
  <sheetViews>
    <sheetView showGridLines="0" view="pageBreakPreview" zoomScale="80" zoomScaleNormal="100" zoomScaleSheetLayoutView="80" workbookViewId="0">
      <selection activeCell="B4" sqref="B4:T4"/>
    </sheetView>
  </sheetViews>
  <sheetFormatPr defaultColWidth="8.76953125" defaultRowHeight="18" customHeight="1"/>
  <cols>
    <col min="1" max="1" width="1.05078125" style="116" customWidth="1"/>
    <col min="2" max="2" width="3.625" style="66" customWidth="1"/>
    <col min="3" max="3" width="22.3359375" style="39" customWidth="1"/>
    <col min="4" max="4" width="45.7265625" style="135" bestFit="1" customWidth="1"/>
    <col min="5" max="5" width="8.65234375" style="7" hidden="1" customWidth="1"/>
    <col min="6" max="6" width="8.18359375" style="133" bestFit="1" customWidth="1"/>
    <col min="7" max="7" width="5.26171875" style="7" customWidth="1"/>
    <col min="8" max="8" width="8.30078125" style="7" customWidth="1"/>
    <col min="9" max="11" width="7.25" style="7" customWidth="1"/>
    <col min="12" max="12" width="8.53515625" style="7" customWidth="1"/>
    <col min="13" max="14" width="9.9375" style="7" bestFit="1" customWidth="1"/>
    <col min="15" max="15" width="10.0546875" style="7" customWidth="1"/>
    <col min="16" max="19" width="9.5859375" style="66" customWidth="1"/>
    <col min="20" max="20" width="7.83203125" style="136" customWidth="1"/>
    <col min="21" max="21" width="7.25" style="116" customWidth="1"/>
    <col min="22" max="16384" width="8.76953125" style="116"/>
  </cols>
  <sheetData>
    <row r="1" spans="2:20" ht="9" customHeight="1">
      <c r="B1" s="336"/>
      <c r="C1" s="7"/>
      <c r="D1" s="7"/>
      <c r="F1" s="7"/>
      <c r="H1" s="6"/>
      <c r="I1" s="6"/>
      <c r="J1" s="6"/>
      <c r="K1" s="337"/>
      <c r="L1" s="117"/>
      <c r="M1" s="336"/>
      <c r="N1" s="336"/>
      <c r="O1" s="336"/>
      <c r="P1" s="336"/>
      <c r="Q1" s="336"/>
      <c r="R1" s="336"/>
      <c r="S1" s="336"/>
      <c r="T1" s="336"/>
    </row>
    <row r="2" spans="2:20" ht="26.1" customHeight="1">
      <c r="B2" s="338"/>
      <c r="C2" s="7"/>
      <c r="D2" s="7"/>
      <c r="F2" s="7"/>
      <c r="H2" s="6"/>
      <c r="I2" s="6"/>
      <c r="J2" s="6"/>
      <c r="K2" s="337"/>
      <c r="L2" s="117"/>
      <c r="M2" s="338"/>
      <c r="N2" s="338"/>
      <c r="O2" s="338"/>
      <c r="P2" s="338"/>
      <c r="Q2" s="338"/>
      <c r="R2" s="338"/>
      <c r="S2" s="338"/>
      <c r="T2" s="338"/>
    </row>
    <row r="3" spans="2:20" ht="27.6" customHeight="1" thickBot="1">
      <c r="B3" s="338"/>
      <c r="C3" s="370" t="s">
        <v>0</v>
      </c>
      <c r="D3" s="370"/>
      <c r="E3" s="370"/>
      <c r="F3" s="370"/>
      <c r="G3" s="370"/>
      <c r="H3" s="370"/>
      <c r="I3" s="370"/>
      <c r="J3" s="6"/>
      <c r="K3" s="337"/>
      <c r="L3" s="117"/>
      <c r="M3" s="118"/>
      <c r="N3" s="338"/>
      <c r="O3" s="338"/>
      <c r="P3" s="338"/>
      <c r="Q3" s="338"/>
      <c r="R3" s="338"/>
      <c r="S3" s="338"/>
      <c r="T3" s="338"/>
    </row>
    <row r="4" spans="2:20" ht="33.75" customHeight="1" thickTop="1" thickBot="1">
      <c r="B4" s="371" t="s">
        <v>39</v>
      </c>
      <c r="C4" s="372"/>
      <c r="D4" s="372"/>
      <c r="E4" s="372"/>
      <c r="F4" s="372"/>
      <c r="G4" s="372"/>
      <c r="H4" s="372"/>
      <c r="I4" s="372"/>
      <c r="J4" s="372"/>
      <c r="K4" s="372"/>
      <c r="L4" s="372"/>
      <c r="M4" s="372"/>
      <c r="N4" s="372"/>
      <c r="O4" s="372"/>
      <c r="P4" s="372"/>
      <c r="Q4" s="372"/>
      <c r="R4" s="372"/>
      <c r="S4" s="372"/>
      <c r="T4" s="373"/>
    </row>
    <row r="5" spans="2:20" s="7" customFormat="1" ht="17.25" customHeight="1" thickTop="1">
      <c r="B5" s="66"/>
      <c r="C5" s="119" t="s">
        <v>40</v>
      </c>
      <c r="D5" s="120" t="str">
        <f>'Packing List (1_2)'!H5</f>
        <v>OM4-DE-IS-0011</v>
      </c>
      <c r="E5" s="66"/>
      <c r="F5" s="66"/>
      <c r="G5" s="66"/>
      <c r="H5" s="66"/>
      <c r="I5" s="66"/>
      <c r="J5" s="66"/>
      <c r="K5" s="66"/>
      <c r="L5" s="66"/>
      <c r="M5" s="66"/>
      <c r="N5" s="66"/>
      <c r="O5" s="66"/>
      <c r="P5" s="121"/>
      <c r="Q5" s="121"/>
      <c r="R5" s="121"/>
      <c r="S5" s="121"/>
      <c r="T5" s="66"/>
    </row>
    <row r="6" spans="2:20" s="7" customFormat="1" ht="17.25" customHeight="1">
      <c r="B6" s="66"/>
      <c r="C6" s="119" t="s">
        <v>41</v>
      </c>
      <c r="D6" s="196">
        <f>'Packing List (1_2)'!H6</f>
        <v>46181</v>
      </c>
      <c r="E6" s="66"/>
      <c r="F6" s="66"/>
      <c r="G6" s="39"/>
      <c r="H6" s="66"/>
      <c r="I6" s="39" t="s">
        <v>42</v>
      </c>
      <c r="J6" s="66"/>
      <c r="K6" s="66"/>
      <c r="L6" s="66"/>
      <c r="M6" s="66"/>
      <c r="N6" s="39" t="s">
        <v>43</v>
      </c>
      <c r="O6" s="66"/>
      <c r="P6" s="66"/>
      <c r="Q6" s="66"/>
      <c r="R6" s="66"/>
      <c r="S6" s="66"/>
      <c r="T6" s="66"/>
    </row>
    <row r="7" spans="2:20" s="7" customFormat="1" ht="17.25" customHeight="1">
      <c r="B7" s="66"/>
      <c r="C7" s="119" t="s">
        <v>44</v>
      </c>
      <c r="D7" s="122" t="s">
        <v>126</v>
      </c>
      <c r="E7" s="66"/>
      <c r="F7" s="66"/>
      <c r="G7" s="123"/>
      <c r="H7" s="39"/>
      <c r="I7" s="123" t="s">
        <v>45</v>
      </c>
      <c r="J7" s="39" t="s">
        <v>46</v>
      </c>
      <c r="K7" s="66"/>
      <c r="L7" s="66"/>
      <c r="M7" s="66"/>
      <c r="N7" s="124"/>
      <c r="O7" s="125" t="s">
        <v>171</v>
      </c>
      <c r="P7" s="125" t="s">
        <v>173</v>
      </c>
      <c r="Q7" s="125" t="s">
        <v>175</v>
      </c>
      <c r="R7" s="125" t="s">
        <v>169</v>
      </c>
      <c r="S7" s="66"/>
      <c r="T7" s="66"/>
    </row>
    <row r="8" spans="2:20" s="7" customFormat="1" ht="17.25" customHeight="1">
      <c r="B8" s="66"/>
      <c r="D8" s="119"/>
      <c r="E8" s="66"/>
      <c r="F8" s="66"/>
      <c r="G8" s="123"/>
      <c r="H8" s="39"/>
      <c r="I8" s="123" t="s">
        <v>48</v>
      </c>
      <c r="J8" s="39" t="s">
        <v>49</v>
      </c>
      <c r="K8" s="66"/>
      <c r="L8" s="66"/>
      <c r="M8" s="66"/>
      <c r="N8" s="125" t="s">
        <v>50</v>
      </c>
      <c r="O8" s="125" t="s">
        <v>51</v>
      </c>
      <c r="P8" s="125" t="s">
        <v>52</v>
      </c>
      <c r="Q8" s="125" t="s">
        <v>53</v>
      </c>
      <c r="R8" s="125" t="s">
        <v>54</v>
      </c>
      <c r="S8" s="66"/>
      <c r="T8" s="66"/>
    </row>
    <row r="9" spans="2:20" s="7" customFormat="1" ht="17.25" customHeight="1">
      <c r="B9" s="66"/>
      <c r="C9" s="119"/>
      <c r="D9" s="119"/>
      <c r="E9" s="66"/>
      <c r="F9" s="66"/>
      <c r="G9" s="123"/>
      <c r="H9" s="39"/>
      <c r="I9" s="123" t="s">
        <v>55</v>
      </c>
      <c r="J9" s="39" t="s">
        <v>56</v>
      </c>
      <c r="K9" s="66"/>
      <c r="L9" s="66"/>
      <c r="M9" s="66"/>
      <c r="N9" s="125" t="s">
        <v>57</v>
      </c>
      <c r="O9" s="125" t="s">
        <v>58</v>
      </c>
      <c r="P9" s="125" t="s">
        <v>59</v>
      </c>
      <c r="Q9" s="125" t="s">
        <v>60</v>
      </c>
      <c r="R9" s="125" t="s">
        <v>61</v>
      </c>
      <c r="S9" s="66"/>
      <c r="T9" s="66"/>
    </row>
    <row r="10" spans="2:20" s="7" customFormat="1" ht="17.25" customHeight="1">
      <c r="B10" s="66"/>
      <c r="D10" s="119"/>
      <c r="E10" s="66"/>
      <c r="F10" s="66"/>
      <c r="G10" s="123"/>
      <c r="H10" s="39"/>
      <c r="I10" s="123" t="s">
        <v>62</v>
      </c>
      <c r="J10" s="39" t="s">
        <v>63</v>
      </c>
      <c r="K10" s="66"/>
      <c r="L10" s="66"/>
      <c r="M10" s="66"/>
      <c r="N10" s="125" t="s">
        <v>64</v>
      </c>
      <c r="O10" s="125" t="s">
        <v>65</v>
      </c>
      <c r="P10" s="125" t="s">
        <v>66</v>
      </c>
      <c r="Q10" s="125" t="s">
        <v>67</v>
      </c>
      <c r="R10" s="293" t="s">
        <v>68</v>
      </c>
      <c r="S10" s="66"/>
      <c r="T10" s="66"/>
    </row>
    <row r="11" spans="2:20" s="7" customFormat="1" ht="17.25" customHeight="1">
      <c r="B11" s="66"/>
      <c r="D11" s="119"/>
      <c r="E11" s="66"/>
      <c r="F11" s="66"/>
      <c r="G11" s="123"/>
      <c r="H11" s="39"/>
      <c r="I11" s="123" t="s">
        <v>69</v>
      </c>
      <c r="J11" s="39" t="s">
        <v>70</v>
      </c>
      <c r="K11" s="66"/>
      <c r="L11" s="66"/>
      <c r="M11" s="66"/>
      <c r="N11" s="66"/>
      <c r="O11" s="66"/>
      <c r="P11" s="66"/>
      <c r="Q11" s="66"/>
      <c r="R11" s="66"/>
      <c r="S11" s="66"/>
      <c r="T11" s="66"/>
    </row>
    <row r="12" spans="2:20" s="7" customFormat="1" ht="17.25" customHeight="1">
      <c r="B12" s="66"/>
      <c r="C12" s="119"/>
      <c r="D12" s="66"/>
      <c r="E12" s="66"/>
      <c r="F12" s="66"/>
      <c r="I12" s="66"/>
      <c r="J12" s="66"/>
      <c r="K12" s="66"/>
      <c r="L12" s="66"/>
      <c r="M12" s="66"/>
      <c r="N12" s="66"/>
      <c r="O12" s="66"/>
      <c r="P12" s="66"/>
      <c r="Q12" s="66"/>
      <c r="R12" s="66"/>
      <c r="S12" s="66"/>
      <c r="T12" s="66"/>
    </row>
    <row r="13" spans="2:20" s="28" customFormat="1" ht="20.25" customHeight="1">
      <c r="B13" s="366" t="s">
        <v>29</v>
      </c>
      <c r="C13" s="374" t="s">
        <v>30</v>
      </c>
      <c r="D13" s="376" t="s">
        <v>71</v>
      </c>
      <c r="E13" s="366" t="s">
        <v>145</v>
      </c>
      <c r="F13" s="363" t="s">
        <v>72</v>
      </c>
      <c r="G13" s="365"/>
      <c r="H13" s="366" t="s">
        <v>73</v>
      </c>
      <c r="I13" s="363" t="s">
        <v>74</v>
      </c>
      <c r="J13" s="364"/>
      <c r="K13" s="364"/>
      <c r="L13" s="365"/>
      <c r="M13" s="366" t="s">
        <v>75</v>
      </c>
      <c r="N13" s="366" t="s">
        <v>76</v>
      </c>
      <c r="O13" s="366" t="s">
        <v>77</v>
      </c>
      <c r="P13" s="368" t="s">
        <v>140</v>
      </c>
      <c r="Q13" s="368" t="s">
        <v>141</v>
      </c>
      <c r="R13" s="368" t="s">
        <v>142</v>
      </c>
      <c r="S13" s="366" t="s">
        <v>78</v>
      </c>
      <c r="T13" s="366" t="s">
        <v>79</v>
      </c>
    </row>
    <row r="14" spans="2:20" s="28" customFormat="1" ht="33" customHeight="1">
      <c r="B14" s="367"/>
      <c r="C14" s="375"/>
      <c r="D14" s="377"/>
      <c r="E14" s="367"/>
      <c r="F14" s="126" t="s">
        <v>80</v>
      </c>
      <c r="G14" s="126" t="s">
        <v>81</v>
      </c>
      <c r="H14" s="367"/>
      <c r="I14" s="127" t="s">
        <v>82</v>
      </c>
      <c r="J14" s="127" t="s">
        <v>83</v>
      </c>
      <c r="K14" s="127" t="s">
        <v>84</v>
      </c>
      <c r="L14" s="127" t="s">
        <v>85</v>
      </c>
      <c r="M14" s="367"/>
      <c r="N14" s="367"/>
      <c r="O14" s="367"/>
      <c r="P14" s="369"/>
      <c r="Q14" s="369"/>
      <c r="R14" s="369"/>
      <c r="S14" s="367"/>
      <c r="T14" s="367"/>
    </row>
    <row r="15" spans="2:20" s="7" customFormat="1" ht="47.25" customHeight="1">
      <c r="B15" s="210" t="s">
        <v>153</v>
      </c>
      <c r="C15" s="128" t="str">
        <f>'Detailed PL'!C15</f>
        <v>OM4-DE-IS-0011-001</v>
      </c>
      <c r="D15" s="131" t="s">
        <v>217</v>
      </c>
      <c r="E15" s="125"/>
      <c r="F15" s="211">
        <f>'Detailed PL'!I20</f>
        <v>720</v>
      </c>
      <c r="G15" s="125" t="s">
        <v>147</v>
      </c>
      <c r="H15" s="129" t="str">
        <f>'Detailed PL'!K20</f>
        <v>Wooden</v>
      </c>
      <c r="I15" s="315">
        <f>'Detailed PL'!L20</f>
        <v>150</v>
      </c>
      <c r="J15" s="315">
        <f>'Detailed PL'!M20</f>
        <v>150</v>
      </c>
      <c r="K15" s="315">
        <f>'Detailed PL'!N20</f>
        <v>100</v>
      </c>
      <c r="L15" s="315">
        <f>'Detailed PL'!O20</f>
        <v>2.25</v>
      </c>
      <c r="M15" s="362">
        <f>'Detailed PL'!P20</f>
        <v>975</v>
      </c>
      <c r="N15" s="362">
        <f>'Detailed PL'!Q20</f>
        <v>1275</v>
      </c>
      <c r="O15" s="130" t="s">
        <v>148</v>
      </c>
      <c r="P15" s="131" t="s">
        <v>151</v>
      </c>
      <c r="Q15" s="131" t="s">
        <v>151</v>
      </c>
      <c r="R15" s="131" t="s">
        <v>148</v>
      </c>
      <c r="S15" s="131" t="s">
        <v>149</v>
      </c>
      <c r="T15" s="294" t="s">
        <v>213</v>
      </c>
    </row>
    <row r="16" spans="2:20" s="7" customFormat="1" ht="47.25" customHeight="1">
      <c r="B16" s="210" t="s">
        <v>154</v>
      </c>
      <c r="C16" s="128" t="str">
        <f>'Detailed PL'!C21</f>
        <v>OM4-DE-IS-0011-002</v>
      </c>
      <c r="D16" s="131" t="s">
        <v>205</v>
      </c>
      <c r="E16" s="125"/>
      <c r="F16" s="211">
        <f>'Detailed PL'!I22</f>
        <v>120</v>
      </c>
      <c r="G16" s="125" t="s">
        <v>147</v>
      </c>
      <c r="H16" s="315" t="str">
        <f>'Detailed PL'!K22</f>
        <v>Wooden</v>
      </c>
      <c r="I16" s="315">
        <f>'Detailed PL'!L22</f>
        <v>620</v>
      </c>
      <c r="J16" s="315">
        <f>'Detailed PL'!M22</f>
        <v>100</v>
      </c>
      <c r="K16" s="315">
        <f>'Detailed PL'!N22</f>
        <v>100</v>
      </c>
      <c r="L16" s="315">
        <v>6.14</v>
      </c>
      <c r="M16" s="362">
        <f>'Detailed PL'!P22</f>
        <v>840</v>
      </c>
      <c r="N16" s="362">
        <f>'Detailed PL'!Q22</f>
        <v>1140</v>
      </c>
      <c r="O16" s="130" t="s">
        <v>148</v>
      </c>
      <c r="P16" s="131" t="s">
        <v>151</v>
      </c>
      <c r="Q16" s="131" t="s">
        <v>151</v>
      </c>
      <c r="R16" s="131" t="s">
        <v>148</v>
      </c>
      <c r="S16" s="131" t="s">
        <v>149</v>
      </c>
      <c r="T16" s="294" t="s">
        <v>213</v>
      </c>
    </row>
    <row r="17" spans="2:20" ht="18.75" customHeight="1">
      <c r="B17" s="363" t="s">
        <v>86</v>
      </c>
      <c r="C17" s="364"/>
      <c r="D17" s="364"/>
      <c r="E17" s="364"/>
      <c r="F17" s="364"/>
      <c r="G17" s="364"/>
      <c r="H17" s="364"/>
      <c r="I17" s="364"/>
      <c r="J17" s="364"/>
      <c r="K17" s="365"/>
      <c r="L17" s="289">
        <f>SUM(L15:L16)</f>
        <v>8.39</v>
      </c>
      <c r="M17" s="289">
        <f>SUM(M15:M16)</f>
        <v>1815</v>
      </c>
      <c r="N17" s="289">
        <f>SUM(N15:N16)</f>
        <v>2415</v>
      </c>
      <c r="O17" s="125"/>
      <c r="P17" s="125"/>
      <c r="Q17" s="125"/>
      <c r="R17" s="125"/>
      <c r="S17" s="125"/>
      <c r="T17" s="125"/>
    </row>
    <row r="18" spans="2:20" ht="18" customHeight="1">
      <c r="D18" s="132"/>
      <c r="T18" s="134"/>
    </row>
    <row r="19" spans="2:20" ht="18" customHeight="1">
      <c r="D19" s="132"/>
      <c r="T19" s="134"/>
    </row>
    <row r="20" spans="2:20" ht="18" customHeight="1">
      <c r="D20" s="132"/>
      <c r="T20" s="134"/>
    </row>
    <row r="21" spans="2:20" ht="18" customHeight="1">
      <c r="D21" s="132"/>
      <c r="T21" s="134"/>
    </row>
    <row r="22" spans="2:20" ht="18" customHeight="1">
      <c r="D22" s="132"/>
      <c r="T22" s="134"/>
    </row>
    <row r="23" spans="2:20" ht="18" customHeight="1">
      <c r="D23" s="132"/>
      <c r="T23" s="134"/>
    </row>
    <row r="24" spans="2:20" ht="18" customHeight="1">
      <c r="D24" s="132"/>
      <c r="T24" s="134"/>
    </row>
    <row r="25" spans="2:20" ht="18" customHeight="1">
      <c r="D25" s="132"/>
      <c r="T25" s="134"/>
    </row>
    <row r="26" spans="2:20" ht="18" customHeight="1">
      <c r="D26" s="132"/>
      <c r="T26" s="134"/>
    </row>
    <row r="27" spans="2:20" ht="18" customHeight="1">
      <c r="D27" s="132"/>
      <c r="T27" s="134"/>
    </row>
  </sheetData>
  <mergeCells count="18">
    <mergeCell ref="C3:I3"/>
    <mergeCell ref="B4:T4"/>
    <mergeCell ref="B13:B14"/>
    <mergeCell ref="C13:C14"/>
    <mergeCell ref="D13:D14"/>
    <mergeCell ref="E13:E14"/>
    <mergeCell ref="F13:G13"/>
    <mergeCell ref="H13:H14"/>
    <mergeCell ref="I13:L13"/>
    <mergeCell ref="M13:M14"/>
    <mergeCell ref="T13:T14"/>
    <mergeCell ref="R13:R14"/>
    <mergeCell ref="S13:S14"/>
    <mergeCell ref="B17:K17"/>
    <mergeCell ref="N13:N14"/>
    <mergeCell ref="O13:O14"/>
    <mergeCell ref="P13:P14"/>
    <mergeCell ref="Q13:Q14"/>
  </mergeCells>
  <phoneticPr fontId="34" type="noConversion"/>
  <printOptions horizontalCentered="1"/>
  <pageMargins left="0.70866141732283472" right="0.70866141732283472" top="0.74803149606299213" bottom="0.74803149606299213" header="0.31496062992125984" footer="0.31496062992125984"/>
  <pageSetup paperSize="9" scale="37" orientation="portrait" r:id="rId1"/>
  <headerFooter alignWithMargins="0">
    <oddFooter>&amp;C&amp;P/&amp;N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43"/>
  <sheetViews>
    <sheetView showGridLines="0" view="pageBreakPreview" zoomScale="50" zoomScaleNormal="70" zoomScaleSheetLayoutView="50" workbookViewId="0">
      <selection sqref="A1:J1"/>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498" t="s">
        <v>94</v>
      </c>
      <c r="B1" s="498"/>
      <c r="C1" s="498"/>
      <c r="D1" s="498"/>
      <c r="E1" s="498"/>
      <c r="F1" s="498"/>
      <c r="G1" s="498"/>
      <c r="H1" s="498"/>
      <c r="I1" s="498"/>
      <c r="J1" s="498"/>
    </row>
    <row r="2" spans="1:13" ht="32.65" customHeight="1">
      <c r="A2" s="499" t="s">
        <v>95</v>
      </c>
      <c r="B2" s="500"/>
      <c r="C2" s="500"/>
      <c r="D2" s="500"/>
      <c r="E2" s="500"/>
      <c r="F2" s="500"/>
      <c r="G2" s="500"/>
      <c r="H2" s="500"/>
      <c r="I2" s="500"/>
      <c r="J2" s="501"/>
    </row>
    <row r="3" spans="1:13" ht="28.15" customHeight="1">
      <c r="A3" s="502" t="str">
        <f>[6]CI!B26</f>
        <v>Address: O Mon Power Complex at Phuoc Thoi wards, O Mon district, Can Tho city</v>
      </c>
      <c r="B3" s="503"/>
      <c r="C3" s="503"/>
      <c r="D3" s="503"/>
      <c r="E3" s="503"/>
      <c r="F3" s="503"/>
      <c r="G3" s="503"/>
      <c r="H3" s="503"/>
      <c r="I3" s="503"/>
      <c r="J3" s="504"/>
    </row>
    <row r="5" spans="1:13" s="165" customFormat="1" ht="40.15" customHeight="1">
      <c r="A5" s="179" t="s">
        <v>96</v>
      </c>
      <c r="B5" s="164" t="s">
        <v>97</v>
      </c>
      <c r="C5" s="505" t="s">
        <v>135</v>
      </c>
      <c r="D5" s="506"/>
      <c r="E5" s="506"/>
      <c r="F5" s="506"/>
      <c r="G5" s="506"/>
      <c r="H5" s="506"/>
      <c r="I5" s="506"/>
      <c r="J5" s="507"/>
    </row>
    <row r="6" spans="1:13" s="165" customFormat="1" ht="55.5" customHeight="1">
      <c r="A6" s="180" t="s">
        <v>98</v>
      </c>
      <c r="B6" s="166" t="s">
        <v>97</v>
      </c>
      <c r="C6" s="494" t="s">
        <v>136</v>
      </c>
      <c r="D6" s="494"/>
      <c r="E6" s="494"/>
      <c r="F6" s="494"/>
      <c r="G6" s="494"/>
      <c r="H6" s="494"/>
      <c r="I6" s="494"/>
      <c r="J6" s="495"/>
    </row>
    <row r="7" spans="1:13" s="165" customFormat="1" ht="94.15" customHeight="1">
      <c r="A7" s="180" t="s">
        <v>116</v>
      </c>
      <c r="B7" s="167" t="s">
        <v>97</v>
      </c>
      <c r="C7" s="494" t="s">
        <v>137</v>
      </c>
      <c r="D7" s="494"/>
      <c r="E7" s="494"/>
      <c r="F7" s="494"/>
      <c r="G7" s="494"/>
      <c r="H7" s="494"/>
      <c r="I7" s="494"/>
      <c r="J7" s="495"/>
    </row>
    <row r="8" spans="1:13" s="165" customFormat="1" ht="20.65" customHeight="1">
      <c r="A8" s="180" t="s">
        <v>99</v>
      </c>
      <c r="B8" s="167" t="s">
        <v>100</v>
      </c>
      <c r="C8" s="494" t="s">
        <v>138</v>
      </c>
      <c r="D8" s="494"/>
      <c r="E8" s="494"/>
      <c r="F8" s="494"/>
      <c r="G8" s="494"/>
      <c r="H8" s="494"/>
      <c r="I8" s="494"/>
      <c r="J8" s="495"/>
    </row>
    <row r="9" spans="1:13" s="165" customFormat="1" ht="20.65" customHeight="1">
      <c r="A9" s="180"/>
      <c r="B9" s="167"/>
      <c r="C9" s="494"/>
      <c r="D9" s="494"/>
      <c r="E9" s="494"/>
      <c r="F9" s="494"/>
      <c r="G9" s="494"/>
      <c r="H9" s="494"/>
      <c r="I9" s="494"/>
      <c r="J9" s="495"/>
    </row>
    <row r="10" spans="1:13" s="165" customFormat="1" ht="20.65" customHeight="1">
      <c r="A10" s="180"/>
      <c r="B10" s="167"/>
      <c r="C10" s="494"/>
      <c r="D10" s="494"/>
      <c r="E10" s="494"/>
      <c r="F10" s="494"/>
      <c r="G10" s="494"/>
      <c r="H10" s="494"/>
      <c r="I10" s="494"/>
      <c r="J10" s="495"/>
    </row>
    <row r="11" spans="1:13" s="165" customFormat="1" ht="178.9" customHeight="1">
      <c r="A11" s="180"/>
      <c r="B11" s="167"/>
      <c r="C11" s="494"/>
      <c r="D11" s="494"/>
      <c r="E11" s="494"/>
      <c r="F11" s="494"/>
      <c r="G11" s="494"/>
      <c r="H11" s="494"/>
      <c r="I11" s="494"/>
      <c r="J11" s="495"/>
    </row>
    <row r="12" spans="1:13" s="165" customFormat="1">
      <c r="A12" s="180" t="s">
        <v>117</v>
      </c>
      <c r="B12" s="166" t="s">
        <v>97</v>
      </c>
      <c r="C12" s="494" t="s">
        <v>115</v>
      </c>
      <c r="D12" s="494"/>
      <c r="E12" s="494"/>
      <c r="F12" s="494"/>
      <c r="G12" s="494"/>
      <c r="H12" s="494"/>
      <c r="I12" s="494"/>
      <c r="J12" s="495"/>
    </row>
    <row r="13" spans="1:13" s="299" customFormat="1" ht="25.5">
      <c r="A13" s="264" t="s">
        <v>101</v>
      </c>
      <c r="B13" s="265" t="s">
        <v>100</v>
      </c>
      <c r="C13" s="508" t="s">
        <v>218</v>
      </c>
      <c r="D13" s="508"/>
      <c r="E13" s="508"/>
      <c r="F13" s="296"/>
      <c r="G13" s="297"/>
      <c r="H13" s="297"/>
      <c r="I13" s="297"/>
      <c r="J13" s="298"/>
    </row>
    <row r="14" spans="1:13" s="165" customFormat="1">
      <c r="A14" s="180" t="s">
        <v>118</v>
      </c>
      <c r="B14" s="166" t="s">
        <v>97</v>
      </c>
      <c r="C14" s="496" t="str">
        <f>[6]CI!B28</f>
        <v>PLANT/ EQUIPMENT AND MATERIALS FOR O MON IV THERMAL</v>
      </c>
      <c r="D14" s="496"/>
      <c r="E14" s="496"/>
      <c r="F14" s="496"/>
      <c r="G14" s="496"/>
      <c r="H14" s="496"/>
      <c r="I14" s="496"/>
      <c r="J14" s="497"/>
    </row>
    <row r="15" spans="1:13" s="165" customFormat="1">
      <c r="A15" s="264" t="s">
        <v>192</v>
      </c>
      <c r="B15" s="265" t="s">
        <v>97</v>
      </c>
      <c r="C15" s="494" t="str">
        <f>'PL(2_2)'!D15</f>
        <v>Conduit Fittings</v>
      </c>
      <c r="D15" s="494"/>
      <c r="E15" s="494"/>
      <c r="F15" s="494"/>
      <c r="G15" s="494"/>
      <c r="H15" s="494"/>
      <c r="I15" s="494"/>
      <c r="J15" s="495"/>
    </row>
    <row r="16" spans="1:13" s="299" customFormat="1" ht="40.15" customHeight="1">
      <c r="A16" s="264" t="s">
        <v>124</v>
      </c>
      <c r="B16" s="300" t="s">
        <v>100</v>
      </c>
      <c r="C16" s="301" t="s">
        <v>178</v>
      </c>
      <c r="D16" s="261"/>
      <c r="E16" s="261"/>
      <c r="F16" s="261"/>
      <c r="G16" s="261"/>
      <c r="H16" s="261"/>
      <c r="I16" s="261"/>
      <c r="J16" s="262"/>
      <c r="M16" s="302"/>
    </row>
    <row r="17" spans="1:13" s="299" customFormat="1" ht="35.450000000000003" customHeight="1">
      <c r="A17" s="264" t="s">
        <v>121</v>
      </c>
      <c r="B17" s="300" t="s">
        <v>100</v>
      </c>
      <c r="C17" s="301" t="str">
        <f>'PL(2_2)'!C15</f>
        <v>OM4-DE-IS-0011-001</v>
      </c>
      <c r="D17" s="261"/>
      <c r="E17" s="261"/>
      <c r="F17" s="261"/>
      <c r="G17" s="261"/>
      <c r="H17" s="261"/>
      <c r="I17" s="261"/>
      <c r="J17" s="262"/>
      <c r="M17" s="302"/>
    </row>
    <row r="18" spans="1:13" s="299" customFormat="1" ht="49.9" customHeight="1">
      <c r="A18" s="264" t="s">
        <v>119</v>
      </c>
      <c r="B18" s="265" t="s">
        <v>97</v>
      </c>
      <c r="C18" s="310">
        <f>'PL(2_2)'!M15</f>
        <v>975</v>
      </c>
      <c r="D18" s="304" t="s">
        <v>102</v>
      </c>
      <c r="E18" s="305"/>
      <c r="F18" s="305"/>
      <c r="G18" s="305"/>
      <c r="H18" s="305"/>
      <c r="I18" s="305"/>
      <c r="J18" s="306"/>
    </row>
    <row r="19" spans="1:13" s="299" customFormat="1" ht="57.4" customHeight="1">
      <c r="A19" s="264" t="s">
        <v>120</v>
      </c>
      <c r="B19" s="265" t="s">
        <v>97</v>
      </c>
      <c r="C19" s="310">
        <f>'PL(2_2)'!N15</f>
        <v>1275</v>
      </c>
      <c r="D19" s="304" t="s">
        <v>102</v>
      </c>
      <c r="E19" s="305"/>
      <c r="F19" s="307"/>
      <c r="G19" s="305"/>
      <c r="H19" s="305"/>
      <c r="I19" s="305"/>
      <c r="J19" s="308"/>
    </row>
    <row r="20" spans="1:13" s="299" customFormat="1" ht="53.65" customHeight="1">
      <c r="A20" s="264" t="s">
        <v>122</v>
      </c>
      <c r="B20" s="300" t="s">
        <v>97</v>
      </c>
      <c r="C20" s="303">
        <f>'PL(2_2)'!I15</f>
        <v>150</v>
      </c>
      <c r="D20" s="309" t="s">
        <v>103</v>
      </c>
      <c r="E20" s="303">
        <f>'PL(2_2)'!J15</f>
        <v>150</v>
      </c>
      <c r="F20" s="309" t="s">
        <v>104</v>
      </c>
      <c r="G20" s="303">
        <f>'PL(2_2)'!K15</f>
        <v>100</v>
      </c>
      <c r="H20" s="309" t="s">
        <v>105</v>
      </c>
      <c r="I20" s="310">
        <f>'PL(2_2)'!L15</f>
        <v>2.25</v>
      </c>
      <c r="J20" s="311" t="s">
        <v>106</v>
      </c>
    </row>
    <row r="21" spans="1:13" s="299" customFormat="1" ht="31.15" customHeight="1">
      <c r="A21" s="264" t="s">
        <v>113</v>
      </c>
      <c r="B21" s="300" t="s">
        <v>97</v>
      </c>
      <c r="C21" s="314" t="str">
        <f>'Packing List (1_2)'!B21</f>
        <v>Busan International Port, Korea</v>
      </c>
      <c r="D21" s="304"/>
      <c r="E21" s="305"/>
      <c r="F21" s="304"/>
      <c r="G21" s="305"/>
      <c r="H21" s="304"/>
      <c r="I21" s="310"/>
      <c r="J21" s="311"/>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183"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15:J15"/>
    <mergeCell ref="C14:J14"/>
    <mergeCell ref="C7:J7"/>
    <mergeCell ref="A1:J1"/>
    <mergeCell ref="A2:J2"/>
    <mergeCell ref="A3:J3"/>
    <mergeCell ref="C5:J5"/>
    <mergeCell ref="C6:J6"/>
    <mergeCell ref="C8:J11"/>
    <mergeCell ref="C12:J12"/>
    <mergeCell ref="C13:E13"/>
  </mergeCells>
  <phoneticPr fontId="34" type="noConversion"/>
  <printOptions horizontalCentered="1"/>
  <pageMargins left="0.25" right="0.25" top="0.75" bottom="0.75" header="0.3" footer="0.3"/>
  <pageSetup paperSize="9" scale="6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M43"/>
  <sheetViews>
    <sheetView showGridLines="0" view="pageBreakPreview" zoomScale="50" zoomScaleNormal="70" zoomScaleSheetLayoutView="50" workbookViewId="0">
      <selection sqref="A1:J1"/>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498" t="s">
        <v>94</v>
      </c>
      <c r="B1" s="498"/>
      <c r="C1" s="498"/>
      <c r="D1" s="498"/>
      <c r="E1" s="498"/>
      <c r="F1" s="498"/>
      <c r="G1" s="498"/>
      <c r="H1" s="498"/>
      <c r="I1" s="498"/>
      <c r="J1" s="498"/>
    </row>
    <row r="2" spans="1:13" ht="32.65" customHeight="1">
      <c r="A2" s="499" t="s">
        <v>95</v>
      </c>
      <c r="B2" s="500"/>
      <c r="C2" s="500"/>
      <c r="D2" s="500"/>
      <c r="E2" s="500"/>
      <c r="F2" s="500"/>
      <c r="G2" s="500"/>
      <c r="H2" s="500"/>
      <c r="I2" s="500"/>
      <c r="J2" s="501"/>
    </row>
    <row r="3" spans="1:13" ht="28.15" customHeight="1">
      <c r="A3" s="502" t="str">
        <f>[6]CI!B26</f>
        <v>Address: O Mon Power Complex at Phuoc Thoi wards, O Mon district, Can Tho city</v>
      </c>
      <c r="B3" s="503"/>
      <c r="C3" s="503"/>
      <c r="D3" s="503"/>
      <c r="E3" s="503"/>
      <c r="F3" s="503"/>
      <c r="G3" s="503"/>
      <c r="H3" s="503"/>
      <c r="I3" s="503"/>
      <c r="J3" s="504"/>
    </row>
    <row r="5" spans="1:13" s="165" customFormat="1" ht="40.15" customHeight="1">
      <c r="A5" s="179" t="s">
        <v>96</v>
      </c>
      <c r="B5" s="164" t="s">
        <v>97</v>
      </c>
      <c r="C5" s="505" t="s">
        <v>135</v>
      </c>
      <c r="D5" s="506"/>
      <c r="E5" s="506"/>
      <c r="F5" s="506"/>
      <c r="G5" s="506"/>
      <c r="H5" s="506"/>
      <c r="I5" s="506"/>
      <c r="J5" s="507"/>
    </row>
    <row r="6" spans="1:13" s="165" customFormat="1" ht="55.5" customHeight="1">
      <c r="A6" s="180" t="s">
        <v>98</v>
      </c>
      <c r="B6" s="166" t="s">
        <v>97</v>
      </c>
      <c r="C6" s="494" t="s">
        <v>136</v>
      </c>
      <c r="D6" s="494"/>
      <c r="E6" s="494"/>
      <c r="F6" s="494"/>
      <c r="G6" s="494"/>
      <c r="H6" s="494"/>
      <c r="I6" s="494"/>
      <c r="J6" s="495"/>
    </row>
    <row r="7" spans="1:13" s="165" customFormat="1" ht="94.15" customHeight="1">
      <c r="A7" s="180" t="s">
        <v>116</v>
      </c>
      <c r="B7" s="167" t="s">
        <v>97</v>
      </c>
      <c r="C7" s="494" t="s">
        <v>137</v>
      </c>
      <c r="D7" s="494"/>
      <c r="E7" s="494"/>
      <c r="F7" s="494"/>
      <c r="G7" s="494"/>
      <c r="H7" s="494"/>
      <c r="I7" s="494"/>
      <c r="J7" s="495"/>
    </row>
    <row r="8" spans="1:13" s="165" customFormat="1" ht="20.65" customHeight="1">
      <c r="A8" s="180" t="s">
        <v>99</v>
      </c>
      <c r="B8" s="167" t="s">
        <v>100</v>
      </c>
      <c r="C8" s="494" t="s">
        <v>138</v>
      </c>
      <c r="D8" s="494"/>
      <c r="E8" s="494"/>
      <c r="F8" s="494"/>
      <c r="G8" s="494"/>
      <c r="H8" s="494"/>
      <c r="I8" s="494"/>
      <c r="J8" s="495"/>
    </row>
    <row r="9" spans="1:13" s="165" customFormat="1" ht="20.65" customHeight="1">
      <c r="A9" s="180"/>
      <c r="B9" s="167"/>
      <c r="C9" s="494"/>
      <c r="D9" s="494"/>
      <c r="E9" s="494"/>
      <c r="F9" s="494"/>
      <c r="G9" s="494"/>
      <c r="H9" s="494"/>
      <c r="I9" s="494"/>
      <c r="J9" s="495"/>
    </row>
    <row r="10" spans="1:13" s="165" customFormat="1" ht="20.65" customHeight="1">
      <c r="A10" s="180"/>
      <c r="B10" s="167"/>
      <c r="C10" s="494"/>
      <c r="D10" s="494"/>
      <c r="E10" s="494"/>
      <c r="F10" s="494"/>
      <c r="G10" s="494"/>
      <c r="H10" s="494"/>
      <c r="I10" s="494"/>
      <c r="J10" s="495"/>
    </row>
    <row r="11" spans="1:13" s="165" customFormat="1" ht="181.9" customHeight="1">
      <c r="A11" s="180"/>
      <c r="B11" s="167"/>
      <c r="C11" s="494"/>
      <c r="D11" s="494"/>
      <c r="E11" s="494"/>
      <c r="F11" s="494"/>
      <c r="G11" s="494"/>
      <c r="H11" s="494"/>
      <c r="I11" s="494"/>
      <c r="J11" s="495"/>
    </row>
    <row r="12" spans="1:13" s="165" customFormat="1">
      <c r="A12" s="180" t="s">
        <v>117</v>
      </c>
      <c r="B12" s="166" t="s">
        <v>97</v>
      </c>
      <c r="C12" s="494" t="s">
        <v>115</v>
      </c>
      <c r="D12" s="494"/>
      <c r="E12" s="494"/>
      <c r="F12" s="494"/>
      <c r="G12" s="494"/>
      <c r="H12" s="494"/>
      <c r="I12" s="494"/>
      <c r="J12" s="495"/>
    </row>
    <row r="13" spans="1:13" s="299" customFormat="1" ht="25.5">
      <c r="A13" s="264" t="s">
        <v>101</v>
      </c>
      <c r="B13" s="265" t="s">
        <v>100</v>
      </c>
      <c r="C13" s="508" t="s">
        <v>218</v>
      </c>
      <c r="D13" s="508"/>
      <c r="E13" s="508"/>
      <c r="F13" s="296"/>
      <c r="G13" s="297"/>
      <c r="H13" s="297"/>
      <c r="I13" s="297"/>
      <c r="J13" s="298"/>
    </row>
    <row r="14" spans="1:13" s="165" customFormat="1">
      <c r="A14" s="180" t="s">
        <v>118</v>
      </c>
      <c r="B14" s="166" t="s">
        <v>97</v>
      </c>
      <c r="C14" s="496" t="str">
        <f>[6]CI!B28</f>
        <v>PLANT/ EQUIPMENT AND MATERIALS FOR O MON IV THERMAL</v>
      </c>
      <c r="D14" s="496"/>
      <c r="E14" s="496"/>
      <c r="F14" s="496"/>
      <c r="G14" s="496"/>
      <c r="H14" s="496"/>
      <c r="I14" s="496"/>
      <c r="J14" s="497"/>
    </row>
    <row r="15" spans="1:13" s="165" customFormat="1">
      <c r="A15" s="264" t="s">
        <v>192</v>
      </c>
      <c r="B15" s="265" t="s">
        <v>97</v>
      </c>
      <c r="C15" s="494" t="str">
        <f>'PL(2_2)'!D16</f>
        <v>Flexible Conduit</v>
      </c>
      <c r="D15" s="494"/>
      <c r="E15" s="494"/>
      <c r="F15" s="494"/>
      <c r="G15" s="494"/>
      <c r="H15" s="494"/>
      <c r="I15" s="494"/>
      <c r="J15" s="495"/>
    </row>
    <row r="16" spans="1:13" s="299" customFormat="1" ht="40.15" customHeight="1">
      <c r="A16" s="264" t="s">
        <v>124</v>
      </c>
      <c r="B16" s="300" t="s">
        <v>100</v>
      </c>
      <c r="C16" s="301" t="s">
        <v>178</v>
      </c>
      <c r="D16" s="334"/>
      <c r="E16" s="334"/>
      <c r="F16" s="334"/>
      <c r="G16" s="334"/>
      <c r="H16" s="334"/>
      <c r="I16" s="334"/>
      <c r="J16" s="335"/>
      <c r="M16" s="302"/>
    </row>
    <row r="17" spans="1:13" s="299" customFormat="1" ht="35.450000000000003" customHeight="1">
      <c r="A17" s="264" t="s">
        <v>121</v>
      </c>
      <c r="B17" s="300" t="s">
        <v>100</v>
      </c>
      <c r="C17" s="301" t="str">
        <f>'PL(2_2)'!C16</f>
        <v>OM4-DE-IS-0011-002</v>
      </c>
      <c r="D17" s="334"/>
      <c r="E17" s="334"/>
      <c r="F17" s="334"/>
      <c r="G17" s="334"/>
      <c r="H17" s="334"/>
      <c r="I17" s="334"/>
      <c r="J17" s="335"/>
      <c r="M17" s="302"/>
    </row>
    <row r="18" spans="1:13" s="299" customFormat="1" ht="49.9" customHeight="1">
      <c r="A18" s="264" t="s">
        <v>119</v>
      </c>
      <c r="B18" s="265" t="s">
        <v>97</v>
      </c>
      <c r="C18" s="310">
        <f>'PL(2_2)'!M16</f>
        <v>840</v>
      </c>
      <c r="D18" s="304" t="s">
        <v>102</v>
      </c>
      <c r="E18" s="305"/>
      <c r="F18" s="305"/>
      <c r="G18" s="305"/>
      <c r="H18" s="305"/>
      <c r="I18" s="305"/>
      <c r="J18" s="306"/>
    </row>
    <row r="19" spans="1:13" s="299" customFormat="1" ht="57.4" customHeight="1">
      <c r="A19" s="264" t="s">
        <v>120</v>
      </c>
      <c r="B19" s="265" t="s">
        <v>97</v>
      </c>
      <c r="C19" s="310">
        <f>'PL(2_2)'!N16</f>
        <v>1140</v>
      </c>
      <c r="D19" s="304" t="s">
        <v>102</v>
      </c>
      <c r="E19" s="305"/>
      <c r="F19" s="307"/>
      <c r="G19" s="305"/>
      <c r="H19" s="305"/>
      <c r="I19" s="305"/>
      <c r="J19" s="308"/>
    </row>
    <row r="20" spans="1:13" s="299" customFormat="1" ht="53.65" customHeight="1">
      <c r="A20" s="264" t="s">
        <v>122</v>
      </c>
      <c r="B20" s="300" t="s">
        <v>97</v>
      </c>
      <c r="C20" s="303">
        <f>'PL(2_2)'!I16</f>
        <v>620</v>
      </c>
      <c r="D20" s="309" t="s">
        <v>103</v>
      </c>
      <c r="E20" s="303">
        <f>'PL(2_2)'!J16</f>
        <v>100</v>
      </c>
      <c r="F20" s="309" t="s">
        <v>104</v>
      </c>
      <c r="G20" s="303">
        <f>'PL(2_2)'!K16</f>
        <v>100</v>
      </c>
      <c r="H20" s="309" t="s">
        <v>105</v>
      </c>
      <c r="I20" s="310">
        <f>'PL(2_2)'!L16</f>
        <v>6.14</v>
      </c>
      <c r="J20" s="311" t="s">
        <v>106</v>
      </c>
    </row>
    <row r="21" spans="1:13" s="299" customFormat="1" ht="31.15" customHeight="1">
      <c r="A21" s="264" t="s">
        <v>113</v>
      </c>
      <c r="B21" s="300" t="s">
        <v>97</v>
      </c>
      <c r="C21" s="314" t="str">
        <f>'Packing List (1_2)'!B21</f>
        <v>Busan International Port, Korea</v>
      </c>
      <c r="D21" s="304"/>
      <c r="E21" s="305"/>
      <c r="F21" s="304"/>
      <c r="G21" s="305"/>
      <c r="H21" s="304"/>
      <c r="I21" s="310"/>
      <c r="J21" s="311"/>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183"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R51"/>
  <sheetViews>
    <sheetView view="pageBreakPreview" topLeftCell="A5" zoomScale="40" zoomScaleNormal="100" zoomScaleSheetLayoutView="40" workbookViewId="0">
      <selection activeCell="A6" sqref="A6:H6"/>
    </sheetView>
  </sheetViews>
  <sheetFormatPr defaultColWidth="8.88671875" defaultRowHeight="14.25"/>
  <cols>
    <col min="1" max="1" width="11.34375" style="73" customWidth="1"/>
    <col min="2" max="2" width="28.65234375" style="73" customWidth="1"/>
    <col min="3" max="3" width="39.05859375" style="218" bestFit="1" customWidth="1"/>
    <col min="4" max="4" width="10.7578125" style="246" customWidth="1"/>
    <col min="5" max="5" width="7.25" style="78" customWidth="1"/>
    <col min="6" max="7" width="22.8046875" style="245" customWidth="1"/>
    <col min="8" max="8" width="49.3515625" style="73" customWidth="1"/>
    <col min="9" max="10" width="8.88671875" style="218"/>
    <col min="11" max="16384" width="8.88671875" style="73"/>
  </cols>
  <sheetData>
    <row r="1" spans="1:10" s="213" customFormat="1">
      <c r="C1" s="214"/>
      <c r="D1" s="215"/>
      <c r="E1" s="216"/>
      <c r="G1" s="73"/>
      <c r="H1" s="149"/>
      <c r="I1" s="214"/>
      <c r="J1" s="214"/>
    </row>
    <row r="2" spans="1:10" s="213" customFormat="1">
      <c r="C2" s="214"/>
      <c r="D2" s="215"/>
      <c r="E2" s="216"/>
      <c r="G2" s="73"/>
      <c r="H2" s="149"/>
      <c r="I2" s="214"/>
      <c r="J2" s="214"/>
    </row>
    <row r="3" spans="1:10" s="213" customFormat="1">
      <c r="C3" s="214"/>
      <c r="D3" s="215"/>
      <c r="E3" s="216"/>
      <c r="G3" s="73"/>
      <c r="H3" s="149"/>
      <c r="I3" s="214"/>
      <c r="J3" s="214"/>
    </row>
    <row r="4" spans="1:10" s="213" customFormat="1">
      <c r="C4" s="214"/>
      <c r="D4" s="215"/>
      <c r="E4" s="216"/>
      <c r="G4" s="73"/>
      <c r="H4" s="149"/>
      <c r="I4" s="214"/>
      <c r="J4" s="214"/>
    </row>
    <row r="5" spans="1:10" s="213" customFormat="1">
      <c r="C5" s="214"/>
      <c r="D5" s="215"/>
      <c r="E5" s="216"/>
      <c r="G5" s="217"/>
      <c r="H5" s="149"/>
      <c r="I5" s="214"/>
      <c r="J5" s="214"/>
    </row>
    <row r="6" spans="1:10" ht="35.25" customHeight="1">
      <c r="A6" s="480" t="s">
        <v>180</v>
      </c>
      <c r="B6" s="480"/>
      <c r="C6" s="480"/>
      <c r="D6" s="480"/>
      <c r="E6" s="480"/>
      <c r="F6" s="480"/>
      <c r="G6" s="480"/>
      <c r="H6" s="480"/>
    </row>
    <row r="7" spans="1:10" s="139" customFormat="1" ht="20.25" customHeight="1" thickBot="1">
      <c r="A7" s="219" t="s">
        <v>181</v>
      </c>
      <c r="B7" s="316" t="str">
        <f>'Commercial Invoice'!H5</f>
        <v>OM4-DE-IS-0011</v>
      </c>
      <c r="C7" s="317"/>
      <c r="D7" s="318"/>
      <c r="E7" s="319"/>
      <c r="F7" s="221"/>
      <c r="G7" s="221"/>
      <c r="I7" s="220"/>
      <c r="J7" s="220"/>
    </row>
    <row r="8" spans="1:10" s="223" customFormat="1" ht="21.95" customHeight="1">
      <c r="A8" s="510" t="s">
        <v>182</v>
      </c>
      <c r="B8" s="512" t="s">
        <v>183</v>
      </c>
      <c r="C8" s="512" t="s">
        <v>184</v>
      </c>
      <c r="D8" s="514" t="s">
        <v>185</v>
      </c>
      <c r="E8" s="515"/>
      <c r="F8" s="516" t="s">
        <v>186</v>
      </c>
      <c r="G8" s="517"/>
      <c r="H8" s="518" t="s">
        <v>187</v>
      </c>
      <c r="I8" s="222"/>
      <c r="J8" s="222"/>
    </row>
    <row r="9" spans="1:10" s="223" customFormat="1" ht="21.95" customHeight="1">
      <c r="A9" s="511"/>
      <c r="B9" s="513"/>
      <c r="C9" s="513"/>
      <c r="D9" s="320" t="s">
        <v>188</v>
      </c>
      <c r="E9" s="321" t="s">
        <v>189</v>
      </c>
      <c r="F9" s="224" t="s">
        <v>190</v>
      </c>
      <c r="G9" s="224" t="s">
        <v>191</v>
      </c>
      <c r="H9" s="519"/>
      <c r="I9" s="222"/>
      <c r="J9" s="222"/>
    </row>
    <row r="10" spans="1:10" s="230" customFormat="1" ht="208.15" customHeight="1">
      <c r="A10" s="225">
        <v>1</v>
      </c>
      <c r="B10" s="322" t="str">
        <f>'PL(2_2)'!C15</f>
        <v>OM4-DE-IS-0011-001</v>
      </c>
      <c r="C10" s="323" t="str">
        <f>'PL(2_2)'!D15</f>
        <v>Conduit Fittings</v>
      </c>
      <c r="D10" s="324">
        <f>'PL(2_2)'!F15</f>
        <v>720</v>
      </c>
      <c r="E10" s="325" t="str">
        <f>'PL(2_2)'!G15</f>
        <v>EA</v>
      </c>
      <c r="F10" s="226"/>
      <c r="G10" s="226"/>
      <c r="H10" s="227"/>
      <c r="I10" s="228"/>
      <c r="J10" s="229"/>
    </row>
    <row r="11" spans="1:10" ht="208.15" customHeight="1" thickBot="1">
      <c r="A11" s="225">
        <v>2</v>
      </c>
      <c r="B11" s="322" t="str">
        <f>'PL(2_2)'!C16</f>
        <v>OM4-DE-IS-0011-002</v>
      </c>
      <c r="C11" s="323" t="str">
        <f>'PL(2_2)'!D16</f>
        <v>Flexible Conduit</v>
      </c>
      <c r="D11" s="324">
        <f>'PL(2_2)'!F16</f>
        <v>120</v>
      </c>
      <c r="E11" s="325" t="str">
        <f>'PL(2_2)'!G16</f>
        <v>EA</v>
      </c>
      <c r="F11" s="231"/>
      <c r="G11" s="231"/>
      <c r="H11" s="227"/>
    </row>
    <row r="12" spans="1:10" s="232" customFormat="1" ht="29.25" customHeight="1">
      <c r="D12" s="233"/>
      <c r="E12" s="234"/>
      <c r="F12" s="235"/>
      <c r="G12" s="236"/>
      <c r="H12" s="237"/>
      <c r="I12" s="238"/>
      <c r="J12" s="238"/>
    </row>
    <row r="13" spans="1:10" s="213" customFormat="1" ht="12" customHeight="1">
      <c r="B13" s="216"/>
      <c r="D13" s="239"/>
      <c r="E13" s="216"/>
      <c r="F13" s="240"/>
      <c r="G13" s="240"/>
      <c r="H13" s="241"/>
      <c r="I13" s="214"/>
      <c r="J13" s="214"/>
    </row>
    <row r="14" spans="1:10" s="213" customFormat="1" ht="18" customHeight="1">
      <c r="B14" s="216"/>
      <c r="D14" s="239"/>
      <c r="E14" s="216"/>
      <c r="F14" s="240"/>
      <c r="G14" s="240"/>
      <c r="H14" s="241"/>
      <c r="I14" s="214"/>
      <c r="J14" s="214"/>
    </row>
    <row r="15" spans="1:10" s="213" customFormat="1" ht="12" customHeight="1">
      <c r="B15" s="216"/>
      <c r="D15" s="239"/>
      <c r="E15" s="216"/>
      <c r="F15" s="240"/>
      <c r="G15" s="240"/>
      <c r="H15" s="241"/>
      <c r="I15" s="214"/>
      <c r="J15" s="214"/>
    </row>
    <row r="16" spans="1:10" s="213" customFormat="1" ht="12" customHeight="1">
      <c r="B16" s="216"/>
      <c r="D16" s="239"/>
      <c r="E16" s="216"/>
      <c r="F16" s="240"/>
      <c r="G16" s="240"/>
      <c r="H16" s="241"/>
      <c r="I16" s="214"/>
      <c r="J16" s="214"/>
    </row>
    <row r="17" spans="2:10" s="213" customFormat="1" ht="12" customHeight="1">
      <c r="B17" s="216"/>
      <c r="D17" s="239"/>
      <c r="E17" s="216"/>
      <c r="F17" s="240"/>
      <c r="G17" s="240"/>
      <c r="H17" s="241"/>
      <c r="I17" s="214"/>
      <c r="J17" s="214"/>
    </row>
    <row r="18" spans="2:10" s="213" customFormat="1" ht="12" customHeight="1">
      <c r="B18" s="216"/>
      <c r="D18" s="239"/>
      <c r="E18" s="216"/>
      <c r="F18" s="240"/>
      <c r="G18" s="240"/>
      <c r="H18" s="241"/>
      <c r="I18" s="214"/>
      <c r="J18" s="214"/>
    </row>
    <row r="19" spans="2:10" s="213" customFormat="1" ht="12" customHeight="1">
      <c r="B19" s="216"/>
      <c r="D19" s="239"/>
      <c r="E19" s="216"/>
      <c r="F19" s="240"/>
      <c r="G19" s="240"/>
      <c r="H19" s="241"/>
      <c r="I19" s="214"/>
      <c r="J19" s="214"/>
    </row>
    <row r="20" spans="2:10" s="213" customFormat="1" ht="13.5" customHeight="1">
      <c r="B20" s="216"/>
      <c r="D20" s="239"/>
      <c r="E20" s="216"/>
      <c r="F20" s="240"/>
      <c r="G20" s="240"/>
      <c r="H20" s="241"/>
      <c r="I20" s="214"/>
      <c r="J20" s="214"/>
    </row>
    <row r="21" spans="2:10" s="213" customFormat="1" ht="13.5" customHeight="1">
      <c r="B21" s="216"/>
      <c r="D21" s="239"/>
      <c r="E21" s="216"/>
      <c r="F21" s="240"/>
      <c r="G21" s="240"/>
      <c r="H21" s="241"/>
      <c r="I21" s="214"/>
      <c r="J21" s="214"/>
    </row>
    <row r="22" spans="2:10" s="213" customFormat="1" ht="13.5" customHeight="1">
      <c r="B22" s="216"/>
      <c r="D22" s="239"/>
      <c r="E22" s="216"/>
      <c r="F22" s="240"/>
      <c r="G22" s="240"/>
      <c r="H22" s="241"/>
      <c r="I22" s="214"/>
      <c r="J22" s="214"/>
    </row>
    <row r="23" spans="2:10" s="213" customFormat="1" ht="29.25" customHeight="1">
      <c r="B23" s="216"/>
      <c r="D23" s="239"/>
      <c r="E23" s="216"/>
      <c r="F23" s="240"/>
      <c r="G23" s="240"/>
      <c r="H23" s="241"/>
      <c r="I23" s="214"/>
      <c r="J23" s="214"/>
    </row>
    <row r="24" spans="2:10" s="213" customFormat="1" ht="13.5" customHeight="1">
      <c r="B24" s="216"/>
      <c r="D24" s="239"/>
      <c r="E24" s="216"/>
      <c r="F24" s="240"/>
      <c r="G24" s="240"/>
      <c r="H24" s="241"/>
      <c r="I24" s="214"/>
      <c r="J24" s="214"/>
    </row>
    <row r="25" spans="2:10" s="213" customFormat="1" ht="13.5" customHeight="1">
      <c r="B25" s="216"/>
      <c r="D25" s="239"/>
      <c r="E25" s="216"/>
      <c r="F25" s="240"/>
      <c r="G25" s="240"/>
      <c r="H25" s="241"/>
      <c r="I25" s="214"/>
      <c r="J25" s="214"/>
    </row>
    <row r="26" spans="2:10" s="213" customFormat="1" ht="13.5" customHeight="1">
      <c r="B26" s="216"/>
      <c r="D26" s="239"/>
      <c r="E26" s="216"/>
      <c r="F26" s="240"/>
      <c r="G26" s="240"/>
      <c r="H26" s="241"/>
      <c r="I26" s="214"/>
      <c r="J26" s="214"/>
    </row>
    <row r="27" spans="2:10" s="213" customFormat="1" ht="13.5" customHeight="1">
      <c r="B27" s="216"/>
      <c r="D27" s="239"/>
      <c r="E27" s="216"/>
      <c r="F27" s="240"/>
      <c r="G27" s="240"/>
      <c r="H27" s="241"/>
      <c r="I27" s="214"/>
      <c r="J27" s="214"/>
    </row>
    <row r="28" spans="2:10" s="213" customFormat="1" ht="13.5" customHeight="1">
      <c r="B28" s="216"/>
      <c r="D28" s="239"/>
      <c r="E28" s="216"/>
      <c r="F28" s="240"/>
      <c r="G28" s="240"/>
      <c r="H28" s="241"/>
      <c r="I28" s="214"/>
      <c r="J28" s="214"/>
    </row>
    <row r="29" spans="2:10" s="213" customFormat="1" ht="13.5" customHeight="1">
      <c r="B29" s="216"/>
      <c r="D29" s="239"/>
      <c r="E29" s="216"/>
      <c r="F29" s="240"/>
      <c r="G29" s="240"/>
      <c r="H29" s="241"/>
      <c r="I29" s="214"/>
      <c r="J29" s="214"/>
    </row>
    <row r="30" spans="2:10" s="213" customFormat="1" ht="13.5" customHeight="1">
      <c r="B30" s="216"/>
      <c r="D30" s="239"/>
      <c r="E30" s="216"/>
      <c r="F30" s="240"/>
      <c r="G30" s="240"/>
      <c r="H30" s="241"/>
      <c r="I30" s="214"/>
      <c r="J30" s="214"/>
    </row>
    <row r="31" spans="2:10" s="213" customFormat="1" ht="13.5" customHeight="1">
      <c r="B31" s="216"/>
      <c r="D31" s="239"/>
      <c r="E31" s="216"/>
      <c r="F31" s="240"/>
      <c r="G31" s="240"/>
      <c r="H31" s="241"/>
      <c r="I31" s="214"/>
      <c r="J31" s="214"/>
    </row>
    <row r="32" spans="2:10" s="213" customFormat="1" ht="13.5" customHeight="1">
      <c r="B32" s="216"/>
      <c r="D32" s="239"/>
      <c r="E32" s="216"/>
      <c r="F32" s="240"/>
      <c r="G32" s="240"/>
      <c r="H32" s="241"/>
      <c r="I32" s="214"/>
      <c r="J32" s="214"/>
    </row>
    <row r="33" spans="1:18" s="213" customFormat="1" ht="13.5" customHeight="1">
      <c r="B33" s="216"/>
      <c r="D33" s="239"/>
      <c r="E33" s="216"/>
      <c r="F33" s="240"/>
      <c r="G33" s="240"/>
      <c r="H33" s="241"/>
      <c r="I33" s="214"/>
      <c r="J33" s="214"/>
    </row>
    <row r="34" spans="1:18" s="213" customFormat="1" ht="13.5" customHeight="1">
      <c r="B34" s="216"/>
      <c r="D34" s="239"/>
      <c r="E34" s="216"/>
      <c r="F34" s="240"/>
      <c r="G34" s="240"/>
      <c r="H34" s="241"/>
      <c r="I34" s="214"/>
      <c r="J34" s="214"/>
    </row>
    <row r="35" spans="1:18" s="213" customFormat="1" ht="13.5" customHeight="1">
      <c r="B35" s="216"/>
      <c r="D35" s="239"/>
      <c r="E35" s="216"/>
      <c r="F35" s="240"/>
      <c r="G35" s="240"/>
      <c r="H35" s="241"/>
      <c r="I35" s="214"/>
      <c r="J35" s="214"/>
    </row>
    <row r="36" spans="1:18" s="213" customFormat="1" ht="13.5" customHeight="1">
      <c r="B36" s="216"/>
      <c r="D36" s="239"/>
      <c r="E36" s="216"/>
      <c r="F36" s="240"/>
      <c r="G36" s="240"/>
      <c r="H36" s="241"/>
      <c r="I36" s="214"/>
      <c r="J36" s="214"/>
    </row>
    <row r="37" spans="1:18" s="213" customFormat="1" ht="13.5" customHeight="1">
      <c r="B37" s="216"/>
      <c r="D37" s="239"/>
      <c r="E37" s="216"/>
      <c r="F37" s="240"/>
      <c r="G37" s="240"/>
      <c r="H37" s="241"/>
      <c r="I37" s="214"/>
      <c r="J37" s="214"/>
    </row>
    <row r="38" spans="1:18" s="213" customFormat="1" ht="13.5" customHeight="1">
      <c r="B38" s="216"/>
      <c r="D38" s="239"/>
      <c r="E38" s="216"/>
      <c r="F38" s="240"/>
      <c r="G38" s="240"/>
      <c r="H38" s="241"/>
      <c r="I38" s="214"/>
      <c r="J38" s="214"/>
    </row>
    <row r="39" spans="1:18" s="213" customFormat="1" ht="13.5" customHeight="1">
      <c r="B39" s="216"/>
      <c r="D39" s="239"/>
      <c r="E39" s="216"/>
      <c r="F39" s="240"/>
      <c r="G39" s="240"/>
      <c r="H39" s="241"/>
      <c r="I39" s="214"/>
      <c r="J39" s="214"/>
    </row>
    <row r="40" spans="1:18" s="213" customFormat="1" ht="13.5" customHeight="1">
      <c r="B40" s="216"/>
      <c r="D40" s="239"/>
      <c r="E40" s="216"/>
      <c r="F40" s="240"/>
      <c r="G40" s="240"/>
      <c r="H40" s="241"/>
      <c r="I40" s="214"/>
      <c r="J40" s="214"/>
    </row>
    <row r="41" spans="1:18" s="213" customFormat="1" ht="13.5" customHeight="1">
      <c r="B41" s="216"/>
      <c r="D41" s="239"/>
      <c r="E41" s="216"/>
      <c r="F41" s="240"/>
      <c r="G41" s="240"/>
      <c r="H41" s="241"/>
      <c r="I41" s="214"/>
      <c r="J41" s="214"/>
    </row>
    <row r="42" spans="1:18" s="213" customFormat="1" ht="13.5" customHeight="1">
      <c r="B42" s="216"/>
      <c r="D42" s="239"/>
      <c r="E42" s="216"/>
      <c r="F42" s="240"/>
      <c r="G42" s="240"/>
      <c r="H42" s="241"/>
      <c r="I42" s="214"/>
      <c r="J42" s="214"/>
    </row>
    <row r="43" spans="1:18" s="213" customFormat="1" ht="13.5" customHeight="1">
      <c r="B43" s="216"/>
      <c r="D43" s="239"/>
      <c r="E43" s="216"/>
      <c r="F43" s="240"/>
      <c r="G43" s="240"/>
      <c r="H43" s="241"/>
      <c r="I43" s="214"/>
      <c r="J43" s="214"/>
    </row>
    <row r="44" spans="1:18" s="213" customFormat="1" ht="13.5" customHeight="1">
      <c r="B44" s="216"/>
      <c r="D44" s="242"/>
      <c r="E44" s="216"/>
      <c r="F44" s="240"/>
      <c r="G44" s="240"/>
      <c r="H44" s="241"/>
      <c r="I44" s="214"/>
      <c r="J44" s="214"/>
    </row>
    <row r="45" spans="1:18" s="213" customFormat="1" ht="22.5" customHeight="1">
      <c r="B45" s="509"/>
      <c r="C45" s="509"/>
      <c r="D45" s="242"/>
      <c r="E45" s="216"/>
      <c r="F45" s="243"/>
      <c r="G45" s="243"/>
      <c r="H45" s="241"/>
      <c r="I45" s="214"/>
      <c r="J45" s="214"/>
    </row>
    <row r="46" spans="1:18">
      <c r="D46" s="244"/>
    </row>
    <row r="47" spans="1:18">
      <c r="D47" s="244"/>
    </row>
    <row r="48" spans="1:18" s="218" customFormat="1">
      <c r="A48" s="73"/>
      <c r="B48" s="73"/>
      <c r="D48" s="244"/>
      <c r="E48" s="78"/>
      <c r="F48" s="245"/>
      <c r="G48" s="245"/>
      <c r="H48" s="73"/>
      <c r="K48" s="73"/>
      <c r="L48" s="73"/>
      <c r="M48" s="73"/>
      <c r="N48" s="73"/>
      <c r="O48" s="73"/>
      <c r="P48" s="73"/>
      <c r="Q48" s="73"/>
      <c r="R48" s="73"/>
    </row>
    <row r="49" spans="1:18" s="218" customFormat="1">
      <c r="A49" s="73"/>
      <c r="B49" s="73"/>
      <c r="D49" s="244"/>
      <c r="E49" s="78"/>
      <c r="F49" s="245"/>
      <c r="G49" s="245"/>
      <c r="H49" s="73"/>
      <c r="K49" s="73"/>
      <c r="L49" s="73"/>
      <c r="M49" s="73"/>
      <c r="N49" s="73"/>
      <c r="O49" s="73"/>
      <c r="P49" s="73"/>
      <c r="Q49" s="73"/>
      <c r="R49" s="73"/>
    </row>
    <row r="50" spans="1:18" s="218" customFormat="1">
      <c r="A50" s="73"/>
      <c r="B50" s="73"/>
      <c r="D50" s="244"/>
      <c r="E50" s="78"/>
      <c r="F50" s="245"/>
      <c r="G50" s="245"/>
      <c r="H50" s="73"/>
      <c r="K50" s="73"/>
      <c r="L50" s="73"/>
      <c r="M50" s="73"/>
      <c r="N50" s="73"/>
      <c r="O50" s="73"/>
      <c r="P50" s="73"/>
      <c r="Q50" s="73"/>
      <c r="R50" s="73"/>
    </row>
    <row r="51" spans="1:18" s="218" customFormat="1">
      <c r="A51" s="73"/>
      <c r="B51" s="73"/>
      <c r="D51" s="244"/>
      <c r="E51" s="78"/>
      <c r="F51" s="245"/>
      <c r="G51" s="245"/>
      <c r="H51" s="73"/>
      <c r="K51" s="73"/>
      <c r="L51" s="73"/>
      <c r="M51" s="73"/>
      <c r="N51" s="73"/>
      <c r="O51" s="73"/>
      <c r="P51" s="73"/>
      <c r="Q51" s="73"/>
      <c r="R51" s="73"/>
    </row>
  </sheetData>
  <protectedRanges>
    <protectedRange sqref="F12 C10:H11" name="범위1_1"/>
  </protectedRanges>
  <autoFilter ref="A8:H11" xr:uid="{00000000-0009-0000-0000-000012000000}"/>
  <mergeCells count="8">
    <mergeCell ref="B45:C45"/>
    <mergeCell ref="A6:H6"/>
    <mergeCell ref="A8:A9"/>
    <mergeCell ref="B8:B9"/>
    <mergeCell ref="C8:C9"/>
    <mergeCell ref="D8:E8"/>
    <mergeCell ref="F8:G8"/>
    <mergeCell ref="H8:H9"/>
  </mergeCells>
  <phoneticPr fontId="34"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
  <sheetViews>
    <sheetView workbookViewId="0">
      <selection activeCell="K32" sqref="K32"/>
    </sheetView>
  </sheetViews>
  <sheetFormatPr defaultRowHeight="13.5"/>
  <sheetData/>
  <phoneticPr fontId="3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1"/>
  <sheetViews>
    <sheetView workbookViewId="0">
      <selection activeCell="K19" sqref="K19"/>
    </sheetView>
  </sheetViews>
  <sheetFormatPr defaultRowHeight="13.5"/>
  <sheetData/>
  <phoneticPr fontId="34"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sheetPr>
  <dimension ref="I3"/>
  <sheetViews>
    <sheetView workbookViewId="0">
      <selection activeCell="I17" sqref="I17"/>
    </sheetView>
  </sheetViews>
  <sheetFormatPr defaultRowHeight="13.5"/>
  <cols>
    <col min="9" max="9" width="80.80859375" customWidth="1"/>
  </cols>
  <sheetData>
    <row r="3" spans="9:9" ht="57">
      <c r="I3" s="178" t="s">
        <v>112</v>
      </c>
    </row>
  </sheetData>
  <phoneticPr fontId="34"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
  <sheetViews>
    <sheetView workbookViewId="0">
      <selection activeCell="L15" sqref="L15"/>
    </sheetView>
  </sheetViews>
  <sheetFormatPr defaultRowHeight="13.5"/>
  <sheetData>
    <row r="2" ht="24" customHeight="1"/>
  </sheetData>
  <phoneticPr fontId="34" type="noConversion"/>
  <pageMargins left="0.7" right="0.7" top="0.75" bottom="0.75" header="0.3" footer="0.3"/>
  <drawing r:id="rId1"/>
</worksheet>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12</vt:i4>
      </vt:variant>
      <vt:variant>
        <vt:lpstr>Phạm vi Có tên</vt:lpstr>
      </vt:variant>
      <vt:variant>
        <vt:i4>13</vt:i4>
      </vt:variant>
    </vt:vector>
  </HeadingPairs>
  <TitlesOfParts>
    <vt:vector size="25" baseType="lpstr">
      <vt:lpstr>Detailed PL</vt:lpstr>
      <vt:lpstr>Commercial Invoice</vt:lpstr>
      <vt:lpstr>Break Down CI</vt:lpstr>
      <vt:lpstr>Packing List (1_2)</vt:lpstr>
      <vt:lpstr>PL(2_2)</vt:lpstr>
      <vt:lpstr>SHIPPING MARK (1)</vt:lpstr>
      <vt:lpstr>SHIPPING MARK (2)</vt:lpstr>
      <vt:lpstr>Technical Description</vt:lpstr>
      <vt:lpstr>CO</vt:lpstr>
      <vt:lpstr>CQ</vt:lpstr>
      <vt:lpstr>BL</vt:lpstr>
      <vt:lpstr>PSIC</vt:lpstr>
      <vt:lpstr>PSIC!_Hlk215568700</vt:lpstr>
      <vt:lpstr>Break Down CI!Print_Titles</vt:lpstr>
      <vt:lpstr>Detailed PL!Print_Titles</vt:lpstr>
      <vt:lpstr>PL(2_2)!Print_Titles</vt:lpstr>
      <vt:lpstr>Technical Description!Print_Titles</vt:lpstr>
      <vt:lpstr>Break Down CI!Vùng_In</vt:lpstr>
      <vt:lpstr>Commercial Invoice!Vùng_In</vt:lpstr>
      <vt:lpstr>Detailed PL!Vùng_In</vt:lpstr>
      <vt:lpstr>Packing List (1_2)!Vùng_In</vt:lpstr>
      <vt:lpstr>PL(2_2)!Vùng_In</vt:lpstr>
      <vt:lpstr>SHIPPING MARK (1)!Vùng_In</vt:lpstr>
      <vt:lpstr>SHIPPING MARK (2)!Vùng_In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차수민(Soomin Cha) 선임 두산에너빌리티</cp:lastModifiedBy>
  <cp:lastPrinted>2026-05-26T01:53:22Z</cp:lastPrinted>
  <dcterms:created xsi:type="dcterms:W3CDTF">2025-07-09T09:39:20Z</dcterms:created>
  <dcterms:modified xsi:type="dcterms:W3CDTF">2026-07-02T04:13:04Z</dcterms:modified>
</cp:coreProperties>
</file>