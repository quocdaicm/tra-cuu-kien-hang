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Documents\Downloads\OM4-DE-IS-0003, 0008\"/>
    </mc:Choice>
  </mc:AlternateContent>
  <xr:revisionPtr revIDLastSave="0" documentId="13_ncr:1_{F57F6231-3C27-488B-B569-5B057246C190}" xr6:coauthVersionLast="47" xr6:coauthVersionMax="47" xr10:uidLastSave="{00000000-0000-0000-0000-000000000000}"/>
  <bookViews>
    <workbookView xWindow="-690" yWindow="-20520" windowWidth="37860" windowHeight="17910" tabRatio="667" xr2:uid="{00000000-000D-0000-FFFF-FFFF00000000}"/>
  </bookViews>
  <sheets>
    <sheet name="Detailed PL" sheetId="5" r:id="rId1"/>
    <sheet name="Commercial Invoice" sheetId="1" r:id="rId2"/>
    <sheet name="Break Down CI" sheetId="2" r:id="rId3"/>
    <sheet name="Packing List (1_2)" sheetId="3" r:id="rId4"/>
    <sheet name="PL(2_2)" sheetId="4" r:id="rId5"/>
    <sheet name="SHIPPING MARK (001)" sheetId="12" r:id="rId6"/>
    <sheet name="SHIPPING MARK (002)" sheetId="14" r:id="rId7"/>
    <sheet name="SHIPPING MARK (003)" sheetId="15" r:id="rId8"/>
    <sheet name="Technical Description" sheetId="13" r:id="rId9"/>
    <sheet name="CO" sheetId="6" r:id="rId10"/>
    <sheet name="CQ" sheetId="10" r:id="rId11"/>
    <sheet name="BL" sheetId="7" r:id="rId12"/>
    <sheet name="PSIC" sheetId="11" r:id="rId13"/>
  </sheets>
  <externalReferences>
    <externalReference r:id="rId14"/>
    <externalReference r:id="rId15"/>
    <externalReference r:id="rId16"/>
    <externalReference r:id="rId17"/>
    <externalReference r:id="rId18"/>
    <externalReference r:id="rId19"/>
  </externalReferences>
  <definedNames>
    <definedName name="__123Graph_A" localSheetId="2" hidden="1">'[1]Eq. Mobilization'!#REF!</definedName>
    <definedName name="__123Graph_A" localSheetId="1" hidden="1">'[1]Eq. Mobilization'!#REF!</definedName>
    <definedName name="__123Graph_A" localSheetId="0" hidden="1">'[1]Eq. Mobilization'!#REF!</definedName>
    <definedName name="__123Graph_A" localSheetId="3" hidden="1">'[1]Eq. Mobilization'!#REF!</definedName>
    <definedName name="__123Graph_A" localSheetId="5" hidden="1">'[1]Eq. Mobilization'!#REF!</definedName>
    <definedName name="__123Graph_A" localSheetId="6" hidden="1">'[1]Eq. Mobilization'!#REF!</definedName>
    <definedName name="__123Graph_A" localSheetId="7" hidden="1">'[1]Eq. Mobilization'!#REF!</definedName>
    <definedName name="__123Graph_A" localSheetId="8" hidden="1">#REF!</definedName>
    <definedName name="__123Graph_A" hidden="1">'[1]Eq. Mobilization'!#REF!</definedName>
    <definedName name="__123Graph_ACurrent" localSheetId="2" hidden="1">'[1]Eq. Mobilization'!#REF!</definedName>
    <definedName name="__123Graph_ACurrent" localSheetId="1" hidden="1">'[1]Eq. Mobilization'!#REF!</definedName>
    <definedName name="__123Graph_ACurrent" localSheetId="0" hidden="1">'[1]Eq. Mobilization'!#REF!</definedName>
    <definedName name="__123Graph_ACurrent" localSheetId="3" hidden="1">'[1]Eq. Mobilization'!#REF!</definedName>
    <definedName name="__123Graph_ACurrent" localSheetId="5" hidden="1">'[1]Eq. Mobilization'!#REF!</definedName>
    <definedName name="__123Graph_ACurrent" localSheetId="6" hidden="1">'[1]Eq. Mobilization'!#REF!</definedName>
    <definedName name="__123Graph_ACurrent" localSheetId="7" hidden="1">'[1]Eq. Mobilization'!#REF!</definedName>
    <definedName name="__123Graph_ACurrent" localSheetId="8" hidden="1">#REF!</definedName>
    <definedName name="__123Graph_ACurrent" hidden="1">'[1]Eq. Mobilization'!#REF!</definedName>
    <definedName name="__123Graph_B" localSheetId="2" hidden="1">'[1]Eq. Mobilization'!#REF!</definedName>
    <definedName name="__123Graph_B" localSheetId="1" hidden="1">'[1]Eq. Mobilization'!#REF!</definedName>
    <definedName name="__123Graph_B" localSheetId="0" hidden="1">'[1]Eq. Mobilization'!#REF!</definedName>
    <definedName name="__123Graph_B" localSheetId="3" hidden="1">'[1]Eq. Mobilization'!#REF!</definedName>
    <definedName name="__123Graph_B" localSheetId="5" hidden="1">'[1]Eq. Mobilization'!#REF!</definedName>
    <definedName name="__123Graph_B" localSheetId="6" hidden="1">'[1]Eq. Mobilization'!#REF!</definedName>
    <definedName name="__123Graph_B" localSheetId="7" hidden="1">'[1]Eq. Mobilization'!#REF!</definedName>
    <definedName name="__123Graph_B" localSheetId="8" hidden="1">#REF!</definedName>
    <definedName name="__123Graph_B" hidden="1">'[1]Eq. Mobilization'!#REF!</definedName>
    <definedName name="__123Graph_BCurrent" localSheetId="2" hidden="1">'[1]Eq. Mobilization'!#REF!</definedName>
    <definedName name="__123Graph_BCurrent" localSheetId="1" hidden="1">'[1]Eq. Mobilization'!#REF!</definedName>
    <definedName name="__123Graph_BCurrent" localSheetId="0" hidden="1">'[1]Eq. Mobilization'!#REF!</definedName>
    <definedName name="__123Graph_BCurrent" localSheetId="3" hidden="1">'[1]Eq. Mobilization'!#REF!</definedName>
    <definedName name="__123Graph_BCurrent" localSheetId="5" hidden="1">'[1]Eq. Mobilization'!#REF!</definedName>
    <definedName name="__123Graph_BCurrent" localSheetId="6" hidden="1">'[1]Eq. Mobilization'!#REF!</definedName>
    <definedName name="__123Graph_BCurrent" localSheetId="7" hidden="1">'[1]Eq. Mobilization'!#REF!</definedName>
    <definedName name="__123Graph_BCurrent" localSheetId="8" hidden="1">#REF!</definedName>
    <definedName name="__123Graph_BCurrent" hidden="1">'[1]Eq. Mobilization'!#REF!</definedName>
    <definedName name="__123Graph_D" localSheetId="2" hidden="1">#REF!</definedName>
    <definedName name="__123Graph_D" localSheetId="1" hidden="1">#REF!</definedName>
    <definedName name="__123Graph_D" localSheetId="0" hidden="1">#REF!</definedName>
    <definedName name="__123Graph_D" localSheetId="3" hidden="1">#REF!</definedName>
    <definedName name="__123Graph_D" localSheetId="5" hidden="1">#REF!</definedName>
    <definedName name="__123Graph_D" localSheetId="6" hidden="1">#REF!</definedName>
    <definedName name="__123Graph_D" localSheetId="7" hidden="1">#REF!</definedName>
    <definedName name="__123Graph_D" hidden="1">#REF!</definedName>
    <definedName name="__123Graph_E" localSheetId="2" hidden="1">#REF!</definedName>
    <definedName name="__123Graph_E" localSheetId="1" hidden="1">#REF!</definedName>
    <definedName name="__123Graph_E" localSheetId="3" hidden="1">#REF!</definedName>
    <definedName name="__123Graph_E" localSheetId="5" hidden="1">#REF!</definedName>
    <definedName name="__123Graph_E" localSheetId="6" hidden="1">#REF!</definedName>
    <definedName name="__123Graph_E" localSheetId="7" hidden="1">#REF!</definedName>
    <definedName name="__123Graph_E" hidden="1">#REF!</definedName>
    <definedName name="__123Graph_LBL_A" localSheetId="2" hidden="1">'[1]Eq. Mobilization'!#REF!</definedName>
    <definedName name="__123Graph_LBL_A" localSheetId="1" hidden="1">'[1]Eq. Mobilization'!#REF!</definedName>
    <definedName name="__123Graph_LBL_A" localSheetId="0" hidden="1">'[1]Eq. Mobilization'!#REF!</definedName>
    <definedName name="__123Graph_LBL_A" localSheetId="3" hidden="1">'[1]Eq. Mobilization'!#REF!</definedName>
    <definedName name="__123Graph_LBL_A" localSheetId="5" hidden="1">'[1]Eq. Mobilization'!#REF!</definedName>
    <definedName name="__123Graph_LBL_A" localSheetId="6" hidden="1">'[1]Eq. Mobilization'!#REF!</definedName>
    <definedName name="__123Graph_LBL_A" localSheetId="7" hidden="1">'[1]Eq. Mobilization'!#REF!</definedName>
    <definedName name="__123Graph_LBL_A" localSheetId="8" hidden="1">#REF!</definedName>
    <definedName name="__123Graph_LBL_A" hidden="1">'[1]Eq. Mobilization'!#REF!</definedName>
    <definedName name="__123Graph_LBL_B" localSheetId="2" hidden="1">'[1]Eq. Mobilization'!#REF!</definedName>
    <definedName name="__123Graph_LBL_B" localSheetId="1" hidden="1">'[1]Eq. Mobilization'!#REF!</definedName>
    <definedName name="__123Graph_LBL_B" localSheetId="0" hidden="1">'[1]Eq. Mobilization'!#REF!</definedName>
    <definedName name="__123Graph_LBL_B" localSheetId="3" hidden="1">'[1]Eq. Mobilization'!#REF!</definedName>
    <definedName name="__123Graph_LBL_B" localSheetId="5" hidden="1">'[1]Eq. Mobilization'!#REF!</definedName>
    <definedName name="__123Graph_LBL_B" localSheetId="6" hidden="1">'[1]Eq. Mobilization'!#REF!</definedName>
    <definedName name="__123Graph_LBL_B" localSheetId="7" hidden="1">'[1]Eq. Mobilization'!#REF!</definedName>
    <definedName name="__123Graph_LBL_B" localSheetId="8" hidden="1">#REF!</definedName>
    <definedName name="__123Graph_LBL_B" hidden="1">'[1]Eq. Mobilization'!#REF!</definedName>
    <definedName name="__123Graph_X" localSheetId="2" hidden="1">'[1]Eq. Mobilization'!#REF!</definedName>
    <definedName name="__123Graph_X" localSheetId="1" hidden="1">'[1]Eq. Mobilization'!#REF!</definedName>
    <definedName name="__123Graph_X" localSheetId="0" hidden="1">'[1]Eq. Mobilization'!#REF!</definedName>
    <definedName name="__123Graph_X" localSheetId="3" hidden="1">'[1]Eq. Mobilization'!#REF!</definedName>
    <definedName name="__123Graph_X" localSheetId="5" hidden="1">'[1]Eq. Mobilization'!#REF!</definedName>
    <definedName name="__123Graph_X" localSheetId="6" hidden="1">'[1]Eq. Mobilization'!#REF!</definedName>
    <definedName name="__123Graph_X" localSheetId="7" hidden="1">'[1]Eq. Mobilization'!#REF!</definedName>
    <definedName name="__123Graph_X" localSheetId="8" hidden="1">#REF!</definedName>
    <definedName name="__123Graph_X" hidden="1">'[1]Eq. Mobilization'!#REF!</definedName>
    <definedName name="__123Graph_XCurrent" localSheetId="2" hidden="1">'[1]Eq. Mobilization'!#REF!</definedName>
    <definedName name="__123Graph_XCurrent" localSheetId="1" hidden="1">'[1]Eq. Mobilization'!#REF!</definedName>
    <definedName name="__123Graph_XCurrent" localSheetId="0" hidden="1">'[1]Eq. Mobilization'!#REF!</definedName>
    <definedName name="__123Graph_XCurrent" localSheetId="3" hidden="1">'[1]Eq. Mobilization'!#REF!</definedName>
    <definedName name="__123Graph_XCurrent" localSheetId="5" hidden="1">'[1]Eq. Mobilization'!#REF!</definedName>
    <definedName name="__123Graph_XCurrent" localSheetId="6" hidden="1">'[1]Eq. Mobilization'!#REF!</definedName>
    <definedName name="__123Graph_XCurrent" localSheetId="7" hidden="1">'[1]Eq. Mobilization'!#REF!</definedName>
    <definedName name="__123Graph_XCurrent" localSheetId="8" hidden="1">#REF!</definedName>
    <definedName name="__123Graph_XCurrent" hidden="1">'[1]Eq. Mobilization'!#REF!</definedName>
    <definedName name="_1__123Graph_AChart_1A" localSheetId="2" hidden="1">'[1]Eq. Mobilization'!#REF!</definedName>
    <definedName name="_1__123Graph_AChart_1A" localSheetId="1" hidden="1">'[1]Eq. Mobilization'!#REF!</definedName>
    <definedName name="_1__123Graph_AChart_1A" localSheetId="0" hidden="1">'[1]Eq. Mobilization'!#REF!</definedName>
    <definedName name="_1__123Graph_AChart_1A" localSheetId="3" hidden="1">'[1]Eq. Mobilization'!#REF!</definedName>
    <definedName name="_1__123Graph_AChart_1A" localSheetId="5" hidden="1">'[1]Eq. Mobilization'!#REF!</definedName>
    <definedName name="_1__123Graph_AChart_1A" localSheetId="6" hidden="1">'[1]Eq. Mobilization'!#REF!</definedName>
    <definedName name="_1__123Graph_AChart_1A" localSheetId="7" hidden="1">'[1]Eq. Mobilization'!#REF!</definedName>
    <definedName name="_1__123Graph_AChart_1A" localSheetId="8" hidden="1">#REF!</definedName>
    <definedName name="_1__123Graph_AChart_1A" hidden="1">'[1]Eq. Mobilization'!#REF!</definedName>
    <definedName name="_2__123Graph_BChart_1A" localSheetId="2" hidden="1">'[1]Eq. Mobilization'!#REF!</definedName>
    <definedName name="_2__123Graph_BChart_1A" localSheetId="1" hidden="1">'[1]Eq. Mobilization'!#REF!</definedName>
    <definedName name="_2__123Graph_BChart_1A" localSheetId="0" hidden="1">'[1]Eq. Mobilization'!#REF!</definedName>
    <definedName name="_2__123Graph_BChart_1A" localSheetId="3" hidden="1">'[1]Eq. Mobilization'!#REF!</definedName>
    <definedName name="_2__123Graph_BChart_1A" localSheetId="5" hidden="1">'[1]Eq. Mobilization'!#REF!</definedName>
    <definedName name="_2__123Graph_BChart_1A" localSheetId="6" hidden="1">'[1]Eq. Mobilization'!#REF!</definedName>
    <definedName name="_2__123Graph_BChart_1A" localSheetId="7" hidden="1">'[1]Eq. Mobilization'!#REF!</definedName>
    <definedName name="_2__123Graph_BChart_1A" localSheetId="8" hidden="1">#REF!</definedName>
    <definedName name="_2__123Graph_BChart_1A" hidden="1">'[1]Eq. Mobilization'!#REF!</definedName>
    <definedName name="_3__123Graph_XChart_1A" localSheetId="2" hidden="1">'[1]Eq. Mobilization'!#REF!</definedName>
    <definedName name="_3__123Graph_XChart_1A" localSheetId="1" hidden="1">'[1]Eq. Mobilization'!#REF!</definedName>
    <definedName name="_3__123Graph_XChart_1A" localSheetId="0" hidden="1">'[1]Eq. Mobilization'!#REF!</definedName>
    <definedName name="_3__123Graph_XChart_1A" localSheetId="3" hidden="1">'[1]Eq. Mobilization'!#REF!</definedName>
    <definedName name="_3__123Graph_XChart_1A" localSheetId="5" hidden="1">'[1]Eq. Mobilization'!#REF!</definedName>
    <definedName name="_3__123Graph_XChart_1A" localSheetId="6" hidden="1">'[1]Eq. Mobilization'!#REF!</definedName>
    <definedName name="_3__123Graph_XChart_1A" localSheetId="7" hidden="1">'[1]Eq. Mobilization'!#REF!</definedName>
    <definedName name="_3__123Graph_XChart_1A" localSheetId="8" hidden="1">#REF!</definedName>
    <definedName name="_3__123Graph_XChart_1A" hidden="1">'[1]Eq. Mobilization'!#REF!</definedName>
    <definedName name="_Fill" localSheetId="2" hidden="1">#REF!</definedName>
    <definedName name="_Fill" localSheetId="1" hidden="1">#REF!</definedName>
    <definedName name="_Fill" localSheetId="0" hidden="1">#REF!</definedName>
    <definedName name="_Fill" localSheetId="3" hidden="1">#REF!</definedName>
    <definedName name="_Fill" localSheetId="5" hidden="1">#REF!</definedName>
    <definedName name="_Fill" localSheetId="6" hidden="1">#REF!</definedName>
    <definedName name="_Fill" localSheetId="7" hidden="1">#REF!</definedName>
    <definedName name="_Fill" hidden="1">#REF!</definedName>
    <definedName name="_xlnm._FilterDatabase" localSheetId="2" hidden="1">'Break Down CI'!$A$8:$P$12</definedName>
    <definedName name="_xlnm._FilterDatabase" localSheetId="0" hidden="1">'Detailed PL'!$B$13:$AH$20</definedName>
    <definedName name="_xlnm._FilterDatabase" localSheetId="5" hidden="1">'SHIPPING MARK (001)'!$A$1:$A$24</definedName>
    <definedName name="_xlnm._FilterDatabase" localSheetId="6" hidden="1">'SHIPPING MARK (002)'!$A$1:$A$24</definedName>
    <definedName name="_xlnm._FilterDatabase" localSheetId="7" hidden="1">'SHIPPING MARK (003)'!$A$1:$A$24</definedName>
    <definedName name="_xlnm._FilterDatabase" localSheetId="8" hidden="1">'Technical Description'!$A$8:$H$12</definedName>
    <definedName name="_Hlk215568700" localSheetId="12">PSIC!$B$2</definedName>
    <definedName name="_Key1" localSheetId="2" hidden="1">#REF!</definedName>
    <definedName name="_Key1" localSheetId="1" hidden="1">#REF!</definedName>
    <definedName name="_Key1" localSheetId="3" hidden="1">#REF!</definedName>
    <definedName name="_Key1" localSheetId="5" hidden="1">#REF!</definedName>
    <definedName name="_Key1" localSheetId="6" hidden="1">#REF!</definedName>
    <definedName name="_Key1" localSheetId="7" hidden="1">#REF!</definedName>
    <definedName name="_Key1" hidden="1">#REF!</definedName>
    <definedName name="_Key2" localSheetId="2" hidden="1">#REF!</definedName>
    <definedName name="_Key2" localSheetId="1" hidden="1">#REF!</definedName>
    <definedName name="_Key2" localSheetId="3" hidden="1">#REF!</definedName>
    <definedName name="_Key2" localSheetId="5" hidden="1">#REF!</definedName>
    <definedName name="_Key2" localSheetId="6" hidden="1">#REF!</definedName>
    <definedName name="_Key2" localSheetId="7" hidden="1">#REF!</definedName>
    <definedName name="_Key2" hidden="1">#REF!</definedName>
    <definedName name="_Order1" hidden="1">255</definedName>
    <definedName name="_Order2" hidden="1">255</definedName>
    <definedName name="_Parse_In" localSheetId="2" hidden="1">#REF!</definedName>
    <definedName name="_Parse_In" localSheetId="1" hidden="1">#REF!</definedName>
    <definedName name="_Parse_In" localSheetId="0" hidden="1">#REF!</definedName>
    <definedName name="_Parse_In" localSheetId="3" hidden="1">#REF!</definedName>
    <definedName name="_Parse_In" localSheetId="5" hidden="1">#REF!</definedName>
    <definedName name="_Parse_In" localSheetId="6" hidden="1">#REF!</definedName>
    <definedName name="_Parse_In" localSheetId="7" hidden="1">#REF!</definedName>
    <definedName name="_Parse_In" hidden="1">#REF!</definedName>
    <definedName name="_Parse_Out" localSheetId="2" hidden="1">#REF!</definedName>
    <definedName name="_Parse_Out" localSheetId="1" hidden="1">#REF!</definedName>
    <definedName name="_Parse_Out" localSheetId="3" hidden="1">#REF!</definedName>
    <definedName name="_Parse_Out" localSheetId="5" hidden="1">#REF!</definedName>
    <definedName name="_Parse_Out" localSheetId="6" hidden="1">#REF!</definedName>
    <definedName name="_Parse_Out" localSheetId="7" hidden="1">#REF!</definedName>
    <definedName name="_Parse_Out" hidden="1">#REF!</definedName>
    <definedName name="_Sort" localSheetId="2" hidden="1">#REF!</definedName>
    <definedName name="_Sort" localSheetId="1" hidden="1">#REF!</definedName>
    <definedName name="_Sort" localSheetId="3" hidden="1">#REF!</definedName>
    <definedName name="_Sort" localSheetId="5" hidden="1">#REF!</definedName>
    <definedName name="_Sort" localSheetId="6" hidden="1">#REF!</definedName>
    <definedName name="_Sort" localSheetId="7" hidden="1">#REF!</definedName>
    <definedName name="_Sort" hidden="1">#REF!</definedName>
    <definedName name="A" localSheetId="2" hidden="1">#REF!</definedName>
    <definedName name="A" localSheetId="1" hidden="1">#REF!</definedName>
    <definedName name="A" localSheetId="3" hidden="1">#REF!</definedName>
    <definedName name="A" localSheetId="5" hidden="1">#REF!</definedName>
    <definedName name="A" localSheetId="6" hidden="1">#REF!</definedName>
    <definedName name="A" localSheetId="7" hidden="1">#REF!</definedName>
    <definedName name="A" hidden="1">#REF!</definedName>
    <definedName name="ABC" localSheetId="2" hidden="1">'[2]Eq. Mobilization'!#REF!</definedName>
    <definedName name="ABC" localSheetId="1" hidden="1">'[2]Eq. Mobilization'!#REF!</definedName>
    <definedName name="ABC" localSheetId="0" hidden="1">'[2]Eq. Mobilization'!#REF!</definedName>
    <definedName name="ABC" localSheetId="3" hidden="1">'[2]Eq. Mobilization'!#REF!</definedName>
    <definedName name="ABC" localSheetId="5" hidden="1">'[2]Eq. Mobilization'!#REF!</definedName>
    <definedName name="ABC" localSheetId="6" hidden="1">'[2]Eq. Mobilization'!#REF!</definedName>
    <definedName name="ABC" localSheetId="7" hidden="1">'[2]Eq. Mobilization'!#REF!</definedName>
    <definedName name="ABC" localSheetId="8" hidden="1">#REF!</definedName>
    <definedName name="ABC" hidden="1">'[2]Eq. Mobilization'!#REF!</definedName>
    <definedName name="CO" localSheetId="2" hidden="1">'[3]Eq. Mobilization'!#REF!</definedName>
    <definedName name="CO" localSheetId="1" hidden="1">'[3]Eq. Mobilization'!#REF!</definedName>
    <definedName name="CO" localSheetId="0" hidden="1">'[3]Eq. Mobilization'!#REF!</definedName>
    <definedName name="CO" localSheetId="3" hidden="1">'[3]Eq. Mobilization'!#REF!</definedName>
    <definedName name="CO" localSheetId="5" hidden="1">'[3]Eq. Mobilization'!#REF!</definedName>
    <definedName name="CO" localSheetId="6" hidden="1">'[3]Eq. Mobilization'!#REF!</definedName>
    <definedName name="CO" localSheetId="7" hidden="1">'[3]Eq. Mobilization'!#REF!</definedName>
    <definedName name="CO" localSheetId="8" hidden="1">#REF!</definedName>
    <definedName name="CO" hidden="1">'[3]Eq. Mobilization'!#REF!</definedName>
    <definedName name="e" localSheetId="5" hidden="1">'[1]Eq. Mobilization'!#REF!</definedName>
    <definedName name="e" localSheetId="6" hidden="1">'[1]Eq. Mobilization'!#REF!</definedName>
    <definedName name="e" localSheetId="7" hidden="1">'[1]Eq. Mobilization'!#REF!</definedName>
    <definedName name="e" localSheetId="8" hidden="1">#REF!</definedName>
    <definedName name="e" hidden="1">'[1]Eq. Mobilization'!#REF!</definedName>
    <definedName name="Ge" localSheetId="5" hidden="1">'[1]Eq. Mobilization'!#REF!</definedName>
    <definedName name="Ge" localSheetId="6" hidden="1">'[1]Eq. Mobilization'!#REF!</definedName>
    <definedName name="Ge" localSheetId="7" hidden="1">'[1]Eq. Mobilization'!#REF!</definedName>
    <definedName name="Ge" localSheetId="8" hidden="1">#REF!</definedName>
    <definedName name="Ge" hidden="1">'[1]Eq. Mobilization'!#REF!</definedName>
    <definedName name="iv2dt" localSheetId="2" hidden="1">'[1]Eq. Mobilization'!#REF!</definedName>
    <definedName name="iv2dt" localSheetId="1" hidden="1">'[1]Eq. Mobilization'!#REF!</definedName>
    <definedName name="iv2dt" localSheetId="0" hidden="1">'[1]Eq. Mobilization'!#REF!</definedName>
    <definedName name="iv2dt" localSheetId="3" hidden="1">'[1]Eq. Mobilization'!#REF!</definedName>
    <definedName name="iv2dt" localSheetId="5" hidden="1">'[1]Eq. Mobilization'!#REF!</definedName>
    <definedName name="iv2dt" localSheetId="6" hidden="1">'[1]Eq. Mobilization'!#REF!</definedName>
    <definedName name="iv2dt" localSheetId="7" hidden="1">'[1]Eq. Mobilization'!#REF!</definedName>
    <definedName name="iv2dt" localSheetId="8" hidden="1">#REF!</definedName>
    <definedName name="iv2dt" hidden="1">'[1]Eq. Mobilization'!#REF!</definedName>
    <definedName name="ivdt" localSheetId="2" hidden="1">'[1]Eq. Mobilization'!#REF!</definedName>
    <definedName name="ivdt" localSheetId="1" hidden="1">'[1]Eq. Mobilization'!#REF!</definedName>
    <definedName name="ivdt" localSheetId="0" hidden="1">'[1]Eq. Mobilization'!#REF!</definedName>
    <definedName name="ivdt" localSheetId="3" hidden="1">'[1]Eq. Mobilization'!#REF!</definedName>
    <definedName name="ivdt" localSheetId="5" hidden="1">'[1]Eq. Mobilization'!#REF!</definedName>
    <definedName name="ivdt" localSheetId="6" hidden="1">'[1]Eq. Mobilization'!#REF!</definedName>
    <definedName name="ivdt" localSheetId="7" hidden="1">'[1]Eq. Mobilization'!#REF!</definedName>
    <definedName name="ivdt" localSheetId="8" hidden="1">#REF!</definedName>
    <definedName name="ivdt" hidden="1">'[1]Eq. Mobilization'!#REF!</definedName>
    <definedName name="KABOLINE" localSheetId="2" hidden="1">'[1]Eq. Mobilization'!#REF!</definedName>
    <definedName name="KABOLINE" localSheetId="1" hidden="1">'[1]Eq. Mobilization'!#REF!</definedName>
    <definedName name="KABOLINE" localSheetId="0" hidden="1">'[1]Eq. Mobilization'!#REF!</definedName>
    <definedName name="KABOLINE" localSheetId="3" hidden="1">'[1]Eq. Mobilization'!#REF!</definedName>
    <definedName name="KABOLINE" localSheetId="5" hidden="1">'[1]Eq. Mobilization'!#REF!</definedName>
    <definedName name="KABOLINE" localSheetId="6" hidden="1">'[1]Eq. Mobilization'!#REF!</definedName>
    <definedName name="KABOLINE" localSheetId="7" hidden="1">'[1]Eq. Mobilization'!#REF!</definedName>
    <definedName name="KABOLINE" localSheetId="8" hidden="1">#REF!</definedName>
    <definedName name="KABOLINE" hidden="1">'[1]Eq. Mobilization'!#REF!</definedName>
    <definedName name="latent" localSheetId="8">#REF!</definedName>
    <definedName name="latent">'[4]steam table'!$N$5:$Q$102</definedName>
    <definedName name="_xlnm.Print_Titles" localSheetId="2">'Break Down CI'!$7:$7</definedName>
    <definedName name="_xlnm.Print_Titles" localSheetId="0">'Detailed PL'!$13:$14</definedName>
    <definedName name="_xlnm.Print_Titles" localSheetId="4">'PL(2_2)'!$13:$14</definedName>
    <definedName name="_xlnm.Print_Titles" localSheetId="8">'Technical Description'!$7:$8</definedName>
    <definedName name="SM" localSheetId="5" hidden="1">#REF!</definedName>
    <definedName name="SM" localSheetId="6" hidden="1">#REF!</definedName>
    <definedName name="SM" localSheetId="7" hidden="1">#REF!</definedName>
    <definedName name="SM" hidden="1">#REF!</definedName>
    <definedName name="tube_test_press1_12">#REF!</definedName>
    <definedName name="_xlnm.Print_Area" localSheetId="2">'Break Down CI'!$A$1:$M$13</definedName>
    <definedName name="_xlnm.Print_Area" localSheetId="1">'Commercial Invoice'!$A$1:$K$47</definedName>
    <definedName name="_xlnm.Print_Area" localSheetId="0">'Detailed PL'!$A$1:$U$21</definedName>
    <definedName name="_xlnm.Print_Area" localSheetId="3">'Packing List (1_2)'!$A$1:$K$51</definedName>
    <definedName name="_xlnm.Print_Area" localSheetId="4">'PL(2_2)'!$B$1:$T$18</definedName>
    <definedName name="_xlnm.Print_Area" localSheetId="5">'SHIPPING MARK (001)'!$A$1:$J$24</definedName>
    <definedName name="_xlnm.Print_Area" localSheetId="6">'SHIPPING MARK (002)'!$A$1:$J$24</definedName>
    <definedName name="_xlnm.Print_Area" localSheetId="7">'SHIPPING MARK (003)'!$A$1:$J$24</definedName>
    <definedName name="_xlnm.Print_Area" localSheetId="8">'Technical Description'!$A$1:$H$12</definedName>
    <definedName name="weki_9701.xls" localSheetId="2" hidden="1">'[1]Eq. Mobilization'!#REF!</definedName>
    <definedName name="weki_9701.xls" localSheetId="1" hidden="1">'[1]Eq. Mobilization'!#REF!</definedName>
    <definedName name="weki_9701.xls" localSheetId="3" hidden="1">'[1]Eq. Mobilization'!#REF!</definedName>
    <definedName name="weki_9701.xls" localSheetId="5" hidden="1">'[1]Eq. Mobilization'!#REF!</definedName>
    <definedName name="weki_9701.xls" localSheetId="6" hidden="1">'[1]Eq. Mobilization'!#REF!</definedName>
    <definedName name="weki_9701.xls" localSheetId="7" hidden="1">'[1]Eq. Mobilization'!#REF!</definedName>
    <definedName name="weki_9701.xls" localSheetId="8" hidden="1">#REF!</definedName>
    <definedName name="weki_9701.xls" hidden="1">'[1]Eq. Mobilization'!#REF!</definedName>
    <definedName name="wekir9701.xls" localSheetId="2" hidden="1">'[1]Eq. Mobilization'!#REF!</definedName>
    <definedName name="wekir9701.xls" localSheetId="1" hidden="1">'[1]Eq. Mobilization'!#REF!</definedName>
    <definedName name="wekir9701.xls" localSheetId="3" hidden="1">'[1]Eq. Mobilization'!#REF!</definedName>
    <definedName name="wekir9701.xls" localSheetId="5" hidden="1">'[1]Eq. Mobilization'!#REF!</definedName>
    <definedName name="wekir9701.xls" localSheetId="6" hidden="1">'[1]Eq. Mobilization'!#REF!</definedName>
    <definedName name="wekir9701.xls" localSheetId="7" hidden="1">'[1]Eq. Mobilization'!#REF!</definedName>
    <definedName name="wekir9701.xls" localSheetId="8" hidden="1">#REF!</definedName>
    <definedName name="wekir9701.xls" hidden="1">'[1]Eq. Mobilization'!#REF!</definedName>
    <definedName name="X" localSheetId="2" hidden="1">'[2]Eq. Mobilization'!#REF!</definedName>
    <definedName name="X" localSheetId="1" hidden="1">'[2]Eq. Mobilization'!#REF!</definedName>
    <definedName name="X" localSheetId="3" hidden="1">'[2]Eq. Mobilization'!#REF!</definedName>
    <definedName name="X" localSheetId="5" hidden="1">'[2]Eq. Mobilization'!#REF!</definedName>
    <definedName name="X" localSheetId="6" hidden="1">'[2]Eq. Mobilization'!#REF!</definedName>
    <definedName name="X" localSheetId="7" hidden="1">'[2]Eq. Mobilization'!#REF!</definedName>
    <definedName name="X" localSheetId="8" hidden="1">#REF!</definedName>
    <definedName name="X" hidden="1">'[2]Eq. Mobilization'!#REF!</definedName>
    <definedName name="Z" localSheetId="2" hidden="1">'[2]Eq. Mobilization'!#REF!</definedName>
    <definedName name="Z" localSheetId="1" hidden="1">'[2]Eq. Mobilization'!#REF!</definedName>
    <definedName name="Z" localSheetId="3" hidden="1">'[2]Eq. Mobilization'!#REF!</definedName>
    <definedName name="Z" localSheetId="5" hidden="1">'[2]Eq. Mobilization'!#REF!</definedName>
    <definedName name="Z" localSheetId="6" hidden="1">'[2]Eq. Mobilization'!#REF!</definedName>
    <definedName name="Z" localSheetId="7" hidden="1">'[2]Eq. Mobilization'!#REF!</definedName>
    <definedName name="Z" localSheetId="8" hidden="1">#REF!</definedName>
    <definedName name="Z" hidden="1">'[2]Eq. Mobilization'!#REF!</definedName>
    <definedName name="ㄴㅇㄹㅇㄹ" localSheetId="2" hidden="1">'[2]Eq. Mobilization'!#REF!</definedName>
    <definedName name="ㄴㅇㄹㅇㄹ" localSheetId="1" hidden="1">'[2]Eq. Mobilization'!#REF!</definedName>
    <definedName name="ㄴㅇㄹㅇㄹ" localSheetId="0" hidden="1">'[2]Eq. Mobilization'!#REF!</definedName>
    <definedName name="ㄴㅇㄹㅇㄹ" localSheetId="3" hidden="1">'[2]Eq. Mobilization'!#REF!</definedName>
    <definedName name="ㄴㅇㄹㅇㄹ" localSheetId="5" hidden="1">'[2]Eq. Mobilization'!#REF!</definedName>
    <definedName name="ㄴㅇㄹㅇㄹ" localSheetId="6" hidden="1">'[2]Eq. Mobilization'!#REF!</definedName>
    <definedName name="ㄴㅇㄹㅇㄹ" localSheetId="7" hidden="1">'[2]Eq. Mobilization'!#REF!</definedName>
    <definedName name="ㄴㅇㄹㅇㄹ" localSheetId="8" hidden="1">#REF!</definedName>
    <definedName name="ㄴㅇㄹㅇㄹ" hidden="1">'[2]Eq. Mobilization'!#REF!</definedName>
    <definedName name="느" localSheetId="5" hidden="1">'[1]Eq. Mobilization'!#REF!</definedName>
    <definedName name="느" localSheetId="6" hidden="1">'[1]Eq. Mobilization'!#REF!</definedName>
    <definedName name="느" localSheetId="7" hidden="1">'[1]Eq. Mobilization'!#REF!</definedName>
    <definedName name="느" localSheetId="8" hidden="1">#REF!</definedName>
    <definedName name="느" hidden="1">'[1]Eq. Mobilization'!#REF!</definedName>
    <definedName name="ㅊㅌㅍㅊㅍㅊㅌㅍㅊㅌㅍㅊㅌㅍㅊㅌㅍㅊㅌㅍ" localSheetId="2" hidden="1">'[5]Eq. Mobilization'!#REF!</definedName>
    <definedName name="ㅊㅌㅍㅊㅍㅊㅌㅍㅊㅌㅍㅊㅌㅍㅊㅌㅍㅊㅌㅍ" localSheetId="1" hidden="1">'[5]Eq. Mobilization'!#REF!</definedName>
    <definedName name="ㅊㅌㅍㅊㅍㅊㅌㅍㅊㅌㅍㅊㅌㅍㅊㅌㅍㅊㅌㅍ" localSheetId="0" hidden="1">'[5]Eq. Mobilization'!#REF!</definedName>
    <definedName name="ㅊㅌㅍㅊㅍㅊㅌㅍㅊㅌㅍㅊㅌㅍㅊㅌㅍㅊㅌㅍ" localSheetId="3" hidden="1">'[5]Eq. Mobilization'!#REF!</definedName>
    <definedName name="ㅊㅌㅍㅊㅍㅊㅌㅍㅊㅌㅍㅊㅌㅍㅊㅌㅍㅊㅌㅍ" localSheetId="5" hidden="1">'[5]Eq. Mobilization'!#REF!</definedName>
    <definedName name="ㅊㅌㅍㅊㅍㅊㅌㅍㅊㅌㅍㅊㅌㅍㅊㅌㅍㅊㅌㅍ" localSheetId="6" hidden="1">'[5]Eq. Mobilization'!#REF!</definedName>
    <definedName name="ㅊㅌㅍㅊㅍㅊㅌㅍㅊㅌㅍㅊㅌㅍㅊㅌㅍㅊㅌㅍ" localSheetId="7" hidden="1">'[5]Eq. Mobilization'!#REF!</definedName>
    <definedName name="ㅊㅌㅍㅊㅍㅊㅌㅍㅊㅌㅍㅊㅌㅍㅊㅌㅍㅊㅌㅍ" localSheetId="8" hidden="1">#REF!</definedName>
    <definedName name="ㅊㅌㅍㅊㅍㅊㅌㅍㅊㅌㅍㅊㅌㅍㅊㅌㅍㅊㅌㅍ" hidden="1">'[5]Eq. Mobilization'!#REF!</definedName>
    <definedName name="ㅊㅌㅍㅊㅍㅌㅋㅊㅍㅌㅊㅍ" localSheetId="2" hidden="1">'[5]Eq. Mobilization'!#REF!</definedName>
    <definedName name="ㅊㅌㅍㅊㅍㅌㅋㅊㅍㅌㅊㅍ" localSheetId="1" hidden="1">'[5]Eq. Mobilization'!#REF!</definedName>
    <definedName name="ㅊㅌㅍㅊㅍㅌㅋㅊㅍㅌㅊㅍ" localSheetId="0" hidden="1">'[5]Eq. Mobilization'!#REF!</definedName>
    <definedName name="ㅊㅌㅍㅊㅍㅌㅋㅊㅍㅌㅊㅍ" localSheetId="3" hidden="1">'[5]Eq. Mobilization'!#REF!</definedName>
    <definedName name="ㅊㅌㅍㅊㅍㅌㅋㅊㅍㅌㅊㅍ" localSheetId="5" hidden="1">'[5]Eq. Mobilization'!#REF!</definedName>
    <definedName name="ㅊㅌㅍㅊㅍㅌㅋㅊㅍㅌㅊㅍ" localSheetId="6" hidden="1">'[5]Eq. Mobilization'!#REF!</definedName>
    <definedName name="ㅊㅌㅍㅊㅍㅌㅋㅊㅍㅌㅊㅍ" localSheetId="7" hidden="1">'[5]Eq. Mobilization'!#REF!</definedName>
    <definedName name="ㅊㅌㅍㅊㅍㅌㅋㅊㅍㅌㅊㅍ" localSheetId="8" hidden="1">#REF!</definedName>
    <definedName name="ㅊㅌㅍㅊㅍㅌㅋㅊㅍㅌㅊㅍ" hidden="1">'[5]Eq. Mobilization'!#REF!</definedName>
    <definedName name="ㅊㅌㅍㅋㅊㅍㅌㅊㅍㅌㅊㅍ" localSheetId="2" hidden="1">'[5]Eq. Mobilization'!#REF!</definedName>
    <definedName name="ㅊㅌㅍㅋㅊㅍㅌㅊㅍㅌㅊㅍ" localSheetId="1" hidden="1">'[5]Eq. Mobilization'!#REF!</definedName>
    <definedName name="ㅊㅌㅍㅋㅊㅍㅌㅊㅍㅌㅊㅍ" localSheetId="0" hidden="1">'[5]Eq. Mobilization'!#REF!</definedName>
    <definedName name="ㅊㅌㅍㅋㅊㅍㅌㅊㅍㅌㅊㅍ" localSheetId="3" hidden="1">'[5]Eq. Mobilization'!#REF!</definedName>
    <definedName name="ㅊㅌㅍㅋㅊㅍㅌㅊㅍㅌㅊㅍ" localSheetId="5" hidden="1">'[5]Eq. Mobilization'!#REF!</definedName>
    <definedName name="ㅊㅌㅍㅋㅊㅍㅌㅊㅍㅌㅊㅍ" localSheetId="6" hidden="1">'[5]Eq. Mobilization'!#REF!</definedName>
    <definedName name="ㅊㅌㅍㅋㅊㅍㅌㅊㅍㅌㅊㅍ" localSheetId="7" hidden="1">'[5]Eq. Mobilization'!#REF!</definedName>
    <definedName name="ㅊㅌㅍㅋㅊㅍㅌㅊㅍㅌㅊㅍ" localSheetId="8" hidden="1">#REF!</definedName>
    <definedName name="ㅊㅌㅍㅋㅊㅍㅌㅊㅍㅌㅊㅍ" hidden="1">'[5]Eq. Mobilization'!#REF!</definedName>
    <definedName name="ㅊㅌㅍㅌㅊㅍㅊㅌㅍㅌㅊㅍㅌㅊㅍ" localSheetId="2" hidden="1">'[5]Eq. Mobilization'!#REF!</definedName>
    <definedName name="ㅊㅌㅍㅌㅊㅍㅊㅌㅍㅌㅊㅍㅌㅊㅍ" localSheetId="1" hidden="1">'[5]Eq. Mobilization'!#REF!</definedName>
    <definedName name="ㅊㅌㅍㅌㅊㅍㅊㅌㅍㅌㅊㅍㅌㅊㅍ" localSheetId="0" hidden="1">'[5]Eq. Mobilization'!#REF!</definedName>
    <definedName name="ㅊㅌㅍㅌㅊㅍㅊㅌㅍㅌㅊㅍㅌㅊㅍ" localSheetId="3" hidden="1">'[5]Eq. Mobilization'!#REF!</definedName>
    <definedName name="ㅊㅌㅍㅌㅊㅍㅊㅌㅍㅌㅊㅍㅌㅊㅍ" localSheetId="5" hidden="1">'[5]Eq. Mobilization'!#REF!</definedName>
    <definedName name="ㅊㅌㅍㅌㅊㅍㅊㅌㅍㅌㅊㅍㅌㅊㅍ" localSheetId="6" hidden="1">'[5]Eq. Mobilization'!#REF!</definedName>
    <definedName name="ㅊㅌㅍㅌㅊㅍㅊㅌㅍㅌㅊㅍㅌㅊㅍ" localSheetId="7" hidden="1">'[5]Eq. Mobilization'!#REF!</definedName>
    <definedName name="ㅊㅌㅍㅌㅊㅍㅊㅌㅍㅌㅊㅍㅌㅊㅍ" localSheetId="8" hidden="1">#REF!</definedName>
    <definedName name="ㅊㅌㅍㅌㅊㅍㅊㅌㅍㅌㅊㅍㅌㅊㅍ" hidden="1">'[5]Eq. Mobilization'!#REF!</definedName>
    <definedName name="ㅋ" localSheetId="2" hidden="1">'[5]Eq. Mobilization'!#REF!</definedName>
    <definedName name="ㅋ" localSheetId="1" hidden="1">'[5]Eq. Mobilization'!#REF!</definedName>
    <definedName name="ㅋ" localSheetId="0" hidden="1">'[5]Eq. Mobilization'!#REF!</definedName>
    <definedName name="ㅋ" localSheetId="3" hidden="1">'[5]Eq. Mobilization'!#REF!</definedName>
    <definedName name="ㅋ" localSheetId="5" hidden="1">'[5]Eq. Mobilization'!#REF!</definedName>
    <definedName name="ㅋ" localSheetId="6" hidden="1">'[5]Eq. Mobilization'!#REF!</definedName>
    <definedName name="ㅋ" localSheetId="7" hidden="1">'[5]Eq. Mobilization'!#REF!</definedName>
    <definedName name="ㅋ" localSheetId="8" hidden="1">#REF!</definedName>
    <definedName name="ㅋ" hidden="1">'[5]Eq. Mobilization'!#REF!</definedName>
    <definedName name="ㅋㅋㅋㅋ" localSheetId="2" hidden="1">'[5]Eq. Mobilization'!#REF!</definedName>
    <definedName name="ㅋㅋㅋㅋ" localSheetId="1" hidden="1">'[5]Eq. Mobilization'!#REF!</definedName>
    <definedName name="ㅋㅋㅋㅋ" localSheetId="0" hidden="1">'[5]Eq. Mobilization'!#REF!</definedName>
    <definedName name="ㅋㅋㅋㅋ" localSheetId="3" hidden="1">'[5]Eq. Mobilization'!#REF!</definedName>
    <definedName name="ㅋㅋㅋㅋ" localSheetId="5" hidden="1">'[5]Eq. Mobilization'!#REF!</definedName>
    <definedName name="ㅋㅋㅋㅋ" localSheetId="6" hidden="1">'[5]Eq. Mobilization'!#REF!</definedName>
    <definedName name="ㅋㅋㅋㅋ" localSheetId="7" hidden="1">'[5]Eq. Mobilization'!#REF!</definedName>
    <definedName name="ㅋㅋㅋㅋ" localSheetId="8" hidden="1">#REF!</definedName>
    <definedName name="ㅋㅋㅋㅋ" hidden="1">'[5]Eq. Mobilization'!#REF!</definedName>
    <definedName name="ㅋㅋㅋㅋㅋㅋ" localSheetId="2" hidden="1">'[5]Eq. Mobilization'!#REF!</definedName>
    <definedName name="ㅋㅋㅋㅋㅋㅋ" localSheetId="1" hidden="1">'[5]Eq. Mobilization'!#REF!</definedName>
    <definedName name="ㅋㅋㅋㅋㅋㅋ" localSheetId="0" hidden="1">'[5]Eq. Mobilization'!#REF!</definedName>
    <definedName name="ㅋㅋㅋㅋㅋㅋ" localSheetId="3" hidden="1">'[5]Eq. Mobilization'!#REF!</definedName>
    <definedName name="ㅋㅋㅋㅋㅋㅋ" localSheetId="5" hidden="1">'[5]Eq. Mobilization'!#REF!</definedName>
    <definedName name="ㅋㅋㅋㅋㅋㅋ" localSheetId="6" hidden="1">'[5]Eq. Mobilization'!#REF!</definedName>
    <definedName name="ㅋㅋㅋㅋㅋㅋ" localSheetId="7" hidden="1">'[5]Eq. Mobilization'!#REF!</definedName>
    <definedName name="ㅋㅋㅋㅋㅋㅋ" localSheetId="8" hidden="1">#REF!</definedName>
    <definedName name="ㅋㅋㅋㅋㅋㅋ" hidden="1">'[5]Eq. Mobilization'!#REF!</definedName>
    <definedName name="ㅋㅋㅋㅋㅋㅋㅋㅋㅋ" localSheetId="2" hidden="1">'[5]Eq. Mobilization'!#REF!</definedName>
    <definedName name="ㅋㅋㅋㅋㅋㅋㅋㅋㅋ" localSheetId="1" hidden="1">'[5]Eq. Mobilization'!#REF!</definedName>
    <definedName name="ㅋㅋㅋㅋㅋㅋㅋㅋㅋ" localSheetId="0" hidden="1">'[5]Eq. Mobilization'!#REF!</definedName>
    <definedName name="ㅋㅋㅋㅋㅋㅋㅋㅋㅋ" localSheetId="3" hidden="1">'[5]Eq. Mobilization'!#REF!</definedName>
    <definedName name="ㅋㅋㅋㅋㅋㅋㅋㅋㅋ" localSheetId="5" hidden="1">'[5]Eq. Mobilization'!#REF!</definedName>
    <definedName name="ㅋㅋㅋㅋㅋㅋㅋㅋㅋ" localSheetId="6" hidden="1">'[5]Eq. Mobilization'!#REF!</definedName>
    <definedName name="ㅋㅋㅋㅋㅋㅋㅋㅋㅋ" localSheetId="7" hidden="1">'[5]Eq. Mobilization'!#REF!</definedName>
    <definedName name="ㅋㅋㅋㅋㅋㅋㅋㅋㅋ" localSheetId="8" hidden="1">#REF!</definedName>
    <definedName name="ㅋㅋㅋㅋㅋㅋㅋㅋㅋ" hidden="1">'[5]Eq. Mobilization'!#REF!</definedName>
    <definedName name="ㅌㅊㅍㅌㅊㅍㅌㅋㅊㅍㅌ" localSheetId="2" hidden="1">'[5]Eq. Mobilization'!#REF!</definedName>
    <definedName name="ㅌㅊㅍㅌㅊㅍㅌㅋㅊㅍㅌ" localSheetId="1" hidden="1">'[5]Eq. Mobilization'!#REF!</definedName>
    <definedName name="ㅌㅊㅍㅌㅊㅍㅌㅋㅊㅍㅌ" localSheetId="0" hidden="1">'[5]Eq. Mobilization'!#REF!</definedName>
    <definedName name="ㅌㅊㅍㅌㅊㅍㅌㅋㅊㅍㅌ" localSheetId="3" hidden="1">'[5]Eq. Mobilization'!#REF!</definedName>
    <definedName name="ㅌㅊㅍㅌㅊㅍㅌㅋㅊㅍㅌ" localSheetId="5" hidden="1">'[5]Eq. Mobilization'!#REF!</definedName>
    <definedName name="ㅌㅊㅍㅌㅊㅍㅌㅋㅊㅍㅌ" localSheetId="6" hidden="1">'[5]Eq. Mobilization'!#REF!</definedName>
    <definedName name="ㅌㅊㅍㅌㅊㅍㅌㅋㅊㅍㅌ" localSheetId="7" hidden="1">'[5]Eq. Mobilization'!#REF!</definedName>
    <definedName name="ㅌㅊㅍㅌㅊㅍㅌㅋㅊㅍㅌ" localSheetId="8" hidden="1">#REF!</definedName>
    <definedName name="ㅌㅊㅍㅌㅊㅍㅌㅋㅊㅍㅌ" hidden="1">'[5]Eq. Mobilization'!#REF!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 l="1"/>
  <c r="N27" i="2"/>
  <c r="O28" i="2"/>
  <c r="O24" i="2"/>
  <c r="L10" i="2"/>
  <c r="L9" i="2"/>
  <c r="H15" i="1"/>
  <c r="I20" i="15"/>
  <c r="G20" i="15"/>
  <c r="E20" i="15"/>
  <c r="C20" i="15"/>
  <c r="C19" i="15"/>
  <c r="C18" i="15"/>
  <c r="P21" i="5"/>
  <c r="O20" i="5"/>
  <c r="I20" i="5"/>
  <c r="P19" i="5"/>
  <c r="P20" i="5"/>
  <c r="Q20" i="5"/>
  <c r="O18" i="5"/>
  <c r="I18" i="5"/>
  <c r="P17" i="5"/>
  <c r="P18" i="5"/>
  <c r="Q18" i="5"/>
  <c r="O16" i="5"/>
  <c r="I16" i="5"/>
  <c r="P15" i="5"/>
  <c r="P16" i="5"/>
  <c r="Q16" i="5"/>
  <c r="C15" i="15"/>
  <c r="C15" i="14"/>
  <c r="C15" i="12"/>
  <c r="G9" i="2"/>
  <c r="C21" i="15"/>
  <c r="C14" i="15"/>
  <c r="A3" i="15"/>
  <c r="C21" i="14"/>
  <c r="C14" i="14"/>
  <c r="A3" i="14"/>
  <c r="C21" i="12"/>
  <c r="E12" i="13"/>
  <c r="E11" i="13"/>
  <c r="E10" i="13"/>
  <c r="C11" i="13"/>
  <c r="C12" i="13"/>
  <c r="C10" i="13"/>
  <c r="B7" i="13"/>
  <c r="H15" i="3"/>
  <c r="T17" i="4"/>
  <c r="S17" i="4"/>
  <c r="O17" i="4"/>
  <c r="J17" i="4"/>
  <c r="K17" i="4"/>
  <c r="I17" i="4"/>
  <c r="H17" i="4"/>
  <c r="T16" i="4"/>
  <c r="S16" i="4"/>
  <c r="O16" i="4"/>
  <c r="J16" i="4"/>
  <c r="E20" i="14"/>
  <c r="K16" i="4"/>
  <c r="G20" i="14"/>
  <c r="I16" i="4"/>
  <c r="C20" i="14"/>
  <c r="H16" i="4"/>
  <c r="F17" i="4"/>
  <c r="F11" i="2"/>
  <c r="F16" i="4"/>
  <c r="F15" i="4"/>
  <c r="F9" i="2"/>
  <c r="T15" i="4"/>
  <c r="S15" i="4"/>
  <c r="O15" i="4"/>
  <c r="J15" i="4"/>
  <c r="K15" i="4"/>
  <c r="I15" i="4"/>
  <c r="H15" i="4"/>
  <c r="C17" i="4"/>
  <c r="C17" i="15"/>
  <c r="C16" i="4"/>
  <c r="C17" i="14"/>
  <c r="C15" i="4"/>
  <c r="L17" i="4"/>
  <c r="K33" i="3"/>
  <c r="L16" i="4"/>
  <c r="N16" i="4"/>
  <c r="N15" i="4"/>
  <c r="I20" i="14"/>
  <c r="K32" i="3"/>
  <c r="F10" i="2"/>
  <c r="J10" i="2"/>
  <c r="J32" i="3"/>
  <c r="J9" i="2"/>
  <c r="J31" i="3"/>
  <c r="G20" i="12"/>
  <c r="C20" i="12"/>
  <c r="C19" i="12"/>
  <c r="C19" i="14"/>
  <c r="E20" i="12"/>
  <c r="N17" i="4"/>
  <c r="M17" i="4"/>
  <c r="B11" i="13"/>
  <c r="B12" i="13"/>
  <c r="L12" i="2"/>
  <c r="D12" i="13"/>
  <c r="D10" i="13"/>
  <c r="D11" i="13"/>
  <c r="M16" i="4"/>
  <c r="B10" i="13"/>
  <c r="C17" i="12"/>
  <c r="M15" i="4"/>
  <c r="K30" i="1"/>
  <c r="K38" i="1"/>
  <c r="O17" i="2"/>
  <c r="I10" i="2"/>
  <c r="I32" i="3"/>
  <c r="I9" i="2"/>
  <c r="I31" i="3"/>
  <c r="I33" i="3"/>
  <c r="I11" i="2"/>
  <c r="I30" i="1"/>
  <c r="J11" i="2"/>
  <c r="J33" i="3"/>
  <c r="C18" i="14"/>
  <c r="C18" i="12"/>
  <c r="O18" i="2"/>
  <c r="O21" i="2"/>
  <c r="L15" i="4"/>
  <c r="K31" i="3"/>
  <c r="O21" i="5"/>
  <c r="D5" i="4"/>
  <c r="L17" i="2"/>
  <c r="M17" i="2"/>
  <c r="L18" i="2"/>
  <c r="M18" i="2"/>
  <c r="L19" i="2"/>
  <c r="M19" i="2"/>
  <c r="I20" i="12"/>
  <c r="K41" i="3"/>
  <c r="D7" i="5"/>
  <c r="D5" i="5"/>
  <c r="C5" i="2"/>
  <c r="M5" i="2"/>
  <c r="H8" i="3"/>
  <c r="H6" i="3"/>
  <c r="D6" i="4"/>
  <c r="D6" i="5"/>
  <c r="C14" i="12"/>
  <c r="A3" i="12"/>
  <c r="M18" i="4"/>
  <c r="L18" i="4"/>
  <c r="I41" i="3"/>
  <c r="G9" i="3"/>
  <c r="B5" i="2"/>
  <c r="Q21" i="5"/>
  <c r="J41" i="3"/>
  <c r="N18" i="4"/>
</calcChain>
</file>

<file path=xl/sharedStrings.xml><?xml version="1.0" encoding="utf-8"?>
<sst xmlns="http://schemas.openxmlformats.org/spreadsheetml/2006/main" count="480" uniqueCount="218">
  <si>
    <t>PECC2 Innovation Hub, 45 Street No.2, Truong Tho Ward, Thu Duc City, HCMC, Vietnam
Tel: +84-28-2221 6468 | Fax: +84-28-2221 0408</t>
  </si>
  <si>
    <t>COMMERCIAL INVOICE</t>
    <phoneticPr fontId="0" type="noConversion"/>
  </si>
  <si>
    <t>SHIPPER:</t>
  </si>
  <si>
    <t>INVOICE NO. :</t>
    <phoneticPr fontId="0" type="noConversion"/>
  </si>
  <si>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</si>
  <si>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</si>
  <si>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</si>
  <si>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</si>
  <si>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</si>
  <si>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</si>
  <si>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</si>
  <si>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</si>
  <si>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TERM OF DELIVERY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</si>
  <si>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</si>
  <si>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</si>
  <si>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</si>
  <si>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</si>
  <si>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</si>
  <si>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</si>
  <si>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</si>
  <si>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</si>
  <si>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</si>
  <si>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</si>
  <si>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</si>
  <si>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</si>
  <si>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</si>
  <si>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</si>
  <si>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</si>
  <si>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</si>
  <si>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</si>
  <si>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</si>
  <si>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</si>
  <si>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TOTAL AMOUNT AT THIS SHIPMENT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</si>
  <si>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</si>
  <si>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</si>
  <si>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</si>
  <si>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</si>
  <si>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</si>
  <si>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</si>
  <si>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</si>
  <si>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</si>
  <si>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</si>
  <si>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</si>
  <si>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</si>
  <si>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</si>
  <si>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</si>
  <si>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</si>
  <si>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</si>
  <si>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</si>
  <si>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</si>
  <si>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</si>
  <si>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</si>
  <si>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</si>
  <si>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</si>
  <si>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</si>
  <si>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</si>
  <si>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</si>
  <si>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</si>
  <si>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</si>
  <si>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</si>
  <si>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</si>
  <si>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</si>
  <si>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</si>
  <si>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</si>
  <si>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</si>
  <si>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</si>
  <si>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</si>
  <si>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</si>
  <si>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</si>
  <si>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</si>
  <si>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</si>
  <si>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</si>
  <si>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</si>
  <si>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</si>
  <si>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</si>
  <si>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</si>
  <si>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</si>
  <si>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</si>
  <si>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</si>
  <si>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</si>
  <si>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</si>
  <si>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</si>
  <si>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</si>
  <si>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</si>
  <si>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</si>
  <si>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</si>
  <si>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</si>
  <si>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</si>
  <si>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</si>
  <si>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</si>
  <si>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</si>
  <si>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</si>
  <si>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Sub-Total</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</si>
  <si>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</si>
  <si>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</si>
  <si>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</si>
  <si>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</si>
  <si>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</si>
  <si>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</si>
  <si>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</si>
  <si>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</si>
  <si>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</si>
  <si>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</si>
  <si>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</si>
  <si>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</si>
  <si>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</si>
  <si>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</si>
  <si>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</si>
  <si>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</si>
  <si>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</si>
  <si>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</si>
  <si>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</si>
  <si>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</si>
  <si>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</si>
  <si>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4" type="noConversion"/>
  </si>
  <si>
    <t>06/2025/HĐ-PVN/OM4-06</t>
    <phoneticPr fontId="34"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</si>
  <si>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</si>
  <si>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</si>
  <si>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</si>
  <si>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</si>
  <si>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</si>
  <si>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</si>
  <si>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</si>
  <si>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</si>
  <si>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</si>
  <si>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PECC2 Innovation Hub, 45 Street No.2, Truong Tho Ward, 
Thu Duc City, HCMC, Vietnam
Tel: +84-28-2221 6468 | Fax: +84-28-2221 0408</t>
    <phoneticPr fontId="34" type="noConversion"/>
  </si>
  <si>
    <t>O MON IV THERMAL POWER PLANT</t>
    <phoneticPr fontId="34" type="noConversion"/>
  </si>
  <si>
    <t xml:space="preserve">DATE  : </t>
    <phoneticPr fontId="34" type="noConversion"/>
  </si>
  <si>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4" type="noConversion"/>
  </si>
  <si>
    <t>Cty Doosan Enerbility Co.,Ltd HQ-Nha thau TH CV thuoc Goi thau so OM4-EPC-HHO-06 cho NMND O Mon IV 
Thoi Loi Area, Phuoc Thoi Ward, Can Tho City, Vietnam
T : (+84) 367 566 167 F : (+84 243) 624 8485</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</si>
  <si>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4" type="noConversion"/>
  </si>
  <si>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4" type="noConversion"/>
  </si>
  <si>
    <t>Address: O Mon Power Complex at Phuoc Thoi wards, Can Tho city</t>
  </si>
  <si>
    <t>PLANT/ EQUIPMENT AND MATERIALS FOR O MON IV THERMAL POWER PLANT
(Contract No. OM4-PO-DE-001)</t>
    <phoneticPr fontId="34" type="noConversion"/>
  </si>
  <si>
    <t>PLANT/ EQUIPMENT AND MATERIALS FOR 
O MON IV THERMAL POWER PLANT
(Contract No. OM4-PO-DE-001)</t>
    <phoneticPr fontId="34" type="noConversion"/>
  </si>
  <si>
    <t xml:space="preserve">Doosan Enerbility Co., Ltd.
</t>
    <phoneticPr fontId="34" type="noConversion"/>
  </si>
  <si>
    <t xml:space="preserve">22 DoosanVolvo-ro, Seongsan-gu, Chang-won-si, 
Gyeongsangnam-do 51711, Republic of Korea </t>
    <phoneticPr fontId="34" type="noConversion"/>
  </si>
  <si>
    <t>Cty Doosan Enerbility Co.,Ltd HQ-Nha thau TH CV thuoc Goi thau so OM4-EPC-HHO-06 cho NMND O Mon IV 
Thoi Loi Area, Phuoc Thoi Ward, Can Tho City, Vietnam
T : (+84) 367 566 167 F : (+84 243) 624 8485</t>
    <phoneticPr fontId="34"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</si>
  <si>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4" type="noConversion"/>
  </si>
  <si>
    <t>Ho Chi Minh City Port, Vietnam</t>
  </si>
  <si>
    <t>COG Marked (Y/N)</t>
    <phoneticPr fontId="34" type="noConversion"/>
  </si>
  <si>
    <t>Sling Point Marked (Y/N)</t>
    <phoneticPr fontId="34" type="noConversion"/>
  </si>
  <si>
    <t>Handle with care Marked
(Y/N)</t>
    <phoneticPr fontId="34" type="noConversion"/>
  </si>
  <si>
    <t>Republic of Korea</t>
    <phoneticPr fontId="34" type="noConversion"/>
  </si>
  <si>
    <t>C/O of Goods</t>
    <phoneticPr fontId="0" type="noConversion"/>
  </si>
  <si>
    <t>Position in price schedule</t>
    <phoneticPr fontId="0" type="noConversion"/>
  </si>
  <si>
    <t>EA</t>
  </si>
  <si>
    <t>EA</t>
    <phoneticPr fontId="34" type="noConversion"/>
  </si>
  <si>
    <t>D</t>
    <phoneticPr fontId="34" type="noConversion"/>
  </si>
  <si>
    <t>Wodden</t>
    <phoneticPr fontId="34" type="noConversion"/>
  </si>
  <si>
    <t>PVC Bond</t>
  </si>
  <si>
    <t>1KG/CAN</t>
  </si>
  <si>
    <t>Y</t>
    <phoneticPr fontId="34" type="noConversion"/>
  </si>
  <si>
    <t xml:space="preserve">SHIPMENT NO. : </t>
    <phoneticPr fontId="34" type="noConversion"/>
  </si>
  <si>
    <t>1</t>
    <phoneticPr fontId="34" type="noConversion"/>
  </si>
  <si>
    <t>2</t>
  </si>
  <si>
    <t>3</t>
  </si>
  <si>
    <t>PVC Bond</t>
    <phoneticPr fontId="34" type="noConversion"/>
  </si>
  <si>
    <t>N</t>
    <phoneticPr fontId="34" type="noConversion"/>
  </si>
  <si>
    <t>C/O of Goods</t>
  </si>
  <si>
    <t>Quantity</t>
  </si>
  <si>
    <t>Package Type</t>
  </si>
  <si>
    <t>UNIT PRICE
(USD)</t>
  </si>
  <si>
    <t>AMOUNT
(USD)</t>
  </si>
  <si>
    <t>Remark
(**)</t>
  </si>
  <si>
    <t>Nos</t>
  </si>
  <si>
    <t>Unit</t>
  </si>
  <si>
    <t>GROSS WEIGHT
(KG)</t>
    <phoneticPr fontId="34" type="noConversion"/>
  </si>
  <si>
    <t>NET 
WEIGHT
(KG)</t>
    <phoneticPr fontId="34" type="noConversion"/>
  </si>
  <si>
    <t>BOP</t>
  </si>
  <si>
    <t>Republic of Korea</t>
  </si>
  <si>
    <t>HRSG</t>
  </si>
  <si>
    <t>HRSG</t>
    <phoneticPr fontId="0" type="noConversion"/>
  </si>
  <si>
    <t>STG</t>
  </si>
  <si>
    <t>STG</t>
    <phoneticPr fontId="0" type="noConversion"/>
  </si>
  <si>
    <t>GTG</t>
  </si>
  <si>
    <t>GTG</t>
    <phoneticPr fontId="0" type="noConversion"/>
  </si>
  <si>
    <t>P0</t>
    <phoneticPr fontId="34" type="noConversion"/>
  </si>
  <si>
    <t>SAMSUNG E&amp;L</t>
  </si>
  <si>
    <t>SAMSUNG E&amp;L</t>
    <phoneticPr fontId="34" type="noConversion"/>
  </si>
  <si>
    <t>Technical Description</t>
    <phoneticPr fontId="34" type="noConversion"/>
  </si>
  <si>
    <t>Invoice no.</t>
    <phoneticPr fontId="34" type="noConversion"/>
  </si>
  <si>
    <t>№</t>
  </si>
  <si>
    <t>Package No.</t>
    <phoneticPr fontId="34" type="noConversion"/>
  </si>
  <si>
    <t>Description of Goods</t>
    <phoneticPr fontId="34" type="noConversion"/>
  </si>
  <si>
    <t>Quantity</t>
    <phoneticPr fontId="34" type="noConversion"/>
  </si>
  <si>
    <t>Photo</t>
    <phoneticPr fontId="34" type="noConversion"/>
  </si>
  <si>
    <t>Technical specifications</t>
    <phoneticPr fontId="34" type="noConversion"/>
  </si>
  <si>
    <t>Nos</t>
    <phoneticPr fontId="34" type="noConversion"/>
  </si>
  <si>
    <t>Unit</t>
    <phoneticPr fontId="34" type="noConversion"/>
  </si>
  <si>
    <t>Before packing</t>
    <phoneticPr fontId="34" type="noConversion"/>
  </si>
  <si>
    <t>After packing</t>
    <phoneticPr fontId="34" type="noConversion"/>
  </si>
  <si>
    <t>DESCRIPTION OF GOODS</t>
    <phoneticPr fontId="34"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</si>
  <si>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4" type="noConversion"/>
  </si>
  <si>
    <t>1KG/CAN</t>
    <phoneticPr fontId="34" type="noConversion"/>
  </si>
  <si>
    <t>PVC Bond 1KG/CAN</t>
    <phoneticPr fontId="34" type="noConversion"/>
  </si>
  <si>
    <t>Jinho. Lee / Deputy Project Director</t>
  </si>
  <si>
    <t>Busan International Port, Korea</t>
  </si>
  <si>
    <t>T/T</t>
    <phoneticPr fontId="34" type="noConversion"/>
  </si>
  <si>
    <t>PAYMENT TERMS:</t>
    <phoneticPr fontId="34" type="noConversion"/>
  </si>
  <si>
    <t>Busan International Port, Korea</t>
    <phoneticPr fontId="34" type="noConversion"/>
  </si>
  <si>
    <t>OM4-DE-IS-0008-001</t>
    <phoneticPr fontId="34" type="noConversion"/>
  </si>
  <si>
    <t>OM4-DE-IS-0008-002</t>
    <phoneticPr fontId="34" type="noConversion"/>
  </si>
  <si>
    <t>OM4-DE-IS-0008-003</t>
    <phoneticPr fontId="34" type="noConversion"/>
  </si>
  <si>
    <t>Wooden</t>
    <phoneticPr fontId="34" type="noConversion"/>
  </si>
  <si>
    <t>OM4-DE-IS-0008</t>
    <phoneticPr fontId="34" type="noConversion"/>
  </si>
  <si>
    <t>Conduit &amp; Accessories included I&amp;C Conduit 
(PVC Bond)</t>
    <phoneticPr fontId="34" type="noConversion"/>
  </si>
  <si>
    <t>PS 1.1, Ⅴ, 11</t>
  </si>
  <si>
    <t>HS CODE</t>
  </si>
  <si>
    <t>3506.10-9000</t>
  </si>
  <si>
    <t>HMM HARMONY 0022S</t>
  </si>
  <si>
    <t>Ho Chi Minh City Port, Vietnam</t>
    <phoneticPr fontId="34" type="noConversion"/>
  </si>
  <si>
    <t>CIF, Ho Chi Minh City Port, Vietnam</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</si>
</sst>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 #,##0.00_-;\-* #,##0.00_-;_-* &quot;-&quot;_-;_-@_-"/>
    <numFmt numFmtId="165" formatCode="_-* #,##0.000_-;\-* #,##0.000_-;_-* &quot;-&quot;???_-;_-@_-"/>
    <numFmt numFmtId="166" formatCode="#,##0.000_);[Red]\(#,##0.000\)"/>
    <numFmt numFmtId="167" formatCode="_-* #,##0.0_-;\-* #,##0.0_-;_-* &quot;-&quot;_-;_-@_-"/>
    <numFmt numFmtId="168" formatCode="0.00_);[Red]\(0.00\)"/>
    <numFmt numFmtId="169" formatCode="&quot;#&quot;\ 00"/>
    <numFmt numFmtId="170" formatCode="&quot;#&quot;00"/>
    <numFmt numFmtId="171" formatCode="0_);[Red]\(0\)"/>
    <numFmt numFmtId="172" formatCode="0.000_);[Red]\(0.000\)"/>
    <numFmt numFmtId="173" formatCode="_(* #,##0_);_(* \(#,##0\);_(* &quot;-&quot;??_);_(@_)"/>
    <numFmt numFmtId="174" formatCode="#,##0_ "/>
    <numFmt numFmtId="175" formatCode="#,##0.00_ ;[Red]\-#,##0.00\ "/>
  </numFmts>
  <fonts count="61">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sz val="10"/>
      <color rgb="FFFF0000"/>
      <name val="Arial"/>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10"/>
      <name val="돋움"/>
      <family val="3"/>
      <charset val="129"/>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18"/>
      <color rgb="FFFF0000"/>
      <name val="Calibri"/>
      <family val="2"/>
    </font>
    <font>
      <sz val="8"/>
      <name val="Arial"/>
      <family val="2"/>
    </font>
    <font>
      <i/>
      <sz val="20"/>
      <color rgb="FFFF0000"/>
      <name val="Calibri"/>
      <family val="2"/>
    </font>
    <font>
      <i/>
      <sz val="20"/>
      <name val="돋움"/>
      <family val="3"/>
      <charset val="129"/>
    </font>
    <font>
      <sz val="9"/>
      <name val="돋움"/>
      <family val="3"/>
      <charset val="129"/>
    </font>
    <font>
      <sz val="10"/>
      <color rgb="FF0000FF"/>
      <name val="Calibri"/>
      <family val="2"/>
    </font>
    <font>
      <b/>
      <sz val="10"/>
      <name val="돋움"/>
      <family val="3"/>
      <charset val="129"/>
    </font>
    <font>
      <b/>
      <sz val="14"/>
      <name val="Arial"/>
      <family val="2"/>
    </font>
    <font>
      <sz val="9"/>
      <name val="Calibri"/>
      <family val="2"/>
    </font>
    <font>
      <u/>
      <sz val="11"/>
      <color theme="10"/>
      <name val="돋움"/>
      <family val="3"/>
      <charset val="129"/>
    </font>
    <font>
      <u/>
      <sz val="10"/>
      <name val="Calibri"/>
      <family val="2"/>
    </font>
    <font>
      <b/>
      <sz val="14"/>
      <name val="Calibri"/>
      <family val="2"/>
    </font>
    <font>
      <b/>
      <i/>
      <sz val="14"/>
      <name val="Calibri"/>
      <family val="2"/>
    </font>
    <font>
      <sz val="13"/>
      <name val="Calibri"/>
      <family val="2"/>
    </font>
    <font>
      <i/>
      <sz val="13"/>
      <name val="Calibri"/>
      <family val="2"/>
    </font>
    <font>
      <sz val="11"/>
      <name val="굴림체"/>
      <family val="3"/>
      <charset val="129"/>
    </font>
    <font>
      <sz val="13"/>
      <color rgb="FF0000CC"/>
      <name val="Calibri"/>
      <family val="2"/>
    </font>
    <font>
      <i/>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color rgb="FFFF0000"/>
      <name val="Arial"/>
      <family val="2"/>
    </font>
    <font>
      <sz val="20"/>
      <name val="Calibri"/>
      <family val="2"/>
    </font>
    <font>
      <sz val="20"/>
      <name val="돋움"/>
      <family val="3"/>
      <charset val="129"/>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5" fillId="0" borderId="0">
      <alignment vertical="center"/>
    </xf>
    <xf numFmtId="41" fontId="1" fillId="0" borderId="0" applyFont="0" applyFill="0" applyBorder="0" applyAlignment="0" applyProtection="0"/>
    <xf numFmtId="0" fontId="1" fillId="0" borderId="0">
      <alignment vertical="center"/>
    </xf>
    <xf numFmtId="0" fontId="31" fillId="0" borderId="0">
      <alignment vertical="center"/>
    </xf>
    <xf numFmtId="0" fontId="1" fillId="0" borderId="0">
      <alignment vertical="center"/>
    </xf>
    <xf numFmtId="0" fontId="44" fillId="0" borderId="0" applyNumberFormat="0" applyFill="0" applyBorder="0" applyAlignment="0" applyProtection="0">
      <alignment vertical="center"/>
    </xf>
    <xf numFmtId="0" fontId="50" fillId="0" borderId="0"/>
    <xf numFmtId="4" fontId="54" fillId="0" borderId="0">
      <protection locked="0"/>
    </xf>
    <xf numFmtId="41" fontId="1" fillId="0" borderId="0" applyFont="0" applyFill="0" applyBorder="0" applyAlignment="0" applyProtection="0">
      <alignment vertical="center"/>
    </xf>
    <xf numFmtId="41" fontId="1" fillId="0" borderId="0" applyFont="0" applyFill="0" applyBorder="0" applyAlignment="0" applyProtection="0"/>
  </cellStyleXfs>
  <cellXfs count="520">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10" xfId="3" applyFont="1" applyBorder="1" applyAlignment="1">
      <alignment vertical="center"/>
    </xf>
    <xf numFmtId="37" fontId="2" fillId="0" borderId="10" xfId="3" applyFont="1" applyBorder="1" applyAlignment="1">
      <alignment horizontal="center" vertical="center"/>
    </xf>
    <xf numFmtId="37" fontId="2" fillId="0" borderId="11" xfId="3" applyFont="1" applyBorder="1" applyAlignment="1">
      <alignment horizontal="center" vertical="center"/>
    </xf>
    <xf numFmtId="37" fontId="3" fillId="0" borderId="12" xfId="3" applyFont="1" applyBorder="1" applyAlignment="1">
      <alignment vertical="center"/>
    </xf>
    <xf numFmtId="37" fontId="2" fillId="0" borderId="10" xfId="3" applyFont="1" applyBorder="1" applyAlignment="1">
      <alignment horizontal="left" vertical="center"/>
    </xf>
    <xf numFmtId="37" fontId="2" fillId="0" borderId="13"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37" fontId="8" fillId="0" borderId="4" xfId="3" applyFont="1" applyBorder="1" applyAlignment="1">
      <alignment vertical="center"/>
    </xf>
    <xf numFmtId="37" fontId="3" fillId="0" borderId="15" xfId="3" applyFont="1" applyBorder="1" applyAlignment="1">
      <alignment vertical="center"/>
    </xf>
    <xf numFmtId="37" fontId="2" fillId="0" borderId="7" xfId="3" applyFont="1" applyBorder="1" applyAlignment="1">
      <alignment horizontal="left" vertical="center"/>
    </xf>
    <xf numFmtId="15" fontId="2" fillId="0" borderId="7" xfId="0" applyNumberFormat="1" applyFont="1" applyBorder="1" applyAlignment="1">
      <alignment horizontal="left" vertical="center"/>
    </xf>
    <xf numFmtId="37" fontId="2" fillId="0" borderId="8" xfId="3" applyFont="1" applyBorder="1" applyAlignme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2" fillId="0" borderId="13" xfId="0" applyFont="1" applyBorder="1">
      <alignment vertical="center"/>
    </xf>
    <xf numFmtId="37" fontId="2" fillId="0" borderId="7" xfId="3" applyFont="1" applyBorder="1" applyAlignment="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8"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15" fontId="2" fillId="0" borderId="7" xfId="3" applyNumberFormat="1" applyFont="1" applyBorder="1" applyAlignment="1">
      <alignment horizontal="lef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4" fontId="2" fillId="0" borderId="24" xfId="1" applyNumberFormat="1" applyFont="1" applyFill="1" applyBorder="1" applyAlignment="1">
      <alignment horizontal="center" vertical="center"/>
    </xf>
    <xf numFmtId="41" fontId="2" fillId="0" borderId="14" xfId="0" applyNumberFormat="1" applyFont="1" applyBorder="1" applyAlignment="1">
      <alignment horizontal="center" vertical="center"/>
    </xf>
    <xf numFmtId="41" fontId="2" fillId="0" borderId="24" xfId="0" applyNumberFormat="1" applyFont="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41" fontId="14" fillId="0" borderId="10" xfId="0" applyNumberFormat="1" applyFont="1" applyBorder="1" applyAlignment="1">
      <alignment horizontal="left" vertical="center"/>
    </xf>
    <xf numFmtId="0" fontId="12" fillId="0" borderId="10" xfId="0" applyFont="1" applyBorder="1" applyAlignment="1">
      <alignment horizontal="center" vertical="center"/>
    </xf>
    <xf numFmtId="164" fontId="12" fillId="0" borderId="14" xfId="0" applyNumberFormat="1" applyFont="1" applyBorder="1">
      <alignmen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41" fontId="2" fillId="0" borderId="0" xfId="3" applyNumberFormat="1" applyFont="1" applyAlignment="1">
      <alignment vertical="center"/>
    </xf>
    <xf numFmtId="165" fontId="2" fillId="0" borderId="0" xfId="3" applyNumberFormat="1" applyFont="1" applyAlignment="1">
      <alignment vertical="center"/>
    </xf>
    <xf numFmtId="37" fontId="3" fillId="0" borderId="4" xfId="3" applyFont="1" applyBorder="1" applyAlignment="1">
      <alignment vertical="center"/>
    </xf>
    <xf numFmtId="0" fontId="15" fillId="0" borderId="5" xfId="0" applyFont="1" applyBorder="1">
      <alignment vertical="center"/>
    </xf>
    <xf numFmtId="0" fontId="9" fillId="0" borderId="19" xfId="0" applyFont="1" applyBorder="1" applyAlignment="1">
      <alignment horizontal="left" vertical="center"/>
    </xf>
    <xf numFmtId="41" fontId="3" fillId="0" borderId="26" xfId="0" applyNumberFormat="1" applyFont="1" applyBorder="1" applyAlignment="1">
      <alignment horizontal="center" vertical="center"/>
    </xf>
    <xf numFmtId="41" fontId="3" fillId="0" borderId="26" xfId="0" applyNumberFormat="1" applyFont="1" applyBorder="1" applyAlignment="1">
      <alignment horizontal="center" vertical="center" wrapText="1"/>
    </xf>
    <xf numFmtId="41" fontId="3" fillId="0" borderId="29" xfId="0" applyNumberFormat="1" applyFont="1" applyBorder="1" applyAlignment="1">
      <alignment horizontal="center" vertical="center" wrapText="1"/>
    </xf>
    <xf numFmtId="41"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167" fontId="2" fillId="0" borderId="23" xfId="0" applyNumberFormat="1" applyFont="1" applyBorder="1" applyAlignment="1">
      <alignment horizontal="center" vertical="center"/>
    </xf>
    <xf numFmtId="164" fontId="2" fillId="0" borderId="24" xfId="0" applyNumberFormat="1" applyFont="1" applyBorder="1" applyAlignment="1">
      <alignment horizontal="center" vertical="center"/>
    </xf>
    <xf numFmtId="41" fontId="15" fillId="0" borderId="23" xfId="0" applyNumberFormat="1" applyFont="1" applyBorder="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7"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37" fontId="2" fillId="0" borderId="0" xfId="0" applyNumberFormat="1"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0" fontId="2" fillId="0" borderId="25" xfId="0" applyFont="1" applyBorder="1" applyAlignment="1">
      <alignment horizontal="center" vertical="center"/>
    </xf>
    <xf numFmtId="0" fontId="18" fillId="0" borderId="26" xfId="0" applyFont="1" applyBorder="1" applyAlignment="1">
      <alignment horizontal="center" vertical="center" wrapText="1"/>
    </xf>
    <xf numFmtId="167" fontId="2" fillId="0" borderId="26" xfId="1" applyNumberFormat="1" applyFont="1" applyFill="1" applyBorder="1" applyAlignment="1">
      <alignment horizontal="center" vertical="center" wrapText="1"/>
    </xf>
    <xf numFmtId="0" fontId="2"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19" fillId="0" borderId="0" xfId="0" applyFont="1" applyAlignment="1">
      <alignment horizontal="center" vertical="center"/>
    </xf>
    <xf numFmtId="0" fontId="20" fillId="0" borderId="0" xfId="0" applyFont="1">
      <alignment vertical="center"/>
    </xf>
    <xf numFmtId="0" fontId="21" fillId="0" borderId="0" xfId="0" applyFont="1" applyAlignment="1">
      <alignment horizontal="center" vertical="center"/>
    </xf>
    <xf numFmtId="0" fontId="21" fillId="0" borderId="0" xfId="0" applyFont="1">
      <alignment vertical="center"/>
    </xf>
    <xf numFmtId="41" fontId="12" fillId="0" borderId="0" xfId="0" applyNumberFormat="1" applyFont="1" applyAlignment="1">
      <alignment horizontal="center" vertical="center"/>
    </xf>
    <xf numFmtId="41" fontId="22" fillId="0" borderId="0" xfId="0" applyNumberFormat="1" applyFont="1" applyAlignment="1">
      <alignment horizontal="left" vertical="center"/>
    </xf>
    <xf numFmtId="41" fontId="12" fillId="0" borderId="0" xfId="1" applyFont="1" applyFill="1" applyBorder="1" applyAlignment="1">
      <alignment horizontal="center" vertical="center"/>
    </xf>
    <xf numFmtId="0" fontId="19"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8" fontId="12" fillId="0" borderId="0" xfId="0" applyNumberFormat="1" applyFont="1" applyAlignment="1">
      <alignment horizontal="center" vertical="center"/>
    </xf>
    <xf numFmtId="0" fontId="12" fillId="0" borderId="0" xfId="0" applyFont="1" applyAlignment="1">
      <alignment horizontal="right" vertical="center"/>
    </xf>
    <xf numFmtId="0" fontId="23" fillId="0" borderId="0" xfId="0" applyFont="1">
      <alignment vertical="center"/>
    </xf>
    <xf numFmtId="0" fontId="12" fillId="0" borderId="0" xfId="0" applyFont="1" applyAlignment="1">
      <alignment horizontal="left" vertical="center"/>
    </xf>
    <xf numFmtId="168" fontId="12" fillId="0" borderId="0" xfId="0" applyNumberFormat="1" applyFont="1" applyAlignment="1">
      <alignment horizontal="left" vertical="center"/>
    </xf>
    <xf numFmtId="168" fontId="12" fillId="0" borderId="26" xfId="0" applyNumberFormat="1" applyFont="1" applyBorder="1" applyAlignment="1">
      <alignment horizontal="left" vertical="center"/>
    </xf>
    <xf numFmtId="168" fontId="12" fillId="0" borderId="26" xfId="0" applyNumberFormat="1" applyFont="1" applyBorder="1" applyAlignment="1">
      <alignment horizontal="center" vertical="center"/>
    </xf>
    <xf numFmtId="0" fontId="24"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8" fontId="14" fillId="0" borderId="26" xfId="0" applyNumberFormat="1" applyFont="1" applyBorder="1" applyAlignment="1">
      <alignment horizontal="center" vertical="center" wrapText="1"/>
    </xf>
    <xf numFmtId="41" fontId="12" fillId="0" borderId="0" xfId="1" applyFont="1" applyAlignment="1">
      <alignment vertical="center"/>
    </xf>
    <xf numFmtId="168" fontId="12" fillId="0" borderId="0" xfId="0" applyNumberFormat="1" applyFont="1">
      <alignment vertical="center"/>
    </xf>
    <xf numFmtId="0" fontId="12" fillId="0" borderId="0" xfId="1" applyNumberFormat="1" applyFont="1" applyFill="1" applyAlignment="1">
      <alignment vertical="center"/>
    </xf>
    <xf numFmtId="0" fontId="28" fillId="0" borderId="0" xfId="6" applyFont="1">
      <alignment vertical="center"/>
    </xf>
    <xf numFmtId="0" fontId="28" fillId="0" borderId="0" xfId="6" applyFont="1" applyAlignment="1">
      <alignment horizontal="center" vertical="center"/>
    </xf>
    <xf numFmtId="0" fontId="30" fillId="0" borderId="10" xfId="6" applyFont="1" applyBorder="1" applyAlignment="1">
      <alignment horizontal="center" vertical="top" wrapText="1"/>
    </xf>
    <xf numFmtId="0" fontId="28" fillId="0" borderId="0" xfId="6" applyFont="1" applyAlignment="1">
      <alignment horizontal="left" vertical="center" indent="2"/>
    </xf>
    <xf numFmtId="0" fontId="30" fillId="0" borderId="0" xfId="6" applyFont="1" applyAlignment="1">
      <alignment horizontal="center" vertical="top" wrapText="1"/>
    </xf>
    <xf numFmtId="0" fontId="30" fillId="0" borderId="0" xfId="6" applyFont="1" applyAlignment="1">
      <alignment horizontal="center" vertical="top"/>
    </xf>
    <xf numFmtId="170" fontId="28" fillId="0" borderId="0" xfId="6" applyNumberFormat="1" applyFont="1" applyAlignment="1">
      <alignment horizontal="left" vertical="center" indent="2"/>
    </xf>
    <xf numFmtId="41" fontId="28" fillId="0" borderId="0" xfId="1" applyFont="1" applyFill="1" applyBorder="1" applyAlignment="1">
      <alignment horizontal="left" vertical="top"/>
    </xf>
    <xf numFmtId="41" fontId="28" fillId="0" borderId="0" xfId="1" applyFont="1" applyFill="1" applyBorder="1" applyAlignment="1">
      <alignment vertical="top"/>
    </xf>
    <xf numFmtId="164" fontId="28" fillId="0" borderId="0" xfId="1" applyNumberFormat="1" applyFont="1" applyFill="1" applyBorder="1" applyAlignment="1">
      <alignment vertical="top"/>
    </xf>
    <xf numFmtId="49" fontId="28" fillId="0" borderId="14" xfId="6" applyNumberFormat="1" applyFont="1" applyBorder="1" applyAlignment="1">
      <alignment horizontal="left" vertical="top"/>
    </xf>
    <xf numFmtId="0" fontId="28" fillId="0" borderId="0" xfId="1" applyNumberFormat="1" applyFont="1" applyFill="1" applyBorder="1" applyAlignment="1">
      <alignment vertical="top"/>
    </xf>
    <xf numFmtId="0" fontId="30" fillId="0" borderId="7" xfId="6" applyFont="1" applyBorder="1" applyAlignment="1">
      <alignment horizontal="center" vertical="top" wrapText="1"/>
    </xf>
    <xf numFmtId="0" fontId="28" fillId="0" borderId="7" xfId="7" applyFont="1" applyBorder="1" applyAlignment="1">
      <alignment vertical="top" wrapText="1"/>
    </xf>
    <xf numFmtId="0" fontId="28" fillId="0" borderId="20" xfId="7" applyFont="1" applyBorder="1" applyAlignment="1">
      <alignment vertical="top" wrapText="1"/>
    </xf>
    <xf numFmtId="0" fontId="15" fillId="0" borderId="19" xfId="0" applyFont="1" applyBorder="1" applyAlignment="1">
      <alignment horizontal="left" vertical="center"/>
    </xf>
    <xf numFmtId="0" fontId="32" fillId="0" borderId="0" xfId="0" quotePrefix="1" applyFont="1" applyAlignment="1">
      <alignment vertical="center" wrapText="1"/>
    </xf>
    <xf numFmtId="0" fontId="28" fillId="0" borderId="25" xfId="6" applyFont="1" applyBorder="1" applyAlignment="1">
      <alignment horizontal="right" vertical="top" wrapText="1" indent="1"/>
    </xf>
    <xf numFmtId="0" fontId="28" fillId="0" borderId="23" xfId="6" applyFont="1" applyBorder="1" applyAlignment="1">
      <alignment horizontal="right" vertical="top" wrapText="1" indent="1"/>
    </xf>
    <xf numFmtId="0" fontId="28" fillId="0" borderId="23" xfId="6" applyFont="1" applyBorder="1" applyAlignment="1">
      <alignment horizontal="right" vertical="top" indent="1"/>
    </xf>
    <xf numFmtId="0" fontId="28" fillId="0" borderId="21" xfId="6" applyFont="1" applyBorder="1" applyAlignment="1">
      <alignment horizontal="right" vertical="top" wrapText="1" indent="1"/>
    </xf>
    <xf numFmtId="0" fontId="35" fillId="0" borderId="7" xfId="7" applyFont="1" applyBorder="1" applyAlignment="1">
      <alignment horizontal="left" vertical="top"/>
    </xf>
    <xf numFmtId="41" fontId="2" fillId="0" borderId="0" xfId="0" applyNumberFormat="1" applyFont="1" applyAlignment="1">
      <alignment horizontal="left" vertical="center"/>
    </xf>
    <xf numFmtId="0" fontId="0" fillId="0" borderId="0" xfId="0" applyAlignment="1">
      <alignment horizontal="left" vertical="center" wrapText="1"/>
    </xf>
    <xf numFmtId="0" fontId="36" fillId="0" borderId="0" xfId="0" applyFont="1" applyAlignment="1">
      <alignment horizontal="left" vertical="top" wrapText="1"/>
    </xf>
    <xf numFmtId="0" fontId="8" fillId="0" borderId="0" xfId="0" applyFont="1">
      <alignment vertical="center"/>
    </xf>
    <xf numFmtId="0" fontId="8" fillId="0" borderId="0" xfId="0" applyFont="1" applyAlignment="1">
      <alignment vertical="center" wrapText="1"/>
    </xf>
    <xf numFmtId="41" fontId="2" fillId="0" borderId="18" xfId="0" applyNumberFormat="1" applyFont="1" applyBorder="1" applyAlignment="1">
      <alignment horizontal="left" vertical="center"/>
    </xf>
    <xf numFmtId="14" fontId="8" fillId="0" borderId="7" xfId="3" applyNumberFormat="1" applyFont="1" applyBorder="1" applyAlignment="1">
      <alignment vertical="center"/>
    </xf>
    <xf numFmtId="14" fontId="40" fillId="0" borderId="0" xfId="0" applyNumberFormat="1" applyFont="1">
      <alignment vertical="center"/>
    </xf>
    <xf numFmtId="14" fontId="2" fillId="0" borderId="0" xfId="0" quotePrefix="1" applyNumberFormat="1" applyFont="1" applyAlignment="1">
      <alignment horizontal="left" vertical="center"/>
    </xf>
    <xf numFmtId="14" fontId="12" fillId="0" borderId="0" xfId="0" quotePrefix="1" applyNumberFormat="1" applyFont="1" applyAlignment="1">
      <alignment horizontal="left" vertical="center"/>
    </xf>
    <xf numFmtId="15" fontId="12" fillId="0" borderId="0" xfId="0" applyNumberFormat="1" applyFont="1" applyAlignment="1">
      <alignment horizontal="left" vertical="center"/>
    </xf>
    <xf numFmtId="0" fontId="2" fillId="0" borderId="0" xfId="0" applyFont="1" applyAlignment="1">
      <alignment horizontal="left" vertical="center" wrapText="1"/>
    </xf>
    <xf numFmtId="0" fontId="2" fillId="0" borderId="0" xfId="0" quotePrefix="1" applyFont="1">
      <alignment vertical="center"/>
    </xf>
    <xf numFmtId="0" fontId="2" fillId="0" borderId="17" xfId="0" quotePrefix="1" applyFont="1" applyBorder="1">
      <alignment vertical="center"/>
    </xf>
    <xf numFmtId="0" fontId="4" fillId="0" borderId="0" xfId="0" applyFont="1">
      <alignment vertical="center"/>
    </xf>
    <xf numFmtId="0" fontId="4" fillId="0" borderId="0" xfId="0" applyFont="1" applyAlignment="1">
      <alignment horizontal="center" vertical="center"/>
    </xf>
    <xf numFmtId="0" fontId="12" fillId="0" borderId="26" xfId="0" quotePrefix="1" applyFont="1" applyBorder="1" applyAlignment="1">
      <alignment horizontal="center" vertical="center"/>
    </xf>
    <xf numFmtId="164" fontId="12" fillId="0" borderId="26" xfId="1" applyNumberFormat="1" applyFont="1" applyFill="1" applyBorder="1" applyAlignment="1">
      <alignment horizontal="center" vertical="center"/>
    </xf>
    <xf numFmtId="41" fontId="14" fillId="0" borderId="26" xfId="1" applyFont="1" applyBorder="1" applyAlignment="1">
      <alignment horizontal="center" vertical="center"/>
    </xf>
    <xf numFmtId="41" fontId="12" fillId="0" borderId="0" xfId="1" applyFont="1">
      <alignment vertical="center"/>
    </xf>
    <xf numFmtId="41" fontId="12" fillId="0" borderId="0" xfId="1" applyFont="1" applyAlignment="1">
      <alignment horizontal="left" vertical="center"/>
    </xf>
    <xf numFmtId="41" fontId="12" fillId="0" borderId="0" xfId="1" applyFont="1" applyAlignment="1">
      <alignment horizontal="center" vertical="center"/>
    </xf>
    <xf numFmtId="41" fontId="12" fillId="0" borderId="0" xfId="1" applyFont="1" applyAlignment="1">
      <alignment vertical="center" wrapText="1"/>
    </xf>
    <xf numFmtId="164" fontId="12" fillId="0" borderId="26" xfId="1" applyNumberFormat="1" applyFont="1" applyBorder="1" applyAlignment="1">
      <alignment horizontal="center" vertical="center"/>
    </xf>
    <xf numFmtId="2" fontId="14" fillId="0" borderId="0" xfId="0" applyNumberFormat="1" applyFont="1" applyAlignment="1">
      <alignment horizontal="center" vertical="center"/>
    </xf>
    <xf numFmtId="0" fontId="2" fillId="0" borderId="26" xfId="0" quotePrefix="1" applyFont="1" applyBorder="1" applyAlignment="1">
      <alignment horizontal="center" vertical="center"/>
    </xf>
    <xf numFmtId="41" fontId="2" fillId="0" borderId="26" xfId="0" applyNumberFormat="1" applyFont="1" applyBorder="1" applyAlignment="1">
      <alignment horizontal="center" vertical="center"/>
    </xf>
    <xf numFmtId="0" fontId="8" fillId="0" borderId="5" xfId="0" applyFont="1" applyBorder="1" applyAlignment="1">
      <alignment vertical="center" wrapText="1"/>
    </xf>
    <xf numFmtId="0" fontId="43" fillId="0" borderId="0" xfId="0" applyFont="1">
      <alignment vertical="center"/>
    </xf>
    <xf numFmtId="0" fontId="43" fillId="0" borderId="0" xfId="0" applyFont="1" applyAlignment="1">
      <alignment vertical="center" wrapText="1"/>
    </xf>
    <xf numFmtId="171" fontId="43" fillId="0" borderId="0" xfId="1" applyNumberFormat="1" applyFont="1">
      <alignment vertical="center"/>
    </xf>
    <xf numFmtId="0" fontId="43" fillId="0" borderId="0" xfId="0" applyFont="1" applyAlignment="1">
      <alignment horizontal="center" vertical="center"/>
    </xf>
    <xf numFmtId="0" fontId="45" fillId="0" borderId="0" xfId="9" applyFont="1">
      <alignment vertical="center"/>
    </xf>
    <xf numFmtId="0" fontId="12" fillId="0" borderId="0" xfId="0" applyFont="1" applyAlignment="1">
      <alignment vertical="center" wrapText="1"/>
    </xf>
    <xf numFmtId="0" fontId="46" fillId="0" borderId="0" xfId="0" applyFont="1">
      <alignment vertical="center"/>
    </xf>
    <xf numFmtId="0" fontId="21" fillId="0" borderId="0" xfId="0" applyFont="1" applyAlignment="1">
      <alignment vertical="center" wrapText="1"/>
    </xf>
    <xf numFmtId="172" fontId="43" fillId="0" borderId="0" xfId="0" applyNumberFormat="1" applyFont="1" applyAlignment="1">
      <alignment horizontal="left" vertical="center"/>
    </xf>
    <xf numFmtId="0" fontId="48" fillId="0" borderId="0" xfId="0" applyFont="1" applyAlignment="1">
      <alignment vertical="center" wrapText="1"/>
    </xf>
    <xf numFmtId="0" fontId="48" fillId="0" borderId="0" xfId="0" applyFont="1">
      <alignment vertical="center"/>
    </xf>
    <xf numFmtId="172" fontId="48" fillId="0" borderId="21" xfId="0" applyNumberFormat="1" applyFont="1" applyBorder="1" applyAlignment="1">
      <alignment horizontal="center" vertical="center" wrapText="1"/>
    </xf>
    <xf numFmtId="0" fontId="49" fillId="0" borderId="44" xfId="0" applyFont="1" applyBorder="1" applyAlignment="1">
      <alignment horizontal="center" vertical="center"/>
    </xf>
    <xf numFmtId="40" fontId="49" fillId="2" borderId="30" xfId="1" applyNumberFormat="1" applyFont="1" applyFill="1" applyBorder="1" applyAlignment="1">
      <alignment horizontal="center" vertical="center"/>
    </xf>
    <xf numFmtId="4" fontId="48" fillId="2" borderId="29" xfId="0" applyNumberFormat="1" applyFont="1" applyFill="1" applyBorder="1" applyAlignment="1">
      <alignment horizontal="center" vertical="center"/>
    </xf>
    <xf numFmtId="0" fontId="51" fillId="0" borderId="0" xfId="0" applyFont="1" applyAlignment="1">
      <alignment vertical="center" wrapText="1"/>
    </xf>
    <xf numFmtId="0" fontId="52" fillId="0" borderId="0" xfId="0" applyFont="1" applyAlignment="1">
      <alignment vertical="center" wrapText="1"/>
    </xf>
    <xf numFmtId="0" fontId="52" fillId="0" borderId="0" xfId="0" applyFont="1">
      <alignment vertical="center"/>
    </xf>
    <xf numFmtId="40" fontId="53" fillId="2" borderId="30" xfId="1" applyNumberFormat="1" applyFont="1" applyFill="1" applyBorder="1" applyAlignment="1">
      <alignment horizontal="center" vertical="center"/>
    </xf>
    <xf numFmtId="40" fontId="53" fillId="2" borderId="12" xfId="1" applyNumberFormat="1" applyFont="1" applyFill="1" applyBorder="1" applyAlignment="1">
      <alignment horizontal="center" vertical="center"/>
    </xf>
    <xf numFmtId="0" fontId="43" fillId="0" borderId="0" xfId="0" applyFont="1" applyAlignment="1">
      <alignment horizontal="left" vertical="center"/>
    </xf>
    <xf numFmtId="171" fontId="43" fillId="0" borderId="0" xfId="1" applyNumberFormat="1" applyFont="1" applyFill="1" applyBorder="1" applyAlignment="1">
      <alignment horizontal="left" vertical="center"/>
    </xf>
    <xf numFmtId="173" fontId="43" fillId="0" borderId="0" xfId="11" applyNumberFormat="1" applyFont="1" applyAlignment="1">
      <alignment horizontal="center" vertical="center"/>
      <protection locked="0"/>
    </xf>
    <xf numFmtId="40" fontId="53" fillId="2" borderId="2" xfId="1" applyNumberFormat="1" applyFont="1" applyFill="1" applyBorder="1" applyAlignment="1">
      <alignment horizontal="center" vertical="center"/>
    </xf>
    <xf numFmtId="172" fontId="43" fillId="2" borderId="0" xfId="0" applyNumberFormat="1" applyFont="1" applyFill="1" applyAlignment="1">
      <alignment horizontal="left" vertical="center"/>
    </xf>
    <xf numFmtId="174" fontId="43" fillId="0" borderId="0" xfId="0" applyNumberFormat="1" applyFont="1" applyAlignment="1">
      <alignment horizontal="left" vertical="center"/>
    </xf>
    <xf numFmtId="0" fontId="43" fillId="0" borderId="0" xfId="0" applyFont="1" applyAlignment="1">
      <alignment horizontal="left" vertical="center" wrapText="1"/>
    </xf>
    <xf numFmtId="171" fontId="43" fillId="0" borderId="0" xfId="1" applyNumberFormat="1" applyFont="1" applyFill="1" applyBorder="1" applyAlignment="1">
      <alignment horizontal="center" vertical="center"/>
    </xf>
    <xf numFmtId="172" fontId="43" fillId="0" borderId="0" xfId="0" applyNumberFormat="1" applyFont="1" applyAlignment="1">
      <alignment horizontal="center" vertical="center"/>
    </xf>
    <xf numFmtId="174" fontId="43" fillId="0" borderId="0" xfId="0" applyNumberFormat="1" applyFont="1" applyAlignment="1">
      <alignment horizontal="center" vertical="center"/>
    </xf>
    <xf numFmtId="171" fontId="43" fillId="0" borderId="0" xfId="1" applyNumberFormat="1" applyFont="1" applyBorder="1" applyAlignment="1">
      <alignment horizontal="center" vertical="center"/>
    </xf>
    <xf numFmtId="172" fontId="56" fillId="0" borderId="0" xfId="0" applyNumberFormat="1" applyFont="1" applyAlignment="1">
      <alignment horizontal="center" vertical="center"/>
    </xf>
    <xf numFmtId="171" fontId="12" fillId="0" borderId="0" xfId="1" applyNumberFormat="1" applyFont="1" applyBorder="1">
      <alignment vertical="center"/>
    </xf>
    <xf numFmtId="172" fontId="12" fillId="0" borderId="0" xfId="0" applyNumberFormat="1" applyFont="1">
      <alignment vertical="center"/>
    </xf>
    <xf numFmtId="171" fontId="12" fillId="0" borderId="0" xfId="1" applyNumberFormat="1" applyFont="1">
      <alignment vertical="center"/>
    </xf>
    <xf numFmtId="41" fontId="12" fillId="0" borderId="26" xfId="1" applyFont="1" applyBorder="1" applyAlignment="1">
      <alignment horizontal="center" vertical="center"/>
    </xf>
    <xf numFmtId="0" fontId="12" fillId="0" borderId="26" xfId="0" applyFont="1" applyBorder="1" applyAlignment="1">
      <alignment horizontal="center" vertical="center" wrapText="1"/>
    </xf>
    <xf numFmtId="168" fontId="12" fillId="0" borderId="26" xfId="0" applyNumberFormat="1" applyFont="1" applyBorder="1" applyAlignment="1">
      <alignment horizontal="center" vertical="center" wrapText="1"/>
    </xf>
    <xf numFmtId="164" fontId="12" fillId="0" borderId="21" xfId="1" applyNumberFormat="1" applyFont="1" applyBorder="1" applyAlignment="1">
      <alignment horizontal="center" vertical="center" wrapText="1"/>
    </xf>
    <xf numFmtId="41" fontId="12" fillId="3" borderId="26" xfId="1" applyFont="1" applyFill="1" applyBorder="1" applyAlignment="1">
      <alignment horizontal="center" vertical="center"/>
    </xf>
    <xf numFmtId="0" fontId="12" fillId="3" borderId="26" xfId="0" applyFont="1" applyFill="1" applyBorder="1" applyAlignment="1">
      <alignment horizontal="center" vertical="center"/>
    </xf>
    <xf numFmtId="0" fontId="12" fillId="3" borderId="21" xfId="0" applyFont="1" applyFill="1" applyBorder="1" applyAlignment="1">
      <alignment horizontal="center" vertical="center" wrapText="1"/>
    </xf>
    <xf numFmtId="0" fontId="12" fillId="3" borderId="26" xfId="0" applyFont="1" applyFill="1" applyBorder="1" applyAlignment="1">
      <alignment horizontal="center" vertical="center" wrapText="1"/>
    </xf>
    <xf numFmtId="168" fontId="12" fillId="3" borderId="26" xfId="0" applyNumberFormat="1" applyFont="1" applyFill="1" applyBorder="1" applyAlignment="1">
      <alignment horizontal="center" vertical="center" wrapText="1"/>
    </xf>
    <xf numFmtId="164" fontId="12" fillId="3" borderId="21" xfId="1" applyNumberFormat="1" applyFont="1" applyFill="1" applyBorder="1" applyAlignment="1">
      <alignment horizontal="center" vertical="center" wrapText="1"/>
    </xf>
    <xf numFmtId="0" fontId="12" fillId="3" borderId="15" xfId="0" applyFont="1" applyFill="1" applyBorder="1" applyAlignment="1">
      <alignment horizontal="center" vertical="center"/>
    </xf>
    <xf numFmtId="41" fontId="12" fillId="4" borderId="26" xfId="1" applyFont="1" applyFill="1" applyBorder="1" applyAlignment="1">
      <alignment horizontal="center" vertical="center"/>
    </xf>
    <xf numFmtId="0" fontId="12" fillId="4" borderId="26" xfId="0" applyFont="1" applyFill="1" applyBorder="1" applyAlignment="1">
      <alignment horizontal="center" vertical="center"/>
    </xf>
    <xf numFmtId="0" fontId="12" fillId="4" borderId="21" xfId="0" applyFont="1" applyFill="1" applyBorder="1" applyAlignment="1">
      <alignment horizontal="center" vertical="center" wrapText="1"/>
    </xf>
    <xf numFmtId="0" fontId="12" fillId="4" borderId="26" xfId="0" applyFont="1" applyFill="1" applyBorder="1" applyAlignment="1">
      <alignment horizontal="center" vertical="center" wrapText="1"/>
    </xf>
    <xf numFmtId="168" fontId="12" fillId="4" borderId="26" xfId="0" applyNumberFormat="1" applyFont="1" applyFill="1" applyBorder="1" applyAlignment="1">
      <alignment horizontal="center" vertical="center" wrapText="1"/>
    </xf>
    <xf numFmtId="164" fontId="12" fillId="4" borderId="21" xfId="1" applyNumberFormat="1" applyFont="1" applyFill="1" applyBorder="1" applyAlignment="1">
      <alignment horizontal="center" vertical="center" wrapText="1"/>
    </xf>
    <xf numFmtId="0" fontId="12" fillId="4" borderId="15" xfId="0" applyFont="1" applyFill="1" applyBorder="1" applyAlignment="1">
      <alignment horizontal="center" vertical="center"/>
    </xf>
    <xf numFmtId="0" fontId="2" fillId="2" borderId="20" xfId="0" applyFont="1" applyFill="1" applyBorder="1" applyAlignment="1">
      <alignment vertical="center" wrapText="1"/>
    </xf>
    <xf numFmtId="0" fontId="2" fillId="2" borderId="15" xfId="0" applyFont="1" applyFill="1" applyBorder="1">
      <alignment vertical="center"/>
    </xf>
    <xf numFmtId="0" fontId="12" fillId="0" borderId="30" xfId="0" quotePrefix="1" applyFont="1" applyBorder="1" applyAlignment="1">
      <alignment horizontal="center" vertical="center"/>
    </xf>
    <xf numFmtId="41" fontId="12" fillId="0" borderId="26" xfId="0" quotePrefix="1" applyNumberFormat="1"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175" fontId="12" fillId="0" borderId="26" xfId="1" applyNumberFormat="1" applyFont="1" applyFill="1" applyBorder="1" applyAlignment="1">
      <alignment horizontal="center" vertical="center"/>
    </xf>
    <xf numFmtId="0" fontId="11" fillId="0" borderId="4" xfId="0" applyFont="1" applyBorder="1">
      <alignment vertical="center"/>
    </xf>
    <xf numFmtId="0" fontId="11" fillId="0" borderId="0" xfId="0" applyFont="1">
      <alignment vertical="center"/>
    </xf>
    <xf numFmtId="0" fontId="11" fillId="0" borderId="14" xfId="0" applyFont="1" applyBorder="1">
      <alignment vertical="center"/>
    </xf>
    <xf numFmtId="0" fontId="28" fillId="2" borderId="23" xfId="6" applyFont="1" applyFill="1" applyBorder="1" applyAlignment="1">
      <alignment horizontal="right" vertical="top" wrapText="1" indent="1"/>
    </xf>
    <xf numFmtId="0" fontId="30" fillId="2" borderId="0" xfId="6" applyFont="1" applyFill="1" applyAlignment="1">
      <alignment horizontal="center" vertical="top" wrapText="1"/>
    </xf>
    <xf numFmtId="0" fontId="12" fillId="2" borderId="26" xfId="0" applyFont="1" applyFill="1" applyBorder="1" applyAlignment="1">
      <alignment horizontal="center" vertical="center" wrapText="1"/>
    </xf>
    <xf numFmtId="0" fontId="12" fillId="2" borderId="21" xfId="0" applyFont="1" applyFill="1" applyBorder="1" applyAlignment="1">
      <alignment horizontal="center" vertical="center"/>
    </xf>
    <xf numFmtId="164" fontId="12" fillId="2" borderId="26" xfId="1" applyNumberFormat="1" applyFont="1" applyFill="1" applyBorder="1" applyAlignment="1">
      <alignment horizontal="center" vertical="center"/>
    </xf>
    <xf numFmtId="0" fontId="8" fillId="2" borderId="0" xfId="0" applyFont="1" applyFill="1">
      <alignment vertical="center"/>
    </xf>
    <xf numFmtId="0" fontId="9" fillId="2" borderId="0" xfId="0" applyFont="1" applyFill="1">
      <alignment vertical="center"/>
    </xf>
    <xf numFmtId="0" fontId="9" fillId="2" borderId="14" xfId="0" applyFont="1" applyFill="1" applyBorder="1">
      <alignment vertical="center"/>
    </xf>
    <xf numFmtId="0" fontId="8" fillId="2" borderId="19" xfId="0" applyFont="1" applyFill="1" applyBorder="1" applyAlignment="1">
      <alignment horizontal="left" vertical="center"/>
    </xf>
    <xf numFmtId="0" fontId="8" fillId="2" borderId="5" xfId="0" applyFont="1" applyFill="1" applyBorder="1" applyAlignment="1">
      <alignment vertical="center" wrapText="1"/>
    </xf>
    <xf numFmtId="0" fontId="2" fillId="2" borderId="4" xfId="0" applyFont="1" applyFill="1" applyBorder="1">
      <alignment vertical="center"/>
    </xf>
    <xf numFmtId="41" fontId="2" fillId="2" borderId="0" xfId="0" applyNumberFormat="1" applyFont="1" applyFill="1" applyAlignment="1">
      <alignment horizontal="center" vertical="center"/>
    </xf>
    <xf numFmtId="0" fontId="2" fillId="2" borderId="0" xfId="0" applyFont="1" applyFill="1">
      <alignment vertical="center"/>
    </xf>
    <xf numFmtId="41" fontId="2" fillId="2" borderId="19"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3" fillId="2" borderId="4" xfId="0" applyFont="1" applyFill="1" applyBorder="1">
      <alignment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41" fontId="2" fillId="2" borderId="24"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2" fillId="2" borderId="0" xfId="0" applyFont="1" applyFill="1" applyAlignment="1">
      <alignment horizontal="center" vertical="center"/>
    </xf>
    <xf numFmtId="166" fontId="2" fillId="2" borderId="0" xfId="0" applyNumberFormat="1" applyFont="1" applyFill="1" applyAlignment="1">
      <alignment horizontal="center" vertical="center"/>
    </xf>
    <xf numFmtId="0" fontId="2" fillId="2" borderId="0" xfId="0" applyFont="1" applyFill="1" applyAlignment="1">
      <alignment vertical="center" wrapText="1"/>
    </xf>
    <xf numFmtId="0" fontId="12" fillId="2" borderId="26" xfId="0" applyFont="1" applyFill="1" applyBorder="1" applyAlignment="1">
      <alignment horizontal="center" vertical="center"/>
    </xf>
    <xf numFmtId="164" fontId="2" fillId="0" borderId="21" xfId="1" applyNumberFormat="1" applyFont="1" applyBorder="1" applyAlignment="1">
      <alignment horizontal="center" vertical="center"/>
    </xf>
    <xf numFmtId="164" fontId="2" fillId="0" borderId="26" xfId="1" applyNumberFormat="1" applyFont="1" applyBorder="1" applyAlignment="1">
      <alignment horizontal="center" vertical="center" wrapText="1"/>
    </xf>
    <xf numFmtId="164" fontId="2" fillId="0" borderId="23" xfId="1" applyNumberFormat="1" applyFont="1" applyBorder="1" applyAlignment="1">
      <alignment horizontal="center" vertical="center"/>
    </xf>
    <xf numFmtId="164" fontId="2" fillId="0" borderId="19" xfId="1" applyNumberFormat="1" applyFont="1" applyBorder="1" applyAlignment="1">
      <alignment horizontal="center" vertical="center"/>
    </xf>
    <xf numFmtId="164" fontId="2" fillId="0" borderId="24" xfId="1" applyNumberFormat="1" applyFont="1" applyBorder="1" applyAlignment="1">
      <alignment horizontal="center" vertical="center"/>
    </xf>
    <xf numFmtId="164" fontId="2" fillId="2" borderId="23" xfId="1" applyNumberFormat="1" applyFont="1" applyFill="1" applyBorder="1" applyAlignment="1">
      <alignment horizontal="center" vertical="center"/>
    </xf>
    <xf numFmtId="164" fontId="2" fillId="2" borderId="24" xfId="1" applyNumberFormat="1" applyFont="1" applyFill="1" applyBorder="1" applyAlignment="1">
      <alignment horizontal="center" vertical="center"/>
    </xf>
    <xf numFmtId="164" fontId="2" fillId="0" borderId="22" xfId="1" applyNumberFormat="1" applyFont="1" applyBorder="1" applyAlignment="1">
      <alignment horizontal="center" vertical="center"/>
    </xf>
    <xf numFmtId="164" fontId="3" fillId="0" borderId="26" xfId="1" applyNumberFormat="1" applyFont="1" applyBorder="1" applyAlignment="1">
      <alignment horizontal="center" vertical="center"/>
    </xf>
    <xf numFmtId="164" fontId="3" fillId="0" borderId="29" xfId="1" applyNumberFormat="1" applyFont="1" applyBorder="1" applyAlignment="1">
      <alignment horizontal="center" vertical="center"/>
    </xf>
    <xf numFmtId="0" fontId="2" fillId="2" borderId="26" xfId="0" applyFont="1" applyFill="1" applyBorder="1" applyAlignment="1">
      <alignment horizontal="center" vertical="center"/>
    </xf>
    <xf numFmtId="0" fontId="2" fillId="2" borderId="26" xfId="0" applyFont="1" applyFill="1" applyBorder="1" applyAlignment="1">
      <alignment horizontal="center" vertical="center" wrapText="1"/>
    </xf>
    <xf numFmtId="0" fontId="12" fillId="2" borderId="15" xfId="0" applyFont="1" applyFill="1" applyBorder="1" applyAlignment="1">
      <alignment horizontal="center" vertical="center" wrapText="1"/>
    </xf>
    <xf numFmtId="37" fontId="37" fillId="2" borderId="0" xfId="6" applyNumberFormat="1" applyFont="1" applyFill="1" applyAlignment="1">
      <alignment vertical="top" wrapText="1"/>
    </xf>
    <xf numFmtId="0" fontId="38" fillId="2" borderId="0" xfId="0" applyFont="1" applyFill="1" applyAlignment="1">
      <alignment vertical="top" wrapText="1"/>
    </xf>
    <xf numFmtId="0" fontId="38" fillId="2" borderId="14" xfId="0" applyFont="1" applyFill="1" applyBorder="1" applyAlignment="1">
      <alignment vertical="top" wrapText="1"/>
    </xf>
    <xf numFmtId="0" fontId="28" fillId="2" borderId="0" xfId="6" applyFont="1" applyFill="1" applyAlignment="1">
      <alignment horizontal="left" vertical="center" indent="2"/>
    </xf>
    <xf numFmtId="0" fontId="30" fillId="2" borderId="0" xfId="6" applyFont="1" applyFill="1" applyAlignment="1">
      <alignment horizontal="center" vertical="top"/>
    </xf>
    <xf numFmtId="169" fontId="28" fillId="2" borderId="0" xfId="6" applyNumberFormat="1" applyFont="1" applyFill="1" applyAlignment="1">
      <alignment horizontal="left" vertical="top"/>
    </xf>
    <xf numFmtId="170" fontId="28" fillId="2" borderId="0" xfId="6" applyNumberFormat="1" applyFont="1" applyFill="1" applyAlignment="1">
      <alignment horizontal="left" vertical="center" indent="2"/>
    </xf>
    <xf numFmtId="167" fontId="28" fillId="2" borderId="0" xfId="1" applyNumberFormat="1" applyFont="1" applyFill="1" applyBorder="1" applyAlignment="1">
      <alignment vertical="top"/>
    </xf>
    <xf numFmtId="41" fontId="28" fillId="2" borderId="0" xfId="1" applyFont="1" applyFill="1" applyBorder="1" applyAlignment="1">
      <alignment horizontal="left" vertical="top"/>
    </xf>
    <xf numFmtId="41" fontId="28" fillId="2" borderId="0" xfId="1" applyFont="1" applyFill="1" applyBorder="1" applyAlignment="1">
      <alignment vertical="top"/>
    </xf>
    <xf numFmtId="0" fontId="28" fillId="2" borderId="14" xfId="6" applyFont="1" applyFill="1" applyBorder="1" applyAlignment="1">
      <alignment vertical="top"/>
    </xf>
    <xf numFmtId="0" fontId="28" fillId="2" borderId="0" xfId="6" applyFont="1" applyFill="1" applyAlignment="1">
      <alignment horizontal="left" vertical="top"/>
    </xf>
    <xf numFmtId="171" fontId="28" fillId="2" borderId="14" xfId="6" applyNumberFormat="1" applyFont="1" applyFill="1" applyBorder="1" applyAlignment="1">
      <alignment vertical="top"/>
    </xf>
    <xf numFmtId="49" fontId="28" fillId="2" borderId="0" xfId="1" applyNumberFormat="1" applyFont="1" applyFill="1" applyBorder="1" applyAlignment="1">
      <alignment horizontal="left" vertical="top"/>
    </xf>
    <xf numFmtId="164" fontId="28" fillId="2" borderId="0" xfId="1" applyNumberFormat="1" applyFont="1" applyFill="1" applyBorder="1" applyAlignment="1">
      <alignment vertical="top"/>
    </xf>
    <xf numFmtId="49" fontId="28" fillId="2" borderId="14" xfId="6" applyNumberFormat="1" applyFont="1" applyFill="1" applyBorder="1" applyAlignment="1">
      <alignment horizontal="left" vertical="top"/>
    </xf>
    <xf numFmtId="41" fontId="8" fillId="2" borderId="5" xfId="0" applyNumberFormat="1" applyFont="1" applyFill="1" applyBorder="1" applyAlignment="1">
      <alignment vertical="center" wrapText="1"/>
    </xf>
    <xf numFmtId="43" fontId="58" fillId="0" borderId="0" xfId="0" applyNumberFormat="1" applyFont="1">
      <alignment vertical="center"/>
    </xf>
    <xf numFmtId="0" fontId="28" fillId="2" borderId="0" xfId="6" applyFont="1" applyFill="1" applyAlignment="1">
      <alignment horizontal="center" vertical="top" wrapText="1"/>
    </xf>
    <xf numFmtId="37" fontId="59" fillId="2" borderId="0" xfId="6" applyNumberFormat="1" applyFont="1" applyFill="1" applyAlignment="1">
      <alignment vertical="top" wrapText="1"/>
    </xf>
    <xf numFmtId="0" fontId="60" fillId="2" borderId="0" xfId="0" applyFont="1" applyFill="1" applyAlignment="1">
      <alignment vertical="top" wrapText="1"/>
    </xf>
    <xf numFmtId="0" fontId="60" fillId="2" borderId="14" xfId="0" applyFont="1" applyFill="1" applyBorder="1" applyAlignment="1">
      <alignment vertical="top" wrapText="1"/>
    </xf>
    <xf numFmtId="37" fontId="28" fillId="2" borderId="0" xfId="6" applyNumberFormat="1" applyFont="1" applyFill="1" applyAlignment="1">
      <alignment vertical="top" wrapText="1"/>
    </xf>
    <xf numFmtId="0" fontId="57" fillId="2" borderId="0" xfId="0" applyFont="1" applyFill="1" applyAlignment="1">
      <alignment vertical="top" wrapText="1"/>
    </xf>
    <xf numFmtId="0" fontId="57" fillId="2" borderId="14" xfId="0" applyFont="1" applyFill="1" applyBorder="1" applyAlignment="1">
      <alignment vertical="top" wrapText="1"/>
    </xf>
    <xf numFmtId="0" fontId="28" fillId="2" borderId="0" xfId="1" applyNumberFormat="1" applyFont="1" applyFill="1" applyBorder="1" applyAlignment="1">
      <alignment vertical="top"/>
    </xf>
    <xf numFmtId="164" fontId="2" fillId="0" borderId="26" xfId="1" applyNumberFormat="1" applyFont="1" applyFill="1" applyBorder="1" applyAlignment="1">
      <alignment horizontal="center" vertical="center" wrapText="1"/>
    </xf>
    <xf numFmtId="2" fontId="2" fillId="0" borderId="26" xfId="0" applyNumberFormat="1" applyFont="1" applyBorder="1" applyAlignment="1">
      <alignment horizontal="center" vertical="center" wrapText="1"/>
    </xf>
    <xf numFmtId="37" fontId="47" fillId="2" borderId="0" xfId="0" applyNumberFormat="1" applyFont="1" applyFill="1">
      <alignment vertical="center"/>
    </xf>
    <xf numFmtId="0" fontId="21" fillId="2" borderId="0" xfId="0" applyFont="1" applyFill="1" applyAlignment="1">
      <alignment vertical="center" wrapText="1"/>
    </xf>
    <xf numFmtId="171" fontId="21" fillId="2" borderId="0" xfId="1" applyNumberFormat="1" applyFont="1" applyFill="1">
      <alignment vertical="center"/>
    </xf>
    <xf numFmtId="0" fontId="21" fillId="2" borderId="0" xfId="0" applyFont="1" applyFill="1" applyAlignment="1">
      <alignment horizontal="center" vertical="center"/>
    </xf>
    <xf numFmtId="171" fontId="48" fillId="2" borderId="21" xfId="1" applyNumberFormat="1" applyFont="1" applyFill="1" applyBorder="1" applyAlignment="1">
      <alignment horizontal="center" vertical="center" wrapText="1"/>
    </xf>
    <xf numFmtId="0" fontId="48" fillId="2" borderId="21" xfId="0" applyFont="1" applyFill="1" applyBorder="1" applyAlignment="1">
      <alignment horizontal="center" vertical="center" wrapText="1"/>
    </xf>
    <xf numFmtId="0" fontId="48" fillId="2" borderId="26" xfId="10" applyFont="1" applyFill="1" applyBorder="1" applyAlignment="1">
      <alignment horizontal="center" vertical="center"/>
    </xf>
    <xf numFmtId="0" fontId="48" fillId="2" borderId="26" xfId="0" applyFont="1" applyFill="1" applyBorder="1" applyAlignment="1">
      <alignment horizontal="center" vertical="center" wrapText="1"/>
    </xf>
    <xf numFmtId="41" fontId="48" fillId="2" borderId="26" xfId="1" applyFont="1" applyFill="1" applyBorder="1" applyAlignment="1">
      <alignment horizontal="center" vertical="center"/>
    </xf>
    <xf numFmtId="0" fontId="48" fillId="2" borderId="26" xfId="0" applyFont="1" applyFill="1" applyBorder="1" applyAlignment="1">
      <alignment horizontal="center" vertical="center"/>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1" xfId="0" applyFont="1" applyBorder="1" applyAlignment="1">
      <alignment horizontal="center" vertical="center"/>
    </xf>
    <xf numFmtId="2" fontId="2" fillId="2" borderId="0" xfId="0" applyNumberFormat="1" applyFont="1" applyFill="1">
      <alignment vertical="center"/>
    </xf>
    <xf numFmtId="0" fontId="12" fillId="2" borderId="0" xfId="0" applyFont="1" applyFill="1" applyAlignment="1">
      <alignment horizontal="left" vertical="center"/>
    </xf>
    <xf numFmtId="0" fontId="12" fillId="2" borderId="0" xfId="0" applyFont="1" applyFill="1">
      <alignment vertical="center"/>
    </xf>
    <xf numFmtId="0" fontId="14" fillId="2" borderId="0" xfId="0" applyFont="1" applyFill="1" applyAlignment="1">
      <alignment horizontal="left" vertical="center"/>
    </xf>
    <xf numFmtId="41" fontId="2" fillId="2" borderId="23" xfId="0" applyNumberFormat="1" applyFont="1" applyFill="1" applyBorder="1" applyAlignment="1">
      <alignment horizontal="center" vertical="center" wrapText="1"/>
    </xf>
    <xf numFmtId="0" fontId="12" fillId="0" borderId="26" xfId="0" applyFont="1" applyBorder="1">
      <alignment vertical="center"/>
    </xf>
    <xf numFmtId="164" fontId="12" fillId="0" borderId="26" xfId="1" applyNumberFormat="1" applyFont="1" applyBorder="1">
      <alignment vertical="center"/>
    </xf>
    <xf numFmtId="15" fontId="12" fillId="0" borderId="0" xfId="0" applyNumberFormat="1" applyFont="1" applyAlignment="1">
      <alignment horizontal="center" vertical="center"/>
    </xf>
    <xf numFmtId="0" fontId="0" fillId="0" borderId="0" xfId="0" applyAlignment="1">
      <alignment horizontal="center" vertical="center"/>
    </xf>
    <xf numFmtId="0" fontId="12" fillId="0" borderId="25"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5" xfId="0" applyFont="1" applyBorder="1" applyAlignment="1">
      <alignment horizontal="center" vertical="center"/>
    </xf>
    <xf numFmtId="0" fontId="12" fillId="0" borderId="21" xfId="0" applyFont="1" applyBorder="1" applyAlignment="1">
      <alignment horizontal="center" vertical="center"/>
    </xf>
    <xf numFmtId="0" fontId="12" fillId="0" borderId="12" xfId="0" applyFont="1" applyBorder="1" applyAlignment="1">
      <alignment horizontal="center" vertical="center"/>
    </xf>
    <xf numFmtId="0" fontId="12" fillId="0" borderId="15" xfId="0" applyFont="1" applyBorder="1" applyAlignment="1">
      <alignment horizontal="center" vertical="center"/>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36" fillId="0" borderId="0" xfId="0" applyFont="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8" fillId="0" borderId="0" xfId="2" applyFont="1" applyAlignment="1">
      <alignment vertical="top" wrapText="1"/>
    </xf>
    <xf numFmtId="0" fontId="39" fillId="0" borderId="0" xfId="0" applyFont="1" applyAlignment="1">
      <alignment vertical="top"/>
    </xf>
    <xf numFmtId="0" fontId="39" fillId="0" borderId="14" xfId="0" applyFont="1" applyBorder="1" applyAlignment="1">
      <alignment vertical="top"/>
    </xf>
    <xf numFmtId="0" fontId="39" fillId="0" borderId="7" xfId="0" applyFont="1" applyBorder="1" applyAlignment="1">
      <alignment vertical="top"/>
    </xf>
    <xf numFmtId="0" fontId="39" fillId="0" borderId="20" xfId="0" applyFont="1" applyBorder="1" applyAlignment="1">
      <alignment vertical="top"/>
    </xf>
    <xf numFmtId="41" fontId="42" fillId="0" borderId="1" xfId="0" applyNumberFormat="1" applyFont="1" applyBorder="1" applyAlignment="1">
      <alignment horizontal="center" vertical="center"/>
    </xf>
    <xf numFmtId="41" fontId="42" fillId="0" borderId="2" xfId="0" applyNumberFormat="1" applyFont="1" applyBorder="1" applyAlignment="1">
      <alignment horizontal="center" vertical="center"/>
    </xf>
    <xf numFmtId="41" fontId="42" fillId="0" borderId="3" xfId="0" applyNumberFormat="1" applyFont="1" applyBorder="1" applyAlignment="1">
      <alignment horizontal="center" vertical="center"/>
    </xf>
    <xf numFmtId="41" fontId="42" fillId="0" borderId="4" xfId="0" applyNumberFormat="1" applyFont="1" applyBorder="1" applyAlignment="1">
      <alignment horizontal="center" vertical="center"/>
    </xf>
    <xf numFmtId="41" fontId="42" fillId="0" borderId="0" xfId="0" applyNumberFormat="1" applyFont="1" applyAlignment="1">
      <alignment horizontal="center" vertical="center"/>
    </xf>
    <xf numFmtId="41" fontId="42" fillId="0" borderId="5" xfId="0" applyNumberFormat="1" applyFont="1" applyBorder="1" applyAlignment="1">
      <alignment horizontal="center" vertical="center"/>
    </xf>
    <xf numFmtId="41" fontId="42" fillId="0" borderId="16" xfId="0" applyNumberFormat="1" applyFont="1" applyBorder="1" applyAlignment="1">
      <alignment horizontal="center" vertical="center"/>
    </xf>
    <xf numFmtId="41" fontId="42" fillId="0" borderId="17" xfId="0" applyNumberFormat="1" applyFont="1" applyBorder="1" applyAlignment="1">
      <alignment horizontal="center" vertical="center"/>
    </xf>
    <xf numFmtId="41" fontId="42" fillId="0" borderId="18" xfId="0" applyNumberFormat="1" applyFont="1" applyBorder="1" applyAlignment="1">
      <alignment horizontal="center" vertical="center"/>
    </xf>
    <xf numFmtId="0" fontId="2" fillId="0" borderId="0" xfId="0" applyFont="1" applyAlignment="1">
      <alignment horizontal="left" vertical="center"/>
    </xf>
    <xf numFmtId="0" fontId="2" fillId="0" borderId="5" xfId="0" applyFont="1" applyBorder="1" applyAlignment="1">
      <alignment horizontal="left" vertical="center"/>
    </xf>
    <xf numFmtId="37" fontId="8" fillId="2" borderId="0" xfId="0" applyNumberFormat="1" applyFont="1" applyFill="1" applyAlignment="1">
      <alignment horizontal="left" vertical="center" wrapText="1"/>
    </xf>
    <xf numFmtId="0" fontId="8" fillId="2" borderId="0" xfId="0" applyFont="1" applyFill="1" applyAlignment="1">
      <alignment horizontal="left" vertical="center" wrapText="1"/>
    </xf>
    <xf numFmtId="0" fontId="8" fillId="2" borderId="5" xfId="0" applyFont="1" applyFill="1" applyBorder="1" applyAlignment="1">
      <alignment horizontal="left" vertical="center" wrapText="1"/>
    </xf>
    <xf numFmtId="41" fontId="8" fillId="2" borderId="0" xfId="0" applyNumberFormat="1" applyFont="1" applyFill="1" applyAlignment="1">
      <alignment horizontal="left" vertical="center" wrapText="1"/>
    </xf>
    <xf numFmtId="41" fontId="8" fillId="2" borderId="5" xfId="0" applyNumberFormat="1" applyFont="1" applyFill="1" applyBorder="1" applyAlignment="1">
      <alignment horizontal="left" vertical="center" wrapText="1"/>
    </xf>
    <xf numFmtId="0" fontId="3" fillId="0" borderId="0" xfId="0" applyFont="1" applyAlignment="1">
      <alignment vertical="top" wrapText="1"/>
    </xf>
    <xf numFmtId="0" fontId="3" fillId="0" borderId="5"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2" fillId="2" borderId="0" xfId="0" applyFont="1" applyFill="1" applyAlignment="1">
      <alignment vertical="top" wrapText="1"/>
    </xf>
    <xf numFmtId="0" fontId="26" fillId="2" borderId="0" xfId="0" applyFont="1" applyFill="1" applyAlignment="1">
      <alignment vertical="top"/>
    </xf>
    <xf numFmtId="0" fontId="26" fillId="2" borderId="14" xfId="0" applyFont="1" applyFill="1" applyBorder="1" applyAlignment="1">
      <alignment vertical="top"/>
    </xf>
    <xf numFmtId="0" fontId="26" fillId="2" borderId="7" xfId="0" applyFont="1" applyFill="1" applyBorder="1" applyAlignment="1">
      <alignment vertical="top"/>
    </xf>
    <xf numFmtId="0" fontId="26" fillId="2" borderId="20" xfId="0" applyFont="1" applyFill="1" applyBorder="1" applyAlignment="1">
      <alignment vertical="top"/>
    </xf>
    <xf numFmtId="41" fontId="2" fillId="2" borderId="10" xfId="0" applyNumberFormat="1" applyFont="1" applyFill="1" applyBorder="1" applyAlignment="1">
      <alignment horizontal="center" vertical="center"/>
    </xf>
    <xf numFmtId="41" fontId="2" fillId="0" borderId="0" xfId="0" applyNumberFormat="1" applyFont="1" applyAlignment="1">
      <alignment horizontal="left" vertical="center" wrapText="1"/>
    </xf>
    <xf numFmtId="41" fontId="2" fillId="0" borderId="5" xfId="0" applyNumberFormat="1" applyFont="1" applyBorder="1" applyAlignment="1">
      <alignment horizontal="left" vertical="center" wrapText="1"/>
    </xf>
    <xf numFmtId="0" fontId="3" fillId="0" borderId="10" xfId="0" applyFont="1" applyBorder="1" applyAlignment="1">
      <alignment horizontal="center" vertical="center"/>
    </xf>
    <xf numFmtId="0" fontId="3" fillId="0" borderId="7" xfId="0" applyFont="1" applyBorder="1" applyAlignment="1">
      <alignment horizontal="center" vertical="center"/>
    </xf>
    <xf numFmtId="15" fontId="2" fillId="2" borderId="7" xfId="3" applyNumberFormat="1" applyFont="1" applyFill="1" applyBorder="1" applyAlignment="1">
      <alignment horizontal="left" vertical="center"/>
    </xf>
    <xf numFmtId="15" fontId="2" fillId="2" borderId="20" xfId="3"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20" xfId="0" applyFont="1" applyBorder="1" applyAlignment="1">
      <alignment horizontal="left"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1" fillId="2" borderId="0" xfId="0" applyFont="1" applyFill="1" applyAlignment="1">
      <alignment horizontal="center" vertical="center" wrapText="1"/>
    </xf>
    <xf numFmtId="0" fontId="11" fillId="2" borderId="14" xfId="0" applyFont="1" applyFill="1" applyBorder="1" applyAlignment="1">
      <alignment horizontal="center" vertical="center" wrapText="1"/>
    </xf>
    <xf numFmtId="14" fontId="8" fillId="0" borderId="7" xfId="3" applyNumberFormat="1" applyFont="1" applyBorder="1" applyAlignment="1">
      <alignment horizontal="left" vertical="center"/>
    </xf>
    <xf numFmtId="14" fontId="8" fillId="0" borderId="20" xfId="3" applyNumberFormat="1" applyFont="1" applyBorder="1" applyAlignment="1">
      <alignment horizontal="left" vertical="center"/>
    </xf>
    <xf numFmtId="0" fontId="34" fillId="0" borderId="0" xfId="0" applyFont="1" applyAlignment="1">
      <alignment horizontal="left" vertical="center" wrapText="1"/>
    </xf>
    <xf numFmtId="0" fontId="36" fillId="0" borderId="0" xfId="0" applyFont="1" applyAlignment="1">
      <alignment horizontal="left" vertical="center" wrapText="1" indent="3"/>
    </xf>
    <xf numFmtId="0" fontId="0" fillId="0" borderId="0" xfId="0"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41" fontId="8" fillId="0" borderId="0" xfId="0" applyNumberFormat="1" applyFont="1" applyAlignment="1">
      <alignment horizontal="left" vertical="center" wrapText="1"/>
    </xf>
    <xf numFmtId="41" fontId="8" fillId="0" borderId="5" xfId="0" applyNumberFormat="1" applyFont="1" applyBorder="1" applyAlignment="1">
      <alignment horizontal="left" vertical="center" wrapText="1"/>
    </xf>
    <xf numFmtId="41" fontId="15" fillId="0" borderId="0" xfId="0" applyNumberFormat="1" applyFont="1" applyAlignment="1">
      <alignment horizontal="left" vertical="center" wrapText="1"/>
    </xf>
    <xf numFmtId="41" fontId="15" fillId="0" borderId="5" xfId="0" applyNumberFormat="1" applyFont="1" applyBorder="1" applyAlignment="1">
      <alignment horizontal="left" vertical="center"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9" fillId="0" borderId="0" xfId="0" applyFont="1">
      <alignment vertical="center"/>
    </xf>
    <xf numFmtId="0" fontId="9" fillId="0" borderId="5" xfId="0" applyFont="1" applyBorder="1">
      <alignment vertical="center"/>
    </xf>
    <xf numFmtId="41" fontId="8" fillId="2" borderId="0" xfId="0" applyNumberFormat="1" applyFont="1" applyFill="1" applyAlignment="1">
      <alignment horizontal="center" vertical="center" wrapText="1"/>
    </xf>
    <xf numFmtId="0" fontId="3" fillId="2" borderId="0" xfId="0" applyFont="1" applyFill="1" applyAlignment="1">
      <alignment vertical="top" wrapText="1"/>
    </xf>
    <xf numFmtId="0" fontId="41" fillId="2" borderId="0" xfId="0" applyFont="1" applyFill="1" applyAlignment="1">
      <alignment vertical="top"/>
    </xf>
    <xf numFmtId="0" fontId="41" fillId="2" borderId="5" xfId="0" applyFont="1" applyFill="1" applyBorder="1" applyAlignment="1">
      <alignment vertical="top"/>
    </xf>
    <xf numFmtId="0" fontId="41" fillId="2" borderId="7" xfId="0" applyFont="1" applyFill="1" applyBorder="1" applyAlignment="1">
      <alignment vertical="top"/>
    </xf>
    <xf numFmtId="0" fontId="41" fillId="2" borderId="8" xfId="0" applyFont="1" applyFill="1" applyBorder="1" applyAlignment="1">
      <alignment vertical="top"/>
    </xf>
    <xf numFmtId="0" fontId="18" fillId="2" borderId="0" xfId="2" applyFont="1" applyFill="1" applyAlignment="1">
      <alignment vertical="top" wrapText="1"/>
    </xf>
    <xf numFmtId="0" fontId="39" fillId="2" borderId="0" xfId="0" applyFont="1" applyFill="1" applyAlignment="1">
      <alignment vertical="top"/>
    </xf>
    <xf numFmtId="0" fontId="39" fillId="2" borderId="14" xfId="0" applyFont="1" applyFill="1" applyBorder="1" applyAlignment="1">
      <alignment vertical="top"/>
    </xf>
    <xf numFmtId="0" fontId="39" fillId="2" borderId="7" xfId="0" applyFont="1" applyFill="1" applyBorder="1" applyAlignment="1">
      <alignment vertical="top"/>
    </xf>
    <xf numFmtId="0" fontId="39" fillId="2" borderId="20" xfId="0" applyFont="1" applyFill="1" applyBorder="1" applyAlignment="1">
      <alignment vertical="top"/>
    </xf>
    <xf numFmtId="0" fontId="11" fillId="0" borderId="0" xfId="0" applyFont="1" applyAlignment="1">
      <alignment horizontal="center" vertical="center" wrapText="1"/>
    </xf>
    <xf numFmtId="0" fontId="11" fillId="0" borderId="14" xfId="0" applyFont="1" applyBorder="1" applyAlignment="1">
      <alignment horizontal="center" vertical="center" wrapText="1"/>
    </xf>
    <xf numFmtId="0" fontId="2" fillId="0" borderId="0" xfId="0" applyFont="1" applyAlignment="1">
      <alignment horizontal="left"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12" fillId="0" borderId="26" xfId="0" applyFont="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2" fillId="3" borderId="30" xfId="4" applyFont="1" applyFill="1" applyBorder="1" applyAlignment="1">
      <alignment horizontal="center" vertical="center"/>
    </xf>
    <xf numFmtId="0" fontId="12" fillId="3" borderId="28" xfId="4" applyFont="1" applyFill="1" applyBorder="1" applyAlignment="1">
      <alignment horizontal="center" vertical="center"/>
    </xf>
    <xf numFmtId="0" fontId="12" fillId="3" borderId="31" xfId="4" applyFont="1" applyFill="1" applyBorder="1" applyAlignment="1">
      <alignment horizontal="center" vertical="center"/>
    </xf>
    <xf numFmtId="0" fontId="12" fillId="4" borderId="30" xfId="4" applyFont="1" applyFill="1" applyBorder="1" applyAlignment="1">
      <alignment horizontal="center" vertical="center"/>
    </xf>
    <xf numFmtId="0" fontId="12" fillId="4" borderId="28" xfId="4" applyFont="1" applyFill="1" applyBorder="1" applyAlignment="1">
      <alignment horizontal="center" vertical="center"/>
    </xf>
    <xf numFmtId="0" fontId="12" fillId="4" borderId="31" xfId="4" applyFont="1" applyFill="1" applyBorder="1" applyAlignment="1">
      <alignment horizontal="center" vertical="center"/>
    </xf>
    <xf numFmtId="0" fontId="19" fillId="0" borderId="0" xfId="0" applyFont="1" applyAlignment="1">
      <alignment horizontal="center" vertical="center"/>
    </xf>
    <xf numFmtId="0" fontId="12" fillId="0" borderId="0" xfId="0" applyFont="1" applyAlignment="1">
      <alignment horizontal="left" vertical="center" wrapText="1"/>
    </xf>
    <xf numFmtId="0" fontId="19" fillId="0" borderId="33" xfId="0" applyFont="1" applyBorder="1" applyAlignment="1">
      <alignment horizontal="center" vertical="center"/>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4" fillId="0" borderId="21" xfId="0" applyFont="1" applyBorder="1" applyAlignment="1">
      <alignment horizontal="center" vertical="center"/>
    </xf>
    <xf numFmtId="0" fontId="14" fillId="0" borderId="25" xfId="0" applyFont="1" applyBorder="1" applyAlignment="1">
      <alignment horizontal="center" vertical="center"/>
    </xf>
    <xf numFmtId="0" fontId="14" fillId="0" borderId="12"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28" fillId="0" borderId="0" xfId="6" applyFont="1" applyAlignment="1">
      <alignment horizontal="left" vertical="top" wrapText="1"/>
    </xf>
    <xf numFmtId="0" fontId="28" fillId="0" borderId="14" xfId="6" applyFont="1" applyBorder="1" applyAlignment="1">
      <alignment horizontal="left" vertical="top" wrapText="1"/>
    </xf>
    <xf numFmtId="0" fontId="27" fillId="0" borderId="17" xfId="6" applyFont="1" applyBorder="1" applyAlignment="1">
      <alignment horizontal="center" vertical="center"/>
    </xf>
    <xf numFmtId="0" fontId="29" fillId="0" borderId="1" xfId="6" applyFont="1" applyBorder="1" applyAlignment="1">
      <alignment horizontal="center" vertical="center" wrapText="1"/>
    </xf>
    <xf numFmtId="0" fontId="29" fillId="0" borderId="2" xfId="6" applyFont="1" applyBorder="1" applyAlignment="1">
      <alignment horizontal="center" vertical="center" wrapText="1"/>
    </xf>
    <xf numFmtId="0" fontId="29" fillId="0" borderId="3" xfId="6" applyFont="1" applyBorder="1" applyAlignment="1">
      <alignment horizontal="center" vertical="center" wrapText="1"/>
    </xf>
    <xf numFmtId="0" fontId="29" fillId="0" borderId="6" xfId="6" applyFont="1" applyBorder="1" applyAlignment="1">
      <alignment horizontal="center" vertical="center" wrapText="1"/>
    </xf>
    <xf numFmtId="0" fontId="29" fillId="0" borderId="7" xfId="6" applyFont="1" applyBorder="1" applyAlignment="1">
      <alignment horizontal="center" vertical="center" wrapText="1"/>
    </xf>
    <xf numFmtId="0" fontId="29" fillId="0" borderId="8" xfId="6" applyFont="1" applyBorder="1" applyAlignment="1">
      <alignment horizontal="center" vertical="center" wrapText="1"/>
    </xf>
    <xf numFmtId="0" fontId="28" fillId="2" borderId="10" xfId="6" applyFont="1" applyFill="1" applyBorder="1" applyAlignment="1">
      <alignment horizontal="left" vertical="top" wrapText="1"/>
    </xf>
    <xf numFmtId="0" fontId="28" fillId="2" borderId="10" xfId="6" applyFont="1" applyFill="1" applyBorder="1" applyAlignment="1">
      <alignment horizontal="left" vertical="top"/>
    </xf>
    <xf numFmtId="0" fontId="28" fillId="2" borderId="11" xfId="6" applyFont="1" applyFill="1" applyBorder="1" applyAlignment="1">
      <alignment horizontal="left" vertical="top"/>
    </xf>
    <xf numFmtId="37" fontId="59" fillId="2" borderId="0" xfId="6" applyNumberFormat="1" applyFont="1" applyFill="1" applyAlignment="1">
      <alignment horizontal="left" vertical="top" wrapText="1"/>
    </xf>
    <xf numFmtId="0" fontId="55" fillId="0" borderId="0" xfId="0" applyFont="1" applyAlignment="1">
      <alignment horizontal="center" vertical="center"/>
    </xf>
    <xf numFmtId="0" fontId="48" fillId="0" borderId="36" xfId="0" applyFont="1" applyBorder="1" applyAlignment="1">
      <alignment horizontal="center" vertical="center"/>
    </xf>
    <xf numFmtId="0" fontId="48" fillId="0" borderId="43" xfId="0" applyFont="1" applyBorder="1" applyAlignment="1">
      <alignment horizontal="center" vertical="center"/>
    </xf>
    <xf numFmtId="0" fontId="48" fillId="2" borderId="37" xfId="0" applyFont="1" applyFill="1" applyBorder="1" applyAlignment="1">
      <alignment horizontal="center" vertical="center" wrapText="1"/>
    </xf>
    <xf numFmtId="0" fontId="48" fillId="2" borderId="21" xfId="0" applyFont="1" applyFill="1" applyBorder="1" applyAlignment="1">
      <alignment horizontal="center" vertical="center" wrapText="1"/>
    </xf>
    <xf numFmtId="41" fontId="48" fillId="2" borderId="38" xfId="1" applyFont="1" applyFill="1" applyBorder="1" applyAlignment="1">
      <alignment horizontal="center" vertical="center" wrapText="1"/>
    </xf>
    <xf numFmtId="41" fontId="48" fillId="2" borderId="39" xfId="1" applyFont="1" applyFill="1" applyBorder="1" applyAlignment="1">
      <alignment horizontal="center" vertical="center" wrapText="1"/>
    </xf>
    <xf numFmtId="172" fontId="48" fillId="0" borderId="40" xfId="0" applyNumberFormat="1" applyFont="1" applyBorder="1" applyAlignment="1">
      <alignment horizontal="center" vertical="center" wrapText="1"/>
    </xf>
    <xf numFmtId="172" fontId="48" fillId="0" borderId="41" xfId="0" applyNumberFormat="1" applyFont="1" applyBorder="1" applyAlignment="1">
      <alignment horizontal="center" vertical="center" wrapText="1"/>
    </xf>
    <xf numFmtId="0" fontId="48" fillId="0" borderId="42" xfId="0" applyFont="1" applyBorder="1" applyAlignment="1">
      <alignment horizontal="center" vertical="center" wrapText="1"/>
    </xf>
    <xf numFmtId="0" fontId="48" fillId="0" borderId="22" xfId="0" applyFont="1" applyBorder="1" applyAlignment="1">
      <alignment horizontal="center" vertical="center" wrapText="1"/>
    </xf>
  </cellXfs>
  <cellStyles count="14">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2" xr:uid="{1388D827-39DA-4A00-9037-60671482A9DB}"/>
    <cellStyle name="쉼표 [0] 6" xfId="5" xr:uid="{00000000-0005-0000-0000-000003000000}"/>
    <cellStyle name="쉼표 [0] 6 2" xfId="13" xr:uid="{7F652A8B-E8E2-456B-A2CB-B3B5FF495531}"/>
    <cellStyle name="표준 6" xfId="4" xr:uid="{00000000-0005-0000-0000-000005000000}"/>
    <cellStyle name="표준_080407 3항차 final packing List(r3)통합" xfId="10" xr:uid="{00000000-0005-0000-0000-000006000000}"/>
    <cellStyle name="표준_Cirebon Grating Pk'g list(서흥)_080910_final" xfId="6" xr:uid="{00000000-0005-0000-0000-000007000000}"/>
    <cellStyle name="표준_PACKINGLIST (철골_1항차)" xfId="7" xr:uid="{00000000-0005-0000-0000-000008000000}"/>
    <cellStyle name="표준_STG-PKL" xfId="3" xr:uid="{00000000-0005-0000-0000-00000A000000}"/>
    <cellStyle name="標準_Proforma PL cirebon 2" xfId="2" xr:uid="{00000000-0005-0000-0000-000009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1507636</xdr:colOff>
      <xdr:row>1</xdr:row>
      <xdr:rowOff>286544</xdr:rowOff>
    </xdr:to>
    <xdr:pic>
      <xdr:nvPicPr>
        <xdr:cNvPr id="2" name="그림 2">
          <a:extLst>
            <a:ext uri="{FF2B5EF4-FFF2-40B4-BE49-F238E27FC236}">
              <a16:creationId xmlns:a16="http://schemas.microsoft.com/office/drawing/2014/main" id="{A8E7A8E0-A754-4482-AF74-876E703A6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19</xdr:col>
      <xdr:colOff>46353</xdr:colOff>
      <xdr:row>1</xdr:row>
      <xdr:rowOff>71120</xdr:rowOff>
    </xdr:from>
    <xdr:to>
      <xdr:col>20</xdr:col>
      <xdr:colOff>479125</xdr:colOff>
      <xdr:row>2</xdr:row>
      <xdr:rowOff>36512</xdr:rowOff>
    </xdr:to>
    <xdr:pic>
      <xdr:nvPicPr>
        <xdr:cNvPr id="3" name="Picture 2">
          <a:extLst>
            <a:ext uri="{FF2B5EF4-FFF2-40B4-BE49-F238E27FC236}">
              <a16:creationId xmlns:a16="http://schemas.microsoft.com/office/drawing/2014/main" id="{92708511-8760-4245-8514-006096CE83F1}"/>
            </a:ext>
          </a:extLst>
        </xdr:cNvPr>
        <xdr:cNvPicPr>
          <a:picLocks noChangeAspect="1"/>
        </xdr:cNvPicPr>
      </xdr:nvPicPr>
      <xdr:blipFill>
        <a:blip xmlns:r="http://schemas.openxmlformats.org/officeDocument/2006/relationships" r:embed="rId2"/>
        <a:stretch>
          <a:fillRect/>
        </a:stretch>
      </xdr:blipFill>
      <xdr:spPr>
        <a:xfrm>
          <a:off x="15123793" y="182880"/>
          <a:ext cx="972522" cy="290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650189</xdr:colOff>
      <xdr:row>2</xdr:row>
      <xdr:rowOff>20955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91440</xdr:colOff>
      <xdr:row>39</xdr:row>
      <xdr:rowOff>60960</xdr:rowOff>
    </xdr:from>
    <xdr:to>
      <xdr:col>9</xdr:col>
      <xdr:colOff>517177</xdr:colOff>
      <xdr:row>44</xdr:row>
      <xdr:rowOff>132290</xdr:rowOff>
    </xdr:to>
    <xdr:pic>
      <xdr:nvPicPr>
        <xdr:cNvPr id="4" name="그림 3">
          <a:extLst>
            <a:ext uri="{FF2B5EF4-FFF2-40B4-BE49-F238E27FC236}">
              <a16:creationId xmlns:a16="http://schemas.microsoft.com/office/drawing/2014/main" id="{446F3F29-7BF5-4174-BFBC-8A176CA661CB}"/>
            </a:ext>
          </a:extLst>
        </xdr:cNvPr>
        <xdr:cNvPicPr>
          <a:picLocks noChangeAspect="1"/>
        </xdr:cNvPicPr>
      </xdr:nvPicPr>
      <xdr:blipFill>
        <a:blip xmlns:r="http://schemas.openxmlformats.org/officeDocument/2006/relationships" r:embed="rId3"/>
        <a:stretch>
          <a:fillRect/>
        </a:stretch>
      </xdr:blipFill>
      <xdr:spPr>
        <a:xfrm>
          <a:off x="5623560" y="11193780"/>
          <a:ext cx="1846867" cy="9609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402</xdr:colOff>
      <xdr:row>0</xdr:row>
      <xdr:rowOff>108912</xdr:rowOff>
    </xdr:from>
    <xdr:to>
      <xdr:col>8</xdr:col>
      <xdr:colOff>455532</xdr:colOff>
      <xdr:row>3</xdr:row>
      <xdr:rowOff>57150</xdr:rowOff>
    </xdr:to>
    <xdr:sp macro="" textlink="">
      <xdr:nvSpPr>
        <xdr:cNvPr id="2" name="TextBox 1">
          <a:extLst>
            <a:ext uri="{FF2B5EF4-FFF2-40B4-BE49-F238E27FC236}">
              <a16:creationId xmlns:a16="http://schemas.microsoft.com/office/drawing/2014/main" id="{F8AEE470-DCE2-4D18-881B-F891B5EF8496}"/>
            </a:ext>
          </a:extLst>
        </xdr:cNvPr>
        <xdr:cNvSpPr txBox="1"/>
      </xdr:nvSpPr>
      <xdr:spPr>
        <a:xfrm>
          <a:off x="2415942" y="108912"/>
          <a:ext cx="5141430" cy="47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1427626</xdr:colOff>
      <xdr:row>1</xdr:row>
      <xdr:rowOff>130334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817303</xdr:colOff>
      <xdr:row>1</xdr:row>
      <xdr:rowOff>207189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76200</xdr:colOff>
      <xdr:row>43</xdr:row>
      <xdr:rowOff>7620</xdr:rowOff>
    </xdr:from>
    <xdr:to>
      <xdr:col>9</xdr:col>
      <xdr:colOff>307627</xdr:colOff>
      <xdr:row>48</xdr:row>
      <xdr:rowOff>92285</xdr:rowOff>
    </xdr:to>
    <xdr:pic>
      <xdr:nvPicPr>
        <xdr:cNvPr id="4" name="그림 3">
          <a:extLst>
            <a:ext uri="{FF2B5EF4-FFF2-40B4-BE49-F238E27FC236}">
              <a16:creationId xmlns:a16="http://schemas.microsoft.com/office/drawing/2014/main" id="{2423DBB0-6848-42FE-A640-2117E182D749}"/>
            </a:ext>
          </a:extLst>
        </xdr:cNvPr>
        <xdr:cNvPicPr>
          <a:picLocks noChangeAspect="1"/>
        </xdr:cNvPicPr>
      </xdr:nvPicPr>
      <xdr:blipFill>
        <a:blip xmlns:r="http://schemas.openxmlformats.org/officeDocument/2006/relationships" r:embed="rId3"/>
        <a:stretch>
          <a:fillRect/>
        </a:stretch>
      </xdr:blipFill>
      <xdr:spPr>
        <a:xfrm>
          <a:off x="5463540" y="11971020"/>
          <a:ext cx="1846867" cy="960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1507001</xdr:colOff>
      <xdr:row>1</xdr:row>
      <xdr:rowOff>287179</xdr:rowOff>
    </xdr:to>
    <xdr:pic>
      <xdr:nvPicPr>
        <xdr:cNvPr id="2" name="그림 2">
          <a:extLst>
            <a:ext uri="{FF2B5EF4-FFF2-40B4-BE49-F238E27FC236}">
              <a16:creationId xmlns:a16="http://schemas.microsoft.com/office/drawing/2014/main" id="{043A71AE-9FDB-4AFE-8BA5-7F72736D8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33800</xdr:colOff>
      <xdr:row>1</xdr:row>
      <xdr:rowOff>26894</xdr:rowOff>
    </xdr:from>
    <xdr:to>
      <xdr:col>19</xdr:col>
      <xdr:colOff>248394</xdr:colOff>
      <xdr:row>2</xdr:row>
      <xdr:rowOff>3558</xdr:rowOff>
    </xdr:to>
    <xdr:pic>
      <xdr:nvPicPr>
        <xdr:cNvPr id="3" name="Picture 2">
          <a:extLst>
            <a:ext uri="{FF2B5EF4-FFF2-40B4-BE49-F238E27FC236}">
              <a16:creationId xmlns:a16="http://schemas.microsoft.com/office/drawing/2014/main" id="{E6D5D902-1B22-4E79-8CDB-6FBE06D6B3AC}"/>
            </a:ext>
          </a:extLst>
        </xdr:cNvPr>
        <xdr:cNvPicPr>
          <a:picLocks noChangeAspect="1"/>
        </xdr:cNvPicPr>
      </xdr:nvPicPr>
      <xdr:blipFill>
        <a:blip xmlns:r="http://schemas.openxmlformats.org/officeDocument/2006/relationships" r:embed="rId2"/>
        <a:stretch>
          <a:fillRect/>
        </a:stretch>
      </xdr:blipFill>
      <xdr:spPr>
        <a:xfrm>
          <a:off x="14520765" y="143435"/>
          <a:ext cx="945889" cy="2905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42</xdr:row>
      <xdr:rowOff>0</xdr:rowOff>
    </xdr:from>
    <xdr:to>
      <xdr:col>5</xdr:col>
      <xdr:colOff>0</xdr:colOff>
      <xdr:row>42</xdr:row>
      <xdr:rowOff>0</xdr:rowOff>
    </xdr:to>
    <xdr:sp macro="" textlink="">
      <xdr:nvSpPr>
        <xdr:cNvPr id="2" name="Text Box 3">
          <a:extLst>
            <a:ext uri="{FF2B5EF4-FFF2-40B4-BE49-F238E27FC236}">
              <a16:creationId xmlns:a16="http://schemas.microsoft.com/office/drawing/2014/main" id="{174A1CA9-C052-4A72-BA92-5F52C3A8B05C}"/>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42</xdr:row>
      <xdr:rowOff>0</xdr:rowOff>
    </xdr:from>
    <xdr:to>
      <xdr:col>5</xdr:col>
      <xdr:colOff>0</xdr:colOff>
      <xdr:row>42</xdr:row>
      <xdr:rowOff>0</xdr:rowOff>
    </xdr:to>
    <xdr:sp macro="" textlink="">
      <xdr:nvSpPr>
        <xdr:cNvPr id="3" name="Text Box 4">
          <a:extLst>
            <a:ext uri="{FF2B5EF4-FFF2-40B4-BE49-F238E27FC236}">
              <a16:creationId xmlns:a16="http://schemas.microsoft.com/office/drawing/2014/main" id="{42CF3817-54AB-46A2-960D-BD8CEB377AD4}"/>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42</xdr:row>
      <xdr:rowOff>0</xdr:rowOff>
    </xdr:from>
    <xdr:to>
      <xdr:col>5</xdr:col>
      <xdr:colOff>0</xdr:colOff>
      <xdr:row>42</xdr:row>
      <xdr:rowOff>0</xdr:rowOff>
    </xdr:to>
    <xdr:sp macro="" textlink="">
      <xdr:nvSpPr>
        <xdr:cNvPr id="4" name="Text Box 5">
          <a:extLst>
            <a:ext uri="{FF2B5EF4-FFF2-40B4-BE49-F238E27FC236}">
              <a16:creationId xmlns:a16="http://schemas.microsoft.com/office/drawing/2014/main" id="{593BFF94-DD68-42F0-AAD7-42B7D46FE8A5}"/>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20</xdr:row>
      <xdr:rowOff>0</xdr:rowOff>
    </xdr:from>
    <xdr:to>
      <xdr:col>5</xdr:col>
      <xdr:colOff>0</xdr:colOff>
      <xdr:row>20</xdr:row>
      <xdr:rowOff>0</xdr:rowOff>
    </xdr:to>
    <xdr:sp macro="" textlink="">
      <xdr:nvSpPr>
        <xdr:cNvPr id="5" name="Text Box 6">
          <a:extLst>
            <a:ext uri="{FF2B5EF4-FFF2-40B4-BE49-F238E27FC236}">
              <a16:creationId xmlns:a16="http://schemas.microsoft.com/office/drawing/2014/main" id="{2B077CD0-E5FD-4516-B1F3-5005C7409AEE}"/>
            </a:ext>
          </a:extLst>
        </xdr:cNvPr>
        <xdr:cNvSpPr txBox="1">
          <a:spLocks noChangeArrowheads="1"/>
        </xdr:cNvSpPr>
      </xdr:nvSpPr>
      <xdr:spPr bwMode="auto">
        <a:xfrm>
          <a:off x="3048000" y="274243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F858FDC-69C0-47FB-84A5-F0BC56724B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277008</xdr:colOff>
      <xdr:row>38</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0"/>
          <a:ext cx="5611008" cy="73066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008;&#49892;/&#49345;&#48120;&#51452;&#51076;&#45784;/WIN98/TEMP/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1008;&#49892;/&#49345;&#48120;&#51452;&#51076;&#45784;/temp/WIN98/TEMP/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689;&#49689;/D/share/loss&#44228;&#49328;-TAWEELAH-msf-jan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35.daum.net/WIN98/TEMP/REPORT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0C4F2C1/OM4_Payment%20Form%2004,%2005%20-%20Commercial%20invoice%20and%20Packing%20list,%20rev%2025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자바라1"/>
      <sheetName val="해외 연수비용 계산-삭제"/>
      <sheetName val="Wind Load(3.1) (2)"/>
      <sheetName val="Wind Load(3.2)"/>
      <sheetName val="Wind Load(3.4)"/>
      <sheetName val="Ord"/>
      <sheetName val="Key Data"/>
      <sheetName val="INPUT"/>
      <sheetName val="2.2 띠장의 설계"/>
      <sheetName val="Assembly_list"/>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表二"/>
      <sheetName val="EQUIPOS"/>
      <sheetName val="石炭性状"/>
      <sheetName val="증감내역서"/>
      <sheetName val="表三(首站)"/>
      <sheetName val="代码表"/>
      <sheetName val="Z- GENERAL PRICE SUMMARY"/>
      <sheetName val="WITHOUT C&amp;I PROFIT (3)"/>
      <sheetName val="목표세부명세"/>
      <sheetName val="Rate Analysis"/>
      <sheetName val="Earthwork"/>
      <sheetName val="2020 회원명부"/>
      <sheetName val="대비표"/>
      <sheetName val="산근"/>
      <sheetName val="집계표(OPTION)"/>
      <sheetName val="DRUM"/>
      <sheetName val="Cash2"/>
      <sheetName val="Z"/>
      <sheetName val="w't_table"/>
      <sheetName val="kich_thuoc"/>
      <sheetName val="임율_Data"/>
      <sheetName val="해외_연수비용_계산-삭제"/>
      <sheetName val="Wind_Load(3_1)_(2)"/>
      <sheetName val="Wind_Load(3_2)"/>
      <sheetName val="Wind_Load(3_4)"/>
      <sheetName val="Key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견적기준"/>
      <sheetName val="CI "/>
      <sheetName val="CI"/>
      <sheetName val=""/>
      <sheetName val="TTL"/>
      <sheetName val="성광벤드"/>
      <sheetName val="REPORT07"/>
      <sheetName val="GRP PIPING"/>
      <sheetName val="Sheet1"/>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산근터빈"/>
      <sheetName val="2.대외공문"/>
      <sheetName val="XZLC004_PART2"/>
      <sheetName val="XZLC003_PART1"/>
      <sheetName val="수량산출"/>
      <sheetName val="burner-spare"/>
      <sheetName val="일위대가표(D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P-LIST"/>
      <sheetName val="물가자료"/>
      <sheetName val="B101"/>
      <sheetName val="카메라"/>
      <sheetName val="COA-17"/>
      <sheetName val="C-18"/>
      <sheetName val=""/>
      <sheetName val="TTL"/>
      <sheetName val="성광벤드"/>
      <sheetName val="REPORT07"/>
      <sheetName val="GRP PIPING"/>
      <sheetName val="Sheet1"/>
      <sheetName val="견적기준"/>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보일러"/>
      <sheetName val="Renc.Prod"/>
      <sheetName val="Tabel Kode"/>
      <sheetName val="PLN Ags"/>
      <sheetName val="PLN Apr"/>
      <sheetName val="Biaya Tot PLN TDL 2003"/>
      <sheetName val="PLN Des"/>
      <sheetName val="PLN Feb"/>
      <sheetName val="PLN Jan"/>
      <sheetName val="PLN Jul"/>
      <sheetName val="PLN Jun"/>
      <sheetName val="PLN Mar"/>
      <sheetName val="PLN Mei"/>
      <sheetName val="PLN Nov"/>
      <sheetName val="PLN Okt"/>
      <sheetName val="PLN Sep"/>
      <sheetName val="Renc.Semen Keluar prod kantong"/>
      <sheetName val="kich thuoc"/>
      <sheetName val="DTH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 bundle"/>
      <sheetName val="steam table"/>
      <sheetName val="loss계산-TAWEELAH-msf-jan6"/>
      <sheetName val="DJ1"/>
      <sheetName val="정부노임단가"/>
      <sheetName val="fitting"/>
      <sheetName val="환율표"/>
      <sheetName val="Evap-기타"/>
      <sheetName val="P-LIST"/>
      <sheetName val="대비"/>
      <sheetName val="BID"/>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BSD _2_"/>
      <sheetName val="BSD (2)"/>
      <sheetName val="환산표"/>
      <sheetName val="MOTOR"/>
      <sheetName val="95신규호표"/>
      <sheetName val="BM"/>
      <sheetName val="CBL_OD"/>
      <sheetName val="MOB-MAN1"/>
      <sheetName val="giathanh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노임단가"/>
      <sheetName val="공사계획서"/>
      <sheetName val="품셈표"/>
      <sheetName val="H-shape"/>
      <sheetName val="Dieuchinh"/>
      <sheetName val="gvl"/>
      <sheetName val="IBASE"/>
      <sheetName val="예산M12A"/>
      <sheetName val="JOINT1"/>
      <sheetName val="XL4Poppy"/>
      <sheetName val="현장지지물물량"/>
      <sheetName val="INSULTABLE"/>
      <sheetName val="ex-shell"/>
      <sheetName val="001"/>
      <sheetName val="TTL"/>
      <sheetName val="입력값"/>
      <sheetName val="NEWDRAW"/>
      <sheetName val="내역"/>
      <sheetName val="Sheet3 (2)"/>
      <sheetName val="circular_bundle1"/>
      <sheetName val="steam_table1"/>
      <sheetName val="circular_bundle"/>
      <sheetName val="steam_table"/>
      <sheetName val="ADL DATA"/>
      <sheetName val="FIRE FIGHTING"/>
      <sheetName val="Wind Load(3.1) (2)"/>
      <sheetName val="Wind Load(3.2)"/>
      <sheetName val="Wind Load(3.4)"/>
      <sheetName val="REDUCER"/>
      <sheetName val="Data"/>
      <sheetName val="BM "/>
      <sheetName val="DWG LIST"/>
      <sheetName val="#REF"/>
      <sheetName val="PNT-QUOT-#3"/>
      <sheetName val="COAT&amp;WRAP-QIOT-#3"/>
      <sheetName val="CAT_5"/>
      <sheetName val="COA-17"/>
      <sheetName val="C-18"/>
      <sheetName val="list"/>
      <sheetName val="Break Down Price"/>
      <sheetName val="1100"/>
      <sheetName val="Mech CIF"/>
      <sheetName val="환율-LIBOR"/>
      <sheetName val="JOB特定"/>
      <sheetName val="VL"/>
      <sheetName val="산근"/>
      <sheetName val="PBS"/>
      <sheetName val="LGBOM1절_CheckList"/>
      <sheetName val="카메라"/>
      <sheetName val="보일러"/>
      <sheetName val="ITEM-LIST"/>
      <sheetName val="Eq. Mobilization"/>
      <sheetName val="Proposal"/>
      <sheetName val="적용환율"/>
      <sheetName val="circular_bundle4"/>
      <sheetName val="steam_table4"/>
      <sheetName val="BLR_12"/>
      <sheetName val="GM_0002"/>
      <sheetName val="BSD__2_2"/>
      <sheetName val="BSD_(2)2"/>
      <sheetName val="Code_022"/>
      <sheetName val="Code_032"/>
      <sheetName val="Code_042"/>
      <sheetName val="Code_052"/>
      <sheetName val="Code_062"/>
      <sheetName val="Code_072"/>
      <sheetName val="Code_092"/>
      <sheetName val="Sheet3_(2)2"/>
      <sheetName val="ADL_DATA2"/>
      <sheetName val="FIRE_FIGHTING2"/>
      <sheetName val="BM_2"/>
      <sheetName val="DWG_LIST2"/>
      <sheetName val="Wind_Load(3_1)_(2)2"/>
      <sheetName val="Wind_Load(3_2)2"/>
      <sheetName val="Wind_Load(3_4)2"/>
      <sheetName val="Break_Down_Price2"/>
      <sheetName val="circular_bundle2"/>
      <sheetName val="steam_table2"/>
      <sheetName val="BLR_1"/>
      <sheetName val="GM_000"/>
      <sheetName val="BSD__2_"/>
      <sheetName val="BSD_(2)"/>
      <sheetName val="Code_02"/>
      <sheetName val="Code_03"/>
      <sheetName val="Code_04"/>
      <sheetName val="Code_05"/>
      <sheetName val="Code_06"/>
      <sheetName val="Code_07"/>
      <sheetName val="Code_09"/>
      <sheetName val="Sheet3_(2)"/>
      <sheetName val="ADL_DATA"/>
      <sheetName val="FIRE_FIGHTING"/>
      <sheetName val="BM_"/>
      <sheetName val="DWG_LIST"/>
      <sheetName val="Wind_Load(3_1)_(2)"/>
      <sheetName val="Wind_Load(3_2)"/>
      <sheetName val="Wind_Load(3_4)"/>
      <sheetName val="Break_Down_Price"/>
      <sheetName val="circular_bundle3"/>
      <sheetName val="steam_table3"/>
      <sheetName val="BLR_11"/>
      <sheetName val="GM_0001"/>
      <sheetName val="BSD__2_1"/>
      <sheetName val="BSD_(2)1"/>
      <sheetName val="Code_021"/>
      <sheetName val="Code_031"/>
      <sheetName val="Code_041"/>
      <sheetName val="Code_051"/>
      <sheetName val="Code_061"/>
      <sheetName val="Code_071"/>
      <sheetName val="Code_091"/>
      <sheetName val="Sheet3_(2)1"/>
      <sheetName val="ADL_DATA1"/>
      <sheetName val="FIRE_FIGHTING1"/>
      <sheetName val="BM_1"/>
      <sheetName val="DWG_LIST1"/>
      <sheetName val="Wind_Load(3_1)_(2)1"/>
      <sheetName val="Wind_Load(3_2)1"/>
      <sheetName val="Wind_Load(3_4)1"/>
      <sheetName val="Break_Down_Price1"/>
      <sheetName val="circular_bundle6"/>
      <sheetName val="steam_table6"/>
      <sheetName val="BLR_14"/>
      <sheetName val="GM_0004"/>
      <sheetName val="BSD__2_4"/>
      <sheetName val="BSD_(2)4"/>
      <sheetName val="Code_024"/>
      <sheetName val="Code_034"/>
      <sheetName val="Code_044"/>
      <sheetName val="Code_054"/>
      <sheetName val="Code_064"/>
      <sheetName val="Code_074"/>
      <sheetName val="Code_094"/>
      <sheetName val="Sheet3_(2)4"/>
      <sheetName val="ADL_DATA4"/>
      <sheetName val="FIRE_FIGHTING4"/>
      <sheetName val="BM_4"/>
      <sheetName val="DWG_LIST4"/>
      <sheetName val="Wind_Load(3_1)_(2)4"/>
      <sheetName val="Wind_Load(3_2)4"/>
      <sheetName val="Wind_Load(3_4)4"/>
      <sheetName val="Break_Down_Price4"/>
      <sheetName val="circular_bundle5"/>
      <sheetName val="steam_table5"/>
      <sheetName val="BLR_13"/>
      <sheetName val="GM_0003"/>
      <sheetName val="BSD__2_3"/>
      <sheetName val="BSD_(2)3"/>
      <sheetName val="Code_023"/>
      <sheetName val="Code_033"/>
      <sheetName val="Code_043"/>
      <sheetName val="Code_053"/>
      <sheetName val="Code_063"/>
      <sheetName val="Code_073"/>
      <sheetName val="Code_093"/>
      <sheetName val="Sheet3_(2)3"/>
      <sheetName val="ADL_DATA3"/>
      <sheetName val="FIRE_FIGHTING3"/>
      <sheetName val="BM_3"/>
      <sheetName val="DWG_LIST3"/>
      <sheetName val="Wind_Load(3_1)_(2)3"/>
      <sheetName val="Wind_Load(3_2)3"/>
      <sheetName val="Wind_Load(3_4)3"/>
      <sheetName val="Break_Down_Price3"/>
      <sheetName val="w't table"/>
      <sheetName val="갑지"/>
      <sheetName val="Erection"/>
      <sheetName val="Sheet2"/>
      <sheetName val="circular_bundle7"/>
      <sheetName val="steam_table7"/>
      <sheetName val="BLR_15"/>
      <sheetName val="GM_0005"/>
      <sheetName val="BSD__2_5"/>
      <sheetName val="BSD_(2)5"/>
      <sheetName val="Code_025"/>
      <sheetName val="Code_035"/>
      <sheetName val="Code_045"/>
      <sheetName val="Code_055"/>
      <sheetName val="Code_065"/>
      <sheetName val="Code_075"/>
      <sheetName val="Code_095"/>
      <sheetName val="Sheet3_(2)5"/>
      <sheetName val="ADL_DATA5"/>
      <sheetName val="FIRE_FIGHTING5"/>
      <sheetName val="Wind_Load(3_1)_(2)5"/>
      <sheetName val="Wind_Load(3_2)5"/>
      <sheetName val="Wind_Load(3_4)5"/>
      <sheetName val="BM_5"/>
      <sheetName val="DWG_LIST5"/>
      <sheetName val="Break_Down_Price5"/>
      <sheetName val="Mech_CIF"/>
      <sheetName val="Eq__Mobilization"/>
      <sheetName val="w't_table"/>
      <sheetName val="circular_bundle8"/>
      <sheetName val="steam_table8"/>
      <sheetName val="BLR_16"/>
      <sheetName val="GM_0006"/>
      <sheetName val="BSD__2_6"/>
      <sheetName val="BSD_(2)6"/>
      <sheetName val="Code_026"/>
      <sheetName val="Code_036"/>
      <sheetName val="Code_046"/>
      <sheetName val="Code_056"/>
      <sheetName val="Code_066"/>
      <sheetName val="Code_076"/>
      <sheetName val="Code_096"/>
      <sheetName val="Sheet3_(2)6"/>
      <sheetName val="ADL_DATA6"/>
      <sheetName val="FIRE_FIGHTING6"/>
      <sheetName val="Wind_Load(3_1)_(2)6"/>
      <sheetName val="Wind_Load(3_2)6"/>
      <sheetName val="Wind_Load(3_4)6"/>
      <sheetName val="BM_6"/>
      <sheetName val="DWG_LIST6"/>
      <sheetName val="Break_Down_Price6"/>
      <sheetName val="Mech_CIF1"/>
      <sheetName val="Eq__Mobilization1"/>
      <sheetName val="w't_table1"/>
      <sheetName val="circular_bundle9"/>
      <sheetName val="steam_table9"/>
      <sheetName val="BLR_17"/>
      <sheetName val="GM_0007"/>
      <sheetName val="BSD__2_7"/>
      <sheetName val="BSD_(2)7"/>
      <sheetName val="Code_027"/>
      <sheetName val="Code_037"/>
      <sheetName val="Code_047"/>
      <sheetName val="Code_057"/>
      <sheetName val="Code_067"/>
      <sheetName val="Code_077"/>
      <sheetName val="Code_097"/>
      <sheetName val="Sheet3_(2)7"/>
      <sheetName val="Wind_Load(3_1)_(2)7"/>
      <sheetName val="Wind_Load(3_2)7"/>
      <sheetName val="Wind_Load(3_4)7"/>
      <sheetName val="ADL_DATA7"/>
      <sheetName val="FIRE_FIGHTING7"/>
      <sheetName val="BM_7"/>
      <sheetName val="DWG_LIST7"/>
      <sheetName val="Break_Down_Price7"/>
      <sheetName val="Mech_CIF2"/>
      <sheetName val="Eq__Mobilization2"/>
      <sheetName val="w't_table2"/>
      <sheetName val="circular_bundle10"/>
      <sheetName val="steam_table10"/>
      <sheetName val="BLR_18"/>
      <sheetName val="GM_0008"/>
      <sheetName val="BSD__2_8"/>
      <sheetName val="BSD_(2)8"/>
      <sheetName val="Code_028"/>
      <sheetName val="Code_038"/>
      <sheetName val="Code_048"/>
      <sheetName val="Code_058"/>
      <sheetName val="Code_068"/>
      <sheetName val="Code_078"/>
      <sheetName val="Code_098"/>
      <sheetName val="Sheet3_(2)8"/>
      <sheetName val="Wind_Load(3_1)_(2)8"/>
      <sheetName val="Wind_Load(3_2)8"/>
      <sheetName val="Wind_Load(3_4)8"/>
      <sheetName val="ADL_DATA8"/>
      <sheetName val="FIRE_FIGHTING8"/>
      <sheetName val="BM_8"/>
      <sheetName val="DWG_LIST8"/>
      <sheetName val="Break_Down_Price8"/>
      <sheetName val="Mech_CIF3"/>
      <sheetName val="Eq__Mobilization3"/>
      <sheetName val="w't_table3"/>
      <sheetName val="Labor"/>
      <sheetName val="WT-LIST"/>
      <sheetName val="labor1"/>
      <sheetName val="index"/>
      <sheetName val="22-Plant"/>
      <sheetName val="Supervision List"/>
      <sheetName val="기계내역서"/>
      <sheetName val="사진"/>
      <sheetName val="ancillary"/>
      <sheetName val="DATA LISTS"/>
      <sheetName val="BQ"/>
      <sheetName val="Sheet1"/>
      <sheetName val="PLAN_FEB97"/>
      <sheetName val="차액보증"/>
      <sheetName val="3D-HOR"/>
      <sheetName val="3D-PEN"/>
      <sheetName val="ELE3D"/>
      <sheetName val="ELE DATA"/>
      <sheetName val="ELEMENT BM"/>
      <sheetName val="TubePR"/>
      <sheetName val="UPPER-CP(표지)"/>
      <sheetName val="UPPER-CP(상세)"/>
      <sheetName val="LOWER-CP(표지)"/>
      <sheetName val="LOWER-CP(상세)"/>
      <sheetName val="PENDANT-CP(표지)"/>
      <sheetName val="PENDANT-CP(상세)"/>
      <sheetName val="hotwell_sizing"/>
      <sheetName val="Tubesheet Th'k"/>
      <sheetName val="ESTI."/>
      <sheetName val="DI-ESTI"/>
      <sheetName val="설산1.나"/>
      <sheetName val="본사S"/>
      <sheetName val="PumpSpec"/>
      <sheetName val="co-no.2"/>
      <sheetName val="h-013211-2"/>
      <sheetName val="Table"/>
      <sheetName val="산근터빈"/>
    </sheetNames>
    <sheetDataSet>
      <sheetData sheetId="0" refreshError="1"/>
      <sheetData sheetId="1" refreshError="1">
        <row r="5">
          <cell r="N5">
            <v>20</v>
          </cell>
          <cell r="O5">
            <v>2454.3000000000002</v>
          </cell>
          <cell r="P5">
            <v>21</v>
          </cell>
          <cell r="Q5">
            <v>2452</v>
          </cell>
        </row>
        <row r="6">
          <cell r="N6">
            <v>21</v>
          </cell>
          <cell r="O6">
            <v>2452</v>
          </cell>
          <cell r="P6">
            <v>22</v>
          </cell>
          <cell r="Q6">
            <v>2449.6</v>
          </cell>
        </row>
        <row r="7">
          <cell r="N7">
            <v>22</v>
          </cell>
          <cell r="O7">
            <v>2449.6</v>
          </cell>
          <cell r="P7">
            <v>23</v>
          </cell>
          <cell r="Q7">
            <v>2447.1999999999998</v>
          </cell>
        </row>
        <row r="8">
          <cell r="N8">
            <v>23</v>
          </cell>
          <cell r="O8">
            <v>2447.1999999999998</v>
          </cell>
          <cell r="P8">
            <v>24</v>
          </cell>
          <cell r="Q8">
            <v>2444.9</v>
          </cell>
        </row>
        <row r="9">
          <cell r="N9">
            <v>24</v>
          </cell>
          <cell r="O9">
            <v>2444.9</v>
          </cell>
          <cell r="P9">
            <v>25</v>
          </cell>
          <cell r="Q9">
            <v>2442.5</v>
          </cell>
        </row>
        <row r="10">
          <cell r="N10">
            <v>25</v>
          </cell>
          <cell r="O10">
            <v>2442.5</v>
          </cell>
          <cell r="P10">
            <v>26</v>
          </cell>
          <cell r="Q10">
            <v>2440.1999999999998</v>
          </cell>
        </row>
        <row r="11">
          <cell r="N11">
            <v>26</v>
          </cell>
          <cell r="O11">
            <v>2440.1999999999998</v>
          </cell>
          <cell r="P11">
            <v>27</v>
          </cell>
          <cell r="Q11">
            <v>2437.8000000000002</v>
          </cell>
        </row>
        <row r="12">
          <cell r="N12">
            <v>27</v>
          </cell>
          <cell r="O12">
            <v>2437.8000000000002</v>
          </cell>
          <cell r="P12">
            <v>28</v>
          </cell>
          <cell r="Q12">
            <v>2435.4</v>
          </cell>
        </row>
        <row r="13">
          <cell r="N13">
            <v>28</v>
          </cell>
          <cell r="O13">
            <v>2435.4</v>
          </cell>
          <cell r="P13">
            <v>29</v>
          </cell>
          <cell r="Q13">
            <v>2433.1</v>
          </cell>
        </row>
        <row r="14">
          <cell r="N14">
            <v>29</v>
          </cell>
          <cell r="O14">
            <v>2433.1</v>
          </cell>
          <cell r="P14">
            <v>30</v>
          </cell>
          <cell r="Q14">
            <v>2430.6999999999998</v>
          </cell>
        </row>
        <row r="15">
          <cell r="N15">
            <v>30</v>
          </cell>
          <cell r="O15">
            <v>2430.6999999999998</v>
          </cell>
          <cell r="P15">
            <v>31</v>
          </cell>
          <cell r="Q15">
            <v>2428.3000000000002</v>
          </cell>
        </row>
        <row r="16">
          <cell r="N16">
            <v>31</v>
          </cell>
          <cell r="O16">
            <v>2428.3000000000002</v>
          </cell>
          <cell r="P16">
            <v>32</v>
          </cell>
          <cell r="Q16">
            <v>2425.9</v>
          </cell>
        </row>
        <row r="17">
          <cell r="N17">
            <v>32</v>
          </cell>
          <cell r="O17">
            <v>2425.9</v>
          </cell>
          <cell r="P17">
            <v>33</v>
          </cell>
          <cell r="Q17">
            <v>2423.6</v>
          </cell>
        </row>
        <row r="18">
          <cell r="N18">
            <v>33</v>
          </cell>
          <cell r="O18">
            <v>2423.6</v>
          </cell>
          <cell r="P18">
            <v>34</v>
          </cell>
          <cell r="Q18">
            <v>2421.1999999999998</v>
          </cell>
        </row>
        <row r="19">
          <cell r="N19">
            <v>34</v>
          </cell>
          <cell r="O19">
            <v>2421.1999999999998</v>
          </cell>
          <cell r="P19">
            <v>35</v>
          </cell>
          <cell r="Q19">
            <v>2418.8000000000002</v>
          </cell>
        </row>
        <row r="20">
          <cell r="N20">
            <v>35</v>
          </cell>
          <cell r="O20">
            <v>2418.8000000000002</v>
          </cell>
          <cell r="P20">
            <v>36</v>
          </cell>
          <cell r="Q20">
            <v>2416.4</v>
          </cell>
        </row>
        <row r="21">
          <cell r="N21">
            <v>36</v>
          </cell>
          <cell r="O21">
            <v>2416.4</v>
          </cell>
          <cell r="P21">
            <v>37</v>
          </cell>
          <cell r="Q21">
            <v>2414.1</v>
          </cell>
        </row>
        <row r="22">
          <cell r="N22">
            <v>37</v>
          </cell>
          <cell r="O22">
            <v>2414.1</v>
          </cell>
          <cell r="P22">
            <v>38</v>
          </cell>
          <cell r="Q22">
            <v>2411.6999999999998</v>
          </cell>
        </row>
        <row r="23">
          <cell r="N23">
            <v>38</v>
          </cell>
          <cell r="O23">
            <v>2411.6999999999998</v>
          </cell>
          <cell r="P23">
            <v>39</v>
          </cell>
          <cell r="Q23">
            <v>2409.3000000000002</v>
          </cell>
        </row>
        <row r="24">
          <cell r="N24">
            <v>39</v>
          </cell>
          <cell r="O24">
            <v>2409.3000000000002</v>
          </cell>
          <cell r="P24">
            <v>40</v>
          </cell>
          <cell r="Q24">
            <v>2406.9</v>
          </cell>
        </row>
        <row r="25">
          <cell r="N25">
            <v>40</v>
          </cell>
          <cell r="O25">
            <v>2406.9</v>
          </cell>
          <cell r="P25">
            <v>41</v>
          </cell>
          <cell r="Q25">
            <v>2404.5</v>
          </cell>
        </row>
        <row r="26">
          <cell r="N26">
            <v>41</v>
          </cell>
          <cell r="O26">
            <v>2404.5</v>
          </cell>
          <cell r="P26">
            <v>42</v>
          </cell>
          <cell r="Q26">
            <v>2402.1</v>
          </cell>
        </row>
        <row r="27">
          <cell r="N27">
            <v>42</v>
          </cell>
          <cell r="O27">
            <v>2402.1</v>
          </cell>
          <cell r="P27">
            <v>43</v>
          </cell>
          <cell r="Q27">
            <v>2399.6999999999998</v>
          </cell>
        </row>
        <row r="28">
          <cell r="N28">
            <v>43</v>
          </cell>
          <cell r="O28">
            <v>2399.6999999999998</v>
          </cell>
          <cell r="P28">
            <v>44</v>
          </cell>
          <cell r="Q28">
            <v>2397.3000000000002</v>
          </cell>
        </row>
        <row r="29">
          <cell r="N29">
            <v>44</v>
          </cell>
          <cell r="O29">
            <v>2397.3000000000002</v>
          </cell>
          <cell r="P29">
            <v>45</v>
          </cell>
          <cell r="Q29">
            <v>2394.9</v>
          </cell>
        </row>
        <row r="30">
          <cell r="N30">
            <v>45</v>
          </cell>
          <cell r="O30">
            <v>2394.9</v>
          </cell>
          <cell r="P30">
            <v>46</v>
          </cell>
          <cell r="Q30">
            <v>2392.5</v>
          </cell>
        </row>
        <row r="31">
          <cell r="N31">
            <v>46</v>
          </cell>
          <cell r="O31">
            <v>2392.5</v>
          </cell>
          <cell r="P31">
            <v>47</v>
          </cell>
          <cell r="Q31">
            <v>2390.1</v>
          </cell>
        </row>
        <row r="32">
          <cell r="N32">
            <v>47</v>
          </cell>
          <cell r="O32">
            <v>2390.1</v>
          </cell>
          <cell r="P32">
            <v>48</v>
          </cell>
          <cell r="Q32">
            <v>2387.6999999999998</v>
          </cell>
        </row>
        <row r="33">
          <cell r="N33">
            <v>48</v>
          </cell>
          <cell r="O33">
            <v>2387.6999999999998</v>
          </cell>
          <cell r="P33">
            <v>49</v>
          </cell>
          <cell r="Q33">
            <v>2385.3000000000002</v>
          </cell>
        </row>
        <row r="34">
          <cell r="N34">
            <v>49</v>
          </cell>
          <cell r="O34">
            <v>2385.3000000000002</v>
          </cell>
          <cell r="P34">
            <v>50</v>
          </cell>
          <cell r="Q34">
            <v>2382.9</v>
          </cell>
        </row>
        <row r="35">
          <cell r="N35">
            <v>50</v>
          </cell>
          <cell r="O35">
            <v>2382.9</v>
          </cell>
          <cell r="P35">
            <v>51</v>
          </cell>
          <cell r="Q35">
            <v>2380.5</v>
          </cell>
        </row>
        <row r="36">
          <cell r="N36">
            <v>51</v>
          </cell>
          <cell r="O36">
            <v>2380.5</v>
          </cell>
          <cell r="P36">
            <v>52</v>
          </cell>
          <cell r="Q36">
            <v>2378.1</v>
          </cell>
        </row>
        <row r="37">
          <cell r="N37">
            <v>52</v>
          </cell>
          <cell r="O37">
            <v>2378.1</v>
          </cell>
          <cell r="P37">
            <v>53</v>
          </cell>
          <cell r="Q37">
            <v>2375.6999999999998</v>
          </cell>
        </row>
        <row r="38">
          <cell r="N38">
            <v>53</v>
          </cell>
          <cell r="O38">
            <v>2375.6999999999998</v>
          </cell>
          <cell r="P38">
            <v>54</v>
          </cell>
          <cell r="Q38">
            <v>2373.1999999999998</v>
          </cell>
        </row>
        <row r="39">
          <cell r="N39">
            <v>54</v>
          </cell>
          <cell r="O39">
            <v>2373.1999999999998</v>
          </cell>
          <cell r="P39">
            <v>55</v>
          </cell>
          <cell r="Q39">
            <v>2370.8000000000002</v>
          </cell>
        </row>
        <row r="40">
          <cell r="N40">
            <v>55</v>
          </cell>
          <cell r="O40">
            <v>2370.8000000000002</v>
          </cell>
          <cell r="P40">
            <v>56</v>
          </cell>
          <cell r="Q40">
            <v>2368.4</v>
          </cell>
        </row>
        <row r="41">
          <cell r="N41">
            <v>56</v>
          </cell>
          <cell r="O41">
            <v>2368.4</v>
          </cell>
          <cell r="P41">
            <v>57</v>
          </cell>
          <cell r="Q41">
            <v>2365.9</v>
          </cell>
        </row>
        <row r="42">
          <cell r="N42">
            <v>57</v>
          </cell>
          <cell r="O42">
            <v>2365.9</v>
          </cell>
          <cell r="P42">
            <v>58</v>
          </cell>
          <cell r="Q42">
            <v>2363.5</v>
          </cell>
        </row>
        <row r="43">
          <cell r="N43">
            <v>58</v>
          </cell>
          <cell r="O43">
            <v>2363.5</v>
          </cell>
          <cell r="P43">
            <v>59</v>
          </cell>
          <cell r="Q43">
            <v>2361.1</v>
          </cell>
        </row>
        <row r="44">
          <cell r="N44">
            <v>59</v>
          </cell>
          <cell r="O44">
            <v>2361.1</v>
          </cell>
          <cell r="P44">
            <v>60</v>
          </cell>
          <cell r="Q44">
            <v>2358.6</v>
          </cell>
        </row>
        <row r="45">
          <cell r="N45">
            <v>60</v>
          </cell>
          <cell r="O45">
            <v>2358.6</v>
          </cell>
          <cell r="P45">
            <v>61</v>
          </cell>
          <cell r="Q45">
            <v>2356.1999999999998</v>
          </cell>
        </row>
        <row r="46">
          <cell r="N46">
            <v>61</v>
          </cell>
          <cell r="O46">
            <v>2356.1999999999998</v>
          </cell>
          <cell r="P46">
            <v>62</v>
          </cell>
          <cell r="Q46">
            <v>2353.6999999999998</v>
          </cell>
        </row>
        <row r="47">
          <cell r="N47">
            <v>62</v>
          </cell>
          <cell r="O47">
            <v>2353.6999999999998</v>
          </cell>
          <cell r="P47">
            <v>63</v>
          </cell>
          <cell r="Q47">
            <v>2351.3000000000002</v>
          </cell>
        </row>
        <row r="48">
          <cell r="N48">
            <v>63</v>
          </cell>
          <cell r="O48">
            <v>2351.3000000000002</v>
          </cell>
          <cell r="P48">
            <v>64</v>
          </cell>
          <cell r="Q48">
            <v>2348.8000000000002</v>
          </cell>
        </row>
        <row r="49">
          <cell r="N49">
            <v>64</v>
          </cell>
          <cell r="O49">
            <v>2348.8000000000002</v>
          </cell>
          <cell r="P49">
            <v>65</v>
          </cell>
          <cell r="Q49">
            <v>2346.3000000000002</v>
          </cell>
        </row>
        <row r="50">
          <cell r="N50">
            <v>65</v>
          </cell>
          <cell r="O50">
            <v>2346.3000000000002</v>
          </cell>
          <cell r="P50">
            <v>66</v>
          </cell>
          <cell r="Q50">
            <v>2343.9</v>
          </cell>
        </row>
        <row r="51">
          <cell r="N51">
            <v>66</v>
          </cell>
          <cell r="O51">
            <v>2343.9</v>
          </cell>
          <cell r="P51">
            <v>67</v>
          </cell>
          <cell r="Q51">
            <v>2341.4</v>
          </cell>
        </row>
        <row r="52">
          <cell r="N52">
            <v>67</v>
          </cell>
          <cell r="O52">
            <v>2341.4</v>
          </cell>
          <cell r="P52">
            <v>68</v>
          </cell>
          <cell r="Q52">
            <v>2338.9</v>
          </cell>
        </row>
        <row r="53">
          <cell r="N53">
            <v>68</v>
          </cell>
          <cell r="O53">
            <v>2338.9</v>
          </cell>
          <cell r="P53">
            <v>69</v>
          </cell>
          <cell r="Q53">
            <v>2336.4</v>
          </cell>
        </row>
        <row r="54">
          <cell r="N54">
            <v>69</v>
          </cell>
          <cell r="O54">
            <v>2336.4</v>
          </cell>
          <cell r="P54">
            <v>70</v>
          </cell>
          <cell r="Q54">
            <v>2334</v>
          </cell>
        </row>
        <row r="55">
          <cell r="N55">
            <v>70</v>
          </cell>
          <cell r="O55">
            <v>2334</v>
          </cell>
          <cell r="P55">
            <v>71</v>
          </cell>
          <cell r="Q55">
            <v>2331.5</v>
          </cell>
        </row>
        <row r="56">
          <cell r="N56">
            <v>71</v>
          </cell>
          <cell r="O56">
            <v>2331.5</v>
          </cell>
          <cell r="P56">
            <v>72</v>
          </cell>
          <cell r="Q56">
            <v>2329</v>
          </cell>
        </row>
        <row r="57">
          <cell r="N57">
            <v>72</v>
          </cell>
          <cell r="O57">
            <v>2329</v>
          </cell>
          <cell r="P57">
            <v>73</v>
          </cell>
          <cell r="Q57">
            <v>2326.5</v>
          </cell>
        </row>
        <row r="58">
          <cell r="N58">
            <v>73</v>
          </cell>
          <cell r="O58">
            <v>2326.5</v>
          </cell>
          <cell r="P58">
            <v>74</v>
          </cell>
          <cell r="Q58">
            <v>2324</v>
          </cell>
        </row>
        <row r="59">
          <cell r="N59">
            <v>74</v>
          </cell>
          <cell r="O59">
            <v>2324</v>
          </cell>
          <cell r="P59">
            <v>75</v>
          </cell>
          <cell r="Q59">
            <v>2321.5</v>
          </cell>
        </row>
        <row r="60">
          <cell r="N60">
            <v>75</v>
          </cell>
          <cell r="O60">
            <v>2321.5</v>
          </cell>
          <cell r="P60">
            <v>76</v>
          </cell>
          <cell r="Q60">
            <v>2318.9</v>
          </cell>
        </row>
        <row r="61">
          <cell r="N61">
            <v>76</v>
          </cell>
          <cell r="O61">
            <v>2318.9</v>
          </cell>
          <cell r="P61">
            <v>77</v>
          </cell>
          <cell r="Q61">
            <v>2316.4</v>
          </cell>
        </row>
        <row r="62">
          <cell r="N62">
            <v>77</v>
          </cell>
          <cell r="O62">
            <v>2316.4</v>
          </cell>
          <cell r="P62">
            <v>78</v>
          </cell>
          <cell r="Q62">
            <v>2313.9</v>
          </cell>
        </row>
        <row r="63">
          <cell r="N63">
            <v>78</v>
          </cell>
          <cell r="O63">
            <v>2313.9</v>
          </cell>
          <cell r="P63">
            <v>79</v>
          </cell>
          <cell r="Q63">
            <v>2311.4</v>
          </cell>
        </row>
        <row r="64">
          <cell r="N64">
            <v>79</v>
          </cell>
          <cell r="O64">
            <v>2311.4</v>
          </cell>
          <cell r="P64">
            <v>80</v>
          </cell>
          <cell r="Q64">
            <v>2308.8000000000002</v>
          </cell>
        </row>
        <row r="65">
          <cell r="N65">
            <v>80</v>
          </cell>
          <cell r="O65">
            <v>2308.8000000000002</v>
          </cell>
          <cell r="P65">
            <v>81</v>
          </cell>
          <cell r="Q65">
            <v>2306.3000000000002</v>
          </cell>
        </row>
        <row r="66">
          <cell r="N66">
            <v>81</v>
          </cell>
          <cell r="O66">
            <v>2306.3000000000002</v>
          </cell>
          <cell r="P66">
            <v>82</v>
          </cell>
          <cell r="Q66">
            <v>2303.8000000000002</v>
          </cell>
        </row>
        <row r="67">
          <cell r="N67">
            <v>82</v>
          </cell>
          <cell r="O67">
            <v>2303.8000000000002</v>
          </cell>
          <cell r="P67">
            <v>83</v>
          </cell>
          <cell r="Q67">
            <v>2301.1999999999998</v>
          </cell>
        </row>
        <row r="68">
          <cell r="N68">
            <v>83</v>
          </cell>
          <cell r="O68">
            <v>2301.1999999999998</v>
          </cell>
          <cell r="P68">
            <v>84</v>
          </cell>
          <cell r="Q68">
            <v>2298.6999999999998</v>
          </cell>
        </row>
        <row r="69">
          <cell r="N69">
            <v>84</v>
          </cell>
          <cell r="O69">
            <v>2298.6999999999998</v>
          </cell>
          <cell r="P69">
            <v>85</v>
          </cell>
          <cell r="Q69">
            <v>2296.5</v>
          </cell>
        </row>
        <row r="70">
          <cell r="N70">
            <v>85</v>
          </cell>
          <cell r="O70">
            <v>2296.5</v>
          </cell>
          <cell r="P70">
            <v>86</v>
          </cell>
          <cell r="Q70">
            <v>2293.1</v>
          </cell>
        </row>
        <row r="71">
          <cell r="N71">
            <v>86</v>
          </cell>
          <cell r="O71">
            <v>2293.1</v>
          </cell>
          <cell r="P71">
            <v>87</v>
          </cell>
          <cell r="Q71">
            <v>2290.9</v>
          </cell>
        </row>
        <row r="72">
          <cell r="N72">
            <v>87</v>
          </cell>
          <cell r="O72">
            <v>2290.9</v>
          </cell>
          <cell r="P72">
            <v>88</v>
          </cell>
          <cell r="Q72">
            <v>2288.4</v>
          </cell>
        </row>
        <row r="73">
          <cell r="N73">
            <v>88</v>
          </cell>
          <cell r="O73">
            <v>2288.4</v>
          </cell>
          <cell r="P73">
            <v>89</v>
          </cell>
          <cell r="Q73">
            <v>2285.8000000000002</v>
          </cell>
        </row>
        <row r="74">
          <cell r="N74">
            <v>89</v>
          </cell>
          <cell r="O74">
            <v>2285.8000000000002</v>
          </cell>
          <cell r="P74">
            <v>90</v>
          </cell>
          <cell r="Q74">
            <v>2283.1999999999998</v>
          </cell>
        </row>
        <row r="75">
          <cell r="N75">
            <v>90</v>
          </cell>
          <cell r="O75">
            <v>2283.1999999999998</v>
          </cell>
          <cell r="P75">
            <v>91</v>
          </cell>
          <cell r="Q75">
            <v>2280.6</v>
          </cell>
        </row>
        <row r="76">
          <cell r="N76">
            <v>91</v>
          </cell>
          <cell r="O76">
            <v>2280.6</v>
          </cell>
          <cell r="P76">
            <v>92</v>
          </cell>
          <cell r="Q76">
            <v>2278</v>
          </cell>
        </row>
        <row r="77">
          <cell r="N77">
            <v>92</v>
          </cell>
          <cell r="O77">
            <v>2278</v>
          </cell>
          <cell r="P77">
            <v>93</v>
          </cell>
          <cell r="Q77">
            <v>2275.4</v>
          </cell>
        </row>
        <row r="78">
          <cell r="N78">
            <v>93</v>
          </cell>
          <cell r="O78">
            <v>2275.4</v>
          </cell>
          <cell r="P78">
            <v>94</v>
          </cell>
          <cell r="Q78">
            <v>2272.8000000000002</v>
          </cell>
        </row>
        <row r="79">
          <cell r="N79">
            <v>94</v>
          </cell>
          <cell r="O79">
            <v>2272.8000000000002</v>
          </cell>
          <cell r="P79">
            <v>95</v>
          </cell>
          <cell r="Q79">
            <v>2270.1999999999998</v>
          </cell>
        </row>
        <row r="80">
          <cell r="N80">
            <v>95</v>
          </cell>
          <cell r="O80">
            <v>2270.1999999999998</v>
          </cell>
          <cell r="P80">
            <v>96</v>
          </cell>
          <cell r="Q80">
            <v>2267.5</v>
          </cell>
        </row>
        <row r="81">
          <cell r="N81">
            <v>96</v>
          </cell>
          <cell r="O81">
            <v>2267.5</v>
          </cell>
          <cell r="P81">
            <v>97</v>
          </cell>
          <cell r="Q81">
            <v>2264.9</v>
          </cell>
        </row>
        <row r="82">
          <cell r="N82">
            <v>97</v>
          </cell>
          <cell r="O82">
            <v>2264.9</v>
          </cell>
          <cell r="P82">
            <v>98</v>
          </cell>
          <cell r="Q82">
            <v>2262.1999999999998</v>
          </cell>
        </row>
        <row r="83">
          <cell r="N83">
            <v>98</v>
          </cell>
          <cell r="O83">
            <v>2262.1999999999998</v>
          </cell>
          <cell r="P83">
            <v>99</v>
          </cell>
          <cell r="Q83">
            <v>2259.6</v>
          </cell>
        </row>
        <row r="84">
          <cell r="N84">
            <v>99</v>
          </cell>
          <cell r="O84">
            <v>2259.6</v>
          </cell>
          <cell r="P84">
            <v>100</v>
          </cell>
          <cell r="Q84">
            <v>2256.9</v>
          </cell>
        </row>
        <row r="85">
          <cell r="N85">
            <v>100</v>
          </cell>
          <cell r="O85">
            <v>2256.9</v>
          </cell>
          <cell r="P85">
            <v>101</v>
          </cell>
          <cell r="Q85">
            <v>2254.3000000000002</v>
          </cell>
        </row>
        <row r="86">
          <cell r="N86">
            <v>101</v>
          </cell>
          <cell r="O86">
            <v>2254.3000000000002</v>
          </cell>
          <cell r="P86">
            <v>102</v>
          </cell>
          <cell r="Q86">
            <v>2251.6</v>
          </cell>
        </row>
        <row r="87">
          <cell r="N87">
            <v>102</v>
          </cell>
          <cell r="O87">
            <v>2251.6</v>
          </cell>
          <cell r="P87">
            <v>103</v>
          </cell>
          <cell r="Q87">
            <v>2248.9</v>
          </cell>
        </row>
        <row r="88">
          <cell r="N88">
            <v>103</v>
          </cell>
          <cell r="O88">
            <v>2248.9</v>
          </cell>
          <cell r="P88">
            <v>104</v>
          </cell>
          <cell r="Q88">
            <v>2246.3000000000002</v>
          </cell>
        </row>
        <row r="89">
          <cell r="N89">
            <v>104</v>
          </cell>
          <cell r="O89">
            <v>2246.3000000000002</v>
          </cell>
          <cell r="P89">
            <v>105</v>
          </cell>
          <cell r="Q89">
            <v>2243.6</v>
          </cell>
        </row>
        <row r="90">
          <cell r="N90">
            <v>105</v>
          </cell>
          <cell r="O90">
            <v>2243.6</v>
          </cell>
          <cell r="P90">
            <v>106</v>
          </cell>
          <cell r="Q90">
            <v>2240.9</v>
          </cell>
        </row>
        <row r="91">
          <cell r="N91">
            <v>106</v>
          </cell>
          <cell r="O91">
            <v>2240.9</v>
          </cell>
          <cell r="P91">
            <v>107</v>
          </cell>
          <cell r="Q91">
            <v>2238.1999999999998</v>
          </cell>
        </row>
        <row r="92">
          <cell r="N92">
            <v>107</v>
          </cell>
          <cell r="O92">
            <v>2238.1999999999998</v>
          </cell>
          <cell r="P92">
            <v>108</v>
          </cell>
          <cell r="Q92">
            <v>2235.4</v>
          </cell>
        </row>
        <row r="93">
          <cell r="N93">
            <v>108</v>
          </cell>
          <cell r="O93">
            <v>2235.4</v>
          </cell>
          <cell r="P93">
            <v>109</v>
          </cell>
          <cell r="Q93">
            <v>2232.6999999999998</v>
          </cell>
        </row>
        <row r="94">
          <cell r="N94">
            <v>109</v>
          </cell>
          <cell r="O94">
            <v>2232.6999999999998</v>
          </cell>
          <cell r="P94">
            <v>110</v>
          </cell>
          <cell r="Q94">
            <v>2230</v>
          </cell>
        </row>
        <row r="95">
          <cell r="N95">
            <v>110</v>
          </cell>
          <cell r="O95">
            <v>2230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5">
          <cell r="N5">
            <v>20</v>
          </cell>
        </row>
      </sheetData>
      <sheetData sheetId="116">
        <row r="5">
          <cell r="N5">
            <v>20</v>
          </cell>
        </row>
      </sheetData>
      <sheetData sheetId="117">
        <row r="5">
          <cell r="N5">
            <v>20</v>
          </cell>
        </row>
      </sheetData>
      <sheetData sheetId="118">
        <row r="5">
          <cell r="N5">
            <v>20</v>
          </cell>
        </row>
      </sheetData>
      <sheetData sheetId="119">
        <row r="5">
          <cell r="N5">
            <v>20</v>
          </cell>
        </row>
      </sheetData>
      <sheetData sheetId="120">
        <row r="5">
          <cell r="N5">
            <v>20</v>
          </cell>
        </row>
      </sheetData>
      <sheetData sheetId="121">
        <row r="5">
          <cell r="N5">
            <v>20</v>
          </cell>
        </row>
      </sheetData>
      <sheetData sheetId="122">
        <row r="5">
          <cell r="N5">
            <v>20</v>
          </cell>
        </row>
      </sheetData>
      <sheetData sheetId="123">
        <row r="5">
          <cell r="N5">
            <v>20</v>
          </cell>
        </row>
      </sheetData>
      <sheetData sheetId="124">
        <row r="5">
          <cell r="N5">
            <v>20</v>
          </cell>
        </row>
      </sheetData>
      <sheetData sheetId="125">
        <row r="5">
          <cell r="N5">
            <v>20</v>
          </cell>
        </row>
      </sheetData>
      <sheetData sheetId="126">
        <row r="5">
          <cell r="N5">
            <v>20</v>
          </cell>
        </row>
      </sheetData>
      <sheetData sheetId="127">
        <row r="5">
          <cell r="N5">
            <v>20</v>
          </cell>
        </row>
      </sheetData>
      <sheetData sheetId="128">
        <row r="5">
          <cell r="N5">
            <v>20</v>
          </cell>
        </row>
      </sheetData>
      <sheetData sheetId="129">
        <row r="5">
          <cell r="N5">
            <v>20</v>
          </cell>
        </row>
      </sheetData>
      <sheetData sheetId="130">
        <row r="5">
          <cell r="N5">
            <v>20</v>
          </cell>
        </row>
      </sheetData>
      <sheetData sheetId="131">
        <row r="5">
          <cell r="N5">
            <v>20</v>
          </cell>
        </row>
      </sheetData>
      <sheetData sheetId="132">
        <row r="5">
          <cell r="N5">
            <v>20</v>
          </cell>
        </row>
      </sheetData>
      <sheetData sheetId="133">
        <row r="5">
          <cell r="N5">
            <v>20</v>
          </cell>
        </row>
      </sheetData>
      <sheetData sheetId="134">
        <row r="5">
          <cell r="N5">
            <v>20</v>
          </cell>
        </row>
      </sheetData>
      <sheetData sheetId="135">
        <row r="5">
          <cell r="N5">
            <v>20</v>
          </cell>
        </row>
      </sheetData>
      <sheetData sheetId="136">
        <row r="5">
          <cell r="N5">
            <v>20</v>
          </cell>
        </row>
      </sheetData>
      <sheetData sheetId="137">
        <row r="5">
          <cell r="N5">
            <v>20</v>
          </cell>
        </row>
      </sheetData>
      <sheetData sheetId="138">
        <row r="5">
          <cell r="N5">
            <v>20</v>
          </cell>
        </row>
      </sheetData>
      <sheetData sheetId="139">
        <row r="5">
          <cell r="N5">
            <v>20</v>
          </cell>
        </row>
      </sheetData>
      <sheetData sheetId="140">
        <row r="5">
          <cell r="N5">
            <v>20</v>
          </cell>
        </row>
      </sheetData>
      <sheetData sheetId="141">
        <row r="5">
          <cell r="N5">
            <v>20</v>
          </cell>
        </row>
      </sheetData>
      <sheetData sheetId="142">
        <row r="5">
          <cell r="N5">
            <v>20</v>
          </cell>
        </row>
      </sheetData>
      <sheetData sheetId="143">
        <row r="5">
          <cell r="N5">
            <v>20</v>
          </cell>
        </row>
      </sheetData>
      <sheetData sheetId="144">
        <row r="5">
          <cell r="N5">
            <v>20</v>
          </cell>
        </row>
      </sheetData>
      <sheetData sheetId="145">
        <row r="5">
          <cell r="N5">
            <v>20</v>
          </cell>
        </row>
      </sheetData>
      <sheetData sheetId="146">
        <row r="5">
          <cell r="N5">
            <v>20</v>
          </cell>
        </row>
      </sheetData>
      <sheetData sheetId="147">
        <row r="5">
          <cell r="N5">
            <v>20</v>
          </cell>
        </row>
      </sheetData>
      <sheetData sheetId="148">
        <row r="5">
          <cell r="N5">
            <v>20</v>
          </cell>
        </row>
      </sheetData>
      <sheetData sheetId="149">
        <row r="5">
          <cell r="N5">
            <v>20</v>
          </cell>
        </row>
      </sheetData>
      <sheetData sheetId="150">
        <row r="5">
          <cell r="N5">
            <v>20</v>
          </cell>
        </row>
      </sheetData>
      <sheetData sheetId="151">
        <row r="5">
          <cell r="N5">
            <v>20</v>
          </cell>
        </row>
      </sheetData>
      <sheetData sheetId="152">
        <row r="5">
          <cell r="N5">
            <v>20</v>
          </cell>
        </row>
      </sheetData>
      <sheetData sheetId="153">
        <row r="5">
          <cell r="N5">
            <v>20</v>
          </cell>
        </row>
      </sheetData>
      <sheetData sheetId="154">
        <row r="5">
          <cell r="N5">
            <v>20</v>
          </cell>
        </row>
      </sheetData>
      <sheetData sheetId="155">
        <row r="5">
          <cell r="N5">
            <v>20</v>
          </cell>
        </row>
      </sheetData>
      <sheetData sheetId="156">
        <row r="5">
          <cell r="N5">
            <v>20</v>
          </cell>
        </row>
      </sheetData>
      <sheetData sheetId="157">
        <row r="5">
          <cell r="N5">
            <v>20</v>
          </cell>
        </row>
      </sheetData>
      <sheetData sheetId="158">
        <row r="5">
          <cell r="N5">
            <v>20</v>
          </cell>
        </row>
      </sheetData>
      <sheetData sheetId="159">
        <row r="5">
          <cell r="N5">
            <v>20</v>
          </cell>
        </row>
      </sheetData>
      <sheetData sheetId="160">
        <row r="5">
          <cell r="N5">
            <v>20</v>
          </cell>
        </row>
      </sheetData>
      <sheetData sheetId="161">
        <row r="5">
          <cell r="N5">
            <v>20</v>
          </cell>
        </row>
      </sheetData>
      <sheetData sheetId="162">
        <row r="5">
          <cell r="N5">
            <v>20</v>
          </cell>
        </row>
      </sheetData>
      <sheetData sheetId="163">
        <row r="5">
          <cell r="N5">
            <v>20</v>
          </cell>
        </row>
      </sheetData>
      <sheetData sheetId="164">
        <row r="5">
          <cell r="N5">
            <v>20</v>
          </cell>
        </row>
      </sheetData>
      <sheetData sheetId="165">
        <row r="5">
          <cell r="N5">
            <v>20</v>
          </cell>
        </row>
      </sheetData>
      <sheetData sheetId="166">
        <row r="5">
          <cell r="N5">
            <v>20</v>
          </cell>
        </row>
      </sheetData>
      <sheetData sheetId="167">
        <row r="5">
          <cell r="N5">
            <v>20</v>
          </cell>
        </row>
      </sheetData>
      <sheetData sheetId="168">
        <row r="5">
          <cell r="N5">
            <v>20</v>
          </cell>
        </row>
      </sheetData>
      <sheetData sheetId="169">
        <row r="5">
          <cell r="N5">
            <v>20</v>
          </cell>
        </row>
      </sheetData>
      <sheetData sheetId="170">
        <row r="5">
          <cell r="N5">
            <v>20</v>
          </cell>
        </row>
      </sheetData>
      <sheetData sheetId="171">
        <row r="5">
          <cell r="N5">
            <v>20</v>
          </cell>
        </row>
      </sheetData>
      <sheetData sheetId="172">
        <row r="5">
          <cell r="N5">
            <v>20</v>
          </cell>
        </row>
      </sheetData>
      <sheetData sheetId="173">
        <row r="5">
          <cell r="N5">
            <v>20</v>
          </cell>
        </row>
      </sheetData>
      <sheetData sheetId="174">
        <row r="5">
          <cell r="N5">
            <v>20</v>
          </cell>
        </row>
      </sheetData>
      <sheetData sheetId="175">
        <row r="5">
          <cell r="N5">
            <v>20</v>
          </cell>
        </row>
      </sheetData>
      <sheetData sheetId="176">
        <row r="5">
          <cell r="N5">
            <v>20</v>
          </cell>
        </row>
      </sheetData>
      <sheetData sheetId="177">
        <row r="5">
          <cell r="N5">
            <v>20</v>
          </cell>
        </row>
      </sheetData>
      <sheetData sheetId="178">
        <row r="5">
          <cell r="N5">
            <v>20</v>
          </cell>
        </row>
      </sheetData>
      <sheetData sheetId="179">
        <row r="5">
          <cell r="N5">
            <v>20</v>
          </cell>
        </row>
      </sheetData>
      <sheetData sheetId="180">
        <row r="5">
          <cell r="N5">
            <v>20</v>
          </cell>
        </row>
      </sheetData>
      <sheetData sheetId="181">
        <row r="5">
          <cell r="N5">
            <v>20</v>
          </cell>
        </row>
      </sheetData>
      <sheetData sheetId="182">
        <row r="5">
          <cell r="N5">
            <v>20</v>
          </cell>
        </row>
      </sheetData>
      <sheetData sheetId="183">
        <row r="5">
          <cell r="N5">
            <v>20</v>
          </cell>
        </row>
      </sheetData>
      <sheetData sheetId="184">
        <row r="5">
          <cell r="N5">
            <v>20</v>
          </cell>
        </row>
      </sheetData>
      <sheetData sheetId="185">
        <row r="5">
          <cell r="N5">
            <v>20</v>
          </cell>
        </row>
      </sheetData>
      <sheetData sheetId="186">
        <row r="5">
          <cell r="N5">
            <v>20</v>
          </cell>
        </row>
      </sheetData>
      <sheetData sheetId="187">
        <row r="5">
          <cell r="N5">
            <v>20</v>
          </cell>
        </row>
      </sheetData>
      <sheetData sheetId="188">
        <row r="5">
          <cell r="N5">
            <v>20</v>
          </cell>
        </row>
      </sheetData>
      <sheetData sheetId="189">
        <row r="5">
          <cell r="N5">
            <v>20</v>
          </cell>
        </row>
      </sheetData>
      <sheetData sheetId="190">
        <row r="5">
          <cell r="N5">
            <v>20</v>
          </cell>
        </row>
      </sheetData>
      <sheetData sheetId="191">
        <row r="5">
          <cell r="N5">
            <v>20</v>
          </cell>
        </row>
      </sheetData>
      <sheetData sheetId="192">
        <row r="5">
          <cell r="N5">
            <v>20</v>
          </cell>
        </row>
      </sheetData>
      <sheetData sheetId="193">
        <row r="5">
          <cell r="N5">
            <v>20</v>
          </cell>
        </row>
      </sheetData>
      <sheetData sheetId="194">
        <row r="5">
          <cell r="N5">
            <v>20</v>
          </cell>
        </row>
      </sheetData>
      <sheetData sheetId="195">
        <row r="5">
          <cell r="N5">
            <v>20</v>
          </cell>
        </row>
      </sheetData>
      <sheetData sheetId="196">
        <row r="5">
          <cell r="N5">
            <v>20</v>
          </cell>
        </row>
      </sheetData>
      <sheetData sheetId="197">
        <row r="5">
          <cell r="N5">
            <v>20</v>
          </cell>
        </row>
      </sheetData>
      <sheetData sheetId="198">
        <row r="5">
          <cell r="N5">
            <v>20</v>
          </cell>
        </row>
      </sheetData>
      <sheetData sheetId="199">
        <row r="5">
          <cell r="N5">
            <v>20</v>
          </cell>
        </row>
      </sheetData>
      <sheetData sheetId="200">
        <row r="5">
          <cell r="N5">
            <v>20</v>
          </cell>
        </row>
      </sheetData>
      <sheetData sheetId="201">
        <row r="5">
          <cell r="N5">
            <v>20</v>
          </cell>
        </row>
      </sheetData>
      <sheetData sheetId="202">
        <row r="5">
          <cell r="N5">
            <v>20</v>
          </cell>
        </row>
      </sheetData>
      <sheetData sheetId="203">
        <row r="5">
          <cell r="N5">
            <v>20</v>
          </cell>
        </row>
      </sheetData>
      <sheetData sheetId="204">
        <row r="5">
          <cell r="N5">
            <v>20</v>
          </cell>
        </row>
      </sheetData>
      <sheetData sheetId="205">
        <row r="5">
          <cell r="N5">
            <v>20</v>
          </cell>
        </row>
      </sheetData>
      <sheetData sheetId="206">
        <row r="5">
          <cell r="N5">
            <v>20</v>
          </cell>
        </row>
      </sheetData>
      <sheetData sheetId="207">
        <row r="5">
          <cell r="N5">
            <v>20</v>
          </cell>
        </row>
      </sheetData>
      <sheetData sheetId="208">
        <row r="5">
          <cell r="N5">
            <v>20</v>
          </cell>
        </row>
      </sheetData>
      <sheetData sheetId="209">
        <row r="5">
          <cell r="N5">
            <v>20</v>
          </cell>
        </row>
      </sheetData>
      <sheetData sheetId="210">
        <row r="5">
          <cell r="N5">
            <v>20</v>
          </cell>
        </row>
      </sheetData>
      <sheetData sheetId="211">
        <row r="5">
          <cell r="N5">
            <v>20</v>
          </cell>
        </row>
      </sheetData>
      <sheetData sheetId="212">
        <row r="5">
          <cell r="N5">
            <v>20</v>
          </cell>
        </row>
      </sheetData>
      <sheetData sheetId="213">
        <row r="5">
          <cell r="N5">
            <v>20</v>
          </cell>
        </row>
      </sheetData>
      <sheetData sheetId="214">
        <row r="5">
          <cell r="N5">
            <v>20</v>
          </cell>
        </row>
      </sheetData>
      <sheetData sheetId="215">
        <row r="5">
          <cell r="N5">
            <v>20</v>
          </cell>
        </row>
      </sheetData>
      <sheetData sheetId="216">
        <row r="5">
          <cell r="N5">
            <v>20</v>
          </cell>
        </row>
      </sheetData>
      <sheetData sheetId="217">
        <row r="5">
          <cell r="N5">
            <v>20</v>
          </cell>
        </row>
      </sheetData>
      <sheetData sheetId="218">
        <row r="5">
          <cell r="N5">
            <v>20</v>
          </cell>
        </row>
      </sheetData>
      <sheetData sheetId="219">
        <row r="5">
          <cell r="N5">
            <v>20</v>
          </cell>
        </row>
      </sheetData>
      <sheetData sheetId="220">
        <row r="5">
          <cell r="N5">
            <v>20</v>
          </cell>
        </row>
      </sheetData>
      <sheetData sheetId="221">
        <row r="5">
          <cell r="N5">
            <v>20</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N5">
            <v>20</v>
          </cell>
        </row>
      </sheetData>
      <sheetData sheetId="230">
        <row r="5">
          <cell r="N5">
            <v>20</v>
          </cell>
        </row>
      </sheetData>
      <sheetData sheetId="231">
        <row r="5">
          <cell r="N5">
            <v>20</v>
          </cell>
        </row>
      </sheetData>
      <sheetData sheetId="232">
        <row r="5">
          <cell r="N5">
            <v>20</v>
          </cell>
        </row>
      </sheetData>
      <sheetData sheetId="233">
        <row r="5">
          <cell r="N5">
            <v>20</v>
          </cell>
        </row>
      </sheetData>
      <sheetData sheetId="234">
        <row r="5">
          <cell r="N5">
            <v>20</v>
          </cell>
        </row>
      </sheetData>
      <sheetData sheetId="235">
        <row r="5">
          <cell r="N5">
            <v>20</v>
          </cell>
        </row>
      </sheetData>
      <sheetData sheetId="236">
        <row r="5">
          <cell r="N5">
            <v>20</v>
          </cell>
        </row>
      </sheetData>
      <sheetData sheetId="237">
        <row r="5">
          <cell r="N5">
            <v>20</v>
          </cell>
        </row>
      </sheetData>
      <sheetData sheetId="238">
        <row r="5">
          <cell r="N5">
            <v>20</v>
          </cell>
        </row>
      </sheetData>
      <sheetData sheetId="239">
        <row r="5">
          <cell r="N5">
            <v>20</v>
          </cell>
        </row>
      </sheetData>
      <sheetData sheetId="240">
        <row r="5">
          <cell r="N5">
            <v>20</v>
          </cell>
        </row>
      </sheetData>
      <sheetData sheetId="241">
        <row r="5">
          <cell r="N5">
            <v>20</v>
          </cell>
        </row>
      </sheetData>
      <sheetData sheetId="242">
        <row r="5">
          <cell r="N5">
            <v>20</v>
          </cell>
        </row>
      </sheetData>
      <sheetData sheetId="243">
        <row r="5">
          <cell r="N5">
            <v>20</v>
          </cell>
        </row>
      </sheetData>
      <sheetData sheetId="244">
        <row r="5">
          <cell r="N5">
            <v>20</v>
          </cell>
        </row>
      </sheetData>
      <sheetData sheetId="245">
        <row r="5">
          <cell r="N5">
            <v>20</v>
          </cell>
        </row>
      </sheetData>
      <sheetData sheetId="246">
        <row r="5">
          <cell r="N5">
            <v>20</v>
          </cell>
        </row>
      </sheetData>
      <sheetData sheetId="247">
        <row r="5">
          <cell r="N5">
            <v>20</v>
          </cell>
        </row>
      </sheetData>
      <sheetData sheetId="248">
        <row r="5">
          <cell r="N5">
            <v>20</v>
          </cell>
        </row>
      </sheetData>
      <sheetData sheetId="249">
        <row r="5">
          <cell r="N5">
            <v>20</v>
          </cell>
        </row>
      </sheetData>
      <sheetData sheetId="250">
        <row r="5">
          <cell r="N5">
            <v>20</v>
          </cell>
        </row>
      </sheetData>
      <sheetData sheetId="251">
        <row r="5">
          <cell r="N5">
            <v>20</v>
          </cell>
        </row>
      </sheetData>
      <sheetData sheetId="252">
        <row r="5">
          <cell r="N5">
            <v>20</v>
          </cell>
        </row>
      </sheetData>
      <sheetData sheetId="253">
        <row r="5">
          <cell r="N5">
            <v>20</v>
          </cell>
        </row>
      </sheetData>
      <sheetData sheetId="254">
        <row r="5">
          <cell r="N5">
            <v>20</v>
          </cell>
        </row>
      </sheetData>
      <sheetData sheetId="255">
        <row r="5">
          <cell r="N5">
            <v>20</v>
          </cell>
        </row>
      </sheetData>
      <sheetData sheetId="256">
        <row r="5">
          <cell r="N5">
            <v>20</v>
          </cell>
        </row>
      </sheetData>
      <sheetData sheetId="257">
        <row r="5">
          <cell r="N5">
            <v>20</v>
          </cell>
        </row>
      </sheetData>
      <sheetData sheetId="258">
        <row r="5">
          <cell r="N5">
            <v>20</v>
          </cell>
        </row>
      </sheetData>
      <sheetData sheetId="259">
        <row r="5">
          <cell r="N5">
            <v>20</v>
          </cell>
        </row>
      </sheetData>
      <sheetData sheetId="260">
        <row r="5">
          <cell r="N5">
            <v>20</v>
          </cell>
        </row>
      </sheetData>
      <sheetData sheetId="261">
        <row r="5">
          <cell r="N5">
            <v>20</v>
          </cell>
        </row>
      </sheetData>
      <sheetData sheetId="262">
        <row r="5">
          <cell r="N5">
            <v>20</v>
          </cell>
        </row>
      </sheetData>
      <sheetData sheetId="263">
        <row r="5">
          <cell r="N5">
            <v>20</v>
          </cell>
        </row>
      </sheetData>
      <sheetData sheetId="264">
        <row r="5">
          <cell r="N5">
            <v>20</v>
          </cell>
        </row>
      </sheetData>
      <sheetData sheetId="265">
        <row r="5">
          <cell r="N5">
            <v>20</v>
          </cell>
        </row>
      </sheetData>
      <sheetData sheetId="266">
        <row r="5">
          <cell r="N5">
            <v>20</v>
          </cell>
        </row>
      </sheetData>
      <sheetData sheetId="267">
        <row r="5">
          <cell r="N5">
            <v>20</v>
          </cell>
        </row>
      </sheetData>
      <sheetData sheetId="268">
        <row r="5">
          <cell r="N5">
            <v>20</v>
          </cell>
        </row>
      </sheetData>
      <sheetData sheetId="269">
        <row r="5">
          <cell r="N5">
            <v>20</v>
          </cell>
        </row>
      </sheetData>
      <sheetData sheetId="270">
        <row r="5">
          <cell r="N5">
            <v>20</v>
          </cell>
        </row>
      </sheetData>
      <sheetData sheetId="271">
        <row r="5">
          <cell r="N5">
            <v>20</v>
          </cell>
        </row>
      </sheetData>
      <sheetData sheetId="272">
        <row r="5">
          <cell r="N5">
            <v>20</v>
          </cell>
        </row>
      </sheetData>
      <sheetData sheetId="273">
        <row r="5">
          <cell r="N5">
            <v>20</v>
          </cell>
        </row>
      </sheetData>
      <sheetData sheetId="274">
        <row r="5">
          <cell r="N5">
            <v>20</v>
          </cell>
        </row>
      </sheetData>
      <sheetData sheetId="275">
        <row r="5">
          <cell r="N5">
            <v>20</v>
          </cell>
        </row>
      </sheetData>
      <sheetData sheetId="276">
        <row r="5">
          <cell r="N5">
            <v>20</v>
          </cell>
        </row>
      </sheetData>
      <sheetData sheetId="277">
        <row r="5">
          <cell r="N5">
            <v>20</v>
          </cell>
        </row>
      </sheetData>
      <sheetData sheetId="278">
        <row r="5">
          <cell r="N5">
            <v>20</v>
          </cell>
        </row>
      </sheetData>
      <sheetData sheetId="279">
        <row r="5">
          <cell r="N5">
            <v>20</v>
          </cell>
        </row>
      </sheetData>
      <sheetData sheetId="280">
        <row r="5">
          <cell r="N5">
            <v>20</v>
          </cell>
        </row>
      </sheetData>
      <sheetData sheetId="281">
        <row r="5">
          <cell r="N5">
            <v>20</v>
          </cell>
        </row>
      </sheetData>
      <sheetData sheetId="282">
        <row r="5">
          <cell r="N5">
            <v>20</v>
          </cell>
        </row>
      </sheetData>
      <sheetData sheetId="283"/>
      <sheetData sheetId="284">
        <row r="5">
          <cell r="N5">
            <v>20</v>
          </cell>
        </row>
      </sheetData>
      <sheetData sheetId="285">
        <row r="5">
          <cell r="N5">
            <v>20</v>
          </cell>
        </row>
      </sheetData>
      <sheetData sheetId="286">
        <row r="5">
          <cell r="N5">
            <v>20</v>
          </cell>
        </row>
      </sheetData>
      <sheetData sheetId="287"/>
      <sheetData sheetId="288">
        <row r="5">
          <cell r="N5">
            <v>20</v>
          </cell>
        </row>
      </sheetData>
      <sheetData sheetId="289">
        <row r="5">
          <cell r="N5">
            <v>20</v>
          </cell>
        </row>
      </sheetData>
      <sheetData sheetId="290">
        <row r="5">
          <cell r="N5">
            <v>20</v>
          </cell>
        </row>
      </sheetData>
      <sheetData sheetId="291"/>
      <sheetData sheetId="292">
        <row r="5">
          <cell r="N5">
            <v>20</v>
          </cell>
        </row>
      </sheetData>
      <sheetData sheetId="293"/>
      <sheetData sheetId="294"/>
      <sheetData sheetId="295"/>
      <sheetData sheetId="296">
        <row r="5">
          <cell r="N5">
            <v>20</v>
          </cell>
        </row>
      </sheetData>
      <sheetData sheetId="297"/>
      <sheetData sheetId="298"/>
      <sheetData sheetId="299"/>
      <sheetData sheetId="300">
        <row r="5">
          <cell r="N5">
            <v>20</v>
          </cell>
        </row>
      </sheetData>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ow r="5">
          <cell r="N5">
            <v>20</v>
          </cell>
        </row>
      </sheetData>
      <sheetData sheetId="326">
        <row r="5">
          <cell r="N5">
            <v>20</v>
          </cell>
        </row>
      </sheetData>
      <sheetData sheetId="327">
        <row r="5">
          <cell r="N5">
            <v>20</v>
          </cell>
        </row>
      </sheetData>
      <sheetData sheetId="328">
        <row r="5">
          <cell r="N5">
            <v>20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ow r="14">
          <cell r="EK14" t="str">
            <v>SP-01-1</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일위대가"/>
      <sheetName val="전열면적"/>
      <sheetName val="SEPARATOR"/>
      <sheetName val="2000년1차"/>
      <sheetName val="M-EQPT-Z"/>
      <sheetName val="REPORT07"/>
      <sheetName val="단가집"/>
      <sheetName val="BM "/>
      <sheetName val="DWG LIST"/>
      <sheetName val="자격 땡겨오기"/>
      <sheetName val="VAE264_VALVES"/>
      <sheetName val="5.소재"/>
      <sheetName val="소화실적"/>
      <sheetName val="현장지지물물량"/>
      <sheetName val="sheet1"/>
      <sheetName val="당초"/>
      <sheetName val="실행예산SHEET도장재검토"/>
      <sheetName val="MOB-MAN1"/>
      <sheetName val="예제"/>
      <sheetName val="기준표"/>
      <sheetName val="규격"/>
      <sheetName val="노점수분"/>
      <sheetName val="견적기준"/>
      <sheetName val="자재사용현황"/>
      <sheetName val="w't table"/>
      <sheetName val="INDEX"/>
      <sheetName val="DI-ESTI"/>
      <sheetName val="NYS"/>
      <sheetName val="KH-Q1,Q2,01"/>
      <sheetName val="CAT_5"/>
      <sheetName val="#REF"/>
      <sheetName val=""/>
      <sheetName val="TTL"/>
      <sheetName val="성광벤드"/>
      <sheetName val="GRP PIPING"/>
      <sheetName val="P-LIST"/>
      <sheetName val="물가자료"/>
      <sheetName val="WE'T"/>
      <sheetName val="REDUCER"/>
      <sheetName val="Summary"/>
      <sheetName val="BM"/>
      <sheetName val="B101"/>
      <sheetName val="카메라"/>
      <sheetName val="COA-17"/>
      <sheetName val="C-18"/>
      <sheetName val="임율 Data"/>
      <sheetName val="kich thuoc"/>
      <sheetName val="DTHH"/>
      <sheetName val="REV 4"/>
      <sheetName val="COL"/>
      <sheetName val="Sheet5"/>
      <sheetName val="BEND LOSS"/>
      <sheetName val="FM"/>
      <sheetName val="내역서"/>
      <sheetName val="노임단가"/>
      <sheetName val="품셈표"/>
      <sheetName val="추가예산"/>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BM_"/>
      <sheetName val="DWG_LIST"/>
      <sheetName val="자격_땡겨오기"/>
      <sheetName val="5_소재"/>
      <sheetName val="w't_table"/>
      <sheetName val="임율_Data"/>
      <sheetName val="GRP_PIPING"/>
      <sheetName val="REV_4"/>
      <sheetName val="BEND_LOSS"/>
      <sheetName val="SPARE PART"/>
      <sheetName val="연환"/>
      <sheetName val="부서코드표"/>
      <sheetName val="WXY"/>
      <sheetName val="입찰안"/>
      <sheetName val="CAUDIT"/>
      <sheetName val="골재산출"/>
      <sheetName val="http___www35_daum_net_WIN98_T_2"/>
      <sheetName val="Lists"/>
      <sheetName val="CI "/>
      <sheetName val="CI"/>
      <sheetName val="골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Break Down CI"/>
      <sheetName val="PL(1_2)"/>
      <sheetName val="PL(2_2)"/>
      <sheetName val="Detailed PL"/>
      <sheetName val="SHIPPING MARK"/>
      <sheetName val="SHIPPING MARK1"/>
      <sheetName val="SHIPPING MARK2"/>
    </sheetNames>
    <sheetDataSet>
      <sheetData sheetId="0" refreshError="1">
        <row r="8">
          <cell r="G8" t="str">
            <v>DATE:</v>
          </cell>
        </row>
        <row r="9">
          <cell r="G9" t="str">
            <v>SHIPPING MARK</v>
          </cell>
        </row>
        <row r="26">
          <cell r="B26" t="str">
            <v>Address: O Mon Power Complex at Phuoc Thoi wards, O Mon district, Can Tho city</v>
          </cell>
        </row>
        <row r="28">
          <cell r="B28" t="str">
            <v>PLANT/ EQUIPMENT AND MATERIALS FOR O MON IV THERMAL</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N21"/>
  <sheetViews>
    <sheetView showGridLines="0" tabSelected="1" view="pageBreakPreview" zoomScale="80" zoomScaleNormal="100" zoomScaleSheetLayoutView="80" workbookViewId="0">
      <selection activeCell="C13" sqref="C13:C14"/>
    </sheetView>
  </sheetViews>
  <sheetFormatPr defaultColWidth="8.76953125" defaultRowHeight="18" customHeight="1"/>
  <cols>
    <col min="1" max="1" width="1.05078125" style="141" customWidth="1"/>
    <col min="2" max="2" width="3.625" style="78" customWidth="1"/>
    <col min="3" max="3" width="21.1640625" style="151" customWidth="1"/>
    <col min="4" max="4" width="23.73828125" style="161" customWidth="1"/>
    <col min="5" max="5" width="21.75" style="161" customWidth="1"/>
    <col min="6" max="6" width="14.265625" style="78" customWidth="1"/>
    <col min="7" max="7" width="21.75" style="161" customWidth="1"/>
    <col min="8" max="8" width="10.5234375" style="73" customWidth="1"/>
    <col min="9" max="9" width="6.1953125" style="208" customWidth="1"/>
    <col min="10" max="10" width="5.26171875" style="73" customWidth="1"/>
    <col min="11" max="11" width="7.6015625" style="73" customWidth="1"/>
    <col min="12" max="14" width="6.3125" style="73" customWidth="1"/>
    <col min="15" max="15" width="7.25" style="162" customWidth="1"/>
    <col min="16" max="17" width="8.88671875" style="73" customWidth="1"/>
    <col min="18" max="18" width="8.53515625" style="73" customWidth="1"/>
    <col min="19" max="19" width="10.0546875" style="78" customWidth="1"/>
    <col min="20" max="20" width="6.8984375" style="78" customWidth="1"/>
    <col min="21" max="21" width="6.6640625" style="163" customWidth="1"/>
    <col min="22" max="22" width="1.05078125" style="139" customWidth="1"/>
    <col min="23" max="27" width="8.76953125" style="140" customWidth="1"/>
    <col min="28" max="28" width="7.3671875" style="140" bestFit="1" customWidth="1"/>
    <col min="29" max="29" width="8.76953125" style="140" customWidth="1"/>
    <col min="30" max="35" width="8.76953125" style="141" customWidth="1"/>
    <col min="36" max="40" width="8.76953125" style="140"/>
    <col min="41" max="16384" width="8.76953125" style="141"/>
  </cols>
  <sheetData>
    <row r="1" spans="2:40" ht="9" customHeight="1">
      <c r="B1" s="480"/>
      <c r="C1" s="480"/>
      <c r="D1" s="480"/>
      <c r="E1" s="480"/>
      <c r="F1" s="480"/>
      <c r="G1" s="480"/>
      <c r="H1" s="480"/>
      <c r="I1" s="480"/>
      <c r="J1" s="480"/>
      <c r="K1" s="480"/>
      <c r="L1" s="480"/>
      <c r="M1" s="480"/>
      <c r="N1" s="480"/>
      <c r="O1" s="480"/>
      <c r="P1" s="480"/>
      <c r="Q1" s="480"/>
      <c r="R1" s="480"/>
      <c r="S1" s="480"/>
      <c r="T1" s="480"/>
      <c r="U1" s="480"/>
    </row>
    <row r="2" spans="2:40" ht="26.1" customHeight="1">
      <c r="B2" s="138"/>
      <c r="C2" s="73"/>
      <c r="D2" s="73"/>
      <c r="E2" s="73"/>
      <c r="F2" s="141"/>
      <c r="G2" s="73"/>
      <c r="I2" s="205"/>
      <c r="J2" s="142"/>
      <c r="K2" s="142"/>
      <c r="L2" s="142"/>
      <c r="M2" s="143"/>
      <c r="N2" s="144"/>
      <c r="O2" s="138"/>
      <c r="P2" s="138"/>
      <c r="Q2" s="138"/>
      <c r="R2" s="138"/>
      <c r="S2" s="138"/>
      <c r="T2" s="141"/>
      <c r="U2" s="141"/>
      <c r="V2" s="141"/>
      <c r="W2" s="141"/>
      <c r="X2" s="141"/>
      <c r="Y2" s="141"/>
      <c r="Z2" s="141"/>
      <c r="AA2" s="141"/>
      <c r="AB2" s="141"/>
      <c r="AC2" s="141"/>
      <c r="AJ2" s="141"/>
      <c r="AK2" s="141"/>
      <c r="AL2" s="141"/>
      <c r="AM2" s="141"/>
      <c r="AN2" s="141"/>
    </row>
    <row r="3" spans="2:40" ht="27.6" customHeight="1" thickBot="1">
      <c r="B3" s="138"/>
      <c r="C3" s="481" t="s">
        <v>0</v>
      </c>
      <c r="D3" s="481"/>
      <c r="E3" s="481"/>
      <c r="F3" s="481"/>
      <c r="G3" s="481"/>
      <c r="H3" s="481"/>
      <c r="I3" s="481"/>
      <c r="J3" s="481"/>
      <c r="K3" s="481"/>
      <c r="L3" s="142"/>
      <c r="M3" s="143"/>
      <c r="N3" s="144"/>
      <c r="O3" s="145"/>
      <c r="P3" s="138"/>
      <c r="Q3" s="138"/>
      <c r="R3" s="138"/>
      <c r="S3" s="138"/>
      <c r="T3" s="141"/>
      <c r="U3" s="141"/>
      <c r="V3" s="141"/>
      <c r="W3" s="141"/>
      <c r="X3" s="141"/>
      <c r="Y3" s="141"/>
      <c r="Z3" s="141"/>
      <c r="AA3" s="141"/>
      <c r="AB3" s="141"/>
      <c r="AC3" s="141"/>
      <c r="AJ3" s="141"/>
      <c r="AK3" s="141"/>
      <c r="AL3" s="141"/>
      <c r="AM3" s="141"/>
      <c r="AN3" s="141"/>
    </row>
    <row r="4" spans="2:40" ht="33.75" customHeight="1" thickTop="1" thickBot="1">
      <c r="B4" s="482" t="s">
        <v>87</v>
      </c>
      <c r="C4" s="483"/>
      <c r="D4" s="483"/>
      <c r="E4" s="483"/>
      <c r="F4" s="483"/>
      <c r="G4" s="483"/>
      <c r="H4" s="483"/>
      <c r="I4" s="483"/>
      <c r="J4" s="483"/>
      <c r="K4" s="483"/>
      <c r="L4" s="483"/>
      <c r="M4" s="483"/>
      <c r="N4" s="483"/>
      <c r="O4" s="483"/>
      <c r="P4" s="483"/>
      <c r="Q4" s="483"/>
      <c r="R4" s="483"/>
      <c r="S4" s="483"/>
      <c r="T4" s="483"/>
      <c r="U4" s="484"/>
    </row>
    <row r="5" spans="2:40" s="73" customFormat="1" ht="17.25" customHeight="1" thickTop="1">
      <c r="B5" s="78"/>
      <c r="C5" s="146" t="s">
        <v>88</v>
      </c>
      <c r="D5" s="147" t="str">
        <f>'PL(2_2)'!D5</f>
        <v>OM4-DE-IS-0008</v>
      </c>
      <c r="F5" s="149"/>
      <c r="H5" s="78"/>
      <c r="I5" s="206"/>
      <c r="J5" s="78"/>
      <c r="K5" s="78"/>
      <c r="L5" s="78"/>
      <c r="M5" s="78"/>
      <c r="N5" s="78"/>
      <c r="O5" s="148"/>
      <c r="P5" s="78"/>
      <c r="Q5" s="78"/>
      <c r="R5" s="78"/>
      <c r="S5" s="149"/>
      <c r="T5" s="78"/>
      <c r="U5" s="78"/>
      <c r="V5" s="150"/>
      <c r="AJ5" s="78"/>
      <c r="AK5" s="78"/>
      <c r="AL5" s="78"/>
      <c r="AM5" s="78"/>
      <c r="AN5" s="78"/>
    </row>
    <row r="6" spans="2:40" s="73" customFormat="1" ht="17.25" customHeight="1">
      <c r="B6" s="78"/>
      <c r="C6" s="146" t="s">
        <v>41</v>
      </c>
      <c r="D6" s="195">
        <f>'PL(2_2)'!D6</f>
        <v>46157</v>
      </c>
      <c r="F6" s="78"/>
      <c r="H6" s="78"/>
      <c r="I6" s="207"/>
      <c r="J6" s="151" t="s">
        <v>42</v>
      </c>
      <c r="K6" s="78"/>
      <c r="L6" s="78"/>
      <c r="M6" s="78"/>
      <c r="N6" s="78"/>
      <c r="O6" s="152" t="s">
        <v>43</v>
      </c>
      <c r="P6" s="78"/>
      <c r="Q6" s="78"/>
      <c r="R6" s="78"/>
      <c r="S6" s="78"/>
      <c r="T6" s="78"/>
      <c r="U6" s="78"/>
      <c r="V6" s="150"/>
      <c r="AJ6" s="78"/>
      <c r="AK6" s="78"/>
      <c r="AL6" s="78"/>
      <c r="AM6" s="78"/>
      <c r="AN6" s="78"/>
    </row>
    <row r="7" spans="2:40" s="73" customFormat="1" ht="17.25" customHeight="1">
      <c r="B7" s="78"/>
      <c r="C7" s="146" t="s">
        <v>44</v>
      </c>
      <c r="D7" s="196" t="str">
        <f>'PL(2_2)'!D7</f>
        <v>O MON IV THERMAL POWER PLANT</v>
      </c>
      <c r="F7" s="78"/>
      <c r="H7" s="78"/>
      <c r="I7" s="207"/>
      <c r="J7" s="75" t="s">
        <v>45</v>
      </c>
      <c r="K7" s="151" t="s">
        <v>46</v>
      </c>
      <c r="L7" s="78"/>
      <c r="M7" s="78"/>
      <c r="N7" s="78"/>
      <c r="O7" s="153"/>
      <c r="P7" s="79" t="s">
        <v>172</v>
      </c>
      <c r="Q7" s="79" t="s">
        <v>174</v>
      </c>
      <c r="R7" s="79" t="s">
        <v>176</v>
      </c>
      <c r="S7" s="79" t="s">
        <v>47</v>
      </c>
      <c r="T7" s="78"/>
      <c r="U7" s="78"/>
      <c r="V7" s="150"/>
      <c r="W7" s="78"/>
      <c r="X7" s="78"/>
      <c r="Y7" s="78"/>
      <c r="Z7" s="78"/>
      <c r="AA7" s="78"/>
      <c r="AB7" s="78"/>
      <c r="AC7" s="78"/>
      <c r="AJ7" s="78"/>
      <c r="AK7" s="78"/>
      <c r="AL7" s="78"/>
      <c r="AM7" s="78"/>
      <c r="AN7" s="78"/>
    </row>
    <row r="8" spans="2:40" s="73" customFormat="1" ht="17.25" customHeight="1">
      <c r="B8" s="78"/>
      <c r="C8" s="146" t="s">
        <v>89</v>
      </c>
      <c r="D8" s="356"/>
      <c r="E8" s="357"/>
      <c r="F8" s="78"/>
      <c r="H8" s="78"/>
      <c r="I8" s="207"/>
      <c r="J8" s="75" t="s">
        <v>48</v>
      </c>
      <c r="K8" s="151" t="s">
        <v>49</v>
      </c>
      <c r="L8" s="78"/>
      <c r="M8" s="78"/>
      <c r="N8" s="78"/>
      <c r="O8" s="154" t="s">
        <v>50</v>
      </c>
      <c r="P8" s="79" t="s">
        <v>51</v>
      </c>
      <c r="Q8" s="79" t="s">
        <v>52</v>
      </c>
      <c r="R8" s="79" t="s">
        <v>53</v>
      </c>
      <c r="S8" s="79" t="s">
        <v>54</v>
      </c>
      <c r="T8" s="78"/>
      <c r="U8" s="78"/>
      <c r="V8" s="150"/>
      <c r="W8" s="78"/>
      <c r="X8" s="78"/>
      <c r="Y8" s="78"/>
      <c r="Z8" s="78"/>
      <c r="AA8" s="78"/>
      <c r="AB8" s="78"/>
      <c r="AC8" s="78"/>
      <c r="AJ8" s="78"/>
      <c r="AK8" s="78"/>
      <c r="AL8" s="78"/>
      <c r="AM8" s="78"/>
      <c r="AN8" s="78"/>
    </row>
    <row r="9" spans="2:40" s="73" customFormat="1" ht="17.25" customHeight="1">
      <c r="B9" s="78"/>
      <c r="D9" s="357"/>
      <c r="E9" s="358"/>
      <c r="F9" s="78"/>
      <c r="G9" s="146"/>
      <c r="H9" s="78"/>
      <c r="I9" s="207"/>
      <c r="J9" s="75" t="s">
        <v>55</v>
      </c>
      <c r="K9" s="151" t="s">
        <v>56</v>
      </c>
      <c r="L9" s="78"/>
      <c r="M9" s="78"/>
      <c r="N9" s="78"/>
      <c r="O9" s="154" t="s">
        <v>57</v>
      </c>
      <c r="P9" s="79" t="s">
        <v>58</v>
      </c>
      <c r="Q9" s="79" t="s">
        <v>59</v>
      </c>
      <c r="R9" s="79" t="s">
        <v>60</v>
      </c>
      <c r="S9" s="79" t="s">
        <v>61</v>
      </c>
      <c r="T9" s="78"/>
      <c r="U9" s="78"/>
      <c r="V9" s="150"/>
      <c r="W9" s="78"/>
      <c r="X9" s="78"/>
      <c r="Y9" s="78"/>
      <c r="Z9" s="78"/>
      <c r="AA9" s="78"/>
      <c r="AB9" s="78"/>
      <c r="AC9" s="78"/>
      <c r="AJ9" s="78"/>
      <c r="AK9" s="78"/>
      <c r="AL9" s="78"/>
      <c r="AM9" s="78"/>
      <c r="AN9" s="78"/>
    </row>
    <row r="10" spans="2:40" s="73" customFormat="1" ht="17.25" customHeight="1">
      <c r="B10" s="78"/>
      <c r="C10" s="146"/>
      <c r="D10" s="358"/>
      <c r="E10" s="358"/>
      <c r="F10" s="78"/>
      <c r="G10" s="146"/>
      <c r="H10" s="78"/>
      <c r="I10" s="207"/>
      <c r="J10" s="75" t="s">
        <v>62</v>
      </c>
      <c r="K10" s="151" t="s">
        <v>63</v>
      </c>
      <c r="L10" s="78"/>
      <c r="M10" s="78"/>
      <c r="N10" s="78"/>
      <c r="O10" s="154" t="s">
        <v>64</v>
      </c>
      <c r="P10" s="79" t="s">
        <v>65</v>
      </c>
      <c r="Q10" s="79" t="s">
        <v>66</v>
      </c>
      <c r="R10" s="79" t="s">
        <v>67</v>
      </c>
      <c r="S10" s="300" t="s">
        <v>68</v>
      </c>
      <c r="T10" s="78"/>
      <c r="U10" s="78"/>
      <c r="V10" s="150"/>
      <c r="W10" s="78"/>
      <c r="X10" s="78"/>
      <c r="Y10" s="78"/>
      <c r="Z10" s="78"/>
      <c r="AA10" s="78"/>
      <c r="AB10" s="78"/>
      <c r="AC10" s="78"/>
      <c r="AJ10" s="78"/>
      <c r="AK10" s="78"/>
      <c r="AL10" s="78"/>
      <c r="AM10" s="78"/>
      <c r="AN10" s="78"/>
    </row>
    <row r="11" spans="2:40" s="73" customFormat="1" ht="17.25" customHeight="1">
      <c r="B11" s="78"/>
      <c r="C11" s="146"/>
      <c r="D11" s="146"/>
      <c r="E11" s="146"/>
      <c r="F11" s="78"/>
      <c r="G11" s="146"/>
      <c r="H11" s="78"/>
      <c r="I11" s="207"/>
      <c r="J11" s="75" t="s">
        <v>69</v>
      </c>
      <c r="K11" s="151" t="s">
        <v>70</v>
      </c>
      <c r="L11" s="78"/>
      <c r="M11" s="78"/>
      <c r="N11" s="78"/>
      <c r="O11" s="148"/>
      <c r="P11" s="78"/>
      <c r="Q11" s="78"/>
      <c r="R11" s="78"/>
      <c r="S11" s="78"/>
      <c r="T11" s="78"/>
      <c r="U11" s="78"/>
      <c r="V11" s="150"/>
      <c r="W11" s="78"/>
      <c r="X11" s="78"/>
      <c r="Y11" s="78"/>
      <c r="Z11" s="78"/>
      <c r="AA11" s="78"/>
      <c r="AB11" s="78"/>
      <c r="AC11" s="78"/>
      <c r="AJ11" s="78"/>
      <c r="AK11" s="78"/>
      <c r="AL11" s="78"/>
      <c r="AM11" s="78"/>
      <c r="AN11" s="78"/>
    </row>
    <row r="12" spans="2:40" s="73" customFormat="1" ht="17.25" customHeight="1">
      <c r="B12" s="78"/>
      <c r="C12" s="146"/>
      <c r="D12" s="78"/>
      <c r="E12" s="78"/>
      <c r="F12" s="78"/>
      <c r="G12" s="78"/>
      <c r="H12" s="78"/>
      <c r="I12" s="207"/>
      <c r="J12" s="78"/>
      <c r="K12" s="78"/>
      <c r="L12" s="78"/>
      <c r="M12" s="78"/>
      <c r="N12" s="78"/>
      <c r="O12" s="148"/>
      <c r="P12" s="78"/>
      <c r="Q12" s="78"/>
      <c r="R12" s="78"/>
      <c r="S12" s="78"/>
      <c r="T12" s="78"/>
      <c r="U12" s="78"/>
      <c r="V12" s="150"/>
      <c r="W12" s="78"/>
      <c r="X12" s="78"/>
      <c r="Y12" s="78"/>
      <c r="Z12" s="78"/>
      <c r="AA12" s="78"/>
      <c r="AB12" s="78"/>
      <c r="AC12" s="78"/>
      <c r="AJ12" s="78"/>
      <c r="AK12" s="78"/>
      <c r="AL12" s="78"/>
      <c r="AM12" s="78"/>
      <c r="AN12" s="78"/>
    </row>
    <row r="13" spans="2:40" s="157" customFormat="1" ht="20.25" customHeight="1">
      <c r="B13" s="472" t="s">
        <v>29</v>
      </c>
      <c r="C13" s="486" t="s">
        <v>30</v>
      </c>
      <c r="D13" s="487" t="s">
        <v>71</v>
      </c>
      <c r="E13" s="488"/>
      <c r="F13" s="472" t="s">
        <v>90</v>
      </c>
      <c r="G13" s="486" t="s">
        <v>144</v>
      </c>
      <c r="H13" s="472" t="s">
        <v>145</v>
      </c>
      <c r="I13" s="491" t="s">
        <v>72</v>
      </c>
      <c r="J13" s="492"/>
      <c r="K13" s="472" t="s">
        <v>73</v>
      </c>
      <c r="L13" s="491" t="s">
        <v>74</v>
      </c>
      <c r="M13" s="493"/>
      <c r="N13" s="493"/>
      <c r="O13" s="492"/>
      <c r="P13" s="472" t="s">
        <v>75</v>
      </c>
      <c r="Q13" s="472" t="s">
        <v>76</v>
      </c>
      <c r="R13" s="472" t="s">
        <v>77</v>
      </c>
      <c r="S13" s="472" t="s">
        <v>78</v>
      </c>
      <c r="T13" s="487" t="s">
        <v>91</v>
      </c>
      <c r="U13" s="472" t="s">
        <v>79</v>
      </c>
      <c r="V13" s="155"/>
      <c r="W13" s="156"/>
      <c r="X13" s="156"/>
      <c r="Y13" s="156"/>
      <c r="Z13" s="156"/>
      <c r="AA13" s="156"/>
      <c r="AB13" s="156"/>
      <c r="AC13" s="156"/>
      <c r="AJ13" s="156"/>
      <c r="AK13" s="156"/>
      <c r="AL13" s="156"/>
      <c r="AM13" s="156"/>
      <c r="AN13" s="156"/>
    </row>
    <row r="14" spans="2:40" s="157" customFormat="1" ht="28.5" customHeight="1">
      <c r="B14" s="485"/>
      <c r="C14" s="485"/>
      <c r="D14" s="489"/>
      <c r="E14" s="490"/>
      <c r="F14" s="473"/>
      <c r="G14" s="485"/>
      <c r="H14" s="473"/>
      <c r="I14" s="204" t="s">
        <v>80</v>
      </c>
      <c r="J14" s="158" t="s">
        <v>81</v>
      </c>
      <c r="K14" s="473"/>
      <c r="L14" s="159" t="s">
        <v>82</v>
      </c>
      <c r="M14" s="159" t="s">
        <v>83</v>
      </c>
      <c r="N14" s="159" t="s">
        <v>84</v>
      </c>
      <c r="O14" s="160" t="s">
        <v>85</v>
      </c>
      <c r="P14" s="473"/>
      <c r="Q14" s="473"/>
      <c r="R14" s="473"/>
      <c r="S14" s="473"/>
      <c r="T14" s="489"/>
      <c r="U14" s="473"/>
      <c r="W14" s="156"/>
      <c r="X14" s="156"/>
      <c r="Y14" s="156"/>
      <c r="Z14" s="156"/>
      <c r="AA14" s="156"/>
      <c r="AB14" s="156"/>
      <c r="AC14" s="156"/>
      <c r="AJ14" s="156"/>
      <c r="AK14" s="156"/>
      <c r="AL14" s="156"/>
      <c r="AM14" s="156"/>
      <c r="AN14" s="156"/>
    </row>
    <row r="15" spans="2:40" s="157" customFormat="1" ht="28.5" customHeight="1">
      <c r="B15" s="354">
        <v>1</v>
      </c>
      <c r="C15" s="354" t="s">
        <v>201</v>
      </c>
      <c r="D15" s="353" t="s">
        <v>150</v>
      </c>
      <c r="E15" s="94" t="s">
        <v>151</v>
      </c>
      <c r="F15" s="313" t="s">
        <v>179</v>
      </c>
      <c r="G15" s="280" t="s">
        <v>170</v>
      </c>
      <c r="H15" s="352" t="s">
        <v>207</v>
      </c>
      <c r="I15" s="249">
        <v>260</v>
      </c>
      <c r="J15" s="79" t="s">
        <v>146</v>
      </c>
      <c r="K15" s="352"/>
      <c r="L15" s="250"/>
      <c r="M15" s="250"/>
      <c r="N15" s="250"/>
      <c r="O15" s="251"/>
      <c r="P15" s="252">
        <f t="shared" ref="P15" si="0">W15*I15</f>
        <v>260</v>
      </c>
      <c r="Q15" s="252"/>
      <c r="R15" s="352"/>
      <c r="S15" s="352"/>
      <c r="T15" s="353"/>
      <c r="U15" s="352"/>
      <c r="W15" s="210">
        <v>1</v>
      </c>
      <c r="X15" s="156"/>
      <c r="Y15" s="156"/>
      <c r="Z15" s="156"/>
      <c r="AA15" s="156"/>
      <c r="AB15" s="156"/>
      <c r="AC15" s="156"/>
      <c r="AJ15" s="156"/>
      <c r="AK15" s="156"/>
      <c r="AL15" s="156"/>
      <c r="AM15" s="156"/>
      <c r="AN15" s="156"/>
    </row>
    <row r="16" spans="2:40" s="157" customFormat="1" ht="28.5" customHeight="1">
      <c r="B16" s="474" t="s">
        <v>92</v>
      </c>
      <c r="C16" s="475"/>
      <c r="D16" s="475"/>
      <c r="E16" s="475"/>
      <c r="F16" s="475"/>
      <c r="G16" s="475"/>
      <c r="H16" s="476"/>
      <c r="I16" s="253">
        <f>SUM(I15)</f>
        <v>260</v>
      </c>
      <c r="J16" s="254"/>
      <c r="K16" s="255" t="s">
        <v>149</v>
      </c>
      <c r="L16" s="256">
        <v>100</v>
      </c>
      <c r="M16" s="256">
        <v>100</v>
      </c>
      <c r="N16" s="256">
        <v>140</v>
      </c>
      <c r="O16" s="257">
        <f>(L16*M16*N16)/10^6</f>
        <v>1.4</v>
      </c>
      <c r="P16" s="258">
        <f>P15</f>
        <v>260</v>
      </c>
      <c r="Q16" s="258">
        <f>P16+150</f>
        <v>410</v>
      </c>
      <c r="R16" s="255" t="s">
        <v>152</v>
      </c>
      <c r="S16" s="255" t="s">
        <v>148</v>
      </c>
      <c r="T16" s="259"/>
      <c r="U16" s="255" t="s">
        <v>177</v>
      </c>
      <c r="W16" s="210"/>
      <c r="X16" s="156"/>
      <c r="Y16" s="156"/>
      <c r="Z16" s="156"/>
      <c r="AA16" s="156"/>
      <c r="AB16" s="156"/>
      <c r="AC16" s="156"/>
      <c r="AJ16" s="156"/>
      <c r="AK16" s="156"/>
      <c r="AL16" s="156"/>
      <c r="AM16" s="156"/>
      <c r="AN16" s="156"/>
    </row>
    <row r="17" spans="2:40" s="157" customFormat="1" ht="28.5" customHeight="1">
      <c r="B17" s="354">
        <v>2</v>
      </c>
      <c r="C17" s="354" t="s">
        <v>202</v>
      </c>
      <c r="D17" s="353" t="s">
        <v>150</v>
      </c>
      <c r="E17" s="94" t="s">
        <v>151</v>
      </c>
      <c r="F17" s="313" t="s">
        <v>179</v>
      </c>
      <c r="G17" s="280" t="s">
        <v>170</v>
      </c>
      <c r="H17" s="352" t="s">
        <v>207</v>
      </c>
      <c r="I17" s="249">
        <v>240</v>
      </c>
      <c r="J17" s="79" t="s">
        <v>146</v>
      </c>
      <c r="K17" s="352"/>
      <c r="L17" s="250"/>
      <c r="M17" s="250"/>
      <c r="N17" s="250"/>
      <c r="O17" s="251"/>
      <c r="P17" s="252">
        <f t="shared" ref="P17" si="1">W17*I17</f>
        <v>240</v>
      </c>
      <c r="Q17" s="252"/>
      <c r="R17" s="352"/>
      <c r="S17" s="352"/>
      <c r="T17" s="353"/>
      <c r="U17" s="352"/>
      <c r="W17" s="210">
        <v>1</v>
      </c>
      <c r="X17" s="156"/>
      <c r="Y17" s="156"/>
      <c r="Z17" s="156"/>
      <c r="AA17" s="156"/>
      <c r="AB17" s="156"/>
      <c r="AC17" s="156"/>
      <c r="AJ17" s="156"/>
      <c r="AK17" s="156"/>
      <c r="AL17" s="156"/>
      <c r="AM17" s="156"/>
      <c r="AN17" s="156"/>
    </row>
    <row r="18" spans="2:40" s="157" customFormat="1" ht="28.5" customHeight="1">
      <c r="B18" s="474" t="s">
        <v>92</v>
      </c>
      <c r="C18" s="475"/>
      <c r="D18" s="475"/>
      <c r="E18" s="475"/>
      <c r="F18" s="475"/>
      <c r="G18" s="475"/>
      <c r="H18" s="476"/>
      <c r="I18" s="253">
        <f>SUM(I17)</f>
        <v>240</v>
      </c>
      <c r="J18" s="254"/>
      <c r="K18" s="255" t="s">
        <v>149</v>
      </c>
      <c r="L18" s="256">
        <v>100</v>
      </c>
      <c r="M18" s="256">
        <v>100</v>
      </c>
      <c r="N18" s="256">
        <v>110</v>
      </c>
      <c r="O18" s="257">
        <f>(L18*M18*N18)/10^6</f>
        <v>1.1000000000000001</v>
      </c>
      <c r="P18" s="258">
        <f>P17</f>
        <v>240</v>
      </c>
      <c r="Q18" s="258">
        <f>P18+150</f>
        <v>390</v>
      </c>
      <c r="R18" s="255" t="s">
        <v>152</v>
      </c>
      <c r="S18" s="255" t="s">
        <v>148</v>
      </c>
      <c r="T18" s="259"/>
      <c r="U18" s="255" t="s">
        <v>177</v>
      </c>
      <c r="W18" s="210"/>
      <c r="X18" s="156"/>
      <c r="Y18" s="156"/>
      <c r="Z18" s="156"/>
      <c r="AA18" s="156"/>
      <c r="AB18" s="156"/>
      <c r="AC18" s="156"/>
      <c r="AJ18" s="156"/>
      <c r="AK18" s="156"/>
      <c r="AL18" s="156"/>
      <c r="AM18" s="156"/>
      <c r="AN18" s="156"/>
    </row>
    <row r="19" spans="2:40" s="157" customFormat="1" ht="28.5" customHeight="1">
      <c r="B19" s="354">
        <v>3</v>
      </c>
      <c r="C19" s="354" t="s">
        <v>203</v>
      </c>
      <c r="D19" s="353" t="s">
        <v>150</v>
      </c>
      <c r="E19" s="94" t="s">
        <v>194</v>
      </c>
      <c r="F19" s="313" t="s">
        <v>179</v>
      </c>
      <c r="G19" s="280" t="s">
        <v>170</v>
      </c>
      <c r="H19" s="352" t="s">
        <v>207</v>
      </c>
      <c r="I19" s="249">
        <v>100</v>
      </c>
      <c r="J19" s="79" t="s">
        <v>146</v>
      </c>
      <c r="K19" s="352"/>
      <c r="L19" s="250"/>
      <c r="M19" s="250"/>
      <c r="N19" s="250"/>
      <c r="O19" s="251"/>
      <c r="P19" s="252">
        <f t="shared" ref="P19" si="2">W19*I19</f>
        <v>100</v>
      </c>
      <c r="Q19" s="252"/>
      <c r="R19" s="352"/>
      <c r="S19" s="352"/>
      <c r="T19" s="353"/>
      <c r="U19" s="352"/>
      <c r="W19" s="210">
        <v>1</v>
      </c>
      <c r="X19" s="156"/>
      <c r="Y19" s="156"/>
      <c r="Z19" s="156"/>
      <c r="AA19" s="156"/>
      <c r="AB19" s="156"/>
      <c r="AC19" s="156"/>
      <c r="AJ19" s="156"/>
      <c r="AK19" s="156"/>
      <c r="AL19" s="156"/>
      <c r="AM19" s="156"/>
      <c r="AN19" s="156"/>
    </row>
    <row r="20" spans="2:40" s="157" customFormat="1" ht="28.5" customHeight="1">
      <c r="B20" s="477" t="s">
        <v>92</v>
      </c>
      <c r="C20" s="478"/>
      <c r="D20" s="478"/>
      <c r="E20" s="478"/>
      <c r="F20" s="478"/>
      <c r="G20" s="478"/>
      <c r="H20" s="479"/>
      <c r="I20" s="260">
        <f>SUM(I19)</f>
        <v>100</v>
      </c>
      <c r="J20" s="261"/>
      <c r="K20" s="262" t="s">
        <v>149</v>
      </c>
      <c r="L20" s="263">
        <v>100</v>
      </c>
      <c r="M20" s="263">
        <v>100</v>
      </c>
      <c r="N20" s="263">
        <v>70</v>
      </c>
      <c r="O20" s="264">
        <f>(L20*M20*N20)/10^6</f>
        <v>0.7</v>
      </c>
      <c r="P20" s="265">
        <f>P19</f>
        <v>100</v>
      </c>
      <c r="Q20" s="265">
        <f>P20+150</f>
        <v>250</v>
      </c>
      <c r="R20" s="262" t="s">
        <v>152</v>
      </c>
      <c r="S20" s="262" t="s">
        <v>148</v>
      </c>
      <c r="T20" s="266"/>
      <c r="U20" s="262" t="s">
        <v>177</v>
      </c>
      <c r="W20" s="156"/>
      <c r="X20" s="156"/>
      <c r="Y20" s="156"/>
      <c r="Z20" s="156"/>
      <c r="AA20" s="156"/>
      <c r="AB20" s="156"/>
      <c r="AC20" s="156"/>
      <c r="AJ20" s="156"/>
      <c r="AK20" s="156"/>
      <c r="AL20" s="156"/>
      <c r="AM20" s="156"/>
      <c r="AN20" s="156"/>
    </row>
    <row r="21" spans="2:40" s="73" customFormat="1" ht="32.25" customHeight="1">
      <c r="B21" s="471" t="s">
        <v>93</v>
      </c>
      <c r="C21" s="471"/>
      <c r="D21" s="471"/>
      <c r="E21" s="471"/>
      <c r="F21" s="471"/>
      <c r="G21" s="471"/>
      <c r="H21" s="471"/>
      <c r="I21" s="471"/>
      <c r="J21" s="471"/>
      <c r="K21" s="79"/>
      <c r="L21" s="79"/>
      <c r="M21" s="79"/>
      <c r="N21" s="79"/>
      <c r="O21" s="209">
        <f>SUM(O15:O20)</f>
        <v>3.2</v>
      </c>
      <c r="P21" s="209">
        <f>SUM(P16,P18,P20,)</f>
        <v>600</v>
      </c>
      <c r="Q21" s="209">
        <f>SUM(Q15:Q20)</f>
        <v>1050</v>
      </c>
      <c r="R21" s="79"/>
      <c r="S21" s="79"/>
      <c r="T21" s="79"/>
      <c r="U21" s="79"/>
      <c r="V21" s="150"/>
      <c r="W21" s="78"/>
      <c r="X21" s="78"/>
      <c r="Y21" s="78"/>
      <c r="Z21" s="78"/>
      <c r="AA21" s="78"/>
      <c r="AB21" s="78"/>
      <c r="AC21" s="78"/>
      <c r="AJ21" s="78"/>
      <c r="AK21" s="78"/>
      <c r="AL21" s="78"/>
      <c r="AM21" s="78"/>
      <c r="AN21" s="78"/>
    </row>
  </sheetData>
  <mergeCells count="22">
    <mergeCell ref="B1:U1"/>
    <mergeCell ref="C3:K3"/>
    <mergeCell ref="B4:U4"/>
    <mergeCell ref="B13:B14"/>
    <mergeCell ref="C13:C14"/>
    <mergeCell ref="D13:E14"/>
    <mergeCell ref="H13:H14"/>
    <mergeCell ref="I13:J13"/>
    <mergeCell ref="K13:K14"/>
    <mergeCell ref="L13:O13"/>
    <mergeCell ref="U13:U14"/>
    <mergeCell ref="S13:S14"/>
    <mergeCell ref="T13:T14"/>
    <mergeCell ref="G13:G14"/>
    <mergeCell ref="B21:J21"/>
    <mergeCell ref="P13:P14"/>
    <mergeCell ref="Q13:Q14"/>
    <mergeCell ref="R13:R14"/>
    <mergeCell ref="F13:F14"/>
    <mergeCell ref="B16:H16"/>
    <mergeCell ref="B18:H18"/>
    <mergeCell ref="B20:H20"/>
  </mergeCells>
  <phoneticPr fontId="34" type="noConversion"/>
  <printOptions horizontalCentered="1"/>
  <pageMargins left="0.23622047244094491" right="0.23622047244094491" top="0.47244094488188981" bottom="0.51181102362204722" header="0.31496062992125984" footer="0.31496062992125984"/>
  <pageSetup paperSize="9" scale="58" fitToHeight="0" orientation="landscape" r:id="rId1"/>
  <headerFooter alignWithMargins="0">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O47"/>
  <sheetViews>
    <sheetView showGridLines="0" view="pageBreakPreview" zoomScale="80" zoomScaleNormal="100" zoomScaleSheetLayoutView="80" workbookViewId="0">
      <selection activeCell="A4" sqref="A4:K4"/>
    </sheetView>
  </sheetViews>
  <sheetFormatPr defaultColWidth="9.5859375" defaultRowHeight="17.25" customHeight="1"/>
  <cols>
    <col min="1" max="1" width="1.63671875" style="7" customWidth="1"/>
    <col min="2" max="2" width="27.24609375" style="7" customWidth="1"/>
    <col min="3" max="3" width="1.75390625" style="7" customWidth="1"/>
    <col min="4" max="4" width="6.3125" style="7" customWidth="1"/>
    <col min="5" max="5" width="4.32421875" style="7" customWidth="1"/>
    <col min="6" max="6" width="13.5625" style="7" customWidth="1"/>
    <col min="7" max="7" width="17.65625" style="6" customWidth="1"/>
    <col min="8" max="8" width="9.5859375" style="6" customWidth="1"/>
    <col min="9" max="10" width="9.00390625" style="6" customWidth="1"/>
    <col min="11" max="11" width="10.875" style="72" customWidth="1"/>
    <col min="12" max="12" width="7.71484375" style="6" customWidth="1"/>
    <col min="13" max="16384" width="9.5859375" style="7"/>
  </cols>
  <sheetData>
    <row r="1" spans="1:14" ht="22.15" customHeight="1">
      <c r="A1" s="1"/>
      <c r="B1" s="2"/>
      <c r="C1" s="2"/>
      <c r="D1" s="2"/>
      <c r="E1" s="2"/>
      <c r="F1" s="2"/>
      <c r="G1" s="3"/>
      <c r="H1" s="3"/>
      <c r="I1" s="3"/>
      <c r="J1" s="4"/>
      <c r="K1" s="5"/>
    </row>
    <row r="2" spans="1:14" ht="22.15" customHeight="1">
      <c r="A2" s="8"/>
      <c r="J2" s="186"/>
      <c r="K2" s="9"/>
    </row>
    <row r="3" spans="1:14" ht="37.5" customHeight="1">
      <c r="A3" s="10"/>
      <c r="B3" s="372" t="s">
        <v>114</v>
      </c>
      <c r="C3" s="373"/>
      <c r="D3" s="373"/>
      <c r="E3" s="373"/>
      <c r="F3" s="187"/>
      <c r="G3" s="188"/>
      <c r="H3" s="372"/>
      <c r="I3" s="373"/>
      <c r="J3" s="373"/>
      <c r="K3" s="374"/>
    </row>
    <row r="4" spans="1:14" s="13" customFormat="1" ht="24.75" customHeight="1">
      <c r="A4" s="375" t="s">
        <v>1</v>
      </c>
      <c r="B4" s="376"/>
      <c r="C4" s="376"/>
      <c r="D4" s="376"/>
      <c r="E4" s="376"/>
      <c r="F4" s="376"/>
      <c r="G4" s="376"/>
      <c r="H4" s="376"/>
      <c r="I4" s="376"/>
      <c r="J4" s="376"/>
      <c r="K4" s="377"/>
      <c r="L4" s="11"/>
      <c r="M4" s="12"/>
      <c r="N4" s="12"/>
    </row>
    <row r="5" spans="1:14" s="13" customFormat="1" ht="16.149999999999999" customHeight="1">
      <c r="A5" s="14" t="s">
        <v>2</v>
      </c>
      <c r="B5" s="15"/>
      <c r="C5" s="15"/>
      <c r="D5" s="15"/>
      <c r="E5" s="16"/>
      <c r="F5" s="17"/>
      <c r="G5" s="18" t="s">
        <v>3</v>
      </c>
      <c r="H5" s="19" t="s">
        <v>205</v>
      </c>
      <c r="I5" s="19"/>
      <c r="J5" s="19"/>
      <c r="K5" s="20"/>
      <c r="L5" s="21"/>
      <c r="M5" s="22"/>
      <c r="N5" s="12"/>
    </row>
    <row r="6" spans="1:14" s="13" customFormat="1" ht="12.75">
      <c r="A6" s="23"/>
      <c r="B6" s="381" t="s">
        <v>130</v>
      </c>
      <c r="C6" s="382"/>
      <c r="D6" s="382"/>
      <c r="E6" s="382"/>
      <c r="F6" s="383"/>
      <c r="G6" s="24" t="s">
        <v>4</v>
      </c>
      <c r="H6" s="192">
        <v>46157</v>
      </c>
      <c r="I6" s="25"/>
      <c r="J6" s="26"/>
      <c r="K6" s="27"/>
      <c r="L6" s="21"/>
      <c r="M6" s="12"/>
      <c r="N6" s="12"/>
    </row>
    <row r="7" spans="1:14" ht="15.4" customHeight="1">
      <c r="A7" s="8"/>
      <c r="B7" s="382"/>
      <c r="C7" s="382"/>
      <c r="D7" s="382"/>
      <c r="E7" s="382"/>
      <c r="F7" s="383"/>
      <c r="G7" s="29" t="s">
        <v>5</v>
      </c>
      <c r="H7" s="30" t="s">
        <v>115</v>
      </c>
      <c r="I7" s="30"/>
      <c r="J7" s="30"/>
      <c r="K7" s="31"/>
    </row>
    <row r="8" spans="1:14" ht="16.5" customHeight="1">
      <c r="A8" s="8"/>
      <c r="B8" s="384"/>
      <c r="C8" s="384"/>
      <c r="D8" s="384"/>
      <c r="E8" s="384"/>
      <c r="F8" s="385"/>
      <c r="G8" s="24" t="s">
        <v>4</v>
      </c>
      <c r="H8" s="192">
        <v>45814</v>
      </c>
      <c r="I8" s="32"/>
      <c r="J8" s="32"/>
      <c r="K8" s="27"/>
    </row>
    <row r="9" spans="1:14" ht="21" thickBot="1">
      <c r="A9" s="33" t="s">
        <v>7</v>
      </c>
      <c r="B9" s="30"/>
      <c r="C9" s="30"/>
      <c r="D9" s="30"/>
      <c r="E9" s="30"/>
      <c r="F9" s="34"/>
      <c r="G9" s="378" t="s">
        <v>8</v>
      </c>
      <c r="H9" s="379"/>
      <c r="I9" s="379"/>
      <c r="J9" s="379"/>
      <c r="K9" s="380"/>
    </row>
    <row r="10" spans="1:14" ht="14.1" customHeight="1">
      <c r="A10" s="8"/>
      <c r="B10" s="402" t="s">
        <v>129</v>
      </c>
      <c r="C10" s="402"/>
      <c r="D10" s="402"/>
      <c r="E10" s="402"/>
      <c r="F10" s="403"/>
      <c r="G10" s="386" t="s">
        <v>126</v>
      </c>
      <c r="H10" s="387"/>
      <c r="I10" s="387"/>
      <c r="J10" s="387"/>
      <c r="K10" s="388"/>
    </row>
    <row r="11" spans="1:14" ht="14.1" customHeight="1">
      <c r="A11" s="8"/>
      <c r="B11" s="402"/>
      <c r="C11" s="402"/>
      <c r="D11" s="402"/>
      <c r="E11" s="402"/>
      <c r="F11" s="403"/>
      <c r="G11" s="389"/>
      <c r="H11" s="390"/>
      <c r="I11" s="390"/>
      <c r="J11" s="390"/>
      <c r="K11" s="391"/>
    </row>
    <row r="12" spans="1:14" ht="28.15" customHeight="1" thickBot="1">
      <c r="A12" s="35"/>
      <c r="B12" s="404"/>
      <c r="C12" s="404"/>
      <c r="D12" s="404"/>
      <c r="E12" s="404"/>
      <c r="F12" s="405"/>
      <c r="G12" s="392"/>
      <c r="H12" s="393"/>
      <c r="I12" s="393"/>
      <c r="J12" s="393"/>
      <c r="K12" s="394"/>
    </row>
    <row r="13" spans="1:14" ht="14.1" customHeight="1">
      <c r="A13" s="36" t="s">
        <v>10</v>
      </c>
      <c r="B13" s="28"/>
      <c r="G13" s="37"/>
      <c r="H13" s="7"/>
      <c r="I13" s="7"/>
      <c r="J13" s="186"/>
      <c r="K13" s="9"/>
    </row>
    <row r="14" spans="1:14" ht="14.1" customHeight="1">
      <c r="A14" s="8"/>
      <c r="B14" s="406" t="s">
        <v>131</v>
      </c>
      <c r="C14" s="407"/>
      <c r="D14" s="407"/>
      <c r="E14" s="407"/>
      <c r="F14" s="408"/>
      <c r="G14" s="38"/>
      <c r="H14" s="395"/>
      <c r="I14" s="395"/>
      <c r="J14" s="395"/>
      <c r="K14" s="396"/>
    </row>
    <row r="15" spans="1:14" s="289" customFormat="1" ht="14.1" customHeight="1">
      <c r="A15" s="287"/>
      <c r="B15" s="407"/>
      <c r="C15" s="407"/>
      <c r="D15" s="407"/>
      <c r="E15" s="407"/>
      <c r="F15" s="408"/>
      <c r="G15" s="285" t="s">
        <v>11</v>
      </c>
      <c r="H15" s="397" t="str">
        <f>H5</f>
        <v>OM4-DE-IS-0008</v>
      </c>
      <c r="I15" s="398"/>
      <c r="J15" s="398"/>
      <c r="K15" s="399"/>
      <c r="L15" s="288"/>
    </row>
    <row r="16" spans="1:14" ht="9" customHeight="1">
      <c r="A16" s="8"/>
      <c r="B16" s="407"/>
      <c r="C16" s="407"/>
      <c r="D16" s="407"/>
      <c r="E16" s="407"/>
      <c r="F16" s="408"/>
      <c r="G16" s="38"/>
      <c r="H16" s="398"/>
      <c r="I16" s="398"/>
      <c r="J16" s="398"/>
      <c r="K16" s="399"/>
    </row>
    <row r="17" spans="1:15" ht="100.15" customHeight="1">
      <c r="A17" s="8"/>
      <c r="B17" s="409"/>
      <c r="C17" s="409"/>
      <c r="D17" s="409"/>
      <c r="E17" s="409"/>
      <c r="F17" s="410"/>
      <c r="G17" s="285" t="s">
        <v>12</v>
      </c>
      <c r="H17" s="400" t="s">
        <v>212</v>
      </c>
      <c r="I17" s="400"/>
      <c r="J17" s="400"/>
      <c r="K17" s="401"/>
    </row>
    <row r="18" spans="1:15" ht="18.600000000000001" customHeight="1">
      <c r="A18" s="33" t="s">
        <v>13</v>
      </c>
      <c r="B18" s="40"/>
      <c r="C18" s="29" t="s">
        <v>14</v>
      </c>
      <c r="D18" s="30"/>
      <c r="E18" s="30"/>
      <c r="F18" s="34"/>
      <c r="G18" s="37"/>
      <c r="H18" s="412"/>
      <c r="I18" s="412"/>
      <c r="J18" s="412"/>
      <c r="K18" s="413"/>
    </row>
    <row r="19" spans="1:15" s="6" customFormat="1" ht="11.65" customHeight="1">
      <c r="A19" s="35"/>
      <c r="B19" s="267" t="s">
        <v>210</v>
      </c>
      <c r="C19" s="268"/>
      <c r="D19" s="426">
        <v>46169</v>
      </c>
      <c r="E19" s="426"/>
      <c r="F19" s="427"/>
      <c r="G19" s="37" t="s">
        <v>110</v>
      </c>
      <c r="H19" s="412" t="s">
        <v>111</v>
      </c>
      <c r="I19" s="412"/>
      <c r="J19" s="412"/>
      <c r="K19" s="413"/>
      <c r="M19" s="7"/>
      <c r="N19" s="7"/>
      <c r="O19" s="7"/>
    </row>
    <row r="20" spans="1:15" s="6" customFormat="1" ht="18.600000000000001" customHeight="1">
      <c r="A20" s="33" t="s">
        <v>15</v>
      </c>
      <c r="B20" s="30"/>
      <c r="C20" s="29" t="s">
        <v>16</v>
      </c>
      <c r="D20" s="30"/>
      <c r="E20" s="30"/>
      <c r="F20" s="34"/>
      <c r="G20" s="291" t="s">
        <v>199</v>
      </c>
      <c r="H20" s="400" t="s">
        <v>198</v>
      </c>
      <c r="I20" s="400"/>
      <c r="J20" s="400"/>
      <c r="K20" s="401"/>
      <c r="M20" s="7"/>
      <c r="N20" s="7"/>
      <c r="O20" s="7"/>
    </row>
    <row r="21" spans="1:15" s="6" customFormat="1" ht="13.15" customHeight="1">
      <c r="A21" s="287"/>
      <c r="B21" s="289" t="s">
        <v>200</v>
      </c>
      <c r="C21" s="290"/>
      <c r="D21" s="282" t="s">
        <v>211</v>
      </c>
      <c r="E21" s="283"/>
      <c r="F21" s="284"/>
      <c r="G21" s="291"/>
      <c r="H21" s="186"/>
      <c r="K21" s="9"/>
      <c r="M21" s="7"/>
      <c r="N21" s="7"/>
      <c r="O21" s="7"/>
    </row>
    <row r="22" spans="1:15" s="6" customFormat="1" ht="18.600000000000001" customHeight="1">
      <c r="A22" s="33" t="s">
        <v>17</v>
      </c>
      <c r="B22" s="40"/>
      <c r="C22" s="29" t="s">
        <v>18</v>
      </c>
      <c r="D22" s="30"/>
      <c r="E22" s="30"/>
      <c r="F22" s="34"/>
      <c r="G22" s="37"/>
      <c r="H22" s="186"/>
      <c r="K22" s="9"/>
      <c r="M22" s="7"/>
      <c r="N22" s="7"/>
      <c r="O22" s="7"/>
    </row>
    <row r="23" spans="1:15" s="6" customFormat="1" ht="13.9" customHeight="1">
      <c r="A23" s="35"/>
      <c r="B23" s="267"/>
      <c r="C23" s="268"/>
      <c r="D23" s="416"/>
      <c r="E23" s="416"/>
      <c r="F23" s="417"/>
      <c r="G23" s="37"/>
      <c r="K23" s="9"/>
      <c r="M23" s="7"/>
      <c r="N23" s="7"/>
      <c r="O23" s="7"/>
    </row>
    <row r="24" spans="1:15" s="6" customFormat="1" ht="12.75">
      <c r="A24" s="33" t="s">
        <v>19</v>
      </c>
      <c r="B24" s="30"/>
      <c r="C24" s="30"/>
      <c r="D24" s="30"/>
      <c r="E24" s="30"/>
      <c r="F24" s="30"/>
      <c r="G24" s="43"/>
      <c r="H24" s="44"/>
      <c r="I24" s="45"/>
      <c r="J24" s="44"/>
      <c r="K24" s="46"/>
      <c r="M24" s="7"/>
      <c r="N24" s="7"/>
      <c r="O24" s="7"/>
    </row>
    <row r="25" spans="1:15" s="6" customFormat="1" ht="18" customHeight="1">
      <c r="A25" s="8"/>
      <c r="B25" s="28" t="s">
        <v>9</v>
      </c>
      <c r="C25" s="7"/>
      <c r="D25" s="7"/>
      <c r="E25" s="7"/>
      <c r="F25" s="7"/>
      <c r="G25" s="37"/>
      <c r="K25" s="9"/>
      <c r="M25" s="7"/>
      <c r="N25" s="7"/>
      <c r="O25" s="7"/>
    </row>
    <row r="26" spans="1:15" s="6" customFormat="1" ht="12.75">
      <c r="A26" s="35"/>
      <c r="B26" s="418" t="s">
        <v>132</v>
      </c>
      <c r="C26" s="418"/>
      <c r="D26" s="418"/>
      <c r="E26" s="418"/>
      <c r="F26" s="419"/>
      <c r="G26" s="47"/>
      <c r="H26" s="48"/>
      <c r="I26" s="48"/>
      <c r="J26" s="48"/>
      <c r="K26" s="49"/>
      <c r="M26" s="7"/>
      <c r="N26" s="7"/>
      <c r="O26" s="7"/>
    </row>
    <row r="27" spans="1:15" ht="45" customHeight="1">
      <c r="A27" s="420" t="s">
        <v>20</v>
      </c>
      <c r="B27" s="415"/>
      <c r="C27" s="415"/>
      <c r="D27" s="415"/>
      <c r="E27" s="415"/>
      <c r="F27" s="415"/>
      <c r="G27" s="421"/>
      <c r="H27" s="50" t="s">
        <v>21</v>
      </c>
      <c r="I27" s="50" t="s">
        <v>22</v>
      </c>
      <c r="J27" s="51" t="s">
        <v>23</v>
      </c>
      <c r="K27" s="52" t="s">
        <v>24</v>
      </c>
    </row>
    <row r="28" spans="1:15" ht="36" customHeight="1">
      <c r="A28" s="36"/>
      <c r="B28" s="422" t="s">
        <v>133</v>
      </c>
      <c r="C28" s="422"/>
      <c r="D28" s="422"/>
      <c r="E28" s="422"/>
      <c r="F28" s="422"/>
      <c r="G28" s="423"/>
      <c r="H28" s="53"/>
      <c r="I28" s="53"/>
      <c r="J28" s="53"/>
      <c r="K28" s="54"/>
    </row>
    <row r="29" spans="1:15" ht="12.6" customHeight="1">
      <c r="A29" s="36"/>
      <c r="B29" s="28"/>
      <c r="G29" s="55"/>
      <c r="H29" s="53"/>
      <c r="I29" s="53"/>
      <c r="J29" s="53"/>
      <c r="K29" s="56"/>
    </row>
    <row r="30" spans="1:15" ht="15" customHeight="1">
      <c r="A30" s="274"/>
      <c r="B30" s="424" t="s">
        <v>206</v>
      </c>
      <c r="C30" s="424"/>
      <c r="D30" s="424"/>
      <c r="E30" s="424"/>
      <c r="F30" s="424"/>
      <c r="G30" s="425"/>
      <c r="H30" s="294" t="s">
        <v>147</v>
      </c>
      <c r="I30" s="359">
        <f>SUM('Break Down CI'!F9:F11)</f>
        <v>600</v>
      </c>
      <c r="J30" s="294"/>
      <c r="K30" s="307">
        <f>'Break Down CI'!L12</f>
        <v>2741.29</v>
      </c>
      <c r="M30" s="331"/>
    </row>
    <row r="31" spans="1:15" ht="15" customHeight="1">
      <c r="A31" s="274"/>
      <c r="B31" s="424"/>
      <c r="C31" s="424"/>
      <c r="D31" s="424"/>
      <c r="E31" s="424"/>
      <c r="F31" s="424"/>
      <c r="G31" s="425"/>
      <c r="H31" s="53"/>
      <c r="I31" s="53"/>
      <c r="J31" s="53"/>
      <c r="K31" s="305"/>
    </row>
    <row r="32" spans="1:15" ht="15" customHeight="1">
      <c r="A32" s="274"/>
      <c r="B32" s="275"/>
      <c r="C32" s="275"/>
      <c r="E32" s="275"/>
      <c r="F32" s="275"/>
      <c r="G32" s="276"/>
      <c r="H32" s="53"/>
      <c r="I32" s="53"/>
      <c r="J32" s="53"/>
      <c r="K32" s="305"/>
    </row>
    <row r="33" spans="1:14" s="289" customFormat="1" ht="46.9" customHeight="1">
      <c r="A33" s="292"/>
      <c r="B33" s="289" t="s">
        <v>25</v>
      </c>
      <c r="D33" s="289">
        <v>3</v>
      </c>
      <c r="E33" s="289" t="s">
        <v>26</v>
      </c>
      <c r="G33" s="293"/>
      <c r="H33" s="294"/>
      <c r="I33" s="294"/>
      <c r="J33" s="294"/>
      <c r="K33" s="295"/>
      <c r="L33" s="288"/>
      <c r="M33" s="7"/>
    </row>
    <row r="34" spans="1:14" ht="18" customHeight="1">
      <c r="A34" s="36"/>
      <c r="G34" s="55"/>
      <c r="H34" s="53"/>
      <c r="I34" s="53"/>
      <c r="J34" s="53"/>
      <c r="K34" s="56"/>
      <c r="N34" s="355"/>
    </row>
    <row r="35" spans="1:14" ht="18" customHeight="1">
      <c r="A35" s="36"/>
      <c r="G35" s="55"/>
      <c r="H35" s="53"/>
      <c r="I35" s="53"/>
      <c r="J35" s="53"/>
      <c r="K35" s="56"/>
    </row>
    <row r="36" spans="1:14" ht="18" customHeight="1">
      <c r="A36" s="36"/>
      <c r="G36" s="55"/>
      <c r="H36" s="53"/>
      <c r="I36" s="53"/>
      <c r="J36" s="53"/>
      <c r="K36" s="56"/>
    </row>
    <row r="37" spans="1:14" ht="18" customHeight="1">
      <c r="A37" s="57"/>
      <c r="B37" s="58"/>
      <c r="C37" s="58"/>
      <c r="D37" s="58"/>
      <c r="E37" s="58"/>
      <c r="F37" s="58"/>
      <c r="G37" s="59"/>
      <c r="H37" s="60"/>
      <c r="I37" s="60"/>
      <c r="J37" s="60"/>
      <c r="K37" s="61"/>
    </row>
    <row r="38" spans="1:14" ht="14.1" customHeight="1">
      <c r="A38" s="33"/>
      <c r="B38" s="414" t="s">
        <v>27</v>
      </c>
      <c r="C38" s="414"/>
      <c r="D38" s="414"/>
      <c r="E38" s="414"/>
      <c r="F38" s="414"/>
      <c r="G38" s="414"/>
      <c r="H38" s="62"/>
      <c r="I38" s="45"/>
      <c r="J38" s="45"/>
      <c r="K38" s="63">
        <f>SUM(K30:K32)</f>
        <v>2741.29</v>
      </c>
    </row>
    <row r="39" spans="1:14" ht="14.1" customHeight="1">
      <c r="A39" s="57"/>
      <c r="B39" s="415"/>
      <c r="C39" s="415"/>
      <c r="D39" s="415"/>
      <c r="E39" s="415"/>
      <c r="F39" s="415"/>
      <c r="G39" s="415"/>
      <c r="H39" s="64"/>
      <c r="I39" s="64"/>
      <c r="J39" s="64"/>
      <c r="K39" s="65"/>
    </row>
    <row r="40" spans="1:14" ht="14.1" customHeight="1">
      <c r="A40" s="36"/>
      <c r="K40" s="9"/>
    </row>
    <row r="41" spans="1:14" ht="14.1" customHeight="1">
      <c r="A41" s="36"/>
      <c r="K41" s="9"/>
    </row>
    <row r="42" spans="1:14" ht="14.1" customHeight="1">
      <c r="A42" s="8"/>
      <c r="K42" s="9"/>
    </row>
    <row r="43" spans="1:14" ht="14.1" customHeight="1">
      <c r="A43" s="8"/>
      <c r="K43" s="9"/>
    </row>
    <row r="44" spans="1:14" ht="14.1" customHeight="1">
      <c r="A44" s="8"/>
      <c r="K44" s="9"/>
    </row>
    <row r="45" spans="1:14" ht="14.1" customHeight="1">
      <c r="A45" s="8"/>
      <c r="G45" s="66" t="s">
        <v>28</v>
      </c>
      <c r="H45" s="48"/>
      <c r="I45" s="48"/>
      <c r="J45" s="48"/>
      <c r="K45" s="9"/>
    </row>
    <row r="46" spans="1:14" ht="14.1" customHeight="1">
      <c r="A46" s="8"/>
      <c r="H46" s="411" t="s">
        <v>196</v>
      </c>
      <c r="I46" s="411"/>
      <c r="J46" s="411"/>
      <c r="K46" s="9"/>
    </row>
    <row r="47" spans="1:14" ht="14.1" customHeight="1" thickBot="1">
      <c r="A47" s="116"/>
      <c r="B47" s="68"/>
      <c r="C47" s="68"/>
      <c r="D47" s="68"/>
      <c r="E47" s="68"/>
      <c r="F47" s="68"/>
      <c r="G47" s="69"/>
      <c r="H47" s="70"/>
      <c r="I47" s="70"/>
      <c r="J47" s="70"/>
      <c r="K47" s="191"/>
    </row>
  </sheetData>
  <sheetProtection selectLockedCells="1" selectUnlockedCells="1"/>
  <mergeCells count="22">
    <mergeCell ref="H46:J46"/>
    <mergeCell ref="H18:K18"/>
    <mergeCell ref="H19:K19"/>
    <mergeCell ref="B38:G39"/>
    <mergeCell ref="H20:K20"/>
    <mergeCell ref="D23:F23"/>
    <mergeCell ref="B26:F26"/>
    <mergeCell ref="A27:G27"/>
    <mergeCell ref="B28:G28"/>
    <mergeCell ref="B30:G31"/>
    <mergeCell ref="D19:F19"/>
    <mergeCell ref="G10:K12"/>
    <mergeCell ref="H14:K14"/>
    <mergeCell ref="H15:K16"/>
    <mergeCell ref="H17:K17"/>
    <mergeCell ref="B10:F12"/>
    <mergeCell ref="B14:F17"/>
    <mergeCell ref="B3:E3"/>
    <mergeCell ref="H3:K3"/>
    <mergeCell ref="A4:K4"/>
    <mergeCell ref="G9:K9"/>
    <mergeCell ref="B6:F8"/>
  </mergeCells>
  <phoneticPr fontId="34" type="noConversion"/>
  <printOptions horizontalCentered="1" verticalCentered="1"/>
  <pageMargins left="0.49" right="0.53" top="0.41" bottom="0.57999999999999996" header="0.31496062992125984" footer="0.31496062992125984"/>
  <pageSetup paperSize="9" scale="72"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5:O28"/>
  <sheetViews>
    <sheetView showGridLines="0" view="pageBreakPreview" topLeftCell="A4" zoomScaleNormal="100" zoomScaleSheetLayoutView="100" workbookViewId="0">
      <selection activeCell="B7" sqref="B7:B8"/>
    </sheetView>
  </sheetViews>
  <sheetFormatPr defaultColWidth="8.76953125" defaultRowHeight="14.25"/>
  <cols>
    <col min="1" max="1" width="8.76953125" style="73"/>
    <col min="2" max="2" width="16.72265625" style="73" bestFit="1" customWidth="1"/>
    <col min="3" max="3" width="40.2265625" style="73" customWidth="1"/>
    <col min="4" max="4" width="20.11328125" style="73" customWidth="1"/>
    <col min="5" max="5" width="11.34375" style="73" customWidth="1"/>
    <col min="6" max="6" width="8.06640625" style="73" bestFit="1" customWidth="1"/>
    <col min="7" max="7" width="8.41796875" style="73" bestFit="1" customWidth="1"/>
    <col min="8" max="8" width="9.703125" style="73" customWidth="1"/>
    <col min="9" max="10" width="8.06640625" style="78" customWidth="1"/>
    <col min="11" max="11" width="9.23828125" style="73" customWidth="1"/>
    <col min="12" max="12" width="11.92578125" style="73" bestFit="1" customWidth="1"/>
    <col min="13" max="13" width="10.171875" style="73" bestFit="1" customWidth="1"/>
    <col min="14" max="14" width="8.76953125" style="73"/>
    <col min="15" max="15" width="12.27734375" style="73" bestFit="1" customWidth="1"/>
    <col min="16" max="16" width="13.09765625" style="73" bestFit="1" customWidth="1"/>
    <col min="17" max="16384" width="8.76953125" style="73"/>
  </cols>
  <sheetData>
    <row r="5" spans="1:15">
      <c r="B5" s="74" t="str">
        <f>'Commercial Invoice'!G5</f>
        <v>INVOICE NO. :</v>
      </c>
      <c r="C5" s="74" t="str">
        <f>'Commercial Invoice'!H5</f>
        <v>OM4-DE-IS-0008</v>
      </c>
      <c r="D5" s="74"/>
      <c r="E5" s="75"/>
      <c r="F5" s="74"/>
      <c r="G5" s="74"/>
      <c r="H5" s="74"/>
      <c r="I5" s="362"/>
      <c r="J5" s="363"/>
      <c r="K5" s="76" t="s">
        <v>127</v>
      </c>
      <c r="L5" s="76"/>
      <c r="M5" s="193">
        <f>'Commercial Invoice'!H6</f>
        <v>46157</v>
      </c>
    </row>
    <row r="6" spans="1:15">
      <c r="B6" s="77"/>
      <c r="C6" s="77"/>
      <c r="D6" s="77"/>
    </row>
    <row r="7" spans="1:15" ht="47.25" customHeight="1">
      <c r="A7" s="364" t="s">
        <v>29</v>
      </c>
      <c r="B7" s="366" t="s">
        <v>30</v>
      </c>
      <c r="C7" s="368" t="s">
        <v>20</v>
      </c>
      <c r="D7" s="366" t="s">
        <v>159</v>
      </c>
      <c r="E7" s="364" t="s">
        <v>31</v>
      </c>
      <c r="F7" s="370" t="s">
        <v>160</v>
      </c>
      <c r="G7" s="371"/>
      <c r="H7" s="364" t="s">
        <v>161</v>
      </c>
      <c r="I7" s="364" t="s">
        <v>168</v>
      </c>
      <c r="J7" s="364" t="s">
        <v>167</v>
      </c>
      <c r="K7" s="364" t="s">
        <v>162</v>
      </c>
      <c r="L7" s="364" t="s">
        <v>163</v>
      </c>
      <c r="M7" s="368" t="s">
        <v>164</v>
      </c>
    </row>
    <row r="8" spans="1:15" ht="14.45" customHeight="1">
      <c r="A8" s="365"/>
      <c r="B8" s="367"/>
      <c r="C8" s="369"/>
      <c r="D8" s="367"/>
      <c r="E8" s="365"/>
      <c r="F8" s="202" t="s">
        <v>165</v>
      </c>
      <c r="G8" s="202" t="s">
        <v>166</v>
      </c>
      <c r="H8" s="365"/>
      <c r="I8" s="365"/>
      <c r="J8" s="365"/>
      <c r="K8" s="365"/>
      <c r="L8" s="365"/>
      <c r="M8" s="369"/>
      <c r="O8" s="73" t="s">
        <v>208</v>
      </c>
    </row>
    <row r="9" spans="1:15" ht="14.45" customHeight="1">
      <c r="A9" s="269">
        <v>1</v>
      </c>
      <c r="B9" s="79" t="s">
        <v>201</v>
      </c>
      <c r="C9" s="353" t="s">
        <v>195</v>
      </c>
      <c r="D9" s="279" t="s">
        <v>170</v>
      </c>
      <c r="E9" s="79" t="s">
        <v>207</v>
      </c>
      <c r="F9" s="270">
        <f>'PL(2_2)'!F15</f>
        <v>260</v>
      </c>
      <c r="G9" s="202" t="str">
        <f>'PL(2_2)'!G16</f>
        <v>EA</v>
      </c>
      <c r="H9" s="202" t="s">
        <v>204</v>
      </c>
      <c r="I9" s="273">
        <f>'PL(2_2)'!M15</f>
        <v>260</v>
      </c>
      <c r="J9" s="273">
        <f>'PL(2_2)'!N15</f>
        <v>410</v>
      </c>
      <c r="K9" s="360">
        <v>4.5599999999999996</v>
      </c>
      <c r="L9" s="203">
        <f>K9*F9</f>
        <v>1185.5999999999999</v>
      </c>
      <c r="M9" s="281" t="s">
        <v>177</v>
      </c>
      <c r="O9" s="73" t="s">
        <v>209</v>
      </c>
    </row>
    <row r="10" spans="1:15" ht="14.45" customHeight="1">
      <c r="A10" s="269">
        <v>2</v>
      </c>
      <c r="B10" s="79" t="s">
        <v>202</v>
      </c>
      <c r="C10" s="353" t="s">
        <v>195</v>
      </c>
      <c r="D10" s="279" t="s">
        <v>170</v>
      </c>
      <c r="E10" s="79" t="s">
        <v>207</v>
      </c>
      <c r="F10" s="270">
        <f>'PL(2_2)'!F16</f>
        <v>240</v>
      </c>
      <c r="G10" s="202" t="s">
        <v>146</v>
      </c>
      <c r="H10" s="202" t="s">
        <v>204</v>
      </c>
      <c r="I10" s="273">
        <f>'PL(2_2)'!M16</f>
        <v>240</v>
      </c>
      <c r="J10" s="273">
        <f>'PL(2_2)'!N16</f>
        <v>390</v>
      </c>
      <c r="K10" s="360">
        <v>4.5599999999999996</v>
      </c>
      <c r="L10" s="203">
        <f t="shared" ref="L10:L11" si="0">K10*F10</f>
        <v>1094.3999999999999</v>
      </c>
      <c r="M10" s="281" t="s">
        <v>177</v>
      </c>
      <c r="O10" s="73" t="s">
        <v>209</v>
      </c>
    </row>
    <row r="11" spans="1:15">
      <c r="A11" s="269">
        <v>3</v>
      </c>
      <c r="B11" s="79" t="s">
        <v>203</v>
      </c>
      <c r="C11" s="353" t="s">
        <v>195</v>
      </c>
      <c r="D11" s="279" t="s">
        <v>170</v>
      </c>
      <c r="E11" s="79" t="s">
        <v>207</v>
      </c>
      <c r="F11" s="270">
        <f>'PL(2_2)'!F17</f>
        <v>100</v>
      </c>
      <c r="G11" s="202" t="s">
        <v>146</v>
      </c>
      <c r="H11" s="202" t="s">
        <v>204</v>
      </c>
      <c r="I11" s="273">
        <f>'PL(2_2)'!M17</f>
        <v>100</v>
      </c>
      <c r="J11" s="273">
        <f>'PL(2_2)'!N17</f>
        <v>250</v>
      </c>
      <c r="K11" s="361">
        <v>4.6129000000000007</v>
      </c>
      <c r="L11" s="203">
        <f t="shared" si="0"/>
        <v>461.29000000000008</v>
      </c>
      <c r="M11" s="281" t="s">
        <v>177</v>
      </c>
      <c r="O11" s="73" t="s">
        <v>209</v>
      </c>
    </row>
    <row r="12" spans="1:15" ht="14.1" customHeight="1">
      <c r="A12" s="82"/>
      <c r="B12" s="83"/>
      <c r="C12" s="84"/>
      <c r="D12" s="84"/>
      <c r="E12" s="85"/>
      <c r="F12" s="86"/>
      <c r="G12" s="86"/>
      <c r="H12" s="87" t="s">
        <v>32</v>
      </c>
      <c r="I12" s="88"/>
      <c r="J12" s="84"/>
      <c r="K12" s="84"/>
      <c r="L12" s="89">
        <f>SUM(L9:L11)</f>
        <v>2741.29</v>
      </c>
      <c r="M12" s="89"/>
    </row>
    <row r="13" spans="1:15" ht="14.1" customHeight="1">
      <c r="A13" s="90"/>
      <c r="B13" s="91"/>
      <c r="C13" s="81"/>
      <c r="D13" s="81"/>
      <c r="E13" s="92"/>
      <c r="F13" s="93"/>
      <c r="G13" s="93"/>
      <c r="H13" s="93"/>
      <c r="I13" s="94"/>
      <c r="J13" s="94"/>
      <c r="K13" s="81"/>
      <c r="L13" s="81"/>
      <c r="M13" s="91"/>
      <c r="N13" s="80"/>
    </row>
    <row r="14" spans="1:15">
      <c r="O14" s="73">
        <v>2741.29</v>
      </c>
    </row>
    <row r="17" spans="12:15">
      <c r="L17" s="80">
        <f>L9-O18</f>
        <v>1185.5999999999999</v>
      </c>
      <c r="M17" s="73">
        <f>ROUND(L17/F9,2)</f>
        <v>4.5599999999999996</v>
      </c>
      <c r="O17" s="80">
        <f>L12-O14</f>
        <v>0</v>
      </c>
    </row>
    <row r="18" spans="12:15">
      <c r="L18" s="80">
        <f>L10-O18</f>
        <v>1094.3999999999999</v>
      </c>
      <c r="M18" s="73">
        <f t="shared" ref="M18:M19" si="1">ROUND(L18/F10,2)</f>
        <v>4.5599999999999996</v>
      </c>
      <c r="O18" s="80">
        <f>O17/3</f>
        <v>0</v>
      </c>
    </row>
    <row r="19" spans="12:15">
      <c r="L19" s="80">
        <f>L11-O18</f>
        <v>461.29000000000008</v>
      </c>
      <c r="M19" s="73">
        <f t="shared" si="1"/>
        <v>4.6100000000000003</v>
      </c>
    </row>
    <row r="21" spans="12:15">
      <c r="O21" s="80">
        <f>L11-O17</f>
        <v>461.29000000000008</v>
      </c>
    </row>
    <row r="24" spans="12:15">
      <c r="O24" s="73">
        <f>O14/600</f>
        <v>4.5688166666666667</v>
      </c>
    </row>
    <row r="27" spans="12:15">
      <c r="N27" s="73">
        <f>L11/F11</f>
        <v>4.6129000000000007</v>
      </c>
    </row>
    <row r="28" spans="12:15">
      <c r="O28" s="73">
        <f>ROUND(O24,2)</f>
        <v>4.57</v>
      </c>
    </row>
  </sheetData>
  <mergeCells count="13">
    <mergeCell ref="K7:K8"/>
    <mergeCell ref="L7:L8"/>
    <mergeCell ref="M7:M8"/>
    <mergeCell ref="F7:G7"/>
    <mergeCell ref="H7:H8"/>
    <mergeCell ref="I7:I8"/>
    <mergeCell ref="J7:J8"/>
    <mergeCell ref="I5:J5"/>
    <mergeCell ref="A7:A8"/>
    <mergeCell ref="B7:B8"/>
    <mergeCell ref="C7:C8"/>
    <mergeCell ref="D7:D8"/>
    <mergeCell ref="E7:E8"/>
  </mergeCells>
  <phoneticPr fontId="34" type="noConversion"/>
  <printOptions horizontalCentered="1"/>
  <pageMargins left="0.70866141732283472" right="0.31496062992125984" top="0.74803149606299213" bottom="0.74803149606299213" header="0.31496062992125984" footer="0.31496062992125984"/>
  <pageSetup paperSize="9" scale="6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V51"/>
  <sheetViews>
    <sheetView showGridLines="0" view="pageBreakPreview" zoomScale="80" zoomScaleNormal="100" zoomScaleSheetLayoutView="80" workbookViewId="0">
      <selection activeCell="A4" sqref="A4:K4"/>
    </sheetView>
  </sheetViews>
  <sheetFormatPr defaultColWidth="9.5859375" defaultRowHeight="17.25" customHeight="1"/>
  <cols>
    <col min="1" max="1" width="1.63671875" style="7" customWidth="1"/>
    <col min="2" max="2" width="27.12890625" style="7" customWidth="1"/>
    <col min="3" max="3" width="3.625" style="7" customWidth="1"/>
    <col min="4" max="4" width="6.6640625" style="7" customWidth="1"/>
    <col min="5" max="5" width="7.6015625" style="7" customWidth="1"/>
    <col min="6" max="6" width="9.8203125" style="7" customWidth="1"/>
    <col min="7" max="7" width="17.3046875" style="6" customWidth="1"/>
    <col min="8" max="8" width="11.57421875" style="6" customWidth="1"/>
    <col min="9" max="10" width="9.5859375" style="6" customWidth="1"/>
    <col min="11" max="11" width="14.3828125" style="72" bestFit="1" customWidth="1"/>
    <col min="12" max="12" width="7.71484375" style="6" customWidth="1"/>
    <col min="13" max="13" width="7.71484375" style="95" customWidth="1"/>
    <col min="14" max="14" width="7.71484375" style="66" customWidth="1"/>
    <col min="15" max="15" width="9.5859375" style="96"/>
    <col min="16" max="17" width="9.5859375" style="66"/>
    <col min="18" max="16384" width="9.5859375" style="7"/>
  </cols>
  <sheetData>
    <row r="1" spans="1:21" ht="22.15" customHeight="1">
      <c r="A1" s="1"/>
      <c r="B1" s="2"/>
      <c r="C1" s="2"/>
      <c r="D1" s="2"/>
      <c r="E1" s="2"/>
      <c r="F1" s="2"/>
      <c r="G1" s="3"/>
      <c r="H1" s="3"/>
      <c r="I1" s="3"/>
      <c r="J1" s="4"/>
      <c r="K1" s="5"/>
    </row>
    <row r="2" spans="1:21" ht="22.15" customHeight="1">
      <c r="A2" s="8"/>
      <c r="J2" s="186"/>
      <c r="K2" s="9"/>
    </row>
    <row r="3" spans="1:21" ht="37.5" customHeight="1">
      <c r="A3" s="10"/>
      <c r="B3" s="372" t="s">
        <v>125</v>
      </c>
      <c r="C3" s="428"/>
      <c r="D3" s="428"/>
      <c r="E3" s="428"/>
      <c r="F3" s="428"/>
      <c r="G3" s="197"/>
      <c r="H3" s="429"/>
      <c r="I3" s="430"/>
      <c r="J3" s="430"/>
      <c r="K3" s="431"/>
    </row>
    <row r="4" spans="1:21" s="13" customFormat="1" ht="22.15" customHeight="1">
      <c r="A4" s="375" t="s">
        <v>33</v>
      </c>
      <c r="B4" s="376"/>
      <c r="C4" s="376"/>
      <c r="D4" s="376"/>
      <c r="E4" s="376"/>
      <c r="F4" s="376"/>
      <c r="G4" s="376"/>
      <c r="H4" s="376"/>
      <c r="I4" s="376"/>
      <c r="J4" s="376"/>
      <c r="K4" s="377"/>
      <c r="L4" s="11"/>
      <c r="M4" s="11"/>
      <c r="N4" s="97"/>
      <c r="O4" s="97"/>
      <c r="P4" s="98"/>
      <c r="R4" s="12"/>
      <c r="S4" s="12"/>
      <c r="T4" s="12"/>
      <c r="U4" s="12"/>
    </row>
    <row r="5" spans="1:21" s="13" customFormat="1" ht="12.75">
      <c r="A5" s="14" t="s">
        <v>2</v>
      </c>
      <c r="B5" s="15"/>
      <c r="C5" s="15"/>
      <c r="D5" s="15"/>
      <c r="E5" s="16"/>
      <c r="F5" s="17"/>
      <c r="G5" s="18" t="s">
        <v>34</v>
      </c>
      <c r="H5" s="19" t="s">
        <v>205</v>
      </c>
      <c r="I5" s="19"/>
      <c r="J5" s="19"/>
      <c r="K5" s="20"/>
      <c r="L5" s="21"/>
      <c r="M5" s="21"/>
      <c r="N5" s="21"/>
      <c r="O5" s="21"/>
      <c r="P5" s="21"/>
      <c r="Q5" s="21"/>
      <c r="R5" s="12"/>
      <c r="S5" s="12"/>
      <c r="T5" s="12"/>
      <c r="U5" s="12"/>
    </row>
    <row r="6" spans="1:21" s="13" customFormat="1" ht="12.75">
      <c r="A6" s="99"/>
      <c r="B6" s="450" t="s">
        <v>130</v>
      </c>
      <c r="C6" s="451"/>
      <c r="D6" s="451"/>
      <c r="E6" s="451"/>
      <c r="F6" s="452"/>
      <c r="G6" s="24" t="s">
        <v>4</v>
      </c>
      <c r="H6" s="192">
        <f>'Commercial Invoice'!H6</f>
        <v>46157</v>
      </c>
      <c r="I6" s="32"/>
      <c r="J6" s="41"/>
      <c r="K6" s="27"/>
      <c r="L6" s="21"/>
      <c r="M6" s="21"/>
      <c r="N6" s="21"/>
      <c r="O6" s="21"/>
      <c r="P6" s="21"/>
      <c r="Q6" s="21"/>
      <c r="R6" s="12"/>
      <c r="S6" s="12"/>
      <c r="T6" s="12"/>
      <c r="U6" s="12"/>
    </row>
    <row r="7" spans="1:21" ht="12.75">
      <c r="A7" s="8"/>
      <c r="B7" s="451"/>
      <c r="C7" s="451"/>
      <c r="D7" s="451"/>
      <c r="E7" s="451"/>
      <c r="F7" s="452"/>
      <c r="G7" s="29" t="s">
        <v>5</v>
      </c>
      <c r="H7" s="30" t="s">
        <v>6</v>
      </c>
      <c r="I7" s="30"/>
      <c r="J7" s="30"/>
      <c r="K7" s="100"/>
    </row>
    <row r="8" spans="1:21" ht="12.75">
      <c r="A8" s="8"/>
      <c r="B8" s="453"/>
      <c r="C8" s="453"/>
      <c r="D8" s="453"/>
      <c r="E8" s="453"/>
      <c r="F8" s="454"/>
      <c r="G8" s="24" t="s">
        <v>4</v>
      </c>
      <c r="H8" s="192">
        <f>'Commercial Invoice'!H8</f>
        <v>45814</v>
      </c>
      <c r="I8" s="32"/>
      <c r="J8" s="32"/>
      <c r="K8" s="100"/>
    </row>
    <row r="9" spans="1:21" ht="21" thickBot="1">
      <c r="A9" s="33" t="s">
        <v>7</v>
      </c>
      <c r="B9" s="30"/>
      <c r="C9" s="30"/>
      <c r="D9" s="30"/>
      <c r="E9" s="30"/>
      <c r="F9" s="34"/>
      <c r="G9" s="378" t="str">
        <f>[6]CI!G9</f>
        <v>SHIPPING MARK</v>
      </c>
      <c r="H9" s="379"/>
      <c r="I9" s="379"/>
      <c r="J9" s="379"/>
      <c r="K9" s="380"/>
    </row>
    <row r="10" spans="1:21" ht="17.649999999999999" customHeight="1">
      <c r="A10" s="8"/>
      <c r="B10" s="445" t="s">
        <v>128</v>
      </c>
      <c r="C10" s="446"/>
      <c r="D10" s="446"/>
      <c r="E10" s="446"/>
      <c r="F10" s="447"/>
      <c r="G10" s="386" t="s">
        <v>9</v>
      </c>
      <c r="H10" s="387"/>
      <c r="I10" s="387"/>
      <c r="J10" s="387"/>
      <c r="K10" s="388"/>
    </row>
    <row r="11" spans="1:21" ht="17.649999999999999" customHeight="1">
      <c r="A11" s="8"/>
      <c r="B11" s="446"/>
      <c r="C11" s="446"/>
      <c r="D11" s="446"/>
      <c r="E11" s="446"/>
      <c r="F11" s="447"/>
      <c r="G11" s="389"/>
      <c r="H11" s="390"/>
      <c r="I11" s="390"/>
      <c r="J11" s="390"/>
      <c r="K11" s="391"/>
    </row>
    <row r="12" spans="1:21" ht="24" customHeight="1" thickBot="1">
      <c r="A12" s="35"/>
      <c r="B12" s="448"/>
      <c r="C12" s="448"/>
      <c r="D12" s="448"/>
      <c r="E12" s="448"/>
      <c r="F12" s="449"/>
      <c r="G12" s="392"/>
      <c r="H12" s="393"/>
      <c r="I12" s="393"/>
      <c r="J12" s="393"/>
      <c r="K12" s="394"/>
    </row>
    <row r="13" spans="1:21" ht="21.6" customHeight="1">
      <c r="A13" s="36" t="s">
        <v>10</v>
      </c>
      <c r="B13" s="28"/>
      <c r="G13" s="101"/>
      <c r="H13" s="442"/>
      <c r="I13" s="442"/>
      <c r="J13" s="442"/>
      <c r="K13" s="443"/>
    </row>
    <row r="14" spans="1:21" ht="14.1" customHeight="1">
      <c r="A14" s="8"/>
      <c r="B14" s="406" t="s">
        <v>131</v>
      </c>
      <c r="C14" s="407"/>
      <c r="D14" s="407"/>
      <c r="E14" s="407"/>
      <c r="F14" s="408"/>
      <c r="G14" s="38"/>
      <c r="H14" s="395"/>
      <c r="I14" s="395"/>
      <c r="J14" s="395"/>
      <c r="K14" s="396"/>
    </row>
    <row r="15" spans="1:21" ht="14.1" customHeight="1">
      <c r="A15" s="8"/>
      <c r="B15" s="407"/>
      <c r="C15" s="407"/>
      <c r="D15" s="407"/>
      <c r="E15" s="407"/>
      <c r="F15" s="408"/>
      <c r="G15" s="285" t="s">
        <v>153</v>
      </c>
      <c r="H15" s="397" t="str">
        <f>H5</f>
        <v>OM4-DE-IS-0008</v>
      </c>
      <c r="I15" s="397"/>
      <c r="J15" s="397"/>
      <c r="K15" s="286"/>
    </row>
    <row r="16" spans="1:21" ht="13.9" customHeight="1">
      <c r="A16" s="8"/>
      <c r="B16" s="407"/>
      <c r="C16" s="407"/>
      <c r="D16" s="407"/>
      <c r="E16" s="407"/>
      <c r="F16" s="408"/>
      <c r="G16" s="38"/>
      <c r="H16" s="190"/>
      <c r="I16" s="190"/>
      <c r="J16" s="190"/>
      <c r="K16" s="213"/>
    </row>
    <row r="17" spans="1:22" ht="99.4" customHeight="1">
      <c r="A17" s="8"/>
      <c r="B17" s="409"/>
      <c r="C17" s="409"/>
      <c r="D17" s="409"/>
      <c r="E17" s="409"/>
      <c r="F17" s="410"/>
      <c r="G17" s="285" t="s">
        <v>12</v>
      </c>
      <c r="H17" s="444" t="s">
        <v>212</v>
      </c>
      <c r="I17" s="444"/>
      <c r="J17" s="444"/>
      <c r="K17" s="330"/>
    </row>
    <row r="18" spans="1:22" ht="18.600000000000001" customHeight="1">
      <c r="A18" s="33" t="s">
        <v>13</v>
      </c>
      <c r="B18" s="40"/>
      <c r="C18" s="29" t="s">
        <v>14</v>
      </c>
      <c r="D18" s="30"/>
      <c r="E18" s="30"/>
      <c r="F18" s="34"/>
      <c r="G18" s="38"/>
      <c r="H18" s="434"/>
      <c r="I18" s="434"/>
      <c r="J18" s="434"/>
      <c r="K18" s="435"/>
    </row>
    <row r="19" spans="1:22" s="6" customFormat="1" ht="12.75">
      <c r="A19" s="35"/>
      <c r="B19" s="267" t="s">
        <v>210</v>
      </c>
      <c r="C19" s="268"/>
      <c r="D19" s="426">
        <v>46169</v>
      </c>
      <c r="E19" s="426"/>
      <c r="F19" s="427"/>
      <c r="G19" s="179" t="s">
        <v>110</v>
      </c>
      <c r="H19" s="436" t="s">
        <v>111</v>
      </c>
      <c r="I19" s="436"/>
      <c r="J19" s="436"/>
      <c r="K19" s="437"/>
      <c r="M19" s="95"/>
      <c r="N19" s="66"/>
      <c r="O19" s="96"/>
      <c r="P19" s="66"/>
      <c r="Q19" s="66"/>
      <c r="R19" s="7"/>
      <c r="S19" s="7"/>
      <c r="T19" s="7"/>
      <c r="U19" s="7"/>
      <c r="V19" s="7"/>
    </row>
    <row r="20" spans="1:22" s="6" customFormat="1" ht="18.600000000000001" customHeight="1">
      <c r="A20" s="33" t="s">
        <v>15</v>
      </c>
      <c r="B20" s="30"/>
      <c r="C20" s="29" t="s">
        <v>16</v>
      </c>
      <c r="D20" s="30"/>
      <c r="E20" s="30"/>
      <c r="F20" s="34"/>
      <c r="G20" s="37"/>
      <c r="H20" s="434"/>
      <c r="I20" s="434"/>
      <c r="J20" s="434"/>
      <c r="K20" s="435"/>
      <c r="M20" s="95"/>
      <c r="N20" s="66"/>
      <c r="O20" s="96"/>
      <c r="P20" s="66"/>
      <c r="Q20" s="66"/>
      <c r="R20" s="7"/>
      <c r="S20" s="7"/>
      <c r="T20" s="7"/>
      <c r="U20" s="7"/>
      <c r="V20" s="7"/>
    </row>
    <row r="21" spans="1:22" s="6" customFormat="1" ht="12.75">
      <c r="A21" s="8"/>
      <c r="B21" s="289" t="s">
        <v>197</v>
      </c>
      <c r="C21" s="42"/>
      <c r="D21" s="282" t="s">
        <v>211</v>
      </c>
      <c r="E21" s="283"/>
      <c r="F21" s="284"/>
      <c r="G21" s="37"/>
      <c r="H21" s="186"/>
      <c r="K21" s="9"/>
      <c r="M21" s="95"/>
      <c r="N21" s="66"/>
      <c r="O21" s="96"/>
      <c r="P21" s="66"/>
      <c r="Q21" s="66"/>
      <c r="R21" s="7"/>
      <c r="S21" s="7"/>
      <c r="T21" s="7"/>
      <c r="U21" s="7"/>
      <c r="V21" s="7"/>
    </row>
    <row r="22" spans="1:22" s="6" customFormat="1" ht="18.600000000000001" customHeight="1">
      <c r="A22" s="33" t="s">
        <v>17</v>
      </c>
      <c r="B22" s="40"/>
      <c r="C22" s="29" t="s">
        <v>18</v>
      </c>
      <c r="D22" s="30"/>
      <c r="E22" s="30"/>
      <c r="F22" s="34"/>
      <c r="G22" s="37"/>
      <c r="H22" s="186"/>
      <c r="K22" s="9"/>
      <c r="M22" s="95"/>
      <c r="N22" s="66"/>
      <c r="O22" s="96"/>
      <c r="P22" s="66"/>
      <c r="Q22" s="66"/>
      <c r="R22" s="7"/>
      <c r="S22" s="7"/>
      <c r="T22" s="7"/>
      <c r="U22" s="7"/>
      <c r="V22" s="7"/>
    </row>
    <row r="23" spans="1:22" s="6" customFormat="1" ht="12.75">
      <c r="A23" s="35"/>
      <c r="B23" s="267"/>
      <c r="C23" s="268"/>
      <c r="D23" s="416"/>
      <c r="E23" s="416"/>
      <c r="F23" s="417"/>
      <c r="G23" s="37"/>
      <c r="K23" s="9"/>
      <c r="M23" s="95"/>
      <c r="N23" s="66"/>
      <c r="O23" s="96"/>
      <c r="P23" s="66"/>
      <c r="Q23" s="66"/>
      <c r="R23" s="7"/>
      <c r="S23" s="7"/>
      <c r="T23" s="7"/>
      <c r="U23" s="7"/>
      <c r="V23" s="7"/>
    </row>
    <row r="24" spans="1:22" s="6" customFormat="1" ht="18.600000000000001" customHeight="1">
      <c r="A24" s="33" t="s">
        <v>19</v>
      </c>
      <c r="B24" s="30"/>
      <c r="C24" s="30"/>
      <c r="D24" s="30"/>
      <c r="E24" s="30"/>
      <c r="F24" s="30"/>
      <c r="G24" s="43"/>
      <c r="H24" s="44"/>
      <c r="I24" s="44"/>
      <c r="J24" s="44"/>
      <c r="K24" s="46"/>
      <c r="M24" s="95"/>
      <c r="N24" s="66"/>
      <c r="O24" s="96"/>
      <c r="P24" s="66"/>
      <c r="Q24" s="66"/>
      <c r="R24" s="7"/>
      <c r="S24" s="7"/>
      <c r="T24" s="7"/>
      <c r="U24" s="7"/>
      <c r="V24" s="7"/>
    </row>
    <row r="25" spans="1:22" s="6" customFormat="1" ht="12.75">
      <c r="A25" s="8"/>
      <c r="B25" s="28" t="s">
        <v>9</v>
      </c>
      <c r="C25" s="7"/>
      <c r="D25" s="7"/>
      <c r="E25" s="7"/>
      <c r="F25" s="7"/>
      <c r="G25" s="37"/>
      <c r="K25" s="9"/>
      <c r="M25" s="95"/>
      <c r="N25" s="66"/>
      <c r="O25" s="96"/>
      <c r="P25" s="66"/>
      <c r="Q25" s="66"/>
      <c r="R25" s="7"/>
      <c r="S25" s="7"/>
      <c r="T25" s="7"/>
      <c r="U25" s="7"/>
      <c r="V25" s="7"/>
    </row>
    <row r="26" spans="1:22" s="6" customFormat="1" ht="12.75">
      <c r="A26" s="35"/>
      <c r="B26" s="418" t="s">
        <v>132</v>
      </c>
      <c r="C26" s="418"/>
      <c r="D26" s="418"/>
      <c r="E26" s="418"/>
      <c r="F26" s="419"/>
      <c r="G26" s="47"/>
      <c r="H26" s="48"/>
      <c r="I26" s="48"/>
      <c r="J26" s="48"/>
      <c r="K26" s="49"/>
      <c r="M26" s="95"/>
      <c r="N26" s="66"/>
      <c r="O26" s="96"/>
      <c r="P26" s="66"/>
      <c r="Q26" s="66"/>
      <c r="R26" s="7"/>
      <c r="S26" s="7"/>
      <c r="T26" s="7"/>
      <c r="U26" s="7"/>
      <c r="V26" s="7"/>
    </row>
    <row r="27" spans="1:22" s="28" customFormat="1" ht="35.25">
      <c r="A27" s="438" t="s">
        <v>20</v>
      </c>
      <c r="B27" s="439"/>
      <c r="C27" s="439"/>
      <c r="D27" s="439"/>
      <c r="E27" s="439"/>
      <c r="F27" s="439"/>
      <c r="G27" s="102" t="s">
        <v>21</v>
      </c>
      <c r="H27" s="102" t="s">
        <v>22</v>
      </c>
      <c r="I27" s="103" t="s">
        <v>35</v>
      </c>
      <c r="J27" s="103" t="s">
        <v>36</v>
      </c>
      <c r="K27" s="104" t="s">
        <v>37</v>
      </c>
      <c r="L27" s="105"/>
      <c r="M27" s="106"/>
      <c r="N27" s="107"/>
      <c r="O27" s="108"/>
      <c r="P27" s="107"/>
      <c r="Q27" s="107"/>
    </row>
    <row r="28" spans="1:22" ht="52.9" customHeight="1">
      <c r="A28" s="36"/>
      <c r="B28" s="440" t="s">
        <v>134</v>
      </c>
      <c r="C28" s="440"/>
      <c r="D28" s="440"/>
      <c r="E28" s="440"/>
      <c r="F28" s="441"/>
      <c r="G28" s="53"/>
      <c r="H28" s="53"/>
      <c r="I28" s="109"/>
      <c r="J28" s="109"/>
      <c r="K28" s="110"/>
    </row>
    <row r="29" spans="1:22" ht="14.1" customHeight="1">
      <c r="A29" s="36"/>
      <c r="B29" s="28"/>
      <c r="G29" s="53"/>
      <c r="H29" s="53"/>
      <c r="I29" s="53"/>
      <c r="J29" s="53"/>
      <c r="K29" s="56"/>
    </row>
    <row r="30" spans="1:22" ht="14.1" customHeight="1">
      <c r="A30" s="455" t="s">
        <v>206</v>
      </c>
      <c r="B30" s="455"/>
      <c r="C30" s="455"/>
      <c r="D30" s="455"/>
      <c r="E30" s="455"/>
      <c r="F30" s="456"/>
      <c r="G30" s="111"/>
      <c r="H30" s="111"/>
      <c r="I30" s="53"/>
      <c r="J30" s="53"/>
      <c r="K30" s="56"/>
    </row>
    <row r="31" spans="1:22" ht="14.1" customHeight="1">
      <c r="A31" s="455"/>
      <c r="B31" s="455"/>
      <c r="C31" s="455"/>
      <c r="D31" s="455"/>
      <c r="E31" s="455"/>
      <c r="F31" s="456"/>
      <c r="G31" s="53" t="s">
        <v>147</v>
      </c>
      <c r="H31" s="53">
        <v>260</v>
      </c>
      <c r="I31" s="303">
        <f>'PL(2_2)'!M15</f>
        <v>260</v>
      </c>
      <c r="J31" s="303">
        <f>'PL(2_2)'!N15</f>
        <v>410</v>
      </c>
      <c r="K31" s="304">
        <f>'PL(2_2)'!L15</f>
        <v>1.4</v>
      </c>
    </row>
    <row r="32" spans="1:22" ht="14.1" customHeight="1">
      <c r="A32" s="455"/>
      <c r="B32" s="455"/>
      <c r="C32" s="455"/>
      <c r="D32" s="455"/>
      <c r="E32" s="455"/>
      <c r="F32" s="456"/>
      <c r="G32" s="53" t="s">
        <v>147</v>
      </c>
      <c r="H32" s="53">
        <v>240</v>
      </c>
      <c r="I32" s="303">
        <f>'PL(2_2)'!M16</f>
        <v>240</v>
      </c>
      <c r="J32" s="303">
        <f>'PL(2_2)'!N16</f>
        <v>390</v>
      </c>
      <c r="K32" s="304">
        <f>'PL(2_2)'!L16</f>
        <v>1.1000000000000001</v>
      </c>
    </row>
    <row r="33" spans="1:22" ht="14.1" customHeight="1">
      <c r="A33" s="455"/>
      <c r="B33" s="455"/>
      <c r="C33" s="455"/>
      <c r="D33" s="455"/>
      <c r="E33" s="455"/>
      <c r="F33" s="456"/>
      <c r="G33" s="53" t="s">
        <v>147</v>
      </c>
      <c r="H33" s="53">
        <v>100</v>
      </c>
      <c r="I33" s="303">
        <f>'PL(2_2)'!M17</f>
        <v>100</v>
      </c>
      <c r="J33" s="303">
        <f>'PL(2_2)'!N17</f>
        <v>250</v>
      </c>
      <c r="K33" s="304">
        <f>'PL(2_2)'!L17</f>
        <v>0.7</v>
      </c>
    </row>
    <row r="34" spans="1:22" ht="14.1" customHeight="1">
      <c r="A34" s="455"/>
      <c r="B34" s="455"/>
      <c r="C34" s="455"/>
      <c r="D34" s="455"/>
      <c r="E34" s="455"/>
      <c r="F34" s="456"/>
      <c r="G34" s="53"/>
      <c r="H34" s="53"/>
      <c r="I34" s="303"/>
      <c r="J34" s="303"/>
      <c r="K34" s="304"/>
    </row>
    <row r="35" spans="1:22" ht="14.1" customHeight="1">
      <c r="A35" s="455"/>
      <c r="B35" s="455"/>
      <c r="C35" s="455"/>
      <c r="D35" s="455"/>
      <c r="E35" s="455"/>
      <c r="F35" s="456"/>
      <c r="G35" s="53"/>
      <c r="H35" s="53"/>
      <c r="I35" s="303"/>
      <c r="J35" s="303"/>
      <c r="K35" s="304"/>
    </row>
    <row r="36" spans="1:22" ht="14.1" customHeight="1">
      <c r="A36" s="36"/>
      <c r="B36" s="189"/>
      <c r="G36" s="53"/>
      <c r="H36" s="53"/>
      <c r="I36" s="303"/>
      <c r="J36" s="303"/>
      <c r="K36" s="305"/>
    </row>
    <row r="37" spans="1:22" s="289" customFormat="1" ht="14.1" customHeight="1">
      <c r="A37" s="292"/>
      <c r="B37" s="299" t="s">
        <v>25</v>
      </c>
      <c r="D37" s="289">
        <v>3</v>
      </c>
      <c r="E37" s="289" t="s">
        <v>26</v>
      </c>
      <c r="G37" s="294"/>
      <c r="H37" s="294"/>
      <c r="I37" s="306"/>
      <c r="J37" s="306"/>
      <c r="K37" s="307"/>
      <c r="L37" s="288"/>
      <c r="M37" s="296"/>
      <c r="N37" s="297"/>
      <c r="O37" s="298"/>
      <c r="P37" s="297"/>
      <c r="Q37" s="297"/>
    </row>
    <row r="38" spans="1:22" ht="14.1" customHeight="1">
      <c r="A38" s="36"/>
      <c r="G38" s="53"/>
      <c r="H38" s="53"/>
      <c r="I38" s="303"/>
      <c r="J38" s="303"/>
      <c r="K38" s="305"/>
    </row>
    <row r="39" spans="1:22" ht="14.1" customHeight="1">
      <c r="A39" s="36"/>
      <c r="B39" s="190"/>
      <c r="D39" s="189"/>
      <c r="G39" s="53"/>
      <c r="H39" s="53"/>
      <c r="I39" s="303"/>
      <c r="J39" s="303"/>
      <c r="K39" s="305"/>
    </row>
    <row r="40" spans="1:22" ht="14.1" customHeight="1">
      <c r="A40" s="57"/>
      <c r="B40" s="58"/>
      <c r="C40" s="58"/>
      <c r="D40" s="58"/>
      <c r="E40" s="58"/>
      <c r="F40" s="58"/>
      <c r="G40" s="60"/>
      <c r="H40" s="60"/>
      <c r="I40" s="301"/>
      <c r="J40" s="301"/>
      <c r="K40" s="308"/>
    </row>
    <row r="41" spans="1:22" s="105" customFormat="1" ht="22.9" customHeight="1">
      <c r="A41" s="112"/>
      <c r="B41" s="113"/>
      <c r="C41" s="113"/>
      <c r="D41" s="113"/>
      <c r="E41" s="113"/>
      <c r="F41" s="113"/>
      <c r="G41" s="432" t="s">
        <v>38</v>
      </c>
      <c r="H41" s="433"/>
      <c r="I41" s="309">
        <f>SUM(I28:I40)</f>
        <v>600</v>
      </c>
      <c r="J41" s="309">
        <f>SUM(J28:J40)</f>
        <v>1050</v>
      </c>
      <c r="K41" s="310">
        <f>SUM(K28:K40)</f>
        <v>3.2</v>
      </c>
      <c r="M41" s="106"/>
      <c r="N41" s="107"/>
      <c r="O41" s="108"/>
      <c r="P41" s="107"/>
      <c r="Q41" s="107"/>
      <c r="R41" s="28"/>
      <c r="S41" s="28"/>
      <c r="T41" s="28"/>
      <c r="U41" s="28"/>
      <c r="V41" s="28"/>
    </row>
    <row r="42" spans="1:22" s="6" customFormat="1" ht="14.1" customHeight="1">
      <c r="A42" s="36"/>
      <c r="B42" s="7"/>
      <c r="C42" s="7"/>
      <c r="D42" s="7"/>
      <c r="E42" s="7"/>
      <c r="F42" s="7"/>
      <c r="K42" s="9"/>
      <c r="M42" s="95"/>
      <c r="N42" s="66"/>
      <c r="O42" s="96"/>
      <c r="P42" s="66"/>
      <c r="Q42" s="66"/>
      <c r="R42" s="7"/>
      <c r="S42" s="7"/>
      <c r="T42" s="7"/>
      <c r="U42" s="7"/>
      <c r="V42" s="7"/>
    </row>
    <row r="43" spans="1:22" s="6" customFormat="1" ht="14.1" customHeight="1">
      <c r="A43" s="36"/>
      <c r="B43" s="7"/>
      <c r="C43" s="7"/>
      <c r="D43" s="7"/>
      <c r="E43" s="7"/>
      <c r="F43" s="7"/>
      <c r="K43" s="9"/>
      <c r="M43" s="95"/>
      <c r="N43" s="66"/>
      <c r="O43" s="96"/>
      <c r="P43" s="66"/>
      <c r="Q43" s="66"/>
      <c r="R43" s="7"/>
      <c r="S43" s="7"/>
      <c r="T43" s="7"/>
      <c r="U43" s="7"/>
      <c r="V43" s="7"/>
    </row>
    <row r="44" spans="1:22" s="6" customFormat="1" ht="14.1" customHeight="1">
      <c r="A44" s="36"/>
      <c r="B44" s="7"/>
      <c r="C44" s="7"/>
      <c r="D44" s="7"/>
      <c r="E44" s="7"/>
      <c r="F44" s="7"/>
      <c r="K44" s="9"/>
      <c r="M44" s="95"/>
      <c r="N44" s="66"/>
      <c r="O44" s="96"/>
      <c r="P44" s="66"/>
      <c r="Q44" s="66"/>
      <c r="R44" s="7"/>
      <c r="S44" s="7"/>
      <c r="T44" s="7"/>
      <c r="U44" s="7"/>
      <c r="V44" s="7"/>
    </row>
    <row r="45" spans="1:22" s="6" customFormat="1" ht="14.1" customHeight="1">
      <c r="A45" s="36"/>
      <c r="B45" s="7"/>
      <c r="C45" s="7"/>
      <c r="D45" s="7"/>
      <c r="E45" s="7"/>
      <c r="F45" s="7"/>
      <c r="K45" s="9"/>
      <c r="M45" s="95"/>
      <c r="N45" s="66"/>
      <c r="O45" s="96"/>
      <c r="P45" s="66"/>
      <c r="Q45" s="66"/>
      <c r="R45" s="7"/>
      <c r="S45" s="7"/>
      <c r="T45" s="7"/>
      <c r="U45" s="7"/>
      <c r="V45" s="7"/>
    </row>
    <row r="46" spans="1:22" s="6" customFormat="1" ht="14.1" customHeight="1">
      <c r="A46" s="8"/>
      <c r="B46" s="7"/>
      <c r="C46" s="7"/>
      <c r="D46" s="7"/>
      <c r="E46" s="7"/>
      <c r="F46" s="7"/>
      <c r="K46" s="9"/>
      <c r="M46" s="95"/>
      <c r="N46" s="66"/>
      <c r="O46" s="96"/>
      <c r="P46" s="66"/>
      <c r="Q46" s="66"/>
      <c r="R46" s="7"/>
      <c r="S46" s="7"/>
      <c r="T46" s="7"/>
      <c r="U46" s="7"/>
      <c r="V46" s="7"/>
    </row>
    <row r="47" spans="1:22" s="6" customFormat="1" ht="14.1" customHeight="1">
      <c r="A47" s="114"/>
      <c r="B47" s="7"/>
      <c r="C47" s="7"/>
      <c r="D47" s="7"/>
      <c r="E47" s="7"/>
      <c r="F47" s="7"/>
      <c r="K47" s="9"/>
      <c r="M47" s="95"/>
      <c r="N47" s="66"/>
      <c r="O47" s="96"/>
      <c r="P47" s="66"/>
      <c r="Q47" s="66"/>
      <c r="R47" s="7"/>
      <c r="S47" s="7"/>
      <c r="T47" s="7"/>
      <c r="U47" s="7"/>
      <c r="V47" s="7"/>
    </row>
    <row r="48" spans="1:22" s="6" customFormat="1" ht="14.1" customHeight="1">
      <c r="A48" s="115"/>
      <c r="B48" s="7"/>
      <c r="C48" s="7"/>
      <c r="D48" s="7"/>
      <c r="E48" s="7"/>
      <c r="F48" s="7"/>
      <c r="K48" s="9"/>
      <c r="M48" s="95"/>
      <c r="N48" s="66"/>
      <c r="O48" s="96"/>
      <c r="P48" s="66"/>
      <c r="Q48" s="66"/>
      <c r="R48" s="7"/>
      <c r="S48" s="7"/>
      <c r="T48" s="7"/>
      <c r="U48" s="7"/>
      <c r="V48" s="7"/>
    </row>
    <row r="49" spans="1:22" s="6" customFormat="1" ht="14.1" customHeight="1">
      <c r="A49" s="115"/>
      <c r="B49" s="198"/>
      <c r="C49" s="7"/>
      <c r="D49" s="7"/>
      <c r="E49" s="7"/>
      <c r="F49" s="7"/>
      <c r="G49" s="66" t="s">
        <v>28</v>
      </c>
      <c r="H49" s="48"/>
      <c r="I49" s="48"/>
      <c r="J49" s="48"/>
      <c r="K49" s="9"/>
      <c r="M49" s="95"/>
      <c r="N49" s="66"/>
      <c r="O49" s="96"/>
      <c r="P49" s="66"/>
      <c r="Q49" s="66"/>
      <c r="R49" s="7"/>
      <c r="S49" s="7"/>
      <c r="T49" s="7"/>
      <c r="U49" s="7"/>
      <c r="V49" s="7"/>
    </row>
    <row r="50" spans="1:22" s="6" customFormat="1" ht="14.1" customHeight="1">
      <c r="A50" s="115"/>
      <c r="B50" s="198"/>
      <c r="C50" s="7"/>
      <c r="D50" s="7"/>
      <c r="E50" s="7"/>
      <c r="F50" s="7"/>
      <c r="G50" s="66"/>
      <c r="H50" s="411" t="s">
        <v>196</v>
      </c>
      <c r="I50" s="411"/>
      <c r="J50" s="411"/>
      <c r="K50" s="9"/>
      <c r="M50" s="95"/>
      <c r="N50" s="66"/>
      <c r="O50" s="96"/>
      <c r="P50" s="66"/>
      <c r="Q50" s="66"/>
      <c r="R50" s="7"/>
      <c r="S50" s="7"/>
      <c r="T50" s="7"/>
      <c r="U50" s="7"/>
      <c r="V50" s="7"/>
    </row>
    <row r="51" spans="1:22" s="6" customFormat="1" ht="13.5" thickBot="1">
      <c r="A51" s="67"/>
      <c r="B51" s="199"/>
      <c r="C51" s="68"/>
      <c r="D51" s="68"/>
      <c r="E51" s="68"/>
      <c r="F51" s="68"/>
      <c r="G51" s="69"/>
      <c r="H51" s="70"/>
      <c r="I51" s="70"/>
      <c r="J51" s="69"/>
      <c r="K51" s="71"/>
      <c r="M51" s="95"/>
      <c r="N51" s="66"/>
      <c r="O51" s="96"/>
      <c r="P51" s="66"/>
      <c r="Q51" s="66"/>
      <c r="R51" s="7"/>
      <c r="S51" s="7"/>
      <c r="T51" s="7"/>
      <c r="U51" s="7"/>
      <c r="V51" s="7"/>
    </row>
  </sheetData>
  <mergeCells count="23">
    <mergeCell ref="H50:J50"/>
    <mergeCell ref="A4:K4"/>
    <mergeCell ref="G9:K9"/>
    <mergeCell ref="G10:K12"/>
    <mergeCell ref="B10:F12"/>
    <mergeCell ref="B6:F8"/>
    <mergeCell ref="H15:J15"/>
    <mergeCell ref="A30:F35"/>
    <mergeCell ref="D19:F19"/>
    <mergeCell ref="B3:F3"/>
    <mergeCell ref="H3:K3"/>
    <mergeCell ref="G41:H41"/>
    <mergeCell ref="H14:K14"/>
    <mergeCell ref="H18:K18"/>
    <mergeCell ref="H19:K19"/>
    <mergeCell ref="H20:K20"/>
    <mergeCell ref="D23:F23"/>
    <mergeCell ref="B26:F26"/>
    <mergeCell ref="A27:F27"/>
    <mergeCell ref="B28:F28"/>
    <mergeCell ref="B14:F17"/>
    <mergeCell ref="H13:K13"/>
    <mergeCell ref="H17:J17"/>
  </mergeCells>
  <phoneticPr fontId="34"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B1:T28"/>
  <sheetViews>
    <sheetView showGridLines="0" view="pageBreakPreview" zoomScale="80" zoomScaleNormal="100" zoomScaleSheetLayoutView="80" workbookViewId="0">
      <selection activeCell="C13" sqref="C13:C14"/>
    </sheetView>
  </sheetViews>
  <sheetFormatPr defaultColWidth="8.76953125" defaultRowHeight="18" customHeight="1"/>
  <cols>
    <col min="1" max="1" width="1.05078125" style="117" customWidth="1"/>
    <col min="2" max="2" width="3.625" style="66" customWidth="1"/>
    <col min="3" max="3" width="22.3359375" style="39" customWidth="1"/>
    <col min="4" max="4" width="45.7265625" style="136" bestFit="1" customWidth="1"/>
    <col min="5" max="5" width="8.65234375" style="7" hidden="1" customWidth="1"/>
    <col min="6" max="6" width="6.546875" style="134" bestFit="1" customWidth="1"/>
    <col min="7" max="7" width="5.26171875" style="7" customWidth="1"/>
    <col min="8" max="8" width="8.30078125" style="7" customWidth="1"/>
    <col min="9" max="11" width="7.25" style="7" customWidth="1"/>
    <col min="12" max="12" width="8.53515625" style="7" customWidth="1"/>
    <col min="13" max="14" width="9.9375" style="7" bestFit="1" customWidth="1"/>
    <col min="15" max="15" width="10.0546875" style="7" customWidth="1"/>
    <col min="16" max="19" width="9.5859375" style="66" customWidth="1"/>
    <col min="20" max="20" width="7.83203125" style="137" customWidth="1"/>
    <col min="21" max="21" width="7.25" style="117" customWidth="1"/>
    <col min="22" max="16384" width="8.76953125" style="117"/>
  </cols>
  <sheetData>
    <row r="1" spans="2:20" ht="9" customHeight="1">
      <c r="B1" s="200"/>
      <c r="C1" s="7"/>
      <c r="D1" s="7"/>
      <c r="F1" s="7"/>
      <c r="H1" s="6"/>
      <c r="I1" s="6"/>
      <c r="J1" s="6"/>
      <c r="K1" s="186"/>
      <c r="L1" s="118"/>
      <c r="M1" s="200"/>
      <c r="N1" s="200"/>
      <c r="O1" s="200"/>
      <c r="P1" s="200"/>
      <c r="Q1" s="200"/>
      <c r="R1" s="200"/>
      <c r="S1" s="200"/>
      <c r="T1" s="200"/>
    </row>
    <row r="2" spans="2:20" ht="26.1" customHeight="1">
      <c r="B2" s="201"/>
      <c r="C2" s="7"/>
      <c r="D2" s="7"/>
      <c r="F2" s="7"/>
      <c r="H2" s="6"/>
      <c r="I2" s="6"/>
      <c r="J2" s="6"/>
      <c r="K2" s="186"/>
      <c r="L2" s="118"/>
      <c r="M2" s="201"/>
      <c r="N2" s="201"/>
      <c r="O2" s="201"/>
      <c r="P2" s="201"/>
      <c r="Q2" s="201"/>
      <c r="R2" s="201"/>
      <c r="S2" s="201"/>
      <c r="T2" s="201"/>
    </row>
    <row r="3" spans="2:20" ht="27.6" customHeight="1" thickBot="1">
      <c r="B3" s="201"/>
      <c r="C3" s="457" t="s">
        <v>0</v>
      </c>
      <c r="D3" s="457"/>
      <c r="E3" s="457"/>
      <c r="F3" s="457"/>
      <c r="G3" s="457"/>
      <c r="H3" s="457"/>
      <c r="I3" s="457"/>
      <c r="J3" s="6"/>
      <c r="K3" s="186"/>
      <c r="L3" s="118"/>
      <c r="M3" s="119"/>
      <c r="N3" s="201"/>
      <c r="O3" s="201"/>
      <c r="P3" s="201"/>
      <c r="Q3" s="201"/>
      <c r="R3" s="201"/>
      <c r="S3" s="201"/>
      <c r="T3" s="201"/>
    </row>
    <row r="4" spans="2:20" ht="33.75" customHeight="1" thickTop="1" thickBot="1">
      <c r="B4" s="458" t="s">
        <v>39</v>
      </c>
      <c r="C4" s="459"/>
      <c r="D4" s="459"/>
      <c r="E4" s="459"/>
      <c r="F4" s="459"/>
      <c r="G4" s="459"/>
      <c r="H4" s="459"/>
      <c r="I4" s="459"/>
      <c r="J4" s="459"/>
      <c r="K4" s="459"/>
      <c r="L4" s="459"/>
      <c r="M4" s="459"/>
      <c r="N4" s="459"/>
      <c r="O4" s="459"/>
      <c r="P4" s="459"/>
      <c r="Q4" s="459"/>
      <c r="R4" s="459"/>
      <c r="S4" s="459"/>
      <c r="T4" s="460"/>
    </row>
    <row r="5" spans="2:20" s="7" customFormat="1" ht="17.25" customHeight="1" thickTop="1">
      <c r="B5" s="66"/>
      <c r="C5" s="120" t="s">
        <v>40</v>
      </c>
      <c r="D5" s="121" t="str">
        <f>'Packing List (1_2)'!H5</f>
        <v>OM4-DE-IS-0008</v>
      </c>
      <c r="E5" s="66"/>
      <c r="F5" s="66"/>
      <c r="G5" s="66"/>
      <c r="H5" s="66"/>
      <c r="I5" s="66"/>
      <c r="J5" s="66"/>
      <c r="K5" s="66"/>
      <c r="L5" s="66"/>
      <c r="M5" s="66"/>
      <c r="N5" s="66"/>
      <c r="O5" s="66"/>
      <c r="P5" s="122"/>
      <c r="Q5" s="122"/>
      <c r="R5" s="122"/>
      <c r="S5" s="122"/>
      <c r="T5" s="66"/>
    </row>
    <row r="6" spans="2:20" s="7" customFormat="1" ht="17.25" customHeight="1">
      <c r="B6" s="66"/>
      <c r="C6" s="120" t="s">
        <v>41</v>
      </c>
      <c r="D6" s="194">
        <f>'Packing List (1_2)'!H6</f>
        <v>46157</v>
      </c>
      <c r="E6" s="66"/>
      <c r="F6" s="66"/>
      <c r="G6" s="39"/>
      <c r="H6" s="66"/>
      <c r="I6" s="39" t="s">
        <v>42</v>
      </c>
      <c r="J6" s="66"/>
      <c r="K6" s="66"/>
      <c r="L6" s="66"/>
      <c r="M6" s="66"/>
      <c r="N6" s="39" t="s">
        <v>43</v>
      </c>
      <c r="O6" s="66"/>
      <c r="P6" s="66"/>
      <c r="Q6" s="66"/>
      <c r="R6" s="66"/>
      <c r="S6" s="66"/>
      <c r="T6" s="66"/>
    </row>
    <row r="7" spans="2:20" s="7" customFormat="1" ht="17.25" customHeight="1">
      <c r="B7" s="66"/>
      <c r="C7" s="120" t="s">
        <v>44</v>
      </c>
      <c r="D7" s="123" t="s">
        <v>126</v>
      </c>
      <c r="E7" s="66"/>
      <c r="F7" s="66"/>
      <c r="G7" s="124"/>
      <c r="H7" s="39"/>
      <c r="I7" s="124" t="s">
        <v>45</v>
      </c>
      <c r="J7" s="39" t="s">
        <v>46</v>
      </c>
      <c r="K7" s="66"/>
      <c r="L7" s="66"/>
      <c r="M7" s="66"/>
      <c r="N7" s="125"/>
      <c r="O7" s="126" t="s">
        <v>171</v>
      </c>
      <c r="P7" s="126" t="s">
        <v>173</v>
      </c>
      <c r="Q7" s="126" t="s">
        <v>175</v>
      </c>
      <c r="R7" s="126" t="s">
        <v>169</v>
      </c>
      <c r="S7" s="66"/>
      <c r="T7" s="66"/>
    </row>
    <row r="8" spans="2:20" s="7" customFormat="1" ht="17.25" customHeight="1">
      <c r="B8" s="66"/>
      <c r="D8" s="120"/>
      <c r="E8" s="66"/>
      <c r="F8" s="66"/>
      <c r="G8" s="124"/>
      <c r="H8" s="39"/>
      <c r="I8" s="124" t="s">
        <v>48</v>
      </c>
      <c r="J8" s="39" t="s">
        <v>49</v>
      </c>
      <c r="K8" s="66"/>
      <c r="L8" s="66"/>
      <c r="M8" s="66"/>
      <c r="N8" s="126" t="s">
        <v>50</v>
      </c>
      <c r="O8" s="126" t="s">
        <v>51</v>
      </c>
      <c r="P8" s="126" t="s">
        <v>52</v>
      </c>
      <c r="Q8" s="126" t="s">
        <v>53</v>
      </c>
      <c r="R8" s="126" t="s">
        <v>54</v>
      </c>
      <c r="S8" s="66"/>
      <c r="T8" s="66"/>
    </row>
    <row r="9" spans="2:20" s="7" customFormat="1" ht="17.25" customHeight="1">
      <c r="B9" s="66"/>
      <c r="C9" s="120"/>
      <c r="D9" s="120"/>
      <c r="E9" s="66"/>
      <c r="F9" s="66"/>
      <c r="G9" s="124"/>
      <c r="H9" s="39"/>
      <c r="I9" s="124" t="s">
        <v>55</v>
      </c>
      <c r="J9" s="39" t="s">
        <v>56</v>
      </c>
      <c r="K9" s="66"/>
      <c r="L9" s="66"/>
      <c r="M9" s="66"/>
      <c r="N9" s="126" t="s">
        <v>57</v>
      </c>
      <c r="O9" s="126" t="s">
        <v>58</v>
      </c>
      <c r="P9" s="126" t="s">
        <v>59</v>
      </c>
      <c r="Q9" s="126" t="s">
        <v>60</v>
      </c>
      <c r="R9" s="126" t="s">
        <v>61</v>
      </c>
      <c r="S9" s="66"/>
      <c r="T9" s="66"/>
    </row>
    <row r="10" spans="2:20" s="7" customFormat="1" ht="17.25" customHeight="1">
      <c r="B10" s="66"/>
      <c r="D10" s="120"/>
      <c r="E10" s="66"/>
      <c r="F10" s="66"/>
      <c r="G10" s="124"/>
      <c r="H10" s="39"/>
      <c r="I10" s="124" t="s">
        <v>62</v>
      </c>
      <c r="J10" s="39" t="s">
        <v>63</v>
      </c>
      <c r="K10" s="66"/>
      <c r="L10" s="66"/>
      <c r="M10" s="66"/>
      <c r="N10" s="126" t="s">
        <v>64</v>
      </c>
      <c r="O10" s="126" t="s">
        <v>65</v>
      </c>
      <c r="P10" s="126" t="s">
        <v>66</v>
      </c>
      <c r="Q10" s="126" t="s">
        <v>67</v>
      </c>
      <c r="R10" s="311" t="s">
        <v>68</v>
      </c>
      <c r="S10" s="66"/>
      <c r="T10" s="66"/>
    </row>
    <row r="11" spans="2:20" s="7" customFormat="1" ht="17.25" customHeight="1">
      <c r="B11" s="66"/>
      <c r="D11" s="120"/>
      <c r="E11" s="66"/>
      <c r="F11" s="66"/>
      <c r="G11" s="124"/>
      <c r="H11" s="39"/>
      <c r="I11" s="124" t="s">
        <v>69</v>
      </c>
      <c r="J11" s="39" t="s">
        <v>70</v>
      </c>
      <c r="K11" s="66"/>
      <c r="L11" s="66"/>
      <c r="M11" s="66"/>
      <c r="N11" s="66"/>
      <c r="O11" s="66"/>
      <c r="P11" s="66"/>
      <c r="Q11" s="66"/>
      <c r="R11" s="66"/>
      <c r="S11" s="66"/>
      <c r="T11" s="66"/>
    </row>
    <row r="12" spans="2:20" s="7" customFormat="1" ht="17.25" customHeight="1">
      <c r="B12" s="66"/>
      <c r="C12" s="120"/>
      <c r="D12" s="66"/>
      <c r="E12" s="66"/>
      <c r="F12" s="66"/>
      <c r="I12" s="66"/>
      <c r="J12" s="66"/>
      <c r="K12" s="66"/>
      <c r="L12" s="66"/>
      <c r="M12" s="66"/>
      <c r="N12" s="66"/>
      <c r="O12" s="66"/>
      <c r="P12" s="66"/>
      <c r="Q12" s="66"/>
      <c r="R12" s="66"/>
      <c r="S12" s="66"/>
      <c r="T12" s="66"/>
    </row>
    <row r="13" spans="2:20" s="28" customFormat="1" ht="20.25" customHeight="1">
      <c r="B13" s="461" t="s">
        <v>29</v>
      </c>
      <c r="C13" s="463" t="s">
        <v>30</v>
      </c>
      <c r="D13" s="465" t="s">
        <v>71</v>
      </c>
      <c r="E13" s="461" t="s">
        <v>145</v>
      </c>
      <c r="F13" s="467" t="s">
        <v>72</v>
      </c>
      <c r="G13" s="468"/>
      <c r="H13" s="461" t="s">
        <v>73</v>
      </c>
      <c r="I13" s="467" t="s">
        <v>74</v>
      </c>
      <c r="J13" s="439"/>
      <c r="K13" s="439"/>
      <c r="L13" s="468"/>
      <c r="M13" s="461" t="s">
        <v>75</v>
      </c>
      <c r="N13" s="461" t="s">
        <v>76</v>
      </c>
      <c r="O13" s="461" t="s">
        <v>77</v>
      </c>
      <c r="P13" s="469" t="s">
        <v>140</v>
      </c>
      <c r="Q13" s="469" t="s">
        <v>141</v>
      </c>
      <c r="R13" s="469" t="s">
        <v>142</v>
      </c>
      <c r="S13" s="461" t="s">
        <v>78</v>
      </c>
      <c r="T13" s="461" t="s">
        <v>79</v>
      </c>
    </row>
    <row r="14" spans="2:20" s="28" customFormat="1" ht="33" customHeight="1">
      <c r="B14" s="462"/>
      <c r="C14" s="464"/>
      <c r="D14" s="466"/>
      <c r="E14" s="462"/>
      <c r="F14" s="127" t="s">
        <v>80</v>
      </c>
      <c r="G14" s="127" t="s">
        <v>81</v>
      </c>
      <c r="H14" s="462"/>
      <c r="I14" s="128" t="s">
        <v>82</v>
      </c>
      <c r="J14" s="128" t="s">
        <v>83</v>
      </c>
      <c r="K14" s="128" t="s">
        <v>84</v>
      </c>
      <c r="L14" s="128" t="s">
        <v>85</v>
      </c>
      <c r="M14" s="462"/>
      <c r="N14" s="462"/>
      <c r="O14" s="462"/>
      <c r="P14" s="470"/>
      <c r="Q14" s="470"/>
      <c r="R14" s="470"/>
      <c r="S14" s="462"/>
      <c r="T14" s="462"/>
    </row>
    <row r="15" spans="2:20" s="7" customFormat="1" ht="47.25" customHeight="1">
      <c r="B15" s="211" t="s">
        <v>154</v>
      </c>
      <c r="C15" s="129" t="str">
        <f>'Detailed PL'!C15</f>
        <v>OM4-DE-IS-0008-001</v>
      </c>
      <c r="D15" s="132" t="s">
        <v>157</v>
      </c>
      <c r="E15" s="126"/>
      <c r="F15" s="212">
        <f>SUM('Detailed PL'!I16)</f>
        <v>260</v>
      </c>
      <c r="G15" s="126" t="s">
        <v>147</v>
      </c>
      <c r="H15" s="130" t="str">
        <f>'Detailed PL'!K16</f>
        <v>Wodden</v>
      </c>
      <c r="I15" s="341">
        <f>'Detailed PL'!L16</f>
        <v>100</v>
      </c>
      <c r="J15" s="341">
        <f>'Detailed PL'!M16</f>
        <v>100</v>
      </c>
      <c r="K15" s="341">
        <f>'Detailed PL'!N16</f>
        <v>140</v>
      </c>
      <c r="L15" s="302">
        <f>'Detailed PL'!O16</f>
        <v>1.4</v>
      </c>
      <c r="M15" s="340">
        <f>'Detailed PL'!P16</f>
        <v>260</v>
      </c>
      <c r="N15" s="340">
        <f>'Detailed PL'!Q16</f>
        <v>410</v>
      </c>
      <c r="O15" s="131" t="str">
        <f>'Detailed PL'!R16</f>
        <v>Y</v>
      </c>
      <c r="P15" s="132" t="s">
        <v>152</v>
      </c>
      <c r="Q15" s="132" t="s">
        <v>152</v>
      </c>
      <c r="R15" s="132" t="s">
        <v>158</v>
      </c>
      <c r="S15" s="132" t="str">
        <f>'Detailed PL'!S16</f>
        <v>D</v>
      </c>
      <c r="T15" s="312" t="str">
        <f>'Detailed PL'!U16</f>
        <v>P0</v>
      </c>
    </row>
    <row r="16" spans="2:20" s="7" customFormat="1" ht="47.25" customHeight="1">
      <c r="B16" s="211" t="s">
        <v>155</v>
      </c>
      <c r="C16" s="129" t="str">
        <f>'Detailed PL'!C17</f>
        <v>OM4-DE-IS-0008-002</v>
      </c>
      <c r="D16" s="132" t="s">
        <v>157</v>
      </c>
      <c r="E16" s="126"/>
      <c r="F16" s="212">
        <f>SUM('Detailed PL'!I18)</f>
        <v>240</v>
      </c>
      <c r="G16" s="126" t="s">
        <v>147</v>
      </c>
      <c r="H16" s="130" t="str">
        <f>'Detailed PL'!K18</f>
        <v>Wodden</v>
      </c>
      <c r="I16" s="341">
        <f>'Detailed PL'!L18</f>
        <v>100</v>
      </c>
      <c r="J16" s="341">
        <f>'Detailed PL'!M18</f>
        <v>100</v>
      </c>
      <c r="K16" s="341">
        <f>'Detailed PL'!N18</f>
        <v>110</v>
      </c>
      <c r="L16" s="302">
        <f>'Detailed PL'!O18</f>
        <v>1.1000000000000001</v>
      </c>
      <c r="M16" s="302">
        <f>'Detailed PL'!P18</f>
        <v>240</v>
      </c>
      <c r="N16" s="302">
        <f>'Detailed PL'!Q18</f>
        <v>390</v>
      </c>
      <c r="O16" s="131" t="str">
        <f>'Detailed PL'!R18</f>
        <v>Y</v>
      </c>
      <c r="P16" s="132" t="s">
        <v>152</v>
      </c>
      <c r="Q16" s="132" t="s">
        <v>152</v>
      </c>
      <c r="R16" s="132" t="s">
        <v>158</v>
      </c>
      <c r="S16" s="132" t="str">
        <f>'Detailed PL'!S18</f>
        <v>D</v>
      </c>
      <c r="T16" s="312" t="str">
        <f>'Detailed PL'!U18</f>
        <v>P0</v>
      </c>
    </row>
    <row r="17" spans="2:20" s="7" customFormat="1" ht="47.25" customHeight="1">
      <c r="B17" s="211" t="s">
        <v>156</v>
      </c>
      <c r="C17" s="129" t="str">
        <f>'Detailed PL'!C19</f>
        <v>OM4-DE-IS-0008-003</v>
      </c>
      <c r="D17" s="132" t="s">
        <v>157</v>
      </c>
      <c r="E17" s="126"/>
      <c r="F17" s="212">
        <f>SUM('Detailed PL'!I20)</f>
        <v>100</v>
      </c>
      <c r="G17" s="126" t="s">
        <v>147</v>
      </c>
      <c r="H17" s="130" t="str">
        <f>'Detailed PL'!K20</f>
        <v>Wodden</v>
      </c>
      <c r="I17" s="341">
        <f>'Detailed PL'!L20</f>
        <v>100</v>
      </c>
      <c r="J17" s="341">
        <f>'Detailed PL'!M20</f>
        <v>100</v>
      </c>
      <c r="K17" s="341">
        <f>'Detailed PL'!N20</f>
        <v>70</v>
      </c>
      <c r="L17" s="302">
        <f>'Detailed PL'!O20</f>
        <v>0.7</v>
      </c>
      <c r="M17" s="302">
        <f>'Detailed PL'!P20</f>
        <v>100</v>
      </c>
      <c r="N17" s="302">
        <f>'Detailed PL'!Q20</f>
        <v>250</v>
      </c>
      <c r="O17" s="131" t="str">
        <f>'Detailed PL'!R20</f>
        <v>Y</v>
      </c>
      <c r="P17" s="132" t="s">
        <v>152</v>
      </c>
      <c r="Q17" s="132" t="s">
        <v>152</v>
      </c>
      <c r="R17" s="132" t="s">
        <v>158</v>
      </c>
      <c r="S17" s="132" t="str">
        <f>'Detailed PL'!S20</f>
        <v>D</v>
      </c>
      <c r="T17" s="312" t="str">
        <f>'Detailed PL'!U20</f>
        <v>P0</v>
      </c>
    </row>
    <row r="18" spans="2:20" ht="18.75" customHeight="1">
      <c r="B18" s="467" t="s">
        <v>86</v>
      </c>
      <c r="C18" s="439"/>
      <c r="D18" s="439"/>
      <c r="E18" s="439"/>
      <c r="F18" s="439"/>
      <c r="G18" s="439"/>
      <c r="H18" s="439"/>
      <c r="I18" s="439"/>
      <c r="J18" s="439"/>
      <c r="K18" s="468"/>
      <c r="L18" s="301">
        <f>SUM(L15:L17)</f>
        <v>3.2</v>
      </c>
      <c r="M18" s="301">
        <f>SUM(M15:M17)</f>
        <v>600</v>
      </c>
      <c r="N18" s="301">
        <f>SUM(N15:N17)</f>
        <v>1050</v>
      </c>
      <c r="O18" s="126"/>
      <c r="P18" s="126"/>
      <c r="Q18" s="126"/>
      <c r="R18" s="126"/>
      <c r="S18" s="126"/>
      <c r="T18" s="126"/>
    </row>
    <row r="19" spans="2:20" ht="18" customHeight="1">
      <c r="D19" s="133"/>
      <c r="T19" s="135"/>
    </row>
    <row r="20" spans="2:20" ht="18" customHeight="1">
      <c r="D20" s="133"/>
      <c r="T20" s="135"/>
    </row>
    <row r="21" spans="2:20" ht="18" customHeight="1">
      <c r="D21" s="133"/>
      <c r="T21" s="135"/>
    </row>
    <row r="22" spans="2:20" ht="18" customHeight="1">
      <c r="D22" s="133"/>
      <c r="T22" s="135"/>
    </row>
    <row r="23" spans="2:20" ht="18" customHeight="1">
      <c r="D23" s="133"/>
      <c r="T23" s="135"/>
    </row>
    <row r="24" spans="2:20" ht="18" customHeight="1">
      <c r="D24" s="133"/>
      <c r="T24" s="135"/>
    </row>
    <row r="25" spans="2:20" ht="18" customHeight="1">
      <c r="D25" s="133"/>
      <c r="T25" s="135"/>
    </row>
    <row r="26" spans="2:20" ht="18" customHeight="1">
      <c r="D26" s="133"/>
      <c r="T26" s="135"/>
    </row>
    <row r="27" spans="2:20" ht="18" customHeight="1">
      <c r="D27" s="133"/>
      <c r="T27" s="135"/>
    </row>
    <row r="28" spans="2:20" ht="18" customHeight="1">
      <c r="D28" s="133"/>
      <c r="T28" s="135"/>
    </row>
  </sheetData>
  <mergeCells count="18">
    <mergeCell ref="S13:S14"/>
    <mergeCell ref="B18:K18"/>
    <mergeCell ref="C3:I3"/>
    <mergeCell ref="B4:T4"/>
    <mergeCell ref="B13:B14"/>
    <mergeCell ref="C13:C14"/>
    <mergeCell ref="D13:D14"/>
    <mergeCell ref="E13:E14"/>
    <mergeCell ref="F13:G13"/>
    <mergeCell ref="H13:H14"/>
    <mergeCell ref="I13:L13"/>
    <mergeCell ref="M13:M14"/>
    <mergeCell ref="N13:N14"/>
    <mergeCell ref="O13:O14"/>
    <mergeCell ref="T13:T14"/>
    <mergeCell ref="P13:P14"/>
    <mergeCell ref="Q13:Q14"/>
    <mergeCell ref="R13:R14"/>
  </mergeCells>
  <phoneticPr fontId="34" type="noConversion"/>
  <printOptions horizontalCentered="1"/>
  <pageMargins left="0.70866141732283472" right="0.70866141732283472" top="0.74803149606299213" bottom="0.74803149606299213" header="0.31496062992125984" footer="0.31496062992125984"/>
  <pageSetup paperSize="9" scale="38" orientation="portrait" r:id="rId1"/>
  <headerFooter alignWithMargins="0">
    <oddFooter>&amp;C&amp;P/&amp;N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M43"/>
  <sheetViews>
    <sheetView showGridLines="0" view="pageBreakPreview" topLeftCell="A3" zoomScale="55" zoomScaleNormal="70" zoomScaleSheetLayoutView="55" workbookViewId="0">
      <selection activeCell="C15" sqref="C15:J15"/>
    </sheetView>
  </sheetViews>
  <sheetFormatPr defaultColWidth="7.71484375" defaultRowHeight="23.25"/>
  <cols>
    <col min="1" max="1" width="43.03515625" style="164" customWidth="1"/>
    <col min="2" max="2" width="2.5703125" style="165" customWidth="1"/>
    <col min="3" max="3" width="14.96875" style="164" customWidth="1"/>
    <col min="4" max="4" width="10.0546875" style="164" customWidth="1"/>
    <col min="5" max="5" width="11.34375" style="164" customWidth="1"/>
    <col min="6" max="6" width="12.74609375" style="164" customWidth="1"/>
    <col min="7" max="7" width="11.34375" style="164" customWidth="1"/>
    <col min="8" max="8" width="10.0546875" style="164" customWidth="1"/>
    <col min="9" max="9" width="12.04296875" style="164" customWidth="1"/>
    <col min="10" max="10" width="12.74609375" style="164" customWidth="1"/>
    <col min="11" max="11" width="6.8984375" style="164" customWidth="1"/>
    <col min="12" max="12" width="7.71484375" style="164"/>
    <col min="13" max="13" width="14.3828125" style="164" bestFit="1" customWidth="1"/>
    <col min="14" max="16384" width="7.71484375" style="164"/>
  </cols>
  <sheetData>
    <row r="1" spans="1:13" ht="91.15" customHeight="1" thickBot="1">
      <c r="A1" s="498" t="s">
        <v>94</v>
      </c>
      <c r="B1" s="498"/>
      <c r="C1" s="498"/>
      <c r="D1" s="498"/>
      <c r="E1" s="498"/>
      <c r="F1" s="498"/>
      <c r="G1" s="498"/>
      <c r="H1" s="498"/>
      <c r="I1" s="498"/>
      <c r="J1" s="498"/>
    </row>
    <row r="2" spans="1:13" ht="32.65" customHeight="1">
      <c r="A2" s="499" t="s">
        <v>95</v>
      </c>
      <c r="B2" s="500"/>
      <c r="C2" s="500"/>
      <c r="D2" s="500"/>
      <c r="E2" s="500"/>
      <c r="F2" s="500"/>
      <c r="G2" s="500"/>
      <c r="H2" s="500"/>
      <c r="I2" s="500"/>
      <c r="J2" s="501"/>
    </row>
    <row r="3" spans="1:13" ht="28.15" customHeight="1">
      <c r="A3" s="502" t="str">
        <f>[6]CI!B26</f>
        <v>Address: O Mon Power Complex at Phuoc Thoi wards, O Mon district, Can Tho city</v>
      </c>
      <c r="B3" s="503"/>
      <c r="C3" s="503"/>
      <c r="D3" s="503"/>
      <c r="E3" s="503"/>
      <c r="F3" s="503"/>
      <c r="G3" s="503"/>
      <c r="H3" s="503"/>
      <c r="I3" s="503"/>
      <c r="J3" s="504"/>
    </row>
    <row r="5" spans="1:13" s="167" customFormat="1" ht="40.15" customHeight="1">
      <c r="A5" s="181" t="s">
        <v>96</v>
      </c>
      <c r="B5" s="166" t="s">
        <v>97</v>
      </c>
      <c r="C5" s="505" t="s">
        <v>135</v>
      </c>
      <c r="D5" s="506"/>
      <c r="E5" s="506"/>
      <c r="F5" s="506"/>
      <c r="G5" s="506"/>
      <c r="H5" s="506"/>
      <c r="I5" s="506"/>
      <c r="J5" s="507"/>
    </row>
    <row r="6" spans="1:13" s="167" customFormat="1" ht="55.5" customHeight="1">
      <c r="A6" s="182" t="s">
        <v>98</v>
      </c>
      <c r="B6" s="168" t="s">
        <v>97</v>
      </c>
      <c r="C6" s="494" t="s">
        <v>136</v>
      </c>
      <c r="D6" s="494"/>
      <c r="E6" s="494"/>
      <c r="F6" s="494"/>
      <c r="G6" s="494"/>
      <c r="H6" s="494"/>
      <c r="I6" s="494"/>
      <c r="J6" s="495"/>
    </row>
    <row r="7" spans="1:13" s="167" customFormat="1" ht="94.15" customHeight="1">
      <c r="A7" s="182" t="s">
        <v>116</v>
      </c>
      <c r="B7" s="169" t="s">
        <v>97</v>
      </c>
      <c r="C7" s="494" t="s">
        <v>137</v>
      </c>
      <c r="D7" s="494"/>
      <c r="E7" s="494"/>
      <c r="F7" s="494"/>
      <c r="G7" s="494"/>
      <c r="H7" s="494"/>
      <c r="I7" s="494"/>
      <c r="J7" s="495"/>
    </row>
    <row r="8" spans="1:13" s="167" customFormat="1" ht="20.65" customHeight="1">
      <c r="A8" s="182" t="s">
        <v>99</v>
      </c>
      <c r="B8" s="169" t="s">
        <v>100</v>
      </c>
      <c r="C8" s="494" t="s">
        <v>138</v>
      </c>
      <c r="D8" s="494"/>
      <c r="E8" s="494"/>
      <c r="F8" s="494"/>
      <c r="G8" s="494"/>
      <c r="H8" s="494"/>
      <c r="I8" s="494"/>
      <c r="J8" s="495"/>
    </row>
    <row r="9" spans="1:13" s="167" customFormat="1" ht="20.65" customHeight="1">
      <c r="A9" s="182"/>
      <c r="B9" s="169"/>
      <c r="C9" s="494"/>
      <c r="D9" s="494"/>
      <c r="E9" s="494"/>
      <c r="F9" s="494"/>
      <c r="G9" s="494"/>
      <c r="H9" s="494"/>
      <c r="I9" s="494"/>
      <c r="J9" s="495"/>
    </row>
    <row r="10" spans="1:13" s="167" customFormat="1" ht="20.65" customHeight="1">
      <c r="A10" s="182"/>
      <c r="B10" s="169"/>
      <c r="C10" s="494"/>
      <c r="D10" s="494"/>
      <c r="E10" s="494"/>
      <c r="F10" s="494"/>
      <c r="G10" s="494"/>
      <c r="H10" s="494"/>
      <c r="I10" s="494"/>
      <c r="J10" s="495"/>
    </row>
    <row r="11" spans="1:13" s="167" customFormat="1" ht="171" customHeight="1">
      <c r="A11" s="182"/>
      <c r="B11" s="169"/>
      <c r="C11" s="494"/>
      <c r="D11" s="494"/>
      <c r="E11" s="494"/>
      <c r="F11" s="494"/>
      <c r="G11" s="494"/>
      <c r="H11" s="494"/>
      <c r="I11" s="494"/>
      <c r="J11" s="495"/>
    </row>
    <row r="12" spans="1:13" s="167" customFormat="1">
      <c r="A12" s="182" t="s">
        <v>117</v>
      </c>
      <c r="B12" s="168" t="s">
        <v>97</v>
      </c>
      <c r="C12" s="494" t="s">
        <v>115</v>
      </c>
      <c r="D12" s="494"/>
      <c r="E12" s="494"/>
      <c r="F12" s="494"/>
      <c r="G12" s="494"/>
      <c r="H12" s="494"/>
      <c r="I12" s="494"/>
      <c r="J12" s="495"/>
    </row>
    <row r="13" spans="1:13" s="317" customFormat="1" ht="25.5">
      <c r="A13" s="277" t="s">
        <v>101</v>
      </c>
      <c r="B13" s="278" t="s">
        <v>100</v>
      </c>
      <c r="C13" s="508" t="s">
        <v>205</v>
      </c>
      <c r="D13" s="508"/>
      <c r="E13" s="508"/>
      <c r="F13" s="314"/>
      <c r="G13" s="315"/>
      <c r="H13" s="315"/>
      <c r="I13" s="315"/>
      <c r="J13" s="316"/>
    </row>
    <row r="14" spans="1:13" s="167" customFormat="1">
      <c r="A14" s="182" t="s">
        <v>118</v>
      </c>
      <c r="B14" s="168" t="s">
        <v>97</v>
      </c>
      <c r="C14" s="496" t="str">
        <f>[6]CI!B28</f>
        <v>PLANT/ EQUIPMENT AND MATERIALS FOR O MON IV THERMAL</v>
      </c>
      <c r="D14" s="496"/>
      <c r="E14" s="496"/>
      <c r="F14" s="496"/>
      <c r="G14" s="496"/>
      <c r="H14" s="496"/>
      <c r="I14" s="496"/>
      <c r="J14" s="497"/>
    </row>
    <row r="15" spans="1:13" s="167" customFormat="1">
      <c r="A15" s="277" t="s">
        <v>192</v>
      </c>
      <c r="B15" s="278" t="s">
        <v>97</v>
      </c>
      <c r="C15" s="494" t="str">
        <f>'PL(2_2)'!D15</f>
        <v>PVC Bond</v>
      </c>
      <c r="D15" s="494"/>
      <c r="E15" s="494"/>
      <c r="F15" s="494"/>
      <c r="G15" s="494"/>
      <c r="H15" s="494"/>
      <c r="I15" s="494"/>
      <c r="J15" s="495"/>
      <c r="L15" s="167" t="s">
        <v>193</v>
      </c>
    </row>
    <row r="16" spans="1:13" s="317" customFormat="1" ht="40.15" customHeight="1">
      <c r="A16" s="277" t="s">
        <v>124</v>
      </c>
      <c r="B16" s="318" t="s">
        <v>100</v>
      </c>
      <c r="C16" s="319" t="s">
        <v>178</v>
      </c>
      <c r="D16" s="271"/>
      <c r="E16" s="271"/>
      <c r="F16" s="271"/>
      <c r="G16" s="271"/>
      <c r="H16" s="271"/>
      <c r="I16" s="271"/>
      <c r="J16" s="272"/>
      <c r="M16" s="320"/>
    </row>
    <row r="17" spans="1:13" s="317" customFormat="1" ht="35.450000000000003" customHeight="1">
      <c r="A17" s="277" t="s">
        <v>121</v>
      </c>
      <c r="B17" s="318" t="s">
        <v>100</v>
      </c>
      <c r="C17" s="319" t="str">
        <f>'PL(2_2)'!C15</f>
        <v>OM4-DE-IS-0008-001</v>
      </c>
      <c r="D17" s="271"/>
      <c r="E17" s="271"/>
      <c r="F17" s="271"/>
      <c r="G17" s="271"/>
      <c r="H17" s="271"/>
      <c r="I17" s="271"/>
      <c r="J17" s="272"/>
      <c r="M17" s="320"/>
    </row>
    <row r="18" spans="1:13" s="317" customFormat="1" ht="49.9" customHeight="1">
      <c r="A18" s="277" t="s">
        <v>119</v>
      </c>
      <c r="B18" s="278" t="s">
        <v>97</v>
      </c>
      <c r="C18" s="328">
        <f>'PL(2_2)'!M15</f>
        <v>260</v>
      </c>
      <c r="D18" s="322" t="s">
        <v>102</v>
      </c>
      <c r="E18" s="323"/>
      <c r="F18" s="323"/>
      <c r="G18" s="323"/>
      <c r="H18" s="323"/>
      <c r="I18" s="323"/>
      <c r="J18" s="324"/>
    </row>
    <row r="19" spans="1:13" s="317" customFormat="1" ht="57.4" customHeight="1">
      <c r="A19" s="277" t="s">
        <v>120</v>
      </c>
      <c r="B19" s="278" t="s">
        <v>97</v>
      </c>
      <c r="C19" s="328">
        <f>'PL(2_2)'!N15</f>
        <v>410</v>
      </c>
      <c r="D19" s="322" t="s">
        <v>102</v>
      </c>
      <c r="E19" s="323"/>
      <c r="F19" s="325"/>
      <c r="G19" s="323"/>
      <c r="H19" s="323"/>
      <c r="I19" s="323"/>
      <c r="J19" s="326"/>
    </row>
    <row r="20" spans="1:13" s="317" customFormat="1" ht="53.65" customHeight="1">
      <c r="A20" s="277" t="s">
        <v>122</v>
      </c>
      <c r="B20" s="318" t="s">
        <v>97</v>
      </c>
      <c r="C20" s="321">
        <f>'PL(2_2)'!I15</f>
        <v>100</v>
      </c>
      <c r="D20" s="327" t="s">
        <v>103</v>
      </c>
      <c r="E20" s="321">
        <f>'PL(2_2)'!J15</f>
        <v>100</v>
      </c>
      <c r="F20" s="327" t="s">
        <v>104</v>
      </c>
      <c r="G20" s="321">
        <f>'PL(2_2)'!K15</f>
        <v>140</v>
      </c>
      <c r="H20" s="327" t="s">
        <v>105</v>
      </c>
      <c r="I20" s="328">
        <f>'PL(2_2)'!L15</f>
        <v>1.4</v>
      </c>
      <c r="J20" s="329" t="s">
        <v>106</v>
      </c>
    </row>
    <row r="21" spans="1:13" s="317" customFormat="1" ht="31.15" customHeight="1">
      <c r="A21" s="277" t="s">
        <v>113</v>
      </c>
      <c r="B21" s="318" t="s">
        <v>97</v>
      </c>
      <c r="C21" s="339" t="str">
        <f>'Packing List (1_2)'!B21</f>
        <v>Busan International Port, Korea</v>
      </c>
      <c r="D21" s="322"/>
      <c r="E21" s="323"/>
      <c r="F21" s="322"/>
      <c r="G21" s="323"/>
      <c r="H21" s="322"/>
      <c r="I21" s="328"/>
      <c r="J21" s="329"/>
    </row>
    <row r="22" spans="1:13" s="167" customFormat="1" ht="49.15" customHeight="1">
      <c r="A22" s="182" t="s">
        <v>123</v>
      </c>
      <c r="B22" s="169" t="s">
        <v>97</v>
      </c>
      <c r="C22" s="175" t="s">
        <v>139</v>
      </c>
      <c r="D22" s="171"/>
      <c r="E22" s="172"/>
      <c r="F22" s="171"/>
      <c r="G22" s="172"/>
      <c r="H22" s="171"/>
      <c r="I22" s="173"/>
      <c r="J22" s="174"/>
    </row>
    <row r="23" spans="1:13" s="167" customFormat="1" ht="40.15" customHeight="1">
      <c r="A23" s="183" t="s">
        <v>107</v>
      </c>
      <c r="B23" s="169" t="s">
        <v>97</v>
      </c>
      <c r="C23" s="175" t="s">
        <v>143</v>
      </c>
      <c r="D23" s="171"/>
      <c r="E23" s="172"/>
      <c r="F23" s="171"/>
      <c r="G23" s="172"/>
      <c r="H23" s="171"/>
      <c r="I23" s="173"/>
      <c r="J23" s="174"/>
    </row>
    <row r="24" spans="1:13" s="167" customFormat="1" ht="40.15" customHeight="1">
      <c r="A24" s="184" t="s">
        <v>108</v>
      </c>
      <c r="B24" s="176" t="s">
        <v>97</v>
      </c>
      <c r="C24" s="185" t="s">
        <v>109</v>
      </c>
      <c r="D24" s="177"/>
      <c r="E24" s="177"/>
      <c r="F24" s="177"/>
      <c r="G24" s="177"/>
      <c r="H24" s="177"/>
      <c r="I24" s="177"/>
      <c r="J24" s="178"/>
    </row>
    <row r="25" spans="1:13" ht="120" hidden="1" customHeight="1" thickBot="1"/>
    <row r="26" spans="1:13" ht="55.15" hidden="1" customHeight="1"/>
    <row r="27" spans="1:13" ht="55.15" hidden="1" customHeight="1" thickBot="1"/>
    <row r="28" spans="1:13" ht="40.15" hidden="1" customHeight="1"/>
    <row r="29" spans="1:13" s="167" customFormat="1" ht="40.15" hidden="1" customHeight="1">
      <c r="A29" s="164"/>
      <c r="B29" s="165"/>
      <c r="C29" s="164"/>
      <c r="D29" s="164"/>
      <c r="E29" s="164"/>
      <c r="F29" s="164"/>
      <c r="G29" s="164"/>
      <c r="H29" s="164"/>
      <c r="I29" s="164"/>
      <c r="J29" s="164"/>
    </row>
    <row r="30" spans="1:13" s="167" customFormat="1" ht="55.5" hidden="1" customHeight="1">
      <c r="A30" s="164"/>
      <c r="B30" s="165"/>
      <c r="C30" s="164"/>
      <c r="D30" s="164"/>
      <c r="E30" s="164"/>
      <c r="F30" s="164"/>
      <c r="G30" s="164"/>
      <c r="H30" s="164"/>
      <c r="I30" s="164"/>
      <c r="J30" s="164"/>
    </row>
    <row r="31" spans="1:13" s="167" customFormat="1" ht="53.25" hidden="1" customHeight="1">
      <c r="A31" s="164"/>
      <c r="B31" s="165"/>
      <c r="C31" s="164"/>
      <c r="D31" s="164"/>
      <c r="E31" s="164"/>
      <c r="F31" s="164"/>
      <c r="G31" s="164"/>
      <c r="H31" s="164"/>
      <c r="I31" s="164"/>
      <c r="J31" s="164"/>
    </row>
    <row r="32" spans="1:13" s="167" customFormat="1" ht="99.75" hidden="1" customHeight="1">
      <c r="A32" s="164"/>
      <c r="B32" s="165"/>
      <c r="C32" s="164"/>
      <c r="D32" s="164"/>
      <c r="E32" s="164"/>
      <c r="F32" s="164"/>
      <c r="G32" s="164"/>
      <c r="H32" s="164"/>
      <c r="I32" s="164"/>
      <c r="J32" s="164"/>
    </row>
    <row r="33" spans="1:13" s="167" customFormat="1" ht="40.15" hidden="1" customHeight="1">
      <c r="A33" s="164"/>
      <c r="B33" s="165"/>
      <c r="C33" s="164"/>
      <c r="D33" s="164"/>
      <c r="E33" s="164"/>
      <c r="F33" s="164"/>
      <c r="G33" s="164"/>
      <c r="H33" s="164"/>
      <c r="I33" s="164"/>
      <c r="J33" s="164"/>
    </row>
    <row r="34" spans="1:13" s="167" customFormat="1" ht="40.15" hidden="1" customHeight="1">
      <c r="A34" s="164"/>
      <c r="B34" s="165"/>
      <c r="C34" s="164"/>
      <c r="D34" s="164"/>
      <c r="E34" s="164"/>
      <c r="F34" s="164"/>
      <c r="G34" s="164"/>
      <c r="H34" s="164"/>
      <c r="I34" s="164"/>
      <c r="J34" s="164"/>
    </row>
    <row r="35" spans="1:13" s="167" customFormat="1" ht="75" hidden="1" customHeight="1">
      <c r="A35" s="164"/>
      <c r="B35" s="165"/>
      <c r="C35" s="164"/>
      <c r="D35" s="164"/>
      <c r="E35" s="164"/>
      <c r="F35" s="164"/>
      <c r="G35" s="164"/>
      <c r="H35" s="164"/>
      <c r="I35" s="164"/>
      <c r="J35" s="164"/>
    </row>
    <row r="36" spans="1:13" s="167" customFormat="1" ht="40.15" hidden="1" customHeight="1">
      <c r="A36" s="164"/>
      <c r="B36" s="165"/>
      <c r="C36" s="164"/>
      <c r="D36" s="164"/>
      <c r="E36" s="164"/>
      <c r="F36" s="164"/>
      <c r="G36" s="164"/>
      <c r="H36" s="164"/>
      <c r="I36" s="164"/>
      <c r="J36" s="164"/>
      <c r="M36" s="170"/>
    </row>
    <row r="37" spans="1:13" s="167" customFormat="1" ht="40.15" hidden="1" customHeight="1">
      <c r="A37" s="164"/>
      <c r="B37" s="165"/>
      <c r="C37" s="164"/>
      <c r="D37" s="164"/>
      <c r="E37" s="164"/>
      <c r="F37" s="164"/>
      <c r="G37" s="164"/>
      <c r="H37" s="164"/>
      <c r="I37" s="164"/>
      <c r="J37" s="164"/>
    </row>
    <row r="38" spans="1:13" s="167" customFormat="1" ht="40.15" hidden="1" customHeight="1">
      <c r="A38" s="164"/>
      <c r="B38" s="165"/>
      <c r="C38" s="164"/>
      <c r="D38" s="164"/>
      <c r="E38" s="164"/>
      <c r="F38" s="164"/>
      <c r="G38" s="164"/>
      <c r="H38" s="164"/>
      <c r="I38" s="164"/>
      <c r="J38" s="164"/>
    </row>
    <row r="39" spans="1:13" s="167" customFormat="1" ht="40.15" hidden="1" customHeight="1">
      <c r="A39" s="164"/>
      <c r="B39" s="165"/>
      <c r="C39" s="164"/>
      <c r="D39" s="164"/>
      <c r="E39" s="164"/>
      <c r="F39" s="164"/>
      <c r="G39" s="164"/>
      <c r="H39" s="164"/>
      <c r="I39" s="164"/>
      <c r="J39" s="164"/>
    </row>
    <row r="40" spans="1:13" s="167" customFormat="1" ht="40.15" hidden="1" customHeight="1">
      <c r="A40" s="164"/>
      <c r="B40" s="165"/>
      <c r="C40" s="164"/>
      <c r="D40" s="164"/>
      <c r="E40" s="164"/>
      <c r="F40" s="164"/>
      <c r="G40" s="164"/>
      <c r="H40" s="164"/>
      <c r="I40" s="164"/>
      <c r="J40" s="164"/>
    </row>
    <row r="41" spans="1:13" s="167" customFormat="1" ht="40.15" hidden="1" customHeight="1">
      <c r="A41" s="164"/>
      <c r="B41" s="165"/>
      <c r="C41" s="164"/>
      <c r="D41" s="164"/>
      <c r="E41" s="164"/>
      <c r="F41" s="164"/>
      <c r="G41" s="164"/>
      <c r="H41" s="164"/>
      <c r="I41" s="164"/>
      <c r="J41" s="164"/>
    </row>
    <row r="42" spans="1:13" s="167" customFormat="1" ht="40.15" hidden="1" customHeight="1">
      <c r="A42" s="164"/>
      <c r="B42" s="165"/>
      <c r="C42" s="164"/>
      <c r="D42" s="164"/>
      <c r="E42" s="164"/>
      <c r="F42" s="164"/>
      <c r="G42" s="164"/>
      <c r="H42" s="164"/>
      <c r="I42" s="164"/>
      <c r="J42" s="164"/>
    </row>
    <row r="43" spans="1:13" s="167" customFormat="1" ht="40.15" hidden="1" customHeight="1">
      <c r="A43" s="164"/>
      <c r="B43" s="165"/>
      <c r="C43" s="164"/>
      <c r="D43" s="164"/>
      <c r="E43" s="164"/>
      <c r="F43" s="164"/>
      <c r="G43" s="164"/>
      <c r="H43" s="164"/>
      <c r="I43" s="164"/>
      <c r="J43" s="164"/>
    </row>
  </sheetData>
  <mergeCells count="11">
    <mergeCell ref="C15:J15"/>
    <mergeCell ref="C14:J14"/>
    <mergeCell ref="C7:J7"/>
    <mergeCell ref="A1:J1"/>
    <mergeCell ref="A2:J2"/>
    <mergeCell ref="A3:J3"/>
    <mergeCell ref="C5:J5"/>
    <mergeCell ref="C6:J6"/>
    <mergeCell ref="C8:J11"/>
    <mergeCell ref="C12:J12"/>
    <mergeCell ref="C13:E13"/>
  </mergeCells>
  <phoneticPr fontId="34" type="noConversion"/>
  <printOptions horizontalCentered="1"/>
  <pageMargins left="0.25" right="0.25" top="0.75" bottom="0.75" header="0.3" footer="0.3"/>
  <pageSetup paperSize="9" scale="6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M43"/>
  <sheetViews>
    <sheetView showGridLines="0" view="pageBreakPreview" zoomScale="55" zoomScaleNormal="70" zoomScaleSheetLayoutView="55" workbookViewId="0">
      <selection activeCell="V19" sqref="V19"/>
    </sheetView>
  </sheetViews>
  <sheetFormatPr defaultColWidth="7.71484375" defaultRowHeight="23.25"/>
  <cols>
    <col min="1" max="1" width="43.03515625" style="164" customWidth="1"/>
    <col min="2" max="2" width="2.5703125" style="165" customWidth="1"/>
    <col min="3" max="3" width="15.203125" style="164" customWidth="1"/>
    <col min="4" max="4" width="10.0546875" style="164" customWidth="1"/>
    <col min="5" max="5" width="11.34375" style="164" customWidth="1"/>
    <col min="6" max="6" width="12.74609375" style="164" customWidth="1"/>
    <col min="7" max="7" width="11.34375" style="164" customWidth="1"/>
    <col min="8" max="8" width="10.0546875" style="164" customWidth="1"/>
    <col min="9" max="9" width="12.04296875" style="164" customWidth="1"/>
    <col min="10" max="10" width="12.74609375" style="164" customWidth="1"/>
    <col min="11" max="11" width="6.8984375" style="164" customWidth="1"/>
    <col min="12" max="12" width="7.71484375" style="164"/>
    <col min="13" max="13" width="14.3828125" style="164" bestFit="1" customWidth="1"/>
    <col min="14" max="16384" width="7.71484375" style="164"/>
  </cols>
  <sheetData>
    <row r="1" spans="1:13" ht="91.15" customHeight="1" thickBot="1">
      <c r="A1" s="498" t="s">
        <v>94</v>
      </c>
      <c r="B1" s="498"/>
      <c r="C1" s="498"/>
      <c r="D1" s="498"/>
      <c r="E1" s="498"/>
      <c r="F1" s="498"/>
      <c r="G1" s="498"/>
      <c r="H1" s="498"/>
      <c r="I1" s="498"/>
      <c r="J1" s="498"/>
    </row>
    <row r="2" spans="1:13" ht="32.65" customHeight="1">
      <c r="A2" s="499" t="s">
        <v>95</v>
      </c>
      <c r="B2" s="500"/>
      <c r="C2" s="500"/>
      <c r="D2" s="500"/>
      <c r="E2" s="500"/>
      <c r="F2" s="500"/>
      <c r="G2" s="500"/>
      <c r="H2" s="500"/>
      <c r="I2" s="500"/>
      <c r="J2" s="501"/>
    </row>
    <row r="3" spans="1:13" ht="28.15" customHeight="1">
      <c r="A3" s="502" t="str">
        <f>[6]CI!B26</f>
        <v>Address: O Mon Power Complex at Phuoc Thoi wards, O Mon district, Can Tho city</v>
      </c>
      <c r="B3" s="503"/>
      <c r="C3" s="503"/>
      <c r="D3" s="503"/>
      <c r="E3" s="503"/>
      <c r="F3" s="503"/>
      <c r="G3" s="503"/>
      <c r="H3" s="503"/>
      <c r="I3" s="503"/>
      <c r="J3" s="504"/>
    </row>
    <row r="5" spans="1:13" s="167" customFormat="1" ht="40.15" customHeight="1">
      <c r="A5" s="181" t="s">
        <v>96</v>
      </c>
      <c r="B5" s="166" t="s">
        <v>97</v>
      </c>
      <c r="C5" s="505" t="s">
        <v>135</v>
      </c>
      <c r="D5" s="506"/>
      <c r="E5" s="506"/>
      <c r="F5" s="506"/>
      <c r="G5" s="506"/>
      <c r="H5" s="506"/>
      <c r="I5" s="506"/>
      <c r="J5" s="507"/>
    </row>
    <row r="6" spans="1:13" s="167" customFormat="1" ht="55.5" customHeight="1">
      <c r="A6" s="182" t="s">
        <v>98</v>
      </c>
      <c r="B6" s="168" t="s">
        <v>97</v>
      </c>
      <c r="C6" s="494" t="s">
        <v>136</v>
      </c>
      <c r="D6" s="494"/>
      <c r="E6" s="494"/>
      <c r="F6" s="494"/>
      <c r="G6" s="494"/>
      <c r="H6" s="494"/>
      <c r="I6" s="494"/>
      <c r="J6" s="495"/>
    </row>
    <row r="7" spans="1:13" s="167" customFormat="1" ht="94.15" customHeight="1">
      <c r="A7" s="182" t="s">
        <v>116</v>
      </c>
      <c r="B7" s="169" t="s">
        <v>97</v>
      </c>
      <c r="C7" s="494" t="s">
        <v>137</v>
      </c>
      <c r="D7" s="494"/>
      <c r="E7" s="494"/>
      <c r="F7" s="494"/>
      <c r="G7" s="494"/>
      <c r="H7" s="494"/>
      <c r="I7" s="494"/>
      <c r="J7" s="495"/>
    </row>
    <row r="8" spans="1:13" s="167" customFormat="1" ht="20.65" customHeight="1">
      <c r="A8" s="182" t="s">
        <v>99</v>
      </c>
      <c r="B8" s="169" t="s">
        <v>100</v>
      </c>
      <c r="C8" s="494" t="s">
        <v>138</v>
      </c>
      <c r="D8" s="494"/>
      <c r="E8" s="494"/>
      <c r="F8" s="494"/>
      <c r="G8" s="494"/>
      <c r="H8" s="494"/>
      <c r="I8" s="494"/>
      <c r="J8" s="495"/>
    </row>
    <row r="9" spans="1:13" s="167" customFormat="1" ht="20.65" customHeight="1">
      <c r="A9" s="182"/>
      <c r="B9" s="169"/>
      <c r="C9" s="494"/>
      <c r="D9" s="494"/>
      <c r="E9" s="494"/>
      <c r="F9" s="494"/>
      <c r="G9" s="494"/>
      <c r="H9" s="494"/>
      <c r="I9" s="494"/>
      <c r="J9" s="495"/>
    </row>
    <row r="10" spans="1:13" s="167" customFormat="1" ht="20.65" customHeight="1">
      <c r="A10" s="182"/>
      <c r="B10" s="169"/>
      <c r="C10" s="494"/>
      <c r="D10" s="494"/>
      <c r="E10" s="494"/>
      <c r="F10" s="494"/>
      <c r="G10" s="494"/>
      <c r="H10" s="494"/>
      <c r="I10" s="494"/>
      <c r="J10" s="495"/>
    </row>
    <row r="11" spans="1:13" s="167" customFormat="1" ht="171" customHeight="1">
      <c r="A11" s="182"/>
      <c r="B11" s="169"/>
      <c r="C11" s="494"/>
      <c r="D11" s="494"/>
      <c r="E11" s="494"/>
      <c r="F11" s="494"/>
      <c r="G11" s="494"/>
      <c r="H11" s="494"/>
      <c r="I11" s="494"/>
      <c r="J11" s="495"/>
    </row>
    <row r="12" spans="1:13" s="167" customFormat="1">
      <c r="A12" s="182" t="s">
        <v>117</v>
      </c>
      <c r="B12" s="168" t="s">
        <v>97</v>
      </c>
      <c r="C12" s="494" t="s">
        <v>115</v>
      </c>
      <c r="D12" s="494"/>
      <c r="E12" s="494"/>
      <c r="F12" s="494"/>
      <c r="G12" s="494"/>
      <c r="H12" s="494"/>
      <c r="I12" s="494"/>
      <c r="J12" s="495"/>
    </row>
    <row r="13" spans="1:13" s="317" customFormat="1" ht="25.9" customHeight="1">
      <c r="A13" s="277" t="s">
        <v>101</v>
      </c>
      <c r="B13" s="332" t="s">
        <v>100</v>
      </c>
      <c r="C13" s="508" t="s">
        <v>205</v>
      </c>
      <c r="D13" s="508"/>
      <c r="E13" s="508"/>
      <c r="F13" s="333"/>
      <c r="G13" s="334"/>
      <c r="H13" s="334"/>
      <c r="I13" s="334"/>
      <c r="J13" s="335"/>
    </row>
    <row r="14" spans="1:13" s="167" customFormat="1">
      <c r="A14" s="182" t="s">
        <v>118</v>
      </c>
      <c r="B14" s="168" t="s">
        <v>97</v>
      </c>
      <c r="C14" s="496" t="str">
        <f>[6]CI!B28</f>
        <v>PLANT/ EQUIPMENT AND MATERIALS FOR O MON IV THERMAL</v>
      </c>
      <c r="D14" s="496"/>
      <c r="E14" s="496"/>
      <c r="F14" s="496"/>
      <c r="G14" s="496"/>
      <c r="H14" s="496"/>
      <c r="I14" s="496"/>
      <c r="J14" s="497"/>
    </row>
    <row r="15" spans="1:13" s="167" customFormat="1">
      <c r="A15" s="277" t="s">
        <v>192</v>
      </c>
      <c r="B15" s="278" t="s">
        <v>97</v>
      </c>
      <c r="C15" s="494" t="str">
        <f>'PL(2_2)'!D16</f>
        <v>PVC Bond</v>
      </c>
      <c r="D15" s="494"/>
      <c r="E15" s="494"/>
      <c r="F15" s="494"/>
      <c r="G15" s="494"/>
      <c r="H15" s="494"/>
      <c r="I15" s="494"/>
      <c r="J15" s="495"/>
      <c r="L15" s="167" t="s">
        <v>193</v>
      </c>
    </row>
    <row r="16" spans="1:13" s="317" customFormat="1" ht="45">
      <c r="A16" s="277" t="s">
        <v>124</v>
      </c>
      <c r="B16" s="318" t="s">
        <v>100</v>
      </c>
      <c r="C16" s="319" t="s">
        <v>178</v>
      </c>
      <c r="D16" s="271"/>
      <c r="E16" s="271"/>
      <c r="F16" s="271"/>
      <c r="G16" s="271"/>
      <c r="H16" s="271"/>
      <c r="I16" s="271"/>
      <c r="J16" s="272"/>
      <c r="M16" s="320"/>
    </row>
    <row r="17" spans="1:13" s="317" customFormat="1" ht="35.450000000000003" customHeight="1">
      <c r="A17" s="277" t="s">
        <v>121</v>
      </c>
      <c r="B17" s="318" t="s">
        <v>100</v>
      </c>
      <c r="C17" s="319" t="str">
        <f>'PL(2_2)'!C16</f>
        <v>OM4-DE-IS-0008-002</v>
      </c>
      <c r="D17" s="271"/>
      <c r="E17" s="271"/>
      <c r="F17" s="271"/>
      <c r="G17" s="271"/>
      <c r="H17" s="271"/>
      <c r="I17" s="271"/>
      <c r="J17" s="272"/>
      <c r="M17" s="320"/>
    </row>
    <row r="18" spans="1:13" s="167" customFormat="1" ht="49.9" customHeight="1">
      <c r="A18" s="182" t="s">
        <v>119</v>
      </c>
      <c r="B18" s="168" t="s">
        <v>97</v>
      </c>
      <c r="C18" s="328">
        <f>'PL(2_2)'!M16</f>
        <v>240</v>
      </c>
      <c r="D18" s="322" t="s">
        <v>102</v>
      </c>
      <c r="E18" s="323"/>
      <c r="F18" s="323"/>
      <c r="G18" s="323"/>
      <c r="H18" s="323"/>
      <c r="I18" s="323"/>
      <c r="J18" s="324"/>
    </row>
    <row r="19" spans="1:13" s="167" customFormat="1" ht="57.4" customHeight="1">
      <c r="A19" s="182" t="s">
        <v>120</v>
      </c>
      <c r="B19" s="168" t="s">
        <v>97</v>
      </c>
      <c r="C19" s="328">
        <f>'PL(2_2)'!N16</f>
        <v>390</v>
      </c>
      <c r="D19" s="322" t="s">
        <v>102</v>
      </c>
      <c r="E19" s="323"/>
      <c r="F19" s="325"/>
      <c r="G19" s="323"/>
      <c r="H19" s="323"/>
      <c r="I19" s="323"/>
      <c r="J19" s="326"/>
    </row>
    <row r="20" spans="1:13" s="167" customFormat="1" ht="53.65" customHeight="1">
      <c r="A20" s="182" t="s">
        <v>122</v>
      </c>
      <c r="B20" s="169" t="s">
        <v>97</v>
      </c>
      <c r="C20" s="321">
        <f>'PL(2_2)'!I16</f>
        <v>100</v>
      </c>
      <c r="D20" s="327" t="s">
        <v>103</v>
      </c>
      <c r="E20" s="321">
        <f>'PL(2_2)'!J16</f>
        <v>100</v>
      </c>
      <c r="F20" s="327" t="s">
        <v>104</v>
      </c>
      <c r="G20" s="321">
        <f>'PL(2_2)'!K16</f>
        <v>110</v>
      </c>
      <c r="H20" s="327" t="s">
        <v>105</v>
      </c>
      <c r="I20" s="328">
        <f>'PL(2_2)'!L16</f>
        <v>1.1000000000000001</v>
      </c>
      <c r="J20" s="329" t="s">
        <v>106</v>
      </c>
    </row>
    <row r="21" spans="1:13" s="317" customFormat="1" ht="31.15" customHeight="1">
      <c r="A21" s="277" t="s">
        <v>113</v>
      </c>
      <c r="B21" s="318" t="s">
        <v>97</v>
      </c>
      <c r="C21" s="339" t="str">
        <f>'Packing List (1_2)'!B21</f>
        <v>Busan International Port, Korea</v>
      </c>
      <c r="D21" s="322"/>
      <c r="E21" s="323"/>
      <c r="F21" s="322"/>
      <c r="G21" s="323"/>
      <c r="H21" s="322"/>
      <c r="I21" s="328"/>
      <c r="J21" s="329"/>
    </row>
    <row r="22" spans="1:13" s="167" customFormat="1" ht="49.15" customHeight="1">
      <c r="A22" s="182" t="s">
        <v>123</v>
      </c>
      <c r="B22" s="169" t="s">
        <v>97</v>
      </c>
      <c r="C22" s="175" t="s">
        <v>139</v>
      </c>
      <c r="D22" s="171"/>
      <c r="E22" s="172"/>
      <c r="F22" s="171"/>
      <c r="G22" s="172"/>
      <c r="H22" s="171"/>
      <c r="I22" s="173"/>
      <c r="J22" s="174"/>
    </row>
    <row r="23" spans="1:13" s="167" customFormat="1" ht="40.15" customHeight="1">
      <c r="A23" s="183" t="s">
        <v>107</v>
      </c>
      <c r="B23" s="169" t="s">
        <v>97</v>
      </c>
      <c r="C23" s="175" t="s">
        <v>143</v>
      </c>
      <c r="D23" s="171"/>
      <c r="E23" s="172"/>
      <c r="F23" s="171"/>
      <c r="G23" s="172"/>
      <c r="H23" s="171"/>
      <c r="I23" s="173"/>
      <c r="J23" s="174"/>
    </row>
    <row r="24" spans="1:13" s="167" customFormat="1" ht="40.15" customHeight="1">
      <c r="A24" s="184" t="s">
        <v>108</v>
      </c>
      <c r="B24" s="176" t="s">
        <v>97</v>
      </c>
      <c r="C24" s="185" t="s">
        <v>109</v>
      </c>
      <c r="D24" s="177"/>
      <c r="E24" s="177"/>
      <c r="F24" s="177"/>
      <c r="G24" s="177"/>
      <c r="H24" s="177"/>
      <c r="I24" s="177"/>
      <c r="J24" s="178"/>
    </row>
    <row r="25" spans="1:13" ht="120" hidden="1" customHeight="1" thickBot="1"/>
    <row r="26" spans="1:13" ht="55.15" hidden="1" customHeight="1"/>
    <row r="27" spans="1:13" ht="55.15" hidden="1" customHeight="1" thickBot="1"/>
    <row r="28" spans="1:13" ht="40.15" hidden="1" customHeight="1"/>
    <row r="29" spans="1:13" s="167" customFormat="1" ht="40.15" hidden="1" customHeight="1">
      <c r="A29" s="164"/>
      <c r="B29" s="165"/>
      <c r="C29" s="164"/>
      <c r="D29" s="164"/>
      <c r="E29" s="164"/>
      <c r="F29" s="164"/>
      <c r="G29" s="164"/>
      <c r="H29" s="164"/>
      <c r="I29" s="164"/>
      <c r="J29" s="164"/>
    </row>
    <row r="30" spans="1:13" s="167" customFormat="1" ht="55.5" hidden="1" customHeight="1">
      <c r="A30" s="164"/>
      <c r="B30" s="165"/>
      <c r="C30" s="164"/>
      <c r="D30" s="164"/>
      <c r="E30" s="164"/>
      <c r="F30" s="164"/>
      <c r="G30" s="164"/>
      <c r="H30" s="164"/>
      <c r="I30" s="164"/>
      <c r="J30" s="164"/>
    </row>
    <row r="31" spans="1:13" s="167" customFormat="1" ht="53.25" hidden="1" customHeight="1">
      <c r="A31" s="164"/>
      <c r="B31" s="165"/>
      <c r="C31" s="164"/>
      <c r="D31" s="164"/>
      <c r="E31" s="164"/>
      <c r="F31" s="164"/>
      <c r="G31" s="164"/>
      <c r="H31" s="164"/>
      <c r="I31" s="164"/>
      <c r="J31" s="164"/>
    </row>
    <row r="32" spans="1:13" s="167" customFormat="1" ht="99.75" hidden="1" customHeight="1">
      <c r="A32" s="164"/>
      <c r="B32" s="165"/>
      <c r="C32" s="164"/>
      <c r="D32" s="164"/>
      <c r="E32" s="164"/>
      <c r="F32" s="164"/>
      <c r="G32" s="164"/>
      <c r="H32" s="164"/>
      <c r="I32" s="164"/>
      <c r="J32" s="164"/>
    </row>
    <row r="33" spans="1:13" s="167" customFormat="1" ht="40.15" hidden="1" customHeight="1">
      <c r="A33" s="164"/>
      <c r="B33" s="165"/>
      <c r="C33" s="164"/>
      <c r="D33" s="164"/>
      <c r="E33" s="164"/>
      <c r="F33" s="164"/>
      <c r="G33" s="164"/>
      <c r="H33" s="164"/>
      <c r="I33" s="164"/>
      <c r="J33" s="164"/>
    </row>
    <row r="34" spans="1:13" s="167" customFormat="1" ht="40.15" hidden="1" customHeight="1">
      <c r="A34" s="164"/>
      <c r="B34" s="165"/>
      <c r="C34" s="164"/>
      <c r="D34" s="164"/>
      <c r="E34" s="164"/>
      <c r="F34" s="164"/>
      <c r="G34" s="164"/>
      <c r="H34" s="164"/>
      <c r="I34" s="164"/>
      <c r="J34" s="164"/>
    </row>
    <row r="35" spans="1:13" s="167" customFormat="1" ht="75" hidden="1" customHeight="1">
      <c r="A35" s="164"/>
      <c r="B35" s="165"/>
      <c r="C35" s="164"/>
      <c r="D35" s="164"/>
      <c r="E35" s="164"/>
      <c r="F35" s="164"/>
      <c r="G35" s="164"/>
      <c r="H35" s="164"/>
      <c r="I35" s="164"/>
      <c r="J35" s="164"/>
    </row>
    <row r="36" spans="1:13" s="167" customFormat="1" ht="40.15" hidden="1" customHeight="1">
      <c r="A36" s="164"/>
      <c r="B36" s="165"/>
      <c r="C36" s="164"/>
      <c r="D36" s="164"/>
      <c r="E36" s="164"/>
      <c r="F36" s="164"/>
      <c r="G36" s="164"/>
      <c r="H36" s="164"/>
      <c r="I36" s="164"/>
      <c r="J36" s="164"/>
      <c r="M36" s="170"/>
    </row>
    <row r="37" spans="1:13" s="167" customFormat="1" ht="40.15" hidden="1" customHeight="1">
      <c r="A37" s="164"/>
      <c r="B37" s="165"/>
      <c r="C37" s="164"/>
      <c r="D37" s="164"/>
      <c r="E37" s="164"/>
      <c r="F37" s="164"/>
      <c r="G37" s="164"/>
      <c r="H37" s="164"/>
      <c r="I37" s="164"/>
      <c r="J37" s="164"/>
    </row>
    <row r="38" spans="1:13" s="167" customFormat="1" ht="40.15" hidden="1" customHeight="1">
      <c r="A38" s="164"/>
      <c r="B38" s="165"/>
      <c r="C38" s="164"/>
      <c r="D38" s="164"/>
      <c r="E38" s="164"/>
      <c r="F38" s="164"/>
      <c r="G38" s="164"/>
      <c r="H38" s="164"/>
      <c r="I38" s="164"/>
      <c r="J38" s="164"/>
    </row>
    <row r="39" spans="1:13" s="167" customFormat="1" ht="40.15" hidden="1" customHeight="1">
      <c r="A39" s="164"/>
      <c r="B39" s="165"/>
      <c r="C39" s="164"/>
      <c r="D39" s="164"/>
      <c r="E39" s="164"/>
      <c r="F39" s="164"/>
      <c r="G39" s="164"/>
      <c r="H39" s="164"/>
      <c r="I39" s="164"/>
      <c r="J39" s="164"/>
    </row>
    <row r="40" spans="1:13" s="167" customFormat="1" ht="40.15" hidden="1" customHeight="1">
      <c r="A40" s="164"/>
      <c r="B40" s="165"/>
      <c r="C40" s="164"/>
      <c r="D40" s="164"/>
      <c r="E40" s="164"/>
      <c r="F40" s="164"/>
      <c r="G40" s="164"/>
      <c r="H40" s="164"/>
      <c r="I40" s="164"/>
      <c r="J40" s="164"/>
    </row>
    <row r="41" spans="1:13" s="167" customFormat="1" ht="40.15" hidden="1" customHeight="1">
      <c r="A41" s="164"/>
      <c r="B41" s="165"/>
      <c r="C41" s="164"/>
      <c r="D41" s="164"/>
      <c r="E41" s="164"/>
      <c r="F41" s="164"/>
      <c r="G41" s="164"/>
      <c r="H41" s="164"/>
      <c r="I41" s="164"/>
      <c r="J41" s="164"/>
    </row>
    <row r="42" spans="1:13" s="167" customFormat="1" ht="40.15" hidden="1" customHeight="1">
      <c r="A42" s="164"/>
      <c r="B42" s="165"/>
      <c r="C42" s="164"/>
      <c r="D42" s="164"/>
      <c r="E42" s="164"/>
      <c r="F42" s="164"/>
      <c r="G42" s="164"/>
      <c r="H42" s="164"/>
      <c r="I42" s="164"/>
      <c r="J42" s="164"/>
    </row>
    <row r="43" spans="1:13" s="167" customFormat="1" ht="40.15" hidden="1" customHeight="1">
      <c r="A43" s="164"/>
      <c r="B43" s="165"/>
      <c r="C43" s="164"/>
      <c r="D43" s="164"/>
      <c r="E43" s="164"/>
      <c r="F43" s="164"/>
      <c r="G43" s="164"/>
      <c r="H43" s="164"/>
      <c r="I43" s="164"/>
      <c r="J43" s="164"/>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M43"/>
  <sheetViews>
    <sheetView showGridLines="0" view="pageBreakPreview" topLeftCell="A5" zoomScale="55" zoomScaleNormal="70" zoomScaleSheetLayoutView="55" workbookViewId="0">
      <selection sqref="A1:J1"/>
    </sheetView>
  </sheetViews>
  <sheetFormatPr defaultColWidth="7.71484375" defaultRowHeight="23.25"/>
  <cols>
    <col min="1" max="1" width="43.03515625" style="164" customWidth="1"/>
    <col min="2" max="2" width="2.5703125" style="165" customWidth="1"/>
    <col min="3" max="3" width="14.8515625" style="164" customWidth="1"/>
    <col min="4" max="4" width="10.0546875" style="164" customWidth="1"/>
    <col min="5" max="5" width="11.34375" style="164" customWidth="1"/>
    <col min="6" max="6" width="12.74609375" style="164" customWidth="1"/>
    <col min="7" max="7" width="11.34375" style="164" customWidth="1"/>
    <col min="8" max="8" width="10.0546875" style="164" customWidth="1"/>
    <col min="9" max="9" width="12.04296875" style="164" customWidth="1"/>
    <col min="10" max="10" width="12.74609375" style="164" customWidth="1"/>
    <col min="11" max="11" width="6.8984375" style="164" customWidth="1"/>
    <col min="12" max="12" width="7.71484375" style="164"/>
    <col min="13" max="13" width="14.3828125" style="164" bestFit="1" customWidth="1"/>
    <col min="14" max="16384" width="7.71484375" style="164"/>
  </cols>
  <sheetData>
    <row r="1" spans="1:13" ht="91.15" customHeight="1" thickBot="1">
      <c r="A1" s="498" t="s">
        <v>94</v>
      </c>
      <c r="B1" s="498"/>
      <c r="C1" s="498"/>
      <c r="D1" s="498"/>
      <c r="E1" s="498"/>
      <c r="F1" s="498"/>
      <c r="G1" s="498"/>
      <c r="H1" s="498"/>
      <c r="I1" s="498"/>
      <c r="J1" s="498"/>
    </row>
    <row r="2" spans="1:13" ht="32.65" customHeight="1">
      <c r="A2" s="499" t="s">
        <v>95</v>
      </c>
      <c r="B2" s="500"/>
      <c r="C2" s="500"/>
      <c r="D2" s="500"/>
      <c r="E2" s="500"/>
      <c r="F2" s="500"/>
      <c r="G2" s="500"/>
      <c r="H2" s="500"/>
      <c r="I2" s="500"/>
      <c r="J2" s="501"/>
    </row>
    <row r="3" spans="1:13" ht="28.15" customHeight="1">
      <c r="A3" s="502" t="str">
        <f>[6]CI!B26</f>
        <v>Address: O Mon Power Complex at Phuoc Thoi wards, O Mon district, Can Tho city</v>
      </c>
      <c r="B3" s="503"/>
      <c r="C3" s="503"/>
      <c r="D3" s="503"/>
      <c r="E3" s="503"/>
      <c r="F3" s="503"/>
      <c r="G3" s="503"/>
      <c r="H3" s="503"/>
      <c r="I3" s="503"/>
      <c r="J3" s="504"/>
    </row>
    <row r="5" spans="1:13" s="167" customFormat="1" ht="40.15" customHeight="1">
      <c r="A5" s="181" t="s">
        <v>96</v>
      </c>
      <c r="B5" s="166" t="s">
        <v>97</v>
      </c>
      <c r="C5" s="505" t="s">
        <v>135</v>
      </c>
      <c r="D5" s="506"/>
      <c r="E5" s="506"/>
      <c r="F5" s="506"/>
      <c r="G5" s="506"/>
      <c r="H5" s="506"/>
      <c r="I5" s="506"/>
      <c r="J5" s="507"/>
    </row>
    <row r="6" spans="1:13" s="167" customFormat="1" ht="55.5" customHeight="1">
      <c r="A6" s="182" t="s">
        <v>98</v>
      </c>
      <c r="B6" s="168" t="s">
        <v>97</v>
      </c>
      <c r="C6" s="494" t="s">
        <v>136</v>
      </c>
      <c r="D6" s="494"/>
      <c r="E6" s="494"/>
      <c r="F6" s="494"/>
      <c r="G6" s="494"/>
      <c r="H6" s="494"/>
      <c r="I6" s="494"/>
      <c r="J6" s="495"/>
    </row>
    <row r="7" spans="1:13" s="167" customFormat="1" ht="94.15" customHeight="1">
      <c r="A7" s="182" t="s">
        <v>116</v>
      </c>
      <c r="B7" s="169" t="s">
        <v>97</v>
      </c>
      <c r="C7" s="494" t="s">
        <v>137</v>
      </c>
      <c r="D7" s="494"/>
      <c r="E7" s="494"/>
      <c r="F7" s="494"/>
      <c r="G7" s="494"/>
      <c r="H7" s="494"/>
      <c r="I7" s="494"/>
      <c r="J7" s="495"/>
    </row>
    <row r="8" spans="1:13" s="167" customFormat="1" ht="20.65" customHeight="1">
      <c r="A8" s="182" t="s">
        <v>99</v>
      </c>
      <c r="B8" s="169" t="s">
        <v>100</v>
      </c>
      <c r="C8" s="494" t="s">
        <v>138</v>
      </c>
      <c r="D8" s="494"/>
      <c r="E8" s="494"/>
      <c r="F8" s="494"/>
      <c r="G8" s="494"/>
      <c r="H8" s="494"/>
      <c r="I8" s="494"/>
      <c r="J8" s="495"/>
    </row>
    <row r="9" spans="1:13" s="167" customFormat="1" ht="20.65" customHeight="1">
      <c r="A9" s="182"/>
      <c r="B9" s="169"/>
      <c r="C9" s="494"/>
      <c r="D9" s="494"/>
      <c r="E9" s="494"/>
      <c r="F9" s="494"/>
      <c r="G9" s="494"/>
      <c r="H9" s="494"/>
      <c r="I9" s="494"/>
      <c r="J9" s="495"/>
    </row>
    <row r="10" spans="1:13" s="167" customFormat="1" ht="20.65" customHeight="1">
      <c r="A10" s="182"/>
      <c r="B10" s="169"/>
      <c r="C10" s="494"/>
      <c r="D10" s="494"/>
      <c r="E10" s="494"/>
      <c r="F10" s="494"/>
      <c r="G10" s="494"/>
      <c r="H10" s="494"/>
      <c r="I10" s="494"/>
      <c r="J10" s="495"/>
    </row>
    <row r="11" spans="1:13" s="167" customFormat="1" ht="171" customHeight="1">
      <c r="A11" s="182"/>
      <c r="B11" s="169"/>
      <c r="C11" s="494"/>
      <c r="D11" s="494"/>
      <c r="E11" s="494"/>
      <c r="F11" s="494"/>
      <c r="G11" s="494"/>
      <c r="H11" s="494"/>
      <c r="I11" s="494"/>
      <c r="J11" s="495"/>
    </row>
    <row r="12" spans="1:13" s="167" customFormat="1">
      <c r="A12" s="182" t="s">
        <v>117</v>
      </c>
      <c r="B12" s="168" t="s">
        <v>97</v>
      </c>
      <c r="C12" s="494" t="s">
        <v>115</v>
      </c>
      <c r="D12" s="494"/>
      <c r="E12" s="494"/>
      <c r="F12" s="494"/>
      <c r="G12" s="494"/>
      <c r="H12" s="494"/>
      <c r="I12" s="494"/>
      <c r="J12" s="495"/>
    </row>
    <row r="13" spans="1:13" s="317" customFormat="1" ht="25.9" customHeight="1">
      <c r="A13" s="277" t="s">
        <v>101</v>
      </c>
      <c r="B13" s="278" t="s">
        <v>100</v>
      </c>
      <c r="C13" s="508" t="s">
        <v>205</v>
      </c>
      <c r="D13" s="508"/>
      <c r="E13" s="508"/>
      <c r="F13" s="336"/>
      <c r="G13" s="337"/>
      <c r="H13" s="337"/>
      <c r="I13" s="337"/>
      <c r="J13" s="338"/>
    </row>
    <row r="14" spans="1:13" s="167" customFormat="1">
      <c r="A14" s="182" t="s">
        <v>118</v>
      </c>
      <c r="B14" s="168" t="s">
        <v>97</v>
      </c>
      <c r="C14" s="496" t="str">
        <f>[6]CI!B28</f>
        <v>PLANT/ EQUIPMENT AND MATERIALS FOR O MON IV THERMAL</v>
      </c>
      <c r="D14" s="496"/>
      <c r="E14" s="496"/>
      <c r="F14" s="496"/>
      <c r="G14" s="496"/>
      <c r="H14" s="496"/>
      <c r="I14" s="496"/>
      <c r="J14" s="497"/>
    </row>
    <row r="15" spans="1:13" s="167" customFormat="1">
      <c r="A15" s="277" t="s">
        <v>192</v>
      </c>
      <c r="B15" s="278" t="s">
        <v>97</v>
      </c>
      <c r="C15" s="494" t="str">
        <f>'PL(2_2)'!D17</f>
        <v>PVC Bond</v>
      </c>
      <c r="D15" s="494"/>
      <c r="E15" s="494"/>
      <c r="F15" s="494"/>
      <c r="G15" s="494"/>
      <c r="H15" s="494"/>
      <c r="I15" s="494"/>
      <c r="J15" s="495"/>
      <c r="L15" s="167" t="s">
        <v>193</v>
      </c>
    </row>
    <row r="16" spans="1:13" s="317" customFormat="1" ht="40.15" customHeight="1">
      <c r="A16" s="277" t="s">
        <v>124</v>
      </c>
      <c r="B16" s="318" t="s">
        <v>100</v>
      </c>
      <c r="C16" s="319" t="s">
        <v>178</v>
      </c>
      <c r="D16" s="271"/>
      <c r="E16" s="271"/>
      <c r="F16" s="271"/>
      <c r="G16" s="271"/>
      <c r="H16" s="271"/>
      <c r="I16" s="271"/>
      <c r="J16" s="272"/>
      <c r="M16" s="320"/>
    </row>
    <row r="17" spans="1:13" s="317" customFormat="1" ht="35.450000000000003" customHeight="1">
      <c r="A17" s="277" t="s">
        <v>121</v>
      </c>
      <c r="B17" s="318" t="s">
        <v>100</v>
      </c>
      <c r="C17" s="319" t="str">
        <f>'PL(2_2)'!C17</f>
        <v>OM4-DE-IS-0008-003</v>
      </c>
      <c r="D17" s="271"/>
      <c r="E17" s="271"/>
      <c r="F17" s="271"/>
      <c r="G17" s="271"/>
      <c r="H17" s="271"/>
      <c r="I17" s="271"/>
      <c r="J17" s="272"/>
      <c r="M17" s="320"/>
    </row>
    <row r="18" spans="1:13" s="317" customFormat="1" ht="49.9" customHeight="1">
      <c r="A18" s="277" t="s">
        <v>119</v>
      </c>
      <c r="B18" s="278" t="s">
        <v>97</v>
      </c>
      <c r="C18" s="328">
        <f>'PL(2_2)'!M17</f>
        <v>100</v>
      </c>
      <c r="D18" s="322" t="s">
        <v>102</v>
      </c>
      <c r="E18" s="323"/>
      <c r="F18" s="323"/>
      <c r="G18" s="323"/>
      <c r="H18" s="323"/>
      <c r="I18" s="323"/>
      <c r="J18" s="324"/>
    </row>
    <row r="19" spans="1:13" s="317" customFormat="1" ht="57.4" customHeight="1">
      <c r="A19" s="277" t="s">
        <v>120</v>
      </c>
      <c r="B19" s="278" t="s">
        <v>97</v>
      </c>
      <c r="C19" s="328">
        <f>'PL(2_2)'!N17</f>
        <v>250</v>
      </c>
      <c r="D19" s="322" t="s">
        <v>102</v>
      </c>
      <c r="E19" s="323"/>
      <c r="F19" s="325"/>
      <c r="G19" s="323"/>
      <c r="H19" s="323"/>
      <c r="I19" s="323"/>
      <c r="J19" s="326"/>
    </row>
    <row r="20" spans="1:13" s="317" customFormat="1" ht="53.65" customHeight="1">
      <c r="A20" s="277" t="s">
        <v>122</v>
      </c>
      <c r="B20" s="318" t="s">
        <v>97</v>
      </c>
      <c r="C20" s="321">
        <f>'PL(2_2)'!I17</f>
        <v>100</v>
      </c>
      <c r="D20" s="327" t="s">
        <v>103</v>
      </c>
      <c r="E20" s="321">
        <f>'PL(2_2)'!J17</f>
        <v>100</v>
      </c>
      <c r="F20" s="327" t="s">
        <v>104</v>
      </c>
      <c r="G20" s="321">
        <f>'PL(2_2)'!K17</f>
        <v>70</v>
      </c>
      <c r="H20" s="327" t="s">
        <v>105</v>
      </c>
      <c r="I20" s="328">
        <f>'PL(2_2)'!L17</f>
        <v>0.7</v>
      </c>
      <c r="J20" s="329" t="s">
        <v>106</v>
      </c>
    </row>
    <row r="21" spans="1:13" s="317" customFormat="1" ht="31.15" customHeight="1">
      <c r="A21" s="277" t="s">
        <v>113</v>
      </c>
      <c r="B21" s="318" t="s">
        <v>97</v>
      </c>
      <c r="C21" s="339" t="str">
        <f>'Packing List (1_2)'!B21</f>
        <v>Busan International Port, Korea</v>
      </c>
      <c r="D21" s="322"/>
      <c r="E21" s="323"/>
      <c r="F21" s="322"/>
      <c r="G21" s="323"/>
      <c r="H21" s="322"/>
      <c r="I21" s="328"/>
      <c r="J21" s="329"/>
    </row>
    <row r="22" spans="1:13" s="167" customFormat="1" ht="49.15" customHeight="1">
      <c r="A22" s="182" t="s">
        <v>123</v>
      </c>
      <c r="B22" s="169" t="s">
        <v>97</v>
      </c>
      <c r="C22" s="175" t="s">
        <v>139</v>
      </c>
      <c r="D22" s="171"/>
      <c r="E22" s="172"/>
      <c r="F22" s="171"/>
      <c r="G22" s="172"/>
      <c r="H22" s="171"/>
      <c r="I22" s="173"/>
      <c r="J22" s="174"/>
    </row>
    <row r="23" spans="1:13" s="167" customFormat="1" ht="40.15" customHeight="1">
      <c r="A23" s="183" t="s">
        <v>107</v>
      </c>
      <c r="B23" s="169" t="s">
        <v>97</v>
      </c>
      <c r="C23" s="175" t="s">
        <v>143</v>
      </c>
      <c r="D23" s="171"/>
      <c r="E23" s="172"/>
      <c r="F23" s="171"/>
      <c r="G23" s="172"/>
      <c r="H23" s="171"/>
      <c r="I23" s="173"/>
      <c r="J23" s="174"/>
    </row>
    <row r="24" spans="1:13" s="167" customFormat="1" ht="40.15" customHeight="1">
      <c r="A24" s="184" t="s">
        <v>108</v>
      </c>
      <c r="B24" s="176" t="s">
        <v>97</v>
      </c>
      <c r="C24" s="185" t="s">
        <v>109</v>
      </c>
      <c r="D24" s="177"/>
      <c r="E24" s="177"/>
      <c r="F24" s="177"/>
      <c r="G24" s="177"/>
      <c r="H24" s="177"/>
      <c r="I24" s="177"/>
      <c r="J24" s="178"/>
    </row>
    <row r="25" spans="1:13" ht="120" hidden="1" customHeight="1" thickBot="1"/>
    <row r="26" spans="1:13" ht="55.15" hidden="1" customHeight="1"/>
    <row r="27" spans="1:13" ht="55.15" hidden="1" customHeight="1" thickBot="1"/>
    <row r="28" spans="1:13" ht="40.15" hidden="1" customHeight="1"/>
    <row r="29" spans="1:13" s="167" customFormat="1" ht="40.15" hidden="1" customHeight="1">
      <c r="A29" s="164"/>
      <c r="B29" s="165"/>
      <c r="C29" s="164"/>
      <c r="D29" s="164"/>
      <c r="E29" s="164"/>
      <c r="F29" s="164"/>
      <c r="G29" s="164"/>
      <c r="H29" s="164"/>
      <c r="I29" s="164"/>
      <c r="J29" s="164"/>
    </row>
    <row r="30" spans="1:13" s="167" customFormat="1" ht="55.5" hidden="1" customHeight="1">
      <c r="A30" s="164"/>
      <c r="B30" s="165"/>
      <c r="C30" s="164"/>
      <c r="D30" s="164"/>
      <c r="E30" s="164"/>
      <c r="F30" s="164"/>
      <c r="G30" s="164"/>
      <c r="H30" s="164"/>
      <c r="I30" s="164"/>
      <c r="J30" s="164"/>
    </row>
    <row r="31" spans="1:13" s="167" customFormat="1" ht="53.25" hidden="1" customHeight="1">
      <c r="A31" s="164"/>
      <c r="B31" s="165"/>
      <c r="C31" s="164"/>
      <c r="D31" s="164"/>
      <c r="E31" s="164"/>
      <c r="F31" s="164"/>
      <c r="G31" s="164"/>
      <c r="H31" s="164"/>
      <c r="I31" s="164"/>
      <c r="J31" s="164"/>
    </row>
    <row r="32" spans="1:13" s="167" customFormat="1" ht="99.75" hidden="1" customHeight="1">
      <c r="A32" s="164"/>
      <c r="B32" s="165"/>
      <c r="C32" s="164"/>
      <c r="D32" s="164"/>
      <c r="E32" s="164"/>
      <c r="F32" s="164"/>
      <c r="G32" s="164"/>
      <c r="H32" s="164"/>
      <c r="I32" s="164"/>
      <c r="J32" s="164"/>
    </row>
    <row r="33" spans="1:13" s="167" customFormat="1" ht="40.15" hidden="1" customHeight="1">
      <c r="A33" s="164"/>
      <c r="B33" s="165"/>
      <c r="C33" s="164"/>
      <c r="D33" s="164"/>
      <c r="E33" s="164"/>
      <c r="F33" s="164"/>
      <c r="G33" s="164"/>
      <c r="H33" s="164"/>
      <c r="I33" s="164"/>
      <c r="J33" s="164"/>
    </row>
    <row r="34" spans="1:13" s="167" customFormat="1" ht="40.15" hidden="1" customHeight="1">
      <c r="A34" s="164"/>
      <c r="B34" s="165"/>
      <c r="C34" s="164"/>
      <c r="D34" s="164"/>
      <c r="E34" s="164"/>
      <c r="F34" s="164"/>
      <c r="G34" s="164"/>
      <c r="H34" s="164"/>
      <c r="I34" s="164"/>
      <c r="J34" s="164"/>
    </row>
    <row r="35" spans="1:13" s="167" customFormat="1" ht="75" hidden="1" customHeight="1">
      <c r="A35" s="164"/>
      <c r="B35" s="165"/>
      <c r="C35" s="164"/>
      <c r="D35" s="164"/>
      <c r="E35" s="164"/>
      <c r="F35" s="164"/>
      <c r="G35" s="164"/>
      <c r="H35" s="164"/>
      <c r="I35" s="164"/>
      <c r="J35" s="164"/>
    </row>
    <row r="36" spans="1:13" s="167" customFormat="1" ht="40.15" hidden="1" customHeight="1">
      <c r="A36" s="164"/>
      <c r="B36" s="165"/>
      <c r="C36" s="164"/>
      <c r="D36" s="164"/>
      <c r="E36" s="164"/>
      <c r="F36" s="164"/>
      <c r="G36" s="164"/>
      <c r="H36" s="164"/>
      <c r="I36" s="164"/>
      <c r="J36" s="164"/>
      <c r="M36" s="170"/>
    </row>
    <row r="37" spans="1:13" s="167" customFormat="1" ht="40.15" hidden="1" customHeight="1">
      <c r="A37" s="164"/>
      <c r="B37" s="165"/>
      <c r="C37" s="164"/>
      <c r="D37" s="164"/>
      <c r="E37" s="164"/>
      <c r="F37" s="164"/>
      <c r="G37" s="164"/>
      <c r="H37" s="164"/>
      <c r="I37" s="164"/>
      <c r="J37" s="164"/>
    </row>
    <row r="38" spans="1:13" s="167" customFormat="1" ht="40.15" hidden="1" customHeight="1">
      <c r="A38" s="164"/>
      <c r="B38" s="165"/>
      <c r="C38" s="164"/>
      <c r="D38" s="164"/>
      <c r="E38" s="164"/>
      <c r="F38" s="164"/>
      <c r="G38" s="164"/>
      <c r="H38" s="164"/>
      <c r="I38" s="164"/>
      <c r="J38" s="164"/>
    </row>
    <row r="39" spans="1:13" s="167" customFormat="1" ht="40.15" hidden="1" customHeight="1">
      <c r="A39" s="164"/>
      <c r="B39" s="165"/>
      <c r="C39" s="164"/>
      <c r="D39" s="164"/>
      <c r="E39" s="164"/>
      <c r="F39" s="164"/>
      <c r="G39" s="164"/>
      <c r="H39" s="164"/>
      <c r="I39" s="164"/>
      <c r="J39" s="164"/>
    </row>
    <row r="40" spans="1:13" s="167" customFormat="1" ht="40.15" hidden="1" customHeight="1">
      <c r="A40" s="164"/>
      <c r="B40" s="165"/>
      <c r="C40" s="164"/>
      <c r="D40" s="164"/>
      <c r="E40" s="164"/>
      <c r="F40" s="164"/>
      <c r="G40" s="164"/>
      <c r="H40" s="164"/>
      <c r="I40" s="164"/>
      <c r="J40" s="164"/>
    </row>
    <row r="41" spans="1:13" s="167" customFormat="1" ht="40.15" hidden="1" customHeight="1">
      <c r="A41" s="164"/>
      <c r="B41" s="165"/>
      <c r="C41" s="164"/>
      <c r="D41" s="164"/>
      <c r="E41" s="164"/>
      <c r="F41" s="164"/>
      <c r="G41" s="164"/>
      <c r="H41" s="164"/>
      <c r="I41" s="164"/>
      <c r="J41" s="164"/>
    </row>
    <row r="42" spans="1:13" s="167" customFormat="1" ht="40.15" hidden="1" customHeight="1">
      <c r="A42" s="164"/>
      <c r="B42" s="165"/>
      <c r="C42" s="164"/>
      <c r="D42" s="164"/>
      <c r="E42" s="164"/>
      <c r="F42" s="164"/>
      <c r="G42" s="164"/>
      <c r="H42" s="164"/>
      <c r="I42" s="164"/>
      <c r="J42" s="164"/>
    </row>
    <row r="43" spans="1:13" s="167" customFormat="1" ht="40.15" hidden="1" customHeight="1">
      <c r="A43" s="164"/>
      <c r="B43" s="165"/>
      <c r="C43" s="164"/>
      <c r="D43" s="164"/>
      <c r="E43" s="164"/>
      <c r="F43" s="164"/>
      <c r="G43" s="164"/>
      <c r="H43" s="164"/>
      <c r="I43" s="164"/>
      <c r="J43" s="164"/>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1"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R52"/>
  <sheetViews>
    <sheetView view="pageBreakPreview" zoomScale="85" zoomScaleNormal="100" zoomScaleSheetLayoutView="85" workbookViewId="0">
      <selection activeCell="A13" sqref="A13:XFD26"/>
    </sheetView>
  </sheetViews>
  <sheetFormatPr defaultColWidth="8.88671875" defaultRowHeight="14.25"/>
  <cols>
    <col min="1" max="1" width="11.34375" style="73" customWidth="1"/>
    <col min="2" max="2" width="28.65234375" style="73" customWidth="1"/>
    <col min="3" max="3" width="39.05859375" style="219" bestFit="1" customWidth="1"/>
    <col min="4" max="4" width="10.7578125" style="248" customWidth="1"/>
    <col min="5" max="5" width="7.25" style="78" customWidth="1"/>
    <col min="6" max="7" width="22.8046875" style="247" customWidth="1"/>
    <col min="8" max="8" width="49.3515625" style="73" customWidth="1"/>
    <col min="9" max="10" width="8.88671875" style="219"/>
    <col min="11" max="16384" width="8.88671875" style="73"/>
  </cols>
  <sheetData>
    <row r="1" spans="1:10" s="214" customFormat="1">
      <c r="C1" s="215"/>
      <c r="D1" s="216"/>
      <c r="E1" s="217"/>
      <c r="G1" s="73"/>
      <c r="H1" s="151"/>
      <c r="I1" s="215"/>
      <c r="J1" s="215"/>
    </row>
    <row r="2" spans="1:10" s="214" customFormat="1">
      <c r="C2" s="215"/>
      <c r="D2" s="216"/>
      <c r="E2" s="217"/>
      <c r="G2" s="73"/>
      <c r="H2" s="151"/>
      <c r="I2" s="215"/>
      <c r="J2" s="215"/>
    </row>
    <row r="3" spans="1:10" s="214" customFormat="1">
      <c r="C3" s="215"/>
      <c r="D3" s="216"/>
      <c r="E3" s="217"/>
      <c r="G3" s="73"/>
      <c r="H3" s="151"/>
      <c r="I3" s="215"/>
      <c r="J3" s="215"/>
    </row>
    <row r="4" spans="1:10" s="214" customFormat="1">
      <c r="C4" s="215"/>
      <c r="D4" s="216"/>
      <c r="E4" s="217"/>
      <c r="G4" s="73"/>
      <c r="H4" s="151"/>
      <c r="I4" s="215"/>
      <c r="J4" s="215"/>
    </row>
    <row r="5" spans="1:10" s="214" customFormat="1">
      <c r="C5" s="215"/>
      <c r="D5" s="216"/>
      <c r="E5" s="217"/>
      <c r="G5" s="218"/>
      <c r="H5" s="151"/>
      <c r="I5" s="215"/>
      <c r="J5" s="215"/>
    </row>
    <row r="6" spans="1:10" ht="35.25" customHeight="1">
      <c r="A6" s="480" t="s">
        <v>180</v>
      </c>
      <c r="B6" s="480"/>
      <c r="C6" s="480"/>
      <c r="D6" s="480"/>
      <c r="E6" s="480"/>
      <c r="F6" s="480"/>
      <c r="G6" s="480"/>
      <c r="H6" s="480"/>
    </row>
    <row r="7" spans="1:10" s="141" customFormat="1" ht="20.25" customHeight="1" thickBot="1">
      <c r="A7" s="220" t="s">
        <v>181</v>
      </c>
      <c r="B7" s="342" t="str">
        <f>'Commercial Invoice'!H5</f>
        <v>OM4-DE-IS-0008</v>
      </c>
      <c r="C7" s="343"/>
      <c r="D7" s="344"/>
      <c r="E7" s="345"/>
      <c r="F7" s="222"/>
      <c r="G7" s="222"/>
      <c r="I7" s="221"/>
      <c r="J7" s="221"/>
    </row>
    <row r="8" spans="1:10" s="224" customFormat="1" ht="21.95" customHeight="1">
      <c r="A8" s="510" t="s">
        <v>182</v>
      </c>
      <c r="B8" s="512" t="s">
        <v>183</v>
      </c>
      <c r="C8" s="512" t="s">
        <v>184</v>
      </c>
      <c r="D8" s="514" t="s">
        <v>185</v>
      </c>
      <c r="E8" s="515"/>
      <c r="F8" s="516" t="s">
        <v>186</v>
      </c>
      <c r="G8" s="517"/>
      <c r="H8" s="518" t="s">
        <v>187</v>
      </c>
      <c r="I8" s="223"/>
      <c r="J8" s="223"/>
    </row>
    <row r="9" spans="1:10" s="224" customFormat="1" ht="21.95" customHeight="1">
      <c r="A9" s="511"/>
      <c r="B9" s="513"/>
      <c r="C9" s="513"/>
      <c r="D9" s="346" t="s">
        <v>188</v>
      </c>
      <c r="E9" s="347" t="s">
        <v>189</v>
      </c>
      <c r="F9" s="225" t="s">
        <v>190</v>
      </c>
      <c r="G9" s="225" t="s">
        <v>191</v>
      </c>
      <c r="H9" s="519"/>
      <c r="I9" s="223"/>
      <c r="J9" s="223"/>
    </row>
    <row r="10" spans="1:10" s="231" customFormat="1" ht="208.15" customHeight="1">
      <c r="A10" s="226">
        <v>1</v>
      </c>
      <c r="B10" s="348" t="str">
        <f>'PL(2_2)'!C15</f>
        <v>OM4-DE-IS-0008-001</v>
      </c>
      <c r="C10" s="349" t="str">
        <f>'PL(2_2)'!D15</f>
        <v>PVC Bond</v>
      </c>
      <c r="D10" s="350">
        <f>'PL(2_2)'!F15</f>
        <v>260</v>
      </c>
      <c r="E10" s="351" t="str">
        <f>'PL(2_2)'!G15</f>
        <v>EA</v>
      </c>
      <c r="F10" s="227"/>
      <c r="G10" s="227"/>
      <c r="H10" s="228"/>
      <c r="I10" s="229"/>
      <c r="J10" s="230"/>
    </row>
    <row r="11" spans="1:10" ht="208.15" customHeight="1">
      <c r="A11" s="226">
        <v>2</v>
      </c>
      <c r="B11" s="348" t="str">
        <f>'PL(2_2)'!C16</f>
        <v>OM4-DE-IS-0008-002</v>
      </c>
      <c r="C11" s="349" t="str">
        <f>'PL(2_2)'!D16</f>
        <v>PVC Bond</v>
      </c>
      <c r="D11" s="350">
        <f>'PL(2_2)'!F16</f>
        <v>240</v>
      </c>
      <c r="E11" s="351" t="str">
        <f>'PL(2_2)'!G16</f>
        <v>EA</v>
      </c>
      <c r="F11" s="232"/>
      <c r="G11" s="232"/>
      <c r="H11" s="228"/>
    </row>
    <row r="12" spans="1:10" ht="208.15" customHeight="1" thickBot="1">
      <c r="A12" s="226">
        <v>3</v>
      </c>
      <c r="B12" s="348" t="str">
        <f>'PL(2_2)'!C17</f>
        <v>OM4-DE-IS-0008-003</v>
      </c>
      <c r="C12" s="349" t="str">
        <f>'PL(2_2)'!D17</f>
        <v>PVC Bond</v>
      </c>
      <c r="D12" s="350">
        <f>'PL(2_2)'!F17</f>
        <v>100</v>
      </c>
      <c r="E12" s="351" t="str">
        <f>'PL(2_2)'!G17</f>
        <v>EA</v>
      </c>
      <c r="F12" s="233"/>
      <c r="G12" s="233"/>
      <c r="H12" s="228"/>
    </row>
    <row r="13" spans="1:10" s="234" customFormat="1" ht="29.25" customHeight="1">
      <c r="D13" s="235"/>
      <c r="E13" s="236"/>
      <c r="F13" s="237"/>
      <c r="G13" s="238"/>
      <c r="H13" s="239"/>
      <c r="I13" s="240"/>
      <c r="J13" s="240"/>
    </row>
    <row r="14" spans="1:10" s="214" customFormat="1" ht="12" customHeight="1">
      <c r="B14" s="217"/>
      <c r="D14" s="241"/>
      <c r="E14" s="217"/>
      <c r="F14" s="242"/>
      <c r="G14" s="242"/>
      <c r="H14" s="243"/>
      <c r="I14" s="215"/>
      <c r="J14" s="215"/>
    </row>
    <row r="15" spans="1:10" s="214" customFormat="1" ht="18" customHeight="1">
      <c r="B15" s="217"/>
      <c r="D15" s="241"/>
      <c r="E15" s="217"/>
      <c r="F15" s="242"/>
      <c r="G15" s="242"/>
      <c r="H15" s="243"/>
      <c r="I15" s="215"/>
      <c r="J15" s="215"/>
    </row>
    <row r="16" spans="1:10" s="214" customFormat="1" ht="12" customHeight="1">
      <c r="B16" s="217"/>
      <c r="D16" s="241"/>
      <c r="E16" s="217"/>
      <c r="F16" s="242"/>
      <c r="G16" s="242"/>
      <c r="H16" s="243"/>
      <c r="I16" s="215"/>
      <c r="J16" s="215"/>
    </row>
    <row r="17" spans="2:10" s="214" customFormat="1" ht="12" customHeight="1">
      <c r="B17" s="217"/>
      <c r="D17" s="241"/>
      <c r="E17" s="217"/>
      <c r="F17" s="242"/>
      <c r="G17" s="242"/>
      <c r="H17" s="243"/>
      <c r="I17" s="215"/>
      <c r="J17" s="215"/>
    </row>
    <row r="18" spans="2:10" s="214" customFormat="1" ht="12" customHeight="1">
      <c r="B18" s="217"/>
      <c r="D18" s="241"/>
      <c r="E18" s="217"/>
      <c r="F18" s="242"/>
      <c r="G18" s="242"/>
      <c r="H18" s="243"/>
      <c r="I18" s="215"/>
      <c r="J18" s="215"/>
    </row>
    <row r="19" spans="2:10" s="214" customFormat="1" ht="12" customHeight="1">
      <c r="B19" s="217"/>
      <c r="D19" s="241"/>
      <c r="E19" s="217"/>
      <c r="F19" s="242"/>
      <c r="G19" s="242"/>
      <c r="H19" s="243"/>
      <c r="I19" s="215"/>
      <c r="J19" s="215"/>
    </row>
    <row r="20" spans="2:10" s="214" customFormat="1" ht="12" customHeight="1">
      <c r="B20" s="217"/>
      <c r="D20" s="241"/>
      <c r="E20" s="217"/>
      <c r="F20" s="242"/>
      <c r="G20" s="242"/>
      <c r="H20" s="243"/>
      <c r="I20" s="215"/>
      <c r="J20" s="215"/>
    </row>
    <row r="21" spans="2:10" s="214" customFormat="1" ht="13.5" customHeight="1">
      <c r="B21" s="217"/>
      <c r="D21" s="241"/>
      <c r="E21" s="217"/>
      <c r="F21" s="242"/>
      <c r="G21" s="242"/>
      <c r="H21" s="243"/>
      <c r="I21" s="215"/>
      <c r="J21" s="215"/>
    </row>
    <row r="22" spans="2:10" s="214" customFormat="1" ht="13.5" customHeight="1">
      <c r="B22" s="217"/>
      <c r="D22" s="241"/>
      <c r="E22" s="217"/>
      <c r="F22" s="242"/>
      <c r="G22" s="242"/>
      <c r="H22" s="243"/>
      <c r="I22" s="215"/>
      <c r="J22" s="215"/>
    </row>
    <row r="23" spans="2:10" s="214" customFormat="1" ht="13.5" customHeight="1">
      <c r="B23" s="217"/>
      <c r="D23" s="241"/>
      <c r="E23" s="217"/>
      <c r="F23" s="242"/>
      <c r="G23" s="242"/>
      <c r="H23" s="243"/>
      <c r="I23" s="215"/>
      <c r="J23" s="215"/>
    </row>
    <row r="24" spans="2:10" s="214" customFormat="1" ht="29.25" customHeight="1">
      <c r="B24" s="217"/>
      <c r="D24" s="241"/>
      <c r="E24" s="217"/>
      <c r="F24" s="242"/>
      <c r="G24" s="242"/>
      <c r="H24" s="243"/>
      <c r="I24" s="215"/>
      <c r="J24" s="215"/>
    </row>
    <row r="25" spans="2:10" s="214" customFormat="1" ht="13.5" customHeight="1">
      <c r="B25" s="217"/>
      <c r="D25" s="241"/>
      <c r="E25" s="217"/>
      <c r="F25" s="242"/>
      <c r="G25" s="242"/>
      <c r="H25" s="243"/>
      <c r="I25" s="215"/>
      <c r="J25" s="215"/>
    </row>
    <row r="26" spans="2:10" s="214" customFormat="1" ht="13.5" customHeight="1">
      <c r="B26" s="217"/>
      <c r="D26" s="241"/>
      <c r="E26" s="217"/>
      <c r="F26" s="242"/>
      <c r="G26" s="242"/>
      <c r="H26" s="243"/>
      <c r="I26" s="215"/>
      <c r="J26" s="215"/>
    </row>
    <row r="27" spans="2:10" s="214" customFormat="1" ht="13.5" customHeight="1">
      <c r="B27" s="217"/>
      <c r="D27" s="241"/>
      <c r="E27" s="217"/>
      <c r="F27" s="242"/>
      <c r="G27" s="242"/>
      <c r="H27" s="243"/>
      <c r="I27" s="215"/>
      <c r="J27" s="215"/>
    </row>
    <row r="28" spans="2:10" s="214" customFormat="1" ht="13.5" customHeight="1">
      <c r="B28" s="217"/>
      <c r="D28" s="241"/>
      <c r="E28" s="217"/>
      <c r="F28" s="242"/>
      <c r="G28" s="242"/>
      <c r="H28" s="243"/>
      <c r="I28" s="215"/>
      <c r="J28" s="215"/>
    </row>
    <row r="29" spans="2:10" s="214" customFormat="1" ht="13.5" customHeight="1">
      <c r="B29" s="217"/>
      <c r="D29" s="241"/>
      <c r="E29" s="217"/>
      <c r="F29" s="242"/>
      <c r="G29" s="242"/>
      <c r="H29" s="243"/>
      <c r="I29" s="215"/>
      <c r="J29" s="215"/>
    </row>
    <row r="30" spans="2:10" s="214" customFormat="1" ht="13.5" customHeight="1">
      <c r="B30" s="217"/>
      <c r="D30" s="241"/>
      <c r="E30" s="217"/>
      <c r="F30" s="242"/>
      <c r="G30" s="242"/>
      <c r="H30" s="243"/>
      <c r="I30" s="215"/>
      <c r="J30" s="215"/>
    </row>
    <row r="31" spans="2:10" s="214" customFormat="1" ht="13.5" customHeight="1">
      <c r="B31" s="217"/>
      <c r="D31" s="241"/>
      <c r="E31" s="217"/>
      <c r="F31" s="242"/>
      <c r="G31" s="242"/>
      <c r="H31" s="243"/>
      <c r="I31" s="215"/>
      <c r="J31" s="215"/>
    </row>
    <row r="32" spans="2:10" s="214" customFormat="1" ht="13.5" customHeight="1">
      <c r="B32" s="217"/>
      <c r="D32" s="241"/>
      <c r="E32" s="217"/>
      <c r="F32" s="242"/>
      <c r="G32" s="242"/>
      <c r="H32" s="243"/>
      <c r="I32" s="215"/>
      <c r="J32" s="215"/>
    </row>
    <row r="33" spans="2:10" s="214" customFormat="1" ht="13.5" customHeight="1">
      <c r="B33" s="217"/>
      <c r="D33" s="241"/>
      <c r="E33" s="217"/>
      <c r="F33" s="242"/>
      <c r="G33" s="242"/>
      <c r="H33" s="243"/>
      <c r="I33" s="215"/>
      <c r="J33" s="215"/>
    </row>
    <row r="34" spans="2:10" s="214" customFormat="1" ht="13.5" customHeight="1">
      <c r="B34" s="217"/>
      <c r="D34" s="241"/>
      <c r="E34" s="217"/>
      <c r="F34" s="242"/>
      <c r="G34" s="242"/>
      <c r="H34" s="243"/>
      <c r="I34" s="215"/>
      <c r="J34" s="215"/>
    </row>
    <row r="35" spans="2:10" s="214" customFormat="1" ht="13.5" customHeight="1">
      <c r="B35" s="217"/>
      <c r="D35" s="241"/>
      <c r="E35" s="217"/>
      <c r="F35" s="242"/>
      <c r="G35" s="242"/>
      <c r="H35" s="243"/>
      <c r="I35" s="215"/>
      <c r="J35" s="215"/>
    </row>
    <row r="36" spans="2:10" s="214" customFormat="1" ht="13.5" customHeight="1">
      <c r="B36" s="217"/>
      <c r="D36" s="241"/>
      <c r="E36" s="217"/>
      <c r="F36" s="242"/>
      <c r="G36" s="242"/>
      <c r="H36" s="243"/>
      <c r="I36" s="215"/>
      <c r="J36" s="215"/>
    </row>
    <row r="37" spans="2:10" s="214" customFormat="1" ht="13.5" customHeight="1">
      <c r="B37" s="217"/>
      <c r="D37" s="241"/>
      <c r="E37" s="217"/>
      <c r="F37" s="242"/>
      <c r="G37" s="242"/>
      <c r="H37" s="243"/>
      <c r="I37" s="215"/>
      <c r="J37" s="215"/>
    </row>
    <row r="38" spans="2:10" s="214" customFormat="1" ht="13.5" customHeight="1">
      <c r="B38" s="217"/>
      <c r="D38" s="241"/>
      <c r="E38" s="217"/>
      <c r="F38" s="242"/>
      <c r="G38" s="242"/>
      <c r="H38" s="243"/>
      <c r="I38" s="215"/>
      <c r="J38" s="215"/>
    </row>
    <row r="39" spans="2:10" s="214" customFormat="1" ht="13.5" customHeight="1">
      <c r="B39" s="217"/>
      <c r="D39" s="241"/>
      <c r="E39" s="217"/>
      <c r="F39" s="242"/>
      <c r="G39" s="242"/>
      <c r="H39" s="243"/>
      <c r="I39" s="215"/>
      <c r="J39" s="215"/>
    </row>
    <row r="40" spans="2:10" s="214" customFormat="1" ht="13.5" customHeight="1">
      <c r="B40" s="217"/>
      <c r="D40" s="241"/>
      <c r="E40" s="217"/>
      <c r="F40" s="242"/>
      <c r="G40" s="242"/>
      <c r="H40" s="243"/>
      <c r="I40" s="215"/>
      <c r="J40" s="215"/>
    </row>
    <row r="41" spans="2:10" s="214" customFormat="1" ht="13.5" customHeight="1">
      <c r="B41" s="217"/>
      <c r="D41" s="241"/>
      <c r="E41" s="217"/>
      <c r="F41" s="242"/>
      <c r="G41" s="242"/>
      <c r="H41" s="243"/>
      <c r="I41" s="215"/>
      <c r="J41" s="215"/>
    </row>
    <row r="42" spans="2:10" s="214" customFormat="1" ht="13.5" customHeight="1">
      <c r="B42" s="217"/>
      <c r="D42" s="241"/>
      <c r="E42" s="217"/>
      <c r="F42" s="242"/>
      <c r="G42" s="242"/>
      <c r="H42" s="243"/>
      <c r="I42" s="215"/>
      <c r="J42" s="215"/>
    </row>
    <row r="43" spans="2:10" s="214" customFormat="1" ht="13.5" customHeight="1">
      <c r="B43" s="217"/>
      <c r="D43" s="241"/>
      <c r="E43" s="217"/>
      <c r="F43" s="242"/>
      <c r="G43" s="242"/>
      <c r="H43" s="243"/>
      <c r="I43" s="215"/>
      <c r="J43" s="215"/>
    </row>
    <row r="44" spans="2:10" s="214" customFormat="1" ht="13.5" customHeight="1">
      <c r="B44" s="217"/>
      <c r="D44" s="241"/>
      <c r="E44" s="217"/>
      <c r="F44" s="242"/>
      <c r="G44" s="242"/>
      <c r="H44" s="243"/>
      <c r="I44" s="215"/>
      <c r="J44" s="215"/>
    </row>
    <row r="45" spans="2:10" s="214" customFormat="1" ht="13.5" customHeight="1">
      <c r="B45" s="217"/>
      <c r="D45" s="244"/>
      <c r="E45" s="217"/>
      <c r="F45" s="242"/>
      <c r="G45" s="242"/>
      <c r="H45" s="243"/>
      <c r="I45" s="215"/>
      <c r="J45" s="215"/>
    </row>
    <row r="46" spans="2:10" s="214" customFormat="1" ht="22.5" customHeight="1">
      <c r="B46" s="509"/>
      <c r="C46" s="509"/>
      <c r="D46" s="244"/>
      <c r="E46" s="217"/>
      <c r="F46" s="245"/>
      <c r="G46" s="245"/>
      <c r="H46" s="243"/>
      <c r="I46" s="215"/>
      <c r="J46" s="215"/>
    </row>
    <row r="47" spans="2:10">
      <c r="D47" s="246"/>
    </row>
    <row r="48" spans="2:10">
      <c r="D48" s="246"/>
    </row>
    <row r="49" spans="1:18" s="219" customFormat="1">
      <c r="A49" s="73"/>
      <c r="B49" s="73"/>
      <c r="D49" s="246"/>
      <c r="E49" s="78"/>
      <c r="F49" s="247"/>
      <c r="G49" s="247"/>
      <c r="H49" s="73"/>
      <c r="K49" s="73"/>
      <c r="L49" s="73"/>
      <c r="M49" s="73"/>
      <c r="N49" s="73"/>
      <c r="O49" s="73"/>
      <c r="P49" s="73"/>
      <c r="Q49" s="73"/>
      <c r="R49" s="73"/>
    </row>
    <row r="50" spans="1:18" s="219" customFormat="1">
      <c r="A50" s="73"/>
      <c r="B50" s="73"/>
      <c r="D50" s="246"/>
      <c r="E50" s="78"/>
      <c r="F50" s="247"/>
      <c r="G50" s="247"/>
      <c r="H50" s="73"/>
      <c r="K50" s="73"/>
      <c r="L50" s="73"/>
      <c r="M50" s="73"/>
      <c r="N50" s="73"/>
      <c r="O50" s="73"/>
      <c r="P50" s="73"/>
      <c r="Q50" s="73"/>
      <c r="R50" s="73"/>
    </row>
    <row r="51" spans="1:18" s="219" customFormat="1">
      <c r="A51" s="73"/>
      <c r="B51" s="73"/>
      <c r="D51" s="246"/>
      <c r="E51" s="78"/>
      <c r="F51" s="247"/>
      <c r="G51" s="247"/>
      <c r="H51" s="73"/>
      <c r="K51" s="73"/>
      <c r="L51" s="73"/>
      <c r="M51" s="73"/>
      <c r="N51" s="73"/>
      <c r="O51" s="73"/>
      <c r="P51" s="73"/>
      <c r="Q51" s="73"/>
      <c r="R51" s="73"/>
    </row>
    <row r="52" spans="1:18" s="219" customFormat="1">
      <c r="A52" s="73"/>
      <c r="B52" s="73"/>
      <c r="D52" s="246"/>
      <c r="E52" s="78"/>
      <c r="F52" s="247"/>
      <c r="G52" s="247"/>
      <c r="H52" s="73"/>
      <c r="K52" s="73"/>
      <c r="L52" s="73"/>
      <c r="M52" s="73"/>
      <c r="N52" s="73"/>
      <c r="O52" s="73"/>
      <c r="P52" s="73"/>
      <c r="Q52" s="73"/>
      <c r="R52" s="73"/>
    </row>
  </sheetData>
  <protectedRanges>
    <protectedRange sqref="F13 C10:H12" name="범위1_1"/>
  </protectedRanges>
  <autoFilter ref="A8:H12" xr:uid="{00000000-0009-0000-0000-000016000000}"/>
  <mergeCells count="8">
    <mergeCell ref="B46:C46"/>
    <mergeCell ref="A6:H6"/>
    <mergeCell ref="A8:A9"/>
    <mergeCell ref="B8:B9"/>
    <mergeCell ref="C8:C9"/>
    <mergeCell ref="D8:E8"/>
    <mergeCell ref="F8:G8"/>
    <mergeCell ref="H8:H9"/>
  </mergeCells>
  <phoneticPr fontId="34"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
  <sheetViews>
    <sheetView workbookViewId="0">
      <selection activeCell="K32" sqref="K32"/>
    </sheetView>
  </sheetViews>
  <sheetFormatPr defaultRowHeight="13.5"/>
  <sheetData/>
  <phoneticPr fontId="34"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70C0"/>
  </sheetPr>
  <dimension ref="A1"/>
  <sheetViews>
    <sheetView workbookViewId="0">
      <selection activeCell="K19" sqref="K19"/>
    </sheetView>
  </sheetViews>
  <sheetFormatPr defaultRowHeight="13.5"/>
  <sheetData/>
  <phoneticPr fontId="34"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I3"/>
  <sheetViews>
    <sheetView workbookViewId="0">
      <selection activeCell="I17" sqref="I17"/>
    </sheetView>
  </sheetViews>
  <sheetFormatPr defaultRowHeight="13.5"/>
  <cols>
    <col min="9" max="9" width="80.80859375" customWidth="1"/>
  </cols>
  <sheetData>
    <row r="3" spans="9:9" ht="57">
      <c r="I3" s="180" t="s">
        <v>112</v>
      </c>
    </row>
  </sheetData>
  <phoneticPr fontId="34"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
  <sheetViews>
    <sheetView workbookViewId="0">
      <selection activeCell="L15" sqref="L15"/>
    </sheetView>
  </sheetViews>
  <sheetFormatPr defaultRowHeight="13.5"/>
  <sheetData>
    <row r="2" ht="24" customHeight="1"/>
  </sheetData>
  <phoneticPr fontId="34" type="noConversion"/>
  <pageMargins left="0.7" right="0.7" top="0.75" bottom="0.75" header="0.3" footer="0.3"/>
  <drawing r:id="rId1"/>
</worksheet>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13</vt:i4>
      </vt:variant>
      <vt:variant>
        <vt:lpstr>Phạm vi Có tên</vt:lpstr>
      </vt:variant>
      <vt:variant>
        <vt:i4>14</vt:i4>
      </vt:variant>
    </vt:vector>
  </HeadingPairs>
  <TitlesOfParts>
    <vt:vector size="27" baseType="lpstr">
      <vt:lpstr>Detailed PL</vt:lpstr>
      <vt:lpstr>Commercial Invoice</vt:lpstr>
      <vt:lpstr>Break Down CI</vt:lpstr>
      <vt:lpstr>Packing List (1_2)</vt:lpstr>
      <vt:lpstr>PL(2_2)</vt:lpstr>
      <vt:lpstr>SHIPPING MARK (001)</vt:lpstr>
      <vt:lpstr>SHIPPING MARK (002)</vt:lpstr>
      <vt:lpstr>SHIPPING MARK (003)</vt:lpstr>
      <vt:lpstr>Technical Description</vt:lpstr>
      <vt:lpstr>CO</vt:lpstr>
      <vt:lpstr>CQ</vt:lpstr>
      <vt:lpstr>BL</vt:lpstr>
      <vt:lpstr>PSIC</vt:lpstr>
      <vt:lpstr>PSIC!_Hlk215568700</vt:lpstr>
      <vt:lpstr>Break Down CI!Print_Titles</vt:lpstr>
      <vt:lpstr>Detailed PL!Print_Titles</vt:lpstr>
      <vt:lpstr>PL(2_2)!Print_Titles</vt:lpstr>
      <vt:lpstr>Technical Description!Print_Titles</vt:lpstr>
      <vt:lpstr>Break Down CI!Vùng_In</vt:lpstr>
      <vt:lpstr>Commercial Invoice!Vùng_In</vt:lpstr>
      <vt:lpstr>Detailed PL!Vùng_In</vt:lpstr>
      <vt:lpstr>Packing List (1_2)!Vùng_In</vt:lpstr>
      <vt:lpstr>PL(2_2)!Vùng_In</vt:lpstr>
      <vt:lpstr>SHIPPING MARK (001)!Vùng_In</vt:lpstr>
      <vt:lpstr>SHIPPING MARK (002)!Vùng_In</vt:lpstr>
      <vt:lpstr>SHIPPING MARK (003)!Vùng_In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차수민(Soomin Cha) 선임 두산에너빌리티</cp:lastModifiedBy>
  <cp:lastPrinted>2026-04-22T02:06:20Z</cp:lastPrinted>
  <dcterms:created xsi:type="dcterms:W3CDTF">2025-07-09T09:39:20Z</dcterms:created>
  <dcterms:modified xsi:type="dcterms:W3CDTF">2026-05-21T02:08:08Z</dcterms:modified>
</cp:coreProperties>
</file>