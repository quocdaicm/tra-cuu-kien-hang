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3"/>
  <workbookPr/>
  <mc:AlternateContent xmlns:mc="http://schemas.openxmlformats.org/markup-compatibility/2006">
    <mc:Choice Requires="x15">
      <x15ac:absPath xmlns:x15ac="http://schemas.microsoft.com/office/spreadsheetml/2010/11/ac" url="D:\Documents\Downloads\OM4-DE-IS-0009, 0010\"/>
    </mc:Choice>
  </mc:AlternateContent>
  <xr:revisionPtr revIDLastSave="0" documentId="13_ncr:1_{6B0D266F-6ED5-4EE1-A28B-3B7D7C45670E}" xr6:coauthVersionLast="47" xr6:coauthVersionMax="47" xr10:uidLastSave="{00000000-0000-0000-0000-000000000000}"/>
  <bookViews>
    <workbookView xWindow="-11520" yWindow="-21720" windowWidth="51840" windowHeight="21120" tabRatio="667" xr2:uid="{00000000-000D-0000-FFFF-FFFF00000000}"/>
  </bookViews>
  <sheets>
    <sheet name="Break Down CI" sheetId="2" r:id="rId1"/>
    <sheet name="Detailed PL" sheetId="5" r:id="rId2"/>
    <sheet name="Commercial Invoice" sheetId="1" r:id="rId3"/>
    <sheet name="Packing List (1_2)" sheetId="3" r:id="rId4"/>
    <sheet name="PL(2_2)" sheetId="4" r:id="rId5"/>
    <sheet name="SHIPPING MARK (001)" sheetId="12" r:id="rId6"/>
    <sheet name="SHIPPING MARK (2)" sheetId="14" r:id="rId7"/>
    <sheet name="Technical Description" sheetId="13" r:id="rId8"/>
    <sheet name="CO" sheetId="6" r:id="rId9"/>
    <sheet name="CQ" sheetId="10" r:id="rId10"/>
    <sheet name="BL" sheetId="7" r:id="rId11"/>
    <sheet name="PSIC" sheetId="11" r:id="rId12"/>
  </sheets>
  <externalReferences>
    <externalReference r:id="rId13"/>
    <externalReference r:id="rId14"/>
    <externalReference r:id="rId15"/>
    <externalReference r:id="rId16"/>
    <externalReference r:id="rId17"/>
    <externalReference r:id="rId18"/>
  </externalReferences>
  <definedNames>
    <definedName name="__123Graph_A" localSheetId="0" hidden="1">'[1]Eq. Mobilization'!#REF!</definedName>
    <definedName name="__123Graph_A" localSheetId="2" hidden="1">'[1]Eq. Mobilization'!#REF!</definedName>
    <definedName name="__123Graph_A" localSheetId="1" hidden="1">'[1]Eq. Mobilization'!#REF!</definedName>
    <definedName name="__123Graph_A" localSheetId="3" hidden="1">'[1]Eq. Mobilization'!#REF!</definedName>
    <definedName name="__123Graph_A" localSheetId="5" hidden="1">'[1]Eq. Mobilization'!#REF!</definedName>
    <definedName name="__123Graph_A" localSheetId="6" hidden="1">'[1]Eq. Mobilization'!#REF!</definedName>
    <definedName name="__123Graph_A" localSheetId="7" hidden="1">#REF!</definedName>
    <definedName name="__123Graph_A" hidden="1">'[1]Eq. Mobilization'!#REF!</definedName>
    <definedName name="__123Graph_ACurrent" localSheetId="0" hidden="1">'[1]Eq. Mobilization'!#REF!</definedName>
    <definedName name="__123Graph_ACurrent" localSheetId="2" hidden="1">'[1]Eq. Mobilization'!#REF!</definedName>
    <definedName name="__123Graph_ACurrent" localSheetId="1" hidden="1">'[1]Eq. Mobilization'!#REF!</definedName>
    <definedName name="__123Graph_ACurrent" localSheetId="3" hidden="1">'[1]Eq. Mobilization'!#REF!</definedName>
    <definedName name="__123Graph_ACurrent" localSheetId="5" hidden="1">'[1]Eq. Mobilization'!#REF!</definedName>
    <definedName name="__123Graph_ACurrent" localSheetId="6" hidden="1">'[1]Eq. Mobilization'!#REF!</definedName>
    <definedName name="__123Graph_ACurrent" localSheetId="7" hidden="1">#REF!</definedName>
    <definedName name="__123Graph_ACurrent" hidden="1">'[1]Eq. Mobilization'!#REF!</definedName>
    <definedName name="__123Graph_B" localSheetId="0" hidden="1">'[1]Eq. Mobilization'!#REF!</definedName>
    <definedName name="__123Graph_B" localSheetId="2" hidden="1">'[1]Eq. Mobilization'!#REF!</definedName>
    <definedName name="__123Graph_B" localSheetId="1" hidden="1">'[1]Eq. Mobilization'!#REF!</definedName>
    <definedName name="__123Graph_B" localSheetId="3" hidden="1">'[1]Eq. Mobilization'!#REF!</definedName>
    <definedName name="__123Graph_B" localSheetId="5" hidden="1">'[1]Eq. Mobilization'!#REF!</definedName>
    <definedName name="__123Graph_B" localSheetId="6" hidden="1">'[1]Eq. Mobilization'!#REF!</definedName>
    <definedName name="__123Graph_B" localSheetId="7" hidden="1">#REF!</definedName>
    <definedName name="__123Graph_B" hidden="1">'[1]Eq. Mobilization'!#REF!</definedName>
    <definedName name="__123Graph_BCurrent" localSheetId="0" hidden="1">'[1]Eq. Mobilization'!#REF!</definedName>
    <definedName name="__123Graph_BCurrent" localSheetId="2" hidden="1">'[1]Eq. Mobilization'!#REF!</definedName>
    <definedName name="__123Graph_BCurrent" localSheetId="1" hidden="1">'[1]Eq. Mobilization'!#REF!</definedName>
    <definedName name="__123Graph_BCurrent" localSheetId="3" hidden="1">'[1]Eq. Mobilization'!#REF!</definedName>
    <definedName name="__123Graph_BCurrent" localSheetId="5" hidden="1">'[1]Eq. Mobilization'!#REF!</definedName>
    <definedName name="__123Graph_BCurrent" localSheetId="6" hidden="1">'[1]Eq. Mobilization'!#REF!</definedName>
    <definedName name="__123Graph_BCurrent" localSheetId="7" hidden="1">#REF!</definedName>
    <definedName name="__123Graph_BCurrent" hidden="1">'[1]Eq. Mobilization'!#REF!</definedName>
    <definedName name="__123Graph_D" localSheetId="0" hidden="1">#REF!</definedName>
    <definedName name="__123Graph_D" localSheetId="2" hidden="1">#REF!</definedName>
    <definedName name="__123Graph_D" localSheetId="1" hidden="1">#REF!</definedName>
    <definedName name="__123Graph_D" localSheetId="3" hidden="1">#REF!</definedName>
    <definedName name="__123Graph_D" localSheetId="5" hidden="1">#REF!</definedName>
    <definedName name="__123Graph_D" localSheetId="6" hidden="1">#REF!</definedName>
    <definedName name="__123Graph_D" hidden="1">#REF!</definedName>
    <definedName name="__123Graph_E" localSheetId="0" hidden="1">#REF!</definedName>
    <definedName name="__123Graph_E" localSheetId="2" hidden="1">#REF!</definedName>
    <definedName name="__123Graph_E" localSheetId="3" hidden="1">#REF!</definedName>
    <definedName name="__123Graph_E" localSheetId="5" hidden="1">#REF!</definedName>
    <definedName name="__123Graph_E" localSheetId="6" hidden="1">#REF!</definedName>
    <definedName name="__123Graph_E" hidden="1">#REF!</definedName>
    <definedName name="__123Graph_LBL_A" localSheetId="0" hidden="1">'[1]Eq. Mobilization'!#REF!</definedName>
    <definedName name="__123Graph_LBL_A" localSheetId="2" hidden="1">'[1]Eq. Mobilization'!#REF!</definedName>
    <definedName name="__123Graph_LBL_A" localSheetId="1" hidden="1">'[1]Eq. Mobilization'!#REF!</definedName>
    <definedName name="__123Graph_LBL_A" localSheetId="3" hidden="1">'[1]Eq. Mobilization'!#REF!</definedName>
    <definedName name="__123Graph_LBL_A" localSheetId="5" hidden="1">'[1]Eq. Mobilization'!#REF!</definedName>
    <definedName name="__123Graph_LBL_A" localSheetId="6" hidden="1">'[1]Eq. Mobilization'!#REF!</definedName>
    <definedName name="__123Graph_LBL_A" localSheetId="7" hidden="1">#REF!</definedName>
    <definedName name="__123Graph_LBL_A" hidden="1">'[1]Eq. Mobilization'!#REF!</definedName>
    <definedName name="__123Graph_LBL_B" localSheetId="0" hidden="1">'[1]Eq. Mobilization'!#REF!</definedName>
    <definedName name="__123Graph_LBL_B" localSheetId="2" hidden="1">'[1]Eq. Mobilization'!#REF!</definedName>
    <definedName name="__123Graph_LBL_B" localSheetId="1" hidden="1">'[1]Eq. Mobilization'!#REF!</definedName>
    <definedName name="__123Graph_LBL_B" localSheetId="3" hidden="1">'[1]Eq. Mobilization'!#REF!</definedName>
    <definedName name="__123Graph_LBL_B" localSheetId="5" hidden="1">'[1]Eq. Mobilization'!#REF!</definedName>
    <definedName name="__123Graph_LBL_B" localSheetId="6" hidden="1">'[1]Eq. Mobilization'!#REF!</definedName>
    <definedName name="__123Graph_LBL_B" localSheetId="7" hidden="1">#REF!</definedName>
    <definedName name="__123Graph_LBL_B" hidden="1">'[1]Eq. Mobilization'!#REF!</definedName>
    <definedName name="__123Graph_X" localSheetId="0" hidden="1">'[1]Eq. Mobilization'!#REF!</definedName>
    <definedName name="__123Graph_X" localSheetId="2" hidden="1">'[1]Eq. Mobilization'!#REF!</definedName>
    <definedName name="__123Graph_X" localSheetId="1" hidden="1">'[1]Eq. Mobilization'!#REF!</definedName>
    <definedName name="__123Graph_X" localSheetId="3" hidden="1">'[1]Eq. Mobilization'!#REF!</definedName>
    <definedName name="__123Graph_X" localSheetId="5" hidden="1">'[1]Eq. Mobilization'!#REF!</definedName>
    <definedName name="__123Graph_X" localSheetId="6" hidden="1">'[1]Eq. Mobilization'!#REF!</definedName>
    <definedName name="__123Graph_X" localSheetId="7" hidden="1">#REF!</definedName>
    <definedName name="__123Graph_X" hidden="1">'[1]Eq. Mobilization'!#REF!</definedName>
    <definedName name="__123Graph_XCurrent" localSheetId="0" hidden="1">'[1]Eq. Mobilization'!#REF!</definedName>
    <definedName name="__123Graph_XCurrent" localSheetId="2" hidden="1">'[1]Eq. Mobilization'!#REF!</definedName>
    <definedName name="__123Graph_XCurrent" localSheetId="1" hidden="1">'[1]Eq. Mobilization'!#REF!</definedName>
    <definedName name="__123Graph_XCurrent" localSheetId="3" hidden="1">'[1]Eq. Mobilization'!#REF!</definedName>
    <definedName name="__123Graph_XCurrent" localSheetId="5" hidden="1">'[1]Eq. Mobilization'!#REF!</definedName>
    <definedName name="__123Graph_XCurrent" localSheetId="6" hidden="1">'[1]Eq. Mobilization'!#REF!</definedName>
    <definedName name="__123Graph_XCurrent" localSheetId="7" hidden="1">#REF!</definedName>
    <definedName name="__123Graph_XCurrent" hidden="1">'[1]Eq. Mobilization'!#REF!</definedName>
    <definedName name="_1__123Graph_AChart_1A" localSheetId="0" hidden="1">'[1]Eq. Mobilization'!#REF!</definedName>
    <definedName name="_1__123Graph_AChart_1A" localSheetId="2" hidden="1">'[1]Eq. Mobilization'!#REF!</definedName>
    <definedName name="_1__123Graph_AChart_1A" localSheetId="1" hidden="1">'[1]Eq. Mobilization'!#REF!</definedName>
    <definedName name="_1__123Graph_AChart_1A" localSheetId="3" hidden="1">'[1]Eq. Mobilization'!#REF!</definedName>
    <definedName name="_1__123Graph_AChart_1A" localSheetId="5" hidden="1">'[1]Eq. Mobilization'!#REF!</definedName>
    <definedName name="_1__123Graph_AChart_1A" localSheetId="6" hidden="1">'[1]Eq. Mobilization'!#REF!</definedName>
    <definedName name="_1__123Graph_AChart_1A" localSheetId="7" hidden="1">#REF!</definedName>
    <definedName name="_1__123Graph_AChart_1A" hidden="1">'[1]Eq. Mobilization'!#REF!</definedName>
    <definedName name="_2__123Graph_BChart_1A" localSheetId="0" hidden="1">'[1]Eq. Mobilization'!#REF!</definedName>
    <definedName name="_2__123Graph_BChart_1A" localSheetId="2" hidden="1">'[1]Eq. Mobilization'!#REF!</definedName>
    <definedName name="_2__123Graph_BChart_1A" localSheetId="1" hidden="1">'[1]Eq. Mobilization'!#REF!</definedName>
    <definedName name="_2__123Graph_BChart_1A" localSheetId="3" hidden="1">'[1]Eq. Mobilization'!#REF!</definedName>
    <definedName name="_2__123Graph_BChart_1A" localSheetId="5" hidden="1">'[1]Eq. Mobilization'!#REF!</definedName>
    <definedName name="_2__123Graph_BChart_1A" localSheetId="6" hidden="1">'[1]Eq. Mobilization'!#REF!</definedName>
    <definedName name="_2__123Graph_BChart_1A" localSheetId="7" hidden="1">#REF!</definedName>
    <definedName name="_2__123Graph_BChart_1A" hidden="1">'[1]Eq. Mobilization'!#REF!</definedName>
    <definedName name="_3__123Graph_XChart_1A" localSheetId="0" hidden="1">'[1]Eq. Mobilization'!#REF!</definedName>
    <definedName name="_3__123Graph_XChart_1A" localSheetId="2" hidden="1">'[1]Eq. Mobilization'!#REF!</definedName>
    <definedName name="_3__123Graph_XChart_1A" localSheetId="1" hidden="1">'[1]Eq. Mobilization'!#REF!</definedName>
    <definedName name="_3__123Graph_XChart_1A" localSheetId="3" hidden="1">'[1]Eq. Mobilization'!#REF!</definedName>
    <definedName name="_3__123Graph_XChart_1A" localSheetId="5" hidden="1">'[1]Eq. Mobilization'!#REF!</definedName>
    <definedName name="_3__123Graph_XChart_1A" localSheetId="6" hidden="1">'[1]Eq. Mobilization'!#REF!</definedName>
    <definedName name="_3__123Graph_XChart_1A" localSheetId="7" hidden="1">#REF!</definedName>
    <definedName name="_3__123Graph_XChart_1A" hidden="1">'[1]Eq. Mobilization'!#REF!</definedName>
    <definedName name="_Fill" localSheetId="0" hidden="1">#REF!</definedName>
    <definedName name="_Fill" localSheetId="2" hidden="1">#REF!</definedName>
    <definedName name="_Fill" localSheetId="1" hidden="1">#REF!</definedName>
    <definedName name="_Fill" localSheetId="3" hidden="1">#REF!</definedName>
    <definedName name="_Fill" localSheetId="5" hidden="1">#REF!</definedName>
    <definedName name="_Fill" localSheetId="6" hidden="1">#REF!</definedName>
    <definedName name="_Fill" hidden="1">#REF!</definedName>
    <definedName name="_xlnm._FilterDatabase" localSheetId="0" hidden="1">'Break Down CI'!$A$8:$P$11</definedName>
    <definedName name="_xlnm._FilterDatabase" localSheetId="1" hidden="1">'Detailed PL'!$B$13:$AH$16</definedName>
    <definedName name="_xlnm._FilterDatabase" localSheetId="5" hidden="1">'SHIPPING MARK (001)'!$A$1:$A$24</definedName>
    <definedName name="_xlnm._FilterDatabase" localSheetId="6" hidden="1">'SHIPPING MARK (2)'!$A$1:$A$24</definedName>
    <definedName name="_xlnm._FilterDatabase" localSheetId="7" hidden="1">'Technical Description'!$A$8:$H$11</definedName>
    <definedName name="_Hlk215568700" localSheetId="11">PSIC!$B$2</definedName>
    <definedName name="_Key1" localSheetId="0" hidden="1">#REF!</definedName>
    <definedName name="_Key1" localSheetId="2" hidden="1">#REF!</definedName>
    <definedName name="_Key1" localSheetId="3" hidden="1">#REF!</definedName>
    <definedName name="_Key1" localSheetId="5" hidden="1">#REF!</definedName>
    <definedName name="_Key1" localSheetId="6" hidden="1">#REF!</definedName>
    <definedName name="_Key1" hidden="1">#REF!</definedName>
    <definedName name="_Key2" localSheetId="0" hidden="1">#REF!</definedName>
    <definedName name="_Key2" localSheetId="2" hidden="1">#REF!</definedName>
    <definedName name="_Key2" localSheetId="3" hidden="1">#REF!</definedName>
    <definedName name="_Key2" localSheetId="5" hidden="1">#REF!</definedName>
    <definedName name="_Key2" localSheetId="6" hidden="1">#REF!</definedName>
    <definedName name="_Key2" hidden="1">#REF!</definedName>
    <definedName name="_Order1" hidden="1">255</definedName>
    <definedName name="_Order2" hidden="1">255</definedName>
    <definedName name="_Parse_In" localSheetId="0" hidden="1">#REF!</definedName>
    <definedName name="_Parse_In" localSheetId="2" hidden="1">#REF!</definedName>
    <definedName name="_Parse_In" localSheetId="1" hidden="1">#REF!</definedName>
    <definedName name="_Parse_In" localSheetId="3" hidden="1">#REF!</definedName>
    <definedName name="_Parse_In" localSheetId="5" hidden="1">#REF!</definedName>
    <definedName name="_Parse_In" localSheetId="6" hidden="1">#REF!</definedName>
    <definedName name="_Parse_In" hidden="1">#REF!</definedName>
    <definedName name="_Parse_Out" localSheetId="0" hidden="1">#REF!</definedName>
    <definedName name="_Parse_Out" localSheetId="2" hidden="1">#REF!</definedName>
    <definedName name="_Parse_Out" localSheetId="3" hidden="1">#REF!</definedName>
    <definedName name="_Parse_Out" localSheetId="5" hidden="1">#REF!</definedName>
    <definedName name="_Parse_Out" localSheetId="6" hidden="1">#REF!</definedName>
    <definedName name="_Parse_Out" hidden="1">#REF!</definedName>
    <definedName name="_Sort" localSheetId="0" hidden="1">#REF!</definedName>
    <definedName name="_Sort" localSheetId="2" hidden="1">#REF!</definedName>
    <definedName name="_Sort" localSheetId="3" hidden="1">#REF!</definedName>
    <definedName name="_Sort" localSheetId="5" hidden="1">#REF!</definedName>
    <definedName name="_Sort" localSheetId="6" hidden="1">#REF!</definedName>
    <definedName name="_Sort" hidden="1">#REF!</definedName>
    <definedName name="A" localSheetId="0" hidden="1">#REF!</definedName>
    <definedName name="A" localSheetId="2" hidden="1">#REF!</definedName>
    <definedName name="A" localSheetId="3" hidden="1">#REF!</definedName>
    <definedName name="A" localSheetId="5" hidden="1">#REF!</definedName>
    <definedName name="A" localSheetId="6" hidden="1">#REF!</definedName>
    <definedName name="A" hidden="1">#REF!</definedName>
    <definedName name="ABC" localSheetId="0" hidden="1">'[2]Eq. Mobilization'!#REF!</definedName>
    <definedName name="ABC" localSheetId="2" hidden="1">'[2]Eq. Mobilization'!#REF!</definedName>
    <definedName name="ABC" localSheetId="1" hidden="1">'[2]Eq. Mobilization'!#REF!</definedName>
    <definedName name="ABC" localSheetId="3" hidden="1">'[2]Eq. Mobilization'!#REF!</definedName>
    <definedName name="ABC" localSheetId="5" hidden="1">'[2]Eq. Mobilization'!#REF!</definedName>
    <definedName name="ABC" localSheetId="6" hidden="1">'[2]Eq. Mobilization'!#REF!</definedName>
    <definedName name="ABC" localSheetId="7" hidden="1">#REF!</definedName>
    <definedName name="ABC" hidden="1">'[2]Eq. Mobilization'!#REF!</definedName>
    <definedName name="CO" localSheetId="0" hidden="1">'[3]Eq. Mobilization'!#REF!</definedName>
    <definedName name="CO" localSheetId="2" hidden="1">'[3]Eq. Mobilization'!#REF!</definedName>
    <definedName name="CO" localSheetId="1" hidden="1">'[3]Eq. Mobilization'!#REF!</definedName>
    <definedName name="CO" localSheetId="3" hidden="1">'[3]Eq. Mobilization'!#REF!</definedName>
    <definedName name="CO" localSheetId="5" hidden="1">'[3]Eq. Mobilization'!#REF!</definedName>
    <definedName name="CO" localSheetId="6" hidden="1">'[3]Eq. Mobilization'!#REF!</definedName>
    <definedName name="CO" localSheetId="7" hidden="1">#REF!</definedName>
    <definedName name="CO" hidden="1">'[3]Eq. Mobilization'!#REF!</definedName>
    <definedName name="e" localSheetId="5" hidden="1">'[1]Eq. Mobilization'!#REF!</definedName>
    <definedName name="e" localSheetId="6" hidden="1">'[1]Eq. Mobilization'!#REF!</definedName>
    <definedName name="e" localSheetId="7" hidden="1">#REF!</definedName>
    <definedName name="e" hidden="1">'[1]Eq. Mobilization'!#REF!</definedName>
    <definedName name="Ge" localSheetId="5" hidden="1">'[1]Eq. Mobilization'!#REF!</definedName>
    <definedName name="Ge" localSheetId="6" hidden="1">'[1]Eq. Mobilization'!#REF!</definedName>
    <definedName name="Ge" localSheetId="7" hidden="1">#REF!</definedName>
    <definedName name="Ge" hidden="1">'[1]Eq. Mobilization'!#REF!</definedName>
    <definedName name="iv2dt" localSheetId="0" hidden="1">'[1]Eq. Mobilization'!#REF!</definedName>
    <definedName name="iv2dt" localSheetId="2" hidden="1">'[1]Eq. Mobilization'!#REF!</definedName>
    <definedName name="iv2dt" localSheetId="1" hidden="1">'[1]Eq. Mobilization'!#REF!</definedName>
    <definedName name="iv2dt" localSheetId="3" hidden="1">'[1]Eq. Mobilization'!#REF!</definedName>
    <definedName name="iv2dt" localSheetId="5" hidden="1">'[1]Eq. Mobilization'!#REF!</definedName>
    <definedName name="iv2dt" localSheetId="6" hidden="1">'[1]Eq. Mobilization'!#REF!</definedName>
    <definedName name="iv2dt" localSheetId="7" hidden="1">#REF!</definedName>
    <definedName name="iv2dt" hidden="1">'[1]Eq. Mobilization'!#REF!</definedName>
    <definedName name="ivdt" localSheetId="0" hidden="1">'[1]Eq. Mobilization'!#REF!</definedName>
    <definedName name="ivdt" localSheetId="2" hidden="1">'[1]Eq. Mobilization'!#REF!</definedName>
    <definedName name="ivdt" localSheetId="1" hidden="1">'[1]Eq. Mobilization'!#REF!</definedName>
    <definedName name="ivdt" localSheetId="3" hidden="1">'[1]Eq. Mobilization'!#REF!</definedName>
    <definedName name="ivdt" localSheetId="5" hidden="1">'[1]Eq. Mobilization'!#REF!</definedName>
    <definedName name="ivdt" localSheetId="6" hidden="1">'[1]Eq. Mobilization'!#REF!</definedName>
    <definedName name="ivdt" localSheetId="7" hidden="1">#REF!</definedName>
    <definedName name="ivdt" hidden="1">'[1]Eq. Mobilization'!#REF!</definedName>
    <definedName name="KABOLINE" localSheetId="0" hidden="1">'[1]Eq. Mobilization'!#REF!</definedName>
    <definedName name="KABOLINE" localSheetId="2" hidden="1">'[1]Eq. Mobilization'!#REF!</definedName>
    <definedName name="KABOLINE" localSheetId="1" hidden="1">'[1]Eq. Mobilization'!#REF!</definedName>
    <definedName name="KABOLINE" localSheetId="3" hidden="1">'[1]Eq. Mobilization'!#REF!</definedName>
    <definedName name="KABOLINE" localSheetId="5" hidden="1">'[1]Eq. Mobilization'!#REF!</definedName>
    <definedName name="KABOLINE" localSheetId="6" hidden="1">'[1]Eq. Mobilization'!#REF!</definedName>
    <definedName name="KABOLINE" localSheetId="7" hidden="1">#REF!</definedName>
    <definedName name="KABOLINE" hidden="1">'[1]Eq. Mobilization'!#REF!</definedName>
    <definedName name="latent" localSheetId="7">#REF!</definedName>
    <definedName name="latent">'[4]steam table'!$N$5:$Q$102</definedName>
    <definedName name="_xlnm.Print_Titles" localSheetId="0">'Break Down CI'!$7:$7</definedName>
    <definedName name="_xlnm.Print_Titles" localSheetId="1">'Detailed PL'!$13:$14</definedName>
    <definedName name="_xlnm.Print_Titles" localSheetId="4">'PL(2_2)'!$13:$14</definedName>
    <definedName name="_xlnm.Print_Titles" localSheetId="7">'Technical Description'!$7:$8</definedName>
    <definedName name="SM" localSheetId="5" hidden="1">#REF!</definedName>
    <definedName name="SM" localSheetId="6" hidden="1">#REF!</definedName>
    <definedName name="SM" hidden="1">#REF!</definedName>
    <definedName name="tube_test_press1_12">#REF!</definedName>
    <definedName name="_xlnm.Print_Area" localSheetId="0">'Break Down CI'!$A$1:$O$12</definedName>
    <definedName name="_xlnm.Print_Area" localSheetId="2">'Commercial Invoice'!$A$1:$K$47</definedName>
    <definedName name="_xlnm.Print_Area" localSheetId="1">'Detailed PL'!$A$1:$U$19</definedName>
    <definedName name="_xlnm.Print_Area" localSheetId="3">'Packing List (1_2)'!$A$1:$K$48</definedName>
    <definedName name="_xlnm.Print_Area" localSheetId="4">'PL(2_2)'!$B$1:$T$17</definedName>
    <definedName name="_xlnm.Print_Area" localSheetId="5">'SHIPPING MARK (001)'!$A$1:$J$24</definedName>
    <definedName name="_xlnm.Print_Area" localSheetId="6">'SHIPPING MARK (2)'!$A$1:$J$24</definedName>
    <definedName name="_xlnm.Print_Area" localSheetId="7">'Technical Description'!$A$1:$H$11</definedName>
    <definedName name="weki_9701.xls" localSheetId="0" hidden="1">'[1]Eq. Mobilization'!#REF!</definedName>
    <definedName name="weki_9701.xls" localSheetId="2" hidden="1">'[1]Eq. Mobilization'!#REF!</definedName>
    <definedName name="weki_9701.xls" localSheetId="3" hidden="1">'[1]Eq. Mobilization'!#REF!</definedName>
    <definedName name="weki_9701.xls" localSheetId="5" hidden="1">'[1]Eq. Mobilization'!#REF!</definedName>
    <definedName name="weki_9701.xls" localSheetId="6" hidden="1">'[1]Eq. Mobilization'!#REF!</definedName>
    <definedName name="weki_9701.xls" localSheetId="7" hidden="1">#REF!</definedName>
    <definedName name="weki_9701.xls" hidden="1">'[1]Eq. Mobilization'!#REF!</definedName>
    <definedName name="wekir9701.xls" localSheetId="0" hidden="1">'[1]Eq. Mobilization'!#REF!</definedName>
    <definedName name="wekir9701.xls" localSheetId="2" hidden="1">'[1]Eq. Mobilization'!#REF!</definedName>
    <definedName name="wekir9701.xls" localSheetId="3" hidden="1">'[1]Eq. Mobilization'!#REF!</definedName>
    <definedName name="wekir9701.xls" localSheetId="5" hidden="1">'[1]Eq. Mobilization'!#REF!</definedName>
    <definedName name="wekir9701.xls" localSheetId="6" hidden="1">'[1]Eq. Mobilization'!#REF!</definedName>
    <definedName name="wekir9701.xls" localSheetId="7" hidden="1">#REF!</definedName>
    <definedName name="wekir9701.xls" hidden="1">'[1]Eq. Mobilization'!#REF!</definedName>
    <definedName name="X" localSheetId="0" hidden="1">'[2]Eq. Mobilization'!#REF!</definedName>
    <definedName name="X" localSheetId="2" hidden="1">'[2]Eq. Mobilization'!#REF!</definedName>
    <definedName name="X" localSheetId="3" hidden="1">'[2]Eq. Mobilization'!#REF!</definedName>
    <definedName name="X" localSheetId="5" hidden="1">'[2]Eq. Mobilization'!#REF!</definedName>
    <definedName name="X" localSheetId="6" hidden="1">'[2]Eq. Mobilization'!#REF!</definedName>
    <definedName name="X" localSheetId="7" hidden="1">#REF!</definedName>
    <definedName name="X" hidden="1">'[2]Eq. Mobilization'!#REF!</definedName>
    <definedName name="Z" localSheetId="0" hidden="1">'[2]Eq. Mobilization'!#REF!</definedName>
    <definedName name="Z" localSheetId="2" hidden="1">'[2]Eq. Mobilization'!#REF!</definedName>
    <definedName name="Z" localSheetId="3" hidden="1">'[2]Eq. Mobilization'!#REF!</definedName>
    <definedName name="Z" localSheetId="5" hidden="1">'[2]Eq. Mobilization'!#REF!</definedName>
    <definedName name="Z" localSheetId="6" hidden="1">'[2]Eq. Mobilization'!#REF!</definedName>
    <definedName name="Z" localSheetId="7" hidden="1">#REF!</definedName>
    <definedName name="Z" hidden="1">'[2]Eq. Mobilization'!#REF!</definedName>
    <definedName name="ㄴㅇㄹㅇㄹ" localSheetId="0" hidden="1">'[2]Eq. Mobilization'!#REF!</definedName>
    <definedName name="ㄴㅇㄹㅇㄹ" localSheetId="2" hidden="1">'[2]Eq. Mobilization'!#REF!</definedName>
    <definedName name="ㄴㅇㄹㅇㄹ" localSheetId="1" hidden="1">'[2]Eq. Mobilization'!#REF!</definedName>
    <definedName name="ㄴㅇㄹㅇㄹ" localSheetId="3" hidden="1">'[2]Eq. Mobilization'!#REF!</definedName>
    <definedName name="ㄴㅇㄹㅇㄹ" localSheetId="5" hidden="1">'[2]Eq. Mobilization'!#REF!</definedName>
    <definedName name="ㄴㅇㄹㅇㄹ" localSheetId="6" hidden="1">'[2]Eq. Mobilization'!#REF!</definedName>
    <definedName name="ㄴㅇㄹㅇㄹ" localSheetId="7" hidden="1">#REF!</definedName>
    <definedName name="ㄴㅇㄹㅇㄹ" hidden="1">'[2]Eq. Mobilization'!#REF!</definedName>
    <definedName name="느" localSheetId="5" hidden="1">'[1]Eq. Mobilization'!#REF!</definedName>
    <definedName name="느" localSheetId="6" hidden="1">'[1]Eq. Mobilization'!#REF!</definedName>
    <definedName name="느" localSheetId="7" hidden="1">#REF!</definedName>
    <definedName name="느" hidden="1">'[1]Eq. Mobilization'!#REF!</definedName>
    <definedName name="ㅊㅌㅍㅊㅍㅊㅌㅍㅊㅌㅍㅊㅌㅍㅊㅌㅍㅊㅌㅍ" localSheetId="0" hidden="1">'[5]Eq. Mobilization'!#REF!</definedName>
    <definedName name="ㅊㅌㅍㅊㅍㅊㅌㅍㅊㅌㅍㅊㅌㅍㅊㅌㅍㅊㅌㅍ" localSheetId="2" hidden="1">'[5]Eq. Mobilization'!#REF!</definedName>
    <definedName name="ㅊㅌㅍㅊㅍㅊㅌㅍㅊㅌㅍㅊㅌㅍㅊㅌㅍㅊㅌㅍ" localSheetId="1" hidden="1">'[5]Eq. Mobilization'!#REF!</definedName>
    <definedName name="ㅊㅌㅍㅊㅍㅊㅌㅍㅊㅌㅍㅊㅌㅍㅊㅌㅍㅊㅌㅍ" localSheetId="3" hidden="1">'[5]Eq. Mobilization'!#REF!</definedName>
    <definedName name="ㅊㅌㅍㅊㅍㅊㅌㅍㅊㅌㅍㅊㅌㅍㅊㅌㅍㅊㅌㅍ" localSheetId="5" hidden="1">'[5]Eq. Mobilization'!#REF!</definedName>
    <definedName name="ㅊㅌㅍㅊㅍㅊㅌㅍㅊㅌㅍㅊㅌㅍㅊㅌㅍㅊㅌㅍ" localSheetId="6" hidden="1">'[5]Eq. Mobilization'!#REF!</definedName>
    <definedName name="ㅊㅌㅍㅊㅍㅊㅌㅍㅊㅌㅍㅊㅌㅍㅊㅌㅍㅊㅌㅍ" localSheetId="7" hidden="1">#REF!</definedName>
    <definedName name="ㅊㅌㅍㅊㅍㅊㅌㅍㅊㅌㅍㅊㅌㅍㅊㅌㅍㅊㅌㅍ" hidden="1">'[5]Eq. Mobilization'!#REF!</definedName>
    <definedName name="ㅊㅌㅍㅊㅍㅌㅋㅊㅍㅌㅊㅍ" localSheetId="0" hidden="1">'[5]Eq. Mobilization'!#REF!</definedName>
    <definedName name="ㅊㅌㅍㅊㅍㅌㅋㅊㅍㅌㅊㅍ" localSheetId="2" hidden="1">'[5]Eq. Mobilization'!#REF!</definedName>
    <definedName name="ㅊㅌㅍㅊㅍㅌㅋㅊㅍㅌㅊㅍ" localSheetId="1" hidden="1">'[5]Eq. Mobilization'!#REF!</definedName>
    <definedName name="ㅊㅌㅍㅊㅍㅌㅋㅊㅍㅌㅊㅍ" localSheetId="3" hidden="1">'[5]Eq. Mobilization'!#REF!</definedName>
    <definedName name="ㅊㅌㅍㅊㅍㅌㅋㅊㅍㅌㅊㅍ" localSheetId="5" hidden="1">'[5]Eq. Mobilization'!#REF!</definedName>
    <definedName name="ㅊㅌㅍㅊㅍㅌㅋㅊㅍㅌㅊㅍ" localSheetId="6" hidden="1">'[5]Eq. Mobilization'!#REF!</definedName>
    <definedName name="ㅊㅌㅍㅊㅍㅌㅋㅊㅍㅌㅊㅍ" localSheetId="7" hidden="1">#REF!</definedName>
    <definedName name="ㅊㅌㅍㅊㅍㅌㅋㅊㅍㅌㅊㅍ" hidden="1">'[5]Eq. Mobilization'!#REF!</definedName>
    <definedName name="ㅊㅌㅍㅋㅊㅍㅌㅊㅍㅌㅊㅍ" localSheetId="0" hidden="1">'[5]Eq. Mobilization'!#REF!</definedName>
    <definedName name="ㅊㅌㅍㅋㅊㅍㅌㅊㅍㅌㅊㅍ" localSheetId="2" hidden="1">'[5]Eq. Mobilization'!#REF!</definedName>
    <definedName name="ㅊㅌㅍㅋㅊㅍㅌㅊㅍㅌㅊㅍ" localSheetId="1" hidden="1">'[5]Eq. Mobilization'!#REF!</definedName>
    <definedName name="ㅊㅌㅍㅋㅊㅍㅌㅊㅍㅌㅊㅍ" localSheetId="3" hidden="1">'[5]Eq. Mobilization'!#REF!</definedName>
    <definedName name="ㅊㅌㅍㅋㅊㅍㅌㅊㅍㅌㅊㅍ" localSheetId="5" hidden="1">'[5]Eq. Mobilization'!#REF!</definedName>
    <definedName name="ㅊㅌㅍㅋㅊㅍㅌㅊㅍㅌㅊㅍ" localSheetId="6" hidden="1">'[5]Eq. Mobilization'!#REF!</definedName>
    <definedName name="ㅊㅌㅍㅋㅊㅍㅌㅊㅍㅌㅊㅍ" localSheetId="7" hidden="1">#REF!</definedName>
    <definedName name="ㅊㅌㅍㅋㅊㅍㅌㅊㅍㅌㅊㅍ" hidden="1">'[5]Eq. Mobilization'!#REF!</definedName>
    <definedName name="ㅊㅌㅍㅌㅊㅍㅊㅌㅍㅌㅊㅍㅌㅊㅍ" localSheetId="0" hidden="1">'[5]Eq. Mobilization'!#REF!</definedName>
    <definedName name="ㅊㅌㅍㅌㅊㅍㅊㅌㅍㅌㅊㅍㅌㅊㅍ" localSheetId="2" hidden="1">'[5]Eq. Mobilization'!#REF!</definedName>
    <definedName name="ㅊㅌㅍㅌㅊㅍㅊㅌㅍㅌㅊㅍㅌㅊㅍ" localSheetId="1" hidden="1">'[5]Eq. Mobilization'!#REF!</definedName>
    <definedName name="ㅊㅌㅍㅌㅊㅍㅊㅌㅍㅌㅊㅍㅌㅊㅍ" localSheetId="3" hidden="1">'[5]Eq. Mobilization'!#REF!</definedName>
    <definedName name="ㅊㅌㅍㅌㅊㅍㅊㅌㅍㅌㅊㅍㅌㅊㅍ" localSheetId="5" hidden="1">'[5]Eq. Mobilization'!#REF!</definedName>
    <definedName name="ㅊㅌㅍㅌㅊㅍㅊㅌㅍㅌㅊㅍㅌㅊㅍ" localSheetId="6" hidden="1">'[5]Eq. Mobilization'!#REF!</definedName>
    <definedName name="ㅊㅌㅍㅌㅊㅍㅊㅌㅍㅌㅊㅍㅌㅊㅍ" localSheetId="7" hidden="1">#REF!</definedName>
    <definedName name="ㅊㅌㅍㅌㅊㅍㅊㅌㅍㅌㅊㅍㅌㅊㅍ" hidden="1">'[5]Eq. Mobilization'!#REF!</definedName>
    <definedName name="ㅋ" localSheetId="0" hidden="1">'[5]Eq. Mobilization'!#REF!</definedName>
    <definedName name="ㅋ" localSheetId="2" hidden="1">'[5]Eq. Mobilization'!#REF!</definedName>
    <definedName name="ㅋ" localSheetId="1" hidden="1">'[5]Eq. Mobilization'!#REF!</definedName>
    <definedName name="ㅋ" localSheetId="3" hidden="1">'[5]Eq. Mobilization'!#REF!</definedName>
    <definedName name="ㅋ" localSheetId="5" hidden="1">'[5]Eq. Mobilization'!#REF!</definedName>
    <definedName name="ㅋ" localSheetId="6" hidden="1">'[5]Eq. Mobilization'!#REF!</definedName>
    <definedName name="ㅋ" localSheetId="7" hidden="1">#REF!</definedName>
    <definedName name="ㅋ" hidden="1">'[5]Eq. Mobilization'!#REF!</definedName>
    <definedName name="ㅋㅋㅋㅋ" localSheetId="0" hidden="1">'[5]Eq. Mobilization'!#REF!</definedName>
    <definedName name="ㅋㅋㅋㅋ" localSheetId="2" hidden="1">'[5]Eq. Mobilization'!#REF!</definedName>
    <definedName name="ㅋㅋㅋㅋ" localSheetId="1" hidden="1">'[5]Eq. Mobilization'!#REF!</definedName>
    <definedName name="ㅋㅋㅋㅋ" localSheetId="3" hidden="1">'[5]Eq. Mobilization'!#REF!</definedName>
    <definedName name="ㅋㅋㅋㅋ" localSheetId="5" hidden="1">'[5]Eq. Mobilization'!#REF!</definedName>
    <definedName name="ㅋㅋㅋㅋ" localSheetId="6" hidden="1">'[5]Eq. Mobilization'!#REF!</definedName>
    <definedName name="ㅋㅋㅋㅋ" localSheetId="7" hidden="1">#REF!</definedName>
    <definedName name="ㅋㅋㅋㅋ" hidden="1">'[5]Eq. Mobilization'!#REF!</definedName>
    <definedName name="ㅋㅋㅋㅋㅋㅋ" localSheetId="0" hidden="1">'[5]Eq. Mobilization'!#REF!</definedName>
    <definedName name="ㅋㅋㅋㅋㅋㅋ" localSheetId="2" hidden="1">'[5]Eq. Mobilization'!#REF!</definedName>
    <definedName name="ㅋㅋㅋㅋㅋㅋ" localSheetId="1" hidden="1">'[5]Eq. Mobilization'!#REF!</definedName>
    <definedName name="ㅋㅋㅋㅋㅋㅋ" localSheetId="3" hidden="1">'[5]Eq. Mobilization'!#REF!</definedName>
    <definedName name="ㅋㅋㅋㅋㅋㅋ" localSheetId="5" hidden="1">'[5]Eq. Mobilization'!#REF!</definedName>
    <definedName name="ㅋㅋㅋㅋㅋㅋ" localSheetId="6" hidden="1">'[5]Eq. Mobilization'!#REF!</definedName>
    <definedName name="ㅋㅋㅋㅋㅋㅋ" localSheetId="7" hidden="1">#REF!</definedName>
    <definedName name="ㅋㅋㅋㅋㅋㅋ" hidden="1">'[5]Eq. Mobilization'!#REF!</definedName>
    <definedName name="ㅋㅋㅋㅋㅋㅋㅋㅋㅋ" localSheetId="0" hidden="1">'[5]Eq. Mobilization'!#REF!</definedName>
    <definedName name="ㅋㅋㅋㅋㅋㅋㅋㅋㅋ" localSheetId="2" hidden="1">'[5]Eq. Mobilization'!#REF!</definedName>
    <definedName name="ㅋㅋㅋㅋㅋㅋㅋㅋㅋ" localSheetId="1" hidden="1">'[5]Eq. Mobilization'!#REF!</definedName>
    <definedName name="ㅋㅋㅋㅋㅋㅋㅋㅋㅋ" localSheetId="3" hidden="1">'[5]Eq. Mobilization'!#REF!</definedName>
    <definedName name="ㅋㅋㅋㅋㅋㅋㅋㅋㅋ" localSheetId="5" hidden="1">'[5]Eq. Mobilization'!#REF!</definedName>
    <definedName name="ㅋㅋㅋㅋㅋㅋㅋㅋㅋ" localSheetId="6" hidden="1">'[5]Eq. Mobilization'!#REF!</definedName>
    <definedName name="ㅋㅋㅋㅋㅋㅋㅋㅋㅋ" localSheetId="7" hidden="1">#REF!</definedName>
    <definedName name="ㅋㅋㅋㅋㅋㅋㅋㅋㅋ" hidden="1">'[5]Eq. Mobilization'!#REF!</definedName>
    <definedName name="ㅌㅊㅍㅌㅊㅍㅌㅋㅊㅍㅌ" localSheetId="0" hidden="1">'[5]Eq. Mobilization'!#REF!</definedName>
    <definedName name="ㅌㅊㅍㅌㅊㅍㅌㅋㅊㅍㅌ" localSheetId="2" hidden="1">'[5]Eq. Mobilization'!#REF!</definedName>
    <definedName name="ㅌㅊㅍㅌㅊㅍㅌㅋㅊㅍㅌ" localSheetId="1" hidden="1">'[5]Eq. Mobilization'!#REF!</definedName>
    <definedName name="ㅌㅊㅍㅌㅊㅍㅌㅋㅊㅍㅌ" localSheetId="3" hidden="1">'[5]Eq. Mobilization'!#REF!</definedName>
    <definedName name="ㅌㅊㅍㅌㅊㅍㅌㅋㅊㅍㅌ" localSheetId="5" hidden="1">'[5]Eq. Mobilization'!#REF!</definedName>
    <definedName name="ㅌㅊㅍㅌㅊㅍㅌㅋㅊㅍㅌ" localSheetId="6" hidden="1">'[5]Eq. Mobilization'!#REF!</definedName>
    <definedName name="ㅌㅊㅍㅌㅊㅍㅌㅋㅊㅍㅌ" localSheetId="7" hidden="1">#REF!</definedName>
    <definedName name="ㅌㅊㅍㅌㅊㅍㅌㅋㅊㅍㅌ" hidden="1">'[5]Eq. Mobilization'!#REF!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13" l="1"/>
  <c r="C11" i="13"/>
  <c r="D11" i="13"/>
  <c r="E11" i="13"/>
  <c r="K31" i="1"/>
  <c r="J31" i="1"/>
  <c r="K30" i="1"/>
  <c r="J30" i="1"/>
  <c r="H9" i="2"/>
  <c r="P16" i="2"/>
  <c r="P19" i="2"/>
  <c r="H10" i="2"/>
  <c r="P17" i="2"/>
  <c r="P20" i="2"/>
  <c r="Q13" i="2"/>
  <c r="N16" i="2"/>
  <c r="N17" i="2"/>
  <c r="N18" i="2"/>
  <c r="N17" i="4"/>
  <c r="M17" i="4"/>
  <c r="L17" i="4"/>
  <c r="S16" i="4"/>
  <c r="T16" i="4"/>
  <c r="I20" i="14"/>
  <c r="G20" i="14"/>
  <c r="E20" i="14"/>
  <c r="C20" i="14"/>
  <c r="C15" i="14"/>
  <c r="C17" i="14"/>
  <c r="C21" i="14"/>
  <c r="C14" i="14"/>
  <c r="A3" i="14"/>
  <c r="I18" i="5"/>
  <c r="J10" i="2"/>
  <c r="I10" i="2"/>
  <c r="K16" i="4"/>
  <c r="J16" i="4"/>
  <c r="I16" i="4"/>
  <c r="C16" i="4"/>
  <c r="H16" i="4"/>
  <c r="F16" i="4"/>
  <c r="H32" i="3"/>
  <c r="I31" i="1"/>
  <c r="O18" i="5"/>
  <c r="L16" i="4"/>
  <c r="K32" i="3"/>
  <c r="J9" i="2"/>
  <c r="I9" i="2"/>
  <c r="N11" i="2"/>
  <c r="Q12" i="2"/>
  <c r="K10" i="2"/>
  <c r="M16" i="4"/>
  <c r="Q18" i="5"/>
  <c r="C15" i="12"/>
  <c r="I32" i="3"/>
  <c r="C18" i="14"/>
  <c r="N16" i="4"/>
  <c r="L10" i="2"/>
  <c r="N34" i="1"/>
  <c r="J32" i="3"/>
  <c r="C19" i="14"/>
  <c r="K38" i="1"/>
  <c r="C21" i="12"/>
  <c r="E10" i="13"/>
  <c r="C10" i="13"/>
  <c r="B7" i="13"/>
  <c r="H15" i="1"/>
  <c r="H15" i="3"/>
  <c r="I16" i="5"/>
  <c r="F15" i="4"/>
  <c r="H31" i="3"/>
  <c r="I30" i="1"/>
  <c r="T15" i="4"/>
  <c r="S15" i="4"/>
  <c r="J15" i="4"/>
  <c r="E20" i="12"/>
  <c r="K15" i="4"/>
  <c r="G20" i="12"/>
  <c r="I15" i="4"/>
  <c r="C20" i="12"/>
  <c r="H15" i="4"/>
  <c r="C15" i="4"/>
  <c r="C17" i="12"/>
  <c r="P19" i="5"/>
  <c r="K9" i="2"/>
  <c r="Q16" i="5"/>
  <c r="N15" i="4"/>
  <c r="D10" i="13"/>
  <c r="B10" i="13"/>
  <c r="M15" i="4"/>
  <c r="L9" i="2"/>
  <c r="Q19" i="5"/>
  <c r="C19" i="12"/>
  <c r="J31" i="3"/>
  <c r="C18" i="12"/>
  <c r="I31" i="3"/>
  <c r="O16" i="5"/>
  <c r="O19" i="5"/>
  <c r="L15" i="4"/>
  <c r="D5" i="4"/>
  <c r="I20" i="12"/>
  <c r="K31" i="3"/>
  <c r="K38" i="3"/>
  <c r="D7" i="5"/>
  <c r="D5" i="5"/>
  <c r="E5" i="2"/>
  <c r="O5" i="2"/>
  <c r="H8" i="3"/>
  <c r="H6" i="3"/>
  <c r="D6" i="4"/>
  <c r="D6" i="5"/>
  <c r="C14" i="12"/>
  <c r="A3" i="12"/>
  <c r="I38" i="3"/>
  <c r="G9" i="3"/>
  <c r="B5" i="2"/>
  <c r="J38" i="3"/>
</calcChain>
</file>

<file path=xl/sharedStrings.xml><?xml version="1.0" encoding="utf-8"?>
<sst xmlns="http://schemas.openxmlformats.org/spreadsheetml/2006/main" count="405" uniqueCount="217">
  <si>
    <t>PECC2 Innovation Hub, 45 Street No.2, Truong Tho Ward, Thu Duc City, HCMC, Vietnam
Tel: +84-28-2221 6468 | Fax: +84-28-2221 0408</t>
  </si>
  <si>
    <t>COMMERCIAL INVOICE</t>
    <phoneticPr fontId="0" type="noConversion"/>
  </si>
  <si>
    <t>SHIPPER:</t>
  </si>
  <si>
    <t>INVOICE NO. :</t>
    <phoneticPr fontId="0" type="noConversion"/>
  </si>
  <si>
    <t>DATE:</t>
  </si>
  <si>
    <t>CONTRACT NO.</t>
    <phoneticPr fontId="0" type="noConversion"/>
  </si>
  <si>
    <t>06/2025/HĐ-PVN/OM4-06</t>
  </si>
  <si>
    <t xml:space="preserve"> CONSIGNEE :</t>
    <phoneticPr fontId="0" type="noConversion"/>
  </si>
  <si>
    <t>SHIPPING MARK</t>
  </si>
  <si>
    <t>O MON IV THERMAL POWER PLANT</t>
  </si>
  <si>
    <t>NOTIFY PARTY :</t>
    <phoneticPr fontId="0" type="noConversion"/>
  </si>
  <si>
    <t xml:space="preserve">SHIPMENT NO. : </t>
  </si>
  <si>
    <t>TERM OF DELIVERY :</t>
  </si>
  <si>
    <t>VESSEL NAME :</t>
  </si>
  <si>
    <t>ETD :</t>
    <phoneticPr fontId="0" type="noConversion"/>
  </si>
  <si>
    <t>PORT OF LOADING :</t>
    <phoneticPr fontId="0" type="noConversion"/>
  </si>
  <si>
    <t>PORT OF DISCHARGE :</t>
    <phoneticPr fontId="0" type="noConversion"/>
  </si>
  <si>
    <t>BILL OF LADING/ AIRWAY BILL NO. :</t>
  </si>
  <si>
    <t>B/L DATE :</t>
  </si>
  <si>
    <t xml:space="preserve">FINAL DESTINATION : </t>
    <phoneticPr fontId="0" type="noConversion"/>
  </si>
  <si>
    <t>COMMODITY/DESCRIPTION OF GOODS</t>
    <phoneticPr fontId="0" type="noConversion"/>
  </si>
  <si>
    <t>UNIT</t>
    <phoneticPr fontId="0" type="noConversion"/>
  </si>
  <si>
    <t>QUANTITY</t>
    <phoneticPr fontId="0" type="noConversion"/>
  </si>
  <si>
    <t>UNIT PRICE
(USD)</t>
    <phoneticPr fontId="0" type="noConversion"/>
  </si>
  <si>
    <t>AMOUNT
(USD)</t>
    <phoneticPr fontId="0" type="noConversion"/>
  </si>
  <si>
    <t xml:space="preserve">Number of packages: </t>
  </si>
  <si>
    <t>PKGS</t>
  </si>
  <si>
    <t>TOTAL AMOUNT AT THIS SHIPMENT :</t>
  </si>
  <si>
    <t>Signed by</t>
    <phoneticPr fontId="0" type="noConversion"/>
  </si>
  <si>
    <t>SI.
No.</t>
    <phoneticPr fontId="0" type="noConversion"/>
  </si>
  <si>
    <t>Package No.</t>
    <phoneticPr fontId="0" type="noConversion"/>
  </si>
  <si>
    <t>POSITION IN PRICE SCHEDULE</t>
    <phoneticPr fontId="0" type="noConversion"/>
  </si>
  <si>
    <t>TOTAL AMOUNT AT THIS SHIPMENT</t>
  </si>
  <si>
    <t>PACKING LIST(1/2)</t>
    <phoneticPr fontId="0" type="noConversion"/>
  </si>
  <si>
    <t>P/L No.</t>
  </si>
  <si>
    <t>NET
WEIGHT
(KG)</t>
    <phoneticPr fontId="0" type="noConversion"/>
  </si>
  <si>
    <t>GROSS WEIGHT
(KG)</t>
    <phoneticPr fontId="0" type="noConversion"/>
  </si>
  <si>
    <t>MEASUREMENT
(CBM)</t>
    <phoneticPr fontId="0" type="noConversion"/>
  </si>
  <si>
    <t>TOTAL</t>
    <phoneticPr fontId="0" type="noConversion"/>
  </si>
  <si>
    <t>PACKING LIST(2/2)</t>
    <phoneticPr fontId="0" type="noConversion"/>
  </si>
  <si>
    <t xml:space="preserve">P/L No. </t>
    <phoneticPr fontId="0" type="noConversion"/>
  </si>
  <si>
    <t>Dated</t>
    <phoneticPr fontId="0" type="noConversion"/>
  </si>
  <si>
    <t>*  Storage Classification</t>
    <phoneticPr fontId="0" type="noConversion"/>
  </si>
  <si>
    <t>**  Plant/Equipment/Materials for</t>
    <phoneticPr fontId="0" type="noConversion"/>
  </si>
  <si>
    <t>Project</t>
    <phoneticPr fontId="0" type="noConversion"/>
  </si>
  <si>
    <t>"A"</t>
    <phoneticPr fontId="0" type="noConversion"/>
  </si>
  <si>
    <t>: Indoor with Air conditioning</t>
    <phoneticPr fontId="0" type="noConversion"/>
  </si>
  <si>
    <t>BOP</t>
    <phoneticPr fontId="0" type="noConversion"/>
  </si>
  <si>
    <t>"B"</t>
    <phoneticPr fontId="0" type="noConversion"/>
  </si>
  <si>
    <t>: Indoor without Air conditioning</t>
    <phoneticPr fontId="0" type="noConversion"/>
  </si>
  <si>
    <t>Unit 1</t>
    <phoneticPr fontId="0" type="noConversion"/>
  </si>
  <si>
    <t>B1</t>
    <phoneticPr fontId="0" type="noConversion"/>
  </si>
  <si>
    <t>T1</t>
    <phoneticPr fontId="0" type="noConversion"/>
  </si>
  <si>
    <t>G1</t>
    <phoneticPr fontId="0" type="noConversion"/>
  </si>
  <si>
    <t>P2</t>
  </si>
  <si>
    <t>"C"</t>
    <phoneticPr fontId="0" type="noConversion"/>
  </si>
  <si>
    <t>: Hazardous Material</t>
    <phoneticPr fontId="0" type="noConversion"/>
  </si>
  <si>
    <t>Unit 2</t>
    <phoneticPr fontId="0" type="noConversion"/>
  </si>
  <si>
    <t>B2</t>
    <phoneticPr fontId="0" type="noConversion"/>
  </si>
  <si>
    <t>T2</t>
    <phoneticPr fontId="0" type="noConversion"/>
  </si>
  <si>
    <t>G2</t>
    <phoneticPr fontId="0" type="noConversion"/>
  </si>
  <si>
    <t>P2</t>
    <phoneticPr fontId="0" type="noConversion"/>
  </si>
  <si>
    <t>"D"</t>
    <phoneticPr fontId="0" type="noConversion"/>
  </si>
  <si>
    <t>: Outdoor with waterproofing</t>
    <phoneticPr fontId="0" type="noConversion"/>
  </si>
  <si>
    <t>Common</t>
    <phoneticPr fontId="0" type="noConversion"/>
  </si>
  <si>
    <t>B0</t>
    <phoneticPr fontId="0" type="noConversion"/>
  </si>
  <si>
    <t>T0</t>
    <phoneticPr fontId="0" type="noConversion"/>
  </si>
  <si>
    <t>G0</t>
    <phoneticPr fontId="0" type="noConversion"/>
  </si>
  <si>
    <t>P0</t>
    <phoneticPr fontId="0" type="noConversion"/>
  </si>
  <si>
    <t>"E"</t>
    <phoneticPr fontId="0" type="noConversion"/>
  </si>
  <si>
    <t>: Outdoor without waterproofing</t>
    <phoneticPr fontId="0" type="noConversion"/>
  </si>
  <si>
    <t>Description of Goods</t>
    <phoneticPr fontId="0" type="noConversion"/>
  </si>
  <si>
    <t>Quantity</t>
    <phoneticPr fontId="0" type="noConversion"/>
  </si>
  <si>
    <t>Package Type</t>
    <phoneticPr fontId="0" type="noConversion"/>
  </si>
  <si>
    <t>Measurement</t>
    <phoneticPr fontId="0" type="noConversion"/>
  </si>
  <si>
    <t>Net Weight
(kg)</t>
    <phoneticPr fontId="0" type="noConversion"/>
  </si>
  <si>
    <t>Gross Weight
(kg)</t>
    <phoneticPr fontId="0" type="noConversion"/>
  </si>
  <si>
    <t>Hazardous Material</t>
    <phoneticPr fontId="0" type="noConversion"/>
  </si>
  <si>
    <t>Storage Classification
(*)</t>
    <phoneticPr fontId="0" type="noConversion"/>
  </si>
  <si>
    <t>Remark
(**)</t>
    <phoneticPr fontId="0" type="noConversion"/>
  </si>
  <si>
    <t>Nos</t>
    <phoneticPr fontId="0" type="noConversion"/>
  </si>
  <si>
    <t>Unit</t>
    <phoneticPr fontId="0" type="noConversion"/>
  </si>
  <si>
    <t>Length
(cm)</t>
    <phoneticPr fontId="0" type="noConversion"/>
  </si>
  <si>
    <t>Width
(cm)</t>
    <phoneticPr fontId="0" type="noConversion"/>
  </si>
  <si>
    <t>Height
(cm)</t>
    <phoneticPr fontId="0" type="noConversion"/>
  </si>
  <si>
    <t>Volume
(cbm)</t>
    <phoneticPr fontId="0" type="noConversion"/>
  </si>
  <si>
    <t>Grand Total</t>
    <phoneticPr fontId="0" type="noConversion"/>
  </si>
  <si>
    <t>DETAILED PACKING LIST</t>
    <phoneticPr fontId="0" type="noConversion"/>
  </si>
  <si>
    <t>PL No.</t>
    <phoneticPr fontId="0" type="noConversion"/>
  </si>
  <si>
    <t>Referenced DWG No.</t>
    <phoneticPr fontId="0" type="noConversion"/>
  </si>
  <si>
    <t>Manufacturer</t>
    <phoneticPr fontId="0" type="noConversion"/>
  </si>
  <si>
    <t>Tag No.</t>
    <phoneticPr fontId="0" type="noConversion"/>
  </si>
  <si>
    <t>Sub-Total</t>
    <phoneticPr fontId="0" type="noConversion"/>
  </si>
  <si>
    <t>Grand-Total</t>
    <phoneticPr fontId="0" type="noConversion"/>
  </si>
  <si>
    <t>SHIPPING MARK</t>
    <phoneticPr fontId="0" type="noConversion"/>
  </si>
  <si>
    <t xml:space="preserve">O MON IV THERMAL POWER PLANT </t>
  </si>
  <si>
    <t xml:space="preserve">                             SHIPPER  </t>
    <phoneticPr fontId="0" type="noConversion"/>
  </si>
  <si>
    <t>:</t>
  </si>
  <si>
    <t xml:space="preserve">                            ADDRESS</t>
    <phoneticPr fontId="0" type="noConversion"/>
  </si>
  <si>
    <t xml:space="preserve">                    NOTIFY PARTY</t>
    <phoneticPr fontId="0" type="noConversion"/>
  </si>
  <si>
    <t>:</t>
    <phoneticPr fontId="0" type="noConversion"/>
  </si>
  <si>
    <t xml:space="preserve">                   SHIPMENT NO.</t>
    <phoneticPr fontId="0" type="noConversion"/>
  </si>
  <si>
    <t>KG</t>
    <phoneticPr fontId="0" type="noConversion"/>
  </si>
  <si>
    <t>cm(L) X</t>
    <phoneticPr fontId="0" type="noConversion"/>
  </si>
  <si>
    <t>cm (W) X</t>
    <phoneticPr fontId="0" type="noConversion"/>
  </si>
  <si>
    <t>cm (H)</t>
    <phoneticPr fontId="0" type="noConversion"/>
  </si>
  <si>
    <t>CBM</t>
    <phoneticPr fontId="0" type="noConversion"/>
  </si>
  <si>
    <t xml:space="preserve">         COUNTRY OF ORIGIN</t>
    <phoneticPr fontId="0" type="noConversion"/>
  </si>
  <si>
    <t xml:space="preserve">                              QUALITY</t>
    <phoneticPr fontId="0" type="noConversion"/>
  </si>
  <si>
    <t>100% BRAND NEW</t>
    <phoneticPr fontId="0" type="noConversion"/>
  </si>
  <si>
    <t>QUALITY</t>
  </si>
  <si>
    <t>100% BRAND NEW</t>
  </si>
  <si>
    <r>
      <t xml:space="preserve">- In the B/L Form, </t>
    </r>
    <r>
      <rPr>
        <b/>
        <sz val="11"/>
        <color rgb="FFFF0000"/>
        <rFont val="돋움"/>
        <family val="3"/>
        <charset val="129"/>
      </rPr>
      <t>"Freight Prepaid"</t>
    </r>
    <r>
      <rPr>
        <sz val="11"/>
        <color rgb="FFFF0000"/>
        <rFont val="돋움"/>
        <family val="3"/>
        <charset val="129"/>
      </rPr>
      <t xml:space="preserve"> must be used according to the signed EPC regulations, "Freight payable" cannot be used as the form we are drafting.
- According to EPC, the Contractor is required to bear the risks and losses until handover, and must insure all goods during transportation, so remove the content of the complicated limitation regulations below in the B/L Form.</t>
    </r>
  </si>
  <si>
    <t xml:space="preserve">                  LOADING PORT
</t>
    <phoneticPr fontId="0" type="noConversion"/>
  </si>
  <si>
    <t>PECC2 Innovation Hub, 45 Street No.2, Truong Tho Ward, Thu Duc City, HCMC, Vietnam
Tel: +84-28-2221 6468 | Fax: +84-28-2221 0408</t>
    <phoneticPr fontId="34" type="noConversion"/>
  </si>
  <si>
    <t>06/2025/HĐ-PVN/OM4-06</t>
    <phoneticPr fontId="34" type="noConversion"/>
  </si>
  <si>
    <t xml:space="preserve">                        CONSIGNEE</t>
    <phoneticPr fontId="0" type="noConversion"/>
  </si>
  <si>
    <t xml:space="preserve">                   CONTRACT NO.</t>
    <phoneticPr fontId="0" type="noConversion"/>
  </si>
  <si>
    <t xml:space="preserve">EQUIPMENT DESCRIPTION </t>
    <phoneticPr fontId="0" type="noConversion"/>
  </si>
  <si>
    <t xml:space="preserve">                      NET WEIGHT
</t>
    <phoneticPr fontId="0" type="noConversion"/>
  </si>
  <si>
    <t xml:space="preserve">                 GROSS WEIGHT
</t>
    <phoneticPr fontId="0" type="noConversion"/>
  </si>
  <si>
    <t xml:space="preserve">                     PACKAGE NO.
            </t>
    <phoneticPr fontId="0" type="noConversion"/>
  </si>
  <si>
    <t xml:space="preserve">                       -	MEASUREMENT
</t>
    <phoneticPr fontId="0" type="noConversion"/>
  </si>
  <si>
    <t xml:space="preserve">    PORT OF DESTINATION
                       </t>
    <phoneticPr fontId="0" type="noConversion"/>
  </si>
  <si>
    <t xml:space="preserve">                     CONSIGNOR.
            </t>
    <phoneticPr fontId="0" type="noConversion"/>
  </si>
  <si>
    <t>PECC2 Innovation Hub, 45 Street No.2, Truong Tho Ward, 
Thu Duc City, HCMC, Vietnam
Tel: +84-28-2221 6468 | Fax: +84-28-2221 0408</t>
    <phoneticPr fontId="34" type="noConversion"/>
  </si>
  <si>
    <t>O MON IV THERMAL POWER PLANT</t>
    <phoneticPr fontId="34" type="noConversion"/>
  </si>
  <si>
    <t xml:space="preserve">DATE  : </t>
    <phoneticPr fontId="34" type="noConversion"/>
  </si>
  <si>
    <r>
      <t xml:space="preserve">Cty Doosan Enerbility Co.,Ltd HQ-Nha thau TH CV thuoc Goi thau so OM4-EPC-HHO-06 cho NMND O Mon IV 
</t>
    </r>
    <r>
      <rPr>
        <sz val="10"/>
        <rFont val="Arial"/>
        <family val="2"/>
      </rPr>
      <t>Thoi Loi Area, Phuoc Thoi Ward, Can Tho City, Vietnam
T : (+84) 367 566 167 F : (+84 243) 624 8485</t>
    </r>
    <phoneticPr fontId="34" type="noConversion"/>
  </si>
  <si>
    <t>Cty Doosan Enerbility Co.,Ltd HQ-Nha thau TH CV thuoc Goi thau so OM4-EPC-HHO-06 cho NMND O Mon IV 
Thoi Loi Area, Phuoc Thoi Ward, Can Tho City, Vietnam
T : (+84) 367 566 167 F : (+84 243) 624 8485</t>
  </si>
  <si>
    <r>
      <rPr>
        <b/>
        <sz val="10"/>
        <rFont val="Arial"/>
        <family val="2"/>
      </rPr>
      <t>Doosan Enerbility Co., Ltd.</t>
    </r>
    <r>
      <rPr>
        <sz val="9"/>
        <rFont val="Arial"/>
        <family val="2"/>
      </rPr>
      <t xml:space="preserve">
</t>
    </r>
    <r>
      <rPr>
        <sz val="10"/>
        <rFont val="Arial"/>
        <family val="2"/>
      </rPr>
      <t xml:space="preserve">22 DoosanVolvo-ro, Seongsan-gu, Chang-won-si, 
Gyeongsangnam-do 51711, Republic of Korea </t>
    </r>
    <phoneticPr fontId="34" type="noConversion"/>
  </si>
  <si>
    <r>
      <rPr>
        <b/>
        <sz val="10"/>
        <rFont val="Arial"/>
        <family val="2"/>
      </rPr>
      <t xml:space="preserve">Cty Doosan Enerbility Co.,Ltd HQ-Nha thau TH CV thuoc Goi thau so OM4-EPC-HHO-06 cho NMND O Mon IV </t>
    </r>
    <r>
      <rPr>
        <sz val="10"/>
        <rFont val="Arial"/>
        <family val="2"/>
      </rPr>
      <t xml:space="preserve">
Thoi Loi Area, Phươc Thoi Ward, Can Tho City, Vietnam
T : (+84) 367 566 167 F : (+84 243) 624 8485
</t>
    </r>
    <r>
      <rPr>
        <b/>
        <sz val="10"/>
        <rFont val="Arial"/>
        <family val="2"/>
      </rPr>
      <t xml:space="preserve">BRANCH OF KWANGJIN VIET NAM IN DUNG QUAT Co.,Ltd </t>
    </r>
    <r>
      <rPr>
        <sz val="10"/>
        <rFont val="Arial"/>
        <family val="2"/>
      </rPr>
      <t xml:space="preserve">
Dung Quat Economic Zone, Van Tuong Commune, Quang Ngai Province, Vietnam
T : (+84) 28 3825 6330 	 	 	 
Attn: Mr. Phuoc  / Email: phuoc@kjtc.co.kr </t>
    </r>
    <phoneticPr fontId="34" type="noConversion"/>
  </si>
  <si>
    <t>Address: O Mon Power Complex at Phuoc Thoi wards, Can Tho city</t>
  </si>
  <si>
    <t>PLANT/ EQUIPMENT AND MATERIALS FOR O MON IV THERMAL POWER PLANT
(Contract No. OM4-PO-DE-001)</t>
    <phoneticPr fontId="34" type="noConversion"/>
  </si>
  <si>
    <t>PLANT/ EQUIPMENT AND MATERIALS FOR 
O MON IV THERMAL POWER PLANT
(Contract No. OM4-PO-DE-001)</t>
    <phoneticPr fontId="34" type="noConversion"/>
  </si>
  <si>
    <t xml:space="preserve">Doosan Enerbility Co., Ltd.
</t>
    <phoneticPr fontId="34" type="noConversion"/>
  </si>
  <si>
    <t xml:space="preserve">22 DoosanVolvo-ro, Seongsan-gu, Chang-won-si, 
Gyeongsangnam-do 51711, Republic of Korea </t>
    <phoneticPr fontId="34" type="noConversion"/>
  </si>
  <si>
    <t>Cty Doosan Enerbility Co.,Ltd HQ-Nha thau TH CV thuoc Goi thau so OM4-EPC-HHO-06 cho NMND O Mon IV 
Thoi Loi Area, Phuoc Thoi Ward, Can Tho City, Vietnam
T : (+84) 367 566 167 F : (+84 243) 624 8485</t>
    <phoneticPr fontId="34" type="noConversion"/>
  </si>
  <si>
    <t xml:space="preserve">Cty Doosan Enerbility Co.,Ltd HQ-Nha thau TH CV thuoc Goi thau so OM4-EPC-HHO-06 cho NMND O Mon IV 
Thoi Loi Area, Phươc Thoi Ward, Can Tho City, Vietnam
T : (+84) 367 566 167 F : (+84 243) 624 8485
BRANCH OF KWANGJIN VIET NAM IN DUNG QUAT Co.,Ltd 
Dung Quat Economic Zone, Van Tuong Commune, Quang Ngai Province, Vietnam
T : (+84) 28 3825 6330 	 	 	 
Attn: Mr. Phuoc  / Email: phuoc@kjtc.co.kr </t>
    <phoneticPr fontId="34" type="noConversion"/>
  </si>
  <si>
    <t>Ho Chi Minh City Port, Vietnam</t>
  </si>
  <si>
    <t>COG Marked (Y/N)</t>
    <phoneticPr fontId="34" type="noConversion"/>
  </si>
  <si>
    <t>Sling Point Marked (Y/N)</t>
    <phoneticPr fontId="34" type="noConversion"/>
  </si>
  <si>
    <t>Handle with care Marked
(Y/N)</t>
    <phoneticPr fontId="34" type="noConversion"/>
  </si>
  <si>
    <t>Republic of Korea</t>
    <phoneticPr fontId="34" type="noConversion"/>
  </si>
  <si>
    <t>C/O of Goods</t>
    <phoneticPr fontId="0" type="noConversion"/>
  </si>
  <si>
    <t>Position in price schedule</t>
    <phoneticPr fontId="0" type="noConversion"/>
  </si>
  <si>
    <t>EA</t>
    <phoneticPr fontId="34" type="noConversion"/>
  </si>
  <si>
    <t>N</t>
    <phoneticPr fontId="34" type="noConversion"/>
  </si>
  <si>
    <t>D</t>
    <phoneticPr fontId="34" type="noConversion"/>
  </si>
  <si>
    <t>Y</t>
    <phoneticPr fontId="34" type="noConversion"/>
  </si>
  <si>
    <t xml:space="preserve">SHIPMENT NO. : </t>
    <phoneticPr fontId="34" type="noConversion"/>
  </si>
  <si>
    <t>1</t>
    <phoneticPr fontId="34" type="noConversion"/>
  </si>
  <si>
    <t>C/O of Goods</t>
  </si>
  <si>
    <t>Quantity</t>
  </si>
  <si>
    <t>Package Type</t>
  </si>
  <si>
    <t>UNIT PRICE
(USD)</t>
  </si>
  <si>
    <t>AMOUNT
(USD)</t>
  </si>
  <si>
    <t>Remark
(**)</t>
  </si>
  <si>
    <t>Nos</t>
  </si>
  <si>
    <t>Unit</t>
  </si>
  <si>
    <t>GROSS WEIGHT
(KG)</t>
    <phoneticPr fontId="34" type="noConversion"/>
  </si>
  <si>
    <t>NET 
WEIGHT
(KG)</t>
    <phoneticPr fontId="34" type="noConversion"/>
  </si>
  <si>
    <t>BOP</t>
  </si>
  <si>
    <t>Republic of Korea</t>
  </si>
  <si>
    <t>HRSG</t>
  </si>
  <si>
    <t>HRSG</t>
    <phoneticPr fontId="0" type="noConversion"/>
  </si>
  <si>
    <t>STG</t>
  </si>
  <si>
    <t>STG</t>
    <phoneticPr fontId="0" type="noConversion"/>
  </si>
  <si>
    <t>GTG</t>
  </si>
  <si>
    <t>GTG</t>
    <phoneticPr fontId="0" type="noConversion"/>
  </si>
  <si>
    <t>P0</t>
    <phoneticPr fontId="34" type="noConversion"/>
  </si>
  <si>
    <t>SAMSUNG E&amp;L</t>
  </si>
  <si>
    <t>SAMSUNG E&amp;L</t>
    <phoneticPr fontId="34" type="noConversion"/>
  </si>
  <si>
    <t>Technical Description</t>
    <phoneticPr fontId="34" type="noConversion"/>
  </si>
  <si>
    <t>Invoice no.</t>
    <phoneticPr fontId="34" type="noConversion"/>
  </si>
  <si>
    <t>№</t>
  </si>
  <si>
    <t>Package No.</t>
    <phoneticPr fontId="34" type="noConversion"/>
  </si>
  <si>
    <t>Description of Goods</t>
    <phoneticPr fontId="34" type="noConversion"/>
  </si>
  <si>
    <t>Quantity</t>
    <phoneticPr fontId="34" type="noConversion"/>
  </si>
  <si>
    <t>Photo</t>
    <phoneticPr fontId="34" type="noConversion"/>
  </si>
  <si>
    <t>Technical specifications</t>
    <phoneticPr fontId="34" type="noConversion"/>
  </si>
  <si>
    <t>Nos</t>
    <phoneticPr fontId="34" type="noConversion"/>
  </si>
  <si>
    <t>Unit</t>
    <phoneticPr fontId="34" type="noConversion"/>
  </si>
  <si>
    <t>Before packing</t>
    <phoneticPr fontId="34" type="noConversion"/>
  </si>
  <si>
    <t>After packing</t>
    <phoneticPr fontId="34" type="noConversion"/>
  </si>
  <si>
    <t>DESCRIPTION OF GOODS</t>
    <phoneticPr fontId="34" type="noConversion"/>
  </si>
  <si>
    <r>
      <t xml:space="preserve">PL(2_2) Sheet </t>
    </r>
    <r>
      <rPr>
        <sz val="18"/>
        <rFont val="돋움"/>
        <family val="3"/>
        <charset val="129"/>
      </rPr>
      <t>내</t>
    </r>
    <r>
      <rPr>
        <sz val="18"/>
        <rFont val="Calibri"/>
        <family val="2"/>
      </rPr>
      <t xml:space="preserve"> </t>
    </r>
    <r>
      <rPr>
        <sz val="18"/>
        <rFont val="돋움"/>
        <family val="3"/>
        <charset val="129"/>
      </rPr>
      <t>내용</t>
    </r>
    <r>
      <rPr>
        <sz val="18"/>
        <rFont val="Calibri"/>
        <family val="2"/>
      </rPr>
      <t xml:space="preserve"> </t>
    </r>
    <r>
      <rPr>
        <sz val="18"/>
        <rFont val="돋움"/>
        <family val="3"/>
        <charset val="129"/>
      </rPr>
      <t>반영</t>
    </r>
    <r>
      <rPr>
        <sz val="18"/>
        <rFont val="Calibri"/>
        <family val="2"/>
      </rPr>
      <t xml:space="preserve"> </t>
    </r>
    <r>
      <rPr>
        <sz val="18"/>
        <rFont val="돋움"/>
        <family val="3"/>
        <charset val="129"/>
      </rPr>
      <t>필요</t>
    </r>
    <phoneticPr fontId="34" type="noConversion"/>
  </si>
  <si>
    <t>Jinho. Lee / Deputy Project Director</t>
  </si>
  <si>
    <t>Busan International Port, Korea</t>
  </si>
  <si>
    <t>T/T</t>
    <phoneticPr fontId="34" type="noConversion"/>
  </si>
  <si>
    <t>PAYMENT TERMS:</t>
    <phoneticPr fontId="34" type="noConversion"/>
  </si>
  <si>
    <t>Busan International Port, Korea</t>
    <phoneticPr fontId="34" type="noConversion"/>
  </si>
  <si>
    <r>
      <t>FOB (</t>
    </r>
    <r>
      <rPr>
        <b/>
        <sz val="10"/>
        <color rgb="FFFF0000"/>
        <rFont val="맑은 고딕"/>
        <family val="2"/>
        <charset val="129"/>
      </rPr>
      <t>물품가액)</t>
    </r>
    <phoneticPr fontId="34" type="noConversion"/>
  </si>
  <si>
    <t>Freight</t>
  </si>
  <si>
    <t>Insurance</t>
  </si>
  <si>
    <t>Ho Chi Minh City Port, Vietnam</t>
    <phoneticPr fontId="34" type="noConversion"/>
  </si>
  <si>
    <t>CIF, Ho Chi Minh City Port, Vietnam</t>
    <phoneticPr fontId="34" type="noConversion"/>
  </si>
  <si>
    <t xml:space="preserve"> P0 </t>
  </si>
  <si>
    <t>PS 1.1, Ⅴ, 11</t>
  </si>
  <si>
    <t>OM4-DE-IS-0010</t>
    <phoneticPr fontId="34" type="noConversion"/>
  </si>
  <si>
    <t>Conduit &amp; Accessories included I&amp;C Conduit 
(Zinc Primer Paint)</t>
    <phoneticPr fontId="34" type="noConversion"/>
  </si>
  <si>
    <t>OM4-DE-IS-0010-001</t>
    <phoneticPr fontId="34" type="noConversion"/>
  </si>
  <si>
    <t>Zinc Primer Paint</t>
    <phoneticPr fontId="34" type="noConversion"/>
  </si>
  <si>
    <t>Wooden</t>
    <phoneticPr fontId="34" type="noConversion"/>
  </si>
  <si>
    <t>18L</t>
    <phoneticPr fontId="34" type="noConversion"/>
  </si>
  <si>
    <t>Zinc Primer Paint, 18L</t>
    <phoneticPr fontId="34" type="noConversion"/>
  </si>
  <si>
    <t>OM4-DE-IS-0010-002</t>
  </si>
  <si>
    <t>OM4-DE-IS-0010-002</t>
    <phoneticPr fontId="34" type="noConversion"/>
  </si>
  <si>
    <t>2</t>
  </si>
  <si>
    <t>Zinc Primer Paint, Sealant</t>
    <phoneticPr fontId="34" type="noConversion"/>
  </si>
  <si>
    <t>HMM MIRACLE 0020S</t>
  </si>
  <si>
    <t>HS CODE</t>
  </si>
  <si>
    <t>3208.90-9019</t>
  </si>
  <si>
    <t>Conduit &amp; Accessories included I&amp;C Conduit  (Zinc Primer Paint)</t>
    <phoneticPr fontId="34" type="noConversion"/>
  </si>
  <si>
    <t>Vị trí</t>
  </si>
  <si>
    <t>Ngày Nhận</t>
  </si>
  <si>
    <t xml:space="preserve">Office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</si>
</sst>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1" formatCode="_-* #,##0_-;\-* #,##0_-;_-* &quot;-&quot;_-;_-@_-"/>
    <numFmt numFmtId="43" formatCode="_-* #,##0.00_-;\-* #,##0.00_-;_-* &quot;-&quot;??_-;_-@_-"/>
    <numFmt numFmtId="164" formatCode="_-* #,##0.00_-;\-* #,##0.00_-;_-* &quot;-&quot;_-;_-@_-"/>
    <numFmt numFmtId="165" formatCode="_-* #,##0.000_-;\-* #,##0.000_-;_-* &quot;-&quot;???_-;_-@_-"/>
    <numFmt numFmtId="166" formatCode="#,##0.000_);[Red]\(#,##0.000\)"/>
    <numFmt numFmtId="167" formatCode="_-* #,##0.0_-;\-* #,##0.0_-;_-* &quot;-&quot;_-;_-@_-"/>
    <numFmt numFmtId="168" formatCode="0.00_);[Red]\(0.00\)"/>
    <numFmt numFmtId="169" formatCode="&quot;#&quot;\ 00"/>
    <numFmt numFmtId="170" formatCode="&quot;#&quot;00"/>
    <numFmt numFmtId="171" formatCode="0_);[Red]\(0\)"/>
    <numFmt numFmtId="172" formatCode="0.000_);[Red]\(0.000\)"/>
    <numFmt numFmtId="173" formatCode="_(* #,##0_);_(* \(#,##0\);_(* &quot;-&quot;??_);_(@_)"/>
    <numFmt numFmtId="174" formatCode="#,##0_ "/>
    <numFmt numFmtId="175" formatCode="#,##0.00_ ;[Red]\-#,##0.00\ "/>
    <numFmt numFmtId="176" formatCode="_-* #,##0_-;\-* #,##0_-;_-* &quot;-&quot;??_-;_-@_-"/>
    <numFmt numFmtId="177" formatCode="0.000000"/>
  </numFmts>
  <fonts count="60">
    <font>
      <sz val="11"/>
      <name val="돋움"/>
      <family val="3"/>
      <charset val="129"/>
    </font>
    <font>
      <sz val="11"/>
      <name val="돋움"/>
      <family val="3"/>
      <charset val="129"/>
    </font>
    <font>
      <sz val="10"/>
      <name val="Arial"/>
      <family val="2"/>
    </font>
    <font>
      <b/>
      <sz val="10"/>
      <name val="Arial"/>
      <family val="2"/>
    </font>
    <font>
      <b/>
      <sz val="16"/>
      <name val="Arial"/>
      <family val="2"/>
    </font>
    <font>
      <sz val="12"/>
      <name val="바탕체"/>
      <family val="1"/>
      <charset val="129"/>
    </font>
    <font>
      <sz val="10"/>
      <color indexed="12"/>
      <name val="Arial"/>
      <family val="2"/>
    </font>
    <font>
      <b/>
      <sz val="12.1"/>
      <color rgb="FF1F497D"/>
      <name val="Arial"/>
      <family val="2"/>
    </font>
    <font>
      <sz val="10"/>
      <color rgb="FF0000FF"/>
      <name val="Arial"/>
      <family val="2"/>
    </font>
    <font>
      <strike/>
      <sz val="10"/>
      <color rgb="FF0000FF"/>
      <name val="Arial"/>
      <family val="2"/>
    </font>
    <font>
      <b/>
      <u/>
      <sz val="16"/>
      <name val="Arial"/>
      <family val="2"/>
    </font>
    <font>
      <b/>
      <sz val="10"/>
      <color rgb="FF0000FF"/>
      <name val="Arial"/>
      <family val="2"/>
    </font>
    <font>
      <sz val="10"/>
      <name val="Calibri"/>
      <family val="2"/>
    </font>
    <font>
      <sz val="10"/>
      <color rgb="FFFF0000"/>
      <name val="Calibri"/>
      <family val="2"/>
    </font>
    <font>
      <b/>
      <sz val="10"/>
      <name val="Calibri"/>
      <family val="2"/>
    </font>
    <font>
      <sz val="10"/>
      <color rgb="FFFF0000"/>
      <name val="Arial"/>
      <family val="2"/>
    </font>
    <font>
      <b/>
      <sz val="12"/>
      <name val="Arial"/>
      <family val="2"/>
    </font>
    <font>
      <sz val="11"/>
      <name val="Arial"/>
      <family val="2"/>
    </font>
    <font>
      <sz val="9"/>
      <name val="Arial"/>
      <family val="2"/>
    </font>
    <font>
      <b/>
      <sz val="16"/>
      <name val="Calibri"/>
      <family val="2"/>
    </font>
    <font>
      <sz val="11"/>
      <name val="Arial"/>
      <family val="3"/>
      <charset val="129"/>
      <scheme val="minor"/>
    </font>
    <font>
      <sz val="11"/>
      <name val="Calibri"/>
      <family val="2"/>
    </font>
    <font>
      <sz val="10"/>
      <name val="Arial"/>
      <family val="2"/>
      <scheme val="minor"/>
    </font>
    <font>
      <sz val="10"/>
      <name val="Arial"/>
      <family val="3"/>
      <charset val="129"/>
      <scheme val="minor"/>
    </font>
    <font>
      <b/>
      <sz val="10"/>
      <name val="Arial"/>
      <family val="2"/>
      <scheme val="minor"/>
    </font>
    <font>
      <sz val="11"/>
      <color indexed="8"/>
      <name val="맑은 고딕"/>
      <family val="3"/>
      <charset val="129"/>
    </font>
    <font>
      <sz val="10"/>
      <name val="돋움"/>
      <family val="3"/>
      <charset val="129"/>
    </font>
    <font>
      <b/>
      <u/>
      <sz val="36"/>
      <name val="Calibri"/>
      <family val="2"/>
    </font>
    <font>
      <sz val="18"/>
      <name val="Calibri"/>
      <family val="2"/>
    </font>
    <font>
      <b/>
      <sz val="20"/>
      <name val="Calibri"/>
      <family val="2"/>
    </font>
    <font>
      <b/>
      <sz val="18"/>
      <name val="Calibri"/>
      <family val="2"/>
    </font>
    <font>
      <sz val="10"/>
      <name val="굴림"/>
      <family val="3"/>
      <charset val="129"/>
    </font>
    <font>
      <sz val="11"/>
      <color rgb="FFFF0000"/>
      <name val="돋움"/>
      <family val="3"/>
      <charset val="129"/>
    </font>
    <font>
      <b/>
      <sz val="11"/>
      <color rgb="FFFF0000"/>
      <name val="돋움"/>
      <family val="3"/>
      <charset val="129"/>
    </font>
    <font>
      <sz val="8"/>
      <name val="돋움"/>
      <family val="3"/>
      <charset val="129"/>
    </font>
    <font>
      <sz val="8"/>
      <name val="Arial"/>
      <family val="2"/>
    </font>
    <font>
      <i/>
      <sz val="20"/>
      <color rgb="FFFF0000"/>
      <name val="Calibri"/>
      <family val="2"/>
    </font>
    <font>
      <i/>
      <sz val="20"/>
      <name val="돋움"/>
      <family val="3"/>
      <charset val="129"/>
    </font>
    <font>
      <sz val="9"/>
      <name val="돋움"/>
      <family val="3"/>
      <charset val="129"/>
    </font>
    <font>
      <sz val="10"/>
      <color rgb="FF0000FF"/>
      <name val="Calibri"/>
      <family val="2"/>
    </font>
    <font>
      <b/>
      <sz val="10"/>
      <name val="돋움"/>
      <family val="3"/>
      <charset val="129"/>
    </font>
    <font>
      <b/>
      <sz val="14"/>
      <name val="Arial"/>
      <family val="2"/>
    </font>
    <font>
      <sz val="9"/>
      <name val="Calibri"/>
      <family val="2"/>
    </font>
    <font>
      <u/>
      <sz val="11"/>
      <color theme="10"/>
      <name val="돋움"/>
      <family val="3"/>
      <charset val="129"/>
    </font>
    <font>
      <u/>
      <sz val="10"/>
      <name val="Calibri"/>
      <family val="2"/>
    </font>
    <font>
      <b/>
      <sz val="14"/>
      <name val="Calibri"/>
      <family val="2"/>
    </font>
    <font>
      <b/>
      <i/>
      <sz val="14"/>
      <name val="Calibri"/>
      <family val="2"/>
    </font>
    <font>
      <sz val="13"/>
      <name val="Calibri"/>
      <family val="2"/>
    </font>
    <font>
      <i/>
      <sz val="13"/>
      <name val="Calibri"/>
      <family val="2"/>
    </font>
    <font>
      <sz val="11"/>
      <name val="굴림체"/>
      <family val="3"/>
      <charset val="129"/>
    </font>
    <font>
      <sz val="13"/>
      <color rgb="FF0000CC"/>
      <name val="Calibri"/>
      <family val="2"/>
    </font>
    <font>
      <i/>
      <sz val="13"/>
      <color rgb="FF0000CC"/>
      <name val="Calibri"/>
      <family val="2"/>
    </font>
    <font>
      <sz val="14"/>
      <name val="Calibri"/>
      <family val="2"/>
    </font>
    <font>
      <sz val="1"/>
      <color indexed="8"/>
      <name val="Courier"/>
      <family val="3"/>
    </font>
    <font>
      <b/>
      <sz val="9"/>
      <name val="Calibri"/>
      <family val="2"/>
    </font>
    <font>
      <b/>
      <i/>
      <sz val="9"/>
      <name val="Calibri"/>
      <family val="2"/>
    </font>
    <font>
      <sz val="18"/>
      <name val="돋움"/>
      <family val="3"/>
      <charset val="129"/>
    </font>
    <font>
      <b/>
      <sz val="10"/>
      <color rgb="FFFF0000"/>
      <name val="Arial"/>
      <family val="2"/>
    </font>
    <font>
      <sz val="20"/>
      <name val="Calibri"/>
      <family val="2"/>
    </font>
    <font>
      <b/>
      <sz val="10"/>
      <color rgb="FFFF0000"/>
      <name val="맑은 고딕"/>
      <family val="2"/>
      <charset val="129"/>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4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right style="thin">
        <color indexed="64"/>
      </right>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double">
        <color indexed="64"/>
      </right>
      <top style="double">
        <color indexed="64"/>
      </top>
      <bottom style="double">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s>
  <cellStyleXfs count="14">
    <xf numFmtId="0" fontId="0" fillId="0" borderId="0">
      <alignment vertical="center"/>
    </xf>
    <xf numFmtId="41" fontId="1" fillId="0" borderId="0" applyFont="0" applyFill="0" applyBorder="0" applyAlignment="0" applyProtection="0">
      <alignment vertical="center"/>
    </xf>
    <xf numFmtId="0" fontId="1" fillId="0" borderId="0">
      <alignment vertical="center"/>
    </xf>
    <xf numFmtId="37" fontId="5" fillId="0" borderId="0"/>
    <xf numFmtId="0" fontId="25" fillId="0" borderId="0">
      <alignment vertical="center"/>
    </xf>
    <xf numFmtId="41" fontId="1" fillId="0" borderId="0" applyFont="0" applyFill="0" applyBorder="0" applyAlignment="0" applyProtection="0"/>
    <xf numFmtId="0" fontId="1" fillId="0" borderId="0">
      <alignment vertical="center"/>
    </xf>
    <xf numFmtId="0" fontId="31" fillId="0" borderId="0">
      <alignment vertical="center"/>
    </xf>
    <xf numFmtId="0" fontId="1" fillId="0" borderId="0">
      <alignment vertical="center"/>
    </xf>
    <xf numFmtId="0" fontId="43" fillId="0" borderId="0" applyNumberFormat="0" applyFill="0" applyBorder="0" applyAlignment="0" applyProtection="0">
      <alignment vertical="center"/>
    </xf>
    <xf numFmtId="0" fontId="49" fillId="0" borderId="0"/>
    <xf numFmtId="4" fontId="53" fillId="0" borderId="0">
      <protection locked="0"/>
    </xf>
    <xf numFmtId="41" fontId="1" fillId="0" borderId="0" applyFont="0" applyFill="0" applyBorder="0" applyAlignment="0" applyProtection="0">
      <alignment vertical="center"/>
    </xf>
    <xf numFmtId="41" fontId="1" fillId="0" borderId="0" applyFont="0" applyFill="0" applyBorder="0" applyAlignment="0" applyProtection="0"/>
  </cellStyleXfs>
  <cellXfs count="530">
    <xf numFmtId="0" fontId="0" fillId="0" borderId="0" xfId="0">
      <alignment vertical="center"/>
    </xf>
    <xf numFmtId="0" fontId="2" fillId="0" borderId="1" xfId="0" applyFont="1" applyBorder="1">
      <alignment vertical="center"/>
    </xf>
    <xf numFmtId="0" fontId="2" fillId="0" borderId="2" xfId="0" applyFont="1" applyBorder="1">
      <alignment vertical="center"/>
    </xf>
    <xf numFmtId="41" fontId="2" fillId="0" borderId="2" xfId="0" applyNumberFormat="1" applyFont="1" applyBorder="1" applyAlignment="1">
      <alignment horizontal="center" vertical="center"/>
    </xf>
    <xf numFmtId="41" fontId="2" fillId="0" borderId="2" xfId="0" applyNumberFormat="1" applyFont="1" applyBorder="1" applyAlignment="1">
      <alignment horizontal="left" vertical="center"/>
    </xf>
    <xf numFmtId="41" fontId="2" fillId="0" borderId="3" xfId="1" applyFont="1" applyFill="1" applyBorder="1" applyAlignment="1">
      <alignment horizontal="center" vertical="center"/>
    </xf>
    <xf numFmtId="41" fontId="2" fillId="0" borderId="0" xfId="0" applyNumberFormat="1" applyFont="1" applyAlignment="1">
      <alignment horizontal="center" vertical="center"/>
    </xf>
    <xf numFmtId="0" fontId="2" fillId="0" borderId="0" xfId="0" applyFont="1">
      <alignment vertical="center"/>
    </xf>
    <xf numFmtId="0" fontId="2" fillId="0" borderId="4" xfId="0" applyFont="1" applyBorder="1">
      <alignment vertical="center"/>
    </xf>
    <xf numFmtId="41" fontId="2" fillId="0" borderId="5" xfId="1" applyFont="1" applyFill="1" applyBorder="1" applyAlignment="1">
      <alignment horizontal="center" vertical="center"/>
    </xf>
    <xf numFmtId="0" fontId="3" fillId="0" borderId="4" xfId="2" applyFont="1" applyBorder="1">
      <alignment vertical="center"/>
    </xf>
    <xf numFmtId="41" fontId="2" fillId="0" borderId="0" xfId="3" applyNumberFormat="1" applyFont="1" applyAlignment="1">
      <alignment horizontal="fill" vertical="center"/>
    </xf>
    <xf numFmtId="37" fontId="6" fillId="0" borderId="0" xfId="3" applyFont="1" applyAlignment="1">
      <alignment vertical="center"/>
    </xf>
    <xf numFmtId="37" fontId="2" fillId="0" borderId="0" xfId="3" applyFont="1" applyAlignment="1">
      <alignment vertical="center"/>
    </xf>
    <xf numFmtId="37" fontId="3" fillId="0" borderId="9" xfId="3" applyFont="1" applyBorder="1" applyAlignment="1">
      <alignment vertical="center"/>
    </xf>
    <xf numFmtId="37" fontId="2" fillId="0" borderId="10" xfId="3" applyFont="1" applyBorder="1" applyAlignment="1">
      <alignment vertical="center"/>
    </xf>
    <xf numFmtId="37" fontId="2" fillId="0" borderId="10" xfId="3" applyFont="1" applyBorder="1" applyAlignment="1">
      <alignment horizontal="center" vertical="center"/>
    </xf>
    <xf numFmtId="37" fontId="2" fillId="0" borderId="11" xfId="3" applyFont="1" applyBorder="1" applyAlignment="1">
      <alignment horizontal="center" vertical="center"/>
    </xf>
    <xf numFmtId="37" fontId="3" fillId="0" borderId="12" xfId="3" applyFont="1" applyBorder="1" applyAlignment="1">
      <alignment vertical="center"/>
    </xf>
    <xf numFmtId="37" fontId="2" fillId="0" borderId="10" xfId="3" applyFont="1" applyBorder="1" applyAlignment="1">
      <alignment horizontal="left" vertical="center"/>
    </xf>
    <xf numFmtId="37" fontId="2" fillId="0" borderId="13" xfId="3" applyFont="1" applyBorder="1" applyAlignment="1">
      <alignment vertical="center"/>
    </xf>
    <xf numFmtId="37" fontId="2" fillId="0" borderId="0" xfId="3" applyFont="1" applyAlignment="1">
      <alignment horizontal="center" vertical="center"/>
    </xf>
    <xf numFmtId="0" fontId="7" fillId="0" borderId="0" xfId="0" applyFont="1">
      <alignment vertical="center"/>
    </xf>
    <xf numFmtId="37" fontId="8" fillId="0" borderId="4" xfId="3" applyFont="1" applyBorder="1" applyAlignment="1">
      <alignment vertical="center"/>
    </xf>
    <xf numFmtId="37" fontId="3" fillId="0" borderId="15" xfId="3" applyFont="1" applyBorder="1" applyAlignment="1">
      <alignment vertical="center"/>
    </xf>
    <xf numFmtId="37" fontId="2" fillId="0" borderId="7" xfId="3" applyFont="1" applyBorder="1" applyAlignment="1">
      <alignment horizontal="left" vertical="center"/>
    </xf>
    <xf numFmtId="15" fontId="2" fillId="0" borderId="7" xfId="0" applyNumberFormat="1" applyFont="1" applyBorder="1" applyAlignment="1">
      <alignment horizontal="left" vertical="center"/>
    </xf>
    <xf numFmtId="37" fontId="2" fillId="0" borderId="8" xfId="3" applyFont="1" applyBorder="1" applyAlignment="1">
      <alignment vertical="center"/>
    </xf>
    <xf numFmtId="0" fontId="3" fillId="0" borderId="0" xfId="0" applyFont="1">
      <alignment vertical="center"/>
    </xf>
    <xf numFmtId="0" fontId="3" fillId="0" borderId="12" xfId="0" applyFont="1" applyBorder="1">
      <alignment vertical="center"/>
    </xf>
    <xf numFmtId="0" fontId="2" fillId="0" borderId="10" xfId="0" applyFont="1" applyBorder="1">
      <alignment vertical="center"/>
    </xf>
    <xf numFmtId="0" fontId="2" fillId="0" borderId="13" xfId="0" applyFont="1" applyBorder="1">
      <alignment vertical="center"/>
    </xf>
    <xf numFmtId="37" fontId="2" fillId="0" borderId="7" xfId="3" applyFont="1" applyBorder="1" applyAlignment="1">
      <alignment vertical="center"/>
    </xf>
    <xf numFmtId="0" fontId="3" fillId="0" borderId="9" xfId="0" applyFont="1" applyBorder="1">
      <alignment vertical="center"/>
    </xf>
    <xf numFmtId="0" fontId="2" fillId="0" borderId="11" xfId="0" applyFont="1" applyBorder="1">
      <alignment vertical="center"/>
    </xf>
    <xf numFmtId="0" fontId="2" fillId="0" borderId="6" xfId="0" applyFont="1" applyBorder="1">
      <alignment vertical="center"/>
    </xf>
    <xf numFmtId="0" fontId="3" fillId="0" borderId="4" xfId="0" applyFont="1" applyBorder="1">
      <alignment vertical="center"/>
    </xf>
    <xf numFmtId="0" fontId="2" fillId="0" borderId="19" xfId="0" applyFont="1" applyBorder="1" applyAlignment="1">
      <alignment horizontal="left" vertical="center"/>
    </xf>
    <xf numFmtId="0" fontId="8" fillId="0" borderId="19" xfId="0" applyFont="1" applyBorder="1" applyAlignment="1">
      <alignment horizontal="left" vertical="center"/>
    </xf>
    <xf numFmtId="0" fontId="2" fillId="0" borderId="0" xfId="0" applyFont="1" applyAlignment="1">
      <alignment horizontal="left" vertical="center"/>
    </xf>
    <xf numFmtId="0" fontId="3" fillId="0" borderId="11" xfId="0" applyFont="1" applyBorder="1">
      <alignment vertical="center"/>
    </xf>
    <xf numFmtId="15" fontId="2" fillId="0" borderId="7" xfId="3" applyNumberFormat="1" applyFont="1" applyBorder="1" applyAlignment="1">
      <alignment horizontal="left" vertical="center"/>
    </xf>
    <xf numFmtId="41" fontId="2" fillId="0" borderId="19" xfId="0" applyNumberFormat="1" applyFont="1" applyBorder="1" applyAlignment="1">
      <alignment horizontal="center" vertical="center"/>
    </xf>
    <xf numFmtId="0" fontId="2" fillId="0" borderId="12" xfId="0" applyFont="1" applyBorder="1" applyAlignment="1">
      <alignment horizontal="left" vertical="center"/>
    </xf>
    <xf numFmtId="41" fontId="2" fillId="0" borderId="10" xfId="0" applyNumberFormat="1" applyFont="1" applyBorder="1" applyAlignment="1">
      <alignment horizontal="center" vertical="center"/>
    </xf>
    <xf numFmtId="41" fontId="2" fillId="0" borderId="10" xfId="0" applyNumberFormat="1" applyFont="1" applyBorder="1" applyAlignment="1">
      <alignment horizontal="left" vertical="center"/>
    </xf>
    <xf numFmtId="41" fontId="2" fillId="0" borderId="13" xfId="1" applyFont="1" applyFill="1" applyBorder="1" applyAlignment="1">
      <alignment horizontal="center" vertical="center"/>
    </xf>
    <xf numFmtId="0" fontId="2" fillId="0" borderId="15" xfId="0" applyFont="1" applyBorder="1" applyAlignment="1">
      <alignment horizontal="left" vertical="center"/>
    </xf>
    <xf numFmtId="41" fontId="2" fillId="0" borderId="7" xfId="0" applyNumberFormat="1" applyFont="1" applyBorder="1" applyAlignment="1">
      <alignment horizontal="center" vertical="center"/>
    </xf>
    <xf numFmtId="41" fontId="2" fillId="0" borderId="8" xfId="1" applyFont="1" applyFill="1" applyBorder="1" applyAlignment="1">
      <alignment horizontal="center" vertical="center"/>
    </xf>
    <xf numFmtId="41" fontId="3" fillId="0" borderId="21" xfId="0" applyNumberFormat="1" applyFont="1" applyBorder="1" applyAlignment="1">
      <alignment horizontal="center" vertical="center"/>
    </xf>
    <xf numFmtId="41" fontId="3" fillId="0" borderId="21" xfId="0" applyNumberFormat="1" applyFont="1" applyBorder="1" applyAlignment="1">
      <alignment horizontal="center" vertical="center" wrapText="1"/>
    </xf>
    <xf numFmtId="41" fontId="3" fillId="0" borderId="22" xfId="0" applyNumberFormat="1" applyFont="1" applyBorder="1" applyAlignment="1">
      <alignment horizontal="center" vertical="center" wrapText="1"/>
    </xf>
    <xf numFmtId="41" fontId="2" fillId="0" borderId="23" xfId="0" applyNumberFormat="1" applyFont="1" applyBorder="1" applyAlignment="1">
      <alignment horizontal="center" vertical="center"/>
    </xf>
    <xf numFmtId="164" fontId="2" fillId="0" borderId="24" xfId="1" applyNumberFormat="1" applyFont="1" applyFill="1" applyBorder="1" applyAlignment="1">
      <alignment horizontal="center" vertical="center"/>
    </xf>
    <xf numFmtId="41" fontId="2" fillId="0" borderId="14" xfId="0" applyNumberFormat="1" applyFont="1" applyBorder="1" applyAlignment="1">
      <alignment horizontal="center" vertical="center"/>
    </xf>
    <xf numFmtId="41" fontId="2" fillId="0" borderId="24" xfId="0" applyNumberFormat="1" applyFont="1" applyBorder="1" applyAlignment="1">
      <alignment horizontal="center" vertical="center"/>
    </xf>
    <xf numFmtId="0" fontId="3" fillId="0" borderId="6" xfId="0" applyFont="1" applyBorder="1">
      <alignment vertical="center"/>
    </xf>
    <xf numFmtId="0" fontId="2" fillId="0" borderId="7" xfId="0" applyFont="1" applyBorder="1">
      <alignment vertical="center"/>
    </xf>
    <xf numFmtId="41" fontId="2" fillId="0" borderId="20" xfId="0" applyNumberFormat="1" applyFont="1" applyBorder="1" applyAlignment="1">
      <alignment horizontal="center" vertical="center"/>
    </xf>
    <xf numFmtId="41" fontId="2" fillId="0" borderId="21" xfId="0" applyNumberFormat="1" applyFont="1" applyBorder="1" applyAlignment="1">
      <alignment horizontal="center" vertical="center"/>
    </xf>
    <xf numFmtId="41" fontId="2" fillId="0" borderId="22" xfId="0" applyNumberFormat="1" applyFont="1" applyBorder="1" applyAlignment="1">
      <alignment horizontal="center" vertical="center"/>
    </xf>
    <xf numFmtId="41" fontId="3" fillId="0" borderId="10" xfId="0" applyNumberFormat="1" applyFont="1" applyBorder="1" applyAlignment="1">
      <alignment horizontal="left" vertical="center"/>
    </xf>
    <xf numFmtId="164" fontId="2" fillId="0" borderId="13" xfId="1" applyNumberFormat="1" applyFont="1" applyFill="1" applyBorder="1" applyAlignment="1">
      <alignment horizontal="left" vertical="center"/>
    </xf>
    <xf numFmtId="41" fontId="2" fillId="0" borderId="7" xfId="0" applyNumberFormat="1" applyFont="1" applyBorder="1" applyAlignment="1">
      <alignment horizontal="left" vertical="center"/>
    </xf>
    <xf numFmtId="41" fontId="2" fillId="0" borderId="8" xfId="1" applyFont="1" applyFill="1" applyBorder="1" applyAlignment="1">
      <alignment horizontal="left" vertical="center"/>
    </xf>
    <xf numFmtId="0" fontId="2" fillId="0" borderId="0" xfId="0" applyFont="1" applyAlignment="1">
      <alignment horizontal="center" vertical="center"/>
    </xf>
    <xf numFmtId="0" fontId="8" fillId="0" borderId="16" xfId="0" applyFont="1" applyBorder="1">
      <alignment vertical="center"/>
    </xf>
    <xf numFmtId="0" fontId="2" fillId="0" borderId="17" xfId="0" applyFont="1" applyBorder="1">
      <alignment vertical="center"/>
    </xf>
    <xf numFmtId="41" fontId="2" fillId="0" borderId="17" xfId="0" applyNumberFormat="1" applyFont="1" applyBorder="1" applyAlignment="1">
      <alignment horizontal="center" vertical="center"/>
    </xf>
    <xf numFmtId="41" fontId="2" fillId="0" borderId="17" xfId="0" applyNumberFormat="1" applyFont="1" applyBorder="1" applyAlignment="1">
      <alignment horizontal="left" vertical="center"/>
    </xf>
    <xf numFmtId="41" fontId="2" fillId="0" borderId="18" xfId="1" applyFont="1" applyFill="1" applyBorder="1" applyAlignment="1">
      <alignment horizontal="center" vertical="center"/>
    </xf>
    <xf numFmtId="41" fontId="2" fillId="0" borderId="0" xfId="1" applyFont="1" applyFill="1" applyAlignment="1">
      <alignment horizontal="center" vertical="center"/>
    </xf>
    <xf numFmtId="0" fontId="12" fillId="0" borderId="0" xfId="0" applyFont="1">
      <alignment vertical="center"/>
    </xf>
    <xf numFmtId="37" fontId="12" fillId="0" borderId="0" xfId="0" applyNumberFormat="1" applyFont="1" applyAlignment="1">
      <alignment horizontal="left" vertical="center" indent="1"/>
    </xf>
    <xf numFmtId="0" fontId="12" fillId="0" borderId="0" xfId="0" applyFont="1" applyAlignment="1">
      <alignment horizontal="left" vertical="center" indent="1"/>
    </xf>
    <xf numFmtId="37" fontId="12" fillId="0" borderId="0" xfId="0" applyNumberFormat="1" applyFont="1">
      <alignment vertical="center"/>
    </xf>
    <xf numFmtId="37" fontId="12" fillId="0" borderId="0" xfId="0" applyNumberFormat="1" applyFont="1" applyAlignment="1">
      <alignment horizontal="center" vertical="center"/>
    </xf>
    <xf numFmtId="0" fontId="12" fillId="0" borderId="0" xfId="0" applyFont="1" applyAlignment="1">
      <alignment horizontal="center" vertical="center"/>
    </xf>
    <xf numFmtId="0" fontId="12" fillId="0" borderId="26" xfId="0" applyFont="1" applyBorder="1" applyAlignment="1">
      <alignment horizontal="center" vertical="center"/>
    </xf>
    <xf numFmtId="43" fontId="12" fillId="0" borderId="0" xfId="0" applyNumberFormat="1" applyFont="1">
      <alignment vertical="center"/>
    </xf>
    <xf numFmtId="0" fontId="12" fillId="0" borderId="7" xfId="0" applyFont="1" applyBorder="1">
      <alignment vertical="center"/>
    </xf>
    <xf numFmtId="0" fontId="12" fillId="0" borderId="12" xfId="0" applyFont="1" applyBorder="1">
      <alignment vertical="center"/>
    </xf>
    <xf numFmtId="0" fontId="12" fillId="0" borderId="11" xfId="0" applyFont="1" applyBorder="1">
      <alignment vertical="center"/>
    </xf>
    <xf numFmtId="0" fontId="12" fillId="0" borderId="10" xfId="0" applyFont="1" applyBorder="1">
      <alignment vertical="center"/>
    </xf>
    <xf numFmtId="41" fontId="12" fillId="0" borderId="10" xfId="0" applyNumberFormat="1" applyFont="1" applyBorder="1" applyAlignment="1">
      <alignment horizontal="left" vertical="center"/>
    </xf>
    <xf numFmtId="41" fontId="13" fillId="0" borderId="10" xfId="0" applyNumberFormat="1" applyFont="1" applyBorder="1" applyAlignment="1">
      <alignment horizontal="left" vertical="center"/>
    </xf>
    <xf numFmtId="41" fontId="14" fillId="0" borderId="10" xfId="0" applyNumberFormat="1" applyFont="1" applyBorder="1" applyAlignment="1">
      <alignment horizontal="left" vertical="center"/>
    </xf>
    <xf numFmtId="0" fontId="12" fillId="0" borderId="10" xfId="0" applyFont="1" applyBorder="1" applyAlignment="1">
      <alignment horizontal="center" vertical="center"/>
    </xf>
    <xf numFmtId="164" fontId="12" fillId="0" borderId="14" xfId="0" applyNumberFormat="1" applyFont="1" applyBorder="1">
      <alignment vertical="center"/>
    </xf>
    <xf numFmtId="0" fontId="12" fillId="0" borderId="15" xfId="0" applyFont="1" applyBorder="1">
      <alignment vertical="center"/>
    </xf>
    <xf numFmtId="0" fontId="12" fillId="0" borderId="20" xfId="0" applyFont="1" applyBorder="1">
      <alignment vertical="center"/>
    </xf>
    <xf numFmtId="41" fontId="12" fillId="0" borderId="7" xfId="0" applyNumberFormat="1" applyFont="1" applyBorder="1" applyAlignment="1">
      <alignment horizontal="left" vertical="center"/>
    </xf>
    <xf numFmtId="41" fontId="13" fillId="0" borderId="7" xfId="0" applyNumberFormat="1" applyFont="1" applyBorder="1" applyAlignment="1">
      <alignment horizontal="left" vertical="center"/>
    </xf>
    <xf numFmtId="0" fontId="12" fillId="0" borderId="7" xfId="0" applyFont="1" applyBorder="1" applyAlignment="1">
      <alignment horizontal="center" vertical="center"/>
    </xf>
    <xf numFmtId="165" fontId="2" fillId="0" borderId="0" xfId="0" applyNumberFormat="1" applyFont="1" applyAlignment="1">
      <alignment horizontal="center" vertical="center"/>
    </xf>
    <xf numFmtId="166" fontId="2" fillId="0" borderId="0" xfId="0" applyNumberFormat="1" applyFont="1" applyAlignment="1">
      <alignment horizontal="center" vertical="center"/>
    </xf>
    <xf numFmtId="41" fontId="2" fillId="0" borderId="0" xfId="3" applyNumberFormat="1" applyFont="1" applyAlignment="1">
      <alignment vertical="center"/>
    </xf>
    <xf numFmtId="165" fontId="2" fillId="0" borderId="0" xfId="3" applyNumberFormat="1" applyFont="1" applyAlignment="1">
      <alignment vertical="center"/>
    </xf>
    <xf numFmtId="37" fontId="3" fillId="0" borderId="4" xfId="3" applyFont="1" applyBorder="1" applyAlignment="1">
      <alignment vertical="center"/>
    </xf>
    <xf numFmtId="0" fontId="15" fillId="0" borderId="5" xfId="0" applyFont="1" applyBorder="1">
      <alignment vertical="center"/>
    </xf>
    <xf numFmtId="0" fontId="9" fillId="0" borderId="19" xfId="0" applyFont="1" applyBorder="1" applyAlignment="1">
      <alignment horizontal="left" vertical="center"/>
    </xf>
    <xf numFmtId="41" fontId="3" fillId="0" borderId="26" xfId="0" applyNumberFormat="1" applyFont="1" applyBorder="1" applyAlignment="1">
      <alignment horizontal="center" vertical="center"/>
    </xf>
    <xf numFmtId="41" fontId="3" fillId="0" borderId="26" xfId="0" applyNumberFormat="1" applyFont="1" applyBorder="1" applyAlignment="1">
      <alignment horizontal="center" vertical="center" wrapText="1"/>
    </xf>
    <xf numFmtId="41" fontId="3" fillId="0" borderId="29" xfId="0" applyNumberFormat="1" applyFont="1" applyBorder="1" applyAlignment="1">
      <alignment horizontal="center" vertical="center" wrapText="1"/>
    </xf>
    <xf numFmtId="41" fontId="3" fillId="0" borderId="0" xfId="0" applyNumberFormat="1" applyFont="1" applyAlignment="1">
      <alignment horizontal="center" vertical="center"/>
    </xf>
    <xf numFmtId="165" fontId="3" fillId="0" borderId="0" xfId="0" applyNumberFormat="1" applyFont="1" applyAlignment="1">
      <alignment horizontal="center" vertical="center"/>
    </xf>
    <xf numFmtId="0" fontId="3" fillId="0" borderId="0" xfId="0" applyFont="1" applyAlignment="1">
      <alignment horizontal="center" vertical="center"/>
    </xf>
    <xf numFmtId="166" fontId="3" fillId="0" borderId="0" xfId="0" applyNumberFormat="1" applyFont="1" applyAlignment="1">
      <alignment horizontal="center" vertical="center"/>
    </xf>
    <xf numFmtId="167" fontId="2" fillId="0" borderId="23" xfId="0" applyNumberFormat="1" applyFont="1" applyBorder="1" applyAlignment="1">
      <alignment horizontal="center" vertical="center"/>
    </xf>
    <xf numFmtId="164" fontId="2" fillId="0" borderId="24" xfId="0" applyNumberFormat="1" applyFont="1" applyBorder="1" applyAlignment="1">
      <alignment horizontal="center" vertical="center"/>
    </xf>
    <xf numFmtId="0" fontId="3" fillId="0" borderId="27" xfId="0" applyFont="1" applyBorder="1">
      <alignment vertical="center"/>
    </xf>
    <xf numFmtId="0" fontId="3" fillId="0" borderId="28" xfId="0" applyFont="1" applyBorder="1">
      <alignment vertical="center"/>
    </xf>
    <xf numFmtId="0" fontId="2" fillId="0" borderId="4" xfId="2" applyFont="1" applyBorder="1">
      <alignment vertical="center"/>
    </xf>
    <xf numFmtId="0" fontId="8" fillId="0" borderId="4" xfId="0" applyFont="1" applyBorder="1">
      <alignment vertical="center"/>
    </xf>
    <xf numFmtId="0" fontId="2" fillId="0" borderId="16" xfId="0" applyFont="1" applyBorder="1">
      <alignment vertical="center"/>
    </xf>
    <xf numFmtId="0" fontId="17" fillId="0" borderId="0" xfId="0" applyFont="1">
      <alignment vertical="center"/>
    </xf>
    <xf numFmtId="41" fontId="2" fillId="0" borderId="0" xfId="1" applyFont="1" applyFill="1" applyBorder="1" applyAlignment="1">
      <alignment horizontal="center" vertical="center"/>
    </xf>
    <xf numFmtId="0" fontId="4" fillId="0" borderId="32" xfId="0" applyFont="1" applyBorder="1" applyAlignment="1">
      <alignment horizontal="center" vertical="center"/>
    </xf>
    <xf numFmtId="0" fontId="3" fillId="0" borderId="0" xfId="0" applyFont="1" applyAlignment="1">
      <alignment horizontal="left" vertical="center"/>
    </xf>
    <xf numFmtId="37" fontId="2" fillId="0" borderId="0" xfId="0" applyNumberFormat="1" applyFont="1" applyAlignment="1">
      <alignment horizontal="left" vertical="center"/>
    </xf>
    <xf numFmtId="0" fontId="2" fillId="0" borderId="0" xfId="0" applyFont="1" applyAlignment="1">
      <alignment horizontal="right" vertical="center"/>
    </xf>
    <xf numFmtId="15" fontId="2" fillId="0" borderId="0" xfId="0" quotePrefix="1" applyNumberFormat="1" applyFont="1" applyAlignment="1">
      <alignment horizontal="left" vertical="center"/>
    </xf>
    <xf numFmtId="0" fontId="2" fillId="0" borderId="0" xfId="0" applyFont="1" applyAlignment="1">
      <alignment horizontal="left" vertical="center" indent="1"/>
    </xf>
    <xf numFmtId="0" fontId="2" fillId="0" borderId="26" xfId="0" applyFont="1" applyBorder="1" applyAlignment="1">
      <alignment horizontal="left" vertical="center"/>
    </xf>
    <xf numFmtId="0" fontId="2" fillId="0" borderId="26" xfId="0" applyFont="1" applyBorder="1" applyAlignment="1">
      <alignment horizontal="center" vertical="center"/>
    </xf>
    <xf numFmtId="0" fontId="3" fillId="0" borderId="26" xfId="0" applyFont="1" applyBorder="1" applyAlignment="1">
      <alignment horizontal="center" vertical="center"/>
    </xf>
    <xf numFmtId="0" fontId="3" fillId="0" borderId="26" xfId="0" applyFont="1" applyBorder="1" applyAlignment="1">
      <alignment horizontal="center" vertical="center" wrapText="1"/>
    </xf>
    <xf numFmtId="41" fontId="2" fillId="0" borderId="0" xfId="1" applyFont="1" applyFill="1" applyAlignment="1">
      <alignment vertical="center"/>
    </xf>
    <xf numFmtId="0" fontId="2" fillId="0" borderId="0" xfId="0" applyFont="1" applyAlignment="1">
      <alignment vertical="center" wrapText="1"/>
    </xf>
    <xf numFmtId="0" fontId="2" fillId="0" borderId="0" xfId="1" applyNumberFormat="1" applyFont="1" applyFill="1" applyAlignment="1">
      <alignment vertical="center"/>
    </xf>
    <xf numFmtId="41" fontId="2" fillId="0" borderId="0" xfId="1" applyFont="1" applyAlignment="1">
      <alignment vertical="center"/>
    </xf>
    <xf numFmtId="0" fontId="2" fillId="0" borderId="0" xfId="1" applyNumberFormat="1" applyFont="1" applyAlignment="1">
      <alignment vertical="center"/>
    </xf>
    <xf numFmtId="0" fontId="19" fillId="0" borderId="0" xfId="0" applyFont="1" applyAlignment="1">
      <alignment horizontal="center" vertical="center"/>
    </xf>
    <xf numFmtId="0" fontId="20" fillId="0" borderId="0" xfId="0" applyFont="1">
      <alignment vertical="center"/>
    </xf>
    <xf numFmtId="0" fontId="21" fillId="0" borderId="0" xfId="0" applyFont="1" applyAlignment="1">
      <alignment horizontal="center" vertical="center"/>
    </xf>
    <xf numFmtId="0" fontId="21" fillId="0" borderId="0" xfId="0" applyFont="1">
      <alignment vertical="center"/>
    </xf>
    <xf numFmtId="41" fontId="12" fillId="0" borderId="0" xfId="0" applyNumberFormat="1" applyFont="1" applyAlignment="1">
      <alignment horizontal="center" vertical="center"/>
    </xf>
    <xf numFmtId="41" fontId="22" fillId="0" borderId="0" xfId="0" applyNumberFormat="1" applyFont="1" applyAlignment="1">
      <alignment horizontal="left" vertical="center"/>
    </xf>
    <xf numFmtId="41" fontId="12" fillId="0" borderId="0" xfId="1" applyFont="1" applyFill="1" applyBorder="1" applyAlignment="1">
      <alignment horizontal="center" vertical="center"/>
    </xf>
    <xf numFmtId="0" fontId="19" fillId="0" borderId="32" xfId="0" applyFont="1" applyBorder="1" applyAlignment="1">
      <alignment horizontal="center" vertical="center"/>
    </xf>
    <xf numFmtId="0" fontId="14" fillId="0" borderId="0" xfId="0" applyFont="1" applyAlignment="1">
      <alignment horizontal="left" vertical="center"/>
    </xf>
    <xf numFmtId="37" fontId="12" fillId="0" borderId="0" xfId="0" applyNumberFormat="1" applyFont="1" applyAlignment="1">
      <alignment horizontal="left" vertical="center"/>
    </xf>
    <xf numFmtId="168" fontId="12" fillId="0" borderId="0" xfId="0" applyNumberFormat="1" applyFont="1" applyAlignment="1">
      <alignment horizontal="center" vertical="center"/>
    </xf>
    <xf numFmtId="0" fontId="12" fillId="0" borderId="0" xfId="0" applyFont="1" applyAlignment="1">
      <alignment horizontal="right" vertical="center"/>
    </xf>
    <xf numFmtId="0" fontId="23" fillId="0" borderId="0" xfId="0" applyFont="1">
      <alignment vertical="center"/>
    </xf>
    <xf numFmtId="0" fontId="12" fillId="0" borderId="0" xfId="0" applyFont="1" applyAlignment="1">
      <alignment horizontal="left" vertical="center"/>
    </xf>
    <xf numFmtId="168" fontId="12" fillId="0" borderId="0" xfId="0" applyNumberFormat="1" applyFont="1" applyAlignment="1">
      <alignment horizontal="left" vertical="center"/>
    </xf>
    <xf numFmtId="168" fontId="12" fillId="0" borderId="26" xfId="0" applyNumberFormat="1" applyFont="1" applyBorder="1" applyAlignment="1">
      <alignment horizontal="left" vertical="center"/>
    </xf>
    <xf numFmtId="168" fontId="12" fillId="0" borderId="26" xfId="0" applyNumberFormat="1" applyFont="1" applyBorder="1" applyAlignment="1">
      <alignment horizontal="center" vertical="center"/>
    </xf>
    <xf numFmtId="0" fontId="24" fillId="0" borderId="0" xfId="0" applyFont="1">
      <alignment vertical="center"/>
    </xf>
    <xf numFmtId="0" fontId="14" fillId="0" borderId="0" xfId="0" applyFont="1" applyAlignment="1">
      <alignment horizontal="center" vertical="center"/>
    </xf>
    <xf numFmtId="0" fontId="14" fillId="0" borderId="0" xfId="0" applyFont="1">
      <alignment vertical="center"/>
    </xf>
    <xf numFmtId="0" fontId="14" fillId="0" borderId="26" xfId="0" applyFont="1" applyBorder="1" applyAlignment="1">
      <alignment horizontal="center" vertical="center"/>
    </xf>
    <xf numFmtId="0" fontId="14" fillId="0" borderId="26" xfId="0" applyFont="1" applyBorder="1" applyAlignment="1">
      <alignment horizontal="center" vertical="center" wrapText="1"/>
    </xf>
    <xf numFmtId="168" fontId="14" fillId="0" borderId="26" xfId="0" applyNumberFormat="1" applyFont="1" applyBorder="1" applyAlignment="1">
      <alignment horizontal="center" vertical="center" wrapText="1"/>
    </xf>
    <xf numFmtId="41" fontId="12" fillId="0" borderId="0" xfId="1" applyFont="1" applyAlignment="1">
      <alignment vertical="center"/>
    </xf>
    <xf numFmtId="168" fontId="12" fillId="0" borderId="0" xfId="0" applyNumberFormat="1" applyFont="1">
      <alignment vertical="center"/>
    </xf>
    <xf numFmtId="0" fontId="12" fillId="0" borderId="0" xfId="1" applyNumberFormat="1" applyFont="1" applyFill="1" applyAlignment="1">
      <alignment vertical="center"/>
    </xf>
    <xf numFmtId="0" fontId="28" fillId="0" borderId="0" xfId="6" applyFont="1">
      <alignment vertical="center"/>
    </xf>
    <xf numFmtId="0" fontId="28" fillId="0" borderId="0" xfId="6" applyFont="1" applyAlignment="1">
      <alignment horizontal="center" vertical="center"/>
    </xf>
    <xf numFmtId="0" fontId="30" fillId="0" borderId="10" xfId="6" applyFont="1" applyBorder="1" applyAlignment="1">
      <alignment horizontal="center" vertical="top" wrapText="1"/>
    </xf>
    <xf numFmtId="0" fontId="28" fillId="0" borderId="0" xfId="6" applyFont="1" applyAlignment="1">
      <alignment horizontal="left" vertical="center" indent="2"/>
    </xf>
    <xf numFmtId="0" fontId="30" fillId="0" borderId="0" xfId="6" applyFont="1" applyAlignment="1">
      <alignment horizontal="center" vertical="top" wrapText="1"/>
    </xf>
    <xf numFmtId="0" fontId="30" fillId="0" borderId="0" xfId="6" applyFont="1" applyAlignment="1">
      <alignment horizontal="center" vertical="top"/>
    </xf>
    <xf numFmtId="170" fontId="28" fillId="0" borderId="0" xfId="6" applyNumberFormat="1" applyFont="1" applyAlignment="1">
      <alignment horizontal="left" vertical="center" indent="2"/>
    </xf>
    <xf numFmtId="41" fontId="28" fillId="0" borderId="0" xfId="1" applyFont="1" applyFill="1" applyBorder="1" applyAlignment="1">
      <alignment horizontal="left" vertical="top"/>
    </xf>
    <xf numFmtId="41" fontId="28" fillId="0" borderId="0" xfId="1" applyFont="1" applyFill="1" applyBorder="1" applyAlignment="1">
      <alignment vertical="top"/>
    </xf>
    <xf numFmtId="164" fontId="28" fillId="0" borderId="0" xfId="1" applyNumberFormat="1" applyFont="1" applyFill="1" applyBorder="1" applyAlignment="1">
      <alignment vertical="top"/>
    </xf>
    <xf numFmtId="49" fontId="28" fillId="0" borderId="14" xfId="6" applyNumberFormat="1" applyFont="1" applyBorder="1" applyAlignment="1">
      <alignment horizontal="left" vertical="top"/>
    </xf>
    <xf numFmtId="0" fontId="28" fillId="0" borderId="0" xfId="1" applyNumberFormat="1" applyFont="1" applyFill="1" applyBorder="1" applyAlignment="1">
      <alignment vertical="top"/>
    </xf>
    <xf numFmtId="0" fontId="30" fillId="0" borderId="7" xfId="6" applyFont="1" applyBorder="1" applyAlignment="1">
      <alignment horizontal="center" vertical="top" wrapText="1"/>
    </xf>
    <xf numFmtId="0" fontId="28" fillId="0" borderId="7" xfId="7" applyFont="1" applyBorder="1" applyAlignment="1">
      <alignment vertical="top" wrapText="1"/>
    </xf>
    <xf numFmtId="0" fontId="28" fillId="0" borderId="20" xfId="7" applyFont="1" applyBorder="1" applyAlignment="1">
      <alignment vertical="top" wrapText="1"/>
    </xf>
    <xf numFmtId="0" fontId="15" fillId="0" borderId="19" xfId="0" applyFont="1" applyBorder="1" applyAlignment="1">
      <alignment horizontal="left" vertical="center"/>
    </xf>
    <xf numFmtId="0" fontId="32" fillId="0" borderId="0" xfId="0" quotePrefix="1" applyFont="1" applyAlignment="1">
      <alignment vertical="center" wrapText="1"/>
    </xf>
    <xf numFmtId="0" fontId="28" fillId="0" borderId="25" xfId="6" applyFont="1" applyBorder="1" applyAlignment="1">
      <alignment horizontal="right" vertical="top" wrapText="1" indent="1"/>
    </xf>
    <xf numFmtId="0" fontId="28" fillId="0" borderId="23" xfId="6" applyFont="1" applyBorder="1" applyAlignment="1">
      <alignment horizontal="right" vertical="top" wrapText="1" indent="1"/>
    </xf>
    <xf numFmtId="0" fontId="28" fillId="0" borderId="23" xfId="6" applyFont="1" applyBorder="1" applyAlignment="1">
      <alignment horizontal="right" vertical="top" indent="1"/>
    </xf>
    <xf numFmtId="0" fontId="28" fillId="0" borderId="21" xfId="6" applyFont="1" applyBorder="1" applyAlignment="1">
      <alignment horizontal="right" vertical="top" wrapText="1" indent="1"/>
    </xf>
    <xf numFmtId="0" fontId="2" fillId="0" borderId="0" xfId="0" applyFont="1" applyBorder="1">
      <alignment vertical="center"/>
    </xf>
    <xf numFmtId="41" fontId="2" fillId="0" borderId="0" xfId="0" applyNumberFormat="1" applyFont="1" applyBorder="1" applyAlignment="1">
      <alignment horizontal="center" vertical="center"/>
    </xf>
    <xf numFmtId="41" fontId="2" fillId="0" borderId="0" xfId="0" applyNumberFormat="1" applyFont="1" applyBorder="1" applyAlignment="1">
      <alignment horizontal="left" vertical="center"/>
    </xf>
    <xf numFmtId="0" fontId="0" fillId="0" borderId="0" xfId="0" applyBorder="1" applyAlignment="1">
      <alignment horizontal="left" vertical="center" wrapText="1"/>
    </xf>
    <xf numFmtId="0" fontId="35" fillId="0" borderId="0" xfId="0" applyFont="1" applyBorder="1" applyAlignment="1">
      <alignment horizontal="left" vertical="top" wrapText="1"/>
    </xf>
    <xf numFmtId="0" fontId="3" fillId="0" borderId="0" xfId="0" applyFont="1" applyBorder="1">
      <alignment vertical="center"/>
    </xf>
    <xf numFmtId="0" fontId="8" fillId="0" borderId="0" xfId="0" applyFont="1" applyBorder="1">
      <alignment vertical="center"/>
    </xf>
    <xf numFmtId="0" fontId="8" fillId="0" borderId="0" xfId="0" applyFont="1" applyBorder="1" applyAlignment="1">
      <alignment vertical="center" wrapText="1"/>
    </xf>
    <xf numFmtId="0" fontId="2" fillId="0" borderId="0" xfId="0" applyFont="1" applyBorder="1" applyAlignment="1">
      <alignment horizontal="center" vertical="center"/>
    </xf>
    <xf numFmtId="41" fontId="2" fillId="0" borderId="18" xfId="0" applyNumberFormat="1" applyFont="1" applyBorder="1" applyAlignment="1">
      <alignment horizontal="left" vertical="center"/>
    </xf>
    <xf numFmtId="14" fontId="8" fillId="0" borderId="7" xfId="3" applyNumberFormat="1" applyFont="1" applyBorder="1" applyAlignment="1">
      <alignment vertical="center"/>
    </xf>
    <xf numFmtId="14" fontId="39" fillId="0" borderId="0" xfId="0" applyNumberFormat="1" applyFont="1">
      <alignment vertical="center"/>
    </xf>
    <xf numFmtId="14" fontId="2" fillId="0" borderId="0" xfId="0" quotePrefix="1" applyNumberFormat="1" applyFont="1" applyAlignment="1">
      <alignment horizontal="left" vertical="center"/>
    </xf>
    <xf numFmtId="14" fontId="12" fillId="0" borderId="0" xfId="0" quotePrefix="1" applyNumberFormat="1" applyFont="1" applyAlignment="1">
      <alignment horizontal="left" vertical="center"/>
    </xf>
    <xf numFmtId="15" fontId="12" fillId="0" borderId="0" xfId="0" applyNumberFormat="1" applyFont="1" applyAlignment="1">
      <alignment horizontal="left" vertical="center"/>
    </xf>
    <xf numFmtId="0" fontId="2" fillId="0" borderId="0" xfId="0" applyFont="1" applyBorder="1" applyAlignment="1">
      <alignment horizontal="left" vertical="center" wrapText="1"/>
    </xf>
    <xf numFmtId="0" fontId="2" fillId="0" borderId="0" xfId="0" quotePrefix="1" applyFont="1" applyBorder="1">
      <alignment vertical="center"/>
    </xf>
    <xf numFmtId="0" fontId="2" fillId="0" borderId="17" xfId="0" quotePrefix="1" applyFont="1" applyBorder="1">
      <alignment vertical="center"/>
    </xf>
    <xf numFmtId="0" fontId="4" fillId="0" borderId="0" xfId="0" applyFont="1" applyBorder="1">
      <alignment vertical="center"/>
    </xf>
    <xf numFmtId="0" fontId="4" fillId="0" borderId="0" xfId="0" applyFont="1" applyBorder="1" applyAlignment="1">
      <alignment horizontal="center" vertical="center"/>
    </xf>
    <xf numFmtId="0" fontId="12" fillId="0" borderId="26" xfId="0" quotePrefix="1" applyFont="1" applyBorder="1" applyAlignment="1">
      <alignment horizontal="center" vertical="center"/>
    </xf>
    <xf numFmtId="41" fontId="14" fillId="0" borderId="26" xfId="1" applyFont="1" applyBorder="1" applyAlignment="1">
      <alignment horizontal="center" vertical="center"/>
    </xf>
    <xf numFmtId="41" fontId="12" fillId="0" borderId="0" xfId="1" applyFont="1">
      <alignment vertical="center"/>
    </xf>
    <xf numFmtId="41" fontId="12" fillId="0" borderId="0" xfId="1" applyFont="1" applyAlignment="1">
      <alignment horizontal="left" vertical="center"/>
    </xf>
    <xf numFmtId="41" fontId="12" fillId="0" borderId="0" xfId="1" applyFont="1" applyAlignment="1">
      <alignment horizontal="center" vertical="center"/>
    </xf>
    <xf numFmtId="41" fontId="12" fillId="0" borderId="0" xfId="1" applyFont="1" applyAlignment="1">
      <alignment vertical="center" wrapText="1"/>
    </xf>
    <xf numFmtId="164" fontId="12" fillId="0" borderId="26" xfId="1" applyNumberFormat="1" applyFont="1" applyBorder="1" applyAlignment="1">
      <alignment horizontal="center" vertical="center"/>
    </xf>
    <xf numFmtId="2" fontId="14" fillId="0" borderId="0" xfId="0" applyNumberFormat="1" applyFont="1" applyAlignment="1">
      <alignment horizontal="center" vertical="center"/>
    </xf>
    <xf numFmtId="0" fontId="2" fillId="0" borderId="26" xfId="0" quotePrefix="1" applyFont="1" applyBorder="1" applyAlignment="1">
      <alignment horizontal="center" vertical="center"/>
    </xf>
    <xf numFmtId="41" fontId="12" fillId="0" borderId="0" xfId="1" applyNumberFormat="1" applyFont="1" applyAlignment="1">
      <alignment vertical="center" wrapText="1"/>
    </xf>
    <xf numFmtId="0" fontId="12" fillId="0" borderId="21" xfId="0" applyFont="1" applyBorder="1" applyAlignment="1">
      <alignment horizontal="center" vertical="center" wrapText="1"/>
    </xf>
    <xf numFmtId="0" fontId="12" fillId="0" borderId="15" xfId="0" applyFont="1" applyBorder="1" applyAlignment="1">
      <alignment horizontal="center" vertical="center"/>
    </xf>
    <xf numFmtId="0" fontId="12" fillId="0" borderId="21" xfId="0" applyFont="1" applyBorder="1" applyAlignment="1">
      <alignment horizontal="center" vertical="center"/>
    </xf>
    <xf numFmtId="0" fontId="12" fillId="0" borderId="21" xfId="0" applyFont="1" applyBorder="1" applyAlignment="1">
      <alignment horizontal="center" vertical="center" wrapText="1"/>
    </xf>
    <xf numFmtId="0" fontId="12" fillId="0" borderId="15" xfId="0" applyFont="1" applyBorder="1" applyAlignment="1">
      <alignment horizontal="center" vertical="center"/>
    </xf>
    <xf numFmtId="0" fontId="12" fillId="0" borderId="26" xfId="0" applyFont="1" applyBorder="1" applyAlignment="1">
      <alignment horizontal="center" vertical="center"/>
    </xf>
    <xf numFmtId="0" fontId="8" fillId="0" borderId="5" xfId="0" applyFont="1" applyBorder="1" applyAlignment="1">
      <alignment vertical="center" wrapText="1"/>
    </xf>
    <xf numFmtId="0" fontId="42" fillId="0" borderId="0" xfId="0" applyFont="1">
      <alignment vertical="center"/>
    </xf>
    <xf numFmtId="0" fontId="42" fillId="0" borderId="0" xfId="0" applyFont="1" applyAlignment="1">
      <alignment vertical="center" wrapText="1"/>
    </xf>
    <xf numFmtId="171" fontId="42" fillId="0" borderId="0" xfId="1" applyNumberFormat="1" applyFont="1">
      <alignment vertical="center"/>
    </xf>
    <xf numFmtId="0" fontId="42" fillId="0" borderId="0" xfId="0" applyFont="1" applyAlignment="1">
      <alignment horizontal="center" vertical="center"/>
    </xf>
    <xf numFmtId="0" fontId="44" fillId="0" borderId="0" xfId="9" applyFont="1">
      <alignment vertical="center"/>
    </xf>
    <xf numFmtId="0" fontId="12" fillId="0" borderId="0" xfId="0" applyFont="1" applyAlignment="1">
      <alignment vertical="center" wrapText="1"/>
    </xf>
    <xf numFmtId="0" fontId="45" fillId="0" borderId="0" xfId="0" applyFont="1">
      <alignment vertical="center"/>
    </xf>
    <xf numFmtId="0" fontId="21" fillId="0" borderId="0" xfId="0" applyFont="1" applyAlignment="1">
      <alignment vertical="center" wrapText="1"/>
    </xf>
    <xf numFmtId="172" fontId="42" fillId="0" borderId="0" xfId="0" applyNumberFormat="1" applyFont="1" applyAlignment="1">
      <alignment horizontal="left" vertical="center"/>
    </xf>
    <xf numFmtId="0" fontId="47" fillId="0" borderId="0" xfId="0" applyFont="1" applyAlignment="1">
      <alignment vertical="center" wrapText="1"/>
    </xf>
    <xf numFmtId="0" fontId="47" fillId="0" borderId="0" xfId="0" applyFont="1">
      <alignment vertical="center"/>
    </xf>
    <xf numFmtId="172" fontId="47" fillId="0" borderId="21" xfId="0" applyNumberFormat="1" applyFont="1" applyBorder="1" applyAlignment="1">
      <alignment horizontal="center" vertical="center" wrapText="1"/>
    </xf>
    <xf numFmtId="0" fontId="48" fillId="0" borderId="44" xfId="0" applyFont="1" applyBorder="1" applyAlignment="1">
      <alignment horizontal="center" vertical="center"/>
    </xf>
    <xf numFmtId="40" fontId="48" fillId="2" borderId="30" xfId="1" applyNumberFormat="1" applyFont="1" applyFill="1" applyBorder="1" applyAlignment="1">
      <alignment horizontal="center" vertical="center"/>
    </xf>
    <xf numFmtId="4" fontId="47" fillId="2" borderId="29" xfId="0" applyNumberFormat="1" applyFont="1" applyFill="1" applyBorder="1" applyAlignment="1">
      <alignment horizontal="center" vertical="center"/>
    </xf>
    <xf numFmtId="0" fontId="50" fillId="0" borderId="0" xfId="0" applyFont="1" applyAlignment="1">
      <alignment vertical="center" wrapText="1"/>
    </xf>
    <xf numFmtId="0" fontId="51" fillId="0" borderId="0" xfId="0" applyFont="1" applyAlignment="1">
      <alignment vertical="center" wrapText="1"/>
    </xf>
    <xf numFmtId="0" fontId="51" fillId="0" borderId="0" xfId="0" applyFont="1">
      <alignment vertical="center"/>
    </xf>
    <xf numFmtId="40" fontId="52" fillId="2" borderId="30" xfId="1" applyNumberFormat="1" applyFont="1" applyFill="1" applyBorder="1" applyAlignment="1">
      <alignment horizontal="center" vertical="center"/>
    </xf>
    <xf numFmtId="0" fontId="42" fillId="0" borderId="0" xfId="0" applyFont="1" applyAlignment="1">
      <alignment horizontal="left" vertical="center"/>
    </xf>
    <xf numFmtId="171" fontId="42" fillId="0" borderId="0" xfId="1" applyNumberFormat="1" applyFont="1" applyFill="1" applyBorder="1" applyAlignment="1">
      <alignment horizontal="left" vertical="center"/>
    </xf>
    <xf numFmtId="173" fontId="42" fillId="0" borderId="0" xfId="11" applyNumberFormat="1" applyFont="1" applyAlignment="1">
      <alignment horizontal="center" vertical="center"/>
      <protection locked="0"/>
    </xf>
    <xf numFmtId="40" fontId="52" fillId="2" borderId="2" xfId="1" applyNumberFormat="1" applyFont="1" applyFill="1" applyBorder="1" applyAlignment="1">
      <alignment horizontal="center" vertical="center"/>
    </xf>
    <xf numFmtId="172" fontId="42" fillId="2" borderId="0" xfId="0" applyNumberFormat="1" applyFont="1" applyFill="1" applyAlignment="1">
      <alignment horizontal="left" vertical="center"/>
    </xf>
    <xf numFmtId="174" fontId="42" fillId="0" borderId="0" xfId="0" applyNumberFormat="1" applyFont="1" applyAlignment="1">
      <alignment horizontal="left" vertical="center"/>
    </xf>
    <xf numFmtId="0" fontId="42" fillId="0" borderId="0" xfId="0" applyFont="1" applyAlignment="1">
      <alignment horizontal="left" vertical="center" wrapText="1"/>
    </xf>
    <xf numFmtId="171" fontId="42" fillId="0" borderId="0" xfId="1" applyNumberFormat="1" applyFont="1" applyFill="1" applyBorder="1" applyAlignment="1">
      <alignment horizontal="center" vertical="center"/>
    </xf>
    <xf numFmtId="172" fontId="42" fillId="0" borderId="0" xfId="0" applyNumberFormat="1" applyFont="1" applyAlignment="1">
      <alignment horizontal="center" vertical="center"/>
    </xf>
    <xf numFmtId="174" fontId="42" fillId="0" borderId="0" xfId="0" applyNumberFormat="1" applyFont="1" applyAlignment="1">
      <alignment horizontal="center" vertical="center"/>
    </xf>
    <xf numFmtId="171" fontId="42" fillId="0" borderId="0" xfId="1" applyNumberFormat="1" applyFont="1" applyBorder="1" applyAlignment="1">
      <alignment horizontal="center" vertical="center"/>
    </xf>
    <xf numFmtId="172" fontId="55" fillId="0" borderId="0" xfId="0" applyNumberFormat="1" applyFont="1" applyAlignment="1">
      <alignment horizontal="center" vertical="center"/>
    </xf>
    <xf numFmtId="171" fontId="12" fillId="0" borderId="0" xfId="1" applyNumberFormat="1" applyFont="1" applyBorder="1">
      <alignment vertical="center"/>
    </xf>
    <xf numFmtId="172" fontId="12" fillId="0" borderId="0" xfId="0" applyNumberFormat="1" applyFont="1">
      <alignment vertical="center"/>
    </xf>
    <xf numFmtId="171" fontId="12" fillId="0" borderId="0" xfId="1" applyNumberFormat="1" applyFont="1">
      <alignment vertical="center"/>
    </xf>
    <xf numFmtId="41" fontId="12" fillId="0" borderId="26" xfId="1" applyFont="1" applyBorder="1" applyAlignment="1">
      <alignment horizontal="center" vertical="center"/>
    </xf>
    <xf numFmtId="0" fontId="12" fillId="0" borderId="26" xfId="0" applyFont="1" applyBorder="1" applyAlignment="1">
      <alignment horizontal="center" vertical="center" wrapText="1"/>
    </xf>
    <xf numFmtId="168" fontId="12" fillId="0" borderId="26" xfId="0" applyNumberFormat="1" applyFont="1" applyBorder="1" applyAlignment="1">
      <alignment horizontal="center" vertical="center" wrapText="1"/>
    </xf>
    <xf numFmtId="164" fontId="12" fillId="0" borderId="21" xfId="1" applyNumberFormat="1" applyFont="1" applyBorder="1" applyAlignment="1">
      <alignment horizontal="center" vertical="center" wrapText="1"/>
    </xf>
    <xf numFmtId="41" fontId="12" fillId="3" borderId="26" xfId="1" applyFont="1" applyFill="1" applyBorder="1" applyAlignment="1">
      <alignment horizontal="center" vertical="center"/>
    </xf>
    <xf numFmtId="0" fontId="12" fillId="3" borderId="26" xfId="0" applyFont="1" applyFill="1" applyBorder="1" applyAlignment="1">
      <alignment horizontal="center" vertical="center"/>
    </xf>
    <xf numFmtId="0" fontId="12" fillId="3" borderId="21" xfId="0" applyFont="1" applyFill="1" applyBorder="1" applyAlignment="1">
      <alignment horizontal="center" vertical="center" wrapText="1"/>
    </xf>
    <xf numFmtId="164" fontId="12" fillId="3" borderId="21" xfId="1" applyNumberFormat="1" applyFont="1" applyFill="1" applyBorder="1" applyAlignment="1">
      <alignment horizontal="center" vertical="center" wrapText="1"/>
    </xf>
    <xf numFmtId="0" fontId="12" fillId="3" borderId="15" xfId="0" applyFont="1" applyFill="1" applyBorder="1" applyAlignment="1">
      <alignment horizontal="center" vertical="center"/>
    </xf>
    <xf numFmtId="0" fontId="2" fillId="2" borderId="20" xfId="0" applyFont="1" applyFill="1" applyBorder="1" applyAlignment="1">
      <alignment vertical="center" wrapText="1"/>
    </xf>
    <xf numFmtId="0" fontId="2" fillId="2" borderId="15" xfId="0" applyFont="1" applyFill="1" applyBorder="1">
      <alignment vertical="center"/>
    </xf>
    <xf numFmtId="0" fontId="12" fillId="0" borderId="30" xfId="0" quotePrefix="1" applyFont="1" applyBorder="1" applyAlignment="1">
      <alignment horizontal="center" vertical="center"/>
    </xf>
    <xf numFmtId="0" fontId="11" fillId="0" borderId="4" xfId="0" applyFont="1" applyBorder="1" applyAlignment="1">
      <alignment vertical="center"/>
    </xf>
    <xf numFmtId="0" fontId="11" fillId="0" borderId="0" xfId="0" applyFont="1" applyBorder="1" applyAlignment="1">
      <alignment vertical="center"/>
    </xf>
    <xf numFmtId="0" fontId="11" fillId="0" borderId="14" xfId="0" applyFont="1" applyBorder="1" applyAlignment="1">
      <alignment vertical="center"/>
    </xf>
    <xf numFmtId="0" fontId="28" fillId="2" borderId="23" xfId="6" applyFont="1" applyFill="1" applyBorder="1" applyAlignment="1">
      <alignment horizontal="right" vertical="top" wrapText="1" indent="1"/>
    </xf>
    <xf numFmtId="0" fontId="30" fillId="2" borderId="0" xfId="6" applyFont="1" applyFill="1" applyAlignment="1">
      <alignment horizontal="center" vertical="top" wrapText="1"/>
    </xf>
    <xf numFmtId="0" fontId="12" fillId="2" borderId="26" xfId="0" applyFont="1" applyFill="1" applyBorder="1" applyAlignment="1">
      <alignment horizontal="center" vertical="center" wrapText="1"/>
    </xf>
    <xf numFmtId="0" fontId="12" fillId="2" borderId="21" xfId="0" applyFont="1" applyFill="1" applyBorder="1" applyAlignment="1">
      <alignment horizontal="center" vertical="center"/>
    </xf>
    <xf numFmtId="164" fontId="12" fillId="2" borderId="26" xfId="1" applyNumberFormat="1" applyFont="1" applyFill="1" applyBorder="1" applyAlignment="1">
      <alignment horizontal="center" vertical="center"/>
    </xf>
    <xf numFmtId="0" fontId="8" fillId="2" borderId="0" xfId="0" applyFont="1" applyFill="1" applyBorder="1">
      <alignment vertical="center"/>
    </xf>
    <xf numFmtId="0" fontId="9" fillId="2" borderId="0" xfId="0" applyFont="1" applyFill="1" applyBorder="1">
      <alignment vertical="center"/>
    </xf>
    <xf numFmtId="0" fontId="9" fillId="2" borderId="14" xfId="0" applyFont="1" applyFill="1" applyBorder="1">
      <alignment vertical="center"/>
    </xf>
    <xf numFmtId="0" fontId="8" fillId="2" borderId="19" xfId="0" applyFont="1" applyFill="1" applyBorder="1" applyAlignment="1">
      <alignment horizontal="left" vertical="center"/>
    </xf>
    <xf numFmtId="0" fontId="8" fillId="2" borderId="5" xfId="0" applyFont="1" applyFill="1" applyBorder="1" applyAlignment="1">
      <alignment vertical="center" wrapText="1"/>
    </xf>
    <xf numFmtId="0" fontId="2" fillId="2" borderId="4" xfId="0" applyFont="1" applyFill="1" applyBorder="1">
      <alignment vertical="center"/>
    </xf>
    <xf numFmtId="41" fontId="2" fillId="2" borderId="0" xfId="0" applyNumberFormat="1" applyFont="1" applyFill="1" applyAlignment="1">
      <alignment horizontal="center" vertical="center"/>
    </xf>
    <xf numFmtId="0" fontId="2" fillId="2" borderId="0" xfId="0" applyFont="1" applyFill="1">
      <alignment vertical="center"/>
    </xf>
    <xf numFmtId="41" fontId="2" fillId="2" borderId="19" xfId="0" applyNumberFormat="1" applyFont="1" applyFill="1" applyBorder="1" applyAlignment="1">
      <alignment horizontal="center" vertical="center"/>
    </xf>
    <xf numFmtId="0" fontId="2" fillId="2" borderId="19" xfId="0" applyFont="1" applyFill="1" applyBorder="1" applyAlignment="1">
      <alignment horizontal="left" vertical="center"/>
    </xf>
    <xf numFmtId="0" fontId="3" fillId="2" borderId="4" xfId="0" applyFont="1" applyFill="1" applyBorder="1">
      <alignment vertical="center"/>
    </xf>
    <xf numFmtId="0" fontId="2" fillId="2" borderId="0" xfId="0" applyFont="1" applyFill="1" applyBorder="1">
      <alignment vertical="center"/>
    </xf>
    <xf numFmtId="41" fontId="2" fillId="2" borderId="14" xfId="0" applyNumberFormat="1" applyFont="1" applyFill="1" applyBorder="1" applyAlignment="1">
      <alignment horizontal="center" vertical="center"/>
    </xf>
    <xf numFmtId="41" fontId="2" fillId="2" borderId="23" xfId="0" applyNumberFormat="1" applyFont="1" applyFill="1" applyBorder="1" applyAlignment="1">
      <alignment horizontal="center" vertical="center"/>
    </xf>
    <xf numFmtId="41" fontId="2" fillId="2" borderId="24" xfId="0" applyNumberFormat="1" applyFont="1" applyFill="1" applyBorder="1" applyAlignment="1">
      <alignment horizontal="center" vertical="center"/>
    </xf>
    <xf numFmtId="165" fontId="2" fillId="2" borderId="0" xfId="0" applyNumberFormat="1" applyFont="1" applyFill="1" applyAlignment="1">
      <alignment horizontal="center" vertical="center"/>
    </xf>
    <xf numFmtId="0" fontId="2" fillId="2" borderId="0" xfId="0" applyFont="1" applyFill="1" applyAlignment="1">
      <alignment horizontal="center" vertical="center"/>
    </xf>
    <xf numFmtId="166" fontId="2" fillId="2" borderId="0" xfId="0" applyNumberFormat="1" applyFont="1" applyFill="1" applyAlignment="1">
      <alignment horizontal="center" vertical="center"/>
    </xf>
    <xf numFmtId="0" fontId="2" fillId="2" borderId="0" xfId="0" applyFont="1" applyFill="1" applyBorder="1" applyAlignment="1">
      <alignment vertical="center" wrapText="1"/>
    </xf>
    <xf numFmtId="0" fontId="12" fillId="2" borderId="26" xfId="0" applyFont="1" applyFill="1" applyBorder="1" applyAlignment="1">
      <alignment horizontal="center" vertical="center"/>
    </xf>
    <xf numFmtId="164" fontId="2" fillId="0" borderId="21" xfId="1" applyNumberFormat="1" applyFont="1" applyBorder="1" applyAlignment="1">
      <alignment horizontal="center" vertical="center"/>
    </xf>
    <xf numFmtId="164" fontId="2" fillId="0" borderId="23" xfId="1" applyNumberFormat="1" applyFont="1" applyBorder="1" applyAlignment="1">
      <alignment horizontal="center" vertical="center"/>
    </xf>
    <xf numFmtId="164" fontId="2" fillId="0" borderId="24" xfId="1" applyNumberFormat="1" applyFont="1" applyBorder="1" applyAlignment="1">
      <alignment horizontal="center" vertical="center"/>
    </xf>
    <xf numFmtId="164" fontId="2" fillId="2" borderId="23" xfId="1" applyNumberFormat="1" applyFont="1" applyFill="1" applyBorder="1" applyAlignment="1">
      <alignment horizontal="center" vertical="center"/>
    </xf>
    <xf numFmtId="164" fontId="2" fillId="2" borderId="24" xfId="1" applyNumberFormat="1" applyFont="1" applyFill="1" applyBorder="1" applyAlignment="1">
      <alignment horizontal="center" vertical="center"/>
    </xf>
    <xf numFmtId="164" fontId="2" fillId="0" borderId="22" xfId="1" applyNumberFormat="1" applyFont="1" applyBorder="1" applyAlignment="1">
      <alignment horizontal="center" vertical="center"/>
    </xf>
    <xf numFmtId="0" fontId="2" fillId="2" borderId="26" xfId="0" applyFont="1" applyFill="1" applyBorder="1" applyAlignment="1">
      <alignment horizontal="center" vertical="center"/>
    </xf>
    <xf numFmtId="0" fontId="2" fillId="2" borderId="26" xfId="0" applyFont="1" applyFill="1" applyBorder="1" applyAlignment="1">
      <alignment horizontal="center" vertical="center" wrapText="1"/>
    </xf>
    <xf numFmtId="0" fontId="12" fillId="2" borderId="15" xfId="0" applyFont="1" applyFill="1" applyBorder="1" applyAlignment="1">
      <alignment horizontal="center" vertical="center" wrapText="1"/>
    </xf>
    <xf numFmtId="37" fontId="36" fillId="2" borderId="0" xfId="6" applyNumberFormat="1" applyFont="1" applyFill="1" applyAlignment="1">
      <alignment vertical="top" wrapText="1"/>
    </xf>
    <xf numFmtId="0" fontId="37" fillId="2" borderId="0" xfId="0" applyFont="1" applyFill="1" applyAlignment="1">
      <alignment vertical="top" wrapText="1"/>
    </xf>
    <xf numFmtId="0" fontId="37" fillId="2" borderId="14" xfId="0" applyFont="1" applyFill="1" applyBorder="1" applyAlignment="1">
      <alignment vertical="top" wrapText="1"/>
    </xf>
    <xf numFmtId="0" fontId="28" fillId="2" borderId="0" xfId="6" applyFont="1" applyFill="1" applyAlignment="1">
      <alignment horizontal="left" vertical="center" indent="2"/>
    </xf>
    <xf numFmtId="0" fontId="30" fillId="2" borderId="0" xfId="6" applyFont="1" applyFill="1" applyAlignment="1">
      <alignment horizontal="center" vertical="top"/>
    </xf>
    <xf numFmtId="170" fontId="28" fillId="2" borderId="0" xfId="6" applyNumberFormat="1" applyFont="1" applyFill="1" applyAlignment="1">
      <alignment horizontal="left" vertical="center" indent="2"/>
    </xf>
    <xf numFmtId="41" fontId="28" fillId="2" borderId="0" xfId="1" applyFont="1" applyFill="1" applyBorder="1" applyAlignment="1">
      <alignment horizontal="left" vertical="top"/>
    </xf>
    <xf numFmtId="41" fontId="28" fillId="2" borderId="0" xfId="1" applyFont="1" applyFill="1" applyBorder="1" applyAlignment="1">
      <alignment vertical="top"/>
    </xf>
    <xf numFmtId="164" fontId="28" fillId="2" borderId="0" xfId="1" applyNumberFormat="1" applyFont="1" applyFill="1" applyBorder="1" applyAlignment="1">
      <alignment vertical="top"/>
    </xf>
    <xf numFmtId="49" fontId="28" fillId="2" borderId="14" xfId="6" applyNumberFormat="1" applyFont="1" applyFill="1" applyBorder="1" applyAlignment="1">
      <alignment horizontal="left" vertical="top"/>
    </xf>
    <xf numFmtId="41" fontId="8" fillId="2" borderId="5" xfId="0" applyNumberFormat="1" applyFont="1" applyFill="1" applyBorder="1" applyAlignment="1">
      <alignment vertical="center" wrapText="1"/>
    </xf>
    <xf numFmtId="43" fontId="57" fillId="0" borderId="0" xfId="0" applyNumberFormat="1" applyFont="1">
      <alignment vertical="center"/>
    </xf>
    <xf numFmtId="0" fontId="28" fillId="2" borderId="0" xfId="1" applyNumberFormat="1" applyFont="1" applyFill="1" applyBorder="1" applyAlignment="1">
      <alignment vertical="top"/>
    </xf>
    <xf numFmtId="37" fontId="46" fillId="2" borderId="0" xfId="0" applyNumberFormat="1" applyFont="1" applyFill="1">
      <alignment vertical="center"/>
    </xf>
    <xf numFmtId="0" fontId="21" fillId="2" borderId="0" xfId="0" applyFont="1" applyFill="1" applyAlignment="1">
      <alignment vertical="center" wrapText="1"/>
    </xf>
    <xf numFmtId="171" fontId="21" fillId="2" borderId="0" xfId="1" applyNumberFormat="1" applyFont="1" applyFill="1">
      <alignment vertical="center"/>
    </xf>
    <xf numFmtId="0" fontId="21" fillId="2" borderId="0" xfId="0" applyFont="1" applyFill="1" applyAlignment="1">
      <alignment horizontal="center" vertical="center"/>
    </xf>
    <xf numFmtId="171" fontId="47" fillId="2" borderId="21" xfId="1" applyNumberFormat="1" applyFont="1" applyFill="1" applyBorder="1" applyAlignment="1">
      <alignment horizontal="center" vertical="center" wrapText="1"/>
    </xf>
    <xf numFmtId="0" fontId="47" fillId="2" borderId="21" xfId="0" applyFont="1" applyFill="1" applyBorder="1" applyAlignment="1">
      <alignment horizontal="center" vertical="center" wrapText="1"/>
    </xf>
    <xf numFmtId="0" fontId="47" fillId="2" borderId="26" xfId="10" applyFont="1" applyFill="1" applyBorder="1" applyAlignment="1">
      <alignment horizontal="center" vertical="center"/>
    </xf>
    <xf numFmtId="0" fontId="47" fillId="2" borderId="26" xfId="0" applyFont="1" applyFill="1" applyBorder="1" applyAlignment="1">
      <alignment horizontal="center" vertical="center" wrapText="1"/>
    </xf>
    <xf numFmtId="41" fontId="47" fillId="2" borderId="26" xfId="1" applyFont="1" applyFill="1" applyBorder="1" applyAlignment="1">
      <alignment horizontal="center" vertical="center"/>
    </xf>
    <xf numFmtId="0" fontId="47" fillId="2" borderId="26" xfId="0" applyFont="1" applyFill="1" applyBorder="1" applyAlignment="1">
      <alignment horizontal="center" vertical="center"/>
    </xf>
    <xf numFmtId="0" fontId="12" fillId="2" borderId="0" xfId="0" applyFont="1" applyFill="1" applyAlignment="1">
      <alignment horizontal="left" vertical="center"/>
    </xf>
    <xf numFmtId="0" fontId="12" fillId="2" borderId="0" xfId="0" applyFont="1" applyFill="1">
      <alignment vertical="center"/>
    </xf>
    <xf numFmtId="0" fontId="14" fillId="2" borderId="0" xfId="0" applyFont="1" applyFill="1" applyAlignment="1">
      <alignment horizontal="left" vertical="center"/>
    </xf>
    <xf numFmtId="43" fontId="2" fillId="2" borderId="0" xfId="0" applyNumberFormat="1" applyFont="1" applyFill="1">
      <alignment vertical="center"/>
    </xf>
    <xf numFmtId="164" fontId="12" fillId="0" borderId="14" xfId="0" applyNumberFormat="1" applyFont="1" applyBorder="1">
      <alignment vertical="center"/>
    </xf>
    <xf numFmtId="0" fontId="12" fillId="0" borderId="21" xfId="0" applyFont="1" applyBorder="1" applyAlignment="1">
      <alignment horizontal="center" vertical="center" wrapText="1"/>
    </xf>
    <xf numFmtId="0" fontId="12" fillId="0" borderId="21" xfId="0" applyFont="1" applyBorder="1" applyAlignment="1">
      <alignment horizontal="center" vertical="center"/>
    </xf>
    <xf numFmtId="0" fontId="12" fillId="0" borderId="15" xfId="0" applyFont="1" applyBorder="1" applyAlignment="1">
      <alignment horizontal="center" vertical="center"/>
    </xf>
    <xf numFmtId="0" fontId="12" fillId="0" borderId="26" xfId="0" applyFont="1" applyBorder="1" applyAlignment="1">
      <alignment horizontal="center" vertical="center"/>
    </xf>
    <xf numFmtId="169" fontId="28" fillId="0" borderId="0" xfId="6" applyNumberFormat="1" applyFont="1" applyFill="1" applyAlignment="1">
      <alignment horizontal="left" vertical="top"/>
    </xf>
    <xf numFmtId="0" fontId="28" fillId="0" borderId="0" xfId="6" applyFont="1" applyFill="1" applyAlignment="1">
      <alignment horizontal="left" vertical="top" wrapText="1"/>
    </xf>
    <xf numFmtId="0" fontId="28" fillId="0" borderId="14" xfId="6" applyFont="1" applyFill="1" applyBorder="1" applyAlignment="1">
      <alignment horizontal="left" vertical="top" wrapText="1"/>
    </xf>
    <xf numFmtId="0" fontId="28" fillId="0" borderId="14" xfId="6" applyFont="1" applyFill="1" applyBorder="1" applyAlignment="1">
      <alignment vertical="top"/>
    </xf>
    <xf numFmtId="0" fontId="28" fillId="0" borderId="0" xfId="6" applyFont="1" applyFill="1" applyAlignment="1">
      <alignment horizontal="left" vertical="top"/>
    </xf>
    <xf numFmtId="171" fontId="28" fillId="0" borderId="14" xfId="6" applyNumberFormat="1" applyFont="1" applyFill="1" applyBorder="1" applyAlignment="1">
      <alignment vertical="top"/>
    </xf>
    <xf numFmtId="167" fontId="28" fillId="0" borderId="0" xfId="1" applyNumberFormat="1" applyFont="1" applyFill="1" applyBorder="1" applyAlignment="1">
      <alignment vertical="top"/>
    </xf>
    <xf numFmtId="49" fontId="28" fillId="0" borderId="0" xfId="1" applyNumberFormat="1" applyFont="1" applyFill="1" applyBorder="1" applyAlignment="1">
      <alignment horizontal="left" vertical="top"/>
    </xf>
    <xf numFmtId="49" fontId="28" fillId="0" borderId="14" xfId="6" applyNumberFormat="1" applyFont="1" applyFill="1" applyBorder="1" applyAlignment="1">
      <alignment horizontal="left" vertical="top"/>
    </xf>
    <xf numFmtId="0" fontId="28" fillId="0" borderId="7" xfId="7" applyFont="1" applyBorder="1" applyAlignment="1">
      <alignment horizontal="left" vertical="top"/>
    </xf>
    <xf numFmtId="164" fontId="12" fillId="0" borderId="0" xfId="1" applyNumberFormat="1" applyFont="1">
      <alignment vertical="center"/>
    </xf>
    <xf numFmtId="164" fontId="12" fillId="0" borderId="0" xfId="0" applyNumberFormat="1" applyFont="1">
      <alignment vertical="center"/>
    </xf>
    <xf numFmtId="164" fontId="12" fillId="3" borderId="26" xfId="1" applyNumberFormat="1" applyFont="1" applyFill="1" applyBorder="1" applyAlignment="1">
      <alignment horizontal="center" vertical="center" wrapText="1"/>
    </xf>
    <xf numFmtId="164" fontId="12" fillId="0" borderId="26" xfId="1" applyNumberFormat="1" applyFont="1" applyBorder="1" applyAlignment="1">
      <alignment horizontal="center" vertical="center" wrapText="1"/>
    </xf>
    <xf numFmtId="2" fontId="12" fillId="0" borderId="0" xfId="0" applyNumberFormat="1" applyFont="1">
      <alignment vertical="center"/>
    </xf>
    <xf numFmtId="41" fontId="2" fillId="2" borderId="23" xfId="0" applyNumberFormat="1" applyFont="1" applyFill="1" applyBorder="1" applyAlignment="1">
      <alignment horizontal="center" vertical="center" wrapText="1"/>
    </xf>
    <xf numFmtId="14" fontId="8" fillId="2" borderId="7" xfId="3" applyNumberFormat="1" applyFont="1" applyFill="1" applyBorder="1" applyAlignment="1">
      <alignment vertical="center"/>
    </xf>
    <xf numFmtId="0" fontId="12" fillId="2" borderId="28" xfId="0" applyFont="1" applyFill="1" applyBorder="1" applyAlignment="1">
      <alignment horizontal="center" vertical="center" wrapText="1"/>
    </xf>
    <xf numFmtId="41" fontId="12" fillId="2" borderId="26" xfId="0" quotePrefix="1" applyNumberFormat="1" applyFont="1" applyFill="1" applyBorder="1" applyAlignment="1">
      <alignment horizontal="center" vertical="center"/>
    </xf>
    <xf numFmtId="0" fontId="12" fillId="2" borderId="26" xfId="0" quotePrefix="1" applyFont="1" applyFill="1" applyBorder="1" applyAlignment="1">
      <alignment horizontal="center" vertical="center"/>
    </xf>
    <xf numFmtId="175" fontId="12" fillId="2" borderId="26" xfId="1" applyNumberFormat="1" applyFont="1" applyFill="1" applyBorder="1" applyAlignment="1">
      <alignment horizontal="center" vertical="center"/>
    </xf>
    <xf numFmtId="164" fontId="12" fillId="0" borderId="0" xfId="1" applyNumberFormat="1" applyFont="1" applyAlignment="1">
      <alignment horizontal="right" vertical="center"/>
    </xf>
    <xf numFmtId="41" fontId="2" fillId="0" borderId="0" xfId="1" applyFont="1">
      <alignment vertical="center"/>
    </xf>
    <xf numFmtId="43" fontId="2" fillId="0" borderId="0" xfId="0" applyNumberFormat="1" applyFont="1">
      <alignment vertical="center"/>
    </xf>
    <xf numFmtId="176" fontId="12" fillId="0" borderId="0" xfId="0" applyNumberFormat="1" applyFont="1">
      <alignment vertical="center"/>
    </xf>
    <xf numFmtId="41" fontId="15" fillId="2" borderId="23" xfId="0" applyNumberFormat="1" applyFont="1" applyFill="1" applyBorder="1" applyAlignment="1">
      <alignment horizontal="center" vertical="center"/>
    </xf>
    <xf numFmtId="164" fontId="2" fillId="2" borderId="19" xfId="1" applyNumberFormat="1" applyFont="1" applyFill="1" applyBorder="1" applyAlignment="1">
      <alignment horizontal="center" vertical="center"/>
    </xf>
    <xf numFmtId="164" fontId="3" fillId="2" borderId="26" xfId="1" applyNumberFormat="1" applyFont="1" applyFill="1" applyBorder="1" applyAlignment="1">
      <alignment horizontal="center" vertical="center"/>
    </xf>
    <xf numFmtId="164" fontId="3" fillId="2" borderId="29" xfId="1" applyNumberFormat="1" applyFont="1" applyFill="1" applyBorder="1" applyAlignment="1">
      <alignment horizontal="center" vertical="center"/>
    </xf>
    <xf numFmtId="0" fontId="2" fillId="2" borderId="25" xfId="0" applyFont="1" applyFill="1" applyBorder="1" applyAlignment="1">
      <alignment horizontal="center" vertical="center"/>
    </xf>
    <xf numFmtId="41" fontId="2" fillId="2" borderId="26" xfId="0" applyNumberFormat="1" applyFont="1" applyFill="1" applyBorder="1" applyAlignment="1">
      <alignment horizontal="center" vertical="center"/>
    </xf>
    <xf numFmtId="0" fontId="18" fillId="2" borderId="26" xfId="0" applyFont="1" applyFill="1" applyBorder="1" applyAlignment="1">
      <alignment horizontal="center" vertical="center" wrapText="1"/>
    </xf>
    <xf numFmtId="2" fontId="2" fillId="2" borderId="26" xfId="0" applyNumberFormat="1" applyFont="1" applyFill="1" applyBorder="1" applyAlignment="1">
      <alignment horizontal="center" vertical="center" wrapText="1"/>
    </xf>
    <xf numFmtId="164" fontId="2" fillId="2" borderId="26" xfId="1" applyNumberFormat="1" applyFont="1" applyFill="1" applyBorder="1" applyAlignment="1">
      <alignment horizontal="center" vertical="center" wrapText="1"/>
    </xf>
    <xf numFmtId="167" fontId="2" fillId="2" borderId="26" xfId="1" applyNumberFormat="1" applyFont="1" applyFill="1" applyBorder="1" applyAlignment="1">
      <alignment horizontal="center" vertical="center" wrapText="1"/>
    </xf>
    <xf numFmtId="177" fontId="12" fillId="0" borderId="0" xfId="0" applyNumberFormat="1" applyFont="1">
      <alignment vertical="center"/>
    </xf>
    <xf numFmtId="0" fontId="12" fillId="0" borderId="12" xfId="0" applyFont="1" applyBorder="1" applyAlignment="1">
      <alignment horizontal="center" vertical="center"/>
    </xf>
    <xf numFmtId="0" fontId="12" fillId="0" borderId="15" xfId="0" applyFont="1" applyBorder="1" applyAlignment="1">
      <alignment horizontal="center" vertical="center"/>
    </xf>
    <xf numFmtId="0" fontId="12" fillId="0" borderId="26" xfId="0" applyFont="1" applyBorder="1" applyAlignment="1">
      <alignment horizontal="center" vertical="center"/>
    </xf>
    <xf numFmtId="0" fontId="14" fillId="0" borderId="25" xfId="0" applyFont="1" applyBorder="1" applyAlignment="1">
      <alignment horizontal="center" vertical="center" wrapText="1"/>
    </xf>
    <xf numFmtId="0" fontId="14" fillId="0" borderId="21" xfId="0" applyFont="1" applyBorder="1" applyAlignment="1">
      <alignment horizontal="center" vertical="center" wrapText="1"/>
    </xf>
    <xf numFmtId="0" fontId="12" fillId="3" borderId="30" xfId="4" applyFont="1" applyFill="1" applyBorder="1" applyAlignment="1">
      <alignment horizontal="center" vertical="center"/>
    </xf>
    <xf numFmtId="0" fontId="12" fillId="3" borderId="28" xfId="4" applyFont="1" applyFill="1" applyBorder="1" applyAlignment="1">
      <alignment horizontal="center" vertical="center"/>
    </xf>
    <xf numFmtId="0" fontId="12" fillId="3" borderId="31" xfId="4" applyFont="1" applyFill="1" applyBorder="1" applyAlignment="1">
      <alignment horizontal="center" vertical="center"/>
    </xf>
    <xf numFmtId="0" fontId="19" fillId="0" borderId="0" xfId="0" applyFont="1" applyAlignment="1">
      <alignment horizontal="center" vertical="center"/>
    </xf>
    <xf numFmtId="0" fontId="12" fillId="0" borderId="0" xfId="0" applyFont="1" applyAlignment="1">
      <alignment horizontal="left" vertical="center" wrapText="1"/>
    </xf>
    <xf numFmtId="0" fontId="19" fillId="0" borderId="33" xfId="0" applyFont="1" applyBorder="1" applyAlignment="1">
      <alignment horizontal="center" vertical="center"/>
    </xf>
    <xf numFmtId="0" fontId="19" fillId="0" borderId="34" xfId="0" applyFont="1" applyBorder="1" applyAlignment="1">
      <alignment horizontal="center" vertical="center"/>
    </xf>
    <xf numFmtId="0" fontId="19" fillId="0" borderId="35" xfId="0" applyFont="1" applyBorder="1" applyAlignment="1">
      <alignment horizontal="center" vertical="center"/>
    </xf>
    <xf numFmtId="0" fontId="14" fillId="0" borderId="21" xfId="0" applyFont="1" applyBorder="1" applyAlignment="1">
      <alignment horizontal="center" vertical="center"/>
    </xf>
    <xf numFmtId="0" fontId="14" fillId="0" borderId="25" xfId="0" applyFont="1" applyBorder="1" applyAlignment="1">
      <alignment horizontal="center" vertical="center"/>
    </xf>
    <xf numFmtId="0" fontId="14" fillId="0" borderId="12" xfId="0" applyFont="1" applyBorder="1" applyAlignment="1">
      <alignment horizontal="center" vertical="center"/>
    </xf>
    <xf numFmtId="0" fontId="14" fillId="0" borderId="10" xfId="0" applyFont="1" applyBorder="1" applyAlignment="1">
      <alignment horizontal="center" vertical="center"/>
    </xf>
    <xf numFmtId="0" fontId="14" fillId="0" borderId="15" xfId="0" applyFont="1" applyBorder="1" applyAlignment="1">
      <alignment horizontal="center" vertical="center"/>
    </xf>
    <xf numFmtId="0" fontId="14" fillId="0" borderId="7" xfId="0" applyFont="1" applyBorder="1" applyAlignment="1">
      <alignment horizontal="center" vertical="center"/>
    </xf>
    <xf numFmtId="0" fontId="14" fillId="0" borderId="30" xfId="0" applyFont="1" applyBorder="1" applyAlignment="1">
      <alignment horizontal="center" vertical="center"/>
    </xf>
    <xf numFmtId="0" fontId="14" fillId="0" borderId="31" xfId="0" applyFont="1" applyBorder="1" applyAlignment="1">
      <alignment horizontal="center" vertical="center"/>
    </xf>
    <xf numFmtId="0" fontId="14" fillId="0" borderId="28" xfId="0" applyFont="1" applyBorder="1" applyAlignment="1">
      <alignment horizontal="center" vertical="center"/>
    </xf>
    <xf numFmtId="0" fontId="35" fillId="0" borderId="0" xfId="0" applyFont="1" applyBorder="1" applyAlignment="1">
      <alignment horizontal="left" vertical="center" wrapText="1"/>
    </xf>
    <xf numFmtId="0" fontId="0" fillId="0" borderId="0" xfId="0" applyBorder="1" applyAlignment="1">
      <alignment horizontal="left" vertical="center" wrapText="1"/>
    </xf>
    <xf numFmtId="0" fontId="0" fillId="0" borderId="5" xfId="0" applyBorder="1" applyAlignment="1">
      <alignment horizontal="left" vertical="center" wrapText="1"/>
    </xf>
    <xf numFmtId="0" fontId="4" fillId="0" borderId="6" xfId="0"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10" fillId="0" borderId="12" xfId="0" applyFont="1" applyBorder="1" applyAlignment="1">
      <alignment horizontal="center" vertical="center"/>
    </xf>
    <xf numFmtId="0" fontId="10" fillId="0" borderId="10" xfId="0" applyFont="1" applyBorder="1" applyAlignment="1">
      <alignment horizontal="center" vertical="center"/>
    </xf>
    <xf numFmtId="0" fontId="10" fillId="0" borderId="13" xfId="0" applyFont="1" applyBorder="1" applyAlignment="1">
      <alignment horizontal="center" vertical="center"/>
    </xf>
    <xf numFmtId="0" fontId="18" fillId="0" borderId="0" xfId="2" applyFont="1" applyBorder="1" applyAlignment="1">
      <alignment vertical="top" wrapText="1"/>
    </xf>
    <xf numFmtId="0" fontId="38" fillId="0" borderId="0" xfId="0" applyFont="1" applyBorder="1" applyAlignment="1">
      <alignment vertical="top"/>
    </xf>
    <xf numFmtId="0" fontId="38" fillId="0" borderId="14" xfId="0" applyFont="1" applyBorder="1" applyAlignment="1">
      <alignment vertical="top"/>
    </xf>
    <xf numFmtId="0" fontId="38" fillId="0" borderId="7" xfId="0" applyFont="1" applyBorder="1" applyAlignment="1">
      <alignment vertical="top"/>
    </xf>
    <xf numFmtId="0" fontId="38" fillId="0" borderId="20" xfId="0" applyFont="1" applyBorder="1" applyAlignment="1">
      <alignment vertical="top"/>
    </xf>
    <xf numFmtId="41" fontId="41" fillId="0" borderId="1" xfId="0" applyNumberFormat="1" applyFont="1" applyBorder="1" applyAlignment="1">
      <alignment horizontal="center" vertical="center"/>
    </xf>
    <xf numFmtId="41" fontId="41" fillId="0" borderId="2" xfId="0" applyNumberFormat="1" applyFont="1" applyBorder="1" applyAlignment="1">
      <alignment horizontal="center" vertical="center"/>
    </xf>
    <xf numFmtId="41" fontId="41" fillId="0" borderId="3" xfId="0" applyNumberFormat="1" applyFont="1" applyBorder="1" applyAlignment="1">
      <alignment horizontal="center" vertical="center"/>
    </xf>
    <xf numFmtId="41" fontId="41" fillId="0" borderId="4" xfId="0" applyNumberFormat="1" applyFont="1" applyBorder="1" applyAlignment="1">
      <alignment horizontal="center" vertical="center"/>
    </xf>
    <xf numFmtId="41" fontId="41" fillId="0" borderId="0" xfId="0" applyNumberFormat="1" applyFont="1" applyBorder="1" applyAlignment="1">
      <alignment horizontal="center" vertical="center"/>
    </xf>
    <xf numFmtId="41" fontId="41" fillId="0" borderId="5" xfId="0" applyNumberFormat="1" applyFont="1" applyBorder="1" applyAlignment="1">
      <alignment horizontal="center" vertical="center"/>
    </xf>
    <xf numFmtId="41" fontId="41" fillId="0" borderId="16" xfId="0" applyNumberFormat="1" applyFont="1" applyBorder="1" applyAlignment="1">
      <alignment horizontal="center" vertical="center"/>
    </xf>
    <xf numFmtId="41" fontId="41" fillId="0" borderId="17" xfId="0" applyNumberFormat="1" applyFont="1" applyBorder="1" applyAlignment="1">
      <alignment horizontal="center" vertical="center"/>
    </xf>
    <xf numFmtId="41" fontId="41" fillId="0" borderId="18" xfId="0" applyNumberFormat="1" applyFont="1" applyBorder="1" applyAlignment="1">
      <alignment horizontal="center" vertical="center"/>
    </xf>
    <xf numFmtId="0" fontId="2" fillId="0" borderId="0" xfId="0" applyFont="1" applyBorder="1" applyAlignment="1">
      <alignment horizontal="left" vertical="center"/>
    </xf>
    <xf numFmtId="0" fontId="2" fillId="0" borderId="5" xfId="0" applyFont="1" applyBorder="1" applyAlignment="1">
      <alignment horizontal="left" vertical="center"/>
    </xf>
    <xf numFmtId="37" fontId="8" fillId="2" borderId="0" xfId="0" applyNumberFormat="1" applyFont="1" applyFill="1" applyBorder="1" applyAlignment="1">
      <alignment horizontal="left" vertical="center" wrapText="1"/>
    </xf>
    <xf numFmtId="0" fontId="8" fillId="2" borderId="0" xfId="0" applyFont="1" applyFill="1" applyBorder="1" applyAlignment="1">
      <alignment horizontal="left" vertical="center" wrapText="1"/>
    </xf>
    <xf numFmtId="0" fontId="8" fillId="2" borderId="5" xfId="0" applyFont="1" applyFill="1" applyBorder="1" applyAlignment="1">
      <alignment horizontal="left" vertical="center" wrapText="1"/>
    </xf>
    <xf numFmtId="41" fontId="8" fillId="2" borderId="0" xfId="0" applyNumberFormat="1" applyFont="1" applyFill="1" applyBorder="1" applyAlignment="1">
      <alignment horizontal="left" vertical="center" wrapText="1"/>
    </xf>
    <xf numFmtId="41" fontId="8" fillId="2" borderId="5" xfId="0" applyNumberFormat="1" applyFont="1" applyFill="1" applyBorder="1" applyAlignment="1">
      <alignment horizontal="left" vertical="center" wrapText="1"/>
    </xf>
    <xf numFmtId="0" fontId="3" fillId="0" borderId="0" xfId="0" applyFont="1" applyBorder="1" applyAlignment="1">
      <alignment vertical="top" wrapText="1"/>
    </xf>
    <xf numFmtId="0" fontId="3" fillId="0" borderId="5" xfId="0" applyFont="1" applyBorder="1" applyAlignment="1">
      <alignment vertical="top" wrapText="1"/>
    </xf>
    <xf numFmtId="0" fontId="3" fillId="0" borderId="7" xfId="0" applyFont="1" applyBorder="1" applyAlignment="1">
      <alignment vertical="top" wrapText="1"/>
    </xf>
    <xf numFmtId="0" fontId="3" fillId="0" borderId="8" xfId="0" applyFont="1" applyBorder="1" applyAlignment="1">
      <alignment vertical="top" wrapText="1"/>
    </xf>
    <xf numFmtId="0" fontId="2" fillId="2" borderId="0" xfId="0" applyFont="1" applyFill="1" applyAlignment="1">
      <alignment vertical="top" wrapText="1"/>
    </xf>
    <xf numFmtId="0" fontId="26" fillId="2" borderId="0" xfId="0" applyFont="1" applyFill="1" applyAlignment="1">
      <alignment vertical="top"/>
    </xf>
    <xf numFmtId="0" fontId="26" fillId="2" borderId="14" xfId="0" applyFont="1" applyFill="1" applyBorder="1" applyAlignment="1">
      <alignment vertical="top"/>
    </xf>
    <xf numFmtId="0" fontId="26" fillId="2" borderId="7" xfId="0" applyFont="1" applyFill="1" applyBorder="1" applyAlignment="1">
      <alignment vertical="top"/>
    </xf>
    <xf numFmtId="0" fontId="26" fillId="2" borderId="20" xfId="0" applyFont="1" applyFill="1" applyBorder="1" applyAlignment="1">
      <alignment vertical="top"/>
    </xf>
    <xf numFmtId="41" fontId="2" fillId="2" borderId="10" xfId="0" applyNumberFormat="1" applyFont="1" applyFill="1" applyBorder="1" applyAlignment="1">
      <alignment horizontal="center" vertical="center"/>
    </xf>
    <xf numFmtId="41" fontId="2" fillId="0" borderId="0" xfId="0" applyNumberFormat="1" applyFont="1" applyBorder="1" applyAlignment="1">
      <alignment horizontal="left" vertical="center" wrapText="1"/>
    </xf>
    <xf numFmtId="41" fontId="2" fillId="0" borderId="5" xfId="0" applyNumberFormat="1" applyFont="1" applyBorder="1" applyAlignment="1">
      <alignment horizontal="left" vertical="center" wrapText="1"/>
    </xf>
    <xf numFmtId="14" fontId="2" fillId="2" borderId="7" xfId="3" applyNumberFormat="1" applyFont="1" applyFill="1" applyBorder="1" applyAlignment="1">
      <alignment horizontal="left" vertical="center"/>
    </xf>
    <xf numFmtId="14" fontId="2" fillId="2" borderId="20" xfId="3" applyNumberFormat="1" applyFont="1" applyFill="1" applyBorder="1" applyAlignment="1">
      <alignment horizontal="left" vertical="center"/>
    </xf>
    <xf numFmtId="0" fontId="3" fillId="0" borderId="10" xfId="0" applyFont="1" applyBorder="1" applyAlignment="1">
      <alignment horizontal="center" vertical="center"/>
    </xf>
    <xf numFmtId="0" fontId="3" fillId="0" borderId="7" xfId="0" applyFont="1" applyBorder="1" applyAlignment="1">
      <alignment horizontal="center" vertical="center"/>
    </xf>
    <xf numFmtId="15" fontId="2" fillId="2" borderId="7" xfId="3" applyNumberFormat="1" applyFont="1" applyFill="1" applyBorder="1" applyAlignment="1">
      <alignment horizontal="left" vertical="center"/>
    </xf>
    <xf numFmtId="15" fontId="2" fillId="2" borderId="20" xfId="3" applyNumberFormat="1" applyFont="1" applyFill="1" applyBorder="1" applyAlignment="1">
      <alignment horizontal="left" vertical="center"/>
    </xf>
    <xf numFmtId="0" fontId="2" fillId="0" borderId="7" xfId="0" applyFont="1" applyBorder="1" applyAlignment="1">
      <alignment horizontal="left" vertical="center" wrapText="1"/>
    </xf>
    <xf numFmtId="0" fontId="2" fillId="0" borderId="20" xfId="0" applyFont="1" applyBorder="1" applyAlignment="1">
      <alignment horizontal="left" vertical="center" wrapText="1"/>
    </xf>
    <xf numFmtId="0" fontId="3" fillId="0" borderId="6" xfId="0" applyFont="1" applyBorder="1" applyAlignment="1">
      <alignment horizontal="center" vertical="center"/>
    </xf>
    <xf numFmtId="0" fontId="3" fillId="0" borderId="20" xfId="0" applyFont="1" applyBorder="1" applyAlignment="1">
      <alignment horizontal="center" vertical="center"/>
    </xf>
    <xf numFmtId="0" fontId="3" fillId="0" borderId="10" xfId="0" applyFont="1" applyBorder="1" applyAlignment="1">
      <alignment horizontal="center" vertical="center" wrapText="1"/>
    </xf>
    <xf numFmtId="0" fontId="3" fillId="0" borderId="11" xfId="0" applyFont="1" applyBorder="1" applyAlignment="1">
      <alignment horizontal="center" vertical="center" wrapText="1"/>
    </xf>
    <xf numFmtId="0" fontId="11" fillId="2" borderId="0" xfId="0" applyFont="1" applyFill="1" applyBorder="1" applyAlignment="1">
      <alignment horizontal="center" vertical="center" wrapText="1"/>
    </xf>
    <xf numFmtId="0" fontId="11" fillId="2" borderId="14" xfId="0" applyFont="1" applyFill="1" applyBorder="1" applyAlignment="1">
      <alignment horizontal="center" vertical="center" wrapText="1"/>
    </xf>
    <xf numFmtId="15" fontId="12" fillId="0" borderId="0" xfId="0" applyNumberFormat="1" applyFont="1" applyAlignment="1">
      <alignment horizontal="center" vertical="center"/>
    </xf>
    <xf numFmtId="0" fontId="0" fillId="0" borderId="0" xfId="0" applyAlignment="1">
      <alignment horizontal="center" vertical="center"/>
    </xf>
    <xf numFmtId="0" fontId="12" fillId="0" borderId="25" xfId="0" applyFont="1" applyBorder="1" applyAlignment="1">
      <alignment horizontal="center" vertical="center" wrapText="1"/>
    </xf>
    <xf numFmtId="0" fontId="12" fillId="0" borderId="21" xfId="0" applyFont="1" applyBorder="1" applyAlignment="1">
      <alignment horizontal="center" vertical="center" wrapText="1"/>
    </xf>
    <xf numFmtId="0" fontId="12" fillId="0" borderId="25" xfId="0" applyFont="1" applyBorder="1" applyAlignment="1">
      <alignment horizontal="center" vertical="center"/>
    </xf>
    <xf numFmtId="0" fontId="12" fillId="0" borderId="21" xfId="0" applyFont="1" applyBorder="1" applyAlignment="1">
      <alignment horizontal="center" vertical="center"/>
    </xf>
    <xf numFmtId="0" fontId="12" fillId="0" borderId="12" xfId="0" applyFont="1" applyBorder="1" applyAlignment="1">
      <alignment horizontal="center" vertical="center"/>
    </xf>
    <xf numFmtId="0" fontId="12" fillId="0" borderId="15" xfId="0" applyFont="1" applyBorder="1" applyAlignment="1">
      <alignment horizontal="center" vertical="center"/>
    </xf>
    <xf numFmtId="0" fontId="12" fillId="0" borderId="30" xfId="0" applyFont="1" applyBorder="1" applyAlignment="1">
      <alignment horizontal="center" vertical="center" wrapText="1"/>
    </xf>
    <xf numFmtId="0" fontId="12" fillId="0" borderId="31" xfId="0" applyFont="1" applyBorder="1" applyAlignment="1">
      <alignment horizontal="center" vertical="center" wrapText="1"/>
    </xf>
    <xf numFmtId="0" fontId="34" fillId="0" borderId="0" xfId="0" applyFont="1" applyBorder="1" applyAlignment="1">
      <alignment horizontal="left" vertical="center" wrapText="1"/>
    </xf>
    <xf numFmtId="0" fontId="35" fillId="0" borderId="0" xfId="0" applyFont="1" applyBorder="1" applyAlignment="1">
      <alignment horizontal="left" vertical="center" wrapText="1" indent="3"/>
    </xf>
    <xf numFmtId="0" fontId="0" fillId="0" borderId="0" xfId="0" applyBorder="1" applyAlignment="1">
      <alignment horizontal="left" vertical="center" wrapText="1" indent="3"/>
    </xf>
    <xf numFmtId="0" fontId="0" fillId="0" borderId="5" xfId="0" applyBorder="1" applyAlignment="1">
      <alignment horizontal="left" vertical="center" wrapText="1" indent="3"/>
    </xf>
    <xf numFmtId="41" fontId="3" fillId="0" borderId="30" xfId="0" applyNumberFormat="1" applyFont="1" applyBorder="1" applyAlignment="1">
      <alignment horizontal="center" vertical="center"/>
    </xf>
    <xf numFmtId="41" fontId="3" fillId="0" borderId="31" xfId="0" applyNumberFormat="1" applyFont="1" applyBorder="1" applyAlignment="1">
      <alignment horizontal="center" vertical="center"/>
    </xf>
    <xf numFmtId="41" fontId="8" fillId="0" borderId="0" xfId="0" applyNumberFormat="1" applyFont="1" applyBorder="1" applyAlignment="1">
      <alignment horizontal="left" vertical="center" wrapText="1"/>
    </xf>
    <xf numFmtId="41" fontId="8" fillId="0" borderId="5" xfId="0" applyNumberFormat="1" applyFont="1" applyBorder="1" applyAlignment="1">
      <alignment horizontal="left" vertical="center" wrapText="1"/>
    </xf>
    <xf numFmtId="41" fontId="15" fillId="0" borderId="0" xfId="0" applyNumberFormat="1" applyFont="1" applyBorder="1" applyAlignment="1">
      <alignment horizontal="left" vertical="center" wrapText="1"/>
    </xf>
    <xf numFmtId="41" fontId="15" fillId="0" borderId="5" xfId="0" applyNumberFormat="1" applyFont="1" applyBorder="1" applyAlignment="1">
      <alignment horizontal="left" vertical="center" wrapText="1"/>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16" fillId="2" borderId="10" xfId="0" applyFont="1" applyFill="1" applyBorder="1" applyAlignment="1">
      <alignment horizontal="center" vertical="center" wrapText="1"/>
    </xf>
    <xf numFmtId="0" fontId="16" fillId="2" borderId="11" xfId="0" applyFont="1" applyFill="1" applyBorder="1" applyAlignment="1">
      <alignment horizontal="center" vertical="center" wrapText="1"/>
    </xf>
    <xf numFmtId="0" fontId="9" fillId="0" borderId="0" xfId="0" applyFont="1" applyBorder="1">
      <alignment vertical="center"/>
    </xf>
    <xf numFmtId="0" fontId="9" fillId="0" borderId="5" xfId="0" applyFont="1" applyBorder="1">
      <alignment vertical="center"/>
    </xf>
    <xf numFmtId="41" fontId="8" fillId="2" borderId="0" xfId="0" applyNumberFormat="1" applyFont="1" applyFill="1" applyBorder="1" applyAlignment="1">
      <alignment horizontal="center" vertical="center" wrapText="1"/>
    </xf>
    <xf numFmtId="0" fontId="11" fillId="0" borderId="0" xfId="0" applyFont="1" applyBorder="1" applyAlignment="1">
      <alignment horizontal="center" vertical="center" wrapText="1"/>
    </xf>
    <xf numFmtId="0" fontId="11" fillId="0" borderId="0" xfId="0" applyFont="1" applyBorder="1" applyAlignment="1">
      <alignment horizontal="center" vertical="center"/>
    </xf>
    <xf numFmtId="0" fontId="11" fillId="0" borderId="14" xfId="0" applyFont="1" applyBorder="1" applyAlignment="1">
      <alignment horizontal="center" vertical="center"/>
    </xf>
    <xf numFmtId="0" fontId="3" fillId="2" borderId="0" xfId="0" applyFont="1" applyFill="1" applyAlignment="1">
      <alignment vertical="top" wrapText="1"/>
    </xf>
    <xf numFmtId="0" fontId="40" fillId="2" borderId="0" xfId="0" applyFont="1" applyFill="1" applyAlignment="1">
      <alignment vertical="top"/>
    </xf>
    <xf numFmtId="0" fontId="40" fillId="2" borderId="5" xfId="0" applyFont="1" applyFill="1" applyBorder="1" applyAlignment="1">
      <alignment vertical="top"/>
    </xf>
    <xf numFmtId="0" fontId="40" fillId="2" borderId="7" xfId="0" applyFont="1" applyFill="1" applyBorder="1" applyAlignment="1">
      <alignment vertical="top"/>
    </xf>
    <xf numFmtId="0" fontId="40" fillId="2" borderId="8" xfId="0" applyFont="1" applyFill="1" applyBorder="1" applyAlignment="1">
      <alignment vertical="top"/>
    </xf>
    <xf numFmtId="0" fontId="18" fillId="2" borderId="0" xfId="2" applyFont="1" applyFill="1" applyAlignment="1">
      <alignment vertical="top" wrapText="1"/>
    </xf>
    <xf numFmtId="0" fontId="38" fillId="2" borderId="0" xfId="0" applyFont="1" applyFill="1" applyAlignment="1">
      <alignment vertical="top"/>
    </xf>
    <xf numFmtId="0" fontId="38" fillId="2" borderId="14" xfId="0" applyFont="1" applyFill="1" applyBorder="1" applyAlignment="1">
      <alignment vertical="top"/>
    </xf>
    <xf numFmtId="0" fontId="38" fillId="2" borderId="7" xfId="0" applyFont="1" applyFill="1" applyBorder="1" applyAlignment="1">
      <alignment vertical="top"/>
    </xf>
    <xf numFmtId="0" fontId="38" fillId="2" borderId="20" xfId="0" applyFont="1" applyFill="1" applyBorder="1" applyAlignment="1">
      <alignment vertical="top"/>
    </xf>
    <xf numFmtId="0" fontId="3" fillId="2" borderId="25" xfId="0" applyFont="1" applyFill="1" applyBorder="1" applyAlignment="1">
      <alignment horizontal="center" vertical="center" wrapText="1"/>
    </xf>
    <xf numFmtId="0" fontId="3" fillId="2" borderId="21" xfId="0" applyFont="1" applyFill="1" applyBorder="1" applyAlignment="1">
      <alignment horizontal="center" vertical="center" wrapText="1"/>
    </xf>
    <xf numFmtId="0" fontId="3" fillId="0" borderId="25"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2" fillId="0" borderId="0" xfId="0" applyFont="1" applyBorder="1" applyAlignment="1">
      <alignment horizontal="left" vertical="center" wrapText="1"/>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3" fillId="0" borderId="25" xfId="0" applyFont="1" applyBorder="1" applyAlignment="1">
      <alignment horizontal="center" vertical="center"/>
    </xf>
    <xf numFmtId="0" fontId="3" fillId="0" borderId="21" xfId="0" applyFont="1" applyBorder="1" applyAlignment="1">
      <alignment horizontal="center" vertical="center"/>
    </xf>
    <xf numFmtId="0" fontId="3" fillId="0" borderId="12" xfId="0" applyFont="1" applyBorder="1" applyAlignment="1">
      <alignment horizontal="center" vertical="center"/>
    </xf>
    <xf numFmtId="0" fontId="3" fillId="0" borderId="15" xfId="0" applyFont="1" applyBorder="1" applyAlignment="1">
      <alignment horizontal="center" vertical="center"/>
    </xf>
    <xf numFmtId="0" fontId="28" fillId="0" borderId="0" xfId="6" applyFont="1" applyFill="1" applyAlignment="1">
      <alignment horizontal="left" vertical="top" wrapText="1"/>
    </xf>
    <xf numFmtId="0" fontId="28" fillId="0" borderId="14" xfId="6" applyFont="1" applyFill="1" applyBorder="1" applyAlignment="1">
      <alignment horizontal="left" vertical="top" wrapText="1"/>
    </xf>
    <xf numFmtId="0" fontId="28" fillId="0" borderId="0" xfId="6" applyFont="1" applyAlignment="1">
      <alignment horizontal="left" vertical="top" wrapText="1"/>
    </xf>
    <xf numFmtId="0" fontId="28" fillId="0" borderId="14" xfId="6" applyFont="1" applyBorder="1" applyAlignment="1">
      <alignment horizontal="left" vertical="top" wrapText="1"/>
    </xf>
    <xf numFmtId="0" fontId="28" fillId="2" borderId="0" xfId="6" applyFont="1" applyFill="1" applyAlignment="1">
      <alignment horizontal="left" vertical="top" wrapText="1"/>
    </xf>
    <xf numFmtId="0" fontId="28" fillId="2" borderId="14" xfId="6" applyFont="1" applyFill="1" applyBorder="1" applyAlignment="1">
      <alignment horizontal="left" vertical="top" wrapText="1"/>
    </xf>
    <xf numFmtId="0" fontId="27" fillId="0" borderId="17" xfId="6" applyFont="1" applyBorder="1" applyAlignment="1">
      <alignment horizontal="center" vertical="center"/>
    </xf>
    <xf numFmtId="0" fontId="29" fillId="0" borderId="1" xfId="6" applyFont="1" applyBorder="1" applyAlignment="1">
      <alignment horizontal="center" vertical="center" wrapText="1"/>
    </xf>
    <xf numFmtId="0" fontId="29" fillId="0" borderId="2" xfId="6" applyFont="1" applyBorder="1" applyAlignment="1">
      <alignment horizontal="center" vertical="center" wrapText="1"/>
    </xf>
    <xf numFmtId="0" fontId="29" fillId="0" borderId="3" xfId="6" applyFont="1" applyBorder="1" applyAlignment="1">
      <alignment horizontal="center" vertical="center" wrapText="1"/>
    </xf>
    <xf numFmtId="0" fontId="29" fillId="0" borderId="6" xfId="6" applyFont="1" applyBorder="1" applyAlignment="1">
      <alignment horizontal="center" vertical="center" wrapText="1"/>
    </xf>
    <xf numFmtId="0" fontId="29" fillId="0" borderId="7" xfId="6" applyFont="1" applyBorder="1" applyAlignment="1">
      <alignment horizontal="center" vertical="center" wrapText="1"/>
    </xf>
    <xf numFmtId="0" fontId="29" fillId="0" borderId="8" xfId="6" applyFont="1" applyBorder="1" applyAlignment="1">
      <alignment horizontal="center" vertical="center" wrapText="1"/>
    </xf>
    <xf numFmtId="0" fontId="28" fillId="2" borderId="10" xfId="6" applyFont="1" applyFill="1" applyBorder="1" applyAlignment="1">
      <alignment horizontal="left" vertical="top" wrapText="1"/>
    </xf>
    <xf numFmtId="0" fontId="28" fillId="2" borderId="10" xfId="6" applyFont="1" applyFill="1" applyBorder="1" applyAlignment="1">
      <alignment horizontal="left" vertical="top"/>
    </xf>
    <xf numFmtId="0" fontId="28" fillId="2" borderId="11" xfId="6" applyFont="1" applyFill="1" applyBorder="1" applyAlignment="1">
      <alignment horizontal="left" vertical="top"/>
    </xf>
    <xf numFmtId="37" fontId="58" fillId="2" borderId="0" xfId="6" applyNumberFormat="1" applyFont="1" applyFill="1" applyAlignment="1">
      <alignment horizontal="left" vertical="top" wrapText="1"/>
    </xf>
    <xf numFmtId="0" fontId="54" fillId="0" borderId="0" xfId="0" applyFont="1" applyAlignment="1">
      <alignment horizontal="center" vertical="center"/>
    </xf>
    <xf numFmtId="0" fontId="47" fillId="0" borderId="36" xfId="0" applyFont="1" applyBorder="1" applyAlignment="1">
      <alignment horizontal="center" vertical="center"/>
    </xf>
    <xf numFmtId="0" fontId="47" fillId="0" borderId="43" xfId="0" applyFont="1" applyBorder="1" applyAlignment="1">
      <alignment horizontal="center" vertical="center"/>
    </xf>
    <xf numFmtId="0" fontId="47" fillId="2" borderId="37" xfId="0" applyFont="1" applyFill="1" applyBorder="1" applyAlignment="1">
      <alignment horizontal="center" vertical="center" wrapText="1"/>
    </xf>
    <xf numFmtId="0" fontId="47" fillId="2" borderId="21" xfId="0" applyFont="1" applyFill="1" applyBorder="1" applyAlignment="1">
      <alignment horizontal="center" vertical="center" wrapText="1"/>
    </xf>
    <xf numFmtId="41" fontId="47" fillId="2" borderId="38" xfId="1" applyFont="1" applyFill="1" applyBorder="1" applyAlignment="1">
      <alignment horizontal="center" vertical="center" wrapText="1"/>
    </xf>
    <xf numFmtId="41" fontId="47" fillId="2" borderId="39" xfId="1" applyFont="1" applyFill="1" applyBorder="1" applyAlignment="1">
      <alignment horizontal="center" vertical="center" wrapText="1"/>
    </xf>
    <xf numFmtId="172" fontId="47" fillId="0" borderId="40" xfId="0" applyNumberFormat="1" applyFont="1" applyBorder="1" applyAlignment="1">
      <alignment horizontal="center" vertical="center" wrapText="1"/>
    </xf>
    <xf numFmtId="172" fontId="47" fillId="0" borderId="41" xfId="0" applyNumberFormat="1" applyFont="1" applyBorder="1" applyAlignment="1">
      <alignment horizontal="center" vertical="center" wrapText="1"/>
    </xf>
    <xf numFmtId="0" fontId="47" fillId="0" borderId="42" xfId="0" applyFont="1" applyBorder="1" applyAlignment="1">
      <alignment horizontal="center" vertical="center" wrapText="1"/>
    </xf>
    <xf numFmtId="0" fontId="47" fillId="0" borderId="22" xfId="0" applyFont="1" applyBorder="1" applyAlignment="1">
      <alignment horizontal="center" vertical="center" wrapText="1"/>
    </xf>
    <xf numFmtId="0" fontId="12" fillId="2" borderId="28" xfId="0" applyFont="1" applyFill="1" applyBorder="1" applyAlignment="1">
      <alignment horizontal="center" vertical="center"/>
    </xf>
    <xf numFmtId="14" fontId="12" fillId="2" borderId="28" xfId="0" applyNumberFormat="1" applyFont="1" applyFill="1" applyBorder="1" applyAlignment="1">
      <alignment horizontal="center" vertical="center"/>
    </xf>
  </cellXfs>
  <cellStyles count="14">
    <cellStyle name="Bình thường" xfId="0" builtinId="0"/>
    <cellStyle name="Comma" xfId="11" xr:uid="{00000000-0005-0000-0000-000000000000}"/>
    <cellStyle name="Dấu phẩy [0]" xfId="1" builtinId="6"/>
    <cellStyle name="Normal 3" xfId="8" xr:uid="{00000000-0005-0000-0000-000001000000}"/>
    <cellStyle name="Siêu kết nối" xfId="9" builtinId="8"/>
    <cellStyle name="쉼표 [0] 2" xfId="12" xr:uid="{00000000-0005-0000-0000-000003000000}"/>
    <cellStyle name="쉼표 [0] 6" xfId="5" xr:uid="{00000000-0005-0000-0000-000004000000}"/>
    <cellStyle name="쉼표 [0] 6 2" xfId="13" xr:uid="{00000000-0005-0000-0000-000005000000}"/>
    <cellStyle name="표준 6" xfId="4" xr:uid="{00000000-0005-0000-0000-000007000000}"/>
    <cellStyle name="표준_080407 3항차 final packing List(r3)통합" xfId="10" xr:uid="{00000000-0005-0000-0000-000008000000}"/>
    <cellStyle name="표준_Cirebon Grating Pk'g list(서흥)_080910_final" xfId="6" xr:uid="{00000000-0005-0000-0000-000009000000}"/>
    <cellStyle name="표준_PACKINGLIST (철골_1항차)" xfId="7" xr:uid="{00000000-0005-0000-0000-00000A000000}"/>
    <cellStyle name="표준_STG-PKL" xfId="3" xr:uid="{00000000-0005-0000-0000-00000C000000}"/>
    <cellStyle name="標準_Proforma PL cirebon 2" xfId="2" xr:uid="{00000000-0005-0000-0000-00000B00000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pn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4</xdr:col>
      <xdr:colOff>402</xdr:colOff>
      <xdr:row>0</xdr:row>
      <xdr:rowOff>108912</xdr:rowOff>
    </xdr:from>
    <xdr:to>
      <xdr:col>10</xdr:col>
      <xdr:colOff>455532</xdr:colOff>
      <xdr:row>3</xdr:row>
      <xdr:rowOff>57150</xdr:rowOff>
    </xdr:to>
    <xdr:sp macro="" textlink="">
      <xdr:nvSpPr>
        <xdr:cNvPr id="2" name="TextBox 1">
          <a:extLst>
            <a:ext uri="{FF2B5EF4-FFF2-40B4-BE49-F238E27FC236}">
              <a16:creationId xmlns:a16="http://schemas.microsoft.com/office/drawing/2014/main" id="{F8AEE470-DCE2-4D18-881B-F891B5EF8496}"/>
            </a:ext>
          </a:extLst>
        </xdr:cNvPr>
        <xdr:cNvSpPr txBox="1"/>
      </xdr:nvSpPr>
      <xdr:spPr>
        <a:xfrm>
          <a:off x="2415942" y="108912"/>
          <a:ext cx="5141430" cy="474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altLang="ko-KR" sz="1600" b="1" u="sng"/>
            <a:t>BREAK DOWN of COMMERCIAL INVOICE</a:t>
          </a:r>
          <a:endParaRPr lang="ko-KR" altLang="en-US" sz="1600" b="1" u="sng"/>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1503826</xdr:colOff>
      <xdr:row>1</xdr:row>
      <xdr:rowOff>282734</xdr:rowOff>
    </xdr:to>
    <xdr:pic>
      <xdr:nvPicPr>
        <xdr:cNvPr id="2" name="그림 2">
          <a:extLst>
            <a:ext uri="{FF2B5EF4-FFF2-40B4-BE49-F238E27FC236}">
              <a16:creationId xmlns:a16="http://schemas.microsoft.com/office/drawing/2014/main" id="{A8E7A8E0-A754-4482-AF74-876E703A6BF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19</xdr:col>
      <xdr:colOff>46353</xdr:colOff>
      <xdr:row>1</xdr:row>
      <xdr:rowOff>71120</xdr:rowOff>
    </xdr:from>
    <xdr:to>
      <xdr:col>20</xdr:col>
      <xdr:colOff>475315</xdr:colOff>
      <xdr:row>2</xdr:row>
      <xdr:rowOff>36512</xdr:rowOff>
    </xdr:to>
    <xdr:pic>
      <xdr:nvPicPr>
        <xdr:cNvPr id="3" name="Picture 2">
          <a:extLst>
            <a:ext uri="{FF2B5EF4-FFF2-40B4-BE49-F238E27FC236}">
              <a16:creationId xmlns:a16="http://schemas.microsoft.com/office/drawing/2014/main" id="{92708511-8760-4245-8514-006096CE83F1}"/>
            </a:ext>
          </a:extLst>
        </xdr:cNvPr>
        <xdr:cNvPicPr>
          <a:picLocks noChangeAspect="1"/>
        </xdr:cNvPicPr>
      </xdr:nvPicPr>
      <xdr:blipFill>
        <a:blip xmlns:r="http://schemas.openxmlformats.org/officeDocument/2006/relationships" r:embed="rId2"/>
        <a:stretch>
          <a:fillRect/>
        </a:stretch>
      </xdr:blipFill>
      <xdr:spPr>
        <a:xfrm>
          <a:off x="15123793" y="182880"/>
          <a:ext cx="972522" cy="2905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57150</xdr:colOff>
      <xdr:row>0</xdr:row>
      <xdr:rowOff>181769</xdr:rowOff>
    </xdr:from>
    <xdr:to>
      <xdr:col>1</xdr:col>
      <xdr:colOff>1427626</xdr:colOff>
      <xdr:row>1</xdr:row>
      <xdr:rowOff>173832</xdr:rowOff>
    </xdr:to>
    <xdr:pic>
      <xdr:nvPicPr>
        <xdr:cNvPr id="2" name="그림 2">
          <a:extLst>
            <a:ext uri="{FF2B5EF4-FFF2-40B4-BE49-F238E27FC236}">
              <a16:creationId xmlns:a16="http://schemas.microsoft.com/office/drawing/2014/main" id="{27CA2308-17CA-4D43-B181-58F345A242B9}"/>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57150" y="181769"/>
          <a:ext cx="1510811" cy="272733"/>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327023</xdr:colOff>
      <xdr:row>0</xdr:row>
      <xdr:rowOff>247650</xdr:rowOff>
    </xdr:from>
    <xdr:to>
      <xdr:col>10</xdr:col>
      <xdr:colOff>650189</xdr:colOff>
      <xdr:row>2</xdr:row>
      <xdr:rowOff>17145</xdr:rowOff>
    </xdr:to>
    <xdr:pic>
      <xdr:nvPicPr>
        <xdr:cNvPr id="3" name="Picture 2">
          <a:extLst>
            <a:ext uri="{FF2B5EF4-FFF2-40B4-BE49-F238E27FC236}">
              <a16:creationId xmlns:a16="http://schemas.microsoft.com/office/drawing/2014/main" id="{C95DA5F6-69D3-43AF-BC51-61335CF238DA}"/>
            </a:ext>
          </a:extLst>
        </xdr:cNvPr>
        <xdr:cNvPicPr>
          <a:picLocks noChangeAspect="1"/>
        </xdr:cNvPicPr>
      </xdr:nvPicPr>
      <xdr:blipFill>
        <a:blip xmlns:r="http://schemas.openxmlformats.org/officeDocument/2006/relationships" r:embed="rId2"/>
        <a:stretch>
          <a:fillRect/>
        </a:stretch>
      </xdr:blipFill>
      <xdr:spPr>
        <a:xfrm>
          <a:off x="6979283" y="247650"/>
          <a:ext cx="1008966" cy="332740"/>
        </a:xfrm>
        <a:prstGeom prst="rect">
          <a:avLst/>
        </a:prstGeom>
      </xdr:spPr>
    </xdr:pic>
    <xdr:clientData/>
  </xdr:twoCellAnchor>
  <xdr:twoCellAnchor editAs="oneCell">
    <xdr:from>
      <xdr:col>7</xdr:col>
      <xdr:colOff>91440</xdr:colOff>
      <xdr:row>39</xdr:row>
      <xdr:rowOff>60960</xdr:rowOff>
    </xdr:from>
    <xdr:to>
      <xdr:col>9</xdr:col>
      <xdr:colOff>513367</xdr:colOff>
      <xdr:row>44</xdr:row>
      <xdr:rowOff>136099</xdr:rowOff>
    </xdr:to>
    <xdr:pic>
      <xdr:nvPicPr>
        <xdr:cNvPr id="4" name="그림 3">
          <a:extLst>
            <a:ext uri="{FF2B5EF4-FFF2-40B4-BE49-F238E27FC236}">
              <a16:creationId xmlns:a16="http://schemas.microsoft.com/office/drawing/2014/main" id="{446F3F29-7BF5-4174-BFBC-8A176CA661CB}"/>
            </a:ext>
          </a:extLst>
        </xdr:cNvPr>
        <xdr:cNvPicPr>
          <a:picLocks noChangeAspect="1"/>
        </xdr:cNvPicPr>
      </xdr:nvPicPr>
      <xdr:blipFill>
        <a:blip xmlns:r="http://schemas.openxmlformats.org/officeDocument/2006/relationships" r:embed="rId3"/>
        <a:stretch>
          <a:fillRect/>
        </a:stretch>
      </xdr:blipFill>
      <xdr:spPr>
        <a:xfrm>
          <a:off x="5623560" y="11193780"/>
          <a:ext cx="1846867" cy="96096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76200</xdr:colOff>
      <xdr:row>0</xdr:row>
      <xdr:rowOff>118269</xdr:rowOff>
    </xdr:from>
    <xdr:to>
      <xdr:col>1</xdr:col>
      <xdr:colOff>1431436</xdr:colOff>
      <xdr:row>1</xdr:row>
      <xdr:rowOff>134144</xdr:rowOff>
    </xdr:to>
    <xdr:pic>
      <xdr:nvPicPr>
        <xdr:cNvPr id="2" name="그림 2">
          <a:extLst>
            <a:ext uri="{FF2B5EF4-FFF2-40B4-BE49-F238E27FC236}">
              <a16:creationId xmlns:a16="http://schemas.microsoft.com/office/drawing/2014/main" id="{EE735AB2-DA11-45E9-BFF6-D446C78AB92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76200" y="118269"/>
          <a:ext cx="1486874" cy="281609"/>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9</xdr:col>
      <xdr:colOff>651563</xdr:colOff>
      <xdr:row>0</xdr:row>
      <xdr:rowOff>187187</xdr:rowOff>
    </xdr:from>
    <xdr:to>
      <xdr:col>10</xdr:col>
      <xdr:colOff>821113</xdr:colOff>
      <xdr:row>1</xdr:row>
      <xdr:rowOff>210999</xdr:rowOff>
    </xdr:to>
    <xdr:pic>
      <xdr:nvPicPr>
        <xdr:cNvPr id="3" name="Picture 2">
          <a:extLst>
            <a:ext uri="{FF2B5EF4-FFF2-40B4-BE49-F238E27FC236}">
              <a16:creationId xmlns:a16="http://schemas.microsoft.com/office/drawing/2014/main" id="{A341C86E-6CD9-43A1-80BE-F58BD5375AD8}"/>
            </a:ext>
          </a:extLst>
        </xdr:cNvPr>
        <xdr:cNvPicPr>
          <a:picLocks noChangeAspect="1"/>
        </xdr:cNvPicPr>
      </xdr:nvPicPr>
      <xdr:blipFill>
        <a:blip xmlns:r="http://schemas.openxmlformats.org/officeDocument/2006/relationships" r:embed="rId2"/>
        <a:stretch>
          <a:fillRect/>
        </a:stretch>
      </xdr:blipFill>
      <xdr:spPr>
        <a:xfrm>
          <a:off x="8576363" y="187187"/>
          <a:ext cx="994415" cy="290512"/>
        </a:xfrm>
        <a:prstGeom prst="rect">
          <a:avLst/>
        </a:prstGeom>
      </xdr:spPr>
    </xdr:pic>
    <xdr:clientData/>
  </xdr:twoCellAnchor>
  <xdr:twoCellAnchor editAs="oneCell">
    <xdr:from>
      <xdr:col>7</xdr:col>
      <xdr:colOff>76200</xdr:colOff>
      <xdr:row>40</xdr:row>
      <xdr:rowOff>7620</xdr:rowOff>
    </xdr:from>
    <xdr:to>
      <xdr:col>9</xdr:col>
      <xdr:colOff>307627</xdr:colOff>
      <xdr:row>45</xdr:row>
      <xdr:rowOff>96096</xdr:rowOff>
    </xdr:to>
    <xdr:pic>
      <xdr:nvPicPr>
        <xdr:cNvPr id="4" name="그림 3">
          <a:extLst>
            <a:ext uri="{FF2B5EF4-FFF2-40B4-BE49-F238E27FC236}">
              <a16:creationId xmlns:a16="http://schemas.microsoft.com/office/drawing/2014/main" id="{2423DBB0-6848-42FE-A640-2117E182D749}"/>
            </a:ext>
          </a:extLst>
        </xdr:cNvPr>
        <xdr:cNvPicPr>
          <a:picLocks noChangeAspect="1"/>
        </xdr:cNvPicPr>
      </xdr:nvPicPr>
      <xdr:blipFill>
        <a:blip xmlns:r="http://schemas.openxmlformats.org/officeDocument/2006/relationships" r:embed="rId3"/>
        <a:stretch>
          <a:fillRect/>
        </a:stretch>
      </xdr:blipFill>
      <xdr:spPr>
        <a:xfrm>
          <a:off x="5463540" y="11971020"/>
          <a:ext cx="1846867" cy="96096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1</xdr:row>
      <xdr:rowOff>3969</xdr:rowOff>
    </xdr:from>
    <xdr:to>
      <xdr:col>2</xdr:col>
      <xdr:colOff>1503191</xdr:colOff>
      <xdr:row>1</xdr:row>
      <xdr:rowOff>283369</xdr:rowOff>
    </xdr:to>
    <xdr:pic>
      <xdr:nvPicPr>
        <xdr:cNvPr id="2" name="그림 2">
          <a:extLst>
            <a:ext uri="{FF2B5EF4-FFF2-40B4-BE49-F238E27FC236}">
              <a16:creationId xmlns:a16="http://schemas.microsoft.com/office/drawing/2014/main" id="{043A71AE-9FDB-4AFE-8BA5-7F72736D8877}"/>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t="9117" b="11386"/>
        <a:stretch>
          <a:fillRect/>
        </a:stretch>
      </xdr:blipFill>
      <xdr:spPr bwMode="auto">
        <a:xfrm>
          <a:off x="400050" y="118269"/>
          <a:ext cx="1508271" cy="276225"/>
        </a:xfrm>
        <a:prstGeom prst="rect">
          <a:avLst/>
        </a:prstGeom>
        <a:noFill/>
        <a:ln>
          <a:noFill/>
        </a:ln>
        <a:extLst>
          <a:ext uri="{53640926-AAD7-44D8-BBD7-CCE9431645EC}">
            <a14:shadowObscured xmlns:a14="http://schemas.microsoft.com/office/drawing/2010/main"/>
          </a:ext>
        </a:extLst>
      </xdr:spPr>
    </xdr:pic>
    <xdr:clientData/>
  </xdr:twoCellAnchor>
  <xdr:twoCellAnchor editAs="oneCell">
    <xdr:from>
      <xdr:col>18</xdr:col>
      <xdr:colOff>33800</xdr:colOff>
      <xdr:row>1</xdr:row>
      <xdr:rowOff>26894</xdr:rowOff>
    </xdr:from>
    <xdr:to>
      <xdr:col>19</xdr:col>
      <xdr:colOff>244584</xdr:colOff>
      <xdr:row>2</xdr:row>
      <xdr:rowOff>3558</xdr:rowOff>
    </xdr:to>
    <xdr:pic>
      <xdr:nvPicPr>
        <xdr:cNvPr id="3" name="Picture 2">
          <a:extLst>
            <a:ext uri="{FF2B5EF4-FFF2-40B4-BE49-F238E27FC236}">
              <a16:creationId xmlns:a16="http://schemas.microsoft.com/office/drawing/2014/main" id="{E6D5D902-1B22-4E79-8CDB-6FBE06D6B3AC}"/>
            </a:ext>
          </a:extLst>
        </xdr:cNvPr>
        <xdr:cNvPicPr>
          <a:picLocks noChangeAspect="1"/>
        </xdr:cNvPicPr>
      </xdr:nvPicPr>
      <xdr:blipFill>
        <a:blip xmlns:r="http://schemas.openxmlformats.org/officeDocument/2006/relationships" r:embed="rId2"/>
        <a:stretch>
          <a:fillRect/>
        </a:stretch>
      </xdr:blipFill>
      <xdr:spPr>
        <a:xfrm>
          <a:off x="14520765" y="143435"/>
          <a:ext cx="945889" cy="29051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41</xdr:row>
      <xdr:rowOff>0</xdr:rowOff>
    </xdr:from>
    <xdr:to>
      <xdr:col>5</xdr:col>
      <xdr:colOff>0</xdr:colOff>
      <xdr:row>41</xdr:row>
      <xdr:rowOff>0</xdr:rowOff>
    </xdr:to>
    <xdr:sp macro="" textlink="">
      <xdr:nvSpPr>
        <xdr:cNvPr id="2" name="Text Box 3">
          <a:extLst>
            <a:ext uri="{FF2B5EF4-FFF2-40B4-BE49-F238E27FC236}">
              <a16:creationId xmlns:a16="http://schemas.microsoft.com/office/drawing/2014/main" id="{174A1CA9-C052-4A72-BA92-5F52C3A8B05C}"/>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41</xdr:row>
      <xdr:rowOff>0</xdr:rowOff>
    </xdr:from>
    <xdr:to>
      <xdr:col>5</xdr:col>
      <xdr:colOff>0</xdr:colOff>
      <xdr:row>41</xdr:row>
      <xdr:rowOff>0</xdr:rowOff>
    </xdr:to>
    <xdr:sp macro="" textlink="">
      <xdr:nvSpPr>
        <xdr:cNvPr id="3" name="Text Box 4">
          <a:extLst>
            <a:ext uri="{FF2B5EF4-FFF2-40B4-BE49-F238E27FC236}">
              <a16:creationId xmlns:a16="http://schemas.microsoft.com/office/drawing/2014/main" id="{42CF3817-54AB-46A2-960D-BD8CEB377AD4}"/>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41</xdr:row>
      <xdr:rowOff>0</xdr:rowOff>
    </xdr:from>
    <xdr:to>
      <xdr:col>5</xdr:col>
      <xdr:colOff>0</xdr:colOff>
      <xdr:row>41</xdr:row>
      <xdr:rowOff>0</xdr:rowOff>
    </xdr:to>
    <xdr:sp macro="" textlink="">
      <xdr:nvSpPr>
        <xdr:cNvPr id="4" name="Text Box 5">
          <a:extLst>
            <a:ext uri="{FF2B5EF4-FFF2-40B4-BE49-F238E27FC236}">
              <a16:creationId xmlns:a16="http://schemas.microsoft.com/office/drawing/2014/main" id="{593BFF94-DD68-42F0-AAD7-42B7D46FE8A5}"/>
            </a:ext>
          </a:extLst>
        </xdr:cNvPr>
        <xdr:cNvSpPr txBox="1">
          <a:spLocks noChangeArrowheads="1"/>
        </xdr:cNvSpPr>
      </xdr:nvSpPr>
      <xdr:spPr bwMode="auto">
        <a:xfrm>
          <a:off x="3048000" y="313105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0</xdr:colOff>
      <xdr:row>19</xdr:row>
      <xdr:rowOff>0</xdr:rowOff>
    </xdr:from>
    <xdr:to>
      <xdr:col>5</xdr:col>
      <xdr:colOff>0</xdr:colOff>
      <xdr:row>19</xdr:row>
      <xdr:rowOff>0</xdr:rowOff>
    </xdr:to>
    <xdr:sp macro="" textlink="">
      <xdr:nvSpPr>
        <xdr:cNvPr id="5" name="Text Box 6">
          <a:extLst>
            <a:ext uri="{FF2B5EF4-FFF2-40B4-BE49-F238E27FC236}">
              <a16:creationId xmlns:a16="http://schemas.microsoft.com/office/drawing/2014/main" id="{2B077CD0-E5FD-4516-B1F3-5005C7409AEE}"/>
            </a:ext>
          </a:extLst>
        </xdr:cNvPr>
        <xdr:cNvSpPr txBox="1">
          <a:spLocks noChangeArrowheads="1"/>
        </xdr:cNvSpPr>
      </xdr:nvSpPr>
      <xdr:spPr bwMode="auto">
        <a:xfrm>
          <a:off x="3048000" y="27424380"/>
          <a:ext cx="4358640"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oneCellAnchor>
    <xdr:from>
      <xdr:col>0</xdr:col>
      <xdr:colOff>0</xdr:colOff>
      <xdr:row>0</xdr:row>
      <xdr:rowOff>0</xdr:rowOff>
    </xdr:from>
    <xdr:ext cx="1472453" cy="504265"/>
    <xdr:pic>
      <xdr:nvPicPr>
        <xdr:cNvPr id="6" name="그림 6">
          <a:extLst>
            <a:ext uri="{FF2B5EF4-FFF2-40B4-BE49-F238E27FC236}">
              <a16:creationId xmlns:a16="http://schemas.microsoft.com/office/drawing/2014/main" id="{4F858FDC-69C0-47FB-84A5-F0BC56724B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1472453" cy="50426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296061</xdr:colOff>
      <xdr:row>42</xdr:row>
      <xdr:rowOff>105795</xdr:rowOff>
    </xdr:to>
    <xdr:pic>
      <xdr:nvPicPr>
        <xdr:cNvPr id="2" name="Picture 1">
          <a:extLst>
            <a:ext uri="{FF2B5EF4-FFF2-40B4-BE49-F238E27FC236}">
              <a16:creationId xmlns:a16="http://schemas.microsoft.com/office/drawing/2014/main" id="{5B384E68-F239-7CF8-8E0C-4636EAD95363}"/>
            </a:ext>
          </a:extLst>
        </xdr:cNvPr>
        <xdr:cNvPicPr>
          <a:picLocks noChangeAspect="1"/>
        </xdr:cNvPicPr>
      </xdr:nvPicPr>
      <xdr:blipFill>
        <a:blip xmlns:r="http://schemas.openxmlformats.org/officeDocument/2006/relationships" r:embed="rId1"/>
        <a:stretch>
          <a:fillRect/>
        </a:stretch>
      </xdr:blipFill>
      <xdr:spPr>
        <a:xfrm>
          <a:off x="0" y="0"/>
          <a:ext cx="5630061" cy="730669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69850</xdr:rowOff>
    </xdr:from>
    <xdr:to>
      <xdr:col>7</xdr:col>
      <xdr:colOff>101600</xdr:colOff>
      <xdr:row>39</xdr:row>
      <xdr:rowOff>5108</xdr:rowOff>
    </xdr:to>
    <xdr:pic>
      <xdr:nvPicPr>
        <xdr:cNvPr id="3" name="그림 2">
          <a:extLst>
            <a:ext uri="{FF2B5EF4-FFF2-40B4-BE49-F238E27FC236}">
              <a16:creationId xmlns:a16="http://schemas.microsoft.com/office/drawing/2014/main" id="{CC591DF6-CC67-2F33-F4D5-8B2D32DAD8F3}"/>
            </a:ext>
          </a:extLst>
        </xdr:cNvPr>
        <xdr:cNvPicPr>
          <a:picLocks noChangeAspect="1"/>
        </xdr:cNvPicPr>
      </xdr:nvPicPr>
      <xdr:blipFill>
        <a:blip xmlns:r="http://schemas.openxmlformats.org/officeDocument/2006/relationships" r:embed="rId1"/>
        <a:stretch>
          <a:fillRect/>
        </a:stretch>
      </xdr:blipFill>
      <xdr:spPr>
        <a:xfrm>
          <a:off x="0" y="247650"/>
          <a:ext cx="4724400" cy="669165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7</xdr:col>
      <xdr:colOff>277008</xdr:colOff>
      <xdr:row>38</xdr:row>
      <xdr:rowOff>86745</xdr:rowOff>
    </xdr:to>
    <xdr:pic>
      <xdr:nvPicPr>
        <xdr:cNvPr id="2" name="Picture 1">
          <a:extLst>
            <a:ext uri="{FF2B5EF4-FFF2-40B4-BE49-F238E27FC236}">
              <a16:creationId xmlns:a16="http://schemas.microsoft.com/office/drawing/2014/main" id="{FAF6769A-280A-914F-EDCC-3763FC93F948}"/>
            </a:ext>
          </a:extLst>
        </xdr:cNvPr>
        <xdr:cNvPicPr>
          <a:picLocks noChangeAspect="1"/>
        </xdr:cNvPicPr>
      </xdr:nvPicPr>
      <xdr:blipFill>
        <a:blip xmlns:r="http://schemas.openxmlformats.org/officeDocument/2006/relationships" r:embed="rId1"/>
        <a:stretch>
          <a:fillRect/>
        </a:stretch>
      </xdr:blipFill>
      <xdr:spPr>
        <a:xfrm>
          <a:off x="0" y="0"/>
          <a:ext cx="5611008" cy="730669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177800</xdr:colOff>
      <xdr:row>0</xdr:row>
      <xdr:rowOff>0</xdr:rowOff>
    </xdr:from>
    <xdr:to>
      <xdr:col>9</xdr:col>
      <xdr:colOff>514350</xdr:colOff>
      <xdr:row>49</xdr:row>
      <xdr:rowOff>70080</xdr:rowOff>
    </xdr:to>
    <xdr:pic>
      <xdr:nvPicPr>
        <xdr:cNvPr id="6" name="그림 5">
          <a:extLst>
            <a:ext uri="{FF2B5EF4-FFF2-40B4-BE49-F238E27FC236}">
              <a16:creationId xmlns:a16="http://schemas.microsoft.com/office/drawing/2014/main" id="{7CF006AE-F715-0CFA-8C16-7FB6CAE2FA8A}"/>
            </a:ext>
          </a:extLst>
        </xdr:cNvPr>
        <xdr:cNvPicPr>
          <a:picLocks noChangeAspect="1"/>
        </xdr:cNvPicPr>
      </xdr:nvPicPr>
      <xdr:blipFill>
        <a:blip xmlns:r="http://schemas.openxmlformats.org/officeDocument/2006/relationships" r:embed="rId1"/>
        <a:stretch>
          <a:fillRect/>
        </a:stretch>
      </xdr:blipFill>
      <xdr:spPr>
        <a:xfrm>
          <a:off x="177800" y="0"/>
          <a:ext cx="6280150" cy="89092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51204;&#50689;&#44428;/C/WIN98/TEMP/REPORT07.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50724;&#51008;&#49892;/&#49345;&#48120;&#51452;&#51076;&#45784;/WIN98/TEMP/REPORT0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50724;&#51008;&#49892;/&#49345;&#48120;&#51452;&#51076;&#45784;/temp/WIN98/TEMP/REPORT0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50689;&#49689;/D/share/loss&#44228;&#49328;-TAWEELAH-msf-jan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www35.daum.net/WIN98/TEMP/REPORT07.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80C4F2C1/OM4_Payment%20Form%2004,%2005%20-%20Commercial%20invoice%20and%20Packing%20list,%20rev%2025070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
      <sheetName val="TTL"/>
      <sheetName val="성광벤드"/>
      <sheetName val="REPORT07"/>
      <sheetName val="GRP PIPING"/>
      <sheetName val="Sheet1"/>
      <sheetName val="현장지지물물량"/>
      <sheetName val="#REF"/>
      <sheetName val="견적기준"/>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WE'T"/>
      <sheetName val="REDUCER"/>
      <sheetName val="임율 Data"/>
      <sheetName val="Lists"/>
      <sheetName val="REV 4"/>
      <sheetName val="COL"/>
      <sheetName val="Sheet5"/>
      <sheetName val="BEND LOSS"/>
      <sheetName val="CI "/>
      <sheetName val="CI"/>
      <sheetName val="FM"/>
      <sheetName val="내역서"/>
      <sheetName val="노임단가"/>
      <sheetName val="품셈표"/>
      <sheetName val="추가예산"/>
      <sheetName val="자바라1"/>
      <sheetName val="해외 연수비용 계산-삭제"/>
      <sheetName val="Wind Load(3.1) (2)"/>
      <sheetName val="Wind Load(3.2)"/>
      <sheetName val="Wind Load(3.4)"/>
      <sheetName val="Ord"/>
      <sheetName val="Key Data"/>
      <sheetName val="INPUT"/>
      <sheetName val="2.2 띠장의 설계"/>
      <sheetName val="Assembly_list"/>
      <sheetName val="간접비 총괄표"/>
      <sheetName val="ﾀｰﾋﾞﾝ"/>
      <sheetName val="Setup"/>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GRP_PIPING"/>
      <sheetName val="BM_"/>
      <sheetName val="DWG_LIST"/>
      <sheetName val="자격_땡겨오기"/>
      <sheetName val="5_소재"/>
      <sheetName val="表二"/>
      <sheetName val="EQUIPOS"/>
      <sheetName val="石炭性状"/>
      <sheetName val="증감내역서"/>
      <sheetName val="表三(首站)"/>
      <sheetName val="代码表"/>
      <sheetName val="Z- GENERAL PRICE SUMMARY"/>
      <sheetName val="WITHOUT C&amp;I PROFIT (3)"/>
      <sheetName val="목표세부명세"/>
      <sheetName val="Rate Analysis"/>
      <sheetName val="Earthwork"/>
      <sheetName val="2020 회원명부"/>
      <sheetName val="대비표"/>
      <sheetName val="산근"/>
      <sheetName val="집계표(OPTION)"/>
      <sheetName val="DRUM"/>
      <sheetName val="Cash2"/>
      <sheetName val="Z"/>
      <sheetName val="w't_table"/>
      <sheetName val="kich_thuoc"/>
      <sheetName val="임율_Data"/>
      <sheetName val="해외_연수비용_계산-삭제"/>
      <sheetName val="Wind_Load(3_1)_(2)"/>
      <sheetName val="Wind_Load(3_2)"/>
      <sheetName val="Wind_Load(3_4)"/>
      <sheetName val="Key_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견적기준"/>
      <sheetName val="CI "/>
      <sheetName val="CI"/>
      <sheetName val=""/>
      <sheetName val="TTL"/>
      <sheetName val="성광벤드"/>
      <sheetName val="REPORT07"/>
      <sheetName val="GRP PIPING"/>
      <sheetName val="Sheet1"/>
      <sheetName val="P-LIST"/>
      <sheetName val="물가자료"/>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B101"/>
      <sheetName val="카메라"/>
      <sheetName val="COA-17"/>
      <sheetName val="C-18"/>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kich thuoc"/>
      <sheetName val="DTHH"/>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산근터빈"/>
      <sheetName val="2.대외공문"/>
      <sheetName val="XZLC004_PART2"/>
      <sheetName val="XZLC003_PART1"/>
      <sheetName val="수량산출"/>
      <sheetName val="burner-spare"/>
      <sheetName val="일위대가표(DEE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P-LIST"/>
      <sheetName val="물가자료"/>
      <sheetName val="B101"/>
      <sheetName val="카메라"/>
      <sheetName val="COA-17"/>
      <sheetName val="C-18"/>
      <sheetName val=""/>
      <sheetName val="TTL"/>
      <sheetName val="성광벤드"/>
      <sheetName val="REPORT07"/>
      <sheetName val="GRP PIPING"/>
      <sheetName val="Sheet1"/>
      <sheetName val="견적기준"/>
      <sheetName val="일위대가"/>
      <sheetName val="M-EQPT-Z"/>
      <sheetName val="2000년1차"/>
      <sheetName val="단가집"/>
      <sheetName val="전열면적"/>
      <sheetName val="SEPARATOR"/>
      <sheetName val="BM "/>
      <sheetName val="DWG LIST"/>
      <sheetName val="자격 땡겨오기"/>
      <sheetName val="VAE264_VALVES"/>
      <sheetName val="5.소재"/>
      <sheetName val="소화실적"/>
      <sheetName val="현장지지물물량"/>
      <sheetName val="#REF"/>
      <sheetName val="Summary"/>
      <sheetName val="BM"/>
      <sheetName val="당초"/>
      <sheetName val="MOB-MAN1"/>
      <sheetName val="예제"/>
      <sheetName val="실행예산SHEET도장재검토"/>
      <sheetName val="기준표"/>
      <sheetName val="규격"/>
      <sheetName val="노점수분"/>
      <sheetName val="자재사용현황"/>
      <sheetName val="w't table"/>
      <sheetName val="INDEX"/>
      <sheetName val="DI-ESTI"/>
      <sheetName val="KH-Q1,Q2,01"/>
      <sheetName val="NYS"/>
      <sheetName val="CAT_5"/>
      <sheetName val="보일러"/>
      <sheetName val="Renc.Prod"/>
      <sheetName val="Tabel Kode"/>
      <sheetName val="PLN Ags"/>
      <sheetName val="PLN Apr"/>
      <sheetName val="Biaya Tot PLN TDL 2003"/>
      <sheetName val="PLN Des"/>
      <sheetName val="PLN Feb"/>
      <sheetName val="PLN Jan"/>
      <sheetName val="PLN Jul"/>
      <sheetName val="PLN Jun"/>
      <sheetName val="PLN Mar"/>
      <sheetName val="PLN Mei"/>
      <sheetName val="PLN Nov"/>
      <sheetName val="PLN Okt"/>
      <sheetName val="PLN Sep"/>
      <sheetName val="Renc.Semen Keluar prod kantong"/>
      <sheetName val="kich thuoc"/>
      <sheetName val="DTHH"/>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lar bundle"/>
      <sheetName val="steam table"/>
      <sheetName val="loss계산-TAWEELAH-msf-jan6"/>
      <sheetName val="DJ1"/>
      <sheetName val="정부노임단가"/>
      <sheetName val="fitting"/>
      <sheetName val="환율표"/>
      <sheetName val="Evap-기타"/>
      <sheetName val="P-LIST"/>
      <sheetName val="대비"/>
      <sheetName val="BID"/>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Cash2"/>
      <sheetName val="Z"/>
      <sheetName val="BSD _2_"/>
      <sheetName val="BSD (2)"/>
      <sheetName val="환산표"/>
      <sheetName val="MOTOR"/>
      <sheetName val="95신규호표"/>
      <sheetName val="BM"/>
      <sheetName val="CBL_OD"/>
      <sheetName val="MOB-MAN1"/>
      <sheetName val="giathanh1"/>
      <sheetName val="6-2차"/>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당초"/>
      <sheetName val="LAB"/>
      <sheetName val="노임단가"/>
      <sheetName val="공사계획서"/>
      <sheetName val="품셈표"/>
      <sheetName val="H-shape"/>
      <sheetName val="Dieuchinh"/>
      <sheetName val="gvl"/>
      <sheetName val="IBASE"/>
      <sheetName val="예산M12A"/>
      <sheetName val="JOINT1"/>
      <sheetName val="XL4Poppy"/>
      <sheetName val="현장지지물물량"/>
      <sheetName val="INSULTABLE"/>
      <sheetName val="ex-shell"/>
      <sheetName val="001"/>
      <sheetName val="TTL"/>
      <sheetName val="입력값"/>
      <sheetName val="NEWDRAW"/>
      <sheetName val="내역"/>
      <sheetName val="Sheet3 (2)"/>
      <sheetName val="circular_bundle1"/>
      <sheetName val="steam_table1"/>
      <sheetName val="circular_bundle"/>
      <sheetName val="steam_table"/>
      <sheetName val="ADL DATA"/>
      <sheetName val="FIRE FIGHTING"/>
      <sheetName val="Wind Load(3.1) (2)"/>
      <sheetName val="Wind Load(3.2)"/>
      <sheetName val="Wind Load(3.4)"/>
      <sheetName val="REDUCER"/>
      <sheetName val="Data"/>
      <sheetName val="BM "/>
      <sheetName val="DWG LIST"/>
      <sheetName val="#REF"/>
      <sheetName val="PNT-QUOT-#3"/>
      <sheetName val="COAT&amp;WRAP-QIOT-#3"/>
      <sheetName val="CAT_5"/>
      <sheetName val="COA-17"/>
      <sheetName val="C-18"/>
      <sheetName val="list"/>
      <sheetName val="Break Down Price"/>
      <sheetName val="1100"/>
      <sheetName val="Mech CIF"/>
      <sheetName val="환율-LIBOR"/>
      <sheetName val="JOB特定"/>
      <sheetName val="VL"/>
      <sheetName val="산근"/>
      <sheetName val="PBS"/>
      <sheetName val="LGBOM1절_CheckList"/>
      <sheetName val="카메라"/>
      <sheetName val="보일러"/>
      <sheetName val="ITEM-LIST"/>
      <sheetName val="Eq. Mobilization"/>
      <sheetName val="Proposal"/>
      <sheetName val="적용환율"/>
      <sheetName val="circular_bundle4"/>
      <sheetName val="steam_table4"/>
      <sheetName val="BLR_12"/>
      <sheetName val="GM_0002"/>
      <sheetName val="BSD__2_2"/>
      <sheetName val="BSD_(2)2"/>
      <sheetName val="Code_022"/>
      <sheetName val="Code_032"/>
      <sheetName val="Code_042"/>
      <sheetName val="Code_052"/>
      <sheetName val="Code_062"/>
      <sheetName val="Code_072"/>
      <sheetName val="Code_092"/>
      <sheetName val="Sheet3_(2)2"/>
      <sheetName val="ADL_DATA2"/>
      <sheetName val="FIRE_FIGHTING2"/>
      <sheetName val="BM_2"/>
      <sheetName val="DWG_LIST2"/>
      <sheetName val="Wind_Load(3_1)_(2)2"/>
      <sheetName val="Wind_Load(3_2)2"/>
      <sheetName val="Wind_Load(3_4)2"/>
      <sheetName val="Break_Down_Price2"/>
      <sheetName val="circular_bundle2"/>
      <sheetName val="steam_table2"/>
      <sheetName val="BLR_1"/>
      <sheetName val="GM_000"/>
      <sheetName val="BSD__2_"/>
      <sheetName val="BSD_(2)"/>
      <sheetName val="Code_02"/>
      <sheetName val="Code_03"/>
      <sheetName val="Code_04"/>
      <sheetName val="Code_05"/>
      <sheetName val="Code_06"/>
      <sheetName val="Code_07"/>
      <sheetName val="Code_09"/>
      <sheetName val="Sheet3_(2)"/>
      <sheetName val="ADL_DATA"/>
      <sheetName val="FIRE_FIGHTING"/>
      <sheetName val="BM_"/>
      <sheetName val="DWG_LIST"/>
      <sheetName val="Wind_Load(3_1)_(2)"/>
      <sheetName val="Wind_Load(3_2)"/>
      <sheetName val="Wind_Load(3_4)"/>
      <sheetName val="Break_Down_Price"/>
      <sheetName val="circular_bundle3"/>
      <sheetName val="steam_table3"/>
      <sheetName val="BLR_11"/>
      <sheetName val="GM_0001"/>
      <sheetName val="BSD__2_1"/>
      <sheetName val="BSD_(2)1"/>
      <sheetName val="Code_021"/>
      <sheetName val="Code_031"/>
      <sheetName val="Code_041"/>
      <sheetName val="Code_051"/>
      <sheetName val="Code_061"/>
      <sheetName val="Code_071"/>
      <sheetName val="Code_091"/>
      <sheetName val="Sheet3_(2)1"/>
      <sheetName val="ADL_DATA1"/>
      <sheetName val="FIRE_FIGHTING1"/>
      <sheetName val="BM_1"/>
      <sheetName val="DWG_LIST1"/>
      <sheetName val="Wind_Load(3_1)_(2)1"/>
      <sheetName val="Wind_Load(3_2)1"/>
      <sheetName val="Wind_Load(3_4)1"/>
      <sheetName val="Break_Down_Price1"/>
      <sheetName val="circular_bundle6"/>
      <sheetName val="steam_table6"/>
      <sheetName val="BLR_14"/>
      <sheetName val="GM_0004"/>
      <sheetName val="BSD__2_4"/>
      <sheetName val="BSD_(2)4"/>
      <sheetName val="Code_024"/>
      <sheetName val="Code_034"/>
      <sheetName val="Code_044"/>
      <sheetName val="Code_054"/>
      <sheetName val="Code_064"/>
      <sheetName val="Code_074"/>
      <sheetName val="Code_094"/>
      <sheetName val="Sheet3_(2)4"/>
      <sheetName val="ADL_DATA4"/>
      <sheetName val="FIRE_FIGHTING4"/>
      <sheetName val="BM_4"/>
      <sheetName val="DWG_LIST4"/>
      <sheetName val="Wind_Load(3_1)_(2)4"/>
      <sheetName val="Wind_Load(3_2)4"/>
      <sheetName val="Wind_Load(3_4)4"/>
      <sheetName val="Break_Down_Price4"/>
      <sheetName val="circular_bundle5"/>
      <sheetName val="steam_table5"/>
      <sheetName val="BLR_13"/>
      <sheetName val="GM_0003"/>
      <sheetName val="BSD__2_3"/>
      <sheetName val="BSD_(2)3"/>
      <sheetName val="Code_023"/>
      <sheetName val="Code_033"/>
      <sheetName val="Code_043"/>
      <sheetName val="Code_053"/>
      <sheetName val="Code_063"/>
      <sheetName val="Code_073"/>
      <sheetName val="Code_093"/>
      <sheetName val="Sheet3_(2)3"/>
      <sheetName val="ADL_DATA3"/>
      <sheetName val="FIRE_FIGHTING3"/>
      <sheetName val="BM_3"/>
      <sheetName val="DWG_LIST3"/>
      <sheetName val="Wind_Load(3_1)_(2)3"/>
      <sheetName val="Wind_Load(3_2)3"/>
      <sheetName val="Wind_Load(3_4)3"/>
      <sheetName val="Break_Down_Price3"/>
      <sheetName val="w't table"/>
      <sheetName val="갑지"/>
      <sheetName val="Erection"/>
      <sheetName val="Sheet2"/>
      <sheetName val="circular_bundle7"/>
      <sheetName val="steam_table7"/>
      <sheetName val="BLR_15"/>
      <sheetName val="GM_0005"/>
      <sheetName val="BSD__2_5"/>
      <sheetName val="BSD_(2)5"/>
      <sheetName val="Code_025"/>
      <sheetName val="Code_035"/>
      <sheetName val="Code_045"/>
      <sheetName val="Code_055"/>
      <sheetName val="Code_065"/>
      <sheetName val="Code_075"/>
      <sheetName val="Code_095"/>
      <sheetName val="Sheet3_(2)5"/>
      <sheetName val="ADL_DATA5"/>
      <sheetName val="FIRE_FIGHTING5"/>
      <sheetName val="Wind_Load(3_1)_(2)5"/>
      <sheetName val="Wind_Load(3_2)5"/>
      <sheetName val="Wind_Load(3_4)5"/>
      <sheetName val="BM_5"/>
      <sheetName val="DWG_LIST5"/>
      <sheetName val="Break_Down_Price5"/>
      <sheetName val="Mech_CIF"/>
      <sheetName val="Eq__Mobilization"/>
      <sheetName val="w't_table"/>
      <sheetName val="circular_bundle8"/>
      <sheetName val="steam_table8"/>
      <sheetName val="BLR_16"/>
      <sheetName val="GM_0006"/>
      <sheetName val="BSD__2_6"/>
      <sheetName val="BSD_(2)6"/>
      <sheetName val="Code_026"/>
      <sheetName val="Code_036"/>
      <sheetName val="Code_046"/>
      <sheetName val="Code_056"/>
      <sheetName val="Code_066"/>
      <sheetName val="Code_076"/>
      <sheetName val="Code_096"/>
      <sheetName val="Sheet3_(2)6"/>
      <sheetName val="ADL_DATA6"/>
      <sheetName val="FIRE_FIGHTING6"/>
      <sheetName val="Wind_Load(3_1)_(2)6"/>
      <sheetName val="Wind_Load(3_2)6"/>
      <sheetName val="Wind_Load(3_4)6"/>
      <sheetName val="BM_6"/>
      <sheetName val="DWG_LIST6"/>
      <sheetName val="Break_Down_Price6"/>
      <sheetName val="Mech_CIF1"/>
      <sheetName val="Eq__Mobilization1"/>
      <sheetName val="w't_table1"/>
      <sheetName val="circular_bundle9"/>
      <sheetName val="steam_table9"/>
      <sheetName val="BLR_17"/>
      <sheetName val="GM_0007"/>
      <sheetName val="BSD__2_7"/>
      <sheetName val="BSD_(2)7"/>
      <sheetName val="Code_027"/>
      <sheetName val="Code_037"/>
      <sheetName val="Code_047"/>
      <sheetName val="Code_057"/>
      <sheetName val="Code_067"/>
      <sheetName val="Code_077"/>
      <sheetName val="Code_097"/>
      <sheetName val="Sheet3_(2)7"/>
      <sheetName val="Wind_Load(3_1)_(2)7"/>
      <sheetName val="Wind_Load(3_2)7"/>
      <sheetName val="Wind_Load(3_4)7"/>
      <sheetName val="ADL_DATA7"/>
      <sheetName val="FIRE_FIGHTING7"/>
      <sheetName val="BM_7"/>
      <sheetName val="DWG_LIST7"/>
      <sheetName val="Break_Down_Price7"/>
      <sheetName val="Mech_CIF2"/>
      <sheetName val="Eq__Mobilization2"/>
      <sheetName val="w't_table2"/>
      <sheetName val="circular_bundle10"/>
      <sheetName val="steam_table10"/>
      <sheetName val="BLR_18"/>
      <sheetName val="GM_0008"/>
      <sheetName val="BSD__2_8"/>
      <sheetName val="BSD_(2)8"/>
      <sheetName val="Code_028"/>
      <sheetName val="Code_038"/>
      <sheetName val="Code_048"/>
      <sheetName val="Code_058"/>
      <sheetName val="Code_068"/>
      <sheetName val="Code_078"/>
      <sheetName val="Code_098"/>
      <sheetName val="Sheet3_(2)8"/>
      <sheetName val="Wind_Load(3_1)_(2)8"/>
      <sheetName val="Wind_Load(3_2)8"/>
      <sheetName val="Wind_Load(3_4)8"/>
      <sheetName val="ADL_DATA8"/>
      <sheetName val="FIRE_FIGHTING8"/>
      <sheetName val="BM_8"/>
      <sheetName val="DWG_LIST8"/>
      <sheetName val="Break_Down_Price8"/>
      <sheetName val="Mech_CIF3"/>
      <sheetName val="Eq__Mobilization3"/>
      <sheetName val="w't_table3"/>
      <sheetName val="Labor"/>
      <sheetName val="WT-LIST"/>
      <sheetName val="labor1"/>
      <sheetName val="index"/>
      <sheetName val="22-Plant"/>
      <sheetName val="Supervision List"/>
      <sheetName val="기계내역서"/>
      <sheetName val="사진"/>
      <sheetName val="ancillary"/>
      <sheetName val="DATA LISTS"/>
      <sheetName val="BQ"/>
      <sheetName val="Sheet1"/>
      <sheetName val="PLAN_FEB97"/>
      <sheetName val="차액보증"/>
      <sheetName val="3D-HOR"/>
      <sheetName val="3D-PEN"/>
      <sheetName val="ELE3D"/>
      <sheetName val="ELE DATA"/>
      <sheetName val="ELEMENT BM"/>
      <sheetName val="TubePR"/>
      <sheetName val="UPPER-CP(표지)"/>
      <sheetName val="UPPER-CP(상세)"/>
      <sheetName val="LOWER-CP(표지)"/>
      <sheetName val="LOWER-CP(상세)"/>
      <sheetName val="PENDANT-CP(표지)"/>
      <sheetName val="PENDANT-CP(상세)"/>
      <sheetName val="hotwell_sizing"/>
      <sheetName val="Tubesheet Th'k"/>
      <sheetName val="ESTI."/>
      <sheetName val="DI-ESTI"/>
      <sheetName val="설산1.나"/>
      <sheetName val="본사S"/>
      <sheetName val="PumpSpec"/>
      <sheetName val="co-no.2"/>
      <sheetName val="h-013211-2"/>
      <sheetName val="Table"/>
      <sheetName val="산근터빈"/>
    </sheetNames>
    <sheetDataSet>
      <sheetData sheetId="0" refreshError="1"/>
      <sheetData sheetId="1" refreshError="1">
        <row r="5">
          <cell r="N5">
            <v>20</v>
          </cell>
          <cell r="O5">
            <v>2454.3000000000002</v>
          </cell>
          <cell r="P5">
            <v>21</v>
          </cell>
          <cell r="Q5">
            <v>2452</v>
          </cell>
        </row>
        <row r="6">
          <cell r="N6">
            <v>21</v>
          </cell>
          <cell r="O6">
            <v>2452</v>
          </cell>
          <cell r="P6">
            <v>22</v>
          </cell>
          <cell r="Q6">
            <v>2449.6</v>
          </cell>
        </row>
        <row r="7">
          <cell r="N7">
            <v>22</v>
          </cell>
          <cell r="O7">
            <v>2449.6</v>
          </cell>
          <cell r="P7">
            <v>23</v>
          </cell>
          <cell r="Q7">
            <v>2447.1999999999998</v>
          </cell>
        </row>
        <row r="8">
          <cell r="N8">
            <v>23</v>
          </cell>
          <cell r="O8">
            <v>2447.1999999999998</v>
          </cell>
          <cell r="P8">
            <v>24</v>
          </cell>
          <cell r="Q8">
            <v>2444.9</v>
          </cell>
        </row>
        <row r="9">
          <cell r="N9">
            <v>24</v>
          </cell>
          <cell r="O9">
            <v>2444.9</v>
          </cell>
          <cell r="P9">
            <v>25</v>
          </cell>
          <cell r="Q9">
            <v>2442.5</v>
          </cell>
        </row>
        <row r="10">
          <cell r="N10">
            <v>25</v>
          </cell>
          <cell r="O10">
            <v>2442.5</v>
          </cell>
          <cell r="P10">
            <v>26</v>
          </cell>
          <cell r="Q10">
            <v>2440.1999999999998</v>
          </cell>
        </row>
        <row r="11">
          <cell r="N11">
            <v>26</v>
          </cell>
          <cell r="O11">
            <v>2440.1999999999998</v>
          </cell>
          <cell r="P11">
            <v>27</v>
          </cell>
          <cell r="Q11">
            <v>2437.8000000000002</v>
          </cell>
        </row>
        <row r="12">
          <cell r="N12">
            <v>27</v>
          </cell>
          <cell r="O12">
            <v>2437.8000000000002</v>
          </cell>
          <cell r="P12">
            <v>28</v>
          </cell>
          <cell r="Q12">
            <v>2435.4</v>
          </cell>
        </row>
        <row r="13">
          <cell r="N13">
            <v>28</v>
          </cell>
          <cell r="O13">
            <v>2435.4</v>
          </cell>
          <cell r="P13">
            <v>29</v>
          </cell>
          <cell r="Q13">
            <v>2433.1</v>
          </cell>
        </row>
        <row r="14">
          <cell r="N14">
            <v>29</v>
          </cell>
          <cell r="O14">
            <v>2433.1</v>
          </cell>
          <cell r="P14">
            <v>30</v>
          </cell>
          <cell r="Q14">
            <v>2430.6999999999998</v>
          </cell>
        </row>
        <row r="15">
          <cell r="N15">
            <v>30</v>
          </cell>
          <cell r="O15">
            <v>2430.6999999999998</v>
          </cell>
          <cell r="P15">
            <v>31</v>
          </cell>
          <cell r="Q15">
            <v>2428.3000000000002</v>
          </cell>
        </row>
        <row r="16">
          <cell r="N16">
            <v>31</v>
          </cell>
          <cell r="O16">
            <v>2428.3000000000002</v>
          </cell>
          <cell r="P16">
            <v>32</v>
          </cell>
          <cell r="Q16">
            <v>2425.9</v>
          </cell>
        </row>
        <row r="17">
          <cell r="N17">
            <v>32</v>
          </cell>
          <cell r="O17">
            <v>2425.9</v>
          </cell>
          <cell r="P17">
            <v>33</v>
          </cell>
          <cell r="Q17">
            <v>2423.6</v>
          </cell>
        </row>
        <row r="18">
          <cell r="N18">
            <v>33</v>
          </cell>
          <cell r="O18">
            <v>2423.6</v>
          </cell>
          <cell r="P18">
            <v>34</v>
          </cell>
          <cell r="Q18">
            <v>2421.1999999999998</v>
          </cell>
        </row>
        <row r="19">
          <cell r="N19">
            <v>34</v>
          </cell>
          <cell r="O19">
            <v>2421.1999999999998</v>
          </cell>
          <cell r="P19">
            <v>35</v>
          </cell>
          <cell r="Q19">
            <v>2418.8000000000002</v>
          </cell>
        </row>
        <row r="20">
          <cell r="N20">
            <v>35</v>
          </cell>
          <cell r="O20">
            <v>2418.8000000000002</v>
          </cell>
          <cell r="P20">
            <v>36</v>
          </cell>
          <cell r="Q20">
            <v>2416.4</v>
          </cell>
        </row>
        <row r="21">
          <cell r="N21">
            <v>36</v>
          </cell>
          <cell r="O21">
            <v>2416.4</v>
          </cell>
          <cell r="P21">
            <v>37</v>
          </cell>
          <cell r="Q21">
            <v>2414.1</v>
          </cell>
        </row>
        <row r="22">
          <cell r="N22">
            <v>37</v>
          </cell>
          <cell r="O22">
            <v>2414.1</v>
          </cell>
          <cell r="P22">
            <v>38</v>
          </cell>
          <cell r="Q22">
            <v>2411.6999999999998</v>
          </cell>
        </row>
        <row r="23">
          <cell r="N23">
            <v>38</v>
          </cell>
          <cell r="O23">
            <v>2411.6999999999998</v>
          </cell>
          <cell r="P23">
            <v>39</v>
          </cell>
          <cell r="Q23">
            <v>2409.3000000000002</v>
          </cell>
        </row>
        <row r="24">
          <cell r="N24">
            <v>39</v>
          </cell>
          <cell r="O24">
            <v>2409.3000000000002</v>
          </cell>
          <cell r="P24">
            <v>40</v>
          </cell>
          <cell r="Q24">
            <v>2406.9</v>
          </cell>
        </row>
        <row r="25">
          <cell r="N25">
            <v>40</v>
          </cell>
          <cell r="O25">
            <v>2406.9</v>
          </cell>
          <cell r="P25">
            <v>41</v>
          </cell>
          <cell r="Q25">
            <v>2404.5</v>
          </cell>
        </row>
        <row r="26">
          <cell r="N26">
            <v>41</v>
          </cell>
          <cell r="O26">
            <v>2404.5</v>
          </cell>
          <cell r="P26">
            <v>42</v>
          </cell>
          <cell r="Q26">
            <v>2402.1</v>
          </cell>
        </row>
        <row r="27">
          <cell r="N27">
            <v>42</v>
          </cell>
          <cell r="O27">
            <v>2402.1</v>
          </cell>
          <cell r="P27">
            <v>43</v>
          </cell>
          <cell r="Q27">
            <v>2399.6999999999998</v>
          </cell>
        </row>
        <row r="28">
          <cell r="N28">
            <v>43</v>
          </cell>
          <cell r="O28">
            <v>2399.6999999999998</v>
          </cell>
          <cell r="P28">
            <v>44</v>
          </cell>
          <cell r="Q28">
            <v>2397.3000000000002</v>
          </cell>
        </row>
        <row r="29">
          <cell r="N29">
            <v>44</v>
          </cell>
          <cell r="O29">
            <v>2397.3000000000002</v>
          </cell>
          <cell r="P29">
            <v>45</v>
          </cell>
          <cell r="Q29">
            <v>2394.9</v>
          </cell>
        </row>
        <row r="30">
          <cell r="N30">
            <v>45</v>
          </cell>
          <cell r="O30">
            <v>2394.9</v>
          </cell>
          <cell r="P30">
            <v>46</v>
          </cell>
          <cell r="Q30">
            <v>2392.5</v>
          </cell>
        </row>
        <row r="31">
          <cell r="N31">
            <v>46</v>
          </cell>
          <cell r="O31">
            <v>2392.5</v>
          </cell>
          <cell r="P31">
            <v>47</v>
          </cell>
          <cell r="Q31">
            <v>2390.1</v>
          </cell>
        </row>
        <row r="32">
          <cell r="N32">
            <v>47</v>
          </cell>
          <cell r="O32">
            <v>2390.1</v>
          </cell>
          <cell r="P32">
            <v>48</v>
          </cell>
          <cell r="Q32">
            <v>2387.6999999999998</v>
          </cell>
        </row>
        <row r="33">
          <cell r="N33">
            <v>48</v>
          </cell>
          <cell r="O33">
            <v>2387.6999999999998</v>
          </cell>
          <cell r="P33">
            <v>49</v>
          </cell>
          <cell r="Q33">
            <v>2385.3000000000002</v>
          </cell>
        </row>
        <row r="34">
          <cell r="N34">
            <v>49</v>
          </cell>
          <cell r="O34">
            <v>2385.3000000000002</v>
          </cell>
          <cell r="P34">
            <v>50</v>
          </cell>
          <cell r="Q34">
            <v>2382.9</v>
          </cell>
        </row>
        <row r="35">
          <cell r="N35">
            <v>50</v>
          </cell>
          <cell r="O35">
            <v>2382.9</v>
          </cell>
          <cell r="P35">
            <v>51</v>
          </cell>
          <cell r="Q35">
            <v>2380.5</v>
          </cell>
        </row>
        <row r="36">
          <cell r="N36">
            <v>51</v>
          </cell>
          <cell r="O36">
            <v>2380.5</v>
          </cell>
          <cell r="P36">
            <v>52</v>
          </cell>
          <cell r="Q36">
            <v>2378.1</v>
          </cell>
        </row>
        <row r="37">
          <cell r="N37">
            <v>52</v>
          </cell>
          <cell r="O37">
            <v>2378.1</v>
          </cell>
          <cell r="P37">
            <v>53</v>
          </cell>
          <cell r="Q37">
            <v>2375.6999999999998</v>
          </cell>
        </row>
        <row r="38">
          <cell r="N38">
            <v>53</v>
          </cell>
          <cell r="O38">
            <v>2375.6999999999998</v>
          </cell>
          <cell r="P38">
            <v>54</v>
          </cell>
          <cell r="Q38">
            <v>2373.1999999999998</v>
          </cell>
        </row>
        <row r="39">
          <cell r="N39">
            <v>54</v>
          </cell>
          <cell r="O39">
            <v>2373.1999999999998</v>
          </cell>
          <cell r="P39">
            <v>55</v>
          </cell>
          <cell r="Q39">
            <v>2370.8000000000002</v>
          </cell>
        </row>
        <row r="40">
          <cell r="N40">
            <v>55</v>
          </cell>
          <cell r="O40">
            <v>2370.8000000000002</v>
          </cell>
          <cell r="P40">
            <v>56</v>
          </cell>
          <cell r="Q40">
            <v>2368.4</v>
          </cell>
        </row>
        <row r="41">
          <cell r="N41">
            <v>56</v>
          </cell>
          <cell r="O41">
            <v>2368.4</v>
          </cell>
          <cell r="P41">
            <v>57</v>
          </cell>
          <cell r="Q41">
            <v>2365.9</v>
          </cell>
        </row>
        <row r="42">
          <cell r="N42">
            <v>57</v>
          </cell>
          <cell r="O42">
            <v>2365.9</v>
          </cell>
          <cell r="P42">
            <v>58</v>
          </cell>
          <cell r="Q42">
            <v>2363.5</v>
          </cell>
        </row>
        <row r="43">
          <cell r="N43">
            <v>58</v>
          </cell>
          <cell r="O43">
            <v>2363.5</v>
          </cell>
          <cell r="P43">
            <v>59</v>
          </cell>
          <cell r="Q43">
            <v>2361.1</v>
          </cell>
        </row>
        <row r="44">
          <cell r="N44">
            <v>59</v>
          </cell>
          <cell r="O44">
            <v>2361.1</v>
          </cell>
          <cell r="P44">
            <v>60</v>
          </cell>
          <cell r="Q44">
            <v>2358.6</v>
          </cell>
        </row>
        <row r="45">
          <cell r="N45">
            <v>60</v>
          </cell>
          <cell r="O45">
            <v>2358.6</v>
          </cell>
          <cell r="P45">
            <v>61</v>
          </cell>
          <cell r="Q45">
            <v>2356.1999999999998</v>
          </cell>
        </row>
        <row r="46">
          <cell r="N46">
            <v>61</v>
          </cell>
          <cell r="O46">
            <v>2356.1999999999998</v>
          </cell>
          <cell r="P46">
            <v>62</v>
          </cell>
          <cell r="Q46">
            <v>2353.6999999999998</v>
          </cell>
        </row>
        <row r="47">
          <cell r="N47">
            <v>62</v>
          </cell>
          <cell r="O47">
            <v>2353.6999999999998</v>
          </cell>
          <cell r="P47">
            <v>63</v>
          </cell>
          <cell r="Q47">
            <v>2351.3000000000002</v>
          </cell>
        </row>
        <row r="48">
          <cell r="N48">
            <v>63</v>
          </cell>
          <cell r="O48">
            <v>2351.3000000000002</v>
          </cell>
          <cell r="P48">
            <v>64</v>
          </cell>
          <cell r="Q48">
            <v>2348.8000000000002</v>
          </cell>
        </row>
        <row r="49">
          <cell r="N49">
            <v>64</v>
          </cell>
          <cell r="O49">
            <v>2348.8000000000002</v>
          </cell>
          <cell r="P49">
            <v>65</v>
          </cell>
          <cell r="Q49">
            <v>2346.3000000000002</v>
          </cell>
        </row>
        <row r="50">
          <cell r="N50">
            <v>65</v>
          </cell>
          <cell r="O50">
            <v>2346.3000000000002</v>
          </cell>
          <cell r="P50">
            <v>66</v>
          </cell>
          <cell r="Q50">
            <v>2343.9</v>
          </cell>
        </row>
        <row r="51">
          <cell r="N51">
            <v>66</v>
          </cell>
          <cell r="O51">
            <v>2343.9</v>
          </cell>
          <cell r="P51">
            <v>67</v>
          </cell>
          <cell r="Q51">
            <v>2341.4</v>
          </cell>
        </row>
        <row r="52">
          <cell r="N52">
            <v>67</v>
          </cell>
          <cell r="O52">
            <v>2341.4</v>
          </cell>
          <cell r="P52">
            <v>68</v>
          </cell>
          <cell r="Q52">
            <v>2338.9</v>
          </cell>
        </row>
        <row r="53">
          <cell r="N53">
            <v>68</v>
          </cell>
          <cell r="O53">
            <v>2338.9</v>
          </cell>
          <cell r="P53">
            <v>69</v>
          </cell>
          <cell r="Q53">
            <v>2336.4</v>
          </cell>
        </row>
        <row r="54">
          <cell r="N54">
            <v>69</v>
          </cell>
          <cell r="O54">
            <v>2336.4</v>
          </cell>
          <cell r="P54">
            <v>70</v>
          </cell>
          <cell r="Q54">
            <v>2334</v>
          </cell>
        </row>
        <row r="55">
          <cell r="N55">
            <v>70</v>
          </cell>
          <cell r="O55">
            <v>2334</v>
          </cell>
          <cell r="P55">
            <v>71</v>
          </cell>
          <cell r="Q55">
            <v>2331.5</v>
          </cell>
        </row>
        <row r="56">
          <cell r="N56">
            <v>71</v>
          </cell>
          <cell r="O56">
            <v>2331.5</v>
          </cell>
          <cell r="P56">
            <v>72</v>
          </cell>
          <cell r="Q56">
            <v>2329</v>
          </cell>
        </row>
        <row r="57">
          <cell r="N57">
            <v>72</v>
          </cell>
          <cell r="O57">
            <v>2329</v>
          </cell>
          <cell r="P57">
            <v>73</v>
          </cell>
          <cell r="Q57">
            <v>2326.5</v>
          </cell>
        </row>
        <row r="58">
          <cell r="N58">
            <v>73</v>
          </cell>
          <cell r="O58">
            <v>2326.5</v>
          </cell>
          <cell r="P58">
            <v>74</v>
          </cell>
          <cell r="Q58">
            <v>2324</v>
          </cell>
        </row>
        <row r="59">
          <cell r="N59">
            <v>74</v>
          </cell>
          <cell r="O59">
            <v>2324</v>
          </cell>
          <cell r="P59">
            <v>75</v>
          </cell>
          <cell r="Q59">
            <v>2321.5</v>
          </cell>
        </row>
        <row r="60">
          <cell r="N60">
            <v>75</v>
          </cell>
          <cell r="O60">
            <v>2321.5</v>
          </cell>
          <cell r="P60">
            <v>76</v>
          </cell>
          <cell r="Q60">
            <v>2318.9</v>
          </cell>
        </row>
        <row r="61">
          <cell r="N61">
            <v>76</v>
          </cell>
          <cell r="O61">
            <v>2318.9</v>
          </cell>
          <cell r="P61">
            <v>77</v>
          </cell>
          <cell r="Q61">
            <v>2316.4</v>
          </cell>
        </row>
        <row r="62">
          <cell r="N62">
            <v>77</v>
          </cell>
          <cell r="O62">
            <v>2316.4</v>
          </cell>
          <cell r="P62">
            <v>78</v>
          </cell>
          <cell r="Q62">
            <v>2313.9</v>
          </cell>
        </row>
        <row r="63">
          <cell r="N63">
            <v>78</v>
          </cell>
          <cell r="O63">
            <v>2313.9</v>
          </cell>
          <cell r="P63">
            <v>79</v>
          </cell>
          <cell r="Q63">
            <v>2311.4</v>
          </cell>
        </row>
        <row r="64">
          <cell r="N64">
            <v>79</v>
          </cell>
          <cell r="O64">
            <v>2311.4</v>
          </cell>
          <cell r="P64">
            <v>80</v>
          </cell>
          <cell r="Q64">
            <v>2308.8000000000002</v>
          </cell>
        </row>
        <row r="65">
          <cell r="N65">
            <v>80</v>
          </cell>
          <cell r="O65">
            <v>2308.8000000000002</v>
          </cell>
          <cell r="P65">
            <v>81</v>
          </cell>
          <cell r="Q65">
            <v>2306.3000000000002</v>
          </cell>
        </row>
        <row r="66">
          <cell r="N66">
            <v>81</v>
          </cell>
          <cell r="O66">
            <v>2306.3000000000002</v>
          </cell>
          <cell r="P66">
            <v>82</v>
          </cell>
          <cell r="Q66">
            <v>2303.8000000000002</v>
          </cell>
        </row>
        <row r="67">
          <cell r="N67">
            <v>82</v>
          </cell>
          <cell r="O67">
            <v>2303.8000000000002</v>
          </cell>
          <cell r="P67">
            <v>83</v>
          </cell>
          <cell r="Q67">
            <v>2301.1999999999998</v>
          </cell>
        </row>
        <row r="68">
          <cell r="N68">
            <v>83</v>
          </cell>
          <cell r="O68">
            <v>2301.1999999999998</v>
          </cell>
          <cell r="P68">
            <v>84</v>
          </cell>
          <cell r="Q68">
            <v>2298.6999999999998</v>
          </cell>
        </row>
        <row r="69">
          <cell r="N69">
            <v>84</v>
          </cell>
          <cell r="O69">
            <v>2298.6999999999998</v>
          </cell>
          <cell r="P69">
            <v>85</v>
          </cell>
          <cell r="Q69">
            <v>2296.5</v>
          </cell>
        </row>
        <row r="70">
          <cell r="N70">
            <v>85</v>
          </cell>
          <cell r="O70">
            <v>2296.5</v>
          </cell>
          <cell r="P70">
            <v>86</v>
          </cell>
          <cell r="Q70">
            <v>2293.1</v>
          </cell>
        </row>
        <row r="71">
          <cell r="N71">
            <v>86</v>
          </cell>
          <cell r="O71">
            <v>2293.1</v>
          </cell>
          <cell r="P71">
            <v>87</v>
          </cell>
          <cell r="Q71">
            <v>2290.9</v>
          </cell>
        </row>
        <row r="72">
          <cell r="N72">
            <v>87</v>
          </cell>
          <cell r="O72">
            <v>2290.9</v>
          </cell>
          <cell r="P72">
            <v>88</v>
          </cell>
          <cell r="Q72">
            <v>2288.4</v>
          </cell>
        </row>
        <row r="73">
          <cell r="N73">
            <v>88</v>
          </cell>
          <cell r="O73">
            <v>2288.4</v>
          </cell>
          <cell r="P73">
            <v>89</v>
          </cell>
          <cell r="Q73">
            <v>2285.8000000000002</v>
          </cell>
        </row>
        <row r="74">
          <cell r="N74">
            <v>89</v>
          </cell>
          <cell r="O74">
            <v>2285.8000000000002</v>
          </cell>
          <cell r="P74">
            <v>90</v>
          </cell>
          <cell r="Q74">
            <v>2283.1999999999998</v>
          </cell>
        </row>
        <row r="75">
          <cell r="N75">
            <v>90</v>
          </cell>
          <cell r="O75">
            <v>2283.1999999999998</v>
          </cell>
          <cell r="P75">
            <v>91</v>
          </cell>
          <cell r="Q75">
            <v>2280.6</v>
          </cell>
        </row>
        <row r="76">
          <cell r="N76">
            <v>91</v>
          </cell>
          <cell r="O76">
            <v>2280.6</v>
          </cell>
          <cell r="P76">
            <v>92</v>
          </cell>
          <cell r="Q76">
            <v>2278</v>
          </cell>
        </row>
        <row r="77">
          <cell r="N77">
            <v>92</v>
          </cell>
          <cell r="O77">
            <v>2278</v>
          </cell>
          <cell r="P77">
            <v>93</v>
          </cell>
          <cell r="Q77">
            <v>2275.4</v>
          </cell>
        </row>
        <row r="78">
          <cell r="N78">
            <v>93</v>
          </cell>
          <cell r="O78">
            <v>2275.4</v>
          </cell>
          <cell r="P78">
            <v>94</v>
          </cell>
          <cell r="Q78">
            <v>2272.8000000000002</v>
          </cell>
        </row>
        <row r="79">
          <cell r="N79">
            <v>94</v>
          </cell>
          <cell r="O79">
            <v>2272.8000000000002</v>
          </cell>
          <cell r="P79">
            <v>95</v>
          </cell>
          <cell r="Q79">
            <v>2270.1999999999998</v>
          </cell>
        </row>
        <row r="80">
          <cell r="N80">
            <v>95</v>
          </cell>
          <cell r="O80">
            <v>2270.1999999999998</v>
          </cell>
          <cell r="P80">
            <v>96</v>
          </cell>
          <cell r="Q80">
            <v>2267.5</v>
          </cell>
        </row>
        <row r="81">
          <cell r="N81">
            <v>96</v>
          </cell>
          <cell r="O81">
            <v>2267.5</v>
          </cell>
          <cell r="P81">
            <v>97</v>
          </cell>
          <cell r="Q81">
            <v>2264.9</v>
          </cell>
        </row>
        <row r="82">
          <cell r="N82">
            <v>97</v>
          </cell>
          <cell r="O82">
            <v>2264.9</v>
          </cell>
          <cell r="P82">
            <v>98</v>
          </cell>
          <cell r="Q82">
            <v>2262.1999999999998</v>
          </cell>
        </row>
        <row r="83">
          <cell r="N83">
            <v>98</v>
          </cell>
          <cell r="O83">
            <v>2262.1999999999998</v>
          </cell>
          <cell r="P83">
            <v>99</v>
          </cell>
          <cell r="Q83">
            <v>2259.6</v>
          </cell>
        </row>
        <row r="84">
          <cell r="N84">
            <v>99</v>
          </cell>
          <cell r="O84">
            <v>2259.6</v>
          </cell>
          <cell r="P84">
            <v>100</v>
          </cell>
          <cell r="Q84">
            <v>2256.9</v>
          </cell>
        </row>
        <row r="85">
          <cell r="N85">
            <v>100</v>
          </cell>
          <cell r="O85">
            <v>2256.9</v>
          </cell>
          <cell r="P85">
            <v>101</v>
          </cell>
          <cell r="Q85">
            <v>2254.3000000000002</v>
          </cell>
        </row>
        <row r="86">
          <cell r="N86">
            <v>101</v>
          </cell>
          <cell r="O86">
            <v>2254.3000000000002</v>
          </cell>
          <cell r="P86">
            <v>102</v>
          </cell>
          <cell r="Q86">
            <v>2251.6</v>
          </cell>
        </row>
        <row r="87">
          <cell r="N87">
            <v>102</v>
          </cell>
          <cell r="O87">
            <v>2251.6</v>
          </cell>
          <cell r="P87">
            <v>103</v>
          </cell>
          <cell r="Q87">
            <v>2248.9</v>
          </cell>
        </row>
        <row r="88">
          <cell r="N88">
            <v>103</v>
          </cell>
          <cell r="O88">
            <v>2248.9</v>
          </cell>
          <cell r="P88">
            <v>104</v>
          </cell>
          <cell r="Q88">
            <v>2246.3000000000002</v>
          </cell>
        </row>
        <row r="89">
          <cell r="N89">
            <v>104</v>
          </cell>
          <cell r="O89">
            <v>2246.3000000000002</v>
          </cell>
          <cell r="P89">
            <v>105</v>
          </cell>
          <cell r="Q89">
            <v>2243.6</v>
          </cell>
        </row>
        <row r="90">
          <cell r="N90">
            <v>105</v>
          </cell>
          <cell r="O90">
            <v>2243.6</v>
          </cell>
          <cell r="P90">
            <v>106</v>
          </cell>
          <cell r="Q90">
            <v>2240.9</v>
          </cell>
        </row>
        <row r="91">
          <cell r="N91">
            <v>106</v>
          </cell>
          <cell r="O91">
            <v>2240.9</v>
          </cell>
          <cell r="P91">
            <v>107</v>
          </cell>
          <cell r="Q91">
            <v>2238.1999999999998</v>
          </cell>
        </row>
        <row r="92">
          <cell r="N92">
            <v>107</v>
          </cell>
          <cell r="O92">
            <v>2238.1999999999998</v>
          </cell>
          <cell r="P92">
            <v>108</v>
          </cell>
          <cell r="Q92">
            <v>2235.4</v>
          </cell>
        </row>
        <row r="93">
          <cell r="N93">
            <v>108</v>
          </cell>
          <cell r="O93">
            <v>2235.4</v>
          </cell>
          <cell r="P93">
            <v>109</v>
          </cell>
          <cell r="Q93">
            <v>2232.6999999999998</v>
          </cell>
        </row>
        <row r="94">
          <cell r="N94">
            <v>109</v>
          </cell>
          <cell r="O94">
            <v>2232.6999999999998</v>
          </cell>
          <cell r="P94">
            <v>110</v>
          </cell>
          <cell r="Q94">
            <v>2230</v>
          </cell>
        </row>
        <row r="95">
          <cell r="N95">
            <v>110</v>
          </cell>
          <cell r="O95">
            <v>2230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ow r="5">
          <cell r="N5">
            <v>20</v>
          </cell>
        </row>
      </sheetData>
      <sheetData sheetId="116">
        <row r="5">
          <cell r="N5">
            <v>20</v>
          </cell>
        </row>
      </sheetData>
      <sheetData sheetId="117">
        <row r="5">
          <cell r="N5">
            <v>20</v>
          </cell>
        </row>
      </sheetData>
      <sheetData sheetId="118">
        <row r="5">
          <cell r="N5">
            <v>20</v>
          </cell>
        </row>
      </sheetData>
      <sheetData sheetId="119">
        <row r="5">
          <cell r="N5">
            <v>20</v>
          </cell>
        </row>
      </sheetData>
      <sheetData sheetId="120">
        <row r="5">
          <cell r="N5">
            <v>20</v>
          </cell>
        </row>
      </sheetData>
      <sheetData sheetId="121">
        <row r="5">
          <cell r="N5">
            <v>20</v>
          </cell>
        </row>
      </sheetData>
      <sheetData sheetId="122">
        <row r="5">
          <cell r="N5">
            <v>20</v>
          </cell>
        </row>
      </sheetData>
      <sheetData sheetId="123">
        <row r="5">
          <cell r="N5">
            <v>20</v>
          </cell>
        </row>
      </sheetData>
      <sheetData sheetId="124">
        <row r="5">
          <cell r="N5">
            <v>20</v>
          </cell>
        </row>
      </sheetData>
      <sheetData sheetId="125">
        <row r="5">
          <cell r="N5">
            <v>20</v>
          </cell>
        </row>
      </sheetData>
      <sheetData sheetId="126">
        <row r="5">
          <cell r="N5">
            <v>20</v>
          </cell>
        </row>
      </sheetData>
      <sheetData sheetId="127">
        <row r="5">
          <cell r="N5">
            <v>20</v>
          </cell>
        </row>
      </sheetData>
      <sheetData sheetId="128">
        <row r="5">
          <cell r="N5">
            <v>20</v>
          </cell>
        </row>
      </sheetData>
      <sheetData sheetId="129">
        <row r="5">
          <cell r="N5">
            <v>20</v>
          </cell>
        </row>
      </sheetData>
      <sheetData sheetId="130">
        <row r="5">
          <cell r="N5">
            <v>20</v>
          </cell>
        </row>
      </sheetData>
      <sheetData sheetId="131">
        <row r="5">
          <cell r="N5">
            <v>20</v>
          </cell>
        </row>
      </sheetData>
      <sheetData sheetId="132">
        <row r="5">
          <cell r="N5">
            <v>20</v>
          </cell>
        </row>
      </sheetData>
      <sheetData sheetId="133">
        <row r="5">
          <cell r="N5">
            <v>20</v>
          </cell>
        </row>
      </sheetData>
      <sheetData sheetId="134">
        <row r="5">
          <cell r="N5">
            <v>20</v>
          </cell>
        </row>
      </sheetData>
      <sheetData sheetId="135">
        <row r="5">
          <cell r="N5">
            <v>20</v>
          </cell>
        </row>
      </sheetData>
      <sheetData sheetId="136">
        <row r="5">
          <cell r="N5">
            <v>20</v>
          </cell>
        </row>
      </sheetData>
      <sheetData sheetId="137">
        <row r="5">
          <cell r="N5">
            <v>20</v>
          </cell>
        </row>
      </sheetData>
      <sheetData sheetId="138">
        <row r="5">
          <cell r="N5">
            <v>20</v>
          </cell>
        </row>
      </sheetData>
      <sheetData sheetId="139">
        <row r="5">
          <cell r="N5">
            <v>20</v>
          </cell>
        </row>
      </sheetData>
      <sheetData sheetId="140">
        <row r="5">
          <cell r="N5">
            <v>20</v>
          </cell>
        </row>
      </sheetData>
      <sheetData sheetId="141">
        <row r="5">
          <cell r="N5">
            <v>20</v>
          </cell>
        </row>
      </sheetData>
      <sheetData sheetId="142">
        <row r="5">
          <cell r="N5">
            <v>20</v>
          </cell>
        </row>
      </sheetData>
      <sheetData sheetId="143">
        <row r="5">
          <cell r="N5">
            <v>20</v>
          </cell>
        </row>
      </sheetData>
      <sheetData sheetId="144">
        <row r="5">
          <cell r="N5">
            <v>20</v>
          </cell>
        </row>
      </sheetData>
      <sheetData sheetId="145">
        <row r="5">
          <cell r="N5">
            <v>20</v>
          </cell>
        </row>
      </sheetData>
      <sheetData sheetId="146">
        <row r="5">
          <cell r="N5">
            <v>20</v>
          </cell>
        </row>
      </sheetData>
      <sheetData sheetId="147">
        <row r="5">
          <cell r="N5">
            <v>20</v>
          </cell>
        </row>
      </sheetData>
      <sheetData sheetId="148">
        <row r="5">
          <cell r="N5">
            <v>20</v>
          </cell>
        </row>
      </sheetData>
      <sheetData sheetId="149">
        <row r="5">
          <cell r="N5">
            <v>20</v>
          </cell>
        </row>
      </sheetData>
      <sheetData sheetId="150">
        <row r="5">
          <cell r="N5">
            <v>20</v>
          </cell>
        </row>
      </sheetData>
      <sheetData sheetId="151">
        <row r="5">
          <cell r="N5">
            <v>20</v>
          </cell>
        </row>
      </sheetData>
      <sheetData sheetId="152">
        <row r="5">
          <cell r="N5">
            <v>20</v>
          </cell>
        </row>
      </sheetData>
      <sheetData sheetId="153">
        <row r="5">
          <cell r="N5">
            <v>20</v>
          </cell>
        </row>
      </sheetData>
      <sheetData sheetId="154">
        <row r="5">
          <cell r="N5">
            <v>20</v>
          </cell>
        </row>
      </sheetData>
      <sheetData sheetId="155">
        <row r="5">
          <cell r="N5">
            <v>20</v>
          </cell>
        </row>
      </sheetData>
      <sheetData sheetId="156">
        <row r="5">
          <cell r="N5">
            <v>20</v>
          </cell>
        </row>
      </sheetData>
      <sheetData sheetId="157">
        <row r="5">
          <cell r="N5">
            <v>20</v>
          </cell>
        </row>
      </sheetData>
      <sheetData sheetId="158">
        <row r="5">
          <cell r="N5">
            <v>20</v>
          </cell>
        </row>
      </sheetData>
      <sheetData sheetId="159">
        <row r="5">
          <cell r="N5">
            <v>20</v>
          </cell>
        </row>
      </sheetData>
      <sheetData sheetId="160">
        <row r="5">
          <cell r="N5">
            <v>20</v>
          </cell>
        </row>
      </sheetData>
      <sheetData sheetId="161">
        <row r="5">
          <cell r="N5">
            <v>20</v>
          </cell>
        </row>
      </sheetData>
      <sheetData sheetId="162">
        <row r="5">
          <cell r="N5">
            <v>20</v>
          </cell>
        </row>
      </sheetData>
      <sheetData sheetId="163">
        <row r="5">
          <cell r="N5">
            <v>20</v>
          </cell>
        </row>
      </sheetData>
      <sheetData sheetId="164">
        <row r="5">
          <cell r="N5">
            <v>20</v>
          </cell>
        </row>
      </sheetData>
      <sheetData sheetId="165">
        <row r="5">
          <cell r="N5">
            <v>20</v>
          </cell>
        </row>
      </sheetData>
      <sheetData sheetId="166">
        <row r="5">
          <cell r="N5">
            <v>20</v>
          </cell>
        </row>
      </sheetData>
      <sheetData sheetId="167">
        <row r="5">
          <cell r="N5">
            <v>20</v>
          </cell>
        </row>
      </sheetData>
      <sheetData sheetId="168">
        <row r="5">
          <cell r="N5">
            <v>20</v>
          </cell>
        </row>
      </sheetData>
      <sheetData sheetId="169">
        <row r="5">
          <cell r="N5">
            <v>20</v>
          </cell>
        </row>
      </sheetData>
      <sheetData sheetId="170">
        <row r="5">
          <cell r="N5">
            <v>20</v>
          </cell>
        </row>
      </sheetData>
      <sheetData sheetId="171">
        <row r="5">
          <cell r="N5">
            <v>20</v>
          </cell>
        </row>
      </sheetData>
      <sheetData sheetId="172">
        <row r="5">
          <cell r="N5">
            <v>20</v>
          </cell>
        </row>
      </sheetData>
      <sheetData sheetId="173">
        <row r="5">
          <cell r="N5">
            <v>20</v>
          </cell>
        </row>
      </sheetData>
      <sheetData sheetId="174">
        <row r="5">
          <cell r="N5">
            <v>20</v>
          </cell>
        </row>
      </sheetData>
      <sheetData sheetId="175">
        <row r="5">
          <cell r="N5">
            <v>20</v>
          </cell>
        </row>
      </sheetData>
      <sheetData sheetId="176">
        <row r="5">
          <cell r="N5">
            <v>20</v>
          </cell>
        </row>
      </sheetData>
      <sheetData sheetId="177">
        <row r="5">
          <cell r="N5">
            <v>20</v>
          </cell>
        </row>
      </sheetData>
      <sheetData sheetId="178">
        <row r="5">
          <cell r="N5">
            <v>20</v>
          </cell>
        </row>
      </sheetData>
      <sheetData sheetId="179">
        <row r="5">
          <cell r="N5">
            <v>20</v>
          </cell>
        </row>
      </sheetData>
      <sheetData sheetId="180">
        <row r="5">
          <cell r="N5">
            <v>20</v>
          </cell>
        </row>
      </sheetData>
      <sheetData sheetId="181">
        <row r="5">
          <cell r="N5">
            <v>20</v>
          </cell>
        </row>
      </sheetData>
      <sheetData sheetId="182">
        <row r="5">
          <cell r="N5">
            <v>20</v>
          </cell>
        </row>
      </sheetData>
      <sheetData sheetId="183">
        <row r="5">
          <cell r="N5">
            <v>20</v>
          </cell>
        </row>
      </sheetData>
      <sheetData sheetId="184">
        <row r="5">
          <cell r="N5">
            <v>20</v>
          </cell>
        </row>
      </sheetData>
      <sheetData sheetId="185">
        <row r="5">
          <cell r="N5">
            <v>20</v>
          </cell>
        </row>
      </sheetData>
      <sheetData sheetId="186">
        <row r="5">
          <cell r="N5">
            <v>20</v>
          </cell>
        </row>
      </sheetData>
      <sheetData sheetId="187">
        <row r="5">
          <cell r="N5">
            <v>20</v>
          </cell>
        </row>
      </sheetData>
      <sheetData sheetId="188">
        <row r="5">
          <cell r="N5">
            <v>20</v>
          </cell>
        </row>
      </sheetData>
      <sheetData sheetId="189">
        <row r="5">
          <cell r="N5">
            <v>20</v>
          </cell>
        </row>
      </sheetData>
      <sheetData sheetId="190">
        <row r="5">
          <cell r="N5">
            <v>20</v>
          </cell>
        </row>
      </sheetData>
      <sheetData sheetId="191">
        <row r="5">
          <cell r="N5">
            <v>20</v>
          </cell>
        </row>
      </sheetData>
      <sheetData sheetId="192">
        <row r="5">
          <cell r="N5">
            <v>20</v>
          </cell>
        </row>
      </sheetData>
      <sheetData sheetId="193">
        <row r="5">
          <cell r="N5">
            <v>20</v>
          </cell>
        </row>
      </sheetData>
      <sheetData sheetId="194">
        <row r="5">
          <cell r="N5">
            <v>20</v>
          </cell>
        </row>
      </sheetData>
      <sheetData sheetId="195">
        <row r="5">
          <cell r="N5">
            <v>20</v>
          </cell>
        </row>
      </sheetData>
      <sheetData sheetId="196">
        <row r="5">
          <cell r="N5">
            <v>20</v>
          </cell>
        </row>
      </sheetData>
      <sheetData sheetId="197">
        <row r="5">
          <cell r="N5">
            <v>20</v>
          </cell>
        </row>
      </sheetData>
      <sheetData sheetId="198">
        <row r="5">
          <cell r="N5">
            <v>20</v>
          </cell>
        </row>
      </sheetData>
      <sheetData sheetId="199">
        <row r="5">
          <cell r="N5">
            <v>20</v>
          </cell>
        </row>
      </sheetData>
      <sheetData sheetId="200">
        <row r="5">
          <cell r="N5">
            <v>20</v>
          </cell>
        </row>
      </sheetData>
      <sheetData sheetId="201">
        <row r="5">
          <cell r="N5">
            <v>20</v>
          </cell>
        </row>
      </sheetData>
      <sheetData sheetId="202">
        <row r="5">
          <cell r="N5">
            <v>20</v>
          </cell>
        </row>
      </sheetData>
      <sheetData sheetId="203">
        <row r="5">
          <cell r="N5">
            <v>20</v>
          </cell>
        </row>
      </sheetData>
      <sheetData sheetId="204">
        <row r="5">
          <cell r="N5">
            <v>20</v>
          </cell>
        </row>
      </sheetData>
      <sheetData sheetId="205">
        <row r="5">
          <cell r="N5">
            <v>20</v>
          </cell>
        </row>
      </sheetData>
      <sheetData sheetId="206">
        <row r="5">
          <cell r="N5">
            <v>20</v>
          </cell>
        </row>
      </sheetData>
      <sheetData sheetId="207">
        <row r="5">
          <cell r="N5">
            <v>20</v>
          </cell>
        </row>
      </sheetData>
      <sheetData sheetId="208">
        <row r="5">
          <cell r="N5">
            <v>20</v>
          </cell>
        </row>
      </sheetData>
      <sheetData sheetId="209">
        <row r="5">
          <cell r="N5">
            <v>20</v>
          </cell>
        </row>
      </sheetData>
      <sheetData sheetId="210">
        <row r="5">
          <cell r="N5">
            <v>20</v>
          </cell>
        </row>
      </sheetData>
      <sheetData sheetId="211">
        <row r="5">
          <cell r="N5">
            <v>20</v>
          </cell>
        </row>
      </sheetData>
      <sheetData sheetId="212">
        <row r="5">
          <cell r="N5">
            <v>20</v>
          </cell>
        </row>
      </sheetData>
      <sheetData sheetId="213">
        <row r="5">
          <cell r="N5">
            <v>20</v>
          </cell>
        </row>
      </sheetData>
      <sheetData sheetId="214">
        <row r="5">
          <cell r="N5">
            <v>20</v>
          </cell>
        </row>
      </sheetData>
      <sheetData sheetId="215">
        <row r="5">
          <cell r="N5">
            <v>20</v>
          </cell>
        </row>
      </sheetData>
      <sheetData sheetId="216">
        <row r="5">
          <cell r="N5">
            <v>20</v>
          </cell>
        </row>
      </sheetData>
      <sheetData sheetId="217">
        <row r="5">
          <cell r="N5">
            <v>20</v>
          </cell>
        </row>
      </sheetData>
      <sheetData sheetId="218">
        <row r="5">
          <cell r="N5">
            <v>20</v>
          </cell>
        </row>
      </sheetData>
      <sheetData sheetId="219">
        <row r="5">
          <cell r="N5">
            <v>20</v>
          </cell>
        </row>
      </sheetData>
      <sheetData sheetId="220">
        <row r="5">
          <cell r="N5">
            <v>20</v>
          </cell>
        </row>
      </sheetData>
      <sheetData sheetId="221">
        <row r="5">
          <cell r="N5">
            <v>20</v>
          </cell>
        </row>
      </sheetData>
      <sheetData sheetId="222" refreshError="1"/>
      <sheetData sheetId="223" refreshError="1"/>
      <sheetData sheetId="224" refreshError="1"/>
      <sheetData sheetId="225" refreshError="1"/>
      <sheetData sheetId="226" refreshError="1"/>
      <sheetData sheetId="227" refreshError="1"/>
      <sheetData sheetId="228" refreshError="1"/>
      <sheetData sheetId="229">
        <row r="5">
          <cell r="N5">
            <v>20</v>
          </cell>
        </row>
      </sheetData>
      <sheetData sheetId="230">
        <row r="5">
          <cell r="N5">
            <v>20</v>
          </cell>
        </row>
      </sheetData>
      <sheetData sheetId="231">
        <row r="5">
          <cell r="N5">
            <v>20</v>
          </cell>
        </row>
      </sheetData>
      <sheetData sheetId="232">
        <row r="5">
          <cell r="N5">
            <v>20</v>
          </cell>
        </row>
      </sheetData>
      <sheetData sheetId="233">
        <row r="5">
          <cell r="N5">
            <v>20</v>
          </cell>
        </row>
      </sheetData>
      <sheetData sheetId="234">
        <row r="5">
          <cell r="N5">
            <v>20</v>
          </cell>
        </row>
      </sheetData>
      <sheetData sheetId="235">
        <row r="5">
          <cell r="N5">
            <v>20</v>
          </cell>
        </row>
      </sheetData>
      <sheetData sheetId="236">
        <row r="5">
          <cell r="N5">
            <v>20</v>
          </cell>
        </row>
      </sheetData>
      <sheetData sheetId="237">
        <row r="5">
          <cell r="N5">
            <v>20</v>
          </cell>
        </row>
      </sheetData>
      <sheetData sheetId="238">
        <row r="5">
          <cell r="N5">
            <v>20</v>
          </cell>
        </row>
      </sheetData>
      <sheetData sheetId="239">
        <row r="5">
          <cell r="N5">
            <v>20</v>
          </cell>
        </row>
      </sheetData>
      <sheetData sheetId="240">
        <row r="5">
          <cell r="N5">
            <v>20</v>
          </cell>
        </row>
      </sheetData>
      <sheetData sheetId="241">
        <row r="5">
          <cell r="N5">
            <v>20</v>
          </cell>
        </row>
      </sheetData>
      <sheetData sheetId="242">
        <row r="5">
          <cell r="N5">
            <v>20</v>
          </cell>
        </row>
      </sheetData>
      <sheetData sheetId="243">
        <row r="5">
          <cell r="N5">
            <v>20</v>
          </cell>
        </row>
      </sheetData>
      <sheetData sheetId="244">
        <row r="5">
          <cell r="N5">
            <v>20</v>
          </cell>
        </row>
      </sheetData>
      <sheetData sheetId="245">
        <row r="5">
          <cell r="N5">
            <v>20</v>
          </cell>
        </row>
      </sheetData>
      <sheetData sheetId="246">
        <row r="5">
          <cell r="N5">
            <v>20</v>
          </cell>
        </row>
      </sheetData>
      <sheetData sheetId="247">
        <row r="5">
          <cell r="N5">
            <v>20</v>
          </cell>
        </row>
      </sheetData>
      <sheetData sheetId="248">
        <row r="5">
          <cell r="N5">
            <v>20</v>
          </cell>
        </row>
      </sheetData>
      <sheetData sheetId="249">
        <row r="5">
          <cell r="N5">
            <v>20</v>
          </cell>
        </row>
      </sheetData>
      <sheetData sheetId="250">
        <row r="5">
          <cell r="N5">
            <v>20</v>
          </cell>
        </row>
      </sheetData>
      <sheetData sheetId="251">
        <row r="5">
          <cell r="N5">
            <v>20</v>
          </cell>
        </row>
      </sheetData>
      <sheetData sheetId="252">
        <row r="5">
          <cell r="N5">
            <v>20</v>
          </cell>
        </row>
      </sheetData>
      <sheetData sheetId="253">
        <row r="5">
          <cell r="N5">
            <v>20</v>
          </cell>
        </row>
      </sheetData>
      <sheetData sheetId="254">
        <row r="5">
          <cell r="N5">
            <v>20</v>
          </cell>
        </row>
      </sheetData>
      <sheetData sheetId="255">
        <row r="5">
          <cell r="N5">
            <v>20</v>
          </cell>
        </row>
      </sheetData>
      <sheetData sheetId="256">
        <row r="5">
          <cell r="N5">
            <v>20</v>
          </cell>
        </row>
      </sheetData>
      <sheetData sheetId="257">
        <row r="5">
          <cell r="N5">
            <v>20</v>
          </cell>
        </row>
      </sheetData>
      <sheetData sheetId="258">
        <row r="5">
          <cell r="N5">
            <v>20</v>
          </cell>
        </row>
      </sheetData>
      <sheetData sheetId="259">
        <row r="5">
          <cell r="N5">
            <v>20</v>
          </cell>
        </row>
      </sheetData>
      <sheetData sheetId="260">
        <row r="5">
          <cell r="N5">
            <v>20</v>
          </cell>
        </row>
      </sheetData>
      <sheetData sheetId="261">
        <row r="5">
          <cell r="N5">
            <v>20</v>
          </cell>
        </row>
      </sheetData>
      <sheetData sheetId="262">
        <row r="5">
          <cell r="N5">
            <v>20</v>
          </cell>
        </row>
      </sheetData>
      <sheetData sheetId="263">
        <row r="5">
          <cell r="N5">
            <v>20</v>
          </cell>
        </row>
      </sheetData>
      <sheetData sheetId="264">
        <row r="5">
          <cell r="N5">
            <v>20</v>
          </cell>
        </row>
      </sheetData>
      <sheetData sheetId="265">
        <row r="5">
          <cell r="N5">
            <v>20</v>
          </cell>
        </row>
      </sheetData>
      <sheetData sheetId="266">
        <row r="5">
          <cell r="N5">
            <v>20</v>
          </cell>
        </row>
      </sheetData>
      <sheetData sheetId="267">
        <row r="5">
          <cell r="N5">
            <v>20</v>
          </cell>
        </row>
      </sheetData>
      <sheetData sheetId="268">
        <row r="5">
          <cell r="N5">
            <v>20</v>
          </cell>
        </row>
      </sheetData>
      <sheetData sheetId="269">
        <row r="5">
          <cell r="N5">
            <v>20</v>
          </cell>
        </row>
      </sheetData>
      <sheetData sheetId="270">
        <row r="5">
          <cell r="N5">
            <v>20</v>
          </cell>
        </row>
      </sheetData>
      <sheetData sheetId="271">
        <row r="5">
          <cell r="N5">
            <v>20</v>
          </cell>
        </row>
      </sheetData>
      <sheetData sheetId="272">
        <row r="5">
          <cell r="N5">
            <v>20</v>
          </cell>
        </row>
      </sheetData>
      <sheetData sheetId="273">
        <row r="5">
          <cell r="N5">
            <v>20</v>
          </cell>
        </row>
      </sheetData>
      <sheetData sheetId="274">
        <row r="5">
          <cell r="N5">
            <v>20</v>
          </cell>
        </row>
      </sheetData>
      <sheetData sheetId="275">
        <row r="5">
          <cell r="N5">
            <v>20</v>
          </cell>
        </row>
      </sheetData>
      <sheetData sheetId="276">
        <row r="5">
          <cell r="N5">
            <v>20</v>
          </cell>
        </row>
      </sheetData>
      <sheetData sheetId="277">
        <row r="5">
          <cell r="N5">
            <v>20</v>
          </cell>
        </row>
      </sheetData>
      <sheetData sheetId="278">
        <row r="5">
          <cell r="N5">
            <v>20</v>
          </cell>
        </row>
      </sheetData>
      <sheetData sheetId="279">
        <row r="5">
          <cell r="N5">
            <v>20</v>
          </cell>
        </row>
      </sheetData>
      <sheetData sheetId="280">
        <row r="5">
          <cell r="N5">
            <v>20</v>
          </cell>
        </row>
      </sheetData>
      <sheetData sheetId="281">
        <row r="5">
          <cell r="N5">
            <v>20</v>
          </cell>
        </row>
      </sheetData>
      <sheetData sheetId="282">
        <row r="5">
          <cell r="N5">
            <v>20</v>
          </cell>
        </row>
      </sheetData>
      <sheetData sheetId="283"/>
      <sheetData sheetId="284">
        <row r="5">
          <cell r="N5">
            <v>20</v>
          </cell>
        </row>
      </sheetData>
      <sheetData sheetId="285">
        <row r="5">
          <cell r="N5">
            <v>20</v>
          </cell>
        </row>
      </sheetData>
      <sheetData sheetId="286">
        <row r="5">
          <cell r="N5">
            <v>20</v>
          </cell>
        </row>
      </sheetData>
      <sheetData sheetId="287"/>
      <sheetData sheetId="288">
        <row r="5">
          <cell r="N5">
            <v>20</v>
          </cell>
        </row>
      </sheetData>
      <sheetData sheetId="289">
        <row r="5">
          <cell r="N5">
            <v>20</v>
          </cell>
        </row>
      </sheetData>
      <sheetData sheetId="290">
        <row r="5">
          <cell r="N5">
            <v>20</v>
          </cell>
        </row>
      </sheetData>
      <sheetData sheetId="291"/>
      <sheetData sheetId="292">
        <row r="5">
          <cell r="N5">
            <v>20</v>
          </cell>
        </row>
      </sheetData>
      <sheetData sheetId="293"/>
      <sheetData sheetId="294"/>
      <sheetData sheetId="295"/>
      <sheetData sheetId="296">
        <row r="5">
          <cell r="N5">
            <v>20</v>
          </cell>
        </row>
      </sheetData>
      <sheetData sheetId="297"/>
      <sheetData sheetId="298"/>
      <sheetData sheetId="299"/>
      <sheetData sheetId="300">
        <row r="5">
          <cell r="N5">
            <v>20</v>
          </cell>
        </row>
      </sheetData>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row r="5">
          <cell r="N5">
            <v>20</v>
          </cell>
        </row>
      </sheetData>
      <sheetData sheetId="326">
        <row r="5">
          <cell r="N5">
            <v>20</v>
          </cell>
        </row>
      </sheetData>
      <sheetData sheetId="327">
        <row r="5">
          <cell r="N5">
            <v>20</v>
          </cell>
        </row>
      </sheetData>
      <sheetData sheetId="328">
        <row r="5">
          <cell r="N5">
            <v>20</v>
          </cell>
        </row>
      </sheetData>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ow r="14">
          <cell r="EK14" t="str">
            <v>SP-01-1</v>
          </cell>
        </row>
      </sheetData>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일위대가"/>
      <sheetName val="전열면적"/>
      <sheetName val="SEPARATOR"/>
      <sheetName val="2000년1차"/>
      <sheetName val="M-EQPT-Z"/>
      <sheetName val="REPORT07"/>
      <sheetName val="단가집"/>
      <sheetName val="BM "/>
      <sheetName val="DWG LIST"/>
      <sheetName val="자격 땡겨오기"/>
      <sheetName val="VAE264_VALVES"/>
      <sheetName val="5.소재"/>
      <sheetName val="소화실적"/>
      <sheetName val="현장지지물물량"/>
      <sheetName val="sheet1"/>
      <sheetName val="당초"/>
      <sheetName val="실행예산SHEET도장재검토"/>
      <sheetName val="MOB-MAN1"/>
      <sheetName val="예제"/>
      <sheetName val="기준표"/>
      <sheetName val="규격"/>
      <sheetName val="노점수분"/>
      <sheetName val="견적기준"/>
      <sheetName val="자재사용현황"/>
      <sheetName val="w't table"/>
      <sheetName val="INDEX"/>
      <sheetName val="DI-ESTI"/>
      <sheetName val="NYS"/>
      <sheetName val="KH-Q1,Q2,01"/>
      <sheetName val="CAT_5"/>
      <sheetName val="#REF"/>
      <sheetName val=""/>
      <sheetName val="TTL"/>
      <sheetName val="성광벤드"/>
      <sheetName val="GRP PIPING"/>
      <sheetName val="P-LIST"/>
      <sheetName val="물가자료"/>
      <sheetName val="WE'T"/>
      <sheetName val="REDUCER"/>
      <sheetName val="Summary"/>
      <sheetName val="BM"/>
      <sheetName val="B101"/>
      <sheetName val="카메라"/>
      <sheetName val="COA-17"/>
      <sheetName val="C-18"/>
      <sheetName val="임율 Data"/>
      <sheetName val="kich thuoc"/>
      <sheetName val="DTHH"/>
      <sheetName val="REV 4"/>
      <sheetName val="COL"/>
      <sheetName val="Sheet5"/>
      <sheetName val="BEND LOSS"/>
      <sheetName val="FM"/>
      <sheetName val="내역서"/>
      <sheetName val="노임단가"/>
      <sheetName val="품셈표"/>
      <sheetName val="추가예산"/>
      <sheetName val="간접비 총괄표"/>
      <sheetName val="ﾀｰﾋﾞﾝ"/>
      <sheetName val="Setup"/>
      <sheetName val="Cover_Sheet"/>
      <sheetName val="Project_Outline"/>
      <sheetName val="Contractual_Amount"/>
      <sheetName val="TENDER_vs_BUDGET"/>
      <sheetName val="직영_vs_하청_-_2"/>
      <sheetName val="96_당초Schedule"/>
      <sheetName val="96_Performance"/>
      <sheetName val="소화-투입_분석표"/>
      <sheetName val="STF_ORG(K)"/>
      <sheetName val="Staff_Org__Chart"/>
      <sheetName val="Scope_of_Work"/>
      <sheetName val="Design_Status"/>
      <sheetName val="DWG_Status"/>
      <sheetName val="MAT'L_Status"/>
      <sheetName val="Install_Status"/>
      <sheetName val="Staff_Mob__Plan"/>
      <sheetName val="M_P_Mob__Plan"/>
      <sheetName val="Eq__Mobilization"/>
      <sheetName val="BM_"/>
      <sheetName val="DWG_LIST"/>
      <sheetName val="자격_땡겨오기"/>
      <sheetName val="5_소재"/>
      <sheetName val="w't_table"/>
      <sheetName val="임율_Data"/>
      <sheetName val="GRP_PIPING"/>
      <sheetName val="REV_4"/>
      <sheetName val="BEND_LOSS"/>
      <sheetName val="SPARE PART"/>
      <sheetName val="연환"/>
      <sheetName val="부서코드표"/>
      <sheetName val="WXY"/>
      <sheetName val="입찰안"/>
      <sheetName val="CAUDIT"/>
      <sheetName val="골재산출"/>
      <sheetName val="http___www35_daum_net_WIN98_T_2"/>
      <sheetName val="Lists"/>
      <sheetName val="CI "/>
      <sheetName val="CI"/>
      <sheetName val="골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sheetName val="Break Down CI"/>
      <sheetName val="PL(1_2)"/>
      <sheetName val="PL(2_2)"/>
      <sheetName val="Detailed PL"/>
      <sheetName val="SHIPPING MARK"/>
      <sheetName val="SHIPPING MARK1"/>
      <sheetName val="SHIPPING MARK2"/>
    </sheetNames>
    <sheetDataSet>
      <sheetData sheetId="0" refreshError="1">
        <row r="8">
          <cell r="G8" t="str">
            <v>DATE:</v>
          </cell>
        </row>
        <row r="9">
          <cell r="G9" t="str">
            <v>SHIPPING MARK</v>
          </cell>
        </row>
        <row r="26">
          <cell r="B26" t="str">
            <v>Address: O Mon Power Complex at Phuoc Thoi wards, O Mon district, Can Tho city</v>
          </cell>
        </row>
        <row r="28">
          <cell r="B28" t="str">
            <v>PLANT/ EQUIPMENT AND MATERIALS FOR O MON IV THERMAL</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pageSetUpPr fitToPage="1"/>
  </sheetPr>
  <dimension ref="A5:R26"/>
  <sheetViews>
    <sheetView showGridLines="0" tabSelected="1" view="pageBreakPreview" topLeftCell="B2" zoomScaleNormal="100" zoomScaleSheetLayoutView="100" workbookViewId="0">
      <selection activeCell="D25" sqref="D25"/>
    </sheetView>
  </sheetViews>
  <sheetFormatPr defaultColWidth="8.76953125" defaultRowHeight="14.25"/>
  <cols>
    <col min="1" max="1" width="8.76953125" style="73"/>
    <col min="2" max="2" width="16.72265625" style="73" bestFit="1" customWidth="1"/>
    <col min="3" max="4" width="16.72265625" style="73" customWidth="1"/>
    <col min="5" max="5" width="40.2265625" style="73" customWidth="1"/>
    <col min="6" max="6" width="20.11328125" style="73" customWidth="1"/>
    <col min="7" max="7" width="11.34375" style="73" customWidth="1"/>
    <col min="8" max="8" width="8.06640625" style="73" bestFit="1" customWidth="1"/>
    <col min="9" max="9" width="8.41796875" style="73" bestFit="1" customWidth="1"/>
    <col min="10" max="10" width="9.703125" style="73" customWidth="1"/>
    <col min="11" max="12" width="8.06640625" style="78" customWidth="1"/>
    <col min="13" max="13" width="9.23828125" style="73" customWidth="1"/>
    <col min="14" max="14" width="11.92578125" style="73" bestFit="1" customWidth="1"/>
    <col min="15" max="15" width="13.796875" style="73" bestFit="1" customWidth="1"/>
    <col min="16" max="16" width="10.875" style="73" bestFit="1" customWidth="1"/>
    <col min="17" max="17" width="9.00390625" style="73" bestFit="1" customWidth="1"/>
    <col min="18" max="18" width="12.86328125" style="73" bestFit="1" customWidth="1"/>
    <col min="19" max="16384" width="8.76953125" style="73"/>
  </cols>
  <sheetData>
    <row r="5" spans="1:18">
      <c r="B5" s="74" t="str">
        <f>'Commercial Invoice'!G5</f>
        <v>INVOICE NO. :</v>
      </c>
      <c r="C5" s="74"/>
      <c r="D5" s="74"/>
      <c r="E5" s="74" t="str">
        <f>'Commercial Invoice'!H5</f>
        <v>OM4-DE-IS-0010</v>
      </c>
      <c r="F5" s="74"/>
      <c r="G5" s="75"/>
      <c r="H5" s="74"/>
      <c r="I5" s="74"/>
      <c r="J5" s="74"/>
      <c r="K5" s="446"/>
      <c r="L5" s="447"/>
      <c r="M5" s="76" t="s">
        <v>127</v>
      </c>
      <c r="N5" s="76"/>
      <c r="O5" s="191">
        <f>'Commercial Invoice'!H6</f>
        <v>46177</v>
      </c>
    </row>
    <row r="6" spans="1:18">
      <c r="B6" s="77"/>
      <c r="C6" s="77"/>
      <c r="D6" s="77"/>
      <c r="E6" s="77"/>
      <c r="F6" s="77"/>
    </row>
    <row r="7" spans="1:18" ht="47.25" customHeight="1">
      <c r="A7" s="448" t="s">
        <v>29</v>
      </c>
      <c r="B7" s="450" t="s">
        <v>30</v>
      </c>
      <c r="C7" s="368" t="s">
        <v>214</v>
      </c>
      <c r="D7" s="368" t="s">
        <v>215</v>
      </c>
      <c r="E7" s="452" t="s">
        <v>20</v>
      </c>
      <c r="F7" s="450" t="s">
        <v>152</v>
      </c>
      <c r="G7" s="448" t="s">
        <v>31</v>
      </c>
      <c r="H7" s="454" t="s">
        <v>153</v>
      </c>
      <c r="I7" s="455"/>
      <c r="J7" s="448" t="s">
        <v>154</v>
      </c>
      <c r="K7" s="448" t="s">
        <v>161</v>
      </c>
      <c r="L7" s="448" t="s">
        <v>160</v>
      </c>
      <c r="M7" s="448" t="s">
        <v>155</v>
      </c>
      <c r="N7" s="448" t="s">
        <v>156</v>
      </c>
      <c r="O7" s="452" t="s">
        <v>157</v>
      </c>
    </row>
    <row r="8" spans="1:18" ht="14.45" customHeight="1">
      <c r="A8" s="449"/>
      <c r="B8" s="451"/>
      <c r="C8" s="369"/>
      <c r="D8" s="369"/>
      <c r="E8" s="453"/>
      <c r="F8" s="451"/>
      <c r="G8" s="449"/>
      <c r="H8" s="200" t="s">
        <v>158</v>
      </c>
      <c r="I8" s="200" t="s">
        <v>159</v>
      </c>
      <c r="J8" s="449"/>
      <c r="K8" s="449"/>
      <c r="L8" s="449"/>
      <c r="M8" s="449"/>
      <c r="N8" s="449"/>
      <c r="O8" s="453"/>
      <c r="Q8" s="73" t="s">
        <v>211</v>
      </c>
    </row>
    <row r="9" spans="1:18" ht="14.45" customHeight="1">
      <c r="A9" s="262">
        <v>1</v>
      </c>
      <c r="B9" s="290" t="s">
        <v>201</v>
      </c>
      <c r="C9" s="528" t="s">
        <v>216</v>
      </c>
      <c r="D9" s="529">
        <v>46231</v>
      </c>
      <c r="E9" s="349" t="s">
        <v>205</v>
      </c>
      <c r="F9" s="268" t="s">
        <v>163</v>
      </c>
      <c r="G9" s="290" t="s">
        <v>198</v>
      </c>
      <c r="H9" s="350">
        <f>'Detailed PL'!I15</f>
        <v>32</v>
      </c>
      <c r="I9" s="351" t="str">
        <f>'Detailed PL'!J15</f>
        <v>EA</v>
      </c>
      <c r="J9" s="351" t="str">
        <f>'Detailed PL'!K16</f>
        <v>Wooden</v>
      </c>
      <c r="K9" s="352">
        <f>'Detailed PL'!P16</f>
        <v>576</v>
      </c>
      <c r="L9" s="352">
        <f>'Detailed PL'!Q16</f>
        <v>726</v>
      </c>
      <c r="M9" s="270">
        <v>90.67</v>
      </c>
      <c r="N9" s="270">
        <v>2901.44</v>
      </c>
      <c r="O9" s="270" t="s">
        <v>197</v>
      </c>
      <c r="Q9" s="342" t="s">
        <v>212</v>
      </c>
    </row>
    <row r="10" spans="1:18" ht="14.45" customHeight="1">
      <c r="A10" s="262">
        <v>2</v>
      </c>
      <c r="B10" s="290" t="s">
        <v>206</v>
      </c>
      <c r="C10" s="528" t="s">
        <v>216</v>
      </c>
      <c r="D10" s="529">
        <v>46231</v>
      </c>
      <c r="E10" s="349" t="s">
        <v>205</v>
      </c>
      <c r="F10" s="268" t="s">
        <v>163</v>
      </c>
      <c r="G10" s="290" t="s">
        <v>198</v>
      </c>
      <c r="H10" s="350">
        <f>'Detailed PL'!I17</f>
        <v>18</v>
      </c>
      <c r="I10" s="351" t="str">
        <f>'Detailed PL'!J17</f>
        <v>EA</v>
      </c>
      <c r="J10" s="351" t="str">
        <f>'Detailed PL'!K18</f>
        <v>Wooden</v>
      </c>
      <c r="K10" s="352">
        <f>'Detailed PL'!P18</f>
        <v>324</v>
      </c>
      <c r="L10" s="352">
        <f>'Detailed PL'!Q18</f>
        <v>474</v>
      </c>
      <c r="M10" s="270">
        <v>90.68</v>
      </c>
      <c r="N10" s="270">
        <v>1632.23</v>
      </c>
      <c r="O10" s="270" t="s">
        <v>197</v>
      </c>
      <c r="Q10" s="342" t="s">
        <v>212</v>
      </c>
    </row>
    <row r="11" spans="1:18" ht="14.1" customHeight="1">
      <c r="A11" s="82"/>
      <c r="B11" s="83"/>
      <c r="C11" s="84"/>
      <c r="D11" s="84"/>
      <c r="E11" s="84"/>
      <c r="F11" s="84"/>
      <c r="G11" s="85"/>
      <c r="H11" s="86"/>
      <c r="I11" s="86"/>
      <c r="J11" s="87" t="s">
        <v>32</v>
      </c>
      <c r="K11" s="88"/>
      <c r="L11" s="84"/>
      <c r="M11" s="84"/>
      <c r="N11" s="327">
        <f>SUM(N9:N10)</f>
        <v>4533.67</v>
      </c>
      <c r="O11" s="89"/>
      <c r="Q11" s="343"/>
      <c r="R11" s="342"/>
    </row>
    <row r="12" spans="1:18" ht="14.1" customHeight="1">
      <c r="A12" s="90"/>
      <c r="B12" s="91"/>
      <c r="C12" s="81"/>
      <c r="D12" s="81"/>
      <c r="E12" s="81"/>
      <c r="F12" s="81"/>
      <c r="G12" s="92"/>
      <c r="H12" s="93"/>
      <c r="I12" s="93"/>
      <c r="J12" s="93"/>
      <c r="K12" s="94"/>
      <c r="L12" s="94"/>
      <c r="M12" s="81"/>
      <c r="N12" s="81"/>
      <c r="O12" s="91"/>
      <c r="P12" s="80"/>
      <c r="Q12" s="80">
        <f>N9+P19</f>
        <v>5802.88</v>
      </c>
      <c r="R12" s="346"/>
    </row>
    <row r="13" spans="1:18">
      <c r="Q13" s="80">
        <f>N10+P20</f>
        <v>3264.4700000000003</v>
      </c>
    </row>
    <row r="14" spans="1:18">
      <c r="P14" s="346"/>
      <c r="Q14" s="346"/>
      <c r="R14" s="80"/>
    </row>
    <row r="15" spans="1:18">
      <c r="P15" s="346"/>
      <c r="Q15" s="346"/>
      <c r="R15" s="80"/>
    </row>
    <row r="16" spans="1:18">
      <c r="N16" s="353">
        <f>M9*H9</f>
        <v>2901.44</v>
      </c>
      <c r="P16" s="346">
        <f>H9*M9</f>
        <v>2901.44</v>
      </c>
    </row>
    <row r="17" spans="13:18">
      <c r="N17" s="353">
        <f>M10*H10</f>
        <v>1632.2400000000002</v>
      </c>
      <c r="P17" s="346">
        <f>H10*M10</f>
        <v>1632.2400000000002</v>
      </c>
    </row>
    <row r="18" spans="13:18">
      <c r="M18" s="342"/>
      <c r="N18" s="353">
        <f>SUM(N16:N17)</f>
        <v>4533.68</v>
      </c>
      <c r="P18" s="80"/>
    </row>
    <row r="19" spans="13:18">
      <c r="M19" s="342"/>
      <c r="N19" s="78"/>
      <c r="P19" s="80">
        <f>ROUND(P16,2)</f>
        <v>2901.44</v>
      </c>
    </row>
    <row r="20" spans="13:18">
      <c r="M20" s="342"/>
      <c r="N20" s="73">
        <v>2901.55</v>
      </c>
      <c r="P20" s="80">
        <f>ROUND(P17,2)</f>
        <v>1632.24</v>
      </c>
      <c r="R20" s="356"/>
    </row>
    <row r="21" spans="13:18">
      <c r="M21" s="342"/>
      <c r="N21" s="73">
        <v>1632.12</v>
      </c>
    </row>
    <row r="22" spans="13:18">
      <c r="N22" s="73">
        <v>4533.67</v>
      </c>
    </row>
    <row r="25" spans="13:18">
      <c r="O25" s="346"/>
    </row>
    <row r="26" spans="13:18">
      <c r="P26" s="367"/>
      <c r="Q26" s="367"/>
    </row>
  </sheetData>
  <autoFilter ref="A8:P11" xr:uid="{00000000-0009-0000-0000-000001000000}"/>
  <mergeCells count="13">
    <mergeCell ref="M7:M8"/>
    <mergeCell ref="N7:N8"/>
    <mergeCell ref="O7:O8"/>
    <mergeCell ref="H7:I7"/>
    <mergeCell ref="J7:J8"/>
    <mergeCell ref="K7:K8"/>
    <mergeCell ref="L7:L8"/>
    <mergeCell ref="K5:L5"/>
    <mergeCell ref="A7:A8"/>
    <mergeCell ref="B7:B8"/>
    <mergeCell ref="E7:E8"/>
    <mergeCell ref="F7:F8"/>
    <mergeCell ref="G7:G8"/>
  </mergeCells>
  <phoneticPr fontId="34" type="noConversion"/>
  <printOptions horizontalCentered="1"/>
  <pageMargins left="0.70866141732283472" right="0.31496062992125984" top="0.74803149606299213" bottom="0.74803149606299213" header="0.31496062992125984" footer="0.31496062992125984"/>
  <pageSetup paperSize="9" scale="67"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1:AN20"/>
  <sheetViews>
    <sheetView showGridLines="0" view="pageBreakPreview" zoomScale="90" zoomScaleNormal="100" zoomScaleSheetLayoutView="90" workbookViewId="0">
      <selection activeCell="B4" sqref="B4:U4"/>
    </sheetView>
  </sheetViews>
  <sheetFormatPr defaultColWidth="8.76953125" defaultRowHeight="18" customHeight="1"/>
  <cols>
    <col min="1" max="1" width="1.05078125" style="136" customWidth="1"/>
    <col min="2" max="2" width="3.625" style="78" customWidth="1"/>
    <col min="3" max="3" width="21.1640625" style="146" customWidth="1"/>
    <col min="4" max="4" width="23.73828125" style="156" customWidth="1"/>
    <col min="5" max="5" width="21.75" style="156" customWidth="1"/>
    <col min="6" max="6" width="14.265625" style="78" customWidth="1"/>
    <col min="7" max="7" width="21.75" style="156" customWidth="1"/>
    <col min="8" max="8" width="9.703125" style="73" customWidth="1"/>
    <col min="9" max="9" width="6.1953125" style="205" customWidth="1"/>
    <col min="10" max="10" width="5.26171875" style="73" customWidth="1"/>
    <col min="11" max="11" width="7.6015625" style="73" customWidth="1"/>
    <col min="12" max="14" width="7.71484375" style="73" customWidth="1"/>
    <col min="15" max="15" width="7.25" style="157" customWidth="1"/>
    <col min="16" max="17" width="9.9375" style="73" customWidth="1"/>
    <col min="18" max="18" width="8.53515625" style="73" customWidth="1"/>
    <col min="19" max="19" width="10.0546875" style="78" customWidth="1"/>
    <col min="20" max="20" width="6.8984375" style="78" customWidth="1"/>
    <col min="21" max="21" width="6.6640625" style="158" customWidth="1"/>
    <col min="22" max="22" width="1.05078125" style="134" customWidth="1"/>
    <col min="23" max="27" width="8.76953125" style="135" customWidth="1"/>
    <col min="28" max="28" width="7.3671875" style="135" bestFit="1" customWidth="1"/>
    <col min="29" max="29" width="8.76953125" style="135" customWidth="1"/>
    <col min="30" max="35" width="8.76953125" style="136" customWidth="1"/>
    <col min="36" max="40" width="8.76953125" style="135"/>
    <col min="41" max="16384" width="8.76953125" style="136"/>
  </cols>
  <sheetData>
    <row r="1" spans="2:40" ht="9" customHeight="1">
      <c r="B1" s="376"/>
      <c r="C1" s="376"/>
      <c r="D1" s="376"/>
      <c r="E1" s="376"/>
      <c r="F1" s="376"/>
      <c r="G1" s="376"/>
      <c r="H1" s="376"/>
      <c r="I1" s="376"/>
      <c r="J1" s="376"/>
      <c r="K1" s="376"/>
      <c r="L1" s="376"/>
      <c r="M1" s="376"/>
      <c r="N1" s="376"/>
      <c r="O1" s="376"/>
      <c r="P1" s="376"/>
      <c r="Q1" s="376"/>
      <c r="R1" s="376"/>
      <c r="S1" s="376"/>
      <c r="T1" s="376"/>
      <c r="U1" s="376"/>
    </row>
    <row r="2" spans="2:40" ht="26.1" customHeight="1">
      <c r="B2" s="133"/>
      <c r="C2" s="73"/>
      <c r="D2" s="73"/>
      <c r="E2" s="73"/>
      <c r="F2" s="136"/>
      <c r="G2" s="73"/>
      <c r="I2" s="202"/>
      <c r="J2" s="137"/>
      <c r="K2" s="137"/>
      <c r="L2" s="137"/>
      <c r="M2" s="138"/>
      <c r="N2" s="139"/>
      <c r="O2" s="133"/>
      <c r="P2" s="133"/>
      <c r="Q2" s="133"/>
      <c r="R2" s="133"/>
      <c r="S2" s="133"/>
      <c r="T2" s="136"/>
      <c r="U2" s="136"/>
      <c r="V2" s="136"/>
      <c r="W2" s="136"/>
      <c r="X2" s="136"/>
      <c r="Y2" s="136"/>
      <c r="Z2" s="136"/>
      <c r="AA2" s="136"/>
      <c r="AB2" s="136"/>
      <c r="AC2" s="136"/>
      <c r="AJ2" s="136"/>
      <c r="AK2" s="136"/>
      <c r="AL2" s="136"/>
      <c r="AM2" s="136"/>
      <c r="AN2" s="136"/>
    </row>
    <row r="3" spans="2:40" ht="27.6" customHeight="1" thickBot="1">
      <c r="B3" s="133"/>
      <c r="C3" s="377" t="s">
        <v>0</v>
      </c>
      <c r="D3" s="377"/>
      <c r="E3" s="377"/>
      <c r="F3" s="377"/>
      <c r="G3" s="377"/>
      <c r="H3" s="377"/>
      <c r="I3" s="377"/>
      <c r="J3" s="377"/>
      <c r="K3" s="377"/>
      <c r="L3" s="137"/>
      <c r="M3" s="138"/>
      <c r="N3" s="139"/>
      <c r="O3" s="140"/>
      <c r="P3" s="133"/>
      <c r="Q3" s="133"/>
      <c r="R3" s="133"/>
      <c r="S3" s="133"/>
      <c r="T3" s="136"/>
      <c r="U3" s="136"/>
      <c r="V3" s="136"/>
      <c r="W3" s="136"/>
      <c r="X3" s="136"/>
      <c r="Y3" s="136"/>
      <c r="Z3" s="136"/>
      <c r="AA3" s="136"/>
      <c r="AB3" s="136"/>
      <c r="AC3" s="136"/>
      <c r="AJ3" s="136"/>
      <c r="AK3" s="136"/>
      <c r="AL3" s="136"/>
      <c r="AM3" s="136"/>
      <c r="AN3" s="136"/>
    </row>
    <row r="4" spans="2:40" ht="33.75" customHeight="1" thickTop="1" thickBot="1">
      <c r="B4" s="378" t="s">
        <v>87</v>
      </c>
      <c r="C4" s="379"/>
      <c r="D4" s="379"/>
      <c r="E4" s="379"/>
      <c r="F4" s="379"/>
      <c r="G4" s="379"/>
      <c r="H4" s="379"/>
      <c r="I4" s="379"/>
      <c r="J4" s="379"/>
      <c r="K4" s="379"/>
      <c r="L4" s="379"/>
      <c r="M4" s="379"/>
      <c r="N4" s="379"/>
      <c r="O4" s="379"/>
      <c r="P4" s="379"/>
      <c r="Q4" s="379"/>
      <c r="R4" s="379"/>
      <c r="S4" s="379"/>
      <c r="T4" s="379"/>
      <c r="U4" s="380"/>
    </row>
    <row r="5" spans="2:40" s="73" customFormat="1" ht="17.25" customHeight="1" thickTop="1">
      <c r="B5" s="78"/>
      <c r="C5" s="141" t="s">
        <v>88</v>
      </c>
      <c r="D5" s="142" t="str">
        <f>'PL(2_2)'!D5</f>
        <v>OM4-DE-IS-0010</v>
      </c>
      <c r="F5" s="144"/>
      <c r="H5" s="78"/>
      <c r="I5" s="203"/>
      <c r="J5" s="78"/>
      <c r="K5" s="78"/>
      <c r="L5" s="78"/>
      <c r="M5" s="78"/>
      <c r="N5" s="78"/>
      <c r="O5" s="143"/>
      <c r="P5" s="78"/>
      <c r="Q5" s="78"/>
      <c r="R5" s="78"/>
      <c r="S5" s="144"/>
      <c r="T5" s="78"/>
      <c r="U5" s="78"/>
      <c r="V5" s="145"/>
      <c r="AJ5" s="78"/>
      <c r="AK5" s="78"/>
      <c r="AL5" s="78"/>
      <c r="AM5" s="78"/>
      <c r="AN5" s="78"/>
    </row>
    <row r="6" spans="2:40" s="73" customFormat="1" ht="17.25" customHeight="1">
      <c r="B6" s="78"/>
      <c r="C6" s="141" t="s">
        <v>41</v>
      </c>
      <c r="D6" s="193">
        <f>'PL(2_2)'!D6</f>
        <v>46177</v>
      </c>
      <c r="F6" s="78"/>
      <c r="H6" s="78"/>
      <c r="I6" s="204"/>
      <c r="J6" s="146" t="s">
        <v>42</v>
      </c>
      <c r="K6" s="78"/>
      <c r="L6" s="78"/>
      <c r="M6" s="78"/>
      <c r="N6" s="78"/>
      <c r="O6" s="147" t="s">
        <v>43</v>
      </c>
      <c r="P6" s="78"/>
      <c r="Q6" s="78"/>
      <c r="R6" s="78"/>
      <c r="S6" s="78"/>
      <c r="T6" s="78"/>
      <c r="U6" s="78"/>
      <c r="V6" s="145"/>
      <c r="AJ6" s="78"/>
      <c r="AK6" s="78"/>
      <c r="AL6" s="78"/>
      <c r="AM6" s="78"/>
      <c r="AN6" s="78"/>
    </row>
    <row r="7" spans="2:40" s="73" customFormat="1" ht="17.25" customHeight="1">
      <c r="B7" s="78"/>
      <c r="C7" s="141" t="s">
        <v>44</v>
      </c>
      <c r="D7" s="194" t="str">
        <f>'PL(2_2)'!D7</f>
        <v>O MON IV THERMAL POWER PLANT</v>
      </c>
      <c r="F7" s="78"/>
      <c r="H7" s="78"/>
      <c r="I7" s="204"/>
      <c r="J7" s="75" t="s">
        <v>45</v>
      </c>
      <c r="K7" s="146" t="s">
        <v>46</v>
      </c>
      <c r="L7" s="78"/>
      <c r="M7" s="78"/>
      <c r="N7" s="78"/>
      <c r="O7" s="148"/>
      <c r="P7" s="79" t="s">
        <v>165</v>
      </c>
      <c r="Q7" s="79" t="s">
        <v>167</v>
      </c>
      <c r="R7" s="79" t="s">
        <v>169</v>
      </c>
      <c r="S7" s="79" t="s">
        <v>47</v>
      </c>
      <c r="T7" s="78"/>
      <c r="U7" s="78"/>
      <c r="V7" s="145"/>
      <c r="W7" s="78"/>
      <c r="X7" s="78"/>
      <c r="Y7" s="78"/>
      <c r="Z7" s="78"/>
      <c r="AA7" s="78"/>
      <c r="AB7" s="78"/>
      <c r="AC7" s="78"/>
      <c r="AJ7" s="78"/>
      <c r="AK7" s="78"/>
      <c r="AL7" s="78"/>
      <c r="AM7" s="78"/>
      <c r="AN7" s="78"/>
    </row>
    <row r="8" spans="2:40" s="73" customFormat="1" ht="17.25" customHeight="1">
      <c r="B8" s="78"/>
      <c r="C8" s="141" t="s">
        <v>89</v>
      </c>
      <c r="D8" s="323"/>
      <c r="E8" s="324"/>
      <c r="F8" s="78"/>
      <c r="H8" s="78"/>
      <c r="I8" s="204"/>
      <c r="J8" s="75" t="s">
        <v>48</v>
      </c>
      <c r="K8" s="146" t="s">
        <v>49</v>
      </c>
      <c r="L8" s="78"/>
      <c r="M8" s="78"/>
      <c r="N8" s="78"/>
      <c r="O8" s="149" t="s">
        <v>50</v>
      </c>
      <c r="P8" s="79" t="s">
        <v>51</v>
      </c>
      <c r="Q8" s="79" t="s">
        <v>52</v>
      </c>
      <c r="R8" s="79" t="s">
        <v>53</v>
      </c>
      <c r="S8" s="79" t="s">
        <v>54</v>
      </c>
      <c r="T8" s="78"/>
      <c r="U8" s="78"/>
      <c r="V8" s="145"/>
      <c r="W8" s="78"/>
      <c r="X8" s="78"/>
      <c r="Y8" s="78"/>
      <c r="Z8" s="78"/>
      <c r="AA8" s="78"/>
      <c r="AB8" s="78"/>
      <c r="AC8" s="78"/>
      <c r="AJ8" s="78"/>
      <c r="AK8" s="78"/>
      <c r="AL8" s="78"/>
      <c r="AM8" s="78"/>
      <c r="AN8" s="78"/>
    </row>
    <row r="9" spans="2:40" s="73" customFormat="1" ht="17.25" customHeight="1">
      <c r="B9" s="78"/>
      <c r="D9" s="324"/>
      <c r="E9" s="325"/>
      <c r="F9" s="78"/>
      <c r="G9" s="141"/>
      <c r="H9" s="78"/>
      <c r="I9" s="204"/>
      <c r="J9" s="75" t="s">
        <v>55</v>
      </c>
      <c r="K9" s="146" t="s">
        <v>56</v>
      </c>
      <c r="L9" s="78"/>
      <c r="M9" s="78"/>
      <c r="N9" s="78"/>
      <c r="O9" s="149" t="s">
        <v>57</v>
      </c>
      <c r="P9" s="79" t="s">
        <v>58</v>
      </c>
      <c r="Q9" s="79" t="s">
        <v>59</v>
      </c>
      <c r="R9" s="79" t="s">
        <v>60</v>
      </c>
      <c r="S9" s="79" t="s">
        <v>61</v>
      </c>
      <c r="T9" s="78"/>
      <c r="U9" s="78"/>
      <c r="V9" s="145"/>
      <c r="W9" s="78"/>
      <c r="X9" s="78"/>
      <c r="Y9" s="78"/>
      <c r="Z9" s="78"/>
      <c r="AA9" s="78"/>
      <c r="AB9" s="78"/>
      <c r="AC9" s="78"/>
      <c r="AJ9" s="78"/>
      <c r="AK9" s="78"/>
      <c r="AL9" s="78"/>
      <c r="AM9" s="78"/>
      <c r="AN9" s="78"/>
    </row>
    <row r="10" spans="2:40" s="73" customFormat="1" ht="17.25" customHeight="1">
      <c r="B10" s="78"/>
      <c r="C10" s="141"/>
      <c r="D10" s="325"/>
      <c r="E10" s="325"/>
      <c r="F10" s="78"/>
      <c r="G10" s="141"/>
      <c r="H10" s="78"/>
      <c r="I10" s="204"/>
      <c r="J10" s="75" t="s">
        <v>62</v>
      </c>
      <c r="K10" s="146" t="s">
        <v>63</v>
      </c>
      <c r="L10" s="78"/>
      <c r="M10" s="78"/>
      <c r="N10" s="78"/>
      <c r="O10" s="149" t="s">
        <v>64</v>
      </c>
      <c r="P10" s="79" t="s">
        <v>65</v>
      </c>
      <c r="Q10" s="79" t="s">
        <v>66</v>
      </c>
      <c r="R10" s="79" t="s">
        <v>67</v>
      </c>
      <c r="S10" s="290" t="s">
        <v>68</v>
      </c>
      <c r="T10" s="78"/>
      <c r="U10" s="78"/>
      <c r="V10" s="145"/>
      <c r="W10" s="78"/>
      <c r="X10" s="78"/>
      <c r="Y10" s="78"/>
      <c r="Z10" s="78"/>
      <c r="AA10" s="78"/>
      <c r="AB10" s="78"/>
      <c r="AC10" s="78"/>
      <c r="AJ10" s="78"/>
      <c r="AK10" s="78"/>
      <c r="AL10" s="78"/>
      <c r="AM10" s="78"/>
      <c r="AN10" s="78"/>
    </row>
    <row r="11" spans="2:40" s="73" customFormat="1" ht="17.25" customHeight="1">
      <c r="B11" s="78"/>
      <c r="C11" s="141"/>
      <c r="D11" s="141"/>
      <c r="E11" s="141"/>
      <c r="F11" s="78"/>
      <c r="G11" s="141"/>
      <c r="H11" s="78"/>
      <c r="I11" s="204"/>
      <c r="J11" s="75" t="s">
        <v>69</v>
      </c>
      <c r="K11" s="146" t="s">
        <v>70</v>
      </c>
      <c r="L11" s="78"/>
      <c r="M11" s="78"/>
      <c r="N11" s="78"/>
      <c r="O11" s="143"/>
      <c r="P11" s="78"/>
      <c r="Q11" s="78"/>
      <c r="R11" s="78"/>
      <c r="S11" s="78"/>
      <c r="T11" s="78"/>
      <c r="U11" s="78"/>
      <c r="V11" s="145"/>
      <c r="W11" s="78"/>
      <c r="X11" s="78"/>
      <c r="Y11" s="78"/>
      <c r="Z11" s="78"/>
      <c r="AA11" s="78"/>
      <c r="AB11" s="78"/>
      <c r="AC11" s="78"/>
      <c r="AJ11" s="78"/>
      <c r="AK11" s="78"/>
      <c r="AL11" s="78"/>
      <c r="AM11" s="78"/>
      <c r="AN11" s="78"/>
    </row>
    <row r="12" spans="2:40" s="73" customFormat="1" ht="17.25" customHeight="1">
      <c r="B12" s="78"/>
      <c r="C12" s="141"/>
      <c r="D12" s="78"/>
      <c r="E12" s="78"/>
      <c r="F12" s="78"/>
      <c r="G12" s="78"/>
      <c r="H12" s="78"/>
      <c r="I12" s="204"/>
      <c r="J12" s="78"/>
      <c r="K12" s="78"/>
      <c r="L12" s="78"/>
      <c r="M12" s="78"/>
      <c r="N12" s="78"/>
      <c r="O12" s="143"/>
      <c r="P12" s="78"/>
      <c r="Q12" s="78"/>
      <c r="R12" s="78"/>
      <c r="S12" s="78"/>
      <c r="T12" s="78"/>
      <c r="U12" s="78"/>
      <c r="V12" s="145"/>
      <c r="W12" s="78"/>
      <c r="X12" s="78"/>
      <c r="Y12" s="78"/>
      <c r="Z12" s="78"/>
      <c r="AA12" s="78"/>
      <c r="AB12" s="78"/>
      <c r="AC12" s="78"/>
      <c r="AJ12" s="78"/>
      <c r="AK12" s="78"/>
      <c r="AL12" s="78"/>
      <c r="AM12" s="78"/>
      <c r="AN12" s="78"/>
    </row>
    <row r="13" spans="2:40" s="152" customFormat="1" ht="20.25" customHeight="1">
      <c r="B13" s="371" t="s">
        <v>29</v>
      </c>
      <c r="C13" s="382" t="s">
        <v>30</v>
      </c>
      <c r="D13" s="383" t="s">
        <v>71</v>
      </c>
      <c r="E13" s="384"/>
      <c r="F13" s="371" t="s">
        <v>90</v>
      </c>
      <c r="G13" s="382" t="s">
        <v>144</v>
      </c>
      <c r="H13" s="371" t="s">
        <v>145</v>
      </c>
      <c r="I13" s="387" t="s">
        <v>72</v>
      </c>
      <c r="J13" s="388"/>
      <c r="K13" s="371" t="s">
        <v>73</v>
      </c>
      <c r="L13" s="387" t="s">
        <v>74</v>
      </c>
      <c r="M13" s="389"/>
      <c r="N13" s="389"/>
      <c r="O13" s="388"/>
      <c r="P13" s="371" t="s">
        <v>75</v>
      </c>
      <c r="Q13" s="371" t="s">
        <v>76</v>
      </c>
      <c r="R13" s="371" t="s">
        <v>77</v>
      </c>
      <c r="S13" s="371" t="s">
        <v>78</v>
      </c>
      <c r="T13" s="383" t="s">
        <v>91</v>
      </c>
      <c r="U13" s="371" t="s">
        <v>79</v>
      </c>
      <c r="V13" s="150"/>
      <c r="W13" s="151"/>
      <c r="X13" s="151"/>
      <c r="Y13" s="151"/>
      <c r="Z13" s="151"/>
      <c r="AA13" s="151"/>
      <c r="AB13" s="151"/>
      <c r="AC13" s="151"/>
      <c r="AJ13" s="151"/>
      <c r="AK13" s="151"/>
      <c r="AL13" s="151"/>
      <c r="AM13" s="151"/>
      <c r="AN13" s="151"/>
    </row>
    <row r="14" spans="2:40" s="152" customFormat="1" ht="28.5" customHeight="1">
      <c r="B14" s="381"/>
      <c r="C14" s="381"/>
      <c r="D14" s="385"/>
      <c r="E14" s="386"/>
      <c r="F14" s="372"/>
      <c r="G14" s="381"/>
      <c r="H14" s="372"/>
      <c r="I14" s="201" t="s">
        <v>80</v>
      </c>
      <c r="J14" s="153" t="s">
        <v>81</v>
      </c>
      <c r="K14" s="372"/>
      <c r="L14" s="154" t="s">
        <v>82</v>
      </c>
      <c r="M14" s="154" t="s">
        <v>83</v>
      </c>
      <c r="N14" s="154" t="s">
        <v>84</v>
      </c>
      <c r="O14" s="155" t="s">
        <v>85</v>
      </c>
      <c r="P14" s="372"/>
      <c r="Q14" s="372"/>
      <c r="R14" s="372"/>
      <c r="S14" s="372"/>
      <c r="T14" s="385"/>
      <c r="U14" s="372"/>
      <c r="W14" s="151"/>
      <c r="X14" s="151"/>
      <c r="Y14" s="151"/>
      <c r="Z14" s="151"/>
      <c r="AA14" s="151"/>
      <c r="AB14" s="151"/>
      <c r="AC14" s="151"/>
      <c r="AJ14" s="151"/>
      <c r="AK14" s="151"/>
      <c r="AL14" s="151"/>
      <c r="AM14" s="151"/>
      <c r="AN14" s="151"/>
    </row>
    <row r="15" spans="2:40" s="152" customFormat="1" ht="28.5" customHeight="1">
      <c r="B15" s="212">
        <v>1</v>
      </c>
      <c r="C15" s="212" t="s">
        <v>201</v>
      </c>
      <c r="D15" s="211" t="s">
        <v>202</v>
      </c>
      <c r="E15" s="94" t="s">
        <v>204</v>
      </c>
      <c r="F15" s="299" t="s">
        <v>172</v>
      </c>
      <c r="G15" s="269" t="s">
        <v>163</v>
      </c>
      <c r="H15" s="210"/>
      <c r="I15" s="251">
        <v>32</v>
      </c>
      <c r="J15" s="215" t="s">
        <v>146</v>
      </c>
      <c r="K15" s="213"/>
      <c r="L15" s="252"/>
      <c r="M15" s="252"/>
      <c r="N15" s="252"/>
      <c r="O15" s="253"/>
      <c r="P15" s="254">
        <v>576</v>
      </c>
      <c r="Q15" s="254"/>
      <c r="R15" s="213"/>
      <c r="S15" s="213"/>
      <c r="T15" s="214"/>
      <c r="U15" s="213"/>
      <c r="W15" s="207">
        <v>18</v>
      </c>
      <c r="X15" s="151"/>
      <c r="Y15" s="151"/>
      <c r="Z15" s="151"/>
      <c r="AA15" s="151"/>
      <c r="AB15" s="151"/>
      <c r="AC15" s="151"/>
      <c r="AJ15" s="151"/>
      <c r="AK15" s="151"/>
      <c r="AL15" s="151"/>
      <c r="AM15" s="151"/>
      <c r="AN15" s="151"/>
    </row>
    <row r="16" spans="2:40" s="152" customFormat="1" ht="28.5" customHeight="1">
      <c r="B16" s="373" t="s">
        <v>92</v>
      </c>
      <c r="C16" s="374"/>
      <c r="D16" s="374"/>
      <c r="E16" s="374"/>
      <c r="F16" s="374"/>
      <c r="G16" s="374"/>
      <c r="H16" s="375"/>
      <c r="I16" s="255">
        <f>SUM(I15)</f>
        <v>32</v>
      </c>
      <c r="J16" s="256"/>
      <c r="K16" s="257" t="s">
        <v>203</v>
      </c>
      <c r="L16" s="344">
        <v>120</v>
      </c>
      <c r="M16" s="344">
        <v>120</v>
      </c>
      <c r="N16" s="344">
        <v>110</v>
      </c>
      <c r="O16" s="344">
        <f>(L16*M16*N16)/10^6</f>
        <v>1.5840000000000001</v>
      </c>
      <c r="P16" s="258">
        <v>576</v>
      </c>
      <c r="Q16" s="258">
        <f>P16+150</f>
        <v>726</v>
      </c>
      <c r="R16" s="257" t="s">
        <v>149</v>
      </c>
      <c r="S16" s="257" t="s">
        <v>148</v>
      </c>
      <c r="T16" s="259"/>
      <c r="U16" s="257" t="s">
        <v>170</v>
      </c>
      <c r="W16" s="207"/>
      <c r="X16" s="151"/>
      <c r="Y16" s="151"/>
      <c r="Z16" s="151"/>
      <c r="AA16" s="151"/>
      <c r="AB16" s="151"/>
      <c r="AC16" s="151"/>
      <c r="AJ16" s="151"/>
      <c r="AK16" s="151"/>
      <c r="AL16" s="151"/>
      <c r="AM16" s="151"/>
      <c r="AN16" s="151"/>
    </row>
    <row r="17" spans="2:40" s="152" customFormat="1" ht="28.5" customHeight="1">
      <c r="B17" s="329">
        <v>2</v>
      </c>
      <c r="C17" s="329" t="s">
        <v>207</v>
      </c>
      <c r="D17" s="330" t="s">
        <v>202</v>
      </c>
      <c r="E17" s="94" t="s">
        <v>204</v>
      </c>
      <c r="F17" s="299" t="s">
        <v>172</v>
      </c>
      <c r="G17" s="269" t="s">
        <v>163</v>
      </c>
      <c r="H17" s="328"/>
      <c r="I17" s="251">
        <v>18</v>
      </c>
      <c r="J17" s="331" t="s">
        <v>146</v>
      </c>
      <c r="K17" s="328"/>
      <c r="L17" s="345"/>
      <c r="M17" s="345"/>
      <c r="N17" s="345"/>
      <c r="O17" s="345"/>
      <c r="P17" s="254">
        <v>324</v>
      </c>
      <c r="Q17" s="254"/>
      <c r="R17" s="328"/>
      <c r="S17" s="328"/>
      <c r="T17" s="330"/>
      <c r="U17" s="328"/>
      <c r="W17" s="207">
        <v>18</v>
      </c>
      <c r="X17" s="151"/>
      <c r="Y17" s="151"/>
      <c r="Z17" s="151"/>
      <c r="AA17" s="151"/>
      <c r="AB17" s="151"/>
      <c r="AC17" s="151"/>
      <c r="AJ17" s="151"/>
      <c r="AK17" s="151"/>
      <c r="AL17" s="151"/>
      <c r="AM17" s="151"/>
      <c r="AN17" s="151"/>
    </row>
    <row r="18" spans="2:40" s="152" customFormat="1" ht="28.5" customHeight="1">
      <c r="B18" s="373" t="s">
        <v>92</v>
      </c>
      <c r="C18" s="374"/>
      <c r="D18" s="374"/>
      <c r="E18" s="374"/>
      <c r="F18" s="374"/>
      <c r="G18" s="374"/>
      <c r="H18" s="375"/>
      <c r="I18" s="255">
        <f>SUM(I17:I17)</f>
        <v>18</v>
      </c>
      <c r="J18" s="256"/>
      <c r="K18" s="257" t="s">
        <v>203</v>
      </c>
      <c r="L18" s="344">
        <v>120</v>
      </c>
      <c r="M18" s="344">
        <v>120</v>
      </c>
      <c r="N18" s="344">
        <v>110</v>
      </c>
      <c r="O18" s="344">
        <f>(L18*M18*N18)/10^6</f>
        <v>1.5840000000000001</v>
      </c>
      <c r="P18" s="258">
        <v>324</v>
      </c>
      <c r="Q18" s="258">
        <f>P18+150</f>
        <v>474</v>
      </c>
      <c r="R18" s="257" t="s">
        <v>149</v>
      </c>
      <c r="S18" s="257" t="s">
        <v>148</v>
      </c>
      <c r="T18" s="259"/>
      <c r="U18" s="257" t="s">
        <v>170</v>
      </c>
      <c r="W18" s="207"/>
      <c r="X18" s="151"/>
      <c r="Y18" s="151"/>
      <c r="Z18" s="151"/>
      <c r="AA18" s="151"/>
      <c r="AB18" s="151"/>
      <c r="AC18" s="151"/>
      <c r="AJ18" s="151"/>
      <c r="AK18" s="151"/>
      <c r="AL18" s="151"/>
      <c r="AM18" s="151"/>
      <c r="AN18" s="151"/>
    </row>
    <row r="19" spans="2:40" s="73" customFormat="1" ht="32.25" customHeight="1">
      <c r="B19" s="370" t="s">
        <v>93</v>
      </c>
      <c r="C19" s="370"/>
      <c r="D19" s="370"/>
      <c r="E19" s="370"/>
      <c r="F19" s="370"/>
      <c r="G19" s="370"/>
      <c r="H19" s="370"/>
      <c r="I19" s="370"/>
      <c r="J19" s="370"/>
      <c r="K19" s="79"/>
      <c r="L19" s="79"/>
      <c r="M19" s="79"/>
      <c r="N19" s="79"/>
      <c r="O19" s="206">
        <f>SUM(O15:O18)</f>
        <v>3.1680000000000001</v>
      </c>
      <c r="P19" s="206">
        <f>SUM(P16,P18)</f>
        <v>900</v>
      </c>
      <c r="Q19" s="206">
        <f>SUM(Q15:Q18)</f>
        <v>1200</v>
      </c>
      <c r="R19" s="79"/>
      <c r="S19" s="79"/>
      <c r="T19" s="79"/>
      <c r="U19" s="79"/>
      <c r="V19" s="145"/>
      <c r="W19" s="78"/>
      <c r="X19" s="78"/>
      <c r="Y19" s="78"/>
      <c r="Z19" s="78"/>
      <c r="AA19" s="78"/>
      <c r="AB19" s="78"/>
      <c r="AC19" s="78"/>
      <c r="AJ19" s="78"/>
      <c r="AK19" s="78"/>
      <c r="AL19" s="78"/>
      <c r="AM19" s="78"/>
      <c r="AN19" s="78"/>
    </row>
    <row r="20" spans="2:40" ht="18" customHeight="1">
      <c r="I20" s="209"/>
    </row>
  </sheetData>
  <mergeCells count="21">
    <mergeCell ref="B1:U1"/>
    <mergeCell ref="C3:K3"/>
    <mergeCell ref="B4:U4"/>
    <mergeCell ref="B13:B14"/>
    <mergeCell ref="C13:C14"/>
    <mergeCell ref="D13:E14"/>
    <mergeCell ref="H13:H14"/>
    <mergeCell ref="I13:J13"/>
    <mergeCell ref="K13:K14"/>
    <mergeCell ref="L13:O13"/>
    <mergeCell ref="U13:U14"/>
    <mergeCell ref="S13:S14"/>
    <mergeCell ref="T13:T14"/>
    <mergeCell ref="G13:G14"/>
    <mergeCell ref="B19:J19"/>
    <mergeCell ref="P13:P14"/>
    <mergeCell ref="Q13:Q14"/>
    <mergeCell ref="R13:R14"/>
    <mergeCell ref="F13:F14"/>
    <mergeCell ref="B16:H16"/>
    <mergeCell ref="B18:H18"/>
  </mergeCells>
  <phoneticPr fontId="34" type="noConversion"/>
  <printOptions horizontalCentered="1"/>
  <pageMargins left="0.23622047244094491" right="0.23622047244094491" top="0.47244094488188981" bottom="0.51181102362204722" header="0.31496062992125984" footer="0.31496062992125984"/>
  <pageSetup paperSize="9" scale="56" fitToHeight="0" orientation="landscape" r:id="rId1"/>
  <headerFooter alignWithMargins="0">
    <oddFooter>&amp;C&amp;P/&amp;N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Q47"/>
  <sheetViews>
    <sheetView showGridLines="0" view="pageBreakPreview" zoomScaleNormal="100" zoomScaleSheetLayoutView="100" workbookViewId="0">
      <selection activeCell="D20" sqref="D20"/>
    </sheetView>
  </sheetViews>
  <sheetFormatPr defaultColWidth="9.5859375" defaultRowHeight="17.25" customHeight="1"/>
  <cols>
    <col min="1" max="1" width="1.63671875" style="7" customWidth="1"/>
    <col min="2" max="2" width="27.24609375" style="7" customWidth="1"/>
    <col min="3" max="3" width="1.75390625" style="7" customWidth="1"/>
    <col min="4" max="4" width="6.3125" style="7" customWidth="1"/>
    <col min="5" max="5" width="4.32421875" style="7" customWidth="1"/>
    <col min="6" max="6" width="13.5625" style="7" customWidth="1"/>
    <col min="7" max="7" width="17.65625" style="6" customWidth="1"/>
    <col min="8" max="8" width="9.5859375" style="6" customWidth="1"/>
    <col min="9" max="10" width="9.00390625" style="6" customWidth="1"/>
    <col min="11" max="11" width="10.875" style="72" customWidth="1"/>
    <col min="12" max="12" width="7.71484375" style="6" customWidth="1"/>
    <col min="13" max="16384" width="9.5859375" style="7"/>
  </cols>
  <sheetData>
    <row r="1" spans="1:14" ht="22.15" customHeight="1">
      <c r="A1" s="1"/>
      <c r="B1" s="2"/>
      <c r="C1" s="2"/>
      <c r="D1" s="2"/>
      <c r="E1" s="2"/>
      <c r="F1" s="2"/>
      <c r="G1" s="3"/>
      <c r="H1" s="3"/>
      <c r="I1" s="3"/>
      <c r="J1" s="4"/>
      <c r="K1" s="5"/>
    </row>
    <row r="2" spans="1:14" ht="22.15" customHeight="1">
      <c r="A2" s="8"/>
      <c r="B2" s="180"/>
      <c r="C2" s="180"/>
      <c r="D2" s="180"/>
      <c r="E2" s="180"/>
      <c r="F2" s="180"/>
      <c r="G2" s="181"/>
      <c r="H2" s="181"/>
      <c r="I2" s="181"/>
      <c r="J2" s="182"/>
      <c r="K2" s="9"/>
    </row>
    <row r="3" spans="1:14" ht="37.5" customHeight="1">
      <c r="A3" s="10"/>
      <c r="B3" s="390" t="s">
        <v>114</v>
      </c>
      <c r="C3" s="391"/>
      <c r="D3" s="391"/>
      <c r="E3" s="391"/>
      <c r="F3" s="183"/>
      <c r="G3" s="184"/>
      <c r="H3" s="390"/>
      <c r="I3" s="391"/>
      <c r="J3" s="391"/>
      <c r="K3" s="392"/>
    </row>
    <row r="4" spans="1:14" s="13" customFormat="1" ht="24.75" customHeight="1">
      <c r="A4" s="393" t="s">
        <v>1</v>
      </c>
      <c r="B4" s="394"/>
      <c r="C4" s="394"/>
      <c r="D4" s="394"/>
      <c r="E4" s="394"/>
      <c r="F4" s="394"/>
      <c r="G4" s="394"/>
      <c r="H4" s="394"/>
      <c r="I4" s="394"/>
      <c r="J4" s="394"/>
      <c r="K4" s="395"/>
      <c r="L4" s="11"/>
      <c r="M4" s="12"/>
      <c r="N4" s="12"/>
    </row>
    <row r="5" spans="1:14" s="13" customFormat="1" ht="16.149999999999999" customHeight="1">
      <c r="A5" s="14" t="s">
        <v>2</v>
      </c>
      <c r="B5" s="15"/>
      <c r="C5" s="15"/>
      <c r="D5" s="15"/>
      <c r="E5" s="16"/>
      <c r="F5" s="17"/>
      <c r="G5" s="18" t="s">
        <v>3</v>
      </c>
      <c r="H5" s="19" t="s">
        <v>199</v>
      </c>
      <c r="I5" s="19"/>
      <c r="J5" s="19"/>
      <c r="K5" s="20"/>
      <c r="L5" s="21"/>
      <c r="M5" s="22"/>
      <c r="N5" s="12"/>
    </row>
    <row r="6" spans="1:14" s="13" customFormat="1" ht="12.75">
      <c r="A6" s="23"/>
      <c r="B6" s="399" t="s">
        <v>130</v>
      </c>
      <c r="C6" s="400"/>
      <c r="D6" s="400"/>
      <c r="E6" s="400"/>
      <c r="F6" s="401"/>
      <c r="G6" s="24" t="s">
        <v>4</v>
      </c>
      <c r="H6" s="348">
        <v>46177</v>
      </c>
      <c r="I6" s="25"/>
      <c r="J6" s="26"/>
      <c r="K6" s="27"/>
      <c r="L6" s="21"/>
      <c r="M6" s="12"/>
      <c r="N6" s="12"/>
    </row>
    <row r="7" spans="1:14" ht="15.4" customHeight="1">
      <c r="A7" s="8"/>
      <c r="B7" s="400"/>
      <c r="C7" s="400"/>
      <c r="D7" s="400"/>
      <c r="E7" s="400"/>
      <c r="F7" s="401"/>
      <c r="G7" s="29" t="s">
        <v>5</v>
      </c>
      <c r="H7" s="30" t="s">
        <v>115</v>
      </c>
      <c r="I7" s="30"/>
      <c r="J7" s="30"/>
      <c r="K7" s="31"/>
    </row>
    <row r="8" spans="1:14" ht="16.5" customHeight="1">
      <c r="A8" s="8"/>
      <c r="B8" s="402"/>
      <c r="C8" s="402"/>
      <c r="D8" s="402"/>
      <c r="E8" s="402"/>
      <c r="F8" s="403"/>
      <c r="G8" s="24" t="s">
        <v>4</v>
      </c>
      <c r="H8" s="190">
        <v>45814</v>
      </c>
      <c r="I8" s="32"/>
      <c r="J8" s="32"/>
      <c r="K8" s="27"/>
    </row>
    <row r="9" spans="1:14" ht="21" thickBot="1">
      <c r="A9" s="33" t="s">
        <v>7</v>
      </c>
      <c r="B9" s="30"/>
      <c r="C9" s="30"/>
      <c r="D9" s="30"/>
      <c r="E9" s="30"/>
      <c r="F9" s="34"/>
      <c r="G9" s="396" t="s">
        <v>8</v>
      </c>
      <c r="H9" s="397"/>
      <c r="I9" s="397"/>
      <c r="J9" s="397"/>
      <c r="K9" s="398"/>
    </row>
    <row r="10" spans="1:14" ht="14.1" customHeight="1">
      <c r="A10" s="8"/>
      <c r="B10" s="420" t="s">
        <v>129</v>
      </c>
      <c r="C10" s="420"/>
      <c r="D10" s="420"/>
      <c r="E10" s="420"/>
      <c r="F10" s="421"/>
      <c r="G10" s="404" t="s">
        <v>126</v>
      </c>
      <c r="H10" s="405"/>
      <c r="I10" s="405"/>
      <c r="J10" s="405"/>
      <c r="K10" s="406"/>
    </row>
    <row r="11" spans="1:14" ht="14.1" customHeight="1">
      <c r="A11" s="8"/>
      <c r="B11" s="420"/>
      <c r="C11" s="420"/>
      <c r="D11" s="420"/>
      <c r="E11" s="420"/>
      <c r="F11" s="421"/>
      <c r="G11" s="407"/>
      <c r="H11" s="408"/>
      <c r="I11" s="408"/>
      <c r="J11" s="408"/>
      <c r="K11" s="409"/>
    </row>
    <row r="12" spans="1:14" ht="28.15" customHeight="1" thickBot="1">
      <c r="A12" s="35"/>
      <c r="B12" s="422"/>
      <c r="C12" s="422"/>
      <c r="D12" s="422"/>
      <c r="E12" s="422"/>
      <c r="F12" s="423"/>
      <c r="G12" s="410"/>
      <c r="H12" s="411"/>
      <c r="I12" s="411"/>
      <c r="J12" s="411"/>
      <c r="K12" s="412"/>
    </row>
    <row r="13" spans="1:14" ht="14.1" customHeight="1">
      <c r="A13" s="36" t="s">
        <v>10</v>
      </c>
      <c r="B13" s="185"/>
      <c r="C13" s="180"/>
      <c r="D13" s="180"/>
      <c r="E13" s="180"/>
      <c r="F13" s="180"/>
      <c r="G13" s="37"/>
      <c r="H13" s="180"/>
      <c r="I13" s="180"/>
      <c r="J13" s="182"/>
      <c r="K13" s="9"/>
    </row>
    <row r="14" spans="1:14" ht="14.1" customHeight="1">
      <c r="A14" s="8"/>
      <c r="B14" s="424" t="s">
        <v>131</v>
      </c>
      <c r="C14" s="425"/>
      <c r="D14" s="425"/>
      <c r="E14" s="425"/>
      <c r="F14" s="426"/>
      <c r="G14" s="38"/>
      <c r="H14" s="413"/>
      <c r="I14" s="413"/>
      <c r="J14" s="413"/>
      <c r="K14" s="414"/>
    </row>
    <row r="15" spans="1:14" s="278" customFormat="1" ht="14.1" customHeight="1">
      <c r="A15" s="276"/>
      <c r="B15" s="425"/>
      <c r="C15" s="425"/>
      <c r="D15" s="425"/>
      <c r="E15" s="425"/>
      <c r="F15" s="426"/>
      <c r="G15" s="274" t="s">
        <v>11</v>
      </c>
      <c r="H15" s="415" t="str">
        <f>H5</f>
        <v>OM4-DE-IS-0010</v>
      </c>
      <c r="I15" s="416"/>
      <c r="J15" s="416"/>
      <c r="K15" s="417"/>
      <c r="L15" s="277"/>
    </row>
    <row r="16" spans="1:14" ht="9" customHeight="1">
      <c r="A16" s="8"/>
      <c r="B16" s="425"/>
      <c r="C16" s="425"/>
      <c r="D16" s="425"/>
      <c r="E16" s="425"/>
      <c r="F16" s="426"/>
      <c r="G16" s="38"/>
      <c r="H16" s="416"/>
      <c r="I16" s="416"/>
      <c r="J16" s="416"/>
      <c r="K16" s="417"/>
    </row>
    <row r="17" spans="1:15" ht="100.15" customHeight="1">
      <c r="A17" s="8"/>
      <c r="B17" s="427"/>
      <c r="C17" s="427"/>
      <c r="D17" s="427"/>
      <c r="E17" s="427"/>
      <c r="F17" s="428"/>
      <c r="G17" s="274" t="s">
        <v>12</v>
      </c>
      <c r="H17" s="418" t="s">
        <v>196</v>
      </c>
      <c r="I17" s="418"/>
      <c r="J17" s="418"/>
      <c r="K17" s="419"/>
    </row>
    <row r="18" spans="1:15" ht="18.600000000000001" customHeight="1">
      <c r="A18" s="33" t="s">
        <v>13</v>
      </c>
      <c r="B18" s="40"/>
      <c r="C18" s="29" t="s">
        <v>14</v>
      </c>
      <c r="D18" s="30"/>
      <c r="E18" s="30"/>
      <c r="F18" s="34"/>
      <c r="G18" s="37"/>
      <c r="H18" s="430"/>
      <c r="I18" s="430"/>
      <c r="J18" s="430"/>
      <c r="K18" s="431"/>
    </row>
    <row r="19" spans="1:15" s="6" customFormat="1" ht="11.65" customHeight="1">
      <c r="A19" s="35"/>
      <c r="B19" s="260" t="s">
        <v>210</v>
      </c>
      <c r="C19" s="261"/>
      <c r="D19" s="432">
        <v>46208</v>
      </c>
      <c r="E19" s="432"/>
      <c r="F19" s="433"/>
      <c r="G19" s="37" t="s">
        <v>110</v>
      </c>
      <c r="H19" s="430" t="s">
        <v>111</v>
      </c>
      <c r="I19" s="430"/>
      <c r="J19" s="430"/>
      <c r="K19" s="431"/>
      <c r="M19" s="7"/>
      <c r="N19" s="7"/>
      <c r="O19" s="7"/>
    </row>
    <row r="20" spans="1:15" s="6" customFormat="1" ht="18.600000000000001" customHeight="1">
      <c r="A20" s="33" t="s">
        <v>15</v>
      </c>
      <c r="B20" s="30"/>
      <c r="C20" s="29" t="s">
        <v>16</v>
      </c>
      <c r="D20" s="30"/>
      <c r="E20" s="30"/>
      <c r="F20" s="34"/>
      <c r="G20" s="280" t="s">
        <v>190</v>
      </c>
      <c r="H20" s="418" t="s">
        <v>189</v>
      </c>
      <c r="I20" s="418"/>
      <c r="J20" s="418"/>
      <c r="K20" s="419"/>
      <c r="M20" s="7"/>
      <c r="N20" s="7"/>
      <c r="O20" s="7"/>
    </row>
    <row r="21" spans="1:15" s="6" customFormat="1" ht="13.15" customHeight="1">
      <c r="A21" s="276"/>
      <c r="B21" s="282" t="s">
        <v>191</v>
      </c>
      <c r="C21" s="279"/>
      <c r="D21" s="271" t="s">
        <v>195</v>
      </c>
      <c r="E21" s="272"/>
      <c r="F21" s="273"/>
      <c r="G21" s="280"/>
      <c r="H21" s="182"/>
      <c r="I21" s="181"/>
      <c r="J21" s="181"/>
      <c r="K21" s="9"/>
      <c r="M21" s="7"/>
      <c r="N21" s="7"/>
      <c r="O21" s="7"/>
    </row>
    <row r="22" spans="1:15" s="6" customFormat="1" ht="18.600000000000001" customHeight="1">
      <c r="A22" s="33" t="s">
        <v>17</v>
      </c>
      <c r="B22" s="40"/>
      <c r="C22" s="29" t="s">
        <v>18</v>
      </c>
      <c r="D22" s="30"/>
      <c r="E22" s="30"/>
      <c r="F22" s="34"/>
      <c r="G22" s="37"/>
      <c r="H22" s="182"/>
      <c r="I22" s="181"/>
      <c r="J22" s="181"/>
      <c r="K22" s="9"/>
      <c r="M22" s="7"/>
      <c r="N22" s="7"/>
      <c r="O22" s="7"/>
    </row>
    <row r="23" spans="1:15" s="6" customFormat="1" ht="13.9" customHeight="1">
      <c r="A23" s="35"/>
      <c r="B23" s="260"/>
      <c r="C23" s="261"/>
      <c r="D23" s="436"/>
      <c r="E23" s="436"/>
      <c r="F23" s="437"/>
      <c r="G23" s="37"/>
      <c r="H23" s="181"/>
      <c r="I23" s="181"/>
      <c r="J23" s="181"/>
      <c r="K23" s="9"/>
      <c r="M23" s="7"/>
      <c r="N23" s="7"/>
      <c r="O23" s="7"/>
    </row>
    <row r="24" spans="1:15" s="6" customFormat="1" ht="19.149999999999999" customHeight="1">
      <c r="A24" s="33" t="s">
        <v>19</v>
      </c>
      <c r="B24" s="30"/>
      <c r="C24" s="30"/>
      <c r="D24" s="30"/>
      <c r="E24" s="30"/>
      <c r="F24" s="30"/>
      <c r="G24" s="43"/>
      <c r="H24" s="44"/>
      <c r="I24" s="45"/>
      <c r="J24" s="44"/>
      <c r="K24" s="46"/>
      <c r="M24" s="7"/>
      <c r="N24" s="7"/>
      <c r="O24" s="7"/>
    </row>
    <row r="25" spans="1:15" s="6" customFormat="1" ht="12.75">
      <c r="A25" s="8"/>
      <c r="B25" s="185" t="s">
        <v>9</v>
      </c>
      <c r="C25" s="180"/>
      <c r="D25" s="180"/>
      <c r="E25" s="180"/>
      <c r="F25" s="180"/>
      <c r="G25" s="37"/>
      <c r="H25" s="181"/>
      <c r="I25" s="181"/>
      <c r="J25" s="181"/>
      <c r="K25" s="9"/>
      <c r="M25" s="7"/>
      <c r="N25" s="7"/>
      <c r="O25" s="7"/>
    </row>
    <row r="26" spans="1:15" s="6" customFormat="1" ht="12.75">
      <c r="A26" s="35"/>
      <c r="B26" s="438" t="s">
        <v>132</v>
      </c>
      <c r="C26" s="438"/>
      <c r="D26" s="438"/>
      <c r="E26" s="438"/>
      <c r="F26" s="439"/>
      <c r="G26" s="47"/>
      <c r="H26" s="48"/>
      <c r="I26" s="48"/>
      <c r="J26" s="48"/>
      <c r="K26" s="49"/>
      <c r="M26" s="7"/>
      <c r="N26" s="7"/>
      <c r="O26" s="7"/>
    </row>
    <row r="27" spans="1:15" ht="45" customHeight="1">
      <c r="A27" s="440" t="s">
        <v>20</v>
      </c>
      <c r="B27" s="435"/>
      <c r="C27" s="435"/>
      <c r="D27" s="435"/>
      <c r="E27" s="435"/>
      <c r="F27" s="435"/>
      <c r="G27" s="441"/>
      <c r="H27" s="50" t="s">
        <v>21</v>
      </c>
      <c r="I27" s="50" t="s">
        <v>22</v>
      </c>
      <c r="J27" s="51" t="s">
        <v>23</v>
      </c>
      <c r="K27" s="52" t="s">
        <v>24</v>
      </c>
    </row>
    <row r="28" spans="1:15" ht="36" customHeight="1">
      <c r="A28" s="36"/>
      <c r="B28" s="442" t="s">
        <v>133</v>
      </c>
      <c r="C28" s="442"/>
      <c r="D28" s="442"/>
      <c r="E28" s="442"/>
      <c r="F28" s="442"/>
      <c r="G28" s="443"/>
      <c r="H28" s="53"/>
      <c r="I28" s="53"/>
      <c r="J28" s="53"/>
      <c r="K28" s="54"/>
    </row>
    <row r="29" spans="1:15" ht="12.6" customHeight="1">
      <c r="A29" s="36"/>
      <c r="B29" s="185"/>
      <c r="C29" s="180"/>
      <c r="D29" s="180"/>
      <c r="E29" s="180"/>
      <c r="F29" s="180"/>
      <c r="G29" s="55"/>
      <c r="H29" s="53"/>
      <c r="I29" s="53"/>
      <c r="J29" s="53"/>
      <c r="K29" s="56"/>
    </row>
    <row r="30" spans="1:15" ht="15" customHeight="1">
      <c r="A30" s="263"/>
      <c r="B30" s="444" t="s">
        <v>213</v>
      </c>
      <c r="C30" s="444"/>
      <c r="D30" s="444"/>
      <c r="E30" s="444"/>
      <c r="F30" s="444"/>
      <c r="G30" s="445"/>
      <c r="H30" s="284" t="s">
        <v>146</v>
      </c>
      <c r="I30" s="347">
        <f>'Packing List (1_2)'!H31</f>
        <v>32</v>
      </c>
      <c r="J30" s="284">
        <f>ROUND(K30/I30,2)</f>
        <v>90.67</v>
      </c>
      <c r="K30" s="295">
        <f>'Break Down CI'!N9</f>
        <v>2901.44</v>
      </c>
      <c r="M30" s="311" t="s">
        <v>192</v>
      </c>
    </row>
    <row r="31" spans="1:15" ht="15" customHeight="1">
      <c r="A31" s="263"/>
      <c r="B31" s="444"/>
      <c r="C31" s="444"/>
      <c r="D31" s="444"/>
      <c r="E31" s="444"/>
      <c r="F31" s="444"/>
      <c r="G31" s="445"/>
      <c r="H31" s="284" t="s">
        <v>146</v>
      </c>
      <c r="I31" s="347">
        <f>'Packing List (1_2)'!H32</f>
        <v>18</v>
      </c>
      <c r="J31" s="284">
        <f>ROUND(K31/I31,2)</f>
        <v>90.68</v>
      </c>
      <c r="K31" s="295">
        <f>'Break Down CI'!N10</f>
        <v>1632.23</v>
      </c>
    </row>
    <row r="32" spans="1:15" ht="15" customHeight="1">
      <c r="A32" s="263"/>
      <c r="B32" s="264"/>
      <c r="C32" s="264"/>
      <c r="D32" s="180"/>
      <c r="E32" s="264"/>
      <c r="F32" s="264"/>
      <c r="G32" s="265"/>
      <c r="H32" s="284"/>
      <c r="I32" s="284"/>
      <c r="J32" s="284"/>
      <c r="K32" s="295"/>
    </row>
    <row r="33" spans="1:17" s="278" customFormat="1" ht="46.9" customHeight="1">
      <c r="A33" s="281"/>
      <c r="B33" s="282" t="s">
        <v>25</v>
      </c>
      <c r="C33" s="282"/>
      <c r="D33" s="282">
        <v>2</v>
      </c>
      <c r="E33" s="282" t="s">
        <v>26</v>
      </c>
      <c r="F33" s="282"/>
      <c r="G33" s="283"/>
      <c r="H33" s="284"/>
      <c r="I33" s="284"/>
      <c r="J33" s="284"/>
      <c r="K33" s="285"/>
      <c r="L33" s="277"/>
      <c r="M33" s="7" t="s">
        <v>193</v>
      </c>
      <c r="N33" s="354">
        <v>853</v>
      </c>
      <c r="P33" s="7"/>
      <c r="Q33" s="7"/>
    </row>
    <row r="34" spans="1:17" ht="18" customHeight="1">
      <c r="A34" s="36"/>
      <c r="B34" s="180"/>
      <c r="C34" s="180"/>
      <c r="D34" s="180"/>
      <c r="E34" s="180"/>
      <c r="F34" s="180"/>
      <c r="G34" s="55"/>
      <c r="H34" s="53"/>
      <c r="I34" s="53"/>
      <c r="J34" s="53"/>
      <c r="K34" s="56"/>
      <c r="M34" s="7" t="s">
        <v>194</v>
      </c>
      <c r="N34" s="326">
        <f>K30*110%*0.1045%</f>
        <v>3.3352052800000003</v>
      </c>
    </row>
    <row r="35" spans="1:17" ht="18" customHeight="1">
      <c r="A35" s="36"/>
      <c r="B35" s="180"/>
      <c r="C35" s="180"/>
      <c r="D35" s="180"/>
      <c r="E35" s="180"/>
      <c r="F35" s="180"/>
      <c r="G35" s="55"/>
      <c r="H35" s="53"/>
      <c r="I35" s="53"/>
      <c r="J35" s="53"/>
      <c r="K35" s="56"/>
    </row>
    <row r="36" spans="1:17" ht="18" customHeight="1">
      <c r="A36" s="36"/>
      <c r="B36" s="180"/>
      <c r="C36" s="180"/>
      <c r="D36" s="180"/>
      <c r="E36" s="180"/>
      <c r="F36" s="180"/>
      <c r="G36" s="55"/>
      <c r="H36" s="53"/>
      <c r="I36" s="53"/>
      <c r="J36" s="53"/>
      <c r="K36" s="56"/>
    </row>
    <row r="37" spans="1:17" ht="18" customHeight="1">
      <c r="A37" s="57"/>
      <c r="B37" s="58"/>
      <c r="C37" s="58"/>
      <c r="D37" s="58"/>
      <c r="E37" s="58"/>
      <c r="F37" s="58"/>
      <c r="G37" s="59"/>
      <c r="H37" s="60"/>
      <c r="I37" s="60"/>
      <c r="J37" s="60"/>
      <c r="K37" s="61"/>
      <c r="M37" s="355"/>
    </row>
    <row r="38" spans="1:17" ht="14.1" customHeight="1">
      <c r="A38" s="33"/>
      <c r="B38" s="434" t="s">
        <v>27</v>
      </c>
      <c r="C38" s="434"/>
      <c r="D38" s="434"/>
      <c r="E38" s="434"/>
      <c r="F38" s="434"/>
      <c r="G38" s="434"/>
      <c r="H38" s="62"/>
      <c r="I38" s="45"/>
      <c r="J38" s="45"/>
      <c r="K38" s="63">
        <f>SUM(K30:K33)</f>
        <v>4533.67</v>
      </c>
    </row>
    <row r="39" spans="1:17" ht="14.1" customHeight="1">
      <c r="A39" s="57"/>
      <c r="B39" s="435"/>
      <c r="C39" s="435"/>
      <c r="D39" s="435"/>
      <c r="E39" s="435"/>
      <c r="F39" s="435"/>
      <c r="G39" s="435"/>
      <c r="H39" s="64"/>
      <c r="I39" s="64"/>
      <c r="J39" s="64"/>
      <c r="K39" s="65"/>
    </row>
    <row r="40" spans="1:17" ht="14.1" customHeight="1">
      <c r="A40" s="36"/>
      <c r="B40" s="180"/>
      <c r="C40" s="180"/>
      <c r="D40" s="180"/>
      <c r="E40" s="180"/>
      <c r="F40" s="180"/>
      <c r="G40" s="181"/>
      <c r="H40" s="181"/>
      <c r="I40" s="181"/>
      <c r="J40" s="181"/>
      <c r="K40" s="9"/>
    </row>
    <row r="41" spans="1:17" ht="14.1" customHeight="1">
      <c r="A41" s="36"/>
      <c r="B41" s="180"/>
      <c r="C41" s="180"/>
      <c r="D41" s="180"/>
      <c r="E41" s="180"/>
      <c r="F41" s="180"/>
      <c r="G41" s="181"/>
      <c r="H41" s="181"/>
      <c r="I41" s="181"/>
      <c r="J41" s="181"/>
      <c r="K41" s="9"/>
    </row>
    <row r="42" spans="1:17" ht="14.1" customHeight="1">
      <c r="A42" s="8"/>
      <c r="B42" s="180"/>
      <c r="C42" s="180"/>
      <c r="D42" s="180"/>
      <c r="E42" s="180"/>
      <c r="F42" s="180"/>
      <c r="G42" s="181"/>
      <c r="H42" s="181"/>
      <c r="I42" s="181"/>
      <c r="J42" s="181"/>
      <c r="K42" s="9"/>
    </row>
    <row r="43" spans="1:17" ht="14.1" customHeight="1">
      <c r="A43" s="8"/>
      <c r="B43" s="180"/>
      <c r="C43" s="180"/>
      <c r="D43" s="180"/>
      <c r="E43" s="180"/>
      <c r="F43" s="180"/>
      <c r="G43" s="181"/>
      <c r="H43" s="181"/>
      <c r="I43" s="181"/>
      <c r="J43" s="181"/>
      <c r="K43" s="9"/>
    </row>
    <row r="44" spans="1:17" ht="14.1" customHeight="1">
      <c r="A44" s="8"/>
      <c r="B44" s="180"/>
      <c r="C44" s="180"/>
      <c r="D44" s="180"/>
      <c r="E44" s="180"/>
      <c r="F44" s="180"/>
      <c r="G44" s="181"/>
      <c r="H44" s="181"/>
      <c r="I44" s="181"/>
      <c r="J44" s="181"/>
      <c r="K44" s="9"/>
    </row>
    <row r="45" spans="1:17" ht="14.1" customHeight="1">
      <c r="A45" s="8"/>
      <c r="B45" s="180"/>
      <c r="C45" s="180"/>
      <c r="D45" s="180"/>
      <c r="E45" s="180"/>
      <c r="F45" s="180"/>
      <c r="G45" s="188" t="s">
        <v>28</v>
      </c>
      <c r="H45" s="48"/>
      <c r="I45" s="48"/>
      <c r="J45" s="48"/>
      <c r="K45" s="9"/>
    </row>
    <row r="46" spans="1:17" ht="14.1" customHeight="1">
      <c r="A46" s="8"/>
      <c r="B46" s="180"/>
      <c r="C46" s="180"/>
      <c r="D46" s="180"/>
      <c r="E46" s="180"/>
      <c r="F46" s="180"/>
      <c r="G46" s="181"/>
      <c r="H46" s="429" t="s">
        <v>187</v>
      </c>
      <c r="I46" s="429"/>
      <c r="J46" s="429"/>
      <c r="K46" s="9"/>
    </row>
    <row r="47" spans="1:17" ht="14.1" customHeight="1" thickBot="1">
      <c r="A47" s="115"/>
      <c r="B47" s="68"/>
      <c r="C47" s="68"/>
      <c r="D47" s="68"/>
      <c r="E47" s="68"/>
      <c r="F47" s="68"/>
      <c r="G47" s="69"/>
      <c r="H47" s="70"/>
      <c r="I47" s="70"/>
      <c r="J47" s="70"/>
      <c r="K47" s="189"/>
    </row>
  </sheetData>
  <sheetProtection selectLockedCells="1" selectUnlockedCells="1"/>
  <mergeCells count="22">
    <mergeCell ref="H46:J46"/>
    <mergeCell ref="H18:K18"/>
    <mergeCell ref="D19:F19"/>
    <mergeCell ref="H19:K19"/>
    <mergeCell ref="B38:G39"/>
    <mergeCell ref="H20:K20"/>
    <mergeCell ref="D23:F23"/>
    <mergeCell ref="B26:F26"/>
    <mergeCell ref="A27:G27"/>
    <mergeCell ref="B28:G28"/>
    <mergeCell ref="B30:G31"/>
    <mergeCell ref="G10:K12"/>
    <mergeCell ref="H14:K14"/>
    <mergeCell ref="H15:K16"/>
    <mergeCell ref="H17:K17"/>
    <mergeCell ref="B10:F12"/>
    <mergeCell ref="B14:F17"/>
    <mergeCell ref="B3:E3"/>
    <mergeCell ref="H3:K3"/>
    <mergeCell ref="A4:K4"/>
    <mergeCell ref="G9:K9"/>
    <mergeCell ref="B6:F8"/>
  </mergeCells>
  <phoneticPr fontId="34" type="noConversion"/>
  <printOptions horizontalCentered="1" verticalCentered="1"/>
  <pageMargins left="0.49" right="0.53" top="0.41" bottom="0.57999999999999996" header="0.31496062992125984" footer="0.31496062992125984"/>
  <pageSetup paperSize="9" scale="72" fitToHeight="0"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V48"/>
  <sheetViews>
    <sheetView showGridLines="0" view="pageBreakPreview" zoomScale="80" zoomScaleNormal="100" zoomScaleSheetLayoutView="80" workbookViewId="0">
      <selection activeCell="A4" sqref="A4:K4"/>
    </sheetView>
  </sheetViews>
  <sheetFormatPr defaultColWidth="9.5859375" defaultRowHeight="17.25" customHeight="1"/>
  <cols>
    <col min="1" max="1" width="1.63671875" style="7" customWidth="1"/>
    <col min="2" max="2" width="27.12890625" style="7" customWidth="1"/>
    <col min="3" max="3" width="3.625" style="7" customWidth="1"/>
    <col min="4" max="4" width="6.6640625" style="7" customWidth="1"/>
    <col min="5" max="5" width="7.6015625" style="7" customWidth="1"/>
    <col min="6" max="6" width="9.8203125" style="7" customWidth="1"/>
    <col min="7" max="7" width="17.3046875" style="6" customWidth="1"/>
    <col min="8" max="8" width="11.57421875" style="6" customWidth="1"/>
    <col min="9" max="10" width="9.5859375" style="6" customWidth="1"/>
    <col min="11" max="11" width="14.3828125" style="72" bestFit="1" customWidth="1"/>
    <col min="12" max="12" width="7.71484375" style="6" customWidth="1"/>
    <col min="13" max="13" width="7.71484375" style="95" customWidth="1"/>
    <col min="14" max="14" width="7.71484375" style="66" customWidth="1"/>
    <col min="15" max="15" width="9.5859375" style="96"/>
    <col min="16" max="17" width="9.5859375" style="66"/>
    <col min="18" max="16384" width="9.5859375" style="7"/>
  </cols>
  <sheetData>
    <row r="1" spans="1:21" ht="22.15" customHeight="1">
      <c r="A1" s="1"/>
      <c r="B1" s="2"/>
      <c r="C1" s="2"/>
      <c r="D1" s="2"/>
      <c r="E1" s="2"/>
      <c r="F1" s="2"/>
      <c r="G1" s="3"/>
      <c r="H1" s="3"/>
      <c r="I1" s="3"/>
      <c r="J1" s="4"/>
      <c r="K1" s="5"/>
    </row>
    <row r="2" spans="1:21" ht="22.15" customHeight="1">
      <c r="A2" s="8"/>
      <c r="B2" s="180"/>
      <c r="C2" s="180"/>
      <c r="D2" s="180"/>
      <c r="E2" s="180"/>
      <c r="F2" s="180"/>
      <c r="G2" s="181"/>
      <c r="H2" s="181"/>
      <c r="I2" s="181"/>
      <c r="J2" s="182"/>
      <c r="K2" s="9"/>
    </row>
    <row r="3" spans="1:21" ht="37.5" customHeight="1">
      <c r="A3" s="10"/>
      <c r="B3" s="390" t="s">
        <v>125</v>
      </c>
      <c r="C3" s="456"/>
      <c r="D3" s="456"/>
      <c r="E3" s="456"/>
      <c r="F3" s="456"/>
      <c r="G3" s="195"/>
      <c r="H3" s="457"/>
      <c r="I3" s="458"/>
      <c r="J3" s="458"/>
      <c r="K3" s="459"/>
    </row>
    <row r="4" spans="1:21" s="13" customFormat="1" ht="22.15" customHeight="1">
      <c r="A4" s="393" t="s">
        <v>33</v>
      </c>
      <c r="B4" s="394"/>
      <c r="C4" s="394"/>
      <c r="D4" s="394"/>
      <c r="E4" s="394"/>
      <c r="F4" s="394"/>
      <c r="G4" s="394"/>
      <c r="H4" s="394"/>
      <c r="I4" s="394"/>
      <c r="J4" s="394"/>
      <c r="K4" s="395"/>
      <c r="L4" s="11"/>
      <c r="M4" s="11"/>
      <c r="N4" s="97"/>
      <c r="O4" s="97"/>
      <c r="P4" s="98"/>
      <c r="R4" s="12"/>
      <c r="S4" s="12"/>
      <c r="T4" s="12"/>
      <c r="U4" s="12"/>
    </row>
    <row r="5" spans="1:21" s="13" customFormat="1" ht="12.75">
      <c r="A5" s="14" t="s">
        <v>2</v>
      </c>
      <c r="B5" s="15"/>
      <c r="C5" s="15"/>
      <c r="D5" s="15"/>
      <c r="E5" s="16"/>
      <c r="F5" s="17"/>
      <c r="G5" s="18" t="s">
        <v>34</v>
      </c>
      <c r="H5" s="19" t="s">
        <v>199</v>
      </c>
      <c r="I5" s="19"/>
      <c r="J5" s="19"/>
      <c r="K5" s="20"/>
      <c r="L5" s="21"/>
      <c r="M5" s="21"/>
      <c r="N5" s="21"/>
      <c r="O5" s="21"/>
      <c r="P5" s="21"/>
      <c r="Q5" s="21"/>
      <c r="R5" s="12"/>
      <c r="S5" s="12"/>
      <c r="T5" s="12"/>
      <c r="U5" s="12"/>
    </row>
    <row r="6" spans="1:21" s="13" customFormat="1" ht="12.75">
      <c r="A6" s="99"/>
      <c r="B6" s="481" t="s">
        <v>130</v>
      </c>
      <c r="C6" s="482"/>
      <c r="D6" s="482"/>
      <c r="E6" s="482"/>
      <c r="F6" s="483"/>
      <c r="G6" s="24" t="s">
        <v>4</v>
      </c>
      <c r="H6" s="348">
        <f>'Commercial Invoice'!H6</f>
        <v>46177</v>
      </c>
      <c r="I6" s="32"/>
      <c r="J6" s="41"/>
      <c r="K6" s="27"/>
      <c r="L6" s="21"/>
      <c r="M6" s="21"/>
      <c r="N6" s="21"/>
      <c r="O6" s="21"/>
      <c r="P6" s="21"/>
      <c r="Q6" s="21"/>
      <c r="R6" s="12"/>
      <c r="S6" s="12"/>
      <c r="T6" s="12"/>
      <c r="U6" s="12"/>
    </row>
    <row r="7" spans="1:21" ht="12.75">
      <c r="A7" s="8"/>
      <c r="B7" s="482"/>
      <c r="C7" s="482"/>
      <c r="D7" s="482"/>
      <c r="E7" s="482"/>
      <c r="F7" s="483"/>
      <c r="G7" s="29" t="s">
        <v>5</v>
      </c>
      <c r="H7" s="30" t="s">
        <v>6</v>
      </c>
      <c r="I7" s="30"/>
      <c r="J7" s="30"/>
      <c r="K7" s="100"/>
    </row>
    <row r="8" spans="1:21" ht="12.75">
      <c r="A8" s="8"/>
      <c r="B8" s="484"/>
      <c r="C8" s="484"/>
      <c r="D8" s="484"/>
      <c r="E8" s="484"/>
      <c r="F8" s="485"/>
      <c r="G8" s="24" t="s">
        <v>4</v>
      </c>
      <c r="H8" s="190">
        <f>'Commercial Invoice'!H8</f>
        <v>45814</v>
      </c>
      <c r="I8" s="32"/>
      <c r="J8" s="32"/>
      <c r="K8" s="100"/>
    </row>
    <row r="9" spans="1:21" ht="21" thickBot="1">
      <c r="A9" s="33" t="s">
        <v>7</v>
      </c>
      <c r="B9" s="30"/>
      <c r="C9" s="30"/>
      <c r="D9" s="30"/>
      <c r="E9" s="30"/>
      <c r="F9" s="34"/>
      <c r="G9" s="396" t="str">
        <f>[6]CI!G9</f>
        <v>SHIPPING MARK</v>
      </c>
      <c r="H9" s="397"/>
      <c r="I9" s="397"/>
      <c r="J9" s="397"/>
      <c r="K9" s="398"/>
    </row>
    <row r="10" spans="1:21" ht="17.649999999999999" customHeight="1">
      <c r="A10" s="8"/>
      <c r="B10" s="476" t="s">
        <v>128</v>
      </c>
      <c r="C10" s="477"/>
      <c r="D10" s="477"/>
      <c r="E10" s="477"/>
      <c r="F10" s="478"/>
      <c r="G10" s="404" t="s">
        <v>9</v>
      </c>
      <c r="H10" s="405"/>
      <c r="I10" s="405"/>
      <c r="J10" s="405"/>
      <c r="K10" s="406"/>
    </row>
    <row r="11" spans="1:21" ht="17.649999999999999" customHeight="1">
      <c r="A11" s="8"/>
      <c r="B11" s="477"/>
      <c r="C11" s="477"/>
      <c r="D11" s="477"/>
      <c r="E11" s="477"/>
      <c r="F11" s="478"/>
      <c r="G11" s="407"/>
      <c r="H11" s="408"/>
      <c r="I11" s="408"/>
      <c r="J11" s="408"/>
      <c r="K11" s="409"/>
    </row>
    <row r="12" spans="1:21" ht="24" customHeight="1" thickBot="1">
      <c r="A12" s="35"/>
      <c r="B12" s="479"/>
      <c r="C12" s="479"/>
      <c r="D12" s="479"/>
      <c r="E12" s="479"/>
      <c r="F12" s="480"/>
      <c r="G12" s="410"/>
      <c r="H12" s="411"/>
      <c r="I12" s="411"/>
      <c r="J12" s="411"/>
      <c r="K12" s="412"/>
    </row>
    <row r="13" spans="1:21" ht="21.6" customHeight="1">
      <c r="A13" s="36" t="s">
        <v>10</v>
      </c>
      <c r="B13" s="185"/>
      <c r="C13" s="180"/>
      <c r="D13" s="180"/>
      <c r="E13" s="180"/>
      <c r="F13" s="180"/>
      <c r="G13" s="101"/>
      <c r="H13" s="470"/>
      <c r="I13" s="470"/>
      <c r="J13" s="470"/>
      <c r="K13" s="471"/>
    </row>
    <row r="14" spans="1:21" ht="14.1" customHeight="1">
      <c r="A14" s="8"/>
      <c r="B14" s="424" t="s">
        <v>131</v>
      </c>
      <c r="C14" s="425"/>
      <c r="D14" s="425"/>
      <c r="E14" s="425"/>
      <c r="F14" s="426"/>
      <c r="G14" s="38"/>
      <c r="H14" s="413"/>
      <c r="I14" s="413"/>
      <c r="J14" s="413"/>
      <c r="K14" s="414"/>
    </row>
    <row r="15" spans="1:21" ht="14.1" customHeight="1">
      <c r="A15" s="8"/>
      <c r="B15" s="425"/>
      <c r="C15" s="425"/>
      <c r="D15" s="425"/>
      <c r="E15" s="425"/>
      <c r="F15" s="426"/>
      <c r="G15" s="274" t="s">
        <v>150</v>
      </c>
      <c r="H15" s="415" t="str">
        <f>H5</f>
        <v>OM4-DE-IS-0010</v>
      </c>
      <c r="I15" s="415"/>
      <c r="J15" s="415"/>
      <c r="K15" s="275"/>
    </row>
    <row r="16" spans="1:21" ht="13.9" customHeight="1">
      <c r="A16" s="8"/>
      <c r="B16" s="425"/>
      <c r="C16" s="425"/>
      <c r="D16" s="425"/>
      <c r="E16" s="425"/>
      <c r="F16" s="426"/>
      <c r="G16" s="38"/>
      <c r="H16" s="187"/>
      <c r="I16" s="187"/>
      <c r="J16" s="187"/>
      <c r="K16" s="216"/>
    </row>
    <row r="17" spans="1:22" ht="99.4" customHeight="1">
      <c r="A17" s="8"/>
      <c r="B17" s="427"/>
      <c r="C17" s="427"/>
      <c r="D17" s="427"/>
      <c r="E17" s="427"/>
      <c r="F17" s="428"/>
      <c r="G17" s="274" t="s">
        <v>12</v>
      </c>
      <c r="H17" s="472" t="s">
        <v>196</v>
      </c>
      <c r="I17" s="472"/>
      <c r="J17" s="472"/>
      <c r="K17" s="310"/>
    </row>
    <row r="18" spans="1:22" ht="18.600000000000001" customHeight="1">
      <c r="A18" s="33" t="s">
        <v>13</v>
      </c>
      <c r="B18" s="40"/>
      <c r="C18" s="29" t="s">
        <v>14</v>
      </c>
      <c r="D18" s="30"/>
      <c r="E18" s="30"/>
      <c r="F18" s="34"/>
      <c r="G18" s="38"/>
      <c r="H18" s="462"/>
      <c r="I18" s="462"/>
      <c r="J18" s="462"/>
      <c r="K18" s="463"/>
    </row>
    <row r="19" spans="1:22" s="6" customFormat="1" ht="12.75">
      <c r="A19" s="35"/>
      <c r="B19" s="260" t="s">
        <v>210</v>
      </c>
      <c r="C19" s="261"/>
      <c r="D19" s="432">
        <v>46208</v>
      </c>
      <c r="E19" s="432"/>
      <c r="F19" s="433"/>
      <c r="G19" s="174" t="s">
        <v>110</v>
      </c>
      <c r="H19" s="464" t="s">
        <v>111</v>
      </c>
      <c r="I19" s="464"/>
      <c r="J19" s="464"/>
      <c r="K19" s="465"/>
      <c r="M19" s="95"/>
      <c r="N19" s="66"/>
      <c r="O19" s="96"/>
      <c r="P19" s="66"/>
      <c r="Q19" s="66"/>
      <c r="R19" s="7"/>
      <c r="S19" s="7"/>
      <c r="T19" s="7"/>
      <c r="U19" s="7"/>
      <c r="V19" s="7"/>
    </row>
    <row r="20" spans="1:22" s="6" customFormat="1" ht="18.600000000000001" customHeight="1">
      <c r="A20" s="33" t="s">
        <v>15</v>
      </c>
      <c r="B20" s="30"/>
      <c r="C20" s="29" t="s">
        <v>16</v>
      </c>
      <c r="D20" s="30"/>
      <c r="E20" s="30"/>
      <c r="F20" s="34"/>
      <c r="G20" s="37"/>
      <c r="H20" s="462"/>
      <c r="I20" s="462"/>
      <c r="J20" s="462"/>
      <c r="K20" s="463"/>
      <c r="M20" s="95"/>
      <c r="N20" s="66"/>
      <c r="O20" s="96"/>
      <c r="P20" s="66"/>
      <c r="Q20" s="66"/>
      <c r="R20" s="7"/>
      <c r="S20" s="7"/>
      <c r="T20" s="7"/>
      <c r="U20" s="7"/>
      <c r="V20" s="7"/>
    </row>
    <row r="21" spans="1:22" s="6" customFormat="1" ht="12.75">
      <c r="A21" s="276"/>
      <c r="B21" s="282" t="s">
        <v>188</v>
      </c>
      <c r="C21" s="42"/>
      <c r="D21" s="271" t="s">
        <v>195</v>
      </c>
      <c r="E21" s="272"/>
      <c r="F21" s="273"/>
      <c r="G21" s="37"/>
      <c r="H21" s="182"/>
      <c r="I21" s="181"/>
      <c r="J21" s="181"/>
      <c r="K21" s="9"/>
      <c r="M21" s="95"/>
      <c r="N21" s="66"/>
      <c r="O21" s="96"/>
      <c r="P21" s="66"/>
      <c r="Q21" s="66"/>
      <c r="R21" s="7"/>
      <c r="S21" s="7"/>
      <c r="T21" s="7"/>
      <c r="U21" s="7"/>
      <c r="V21" s="7"/>
    </row>
    <row r="22" spans="1:22" s="6" customFormat="1" ht="18.600000000000001" customHeight="1">
      <c r="A22" s="33" t="s">
        <v>17</v>
      </c>
      <c r="B22" s="40"/>
      <c r="C22" s="29" t="s">
        <v>18</v>
      </c>
      <c r="D22" s="30"/>
      <c r="E22" s="30"/>
      <c r="F22" s="34"/>
      <c r="G22" s="37"/>
      <c r="H22" s="182"/>
      <c r="I22" s="181"/>
      <c r="J22" s="181"/>
      <c r="K22" s="9"/>
      <c r="M22" s="95"/>
      <c r="N22" s="66"/>
      <c r="O22" s="96"/>
      <c r="P22" s="66"/>
      <c r="Q22" s="66"/>
      <c r="R22" s="7"/>
      <c r="S22" s="7"/>
      <c r="T22" s="7"/>
      <c r="U22" s="7"/>
      <c r="V22" s="7"/>
    </row>
    <row r="23" spans="1:22" s="6" customFormat="1" ht="12.75">
      <c r="A23" s="35"/>
      <c r="B23" s="260"/>
      <c r="C23" s="261"/>
      <c r="D23" s="436"/>
      <c r="E23" s="436"/>
      <c r="F23" s="437"/>
      <c r="G23" s="37"/>
      <c r="H23" s="181"/>
      <c r="I23" s="181"/>
      <c r="J23" s="181"/>
      <c r="K23" s="9"/>
      <c r="M23" s="95"/>
      <c r="N23" s="66"/>
      <c r="O23" s="96"/>
      <c r="P23" s="66"/>
      <c r="Q23" s="66"/>
      <c r="R23" s="7"/>
      <c r="S23" s="7"/>
      <c r="T23" s="7"/>
      <c r="U23" s="7"/>
      <c r="V23" s="7"/>
    </row>
    <row r="24" spans="1:22" s="6" customFormat="1" ht="18.600000000000001" customHeight="1">
      <c r="A24" s="33" t="s">
        <v>19</v>
      </c>
      <c r="B24" s="30"/>
      <c r="C24" s="30"/>
      <c r="D24" s="30"/>
      <c r="E24" s="30"/>
      <c r="F24" s="30"/>
      <c r="G24" s="43"/>
      <c r="H24" s="44"/>
      <c r="I24" s="44"/>
      <c r="J24" s="44"/>
      <c r="K24" s="46"/>
      <c r="M24" s="95"/>
      <c r="N24" s="66"/>
      <c r="O24" s="96"/>
      <c r="P24" s="66"/>
      <c r="Q24" s="66"/>
      <c r="R24" s="7"/>
      <c r="S24" s="7"/>
      <c r="T24" s="7"/>
      <c r="U24" s="7"/>
      <c r="V24" s="7"/>
    </row>
    <row r="25" spans="1:22" s="6" customFormat="1" ht="12.75">
      <c r="A25" s="8"/>
      <c r="B25" s="185" t="s">
        <v>9</v>
      </c>
      <c r="C25" s="180"/>
      <c r="D25" s="180"/>
      <c r="E25" s="180"/>
      <c r="F25" s="180"/>
      <c r="G25" s="37"/>
      <c r="H25" s="181"/>
      <c r="I25" s="181"/>
      <c r="J25" s="181"/>
      <c r="K25" s="9"/>
      <c r="M25" s="95"/>
      <c r="N25" s="66"/>
      <c r="O25" s="96"/>
      <c r="P25" s="66"/>
      <c r="Q25" s="66"/>
      <c r="R25" s="7"/>
      <c r="S25" s="7"/>
      <c r="T25" s="7"/>
      <c r="U25" s="7"/>
      <c r="V25" s="7"/>
    </row>
    <row r="26" spans="1:22" s="6" customFormat="1" ht="12.75">
      <c r="A26" s="35"/>
      <c r="B26" s="438" t="s">
        <v>132</v>
      </c>
      <c r="C26" s="438"/>
      <c r="D26" s="438"/>
      <c r="E26" s="438"/>
      <c r="F26" s="439"/>
      <c r="G26" s="47"/>
      <c r="H26" s="48"/>
      <c r="I26" s="48"/>
      <c r="J26" s="48"/>
      <c r="K26" s="49"/>
      <c r="M26" s="95"/>
      <c r="N26" s="66"/>
      <c r="O26" s="96"/>
      <c r="P26" s="66"/>
      <c r="Q26" s="66"/>
      <c r="R26" s="7"/>
      <c r="S26" s="7"/>
      <c r="T26" s="7"/>
      <c r="U26" s="7"/>
      <c r="V26" s="7"/>
    </row>
    <row r="27" spans="1:22" s="28" customFormat="1" ht="35.25">
      <c r="A27" s="466" t="s">
        <v>20</v>
      </c>
      <c r="B27" s="467"/>
      <c r="C27" s="467"/>
      <c r="D27" s="467"/>
      <c r="E27" s="467"/>
      <c r="F27" s="467"/>
      <c r="G27" s="102" t="s">
        <v>21</v>
      </c>
      <c r="H27" s="102" t="s">
        <v>22</v>
      </c>
      <c r="I27" s="103" t="s">
        <v>35</v>
      </c>
      <c r="J27" s="103" t="s">
        <v>36</v>
      </c>
      <c r="K27" s="104" t="s">
        <v>37</v>
      </c>
      <c r="L27" s="105"/>
      <c r="M27" s="106"/>
      <c r="N27" s="107"/>
      <c r="O27" s="108"/>
      <c r="P27" s="107"/>
      <c r="Q27" s="107"/>
    </row>
    <row r="28" spans="1:22" ht="52.9" customHeight="1">
      <c r="A28" s="36"/>
      <c r="B28" s="468" t="s">
        <v>134</v>
      </c>
      <c r="C28" s="468"/>
      <c r="D28" s="468"/>
      <c r="E28" s="468"/>
      <c r="F28" s="469"/>
      <c r="G28" s="53"/>
      <c r="H28" s="53"/>
      <c r="I28" s="109"/>
      <c r="J28" s="109"/>
      <c r="K28" s="110"/>
    </row>
    <row r="29" spans="1:22" ht="14.1" customHeight="1">
      <c r="A29" s="36"/>
      <c r="B29" s="185"/>
      <c r="C29" s="180"/>
      <c r="D29" s="180"/>
      <c r="E29" s="180"/>
      <c r="F29" s="180"/>
      <c r="G29" s="284"/>
      <c r="H29" s="284"/>
      <c r="I29" s="284"/>
      <c r="J29" s="284"/>
      <c r="K29" s="285"/>
    </row>
    <row r="30" spans="1:22" ht="14.1" customHeight="1">
      <c r="A30" s="473" t="s">
        <v>200</v>
      </c>
      <c r="B30" s="474"/>
      <c r="C30" s="474"/>
      <c r="D30" s="474"/>
      <c r="E30" s="474"/>
      <c r="F30" s="475"/>
      <c r="G30" s="357"/>
      <c r="H30" s="357"/>
      <c r="I30" s="284"/>
      <c r="J30" s="284"/>
      <c r="K30" s="285"/>
    </row>
    <row r="31" spans="1:22" ht="14.1" customHeight="1">
      <c r="A31" s="474"/>
      <c r="B31" s="474"/>
      <c r="C31" s="474"/>
      <c r="D31" s="474"/>
      <c r="E31" s="474"/>
      <c r="F31" s="475"/>
      <c r="G31" s="284" t="s">
        <v>146</v>
      </c>
      <c r="H31" s="284">
        <f>'PL(2_2)'!F15</f>
        <v>32</v>
      </c>
      <c r="I31" s="294">
        <f>'PL(2_2)'!M15</f>
        <v>576</v>
      </c>
      <c r="J31" s="294">
        <f>'PL(2_2)'!N15</f>
        <v>726</v>
      </c>
      <c r="K31" s="358">
        <f>'PL(2_2)'!L15</f>
        <v>1.5840000000000001</v>
      </c>
    </row>
    <row r="32" spans="1:22" ht="14.1" customHeight="1">
      <c r="A32" s="474"/>
      <c r="B32" s="474"/>
      <c r="C32" s="474"/>
      <c r="D32" s="474"/>
      <c r="E32" s="474"/>
      <c r="F32" s="475"/>
      <c r="G32" s="284" t="s">
        <v>146</v>
      </c>
      <c r="H32" s="284">
        <f>'PL(2_2)'!F16</f>
        <v>18</v>
      </c>
      <c r="I32" s="294">
        <f>'PL(2_2)'!M16</f>
        <v>324</v>
      </c>
      <c r="J32" s="294">
        <f>'PL(2_2)'!N16</f>
        <v>474</v>
      </c>
      <c r="K32" s="358">
        <f>'PL(2_2)'!L16</f>
        <v>1.5840000000000001</v>
      </c>
    </row>
    <row r="33" spans="1:22" ht="14.1" customHeight="1">
      <c r="A33" s="36"/>
      <c r="B33" s="186"/>
      <c r="C33" s="180"/>
      <c r="D33" s="180"/>
      <c r="E33" s="180"/>
      <c r="F33" s="180"/>
      <c r="G33" s="284"/>
      <c r="H33" s="284"/>
      <c r="I33" s="294"/>
      <c r="J33" s="294"/>
      <c r="K33" s="295"/>
    </row>
    <row r="34" spans="1:22" s="278" customFormat="1" ht="14.1" customHeight="1">
      <c r="A34" s="281"/>
      <c r="B34" s="289" t="s">
        <v>25</v>
      </c>
      <c r="C34" s="282"/>
      <c r="D34" s="282">
        <v>2</v>
      </c>
      <c r="E34" s="282" t="s">
        <v>26</v>
      </c>
      <c r="F34" s="282"/>
      <c r="G34" s="284"/>
      <c r="H34" s="284"/>
      <c r="I34" s="294"/>
      <c r="J34" s="294"/>
      <c r="K34" s="295"/>
      <c r="L34" s="277"/>
      <c r="M34" s="286"/>
      <c r="N34" s="287"/>
      <c r="O34" s="288"/>
      <c r="P34" s="287"/>
      <c r="Q34" s="287"/>
    </row>
    <row r="35" spans="1:22" ht="14.1" customHeight="1">
      <c r="A35" s="36"/>
      <c r="B35" s="180"/>
      <c r="C35" s="180"/>
      <c r="D35" s="180"/>
      <c r="E35" s="180"/>
      <c r="F35" s="180"/>
      <c r="G35" s="53"/>
      <c r="H35" s="53"/>
      <c r="I35" s="292"/>
      <c r="J35" s="292"/>
      <c r="K35" s="293"/>
    </row>
    <row r="36" spans="1:22" ht="14.1" customHeight="1">
      <c r="A36" s="36"/>
      <c r="B36" s="187"/>
      <c r="C36" s="180"/>
      <c r="D36" s="186"/>
      <c r="E36" s="180"/>
      <c r="F36" s="180"/>
      <c r="G36" s="53"/>
      <c r="H36" s="53"/>
      <c r="I36" s="292"/>
      <c r="J36" s="292"/>
      <c r="K36" s="293"/>
    </row>
    <row r="37" spans="1:22" ht="14.1" customHeight="1">
      <c r="A37" s="57"/>
      <c r="B37" s="58"/>
      <c r="C37" s="58"/>
      <c r="D37" s="58"/>
      <c r="E37" s="58"/>
      <c r="F37" s="58"/>
      <c r="G37" s="60"/>
      <c r="H37" s="60"/>
      <c r="I37" s="291"/>
      <c r="J37" s="291"/>
      <c r="K37" s="296"/>
    </row>
    <row r="38" spans="1:22" s="105" customFormat="1" ht="22.9" customHeight="1">
      <c r="A38" s="111"/>
      <c r="B38" s="112"/>
      <c r="C38" s="112"/>
      <c r="D38" s="112"/>
      <c r="E38" s="112"/>
      <c r="F38" s="112"/>
      <c r="G38" s="460" t="s">
        <v>38</v>
      </c>
      <c r="H38" s="461"/>
      <c r="I38" s="359">
        <f>SUM(I28:I37)</f>
        <v>900</v>
      </c>
      <c r="J38" s="359">
        <f>SUM(J28:J37)</f>
        <v>1200</v>
      </c>
      <c r="K38" s="360">
        <f>SUM(K28:K37)</f>
        <v>3.1680000000000001</v>
      </c>
      <c r="M38" s="106"/>
      <c r="N38" s="107"/>
      <c r="O38" s="108"/>
      <c r="P38" s="107"/>
      <c r="Q38" s="107"/>
      <c r="R38" s="28"/>
      <c r="S38" s="28"/>
      <c r="T38" s="28"/>
      <c r="U38" s="28"/>
      <c r="V38" s="28"/>
    </row>
    <row r="39" spans="1:22" s="6" customFormat="1" ht="14.1" customHeight="1">
      <c r="A39" s="36"/>
      <c r="B39" s="180"/>
      <c r="C39" s="180"/>
      <c r="D39" s="180"/>
      <c r="E39" s="180"/>
      <c r="F39" s="180"/>
      <c r="G39" s="181"/>
      <c r="H39" s="181"/>
      <c r="I39" s="181"/>
      <c r="J39" s="181"/>
      <c r="K39" s="9"/>
      <c r="M39" s="95"/>
      <c r="N39" s="66"/>
      <c r="O39" s="96"/>
      <c r="P39" s="66"/>
      <c r="Q39" s="66"/>
      <c r="R39" s="7"/>
      <c r="S39" s="7"/>
      <c r="T39" s="7"/>
      <c r="U39" s="7"/>
      <c r="V39" s="7"/>
    </row>
    <row r="40" spans="1:22" s="6" customFormat="1" ht="14.1" customHeight="1">
      <c r="A40" s="36"/>
      <c r="B40" s="180"/>
      <c r="C40" s="180"/>
      <c r="D40" s="180"/>
      <c r="E40" s="180"/>
      <c r="F40" s="180"/>
      <c r="G40" s="181"/>
      <c r="H40" s="181"/>
      <c r="I40" s="181"/>
      <c r="J40" s="181"/>
      <c r="K40" s="9"/>
      <c r="M40" s="95"/>
      <c r="N40" s="66"/>
      <c r="O40" s="96"/>
      <c r="P40" s="66"/>
      <c r="Q40" s="66"/>
      <c r="R40" s="7"/>
      <c r="S40" s="7"/>
      <c r="T40" s="7"/>
      <c r="U40" s="7"/>
      <c r="V40" s="7"/>
    </row>
    <row r="41" spans="1:22" s="6" customFormat="1" ht="14.1" customHeight="1">
      <c r="A41" s="36"/>
      <c r="B41" s="180"/>
      <c r="C41" s="180"/>
      <c r="D41" s="180"/>
      <c r="E41" s="180"/>
      <c r="F41" s="180"/>
      <c r="G41" s="181"/>
      <c r="H41" s="181"/>
      <c r="I41" s="181"/>
      <c r="J41" s="181"/>
      <c r="K41" s="9"/>
      <c r="M41" s="95"/>
      <c r="N41" s="66"/>
      <c r="O41" s="96"/>
      <c r="P41" s="66"/>
      <c r="Q41" s="66"/>
      <c r="R41" s="7"/>
      <c r="S41" s="7"/>
      <c r="T41" s="7"/>
      <c r="U41" s="7"/>
      <c r="V41" s="7"/>
    </row>
    <row r="42" spans="1:22" s="6" customFormat="1" ht="14.1" customHeight="1">
      <c r="A42" s="36"/>
      <c r="B42" s="180"/>
      <c r="C42" s="180"/>
      <c r="D42" s="180"/>
      <c r="E42" s="180"/>
      <c r="F42" s="180"/>
      <c r="G42" s="181"/>
      <c r="H42" s="181"/>
      <c r="I42" s="181"/>
      <c r="J42" s="181"/>
      <c r="K42" s="9"/>
      <c r="M42" s="95"/>
      <c r="N42" s="66"/>
      <c r="O42" s="96"/>
      <c r="P42" s="66"/>
      <c r="Q42" s="66"/>
      <c r="R42" s="7"/>
      <c r="S42" s="7"/>
      <c r="T42" s="7"/>
      <c r="U42" s="7"/>
      <c r="V42" s="7"/>
    </row>
    <row r="43" spans="1:22" s="6" customFormat="1" ht="14.1" customHeight="1">
      <c r="A43" s="8"/>
      <c r="B43" s="180"/>
      <c r="C43" s="180"/>
      <c r="D43" s="180"/>
      <c r="E43" s="180"/>
      <c r="F43" s="180"/>
      <c r="G43" s="181"/>
      <c r="H43" s="181"/>
      <c r="I43" s="181"/>
      <c r="J43" s="181"/>
      <c r="K43" s="9"/>
      <c r="M43" s="95"/>
      <c r="N43" s="66"/>
      <c r="O43" s="96"/>
      <c r="P43" s="66"/>
      <c r="Q43" s="66"/>
      <c r="R43" s="7"/>
      <c r="S43" s="7"/>
      <c r="T43" s="7"/>
      <c r="U43" s="7"/>
      <c r="V43" s="7"/>
    </row>
    <row r="44" spans="1:22" s="6" customFormat="1" ht="14.1" customHeight="1">
      <c r="A44" s="113"/>
      <c r="B44" s="180"/>
      <c r="C44" s="180"/>
      <c r="D44" s="180"/>
      <c r="E44" s="180"/>
      <c r="F44" s="180"/>
      <c r="G44" s="181"/>
      <c r="H44" s="181"/>
      <c r="I44" s="181"/>
      <c r="J44" s="181"/>
      <c r="K44" s="9"/>
      <c r="M44" s="95"/>
      <c r="N44" s="66"/>
      <c r="O44" s="96"/>
      <c r="P44" s="66"/>
      <c r="Q44" s="66"/>
      <c r="R44" s="7"/>
      <c r="S44" s="7"/>
      <c r="T44" s="7"/>
      <c r="U44" s="7"/>
      <c r="V44" s="7"/>
    </row>
    <row r="45" spans="1:22" s="6" customFormat="1" ht="14.1" customHeight="1">
      <c r="A45" s="114"/>
      <c r="B45" s="180"/>
      <c r="C45" s="180"/>
      <c r="D45" s="180"/>
      <c r="E45" s="180"/>
      <c r="F45" s="180"/>
      <c r="G45" s="181"/>
      <c r="H45" s="181"/>
      <c r="I45" s="181"/>
      <c r="J45" s="181"/>
      <c r="K45" s="9"/>
      <c r="M45" s="95"/>
      <c r="N45" s="66"/>
      <c r="O45" s="96"/>
      <c r="P45" s="66"/>
      <c r="Q45" s="66"/>
      <c r="R45" s="7"/>
      <c r="S45" s="7"/>
      <c r="T45" s="7"/>
      <c r="U45" s="7"/>
      <c r="V45" s="7"/>
    </row>
    <row r="46" spans="1:22" s="6" customFormat="1" ht="14.1" customHeight="1">
      <c r="A46" s="114"/>
      <c r="B46" s="196"/>
      <c r="C46" s="180"/>
      <c r="D46" s="180"/>
      <c r="E46" s="180"/>
      <c r="F46" s="180"/>
      <c r="G46" s="188" t="s">
        <v>28</v>
      </c>
      <c r="H46" s="48"/>
      <c r="I46" s="48"/>
      <c r="J46" s="48"/>
      <c r="K46" s="9"/>
      <c r="M46" s="95"/>
      <c r="N46" s="66"/>
      <c r="O46" s="96"/>
      <c r="P46" s="66"/>
      <c r="Q46" s="66"/>
      <c r="R46" s="7"/>
      <c r="S46" s="7"/>
      <c r="T46" s="7"/>
      <c r="U46" s="7"/>
      <c r="V46" s="7"/>
    </row>
    <row r="47" spans="1:22" s="6" customFormat="1" ht="14.1" customHeight="1">
      <c r="A47" s="114"/>
      <c r="B47" s="196"/>
      <c r="C47" s="180"/>
      <c r="D47" s="180"/>
      <c r="E47" s="180"/>
      <c r="F47" s="180"/>
      <c r="G47" s="188"/>
      <c r="H47" s="429" t="s">
        <v>187</v>
      </c>
      <c r="I47" s="429"/>
      <c r="J47" s="429"/>
      <c r="K47" s="9"/>
      <c r="M47" s="95"/>
      <c r="N47" s="66"/>
      <c r="O47" s="96"/>
      <c r="P47" s="66"/>
      <c r="Q47" s="66"/>
      <c r="R47" s="7"/>
      <c r="S47" s="7"/>
      <c r="T47" s="7"/>
      <c r="U47" s="7"/>
      <c r="V47" s="7"/>
    </row>
    <row r="48" spans="1:22" s="6" customFormat="1" ht="13.5" thickBot="1">
      <c r="A48" s="67"/>
      <c r="B48" s="197"/>
      <c r="C48" s="68"/>
      <c r="D48" s="68"/>
      <c r="E48" s="68"/>
      <c r="F48" s="68"/>
      <c r="G48" s="69"/>
      <c r="H48" s="70"/>
      <c r="I48" s="70"/>
      <c r="J48" s="69"/>
      <c r="K48" s="71"/>
      <c r="M48" s="95"/>
      <c r="N48" s="66"/>
      <c r="O48" s="96"/>
      <c r="P48" s="66"/>
      <c r="Q48" s="66"/>
      <c r="R48" s="7"/>
      <c r="S48" s="7"/>
      <c r="T48" s="7"/>
      <c r="U48" s="7"/>
      <c r="V48" s="7"/>
    </row>
  </sheetData>
  <mergeCells count="23">
    <mergeCell ref="H47:J47"/>
    <mergeCell ref="A30:F32"/>
    <mergeCell ref="A4:K4"/>
    <mergeCell ref="G9:K9"/>
    <mergeCell ref="G10:K12"/>
    <mergeCell ref="B10:F12"/>
    <mergeCell ref="B6:F8"/>
    <mergeCell ref="H15:J15"/>
    <mergeCell ref="B3:F3"/>
    <mergeCell ref="H3:K3"/>
    <mergeCell ref="G38:H38"/>
    <mergeCell ref="H14:K14"/>
    <mergeCell ref="H18:K18"/>
    <mergeCell ref="D19:F19"/>
    <mergeCell ref="H19:K19"/>
    <mergeCell ref="H20:K20"/>
    <mergeCell ref="D23:F23"/>
    <mergeCell ref="B26:F26"/>
    <mergeCell ref="A27:F27"/>
    <mergeCell ref="B28:F28"/>
    <mergeCell ref="B14:F17"/>
    <mergeCell ref="H13:K13"/>
    <mergeCell ref="H17:J17"/>
  </mergeCells>
  <phoneticPr fontId="34" type="noConversion"/>
  <printOptions horizontalCentered="1"/>
  <pageMargins left="0.70866141732283505" right="0.52" top="0.59" bottom="0.74803149606299202" header="0.31496062992126" footer="0.31496062992126"/>
  <pageSetup paperSize="9" scale="65"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B1:T27"/>
  <sheetViews>
    <sheetView showGridLines="0" view="pageBreakPreview" topLeftCell="E1" zoomScale="80" zoomScaleNormal="100" zoomScaleSheetLayoutView="80" workbookViewId="0">
      <selection activeCell="B4" sqref="B4:T4"/>
    </sheetView>
  </sheetViews>
  <sheetFormatPr defaultColWidth="8.76953125" defaultRowHeight="18" customHeight="1"/>
  <cols>
    <col min="1" max="1" width="1.05078125" style="116" customWidth="1"/>
    <col min="2" max="2" width="3.625" style="66" customWidth="1"/>
    <col min="3" max="3" width="22.3359375" style="39" customWidth="1"/>
    <col min="4" max="4" width="45.7265625" style="131" bestFit="1" customWidth="1"/>
    <col min="5" max="5" width="8.65234375" style="7" hidden="1" customWidth="1"/>
    <col min="6" max="6" width="6.546875" style="129" bestFit="1" customWidth="1"/>
    <col min="7" max="7" width="5.26171875" style="7" customWidth="1"/>
    <col min="8" max="8" width="8.30078125" style="7" customWidth="1"/>
    <col min="9" max="11" width="7.25" style="7" customWidth="1"/>
    <col min="12" max="12" width="8.53515625" style="7" customWidth="1"/>
    <col min="13" max="14" width="9.9375" style="7" bestFit="1" customWidth="1"/>
    <col min="15" max="15" width="10.0546875" style="7" customWidth="1"/>
    <col min="16" max="19" width="9.5859375" style="66" customWidth="1"/>
    <col min="20" max="20" width="7.83203125" style="132" customWidth="1"/>
    <col min="21" max="21" width="7.25" style="116" customWidth="1"/>
    <col min="22" max="16384" width="8.76953125" style="116"/>
  </cols>
  <sheetData>
    <row r="1" spans="2:20" ht="9" customHeight="1">
      <c r="B1" s="198"/>
      <c r="C1" s="180"/>
      <c r="D1" s="180"/>
      <c r="E1" s="180"/>
      <c r="F1" s="180"/>
      <c r="G1" s="180"/>
      <c r="H1" s="181"/>
      <c r="I1" s="181"/>
      <c r="J1" s="181"/>
      <c r="K1" s="182"/>
      <c r="L1" s="117"/>
      <c r="M1" s="198"/>
      <c r="N1" s="198"/>
      <c r="O1" s="198"/>
      <c r="P1" s="198"/>
      <c r="Q1" s="198"/>
      <c r="R1" s="198"/>
      <c r="S1" s="198"/>
      <c r="T1" s="198"/>
    </row>
    <row r="2" spans="2:20" ht="26.1" customHeight="1">
      <c r="B2" s="199"/>
      <c r="C2" s="180"/>
      <c r="D2" s="180"/>
      <c r="E2" s="180"/>
      <c r="F2" s="180"/>
      <c r="G2" s="180"/>
      <c r="H2" s="181"/>
      <c r="I2" s="181"/>
      <c r="J2" s="181"/>
      <c r="K2" s="182"/>
      <c r="L2" s="117"/>
      <c r="M2" s="199"/>
      <c r="N2" s="199"/>
      <c r="O2" s="199"/>
      <c r="P2" s="199"/>
      <c r="Q2" s="199"/>
      <c r="R2" s="199"/>
      <c r="S2" s="199"/>
      <c r="T2" s="199"/>
    </row>
    <row r="3" spans="2:20" ht="27.6" customHeight="1" thickBot="1">
      <c r="B3" s="199"/>
      <c r="C3" s="492" t="s">
        <v>0</v>
      </c>
      <c r="D3" s="492"/>
      <c r="E3" s="492"/>
      <c r="F3" s="492"/>
      <c r="G3" s="492"/>
      <c r="H3" s="492"/>
      <c r="I3" s="492"/>
      <c r="J3" s="181"/>
      <c r="K3" s="182"/>
      <c r="L3" s="117"/>
      <c r="M3" s="118"/>
      <c r="N3" s="199"/>
      <c r="O3" s="199"/>
      <c r="P3" s="199"/>
      <c r="Q3" s="199"/>
      <c r="R3" s="199"/>
      <c r="S3" s="199"/>
      <c r="T3" s="199"/>
    </row>
    <row r="4" spans="2:20" ht="33.75" customHeight="1" thickTop="1" thickBot="1">
      <c r="B4" s="493" t="s">
        <v>39</v>
      </c>
      <c r="C4" s="494"/>
      <c r="D4" s="494"/>
      <c r="E4" s="494"/>
      <c r="F4" s="494"/>
      <c r="G4" s="494"/>
      <c r="H4" s="494"/>
      <c r="I4" s="494"/>
      <c r="J4" s="494"/>
      <c r="K4" s="494"/>
      <c r="L4" s="494"/>
      <c r="M4" s="494"/>
      <c r="N4" s="494"/>
      <c r="O4" s="494"/>
      <c r="P4" s="494"/>
      <c r="Q4" s="494"/>
      <c r="R4" s="494"/>
      <c r="S4" s="494"/>
      <c r="T4" s="495"/>
    </row>
    <row r="5" spans="2:20" s="7" customFormat="1" ht="17.25" customHeight="1" thickTop="1">
      <c r="B5" s="66"/>
      <c r="C5" s="119" t="s">
        <v>40</v>
      </c>
      <c r="D5" s="120" t="str">
        <f>'Packing List (1_2)'!H5</f>
        <v>OM4-DE-IS-0010</v>
      </c>
      <c r="E5" s="66"/>
      <c r="F5" s="66"/>
      <c r="G5" s="66"/>
      <c r="H5" s="66"/>
      <c r="I5" s="66"/>
      <c r="J5" s="66"/>
      <c r="K5" s="66"/>
      <c r="L5" s="66"/>
      <c r="M5" s="66"/>
      <c r="N5" s="66"/>
      <c r="O5" s="66"/>
      <c r="P5" s="121"/>
      <c r="Q5" s="121"/>
      <c r="R5" s="121"/>
      <c r="S5" s="121"/>
      <c r="T5" s="66"/>
    </row>
    <row r="6" spans="2:20" s="7" customFormat="1" ht="17.25" customHeight="1">
      <c r="B6" s="66"/>
      <c r="C6" s="119" t="s">
        <v>41</v>
      </c>
      <c r="D6" s="192">
        <f>'Packing List (1_2)'!H6</f>
        <v>46177</v>
      </c>
      <c r="E6" s="66"/>
      <c r="F6" s="66"/>
      <c r="G6" s="39"/>
      <c r="H6" s="66"/>
      <c r="I6" s="39" t="s">
        <v>42</v>
      </c>
      <c r="J6" s="66"/>
      <c r="K6" s="66"/>
      <c r="L6" s="66"/>
      <c r="M6" s="66"/>
      <c r="N6" s="39" t="s">
        <v>43</v>
      </c>
      <c r="O6" s="66"/>
      <c r="P6" s="66"/>
      <c r="Q6" s="66"/>
      <c r="R6" s="66"/>
      <c r="S6" s="66"/>
      <c r="T6" s="66"/>
    </row>
    <row r="7" spans="2:20" s="7" customFormat="1" ht="17.25" customHeight="1">
      <c r="B7" s="66"/>
      <c r="C7" s="119" t="s">
        <v>44</v>
      </c>
      <c r="D7" s="122" t="s">
        <v>126</v>
      </c>
      <c r="E7" s="66"/>
      <c r="F7" s="66"/>
      <c r="G7" s="123"/>
      <c r="H7" s="39"/>
      <c r="I7" s="123" t="s">
        <v>45</v>
      </c>
      <c r="J7" s="39" t="s">
        <v>46</v>
      </c>
      <c r="K7" s="66"/>
      <c r="L7" s="66"/>
      <c r="M7" s="66"/>
      <c r="N7" s="124"/>
      <c r="O7" s="125" t="s">
        <v>164</v>
      </c>
      <c r="P7" s="125" t="s">
        <v>166</v>
      </c>
      <c r="Q7" s="125" t="s">
        <v>168</v>
      </c>
      <c r="R7" s="125" t="s">
        <v>162</v>
      </c>
      <c r="S7" s="188"/>
      <c r="T7" s="66"/>
    </row>
    <row r="8" spans="2:20" s="7" customFormat="1" ht="17.25" customHeight="1">
      <c r="B8" s="66"/>
      <c r="D8" s="119"/>
      <c r="E8" s="66"/>
      <c r="F8" s="66"/>
      <c r="G8" s="123"/>
      <c r="H8" s="39"/>
      <c r="I8" s="123" t="s">
        <v>48</v>
      </c>
      <c r="J8" s="39" t="s">
        <v>49</v>
      </c>
      <c r="K8" s="66"/>
      <c r="L8" s="66"/>
      <c r="M8" s="66"/>
      <c r="N8" s="125" t="s">
        <v>50</v>
      </c>
      <c r="O8" s="125" t="s">
        <v>51</v>
      </c>
      <c r="P8" s="125" t="s">
        <v>52</v>
      </c>
      <c r="Q8" s="125" t="s">
        <v>53</v>
      </c>
      <c r="R8" s="125" t="s">
        <v>54</v>
      </c>
      <c r="S8" s="188"/>
      <c r="T8" s="66"/>
    </row>
    <row r="9" spans="2:20" s="7" customFormat="1" ht="17.25" customHeight="1">
      <c r="B9" s="66"/>
      <c r="C9" s="119"/>
      <c r="D9" s="119"/>
      <c r="E9" s="66"/>
      <c r="F9" s="66"/>
      <c r="G9" s="123"/>
      <c r="H9" s="39"/>
      <c r="I9" s="123" t="s">
        <v>55</v>
      </c>
      <c r="J9" s="39" t="s">
        <v>56</v>
      </c>
      <c r="K9" s="66"/>
      <c r="L9" s="66"/>
      <c r="M9" s="66"/>
      <c r="N9" s="125" t="s">
        <v>57</v>
      </c>
      <c r="O9" s="125" t="s">
        <v>58</v>
      </c>
      <c r="P9" s="125" t="s">
        <v>59</v>
      </c>
      <c r="Q9" s="125" t="s">
        <v>60</v>
      </c>
      <c r="R9" s="125" t="s">
        <v>61</v>
      </c>
      <c r="S9" s="188"/>
      <c r="T9" s="66"/>
    </row>
    <row r="10" spans="2:20" s="7" customFormat="1" ht="17.25" customHeight="1">
      <c r="B10" s="66"/>
      <c r="D10" s="119"/>
      <c r="E10" s="66"/>
      <c r="F10" s="66"/>
      <c r="G10" s="123"/>
      <c r="H10" s="39"/>
      <c r="I10" s="123" t="s">
        <v>62</v>
      </c>
      <c r="J10" s="39" t="s">
        <v>63</v>
      </c>
      <c r="K10" s="66"/>
      <c r="L10" s="66"/>
      <c r="M10" s="66"/>
      <c r="N10" s="125" t="s">
        <v>64</v>
      </c>
      <c r="O10" s="125" t="s">
        <v>65</v>
      </c>
      <c r="P10" s="125" t="s">
        <v>66</v>
      </c>
      <c r="Q10" s="125" t="s">
        <v>67</v>
      </c>
      <c r="R10" s="297" t="s">
        <v>68</v>
      </c>
      <c r="S10" s="188"/>
      <c r="T10" s="66"/>
    </row>
    <row r="11" spans="2:20" s="7" customFormat="1" ht="17.25" customHeight="1">
      <c r="B11" s="66"/>
      <c r="D11" s="119"/>
      <c r="E11" s="66"/>
      <c r="F11" s="66"/>
      <c r="G11" s="123"/>
      <c r="H11" s="39"/>
      <c r="I11" s="123" t="s">
        <v>69</v>
      </c>
      <c r="J11" s="39" t="s">
        <v>70</v>
      </c>
      <c r="K11" s="66"/>
      <c r="L11" s="66"/>
      <c r="M11" s="66"/>
      <c r="N11" s="66"/>
      <c r="O11" s="66"/>
      <c r="P11" s="66"/>
      <c r="Q11" s="66"/>
      <c r="R11" s="66"/>
      <c r="S11" s="66"/>
      <c r="T11" s="66"/>
    </row>
    <row r="12" spans="2:20" s="7" customFormat="1" ht="17.25" customHeight="1">
      <c r="B12" s="66"/>
      <c r="C12" s="119"/>
      <c r="D12" s="66"/>
      <c r="E12" s="66"/>
      <c r="F12" s="66"/>
      <c r="I12" s="66"/>
      <c r="J12" s="66"/>
      <c r="K12" s="66"/>
      <c r="L12" s="66"/>
      <c r="M12" s="66"/>
      <c r="N12" s="66"/>
      <c r="O12" s="66"/>
      <c r="P12" s="66"/>
      <c r="Q12" s="66"/>
      <c r="R12" s="66"/>
      <c r="S12" s="66"/>
      <c r="T12" s="66"/>
    </row>
    <row r="13" spans="2:20" s="28" customFormat="1" ht="20.25" customHeight="1">
      <c r="B13" s="488" t="s">
        <v>29</v>
      </c>
      <c r="C13" s="496" t="s">
        <v>30</v>
      </c>
      <c r="D13" s="498" t="s">
        <v>71</v>
      </c>
      <c r="E13" s="488" t="s">
        <v>145</v>
      </c>
      <c r="F13" s="490" t="s">
        <v>72</v>
      </c>
      <c r="G13" s="491"/>
      <c r="H13" s="488" t="s">
        <v>73</v>
      </c>
      <c r="I13" s="490" t="s">
        <v>74</v>
      </c>
      <c r="J13" s="467"/>
      <c r="K13" s="467"/>
      <c r="L13" s="491"/>
      <c r="M13" s="488" t="s">
        <v>75</v>
      </c>
      <c r="N13" s="488" t="s">
        <v>76</v>
      </c>
      <c r="O13" s="488" t="s">
        <v>77</v>
      </c>
      <c r="P13" s="486" t="s">
        <v>140</v>
      </c>
      <c r="Q13" s="486" t="s">
        <v>141</v>
      </c>
      <c r="R13" s="486" t="s">
        <v>142</v>
      </c>
      <c r="S13" s="488" t="s">
        <v>78</v>
      </c>
      <c r="T13" s="488" t="s">
        <v>79</v>
      </c>
    </row>
    <row r="14" spans="2:20" s="28" customFormat="1" ht="33" customHeight="1">
      <c r="B14" s="489"/>
      <c r="C14" s="497"/>
      <c r="D14" s="499"/>
      <c r="E14" s="489"/>
      <c r="F14" s="126" t="s">
        <v>80</v>
      </c>
      <c r="G14" s="126" t="s">
        <v>81</v>
      </c>
      <c r="H14" s="489"/>
      <c r="I14" s="127" t="s">
        <v>82</v>
      </c>
      <c r="J14" s="127" t="s">
        <v>83</v>
      </c>
      <c r="K14" s="127" t="s">
        <v>84</v>
      </c>
      <c r="L14" s="127" t="s">
        <v>85</v>
      </c>
      <c r="M14" s="489"/>
      <c r="N14" s="489"/>
      <c r="O14" s="489"/>
      <c r="P14" s="487"/>
      <c r="Q14" s="487"/>
      <c r="R14" s="487"/>
      <c r="S14" s="489"/>
      <c r="T14" s="489"/>
    </row>
    <row r="15" spans="2:20" s="7" customFormat="1" ht="47.25" customHeight="1">
      <c r="B15" s="208" t="s">
        <v>151</v>
      </c>
      <c r="C15" s="361" t="str">
        <f>'Detailed PL'!C15</f>
        <v>OM4-DE-IS-0010-001</v>
      </c>
      <c r="D15" s="298" t="s">
        <v>202</v>
      </c>
      <c r="E15" s="297"/>
      <c r="F15" s="362">
        <f>SUM('Detailed PL'!I16)</f>
        <v>32</v>
      </c>
      <c r="G15" s="297" t="s">
        <v>146</v>
      </c>
      <c r="H15" s="363" t="str">
        <f>'Detailed PL'!K16</f>
        <v>Wooden</v>
      </c>
      <c r="I15" s="364">
        <f>'Detailed PL'!L16</f>
        <v>120</v>
      </c>
      <c r="J15" s="364">
        <f>'Detailed PL'!M16</f>
        <v>120</v>
      </c>
      <c r="K15" s="364">
        <f>'Detailed PL'!N16</f>
        <v>110</v>
      </c>
      <c r="L15" s="365">
        <f>'Detailed PL'!O16</f>
        <v>1.5840000000000001</v>
      </c>
      <c r="M15" s="365">
        <f>'Detailed PL'!P16</f>
        <v>576</v>
      </c>
      <c r="N15" s="365">
        <f>'Detailed PL'!Q16</f>
        <v>726</v>
      </c>
      <c r="O15" s="366" t="s">
        <v>149</v>
      </c>
      <c r="P15" s="298" t="s">
        <v>149</v>
      </c>
      <c r="Q15" s="298" t="s">
        <v>149</v>
      </c>
      <c r="R15" s="298" t="s">
        <v>147</v>
      </c>
      <c r="S15" s="298" t="str">
        <f>'Detailed PL'!S16</f>
        <v>D</v>
      </c>
      <c r="T15" s="298" t="str">
        <f>'Detailed PL'!U16</f>
        <v>P0</v>
      </c>
    </row>
    <row r="16" spans="2:20" s="7" customFormat="1" ht="47.25" customHeight="1">
      <c r="B16" s="208" t="s">
        <v>208</v>
      </c>
      <c r="C16" s="361" t="str">
        <f>'Detailed PL'!C17</f>
        <v>OM4-DE-IS-0010-002</v>
      </c>
      <c r="D16" s="298" t="s">
        <v>209</v>
      </c>
      <c r="E16" s="297"/>
      <c r="F16" s="362">
        <f>SUM('Detailed PL'!I18)</f>
        <v>18</v>
      </c>
      <c r="G16" s="297" t="s">
        <v>146</v>
      </c>
      <c r="H16" s="298" t="str">
        <f>'Detailed PL'!K18</f>
        <v>Wooden</v>
      </c>
      <c r="I16" s="364">
        <f>'Detailed PL'!L18</f>
        <v>120</v>
      </c>
      <c r="J16" s="364">
        <f>'Detailed PL'!M18</f>
        <v>120</v>
      </c>
      <c r="K16" s="364">
        <f>'Detailed PL'!N18</f>
        <v>110</v>
      </c>
      <c r="L16" s="365">
        <f>'Detailed PL'!O18</f>
        <v>1.5840000000000001</v>
      </c>
      <c r="M16" s="365">
        <f>'Detailed PL'!P18</f>
        <v>324</v>
      </c>
      <c r="N16" s="365">
        <f>'Detailed PL'!Q18</f>
        <v>474</v>
      </c>
      <c r="O16" s="366" t="s">
        <v>149</v>
      </c>
      <c r="P16" s="298" t="s">
        <v>149</v>
      </c>
      <c r="Q16" s="298" t="s">
        <v>149</v>
      </c>
      <c r="R16" s="298" t="s">
        <v>147</v>
      </c>
      <c r="S16" s="298" t="str">
        <f>'Detailed PL'!S18</f>
        <v>D</v>
      </c>
      <c r="T16" s="298" t="str">
        <f>'Detailed PL'!U18</f>
        <v>P0</v>
      </c>
    </row>
    <row r="17" spans="2:20" ht="18.75" customHeight="1">
      <c r="B17" s="490" t="s">
        <v>86</v>
      </c>
      <c r="C17" s="467"/>
      <c r="D17" s="467"/>
      <c r="E17" s="467"/>
      <c r="F17" s="467"/>
      <c r="G17" s="467"/>
      <c r="H17" s="467"/>
      <c r="I17" s="467"/>
      <c r="J17" s="467"/>
      <c r="K17" s="491"/>
      <c r="L17" s="291">
        <f>SUM(L15:L16)</f>
        <v>3.1680000000000001</v>
      </c>
      <c r="M17" s="291">
        <f>SUM(M15:M16)</f>
        <v>900</v>
      </c>
      <c r="N17" s="291">
        <f>SUM(N15:N16)</f>
        <v>1200</v>
      </c>
      <c r="O17" s="125"/>
      <c r="P17" s="125"/>
      <c r="Q17" s="125"/>
      <c r="R17" s="125"/>
      <c r="S17" s="125"/>
      <c r="T17" s="125"/>
    </row>
    <row r="18" spans="2:20" ht="18" customHeight="1">
      <c r="D18" s="128"/>
      <c r="T18" s="130"/>
    </row>
    <row r="19" spans="2:20" ht="18" customHeight="1">
      <c r="D19" s="128"/>
      <c r="T19" s="130"/>
    </row>
    <row r="20" spans="2:20" ht="18" customHeight="1">
      <c r="D20" s="128"/>
      <c r="T20" s="130"/>
    </row>
    <row r="21" spans="2:20" ht="18" customHeight="1">
      <c r="D21" s="128"/>
      <c r="T21" s="130"/>
    </row>
    <row r="22" spans="2:20" ht="18" customHeight="1">
      <c r="D22" s="128"/>
      <c r="T22" s="130"/>
    </row>
    <row r="23" spans="2:20" ht="18" customHeight="1">
      <c r="D23" s="128"/>
      <c r="T23" s="130"/>
    </row>
    <row r="24" spans="2:20" ht="18" customHeight="1">
      <c r="D24" s="128"/>
      <c r="T24" s="130"/>
    </row>
    <row r="25" spans="2:20" ht="18" customHeight="1">
      <c r="D25" s="128"/>
      <c r="T25" s="130"/>
    </row>
    <row r="26" spans="2:20" ht="18" customHeight="1">
      <c r="D26" s="128"/>
      <c r="T26" s="130"/>
    </row>
    <row r="27" spans="2:20" ht="18" customHeight="1">
      <c r="D27" s="128"/>
      <c r="T27" s="130"/>
    </row>
  </sheetData>
  <mergeCells count="18">
    <mergeCell ref="T13:T14"/>
    <mergeCell ref="P13:P14"/>
    <mergeCell ref="Q13:Q14"/>
    <mergeCell ref="R13:R14"/>
    <mergeCell ref="S13:S14"/>
    <mergeCell ref="B17:K17"/>
    <mergeCell ref="C3:I3"/>
    <mergeCell ref="B4:T4"/>
    <mergeCell ref="B13:B14"/>
    <mergeCell ref="C13:C14"/>
    <mergeCell ref="D13:D14"/>
    <mergeCell ref="E13:E14"/>
    <mergeCell ref="F13:G13"/>
    <mergeCell ref="H13:H14"/>
    <mergeCell ref="I13:L13"/>
    <mergeCell ref="M13:M14"/>
    <mergeCell ref="N13:N14"/>
    <mergeCell ref="O13:O14"/>
  </mergeCells>
  <phoneticPr fontId="34" type="noConversion"/>
  <printOptions horizontalCentered="1"/>
  <pageMargins left="0.70866141732283472" right="0.70866141732283472" top="0.74803149606299213" bottom="0.74803149606299213" header="0.31496062992125984" footer="0.31496062992125984"/>
  <pageSetup paperSize="9" scale="38" orientation="portrait" r:id="rId1"/>
  <headerFooter alignWithMargins="0">
    <oddFooter>&amp;C&amp;P/&amp;N</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M43"/>
  <sheetViews>
    <sheetView showGridLines="0" view="pageBreakPreview" zoomScale="70" zoomScaleNormal="70" zoomScaleSheetLayoutView="70" workbookViewId="0">
      <selection activeCell="R22" sqref="R22"/>
    </sheetView>
  </sheetViews>
  <sheetFormatPr defaultColWidth="7.71484375" defaultRowHeight="23.25"/>
  <cols>
    <col min="1" max="1" width="43.03515625" style="159" customWidth="1"/>
    <col min="2" max="2" width="2.5703125" style="160" customWidth="1"/>
    <col min="3" max="3" width="14.96875" style="159" customWidth="1"/>
    <col min="4" max="4" width="10.0546875" style="159" customWidth="1"/>
    <col min="5" max="5" width="11.34375" style="159" customWidth="1"/>
    <col min="6" max="6" width="12.74609375" style="159" customWidth="1"/>
    <col min="7" max="7" width="11.34375" style="159" customWidth="1"/>
    <col min="8" max="8" width="10.0546875" style="159" customWidth="1"/>
    <col min="9" max="9" width="12.04296875" style="159" customWidth="1"/>
    <col min="10" max="10" width="12.74609375" style="159" customWidth="1"/>
    <col min="11" max="11" width="6.8984375" style="159" customWidth="1"/>
    <col min="12" max="12" width="7.71484375" style="159"/>
    <col min="13" max="13" width="14.3828125" style="159" bestFit="1" customWidth="1"/>
    <col min="14" max="16384" width="7.71484375" style="159"/>
  </cols>
  <sheetData>
    <row r="1" spans="1:13" ht="91.15" customHeight="1" thickBot="1">
      <c r="A1" s="506" t="s">
        <v>94</v>
      </c>
      <c r="B1" s="506"/>
      <c r="C1" s="506"/>
      <c r="D1" s="506"/>
      <c r="E1" s="506"/>
      <c r="F1" s="506"/>
      <c r="G1" s="506"/>
      <c r="H1" s="506"/>
      <c r="I1" s="506"/>
      <c r="J1" s="506"/>
    </row>
    <row r="2" spans="1:13" ht="32.65" customHeight="1">
      <c r="A2" s="507" t="s">
        <v>95</v>
      </c>
      <c r="B2" s="508"/>
      <c r="C2" s="508"/>
      <c r="D2" s="508"/>
      <c r="E2" s="508"/>
      <c r="F2" s="508"/>
      <c r="G2" s="508"/>
      <c r="H2" s="508"/>
      <c r="I2" s="508"/>
      <c r="J2" s="509"/>
    </row>
    <row r="3" spans="1:13" ht="28.15" customHeight="1">
      <c r="A3" s="510" t="str">
        <f>[6]CI!B26</f>
        <v>Address: O Mon Power Complex at Phuoc Thoi wards, O Mon district, Can Tho city</v>
      </c>
      <c r="B3" s="511"/>
      <c r="C3" s="511"/>
      <c r="D3" s="511"/>
      <c r="E3" s="511"/>
      <c r="F3" s="511"/>
      <c r="G3" s="511"/>
      <c r="H3" s="511"/>
      <c r="I3" s="511"/>
      <c r="J3" s="512"/>
    </row>
    <row r="5" spans="1:13" s="162" customFormat="1" ht="40.15" customHeight="1">
      <c r="A5" s="176" t="s">
        <v>96</v>
      </c>
      <c r="B5" s="161" t="s">
        <v>97</v>
      </c>
      <c r="C5" s="513" t="s">
        <v>135</v>
      </c>
      <c r="D5" s="514"/>
      <c r="E5" s="514"/>
      <c r="F5" s="514"/>
      <c r="G5" s="514"/>
      <c r="H5" s="514"/>
      <c r="I5" s="514"/>
      <c r="J5" s="515"/>
    </row>
    <row r="6" spans="1:13" s="162" customFormat="1" ht="55.5" customHeight="1">
      <c r="A6" s="177" t="s">
        <v>98</v>
      </c>
      <c r="B6" s="163" t="s">
        <v>97</v>
      </c>
      <c r="C6" s="504" t="s">
        <v>136</v>
      </c>
      <c r="D6" s="504"/>
      <c r="E6" s="504"/>
      <c r="F6" s="504"/>
      <c r="G6" s="504"/>
      <c r="H6" s="504"/>
      <c r="I6" s="504"/>
      <c r="J6" s="505"/>
    </row>
    <row r="7" spans="1:13" s="162" customFormat="1" ht="94.15" customHeight="1">
      <c r="A7" s="177" t="s">
        <v>116</v>
      </c>
      <c r="B7" s="164" t="s">
        <v>97</v>
      </c>
      <c r="C7" s="504" t="s">
        <v>137</v>
      </c>
      <c r="D7" s="504"/>
      <c r="E7" s="504"/>
      <c r="F7" s="504"/>
      <c r="G7" s="504"/>
      <c r="H7" s="504"/>
      <c r="I7" s="504"/>
      <c r="J7" s="505"/>
    </row>
    <row r="8" spans="1:13" s="162" customFormat="1" ht="20.65" customHeight="1">
      <c r="A8" s="177" t="s">
        <v>99</v>
      </c>
      <c r="B8" s="164" t="s">
        <v>100</v>
      </c>
      <c r="C8" s="504" t="s">
        <v>138</v>
      </c>
      <c r="D8" s="504"/>
      <c r="E8" s="504"/>
      <c r="F8" s="504"/>
      <c r="G8" s="504"/>
      <c r="H8" s="504"/>
      <c r="I8" s="504"/>
      <c r="J8" s="505"/>
    </row>
    <row r="9" spans="1:13" s="162" customFormat="1" ht="20.65" customHeight="1">
      <c r="A9" s="177"/>
      <c r="B9" s="164"/>
      <c r="C9" s="504"/>
      <c r="D9" s="504"/>
      <c r="E9" s="504"/>
      <c r="F9" s="504"/>
      <c r="G9" s="504"/>
      <c r="H9" s="504"/>
      <c r="I9" s="504"/>
      <c r="J9" s="505"/>
    </row>
    <row r="10" spans="1:13" s="162" customFormat="1" ht="20.65" customHeight="1">
      <c r="A10" s="177"/>
      <c r="B10" s="164"/>
      <c r="C10" s="504"/>
      <c r="D10" s="504"/>
      <c r="E10" s="504"/>
      <c r="F10" s="504"/>
      <c r="G10" s="504"/>
      <c r="H10" s="504"/>
      <c r="I10" s="504"/>
      <c r="J10" s="505"/>
    </row>
    <row r="11" spans="1:13" s="162" customFormat="1" ht="171" customHeight="1">
      <c r="A11" s="177"/>
      <c r="B11" s="164"/>
      <c r="C11" s="504"/>
      <c r="D11" s="504"/>
      <c r="E11" s="504"/>
      <c r="F11" s="504"/>
      <c r="G11" s="504"/>
      <c r="H11" s="504"/>
      <c r="I11" s="504"/>
      <c r="J11" s="505"/>
    </row>
    <row r="12" spans="1:13" s="162" customFormat="1">
      <c r="A12" s="177" t="s">
        <v>117</v>
      </c>
      <c r="B12" s="163" t="s">
        <v>97</v>
      </c>
      <c r="C12" s="504" t="s">
        <v>115</v>
      </c>
      <c r="D12" s="504"/>
      <c r="E12" s="504"/>
      <c r="F12" s="504"/>
      <c r="G12" s="504"/>
      <c r="H12" s="504"/>
      <c r="I12" s="504"/>
      <c r="J12" s="505"/>
    </row>
    <row r="13" spans="1:13" s="303" customFormat="1" ht="25.5">
      <c r="A13" s="266" t="s">
        <v>101</v>
      </c>
      <c r="B13" s="267" t="s">
        <v>100</v>
      </c>
      <c r="C13" s="516" t="s">
        <v>199</v>
      </c>
      <c r="D13" s="516"/>
      <c r="E13" s="516"/>
      <c r="F13" s="300"/>
      <c r="G13" s="301"/>
      <c r="H13" s="301"/>
      <c r="I13" s="301"/>
      <c r="J13" s="302"/>
    </row>
    <row r="14" spans="1:13" s="162" customFormat="1">
      <c r="A14" s="177" t="s">
        <v>118</v>
      </c>
      <c r="B14" s="163" t="s">
        <v>97</v>
      </c>
      <c r="C14" s="502" t="str">
        <f>[6]CI!B28</f>
        <v>PLANT/ EQUIPMENT AND MATERIALS FOR O MON IV THERMAL</v>
      </c>
      <c r="D14" s="502"/>
      <c r="E14" s="502"/>
      <c r="F14" s="502"/>
      <c r="G14" s="502"/>
      <c r="H14" s="502"/>
      <c r="I14" s="502"/>
      <c r="J14" s="503"/>
    </row>
    <row r="15" spans="1:13" s="162" customFormat="1">
      <c r="A15" s="266" t="s">
        <v>185</v>
      </c>
      <c r="B15" s="267" t="s">
        <v>97</v>
      </c>
      <c r="C15" s="500" t="str">
        <f>'PL(2_2)'!D15</f>
        <v>Zinc Primer Paint</v>
      </c>
      <c r="D15" s="500"/>
      <c r="E15" s="500"/>
      <c r="F15" s="500"/>
      <c r="G15" s="500"/>
      <c r="H15" s="500"/>
      <c r="I15" s="500"/>
      <c r="J15" s="501"/>
      <c r="L15" s="162" t="s">
        <v>186</v>
      </c>
    </row>
    <row r="16" spans="1:13" s="303" customFormat="1" ht="40.15" customHeight="1">
      <c r="A16" s="266" t="s">
        <v>124</v>
      </c>
      <c r="B16" s="304" t="s">
        <v>100</v>
      </c>
      <c r="C16" s="332" t="s">
        <v>171</v>
      </c>
      <c r="D16" s="333"/>
      <c r="E16" s="333"/>
      <c r="F16" s="333"/>
      <c r="G16" s="333"/>
      <c r="H16" s="333"/>
      <c r="I16" s="333"/>
      <c r="J16" s="334"/>
      <c r="M16" s="305"/>
    </row>
    <row r="17" spans="1:13" s="303" customFormat="1" ht="35.450000000000003" customHeight="1">
      <c r="A17" s="266" t="s">
        <v>121</v>
      </c>
      <c r="B17" s="304" t="s">
        <v>100</v>
      </c>
      <c r="C17" s="332" t="str">
        <f>'PL(2_2)'!C15</f>
        <v>OM4-DE-IS-0010-001</v>
      </c>
      <c r="D17" s="333"/>
      <c r="E17" s="333"/>
      <c r="F17" s="333"/>
      <c r="G17" s="333"/>
      <c r="H17" s="333"/>
      <c r="I17" s="333"/>
      <c r="J17" s="334"/>
      <c r="M17" s="305"/>
    </row>
    <row r="18" spans="1:13" s="303" customFormat="1" ht="49.9" customHeight="1">
      <c r="A18" s="266" t="s">
        <v>119</v>
      </c>
      <c r="B18" s="267" t="s">
        <v>97</v>
      </c>
      <c r="C18" s="168">
        <f>'PL(2_2)'!M15</f>
        <v>576</v>
      </c>
      <c r="D18" s="166" t="s">
        <v>102</v>
      </c>
      <c r="E18" s="167"/>
      <c r="F18" s="167"/>
      <c r="G18" s="167"/>
      <c r="H18" s="167"/>
      <c r="I18" s="167"/>
      <c r="J18" s="335"/>
    </row>
    <row r="19" spans="1:13" s="303" customFormat="1" ht="57.4" customHeight="1">
      <c r="A19" s="266" t="s">
        <v>120</v>
      </c>
      <c r="B19" s="267" t="s">
        <v>97</v>
      </c>
      <c r="C19" s="168">
        <f>'PL(2_2)'!N15</f>
        <v>726</v>
      </c>
      <c r="D19" s="166" t="s">
        <v>102</v>
      </c>
      <c r="E19" s="167"/>
      <c r="F19" s="336"/>
      <c r="G19" s="167"/>
      <c r="H19" s="167"/>
      <c r="I19" s="167"/>
      <c r="J19" s="337"/>
    </row>
    <row r="20" spans="1:13" s="303" customFormat="1" ht="53.65" customHeight="1">
      <c r="A20" s="266" t="s">
        <v>122</v>
      </c>
      <c r="B20" s="304" t="s">
        <v>97</v>
      </c>
      <c r="C20" s="338">
        <f>'PL(2_2)'!I15</f>
        <v>120</v>
      </c>
      <c r="D20" s="339" t="s">
        <v>103</v>
      </c>
      <c r="E20" s="338">
        <f>'PL(2_2)'!J15</f>
        <v>120</v>
      </c>
      <c r="F20" s="339" t="s">
        <v>104</v>
      </c>
      <c r="G20" s="338">
        <f>'PL(2_2)'!K15</f>
        <v>110</v>
      </c>
      <c r="H20" s="339" t="s">
        <v>105</v>
      </c>
      <c r="I20" s="168">
        <f>'PL(2_2)'!L15</f>
        <v>1.5840000000000001</v>
      </c>
      <c r="J20" s="340" t="s">
        <v>106</v>
      </c>
    </row>
    <row r="21" spans="1:13" s="303" customFormat="1" ht="31.15" customHeight="1">
      <c r="A21" s="266" t="s">
        <v>113</v>
      </c>
      <c r="B21" s="304" t="s">
        <v>97</v>
      </c>
      <c r="C21" s="312" t="str">
        <f>'Packing List (1_2)'!B21</f>
        <v>Busan International Port, Korea</v>
      </c>
      <c r="D21" s="306"/>
      <c r="E21" s="307"/>
      <c r="F21" s="306"/>
      <c r="G21" s="307"/>
      <c r="H21" s="306"/>
      <c r="I21" s="308"/>
      <c r="J21" s="309"/>
    </row>
    <row r="22" spans="1:13" s="162" customFormat="1" ht="49.15" customHeight="1">
      <c r="A22" s="177" t="s">
        <v>123</v>
      </c>
      <c r="B22" s="164" t="s">
        <v>97</v>
      </c>
      <c r="C22" s="170" t="s">
        <v>139</v>
      </c>
      <c r="D22" s="166"/>
      <c r="E22" s="167"/>
      <c r="F22" s="166"/>
      <c r="G22" s="167"/>
      <c r="H22" s="166"/>
      <c r="I22" s="168"/>
      <c r="J22" s="169"/>
    </row>
    <row r="23" spans="1:13" s="162" customFormat="1" ht="40.15" customHeight="1">
      <c r="A23" s="178" t="s">
        <v>107</v>
      </c>
      <c r="B23" s="164" t="s">
        <v>97</v>
      </c>
      <c r="C23" s="170" t="s">
        <v>143</v>
      </c>
      <c r="D23" s="166"/>
      <c r="E23" s="167"/>
      <c r="F23" s="166"/>
      <c r="G23" s="167"/>
      <c r="H23" s="166"/>
      <c r="I23" s="168"/>
      <c r="J23" s="169"/>
    </row>
    <row r="24" spans="1:13" s="162" customFormat="1" ht="40.15" customHeight="1">
      <c r="A24" s="179" t="s">
        <v>108</v>
      </c>
      <c r="B24" s="171" t="s">
        <v>97</v>
      </c>
      <c r="C24" s="341" t="s">
        <v>109</v>
      </c>
      <c r="D24" s="172"/>
      <c r="E24" s="172"/>
      <c r="F24" s="172"/>
      <c r="G24" s="172"/>
      <c r="H24" s="172"/>
      <c r="I24" s="172"/>
      <c r="J24" s="173"/>
    </row>
    <row r="25" spans="1:13" ht="120" hidden="1" customHeight="1" thickBot="1"/>
    <row r="26" spans="1:13" ht="55.15" hidden="1" customHeight="1"/>
    <row r="27" spans="1:13" ht="55.15" hidden="1" customHeight="1" thickBot="1"/>
    <row r="28" spans="1:13" ht="40.15" hidden="1" customHeight="1"/>
    <row r="29" spans="1:13" s="162" customFormat="1" ht="40.15" hidden="1" customHeight="1">
      <c r="A29" s="159"/>
      <c r="B29" s="160"/>
      <c r="C29" s="159"/>
      <c r="D29" s="159"/>
      <c r="E29" s="159"/>
      <c r="F29" s="159"/>
      <c r="G29" s="159"/>
      <c r="H29" s="159"/>
      <c r="I29" s="159"/>
      <c r="J29" s="159"/>
    </row>
    <row r="30" spans="1:13" s="162" customFormat="1" ht="55.5" hidden="1" customHeight="1">
      <c r="A30" s="159"/>
      <c r="B30" s="160"/>
      <c r="C30" s="159"/>
      <c r="D30" s="159"/>
      <c r="E30" s="159"/>
      <c r="F30" s="159"/>
      <c r="G30" s="159"/>
      <c r="H30" s="159"/>
      <c r="I30" s="159"/>
      <c r="J30" s="159"/>
    </row>
    <row r="31" spans="1:13" s="162" customFormat="1" ht="53.25" hidden="1" customHeight="1">
      <c r="A31" s="159"/>
      <c r="B31" s="160"/>
      <c r="C31" s="159"/>
      <c r="D31" s="159"/>
      <c r="E31" s="159"/>
      <c r="F31" s="159"/>
      <c r="G31" s="159"/>
      <c r="H31" s="159"/>
      <c r="I31" s="159"/>
      <c r="J31" s="159"/>
    </row>
    <row r="32" spans="1:13" s="162" customFormat="1" ht="99.75" hidden="1" customHeight="1">
      <c r="A32" s="159"/>
      <c r="B32" s="160"/>
      <c r="C32" s="159"/>
      <c r="D32" s="159"/>
      <c r="E32" s="159"/>
      <c r="F32" s="159"/>
      <c r="G32" s="159"/>
      <c r="H32" s="159"/>
      <c r="I32" s="159"/>
      <c r="J32" s="159"/>
    </row>
    <row r="33" spans="1:13" s="162" customFormat="1" ht="40.15" hidden="1" customHeight="1">
      <c r="A33" s="159"/>
      <c r="B33" s="160"/>
      <c r="C33" s="159"/>
      <c r="D33" s="159"/>
      <c r="E33" s="159"/>
      <c r="F33" s="159"/>
      <c r="G33" s="159"/>
      <c r="H33" s="159"/>
      <c r="I33" s="159"/>
      <c r="J33" s="159"/>
    </row>
    <row r="34" spans="1:13" s="162" customFormat="1" ht="40.15" hidden="1" customHeight="1">
      <c r="A34" s="159"/>
      <c r="B34" s="160"/>
      <c r="C34" s="159"/>
      <c r="D34" s="159"/>
      <c r="E34" s="159"/>
      <c r="F34" s="159"/>
      <c r="G34" s="159"/>
      <c r="H34" s="159"/>
      <c r="I34" s="159"/>
      <c r="J34" s="159"/>
    </row>
    <row r="35" spans="1:13" s="162" customFormat="1" ht="75" hidden="1" customHeight="1">
      <c r="A35" s="159"/>
      <c r="B35" s="160"/>
      <c r="C35" s="159"/>
      <c r="D35" s="159"/>
      <c r="E35" s="159"/>
      <c r="F35" s="159"/>
      <c r="G35" s="159"/>
      <c r="H35" s="159"/>
      <c r="I35" s="159"/>
      <c r="J35" s="159"/>
    </row>
    <row r="36" spans="1:13" s="162" customFormat="1" ht="40.15" hidden="1" customHeight="1">
      <c r="A36" s="159"/>
      <c r="B36" s="160"/>
      <c r="C36" s="159"/>
      <c r="D36" s="159"/>
      <c r="E36" s="159"/>
      <c r="F36" s="159"/>
      <c r="G36" s="159"/>
      <c r="H36" s="159"/>
      <c r="I36" s="159"/>
      <c r="J36" s="159"/>
      <c r="M36" s="165"/>
    </row>
    <row r="37" spans="1:13" s="162" customFormat="1" ht="40.15" hidden="1" customHeight="1">
      <c r="A37" s="159"/>
      <c r="B37" s="160"/>
      <c r="C37" s="159"/>
      <c r="D37" s="159"/>
      <c r="E37" s="159"/>
      <c r="F37" s="159"/>
      <c r="G37" s="159"/>
      <c r="H37" s="159"/>
      <c r="I37" s="159"/>
      <c r="J37" s="159"/>
    </row>
    <row r="38" spans="1:13" s="162" customFormat="1" ht="40.15" hidden="1" customHeight="1">
      <c r="A38" s="159"/>
      <c r="B38" s="160"/>
      <c r="C38" s="159"/>
      <c r="D38" s="159"/>
      <c r="E38" s="159"/>
      <c r="F38" s="159"/>
      <c r="G38" s="159"/>
      <c r="H38" s="159"/>
      <c r="I38" s="159"/>
      <c r="J38" s="159"/>
    </row>
    <row r="39" spans="1:13" s="162" customFormat="1" ht="40.15" hidden="1" customHeight="1">
      <c r="A39" s="159"/>
      <c r="B39" s="160"/>
      <c r="C39" s="159"/>
      <c r="D39" s="159"/>
      <c r="E39" s="159"/>
      <c r="F39" s="159"/>
      <c r="G39" s="159"/>
      <c r="H39" s="159"/>
      <c r="I39" s="159"/>
      <c r="J39" s="159"/>
    </row>
    <row r="40" spans="1:13" s="162" customFormat="1" ht="40.15" hidden="1" customHeight="1">
      <c r="A40" s="159"/>
      <c r="B40" s="160"/>
      <c r="C40" s="159"/>
      <c r="D40" s="159"/>
      <c r="E40" s="159"/>
      <c r="F40" s="159"/>
      <c r="G40" s="159"/>
      <c r="H40" s="159"/>
      <c r="I40" s="159"/>
      <c r="J40" s="159"/>
    </row>
    <row r="41" spans="1:13" s="162" customFormat="1" ht="40.15" hidden="1" customHeight="1">
      <c r="A41" s="159"/>
      <c r="B41" s="160"/>
      <c r="C41" s="159"/>
      <c r="D41" s="159"/>
      <c r="E41" s="159"/>
      <c r="F41" s="159"/>
      <c r="G41" s="159"/>
      <c r="H41" s="159"/>
      <c r="I41" s="159"/>
      <c r="J41" s="159"/>
    </row>
    <row r="42" spans="1:13" s="162" customFormat="1" ht="40.15" hidden="1" customHeight="1">
      <c r="A42" s="159"/>
      <c r="B42" s="160"/>
      <c r="C42" s="159"/>
      <c r="D42" s="159"/>
      <c r="E42" s="159"/>
      <c r="F42" s="159"/>
      <c r="G42" s="159"/>
      <c r="H42" s="159"/>
      <c r="I42" s="159"/>
      <c r="J42" s="159"/>
    </row>
    <row r="43" spans="1:13" s="162" customFormat="1" ht="40.15" hidden="1" customHeight="1">
      <c r="A43" s="159"/>
      <c r="B43" s="160"/>
      <c r="C43" s="159"/>
      <c r="D43" s="159"/>
      <c r="E43" s="159"/>
      <c r="F43" s="159"/>
      <c r="G43" s="159"/>
      <c r="H43" s="159"/>
      <c r="I43" s="159"/>
      <c r="J43" s="159"/>
    </row>
  </sheetData>
  <mergeCells count="11">
    <mergeCell ref="C15:J15"/>
    <mergeCell ref="C14:J14"/>
    <mergeCell ref="C7:J7"/>
    <mergeCell ref="A1:J1"/>
    <mergeCell ref="A2:J2"/>
    <mergeCell ref="A3:J3"/>
    <mergeCell ref="C5:J5"/>
    <mergeCell ref="C6:J6"/>
    <mergeCell ref="C8:J11"/>
    <mergeCell ref="C12:J12"/>
    <mergeCell ref="C13:E13"/>
  </mergeCells>
  <phoneticPr fontId="34" type="noConversion"/>
  <printOptions horizontalCentered="1"/>
  <pageMargins left="0.25" right="0.25" top="0.75" bottom="0.75" header="0.3" footer="0.3"/>
  <pageSetup paperSize="9" scale="60" fitToHeight="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62C96-AA0F-4745-9F57-F7424A02D833}">
  <sheetPr>
    <tabColor rgb="FF00B050"/>
    <pageSetUpPr fitToPage="1"/>
  </sheetPr>
  <dimension ref="A1:M43"/>
  <sheetViews>
    <sheetView showGridLines="0" view="pageBreakPreview" zoomScale="70" zoomScaleNormal="70" zoomScaleSheetLayoutView="70" workbookViewId="0">
      <selection activeCell="C24" sqref="C24"/>
    </sheetView>
  </sheetViews>
  <sheetFormatPr defaultColWidth="7.71484375" defaultRowHeight="23.25"/>
  <cols>
    <col min="1" max="1" width="43.03515625" style="159" customWidth="1"/>
    <col min="2" max="2" width="2.5703125" style="160" customWidth="1"/>
    <col min="3" max="3" width="14.96875" style="159" customWidth="1"/>
    <col min="4" max="4" width="10.0546875" style="159" customWidth="1"/>
    <col min="5" max="5" width="11.34375" style="159" customWidth="1"/>
    <col min="6" max="6" width="12.74609375" style="159" customWidth="1"/>
    <col min="7" max="7" width="11.34375" style="159" customWidth="1"/>
    <col min="8" max="8" width="10.0546875" style="159" customWidth="1"/>
    <col min="9" max="9" width="12.04296875" style="159" customWidth="1"/>
    <col min="10" max="10" width="12.74609375" style="159" customWidth="1"/>
    <col min="11" max="11" width="6.8984375" style="159" customWidth="1"/>
    <col min="12" max="12" width="7.71484375" style="159"/>
    <col min="13" max="13" width="14.3828125" style="159" bestFit="1" customWidth="1"/>
    <col min="14" max="16384" width="7.71484375" style="159"/>
  </cols>
  <sheetData>
    <row r="1" spans="1:13" ht="91.15" customHeight="1" thickBot="1">
      <c r="A1" s="506" t="s">
        <v>94</v>
      </c>
      <c r="B1" s="506"/>
      <c r="C1" s="506"/>
      <c r="D1" s="506"/>
      <c r="E1" s="506"/>
      <c r="F1" s="506"/>
      <c r="G1" s="506"/>
      <c r="H1" s="506"/>
      <c r="I1" s="506"/>
      <c r="J1" s="506"/>
    </row>
    <row r="2" spans="1:13" ht="32.65" customHeight="1">
      <c r="A2" s="507" t="s">
        <v>95</v>
      </c>
      <c r="B2" s="508"/>
      <c r="C2" s="508"/>
      <c r="D2" s="508"/>
      <c r="E2" s="508"/>
      <c r="F2" s="508"/>
      <c r="G2" s="508"/>
      <c r="H2" s="508"/>
      <c r="I2" s="508"/>
      <c r="J2" s="509"/>
    </row>
    <row r="3" spans="1:13" ht="28.15" customHeight="1">
      <c r="A3" s="510" t="str">
        <f>[6]CI!B26</f>
        <v>Address: O Mon Power Complex at Phuoc Thoi wards, O Mon district, Can Tho city</v>
      </c>
      <c r="B3" s="511"/>
      <c r="C3" s="511"/>
      <c r="D3" s="511"/>
      <c r="E3" s="511"/>
      <c r="F3" s="511"/>
      <c r="G3" s="511"/>
      <c r="H3" s="511"/>
      <c r="I3" s="511"/>
      <c r="J3" s="512"/>
    </row>
    <row r="5" spans="1:13" s="162" customFormat="1" ht="40.15" customHeight="1">
      <c r="A5" s="176" t="s">
        <v>96</v>
      </c>
      <c r="B5" s="161" t="s">
        <v>97</v>
      </c>
      <c r="C5" s="513" t="s">
        <v>135</v>
      </c>
      <c r="D5" s="514"/>
      <c r="E5" s="514"/>
      <c r="F5" s="514"/>
      <c r="G5" s="514"/>
      <c r="H5" s="514"/>
      <c r="I5" s="514"/>
      <c r="J5" s="515"/>
    </row>
    <row r="6" spans="1:13" s="162" customFormat="1" ht="55.5" customHeight="1">
      <c r="A6" s="177" t="s">
        <v>98</v>
      </c>
      <c r="B6" s="163" t="s">
        <v>97</v>
      </c>
      <c r="C6" s="504" t="s">
        <v>136</v>
      </c>
      <c r="D6" s="504"/>
      <c r="E6" s="504"/>
      <c r="F6" s="504"/>
      <c r="G6" s="504"/>
      <c r="H6" s="504"/>
      <c r="I6" s="504"/>
      <c r="J6" s="505"/>
    </row>
    <row r="7" spans="1:13" s="162" customFormat="1" ht="94.15" customHeight="1">
      <c r="A7" s="177" t="s">
        <v>116</v>
      </c>
      <c r="B7" s="164" t="s">
        <v>97</v>
      </c>
      <c r="C7" s="504" t="s">
        <v>137</v>
      </c>
      <c r="D7" s="504"/>
      <c r="E7" s="504"/>
      <c r="F7" s="504"/>
      <c r="G7" s="504"/>
      <c r="H7" s="504"/>
      <c r="I7" s="504"/>
      <c r="J7" s="505"/>
    </row>
    <row r="8" spans="1:13" s="162" customFormat="1" ht="20.65" customHeight="1">
      <c r="A8" s="177" t="s">
        <v>99</v>
      </c>
      <c r="B8" s="164" t="s">
        <v>100</v>
      </c>
      <c r="C8" s="504" t="s">
        <v>138</v>
      </c>
      <c r="D8" s="504"/>
      <c r="E8" s="504"/>
      <c r="F8" s="504"/>
      <c r="G8" s="504"/>
      <c r="H8" s="504"/>
      <c r="I8" s="504"/>
      <c r="J8" s="505"/>
    </row>
    <row r="9" spans="1:13" s="162" customFormat="1" ht="20.65" customHeight="1">
      <c r="A9" s="177"/>
      <c r="B9" s="164"/>
      <c r="C9" s="504"/>
      <c r="D9" s="504"/>
      <c r="E9" s="504"/>
      <c r="F9" s="504"/>
      <c r="G9" s="504"/>
      <c r="H9" s="504"/>
      <c r="I9" s="504"/>
      <c r="J9" s="505"/>
    </row>
    <row r="10" spans="1:13" s="162" customFormat="1" ht="20.65" customHeight="1">
      <c r="A10" s="177"/>
      <c r="B10" s="164"/>
      <c r="C10" s="504"/>
      <c r="D10" s="504"/>
      <c r="E10" s="504"/>
      <c r="F10" s="504"/>
      <c r="G10" s="504"/>
      <c r="H10" s="504"/>
      <c r="I10" s="504"/>
      <c r="J10" s="505"/>
    </row>
    <row r="11" spans="1:13" s="162" customFormat="1" ht="171" customHeight="1">
      <c r="A11" s="177"/>
      <c r="B11" s="164"/>
      <c r="C11" s="504"/>
      <c r="D11" s="504"/>
      <c r="E11" s="504"/>
      <c r="F11" s="504"/>
      <c r="G11" s="504"/>
      <c r="H11" s="504"/>
      <c r="I11" s="504"/>
      <c r="J11" s="505"/>
    </row>
    <row r="12" spans="1:13" s="162" customFormat="1">
      <c r="A12" s="177" t="s">
        <v>117</v>
      </c>
      <c r="B12" s="163" t="s">
        <v>97</v>
      </c>
      <c r="C12" s="504" t="s">
        <v>115</v>
      </c>
      <c r="D12" s="504"/>
      <c r="E12" s="504"/>
      <c r="F12" s="504"/>
      <c r="G12" s="504"/>
      <c r="H12" s="504"/>
      <c r="I12" s="504"/>
      <c r="J12" s="505"/>
    </row>
    <row r="13" spans="1:13" s="303" customFormat="1" ht="25.5">
      <c r="A13" s="266" t="s">
        <v>101</v>
      </c>
      <c r="B13" s="267" t="s">
        <v>100</v>
      </c>
      <c r="C13" s="516" t="s">
        <v>199</v>
      </c>
      <c r="D13" s="516"/>
      <c r="E13" s="516"/>
      <c r="F13" s="300"/>
      <c r="G13" s="301"/>
      <c r="H13" s="301"/>
      <c r="I13" s="301"/>
      <c r="J13" s="302"/>
    </row>
    <row r="14" spans="1:13" s="162" customFormat="1">
      <c r="A14" s="177" t="s">
        <v>118</v>
      </c>
      <c r="B14" s="163" t="s">
        <v>97</v>
      </c>
      <c r="C14" s="502" t="str">
        <f>[6]CI!B28</f>
        <v>PLANT/ EQUIPMENT AND MATERIALS FOR O MON IV THERMAL</v>
      </c>
      <c r="D14" s="502"/>
      <c r="E14" s="502"/>
      <c r="F14" s="502"/>
      <c r="G14" s="502"/>
      <c r="H14" s="502"/>
      <c r="I14" s="502"/>
      <c r="J14" s="503"/>
    </row>
    <row r="15" spans="1:13" s="162" customFormat="1">
      <c r="A15" s="266" t="s">
        <v>185</v>
      </c>
      <c r="B15" s="267" t="s">
        <v>97</v>
      </c>
      <c r="C15" s="500" t="str">
        <f>'PL(2_2)'!D16</f>
        <v>Zinc Primer Paint, Sealant</v>
      </c>
      <c r="D15" s="500"/>
      <c r="E15" s="500"/>
      <c r="F15" s="500"/>
      <c r="G15" s="500"/>
      <c r="H15" s="500"/>
      <c r="I15" s="500"/>
      <c r="J15" s="501"/>
      <c r="L15" s="162" t="s">
        <v>186</v>
      </c>
    </row>
    <row r="16" spans="1:13" s="303" customFormat="1" ht="40.15" customHeight="1">
      <c r="A16" s="266" t="s">
        <v>124</v>
      </c>
      <c r="B16" s="304" t="s">
        <v>100</v>
      </c>
      <c r="C16" s="332" t="s">
        <v>171</v>
      </c>
      <c r="D16" s="333"/>
      <c r="E16" s="333"/>
      <c r="F16" s="333"/>
      <c r="G16" s="333"/>
      <c r="H16" s="333"/>
      <c r="I16" s="333"/>
      <c r="J16" s="334"/>
      <c r="M16" s="305"/>
    </row>
    <row r="17" spans="1:13" s="303" customFormat="1" ht="35.450000000000003" customHeight="1">
      <c r="A17" s="266" t="s">
        <v>121</v>
      </c>
      <c r="B17" s="304" t="s">
        <v>100</v>
      </c>
      <c r="C17" s="332" t="str">
        <f>'PL(2_2)'!C16</f>
        <v>OM4-DE-IS-0010-002</v>
      </c>
      <c r="D17" s="333"/>
      <c r="E17" s="333"/>
      <c r="F17" s="333"/>
      <c r="G17" s="333"/>
      <c r="H17" s="333"/>
      <c r="I17" s="333"/>
      <c r="J17" s="334"/>
      <c r="M17" s="305"/>
    </row>
    <row r="18" spans="1:13" s="303" customFormat="1" ht="49.9" customHeight="1">
      <c r="A18" s="266" t="s">
        <v>119</v>
      </c>
      <c r="B18" s="267" t="s">
        <v>97</v>
      </c>
      <c r="C18" s="168">
        <f>'PL(2_2)'!M16</f>
        <v>324</v>
      </c>
      <c r="D18" s="166" t="s">
        <v>102</v>
      </c>
      <c r="E18" s="167"/>
      <c r="F18" s="167"/>
      <c r="G18" s="167"/>
      <c r="H18" s="167"/>
      <c r="I18" s="167"/>
      <c r="J18" s="335"/>
    </row>
    <row r="19" spans="1:13" s="303" customFormat="1" ht="57.4" customHeight="1">
      <c r="A19" s="266" t="s">
        <v>120</v>
      </c>
      <c r="B19" s="267" t="s">
        <v>97</v>
      </c>
      <c r="C19" s="168">
        <f>'PL(2_2)'!N16</f>
        <v>474</v>
      </c>
      <c r="D19" s="166" t="s">
        <v>102</v>
      </c>
      <c r="E19" s="167"/>
      <c r="F19" s="336"/>
      <c r="G19" s="167"/>
      <c r="H19" s="167"/>
      <c r="I19" s="167"/>
      <c r="J19" s="337"/>
    </row>
    <row r="20" spans="1:13" s="303" customFormat="1" ht="53.65" customHeight="1">
      <c r="A20" s="266" t="s">
        <v>122</v>
      </c>
      <c r="B20" s="304" t="s">
        <v>97</v>
      </c>
      <c r="C20" s="338">
        <f>'PL(2_2)'!I16</f>
        <v>120</v>
      </c>
      <c r="D20" s="339" t="s">
        <v>103</v>
      </c>
      <c r="E20" s="338">
        <f>'PL(2_2)'!J16</f>
        <v>120</v>
      </c>
      <c r="F20" s="339" t="s">
        <v>104</v>
      </c>
      <c r="G20" s="338">
        <f>'PL(2_2)'!K16</f>
        <v>110</v>
      </c>
      <c r="H20" s="339" t="s">
        <v>105</v>
      </c>
      <c r="I20" s="168">
        <f>'PL(2_2)'!L16</f>
        <v>1.5840000000000001</v>
      </c>
      <c r="J20" s="340" t="s">
        <v>106</v>
      </c>
    </row>
    <row r="21" spans="1:13" s="303" customFormat="1" ht="31.15" customHeight="1">
      <c r="A21" s="266" t="s">
        <v>113</v>
      </c>
      <c r="B21" s="304" t="s">
        <v>97</v>
      </c>
      <c r="C21" s="312" t="str">
        <f>'Packing List (1_2)'!B21</f>
        <v>Busan International Port, Korea</v>
      </c>
      <c r="D21" s="306"/>
      <c r="E21" s="307"/>
      <c r="F21" s="306"/>
      <c r="G21" s="307"/>
      <c r="H21" s="306"/>
      <c r="I21" s="308"/>
      <c r="J21" s="309"/>
    </row>
    <row r="22" spans="1:13" s="162" customFormat="1" ht="49.15" customHeight="1">
      <c r="A22" s="177" t="s">
        <v>123</v>
      </c>
      <c r="B22" s="164" t="s">
        <v>97</v>
      </c>
      <c r="C22" s="170" t="s">
        <v>139</v>
      </c>
      <c r="D22" s="166"/>
      <c r="E22" s="167"/>
      <c r="F22" s="166"/>
      <c r="G22" s="167"/>
      <c r="H22" s="166"/>
      <c r="I22" s="168"/>
      <c r="J22" s="169"/>
    </row>
    <row r="23" spans="1:13" s="162" customFormat="1" ht="40.15" customHeight="1">
      <c r="A23" s="178" t="s">
        <v>107</v>
      </c>
      <c r="B23" s="164" t="s">
        <v>97</v>
      </c>
      <c r="C23" s="170" t="s">
        <v>143</v>
      </c>
      <c r="D23" s="166"/>
      <c r="E23" s="167"/>
      <c r="F23" s="166"/>
      <c r="G23" s="167"/>
      <c r="H23" s="166"/>
      <c r="I23" s="168"/>
      <c r="J23" s="169"/>
    </row>
    <row r="24" spans="1:13" s="162" customFormat="1" ht="40.15" customHeight="1">
      <c r="A24" s="179" t="s">
        <v>108</v>
      </c>
      <c r="B24" s="171" t="s">
        <v>97</v>
      </c>
      <c r="C24" s="341" t="s">
        <v>109</v>
      </c>
      <c r="D24" s="172"/>
      <c r="E24" s="172"/>
      <c r="F24" s="172"/>
      <c r="G24" s="172"/>
      <c r="H24" s="172"/>
      <c r="I24" s="172"/>
      <c r="J24" s="173"/>
    </row>
    <row r="25" spans="1:13" ht="120" hidden="1" customHeight="1" thickBot="1"/>
    <row r="26" spans="1:13" ht="55.15" hidden="1" customHeight="1"/>
    <row r="27" spans="1:13" ht="55.15" hidden="1" customHeight="1" thickBot="1"/>
    <row r="28" spans="1:13" ht="40.15" hidden="1" customHeight="1"/>
    <row r="29" spans="1:13" s="162" customFormat="1" ht="40.15" hidden="1" customHeight="1">
      <c r="A29" s="159"/>
      <c r="B29" s="160"/>
      <c r="C29" s="159"/>
      <c r="D29" s="159"/>
      <c r="E29" s="159"/>
      <c r="F29" s="159"/>
      <c r="G29" s="159"/>
      <c r="H29" s="159"/>
      <c r="I29" s="159"/>
      <c r="J29" s="159"/>
    </row>
    <row r="30" spans="1:13" s="162" customFormat="1" ht="55.5" hidden="1" customHeight="1">
      <c r="A30" s="159"/>
      <c r="B30" s="160"/>
      <c r="C30" s="159"/>
      <c r="D30" s="159"/>
      <c r="E30" s="159"/>
      <c r="F30" s="159"/>
      <c r="G30" s="159"/>
      <c r="H30" s="159"/>
      <c r="I30" s="159"/>
      <c r="J30" s="159"/>
    </row>
    <row r="31" spans="1:13" s="162" customFormat="1" ht="53.25" hidden="1" customHeight="1">
      <c r="A31" s="159"/>
      <c r="B31" s="160"/>
      <c r="C31" s="159"/>
      <c r="D31" s="159"/>
      <c r="E31" s="159"/>
      <c r="F31" s="159"/>
      <c r="G31" s="159"/>
      <c r="H31" s="159"/>
      <c r="I31" s="159"/>
      <c r="J31" s="159"/>
    </row>
    <row r="32" spans="1:13" s="162" customFormat="1" ht="99.75" hidden="1" customHeight="1">
      <c r="A32" s="159"/>
      <c r="B32" s="160"/>
      <c r="C32" s="159"/>
      <c r="D32" s="159"/>
      <c r="E32" s="159"/>
      <c r="F32" s="159"/>
      <c r="G32" s="159"/>
      <c r="H32" s="159"/>
      <c r="I32" s="159"/>
      <c r="J32" s="159"/>
    </row>
    <row r="33" spans="1:13" s="162" customFormat="1" ht="40.15" hidden="1" customHeight="1">
      <c r="A33" s="159"/>
      <c r="B33" s="160"/>
      <c r="C33" s="159"/>
      <c r="D33" s="159"/>
      <c r="E33" s="159"/>
      <c r="F33" s="159"/>
      <c r="G33" s="159"/>
      <c r="H33" s="159"/>
      <c r="I33" s="159"/>
      <c r="J33" s="159"/>
    </row>
    <row r="34" spans="1:13" s="162" customFormat="1" ht="40.15" hidden="1" customHeight="1">
      <c r="A34" s="159"/>
      <c r="B34" s="160"/>
      <c r="C34" s="159"/>
      <c r="D34" s="159"/>
      <c r="E34" s="159"/>
      <c r="F34" s="159"/>
      <c r="G34" s="159"/>
      <c r="H34" s="159"/>
      <c r="I34" s="159"/>
      <c r="J34" s="159"/>
    </row>
    <row r="35" spans="1:13" s="162" customFormat="1" ht="75" hidden="1" customHeight="1">
      <c r="A35" s="159"/>
      <c r="B35" s="160"/>
      <c r="C35" s="159"/>
      <c r="D35" s="159"/>
      <c r="E35" s="159"/>
      <c r="F35" s="159"/>
      <c r="G35" s="159"/>
      <c r="H35" s="159"/>
      <c r="I35" s="159"/>
      <c r="J35" s="159"/>
    </row>
    <row r="36" spans="1:13" s="162" customFormat="1" ht="40.15" hidden="1" customHeight="1">
      <c r="A36" s="159"/>
      <c r="B36" s="160"/>
      <c r="C36" s="159"/>
      <c r="D36" s="159"/>
      <c r="E36" s="159"/>
      <c r="F36" s="159"/>
      <c r="G36" s="159"/>
      <c r="H36" s="159"/>
      <c r="I36" s="159"/>
      <c r="J36" s="159"/>
      <c r="M36" s="165"/>
    </row>
    <row r="37" spans="1:13" s="162" customFormat="1" ht="40.15" hidden="1" customHeight="1">
      <c r="A37" s="159"/>
      <c r="B37" s="160"/>
      <c r="C37" s="159"/>
      <c r="D37" s="159"/>
      <c r="E37" s="159"/>
      <c r="F37" s="159"/>
      <c r="G37" s="159"/>
      <c r="H37" s="159"/>
      <c r="I37" s="159"/>
      <c r="J37" s="159"/>
    </row>
    <row r="38" spans="1:13" s="162" customFormat="1" ht="40.15" hidden="1" customHeight="1">
      <c r="A38" s="159"/>
      <c r="B38" s="160"/>
      <c r="C38" s="159"/>
      <c r="D38" s="159"/>
      <c r="E38" s="159"/>
      <c r="F38" s="159"/>
      <c r="G38" s="159"/>
      <c r="H38" s="159"/>
      <c r="I38" s="159"/>
      <c r="J38" s="159"/>
    </row>
    <row r="39" spans="1:13" s="162" customFormat="1" ht="40.15" hidden="1" customHeight="1">
      <c r="A39" s="159"/>
      <c r="B39" s="160"/>
      <c r="C39" s="159"/>
      <c r="D39" s="159"/>
      <c r="E39" s="159"/>
      <c r="F39" s="159"/>
      <c r="G39" s="159"/>
      <c r="H39" s="159"/>
      <c r="I39" s="159"/>
      <c r="J39" s="159"/>
    </row>
    <row r="40" spans="1:13" s="162" customFormat="1" ht="40.15" hidden="1" customHeight="1">
      <c r="A40" s="159"/>
      <c r="B40" s="160"/>
      <c r="C40" s="159"/>
      <c r="D40" s="159"/>
      <c r="E40" s="159"/>
      <c r="F40" s="159"/>
      <c r="G40" s="159"/>
      <c r="H40" s="159"/>
      <c r="I40" s="159"/>
      <c r="J40" s="159"/>
    </row>
    <row r="41" spans="1:13" s="162" customFormat="1" ht="40.15" hidden="1" customHeight="1">
      <c r="A41" s="159"/>
      <c r="B41" s="160"/>
      <c r="C41" s="159"/>
      <c r="D41" s="159"/>
      <c r="E41" s="159"/>
      <c r="F41" s="159"/>
      <c r="G41" s="159"/>
      <c r="H41" s="159"/>
      <c r="I41" s="159"/>
      <c r="J41" s="159"/>
    </row>
    <row r="42" spans="1:13" s="162" customFormat="1" ht="40.15" hidden="1" customHeight="1">
      <c r="A42" s="159"/>
      <c r="B42" s="160"/>
      <c r="C42" s="159"/>
      <c r="D42" s="159"/>
      <c r="E42" s="159"/>
      <c r="F42" s="159"/>
      <c r="G42" s="159"/>
      <c r="H42" s="159"/>
      <c r="I42" s="159"/>
      <c r="J42" s="159"/>
    </row>
    <row r="43" spans="1:13" s="162" customFormat="1" ht="40.15" hidden="1" customHeight="1">
      <c r="A43" s="159"/>
      <c r="B43" s="160"/>
      <c r="C43" s="159"/>
      <c r="D43" s="159"/>
      <c r="E43" s="159"/>
      <c r="F43" s="159"/>
      <c r="G43" s="159"/>
      <c r="H43" s="159"/>
      <c r="I43" s="159"/>
      <c r="J43" s="159"/>
    </row>
  </sheetData>
  <mergeCells count="11">
    <mergeCell ref="C8:J11"/>
    <mergeCell ref="C12:J12"/>
    <mergeCell ref="C13:E13"/>
    <mergeCell ref="C14:J14"/>
    <mergeCell ref="C15:J15"/>
    <mergeCell ref="C7:J7"/>
    <mergeCell ref="A1:J1"/>
    <mergeCell ref="A2:J2"/>
    <mergeCell ref="A3:J3"/>
    <mergeCell ref="C5:J5"/>
    <mergeCell ref="C6:J6"/>
  </mergeCells>
  <phoneticPr fontId="34" type="noConversion"/>
  <printOptions horizontalCentered="1"/>
  <pageMargins left="0.25" right="0.25" top="0.75" bottom="0.75" header="0.3" footer="0.3"/>
  <pageSetup paperSize="9" scale="60" fitToHeight="0"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R51"/>
  <sheetViews>
    <sheetView view="pageBreakPreview" zoomScale="85" zoomScaleNormal="100" zoomScaleSheetLayoutView="85" workbookViewId="0">
      <selection activeCell="A8" sqref="A8:A9"/>
    </sheetView>
  </sheetViews>
  <sheetFormatPr defaultColWidth="8.88671875" defaultRowHeight="14.25"/>
  <cols>
    <col min="1" max="1" width="11.34375" style="73" customWidth="1"/>
    <col min="2" max="2" width="28.65234375" style="73" customWidth="1"/>
    <col min="3" max="3" width="39.05859375" style="222" bestFit="1" customWidth="1"/>
    <col min="4" max="4" width="10.7578125" style="250" customWidth="1"/>
    <col min="5" max="5" width="7.25" style="78" customWidth="1"/>
    <col min="6" max="7" width="22.8046875" style="249" customWidth="1"/>
    <col min="8" max="8" width="49.3515625" style="73" customWidth="1"/>
    <col min="9" max="10" width="8.88671875" style="222"/>
    <col min="11" max="16384" width="8.88671875" style="73"/>
  </cols>
  <sheetData>
    <row r="1" spans="1:10" s="217" customFormat="1">
      <c r="C1" s="218"/>
      <c r="D1" s="219"/>
      <c r="E1" s="220"/>
      <c r="G1" s="73"/>
      <c r="H1" s="146"/>
      <c r="I1" s="218"/>
      <c r="J1" s="218"/>
    </row>
    <row r="2" spans="1:10" s="217" customFormat="1">
      <c r="C2" s="218"/>
      <c r="D2" s="219"/>
      <c r="E2" s="220"/>
      <c r="G2" s="73"/>
      <c r="H2" s="146"/>
      <c r="I2" s="218"/>
      <c r="J2" s="218"/>
    </row>
    <row r="3" spans="1:10" s="217" customFormat="1">
      <c r="C3" s="218"/>
      <c r="D3" s="219"/>
      <c r="E3" s="220"/>
      <c r="G3" s="73"/>
      <c r="H3" s="146"/>
      <c r="I3" s="218"/>
      <c r="J3" s="218"/>
    </row>
    <row r="4" spans="1:10" s="217" customFormat="1">
      <c r="C4" s="218"/>
      <c r="D4" s="219"/>
      <c r="E4" s="220"/>
      <c r="G4" s="73"/>
      <c r="H4" s="146"/>
      <c r="I4" s="218"/>
      <c r="J4" s="218"/>
    </row>
    <row r="5" spans="1:10" s="217" customFormat="1">
      <c r="C5" s="218"/>
      <c r="D5" s="219"/>
      <c r="E5" s="220"/>
      <c r="G5" s="221"/>
      <c r="H5" s="146"/>
      <c r="I5" s="218"/>
      <c r="J5" s="218"/>
    </row>
    <row r="6" spans="1:10" ht="35.25" customHeight="1">
      <c r="A6" s="376" t="s">
        <v>173</v>
      </c>
      <c r="B6" s="376"/>
      <c r="C6" s="376"/>
      <c r="D6" s="376"/>
      <c r="E6" s="376"/>
      <c r="F6" s="376"/>
      <c r="G6" s="376"/>
      <c r="H6" s="376"/>
    </row>
    <row r="7" spans="1:10" s="136" customFormat="1" ht="20.25" customHeight="1" thickBot="1">
      <c r="A7" s="223" t="s">
        <v>174</v>
      </c>
      <c r="B7" s="313" t="str">
        <f>'Commercial Invoice'!H5</f>
        <v>OM4-DE-IS-0010</v>
      </c>
      <c r="C7" s="314"/>
      <c r="D7" s="315"/>
      <c r="E7" s="316"/>
      <c r="F7" s="225"/>
      <c r="G7" s="225"/>
      <c r="I7" s="224"/>
      <c r="J7" s="224"/>
    </row>
    <row r="8" spans="1:10" s="227" customFormat="1" ht="21.95" customHeight="1">
      <c r="A8" s="518" t="s">
        <v>175</v>
      </c>
      <c r="B8" s="520" t="s">
        <v>176</v>
      </c>
      <c r="C8" s="520" t="s">
        <v>177</v>
      </c>
      <c r="D8" s="522" t="s">
        <v>178</v>
      </c>
      <c r="E8" s="523"/>
      <c r="F8" s="524" t="s">
        <v>179</v>
      </c>
      <c r="G8" s="525"/>
      <c r="H8" s="526" t="s">
        <v>180</v>
      </c>
      <c r="I8" s="226"/>
      <c r="J8" s="226"/>
    </row>
    <row r="9" spans="1:10" s="227" customFormat="1" ht="21.95" customHeight="1">
      <c r="A9" s="519"/>
      <c r="B9" s="521"/>
      <c r="C9" s="521"/>
      <c r="D9" s="317" t="s">
        <v>181</v>
      </c>
      <c r="E9" s="318" t="s">
        <v>182</v>
      </c>
      <c r="F9" s="228" t="s">
        <v>183</v>
      </c>
      <c r="G9" s="228" t="s">
        <v>184</v>
      </c>
      <c r="H9" s="527"/>
      <c r="I9" s="226"/>
      <c r="J9" s="226"/>
    </row>
    <row r="10" spans="1:10" s="234" customFormat="1" ht="208.15" customHeight="1">
      <c r="A10" s="229">
        <v>1</v>
      </c>
      <c r="B10" s="319" t="str">
        <f>'PL(2_2)'!C15</f>
        <v>OM4-DE-IS-0010-001</v>
      </c>
      <c r="C10" s="320" t="str">
        <f>'PL(2_2)'!D15</f>
        <v>Zinc Primer Paint</v>
      </c>
      <c r="D10" s="321">
        <f>'PL(2_2)'!F15</f>
        <v>32</v>
      </c>
      <c r="E10" s="322" t="str">
        <f>'PL(2_2)'!G15</f>
        <v>EA</v>
      </c>
      <c r="F10" s="230"/>
      <c r="G10" s="230"/>
      <c r="H10" s="231"/>
      <c r="I10" s="232"/>
      <c r="J10" s="233"/>
    </row>
    <row r="11" spans="1:10" ht="208.15" customHeight="1" thickBot="1">
      <c r="A11" s="229">
        <v>2</v>
      </c>
      <c r="B11" s="319" t="str">
        <f>'PL(2_2)'!C16</f>
        <v>OM4-DE-IS-0010-002</v>
      </c>
      <c r="C11" s="320" t="str">
        <f>'PL(2_2)'!D16</f>
        <v>Zinc Primer Paint, Sealant</v>
      </c>
      <c r="D11" s="321">
        <f>'PL(2_2)'!F16</f>
        <v>18</v>
      </c>
      <c r="E11" s="322" t="str">
        <f>'PL(2_2)'!G16</f>
        <v>EA</v>
      </c>
      <c r="F11" s="235"/>
      <c r="G11" s="235"/>
      <c r="H11" s="231"/>
    </row>
    <row r="12" spans="1:10" s="236" customFormat="1" ht="29.25" customHeight="1">
      <c r="D12" s="237"/>
      <c r="E12" s="238"/>
      <c r="F12" s="239"/>
      <c r="G12" s="240"/>
      <c r="H12" s="241"/>
      <c r="I12" s="242"/>
      <c r="J12" s="242"/>
    </row>
    <row r="13" spans="1:10" s="217" customFormat="1" ht="12" customHeight="1">
      <c r="B13" s="220"/>
      <c r="D13" s="243"/>
      <c r="E13" s="220"/>
      <c r="F13" s="244"/>
      <c r="G13" s="244"/>
      <c r="H13" s="245"/>
      <c r="I13" s="218"/>
      <c r="J13" s="218"/>
    </row>
    <row r="14" spans="1:10" s="217" customFormat="1" ht="18" customHeight="1">
      <c r="B14" s="220"/>
      <c r="D14" s="243"/>
      <c r="E14" s="220"/>
      <c r="F14" s="244"/>
      <c r="G14" s="244"/>
      <c r="H14" s="245"/>
      <c r="I14" s="218"/>
      <c r="J14" s="218"/>
    </row>
    <row r="15" spans="1:10" s="217" customFormat="1" ht="12" customHeight="1">
      <c r="B15" s="220"/>
      <c r="D15" s="243"/>
      <c r="E15" s="220"/>
      <c r="F15" s="244"/>
      <c r="G15" s="244"/>
      <c r="H15" s="245"/>
      <c r="I15" s="218"/>
      <c r="J15" s="218"/>
    </row>
    <row r="16" spans="1:10" s="217" customFormat="1" ht="12" customHeight="1">
      <c r="B16" s="220"/>
      <c r="D16" s="243"/>
      <c r="E16" s="220"/>
      <c r="F16" s="244"/>
      <c r="G16" s="244"/>
      <c r="H16" s="245"/>
      <c r="I16" s="218"/>
      <c r="J16" s="218"/>
    </row>
    <row r="17" spans="2:10" s="217" customFormat="1" ht="12" customHeight="1">
      <c r="B17" s="220"/>
      <c r="D17" s="243"/>
      <c r="E17" s="220"/>
      <c r="F17" s="244"/>
      <c r="G17" s="244"/>
      <c r="H17" s="245"/>
      <c r="I17" s="218"/>
      <c r="J17" s="218"/>
    </row>
    <row r="18" spans="2:10" s="217" customFormat="1" ht="12" customHeight="1">
      <c r="B18" s="220"/>
      <c r="D18" s="243"/>
      <c r="E18" s="220"/>
      <c r="F18" s="244"/>
      <c r="G18" s="244"/>
      <c r="H18" s="245"/>
      <c r="I18" s="218"/>
      <c r="J18" s="218"/>
    </row>
    <row r="19" spans="2:10" s="217" customFormat="1" ht="12" customHeight="1">
      <c r="B19" s="220"/>
      <c r="D19" s="243"/>
      <c r="E19" s="220"/>
      <c r="F19" s="244"/>
      <c r="G19" s="244"/>
      <c r="H19" s="245"/>
      <c r="I19" s="218"/>
      <c r="J19" s="218"/>
    </row>
    <row r="20" spans="2:10" s="217" customFormat="1" ht="13.5" customHeight="1">
      <c r="B20" s="220"/>
      <c r="D20" s="243"/>
      <c r="E20" s="220"/>
      <c r="F20" s="244"/>
      <c r="G20" s="244"/>
      <c r="H20" s="245"/>
      <c r="I20" s="218"/>
      <c r="J20" s="218"/>
    </row>
    <row r="21" spans="2:10" s="217" customFormat="1" ht="13.5" customHeight="1">
      <c r="B21" s="220"/>
      <c r="D21" s="243"/>
      <c r="E21" s="220"/>
      <c r="F21" s="244"/>
      <c r="G21" s="244"/>
      <c r="H21" s="245"/>
      <c r="I21" s="218"/>
      <c r="J21" s="218"/>
    </row>
    <row r="22" spans="2:10" s="217" customFormat="1" ht="13.5" customHeight="1">
      <c r="B22" s="220"/>
      <c r="D22" s="243"/>
      <c r="E22" s="220"/>
      <c r="F22" s="244"/>
      <c r="G22" s="244"/>
      <c r="H22" s="245"/>
      <c r="I22" s="218"/>
      <c r="J22" s="218"/>
    </row>
    <row r="23" spans="2:10" s="217" customFormat="1" ht="29.25" customHeight="1">
      <c r="B23" s="220"/>
      <c r="D23" s="243"/>
      <c r="E23" s="220"/>
      <c r="F23" s="244"/>
      <c r="G23" s="244"/>
      <c r="H23" s="245"/>
      <c r="I23" s="218"/>
      <c r="J23" s="218"/>
    </row>
    <row r="24" spans="2:10" s="217" customFormat="1" ht="13.5" customHeight="1">
      <c r="B24" s="220"/>
      <c r="D24" s="243"/>
      <c r="E24" s="220"/>
      <c r="F24" s="244"/>
      <c r="G24" s="244"/>
      <c r="H24" s="245"/>
      <c r="I24" s="218"/>
      <c r="J24" s="218"/>
    </row>
    <row r="25" spans="2:10" s="217" customFormat="1" ht="13.5" customHeight="1">
      <c r="B25" s="220"/>
      <c r="D25" s="243"/>
      <c r="E25" s="220"/>
      <c r="F25" s="244"/>
      <c r="G25" s="244"/>
      <c r="H25" s="245"/>
      <c r="I25" s="218"/>
      <c r="J25" s="218"/>
    </row>
    <row r="26" spans="2:10" s="217" customFormat="1" ht="13.5" customHeight="1">
      <c r="B26" s="220"/>
      <c r="D26" s="243"/>
      <c r="E26" s="220"/>
      <c r="F26" s="244"/>
      <c r="G26" s="244"/>
      <c r="H26" s="245"/>
      <c r="I26" s="218"/>
      <c r="J26" s="218"/>
    </row>
    <row r="27" spans="2:10" s="217" customFormat="1" ht="13.5" customHeight="1">
      <c r="B27" s="220"/>
      <c r="D27" s="243"/>
      <c r="E27" s="220"/>
      <c r="F27" s="244"/>
      <c r="G27" s="244"/>
      <c r="H27" s="245"/>
      <c r="I27" s="218"/>
      <c r="J27" s="218"/>
    </row>
    <row r="28" spans="2:10" s="217" customFormat="1" ht="13.5" customHeight="1">
      <c r="B28" s="220"/>
      <c r="D28" s="243"/>
      <c r="E28" s="220"/>
      <c r="F28" s="244"/>
      <c r="G28" s="244"/>
      <c r="H28" s="245"/>
      <c r="I28" s="218"/>
      <c r="J28" s="218"/>
    </row>
    <row r="29" spans="2:10" s="217" customFormat="1" ht="13.5" customHeight="1">
      <c r="B29" s="220"/>
      <c r="D29" s="243"/>
      <c r="E29" s="220"/>
      <c r="F29" s="244"/>
      <c r="G29" s="244"/>
      <c r="H29" s="245"/>
      <c r="I29" s="218"/>
      <c r="J29" s="218"/>
    </row>
    <row r="30" spans="2:10" s="217" customFormat="1" ht="13.5" customHeight="1">
      <c r="B30" s="220"/>
      <c r="D30" s="243"/>
      <c r="E30" s="220"/>
      <c r="F30" s="244"/>
      <c r="G30" s="244"/>
      <c r="H30" s="245"/>
      <c r="I30" s="218"/>
      <c r="J30" s="218"/>
    </row>
    <row r="31" spans="2:10" s="217" customFormat="1" ht="13.5" customHeight="1">
      <c r="B31" s="220"/>
      <c r="D31" s="243"/>
      <c r="E31" s="220"/>
      <c r="F31" s="244"/>
      <c r="G31" s="244"/>
      <c r="H31" s="245"/>
      <c r="I31" s="218"/>
      <c r="J31" s="218"/>
    </row>
    <row r="32" spans="2:10" s="217" customFormat="1" ht="13.5" customHeight="1">
      <c r="B32" s="220"/>
      <c r="D32" s="243"/>
      <c r="E32" s="220"/>
      <c r="F32" s="244"/>
      <c r="G32" s="244"/>
      <c r="H32" s="245"/>
      <c r="I32" s="218"/>
      <c r="J32" s="218"/>
    </row>
    <row r="33" spans="1:18" s="217" customFormat="1" ht="13.5" customHeight="1">
      <c r="B33" s="220"/>
      <c r="D33" s="243"/>
      <c r="E33" s="220"/>
      <c r="F33" s="244"/>
      <c r="G33" s="244"/>
      <c r="H33" s="245"/>
      <c r="I33" s="218"/>
      <c r="J33" s="218"/>
    </row>
    <row r="34" spans="1:18" s="217" customFormat="1" ht="13.5" customHeight="1">
      <c r="B34" s="220"/>
      <c r="D34" s="243"/>
      <c r="E34" s="220"/>
      <c r="F34" s="244"/>
      <c r="G34" s="244"/>
      <c r="H34" s="245"/>
      <c r="I34" s="218"/>
      <c r="J34" s="218"/>
    </row>
    <row r="35" spans="1:18" s="217" customFormat="1" ht="13.5" customHeight="1">
      <c r="B35" s="220"/>
      <c r="D35" s="243"/>
      <c r="E35" s="220"/>
      <c r="F35" s="244"/>
      <c r="G35" s="244"/>
      <c r="H35" s="245"/>
      <c r="I35" s="218"/>
      <c r="J35" s="218"/>
    </row>
    <row r="36" spans="1:18" s="217" customFormat="1" ht="13.5" customHeight="1">
      <c r="B36" s="220"/>
      <c r="D36" s="243"/>
      <c r="E36" s="220"/>
      <c r="F36" s="244"/>
      <c r="G36" s="244"/>
      <c r="H36" s="245"/>
      <c r="I36" s="218"/>
      <c r="J36" s="218"/>
    </row>
    <row r="37" spans="1:18" s="217" customFormat="1" ht="13.5" customHeight="1">
      <c r="B37" s="220"/>
      <c r="D37" s="243"/>
      <c r="E37" s="220"/>
      <c r="F37" s="244"/>
      <c r="G37" s="244"/>
      <c r="H37" s="245"/>
      <c r="I37" s="218"/>
      <c r="J37" s="218"/>
    </row>
    <row r="38" spans="1:18" s="217" customFormat="1" ht="13.5" customHeight="1">
      <c r="B38" s="220"/>
      <c r="D38" s="243"/>
      <c r="E38" s="220"/>
      <c r="F38" s="244"/>
      <c r="G38" s="244"/>
      <c r="H38" s="245"/>
      <c r="I38" s="218"/>
      <c r="J38" s="218"/>
    </row>
    <row r="39" spans="1:18" s="217" customFormat="1" ht="13.5" customHeight="1">
      <c r="B39" s="220"/>
      <c r="D39" s="243"/>
      <c r="E39" s="220"/>
      <c r="F39" s="244"/>
      <c r="G39" s="244"/>
      <c r="H39" s="245"/>
      <c r="I39" s="218"/>
      <c r="J39" s="218"/>
    </row>
    <row r="40" spans="1:18" s="217" customFormat="1" ht="13.5" customHeight="1">
      <c r="B40" s="220"/>
      <c r="D40" s="243"/>
      <c r="E40" s="220"/>
      <c r="F40" s="244"/>
      <c r="G40" s="244"/>
      <c r="H40" s="245"/>
      <c r="I40" s="218"/>
      <c r="J40" s="218"/>
    </row>
    <row r="41" spans="1:18" s="217" customFormat="1" ht="13.5" customHeight="1">
      <c r="B41" s="220"/>
      <c r="D41" s="243"/>
      <c r="E41" s="220"/>
      <c r="F41" s="244"/>
      <c r="G41" s="244"/>
      <c r="H41" s="245"/>
      <c r="I41" s="218"/>
      <c r="J41" s="218"/>
    </row>
    <row r="42" spans="1:18" s="217" customFormat="1" ht="13.5" customHeight="1">
      <c r="B42" s="220"/>
      <c r="D42" s="243"/>
      <c r="E42" s="220"/>
      <c r="F42" s="244"/>
      <c r="G42" s="244"/>
      <c r="H42" s="245"/>
      <c r="I42" s="218"/>
      <c r="J42" s="218"/>
    </row>
    <row r="43" spans="1:18" s="217" customFormat="1" ht="13.5" customHeight="1">
      <c r="B43" s="220"/>
      <c r="D43" s="243"/>
      <c r="E43" s="220"/>
      <c r="F43" s="244"/>
      <c r="G43" s="244"/>
      <c r="H43" s="245"/>
      <c r="I43" s="218"/>
      <c r="J43" s="218"/>
    </row>
    <row r="44" spans="1:18" s="217" customFormat="1" ht="13.5" customHeight="1">
      <c r="B44" s="220"/>
      <c r="D44" s="246"/>
      <c r="E44" s="220"/>
      <c r="F44" s="244"/>
      <c r="G44" s="244"/>
      <c r="H44" s="245"/>
      <c r="I44" s="218"/>
      <c r="J44" s="218"/>
    </row>
    <row r="45" spans="1:18" s="217" customFormat="1" ht="22.5" customHeight="1">
      <c r="B45" s="517"/>
      <c r="C45" s="517"/>
      <c r="D45" s="246"/>
      <c r="E45" s="220"/>
      <c r="F45" s="247"/>
      <c r="G45" s="247"/>
      <c r="H45" s="245"/>
      <c r="I45" s="218"/>
      <c r="J45" s="218"/>
    </row>
    <row r="46" spans="1:18">
      <c r="D46" s="248"/>
    </row>
    <row r="47" spans="1:18">
      <c r="D47" s="248"/>
    </row>
    <row r="48" spans="1:18" s="222" customFormat="1">
      <c r="A48" s="73"/>
      <c r="B48" s="73"/>
      <c r="D48" s="248"/>
      <c r="E48" s="78"/>
      <c r="F48" s="249"/>
      <c r="G48" s="249"/>
      <c r="H48" s="73"/>
      <c r="K48" s="73"/>
      <c r="L48" s="73"/>
      <c r="M48" s="73"/>
      <c r="N48" s="73"/>
      <c r="O48" s="73"/>
      <c r="P48" s="73"/>
      <c r="Q48" s="73"/>
      <c r="R48" s="73"/>
    </row>
    <row r="49" spans="1:18" s="222" customFormat="1">
      <c r="A49" s="73"/>
      <c r="B49" s="73"/>
      <c r="D49" s="248"/>
      <c r="E49" s="78"/>
      <c r="F49" s="249"/>
      <c r="G49" s="249"/>
      <c r="H49" s="73"/>
      <c r="K49" s="73"/>
      <c r="L49" s="73"/>
      <c r="M49" s="73"/>
      <c r="N49" s="73"/>
      <c r="O49" s="73"/>
      <c r="P49" s="73"/>
      <c r="Q49" s="73"/>
      <c r="R49" s="73"/>
    </row>
    <row r="50" spans="1:18" s="222" customFormat="1">
      <c r="A50" s="73"/>
      <c r="B50" s="73"/>
      <c r="D50" s="248"/>
      <c r="E50" s="78"/>
      <c r="F50" s="249"/>
      <c r="G50" s="249"/>
      <c r="H50" s="73"/>
      <c r="K50" s="73"/>
      <c r="L50" s="73"/>
      <c r="M50" s="73"/>
      <c r="N50" s="73"/>
      <c r="O50" s="73"/>
      <c r="P50" s="73"/>
      <c r="Q50" s="73"/>
      <c r="R50" s="73"/>
    </row>
    <row r="51" spans="1:18" s="222" customFormat="1">
      <c r="A51" s="73"/>
      <c r="B51" s="73"/>
      <c r="D51" s="248"/>
      <c r="E51" s="78"/>
      <c r="F51" s="249"/>
      <c r="G51" s="249"/>
      <c r="H51" s="73"/>
      <c r="K51" s="73"/>
      <c r="L51" s="73"/>
      <c r="M51" s="73"/>
      <c r="N51" s="73"/>
      <c r="O51" s="73"/>
      <c r="P51" s="73"/>
      <c r="Q51" s="73"/>
      <c r="R51" s="73"/>
    </row>
  </sheetData>
  <protectedRanges>
    <protectedRange sqref="F12 C10:H11" name="범위1_1"/>
  </protectedRanges>
  <autoFilter ref="A8:H11" xr:uid="{00000000-0009-0000-0000-000006000000}"/>
  <mergeCells count="8">
    <mergeCell ref="B45:C45"/>
    <mergeCell ref="A6:H6"/>
    <mergeCell ref="A8:A9"/>
    <mergeCell ref="B8:B9"/>
    <mergeCell ref="C8:C9"/>
    <mergeCell ref="D8:E8"/>
    <mergeCell ref="F8:G8"/>
    <mergeCell ref="H8:H9"/>
  </mergeCells>
  <phoneticPr fontId="34" type="noConversion"/>
  <printOptions horizontalCentered="1"/>
  <pageMargins left="0.39370078740157483" right="0.39370078740157483" top="0.39370078740157483" bottom="0.39370078740157483" header="0.23622047244094491" footer="0.23622047244094491"/>
  <pageSetup paperSize="9" scale="62" fitToHeight="0" orientation="landscape" r:id="rId1"/>
  <headerFooter alignWithMargins="0">
    <oddFooter>&amp;C&amp;"Calibri,보통"&amp;12Doosan Enerbility</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
  <sheetViews>
    <sheetView workbookViewId="0"/>
  </sheetViews>
  <sheetFormatPr defaultRowHeight="13.5"/>
  <sheetData/>
  <phoneticPr fontId="3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70C0"/>
  </sheetPr>
  <dimension ref="A1"/>
  <sheetViews>
    <sheetView workbookViewId="0"/>
  </sheetViews>
  <sheetFormatPr defaultRowHeight="13.5"/>
  <sheetData/>
  <phoneticPr fontId="34"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I3"/>
  <sheetViews>
    <sheetView workbookViewId="0"/>
  </sheetViews>
  <sheetFormatPr defaultRowHeight="13.5"/>
  <cols>
    <col min="9" max="9" width="80.80859375" customWidth="1"/>
  </cols>
  <sheetData>
    <row r="3" spans="9:9" ht="57">
      <c r="I3" s="175" t="s">
        <v>112</v>
      </c>
    </row>
  </sheetData>
  <phoneticPr fontId="34"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
  <sheetViews>
    <sheetView workbookViewId="0"/>
  </sheetViews>
  <sheetFormatPr defaultRowHeight="13.5"/>
  <sheetData>
    <row r="2" ht="24" customHeight="1"/>
  </sheetData>
  <phoneticPr fontId="34" type="noConversion"/>
  <pageMargins left="0.7" right="0.7" top="0.75" bottom="0.75" header="0.3" footer="0.3"/>
  <drawing r:id="rId1"/>
</worksheet>
</file>

<file path=docMetadata/LabelInfo.xml><?xml version="1.0" encoding="utf-8"?>
<clbl:labelList xmlns:clbl="http://schemas.microsoft.com/office/2020/mipLabelMetadata">
  <clbl:label id="{55c3c93c-4c7c-4709-9e9e-2b12e2d560ab}" enabled="1" method="Privileged" siteId="{9d1b3610-9ab0-42d5-93aa-46150d723d87}" contentBits="0" removed="0"/>
</clbl:labelList>
</file>

<file path=docProps/app.xml><?xml version="1.0" encoding="utf-8"?>
<Properties xmlns="http://schemas.openxmlformats.org/officeDocument/2006/extended-properties" xmlns:vt="http://schemas.openxmlformats.org/officeDocument/2006/docPropsVTypes">
  <Application>Excel iOS</Application>
  <DocSecurity>0</DocSecurity>
  <ScaleCrop>false</ScaleCrop>
  <HeadingPairs>
    <vt:vector size="4" baseType="variant">
      <vt:variant>
        <vt:lpstr>Trang tính</vt:lpstr>
      </vt:variant>
      <vt:variant>
        <vt:i4>12</vt:i4>
      </vt:variant>
      <vt:variant>
        <vt:lpstr>Phạm vi Có tên</vt:lpstr>
      </vt:variant>
      <vt:variant>
        <vt:i4>13</vt:i4>
      </vt:variant>
    </vt:vector>
  </HeadingPairs>
  <TitlesOfParts>
    <vt:vector size="25" baseType="lpstr">
      <vt:lpstr>Break Down CI</vt:lpstr>
      <vt:lpstr>Detailed PL</vt:lpstr>
      <vt:lpstr>Commercial Invoice</vt:lpstr>
      <vt:lpstr>Packing List (1_2)</vt:lpstr>
      <vt:lpstr>PL(2_2)</vt:lpstr>
      <vt:lpstr>SHIPPING MARK (001)</vt:lpstr>
      <vt:lpstr>SHIPPING MARK (2)</vt:lpstr>
      <vt:lpstr>Technical Description</vt:lpstr>
      <vt:lpstr>CO</vt:lpstr>
      <vt:lpstr>CQ</vt:lpstr>
      <vt:lpstr>BL</vt:lpstr>
      <vt:lpstr>PSIC</vt:lpstr>
      <vt:lpstr>PSIC!_Hlk215568700</vt:lpstr>
      <vt:lpstr>Break Down CI!Print_Titles</vt:lpstr>
      <vt:lpstr>Detailed PL!Print_Titles</vt:lpstr>
      <vt:lpstr>PL(2_2)!Print_Titles</vt:lpstr>
      <vt:lpstr>Technical Description!Print_Titles</vt:lpstr>
      <vt:lpstr>Break Down CI!Vùng_In</vt:lpstr>
      <vt:lpstr>Commercial Invoice!Vùng_In</vt:lpstr>
      <vt:lpstr>Detailed PL!Vùng_In</vt:lpstr>
      <vt:lpstr>Packing List (1_2)!Vùng_In</vt:lpstr>
      <vt:lpstr>PL(2_2)!Vùng_In</vt:lpstr>
      <vt:lpstr>SHIPPING MARK (001)!Vùng_In</vt:lpstr>
      <vt:lpstr>SHIPPING MARK (2)!Vùng_In</vt:lpstr>
      <vt:lpstr>Technical Description!Vùng_In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Bùi Thị Thu Nguyệt</dc:creator>
  <cp:lastModifiedBy>차수민(Soomin Cha) 선임 두산에너빌리티</cp:lastModifiedBy>
  <cp:lastPrinted>2026-05-29T03:50:14Z</cp:lastPrinted>
  <dcterms:created xsi:type="dcterms:W3CDTF">2025-07-09T09:39:20Z</dcterms:created>
  <dcterms:modified xsi:type="dcterms:W3CDTF">2026-07-01T00:09:50Z</dcterms:modified>
</cp:coreProperties>
</file>