
<file path=[Content_Types].xml><?xml version="1.0" encoding="utf-8"?>
<Types xmlns="http://schemas.openxmlformats.org/package/2006/content-types">
  <Default Extension="bin" ContentType="application/vnd.openxmlformats-officedocument.spreadsheetml.printerSettings"/>
  <Default Extension="jpeg" ContentType="image/jpeg"/>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drawings/drawing6.xml" ContentType="application/vnd.openxmlformats-officedocument.drawing+xml"/>
  <Override PartName="/xl/drawings/drawing7.xml" ContentType="application/vnd.openxmlformats-officedocument.drawing+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Metadata/LabelInfo.xml" ContentType="application/vnd.ms-office.classificationlabel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20/02/relationships/classificationlabels" Target="docMetadata/LabelInfo.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813"/>
  <workbookPr/>
  <mc:AlternateContent xmlns:mc="http://schemas.openxmlformats.org/markup-compatibility/2006">
    <mc:Choice Requires="x15">
      <x15ac:absPath xmlns:x15ac="http://schemas.microsoft.com/office/spreadsheetml/2010/11/ac" url="D:\Documents\Downloads\"/>
    </mc:Choice>
  </mc:AlternateContent>
  <xr:revisionPtr revIDLastSave="0" documentId="8_{2C616905-91AD-40A3-828F-6445A8A559D6}" xr6:coauthVersionLast="47" xr6:coauthVersionMax="47" xr10:uidLastSave="{00000000-0000-0000-0000-000000000000}"/>
  <bookViews>
    <workbookView xWindow="-10890" yWindow="-20145" windowWidth="29010" windowHeight="18105" tabRatio="917" xr2:uid="{00000000-000D-0000-FFFF-FFFF00000000}"/>
  </bookViews>
  <sheets>
    <sheet name="Breakdown CI" sheetId="24" r:id="rId1"/>
    <sheet name="Detailed PL" sheetId="5" r:id="rId2"/>
    <sheet name="PL(2_2)" sheetId="4" r:id="rId3"/>
    <sheet name="SHIPPING MARK(006)" sheetId="20" r:id="rId4"/>
    <sheet name="SHIPPING MARK(007)" sheetId="21" r:id="rId5"/>
    <sheet name="SHIPPING MARK(008)" sheetId="22" r:id="rId6"/>
    <sheet name="SHIPPING MARK(009)" sheetId="23" r:id="rId7"/>
    <sheet name="CO" sheetId="6" r:id="rId8"/>
    <sheet name="CQ" sheetId="10" r:id="rId9"/>
    <sheet name="BL" sheetId="7" r:id="rId10"/>
    <sheet name="PSIC" sheetId="11" r:id="rId11"/>
  </sheets>
  <definedNames>
    <definedName name="__123Graph_A" localSheetId="0" hidden="1">#REF!</definedName>
    <definedName name="__123Graph_A" localSheetId="1" hidden="1">#REF!</definedName>
    <definedName name="__123Graph_A" localSheetId="3" hidden="1">#REF!</definedName>
    <definedName name="__123Graph_A" localSheetId="4" hidden="1">#REF!</definedName>
    <definedName name="__123Graph_A" localSheetId="5" hidden="1">#REF!</definedName>
    <definedName name="__123Graph_A" localSheetId="6" hidden="1">#REF!</definedName>
    <definedName name="__123Graph_A" hidden="1">#REF!</definedName>
    <definedName name="__123Graph_ACurrent" localSheetId="0" hidden="1">#REF!</definedName>
    <definedName name="__123Graph_ACurrent" localSheetId="1" hidden="1">#REF!</definedName>
    <definedName name="__123Graph_ACurrent" localSheetId="3" hidden="1">#REF!</definedName>
    <definedName name="__123Graph_ACurrent" localSheetId="4" hidden="1">#REF!</definedName>
    <definedName name="__123Graph_ACurrent" localSheetId="5" hidden="1">#REF!</definedName>
    <definedName name="__123Graph_ACurrent" localSheetId="6" hidden="1">#REF!</definedName>
    <definedName name="__123Graph_ACurrent" hidden="1">#REF!</definedName>
    <definedName name="__123Graph_B" localSheetId="0" hidden="1">#REF!</definedName>
    <definedName name="__123Graph_B" localSheetId="1" hidden="1">#REF!</definedName>
    <definedName name="__123Graph_B" localSheetId="3" hidden="1">#REF!</definedName>
    <definedName name="__123Graph_B" localSheetId="4" hidden="1">#REF!</definedName>
    <definedName name="__123Graph_B" localSheetId="5" hidden="1">#REF!</definedName>
    <definedName name="__123Graph_B" localSheetId="6" hidden="1">#REF!</definedName>
    <definedName name="__123Graph_B" hidden="1">#REF!</definedName>
    <definedName name="__123Graph_BCurrent" localSheetId="0" hidden="1">#REF!</definedName>
    <definedName name="__123Graph_BCurrent" localSheetId="1" hidden="1">#REF!</definedName>
    <definedName name="__123Graph_BCurrent" localSheetId="3" hidden="1">#REF!</definedName>
    <definedName name="__123Graph_BCurrent" localSheetId="4" hidden="1">#REF!</definedName>
    <definedName name="__123Graph_BCurrent" localSheetId="5" hidden="1">#REF!</definedName>
    <definedName name="__123Graph_BCurrent" localSheetId="6" hidden="1">#REF!</definedName>
    <definedName name="__123Graph_BCurrent" hidden="1">#REF!</definedName>
    <definedName name="__123Graph_D" localSheetId="0" hidden="1">#REF!</definedName>
    <definedName name="__123Graph_D" localSheetId="1" hidden="1">#REF!</definedName>
    <definedName name="__123Graph_D" localSheetId="3" hidden="1">#REF!</definedName>
    <definedName name="__123Graph_D" localSheetId="4" hidden="1">#REF!</definedName>
    <definedName name="__123Graph_D" localSheetId="5" hidden="1">#REF!</definedName>
    <definedName name="__123Graph_D" localSheetId="6" hidden="1">#REF!</definedName>
    <definedName name="__123Graph_D" hidden="1">#REF!</definedName>
    <definedName name="__123Graph_E" localSheetId="3" hidden="1">#REF!</definedName>
    <definedName name="__123Graph_E" localSheetId="4" hidden="1">#REF!</definedName>
    <definedName name="__123Graph_E" localSheetId="5" hidden="1">#REF!</definedName>
    <definedName name="__123Graph_E" localSheetId="6" hidden="1">#REF!</definedName>
    <definedName name="__123Graph_E" hidden="1">#REF!</definedName>
    <definedName name="__123Graph_LBL_A" localSheetId="0" hidden="1">#REF!</definedName>
    <definedName name="__123Graph_LBL_A" localSheetId="1" hidden="1">#REF!</definedName>
    <definedName name="__123Graph_LBL_A" localSheetId="3" hidden="1">#REF!</definedName>
    <definedName name="__123Graph_LBL_A" localSheetId="4" hidden="1">#REF!</definedName>
    <definedName name="__123Graph_LBL_A" localSheetId="5" hidden="1">#REF!</definedName>
    <definedName name="__123Graph_LBL_A" localSheetId="6" hidden="1">#REF!</definedName>
    <definedName name="__123Graph_LBL_A" hidden="1">#REF!</definedName>
    <definedName name="__123Graph_LBL_B" localSheetId="0" hidden="1">#REF!</definedName>
    <definedName name="__123Graph_LBL_B" localSheetId="1" hidden="1">#REF!</definedName>
    <definedName name="__123Graph_LBL_B" localSheetId="3" hidden="1">#REF!</definedName>
    <definedName name="__123Graph_LBL_B" localSheetId="4" hidden="1">#REF!</definedName>
    <definedName name="__123Graph_LBL_B" localSheetId="5" hidden="1">#REF!</definedName>
    <definedName name="__123Graph_LBL_B" localSheetId="6" hidden="1">#REF!</definedName>
    <definedName name="__123Graph_LBL_B" hidden="1">#REF!</definedName>
    <definedName name="__123Graph_X" localSheetId="0" hidden="1">#REF!</definedName>
    <definedName name="__123Graph_X" localSheetId="1" hidden="1">#REF!</definedName>
    <definedName name="__123Graph_X" localSheetId="3" hidden="1">#REF!</definedName>
    <definedName name="__123Graph_X" localSheetId="4" hidden="1">#REF!</definedName>
    <definedName name="__123Graph_X" localSheetId="5" hidden="1">#REF!</definedName>
    <definedName name="__123Graph_X" localSheetId="6" hidden="1">#REF!</definedName>
    <definedName name="__123Graph_X" hidden="1">#REF!</definedName>
    <definedName name="__123Graph_XCurrent" localSheetId="0" hidden="1">#REF!</definedName>
    <definedName name="__123Graph_XCurrent" localSheetId="1" hidden="1">#REF!</definedName>
    <definedName name="__123Graph_XCurrent" localSheetId="3" hidden="1">#REF!</definedName>
    <definedName name="__123Graph_XCurrent" localSheetId="4" hidden="1">#REF!</definedName>
    <definedName name="__123Graph_XCurrent" localSheetId="5" hidden="1">#REF!</definedName>
    <definedName name="__123Graph_XCurrent" localSheetId="6" hidden="1">#REF!</definedName>
    <definedName name="__123Graph_XCurrent" hidden="1">#REF!</definedName>
    <definedName name="_1__123Graph_AChart_1A" localSheetId="0" hidden="1">#REF!</definedName>
    <definedName name="_1__123Graph_AChart_1A" localSheetId="1" hidden="1">#REF!</definedName>
    <definedName name="_1__123Graph_AChart_1A" localSheetId="3" hidden="1">#REF!</definedName>
    <definedName name="_1__123Graph_AChart_1A" localSheetId="4" hidden="1">#REF!</definedName>
    <definedName name="_1__123Graph_AChart_1A" localSheetId="5" hidden="1">#REF!</definedName>
    <definedName name="_1__123Graph_AChart_1A" localSheetId="6" hidden="1">#REF!</definedName>
    <definedName name="_1__123Graph_AChart_1A" hidden="1">#REF!</definedName>
    <definedName name="_2__123Graph_BChart_1A" localSheetId="0" hidden="1">#REF!</definedName>
    <definedName name="_2__123Graph_BChart_1A" localSheetId="1" hidden="1">#REF!</definedName>
    <definedName name="_2__123Graph_BChart_1A" localSheetId="3" hidden="1">#REF!</definedName>
    <definedName name="_2__123Graph_BChart_1A" localSheetId="4" hidden="1">#REF!</definedName>
    <definedName name="_2__123Graph_BChart_1A" localSheetId="5" hidden="1">#REF!</definedName>
    <definedName name="_2__123Graph_BChart_1A" localSheetId="6" hidden="1">#REF!</definedName>
    <definedName name="_2__123Graph_BChart_1A" hidden="1">#REF!</definedName>
    <definedName name="_3__123Graph_XChart_1A" localSheetId="0" hidden="1">#REF!</definedName>
    <definedName name="_3__123Graph_XChart_1A" localSheetId="1" hidden="1">#REF!</definedName>
    <definedName name="_3__123Graph_XChart_1A" localSheetId="3" hidden="1">#REF!</definedName>
    <definedName name="_3__123Graph_XChart_1A" localSheetId="4" hidden="1">#REF!</definedName>
    <definedName name="_3__123Graph_XChart_1A" localSheetId="5" hidden="1">#REF!</definedName>
    <definedName name="_3__123Graph_XChart_1A" localSheetId="6" hidden="1">#REF!</definedName>
    <definedName name="_3__123Graph_XChart_1A" hidden="1">#REF!</definedName>
    <definedName name="_Fill" localSheetId="0" hidden="1">#REF!</definedName>
    <definedName name="_Fill" localSheetId="1" hidden="1">#REF!</definedName>
    <definedName name="_Fill" localSheetId="3" hidden="1">#REF!</definedName>
    <definedName name="_Fill" localSheetId="4" hidden="1">#REF!</definedName>
    <definedName name="_Fill" localSheetId="5" hidden="1">#REF!</definedName>
    <definedName name="_Fill" localSheetId="6" hidden="1">#REF!</definedName>
    <definedName name="_Fill" hidden="1">#REF!</definedName>
    <definedName name="_xlnm._FilterDatabase" localSheetId="0" hidden="1">'Breakdown CI'!$B$8:$AB$62</definedName>
    <definedName name="_xlnm._FilterDatabase" localSheetId="1" hidden="1">'Detailed PL'!$B$13:$AH$68</definedName>
    <definedName name="_xlnm._FilterDatabase" localSheetId="3" hidden="1">'SHIPPING MARK(006)'!$A$1:$A$20</definedName>
    <definedName name="_xlnm._FilterDatabase" localSheetId="4" hidden="1">'SHIPPING MARK(007)'!$A$1:$A$20</definedName>
    <definedName name="_xlnm._FilterDatabase" localSheetId="5" hidden="1">'SHIPPING MARK(008)'!$A$1:$A$20</definedName>
    <definedName name="_xlnm._FilterDatabase" localSheetId="6" hidden="1">'SHIPPING MARK(009)'!$A$1:$A$20</definedName>
    <definedName name="_Hlk215568700" localSheetId="10">PSIC!$B$2</definedName>
    <definedName name="_Key1" localSheetId="3" hidden="1">#REF!</definedName>
    <definedName name="_Key1" localSheetId="4" hidden="1">#REF!</definedName>
    <definedName name="_Key1" localSheetId="5" hidden="1">#REF!</definedName>
    <definedName name="_Key1" localSheetId="6" hidden="1">#REF!</definedName>
    <definedName name="_Key1" hidden="1">#REF!</definedName>
    <definedName name="_Key2" localSheetId="3" hidden="1">#REF!</definedName>
    <definedName name="_Key2" localSheetId="4" hidden="1">#REF!</definedName>
    <definedName name="_Key2" localSheetId="5" hidden="1">#REF!</definedName>
    <definedName name="_Key2" localSheetId="6" hidden="1">#REF!</definedName>
    <definedName name="_Key2" hidden="1">#REF!</definedName>
    <definedName name="_Order1" hidden="1">255</definedName>
    <definedName name="_Order2" hidden="1">255</definedName>
    <definedName name="_Parse_In" localSheetId="0" hidden="1">#REF!</definedName>
    <definedName name="_Parse_In" localSheetId="1" hidden="1">#REF!</definedName>
    <definedName name="_Parse_In" localSheetId="3" hidden="1">#REF!</definedName>
    <definedName name="_Parse_In" localSheetId="4" hidden="1">#REF!</definedName>
    <definedName name="_Parse_In" localSheetId="5" hidden="1">#REF!</definedName>
    <definedName name="_Parse_In" localSheetId="6" hidden="1">#REF!</definedName>
    <definedName name="_Parse_In" hidden="1">#REF!</definedName>
    <definedName name="_Parse_Out" localSheetId="3" hidden="1">#REF!</definedName>
    <definedName name="_Parse_Out" localSheetId="4" hidden="1">#REF!</definedName>
    <definedName name="_Parse_Out" localSheetId="5" hidden="1">#REF!</definedName>
    <definedName name="_Parse_Out" localSheetId="6" hidden="1">#REF!</definedName>
    <definedName name="_Parse_Out" hidden="1">#REF!</definedName>
    <definedName name="_Sort" localSheetId="3" hidden="1">#REF!</definedName>
    <definedName name="_Sort" localSheetId="4" hidden="1">#REF!</definedName>
    <definedName name="_Sort" localSheetId="5" hidden="1">#REF!</definedName>
    <definedName name="_Sort" localSheetId="6" hidden="1">#REF!</definedName>
    <definedName name="_Sort" hidden="1">#REF!</definedName>
    <definedName name="A" localSheetId="3" hidden="1">#REF!</definedName>
    <definedName name="A" localSheetId="4" hidden="1">#REF!</definedName>
    <definedName name="A" localSheetId="5" hidden="1">#REF!</definedName>
    <definedName name="A" localSheetId="6" hidden="1">#REF!</definedName>
    <definedName name="A" hidden="1">#REF!</definedName>
    <definedName name="ABC" localSheetId="0" hidden="1">#REF!</definedName>
    <definedName name="ABC" localSheetId="1" hidden="1">#REF!</definedName>
    <definedName name="ABC" localSheetId="3" hidden="1">#REF!</definedName>
    <definedName name="ABC" localSheetId="4" hidden="1">#REF!</definedName>
    <definedName name="ABC" localSheetId="5" hidden="1">#REF!</definedName>
    <definedName name="ABC" localSheetId="6" hidden="1">#REF!</definedName>
    <definedName name="ABC" hidden="1">#REF!</definedName>
    <definedName name="CO" localSheetId="0" hidden="1">#REF!</definedName>
    <definedName name="CO" localSheetId="1" hidden="1">#REF!</definedName>
    <definedName name="CO" localSheetId="3" hidden="1">#REF!</definedName>
    <definedName name="CO" localSheetId="4" hidden="1">#REF!</definedName>
    <definedName name="CO" localSheetId="5" hidden="1">#REF!</definedName>
    <definedName name="CO" localSheetId="6" hidden="1">#REF!</definedName>
    <definedName name="CO" hidden="1">#REF!</definedName>
    <definedName name="e" localSheetId="3" hidden="1">#REF!</definedName>
    <definedName name="e" localSheetId="4" hidden="1">#REF!</definedName>
    <definedName name="e" localSheetId="5" hidden="1">#REF!</definedName>
    <definedName name="e" localSheetId="6" hidden="1">#REF!</definedName>
    <definedName name="e" hidden="1">#REF!</definedName>
    <definedName name="Ge" localSheetId="3" hidden="1">#REF!</definedName>
    <definedName name="Ge" localSheetId="4" hidden="1">#REF!</definedName>
    <definedName name="Ge" localSheetId="5" hidden="1">#REF!</definedName>
    <definedName name="Ge" localSheetId="6" hidden="1">#REF!</definedName>
    <definedName name="Ge" hidden="1">#REF!</definedName>
    <definedName name="iv2dt" localSheetId="0" hidden="1">#REF!</definedName>
    <definedName name="iv2dt" localSheetId="1" hidden="1">#REF!</definedName>
    <definedName name="iv2dt" localSheetId="3" hidden="1">#REF!</definedName>
    <definedName name="iv2dt" localSheetId="4" hidden="1">#REF!</definedName>
    <definedName name="iv2dt" localSheetId="5" hidden="1">#REF!</definedName>
    <definedName name="iv2dt" localSheetId="6" hidden="1">#REF!</definedName>
    <definedName name="iv2dt" hidden="1">#REF!</definedName>
    <definedName name="ivdt" localSheetId="0" hidden="1">#REF!</definedName>
    <definedName name="ivdt" localSheetId="1" hidden="1">#REF!</definedName>
    <definedName name="ivdt" localSheetId="3" hidden="1">#REF!</definedName>
    <definedName name="ivdt" localSheetId="4" hidden="1">#REF!</definedName>
    <definedName name="ivdt" localSheetId="5" hidden="1">#REF!</definedName>
    <definedName name="ivdt" localSheetId="6" hidden="1">#REF!</definedName>
    <definedName name="ivdt" hidden="1">#REF!</definedName>
    <definedName name="KABOLINE" localSheetId="0" hidden="1">#REF!</definedName>
    <definedName name="KABOLINE" localSheetId="1" hidden="1">#REF!</definedName>
    <definedName name="KABOLINE" localSheetId="3" hidden="1">#REF!</definedName>
    <definedName name="KABOLINE" localSheetId="4" hidden="1">#REF!</definedName>
    <definedName name="KABOLINE" localSheetId="5" hidden="1">#REF!</definedName>
    <definedName name="KABOLINE" localSheetId="6" hidden="1">#REF!</definedName>
    <definedName name="KABOLINE" hidden="1">#REF!</definedName>
    <definedName name="latent">#REF!</definedName>
    <definedName name="_xlnm.Print_Titles" localSheetId="0">'Breakdown CI'!$8:$9</definedName>
    <definedName name="_xlnm.Print_Titles" localSheetId="1">'Detailed PL'!$13:$14</definedName>
    <definedName name="_xlnm.Print_Titles" localSheetId="2">'PL(2_2)'!$13:$14</definedName>
    <definedName name="SM" localSheetId="3" hidden="1">#REF!</definedName>
    <definedName name="SM" localSheetId="4" hidden="1">#REF!</definedName>
    <definedName name="SM" localSheetId="5" hidden="1">#REF!</definedName>
    <definedName name="SM" localSheetId="6" hidden="1">#REF!</definedName>
    <definedName name="SM" hidden="1">#REF!</definedName>
    <definedName name="tube_test_press1_12">#REF!</definedName>
    <definedName name="_xlnm.Print_Area" localSheetId="0">'Breakdown CI'!$A$1:$O$63</definedName>
    <definedName name="_xlnm.Print_Area" localSheetId="1">'Detailed PL'!$A$1:$V$69</definedName>
    <definedName name="_xlnm.Print_Area" localSheetId="2">'PL(2_2)'!$B$1:$T$24</definedName>
    <definedName name="_xlnm.Print_Area" localSheetId="3">'SHIPPING MARK(006)'!$A$1:$J$20</definedName>
    <definedName name="_xlnm.Print_Area" localSheetId="4">'SHIPPING MARK(007)'!$A$1:$J$20</definedName>
    <definedName name="_xlnm.Print_Area" localSheetId="5">'SHIPPING MARK(008)'!$A$1:$J$20</definedName>
    <definedName name="_xlnm.Print_Area" localSheetId="6">'SHIPPING MARK(009)'!$A$1:$J$20</definedName>
    <definedName name="weki_9701.xls" localSheetId="3" hidden="1">#REF!</definedName>
    <definedName name="weki_9701.xls" localSheetId="4" hidden="1">#REF!</definedName>
    <definedName name="weki_9701.xls" localSheetId="5" hidden="1">#REF!</definedName>
    <definedName name="weki_9701.xls" localSheetId="6" hidden="1">#REF!</definedName>
    <definedName name="weki_9701.xls" hidden="1">#REF!</definedName>
    <definedName name="wekir9701.xls" localSheetId="3" hidden="1">#REF!</definedName>
    <definedName name="wekir9701.xls" localSheetId="4" hidden="1">#REF!</definedName>
    <definedName name="wekir9701.xls" localSheetId="5" hidden="1">#REF!</definedName>
    <definedName name="wekir9701.xls" localSheetId="6" hidden="1">#REF!</definedName>
    <definedName name="wekir9701.xls" hidden="1">#REF!</definedName>
    <definedName name="X" localSheetId="3" hidden="1">#REF!</definedName>
    <definedName name="X" localSheetId="4" hidden="1">#REF!</definedName>
    <definedName name="X" localSheetId="5" hidden="1">#REF!</definedName>
    <definedName name="X" localSheetId="6" hidden="1">#REF!</definedName>
    <definedName name="X" hidden="1">#REF!</definedName>
    <definedName name="Z" localSheetId="3" hidden="1">#REF!</definedName>
    <definedName name="Z" localSheetId="4" hidden="1">#REF!</definedName>
    <definedName name="Z" localSheetId="5" hidden="1">#REF!</definedName>
    <definedName name="Z" localSheetId="6" hidden="1">#REF!</definedName>
    <definedName name="Z" hidden="1">#REF!</definedName>
    <definedName name="ㄴㅇㄹㅇㄹ" localSheetId="0" hidden="1">#REF!</definedName>
    <definedName name="ㄴㅇㄹㅇㄹ" localSheetId="1" hidden="1">#REF!</definedName>
    <definedName name="ㄴㅇㄹㅇㄹ" localSheetId="3" hidden="1">#REF!</definedName>
    <definedName name="ㄴㅇㄹㅇㄹ" localSheetId="4" hidden="1">#REF!</definedName>
    <definedName name="ㄴㅇㄹㅇㄹ" localSheetId="5" hidden="1">#REF!</definedName>
    <definedName name="ㄴㅇㄹㅇㄹ" localSheetId="6" hidden="1">#REF!</definedName>
    <definedName name="ㄴㅇㄹㅇㄹ" hidden="1">#REF!</definedName>
    <definedName name="느" localSheetId="3" hidden="1">#REF!</definedName>
    <definedName name="느" localSheetId="4" hidden="1">#REF!</definedName>
    <definedName name="느" localSheetId="5" hidden="1">#REF!</definedName>
    <definedName name="느" localSheetId="6" hidden="1">#REF!</definedName>
    <definedName name="느" hidden="1">#REF!</definedName>
    <definedName name="ㅊㅌㅍㅊㅍㅊㅌㅍㅊㅌㅍㅊㅌㅍㅊㅌㅍㅊㅌㅍ" localSheetId="0" hidden="1">#REF!</definedName>
    <definedName name="ㅊㅌㅍㅊㅍㅊㅌㅍㅊㅌㅍㅊㅌㅍㅊㅌㅍㅊㅌㅍ" localSheetId="1" hidden="1">#REF!</definedName>
    <definedName name="ㅊㅌㅍㅊㅍㅊㅌㅍㅊㅌㅍㅊㅌㅍㅊㅌㅍㅊㅌㅍ" localSheetId="3" hidden="1">#REF!</definedName>
    <definedName name="ㅊㅌㅍㅊㅍㅊㅌㅍㅊㅌㅍㅊㅌㅍㅊㅌㅍㅊㅌㅍ" localSheetId="4" hidden="1">#REF!</definedName>
    <definedName name="ㅊㅌㅍㅊㅍㅊㅌㅍㅊㅌㅍㅊㅌㅍㅊㅌㅍㅊㅌㅍ" localSheetId="5" hidden="1">#REF!</definedName>
    <definedName name="ㅊㅌㅍㅊㅍㅊㅌㅍㅊㅌㅍㅊㅌㅍㅊㅌㅍㅊㅌㅍ" localSheetId="6" hidden="1">#REF!</definedName>
    <definedName name="ㅊㅌㅍㅊㅍㅊㅌㅍㅊㅌㅍㅊㅌㅍㅊㅌㅍㅊㅌㅍ" hidden="1">#REF!</definedName>
    <definedName name="ㅊㅌㅍㅊㅍㅌㅋㅊㅍㅌㅊㅍ" localSheetId="0" hidden="1">#REF!</definedName>
    <definedName name="ㅊㅌㅍㅊㅍㅌㅋㅊㅍㅌㅊㅍ" localSheetId="1" hidden="1">#REF!</definedName>
    <definedName name="ㅊㅌㅍㅊㅍㅌㅋㅊㅍㅌㅊㅍ" localSheetId="3" hidden="1">#REF!</definedName>
    <definedName name="ㅊㅌㅍㅊㅍㅌㅋㅊㅍㅌㅊㅍ" localSheetId="4" hidden="1">#REF!</definedName>
    <definedName name="ㅊㅌㅍㅊㅍㅌㅋㅊㅍㅌㅊㅍ" localSheetId="5" hidden="1">#REF!</definedName>
    <definedName name="ㅊㅌㅍㅊㅍㅌㅋㅊㅍㅌㅊㅍ" localSheetId="6" hidden="1">#REF!</definedName>
    <definedName name="ㅊㅌㅍㅊㅍㅌㅋㅊㅍㅌㅊㅍ" hidden="1">#REF!</definedName>
    <definedName name="ㅊㅌㅍㅋㅊㅍㅌㅊㅍㅌㅊㅍ" localSheetId="0" hidden="1">#REF!</definedName>
    <definedName name="ㅊㅌㅍㅋㅊㅍㅌㅊㅍㅌㅊㅍ" localSheetId="1" hidden="1">#REF!</definedName>
    <definedName name="ㅊㅌㅍㅋㅊㅍㅌㅊㅍㅌㅊㅍ" localSheetId="3" hidden="1">#REF!</definedName>
    <definedName name="ㅊㅌㅍㅋㅊㅍㅌㅊㅍㅌㅊㅍ" localSheetId="4" hidden="1">#REF!</definedName>
    <definedName name="ㅊㅌㅍㅋㅊㅍㅌㅊㅍㅌㅊㅍ" localSheetId="5" hidden="1">#REF!</definedName>
    <definedName name="ㅊㅌㅍㅋㅊㅍㅌㅊㅍㅌㅊㅍ" localSheetId="6" hidden="1">#REF!</definedName>
    <definedName name="ㅊㅌㅍㅋㅊㅍㅌㅊㅍㅌㅊㅍ" hidden="1">#REF!</definedName>
    <definedName name="ㅊㅌㅍㅌㅊㅍㅊㅌㅍㅌㅊㅍㅌㅊㅍ" localSheetId="0" hidden="1">#REF!</definedName>
    <definedName name="ㅊㅌㅍㅌㅊㅍㅊㅌㅍㅌㅊㅍㅌㅊㅍ" localSheetId="1" hidden="1">#REF!</definedName>
    <definedName name="ㅊㅌㅍㅌㅊㅍㅊㅌㅍㅌㅊㅍㅌㅊㅍ" localSheetId="3" hidden="1">#REF!</definedName>
    <definedName name="ㅊㅌㅍㅌㅊㅍㅊㅌㅍㅌㅊㅍㅌㅊㅍ" localSheetId="4" hidden="1">#REF!</definedName>
    <definedName name="ㅊㅌㅍㅌㅊㅍㅊㅌㅍㅌㅊㅍㅌㅊㅍ" localSheetId="5" hidden="1">#REF!</definedName>
    <definedName name="ㅊㅌㅍㅌㅊㅍㅊㅌㅍㅌㅊㅍㅌㅊㅍ" localSheetId="6" hidden="1">#REF!</definedName>
    <definedName name="ㅊㅌㅍㅌㅊㅍㅊㅌㅍㅌㅊㅍㅌㅊㅍ" hidden="1">#REF!</definedName>
    <definedName name="ㅋ" localSheetId="0" hidden="1">#REF!</definedName>
    <definedName name="ㅋ" localSheetId="1" hidden="1">#REF!</definedName>
    <definedName name="ㅋ" localSheetId="3" hidden="1">#REF!</definedName>
    <definedName name="ㅋ" localSheetId="4" hidden="1">#REF!</definedName>
    <definedName name="ㅋ" localSheetId="5" hidden="1">#REF!</definedName>
    <definedName name="ㅋ" localSheetId="6" hidden="1">#REF!</definedName>
    <definedName name="ㅋ" hidden="1">#REF!</definedName>
    <definedName name="ㅋㅋㅋㅋ" localSheetId="0" hidden="1">#REF!</definedName>
    <definedName name="ㅋㅋㅋㅋ" localSheetId="1" hidden="1">#REF!</definedName>
    <definedName name="ㅋㅋㅋㅋ" localSheetId="3" hidden="1">#REF!</definedName>
    <definedName name="ㅋㅋㅋㅋ" localSheetId="4" hidden="1">#REF!</definedName>
    <definedName name="ㅋㅋㅋㅋ" localSheetId="5" hidden="1">#REF!</definedName>
    <definedName name="ㅋㅋㅋㅋ" localSheetId="6" hidden="1">#REF!</definedName>
    <definedName name="ㅋㅋㅋㅋ" hidden="1">#REF!</definedName>
    <definedName name="ㅋㅋㅋㅋㅋㅋ" localSheetId="0" hidden="1">#REF!</definedName>
    <definedName name="ㅋㅋㅋㅋㅋㅋ" localSheetId="1" hidden="1">#REF!</definedName>
    <definedName name="ㅋㅋㅋㅋㅋㅋ" localSheetId="3" hidden="1">#REF!</definedName>
    <definedName name="ㅋㅋㅋㅋㅋㅋ" localSheetId="4" hidden="1">#REF!</definedName>
    <definedName name="ㅋㅋㅋㅋㅋㅋ" localSheetId="5" hidden="1">#REF!</definedName>
    <definedName name="ㅋㅋㅋㅋㅋㅋ" localSheetId="6" hidden="1">#REF!</definedName>
    <definedName name="ㅋㅋㅋㅋㅋㅋ" hidden="1">#REF!</definedName>
    <definedName name="ㅋㅋㅋㅋㅋㅋㅋㅋㅋ" localSheetId="0" hidden="1">#REF!</definedName>
    <definedName name="ㅋㅋㅋㅋㅋㅋㅋㅋㅋ" localSheetId="1" hidden="1">#REF!</definedName>
    <definedName name="ㅋㅋㅋㅋㅋㅋㅋㅋㅋ" localSheetId="3" hidden="1">#REF!</definedName>
    <definedName name="ㅋㅋㅋㅋㅋㅋㅋㅋㅋ" localSheetId="4" hidden="1">#REF!</definedName>
    <definedName name="ㅋㅋㅋㅋㅋㅋㅋㅋㅋ" localSheetId="5" hidden="1">#REF!</definedName>
    <definedName name="ㅋㅋㅋㅋㅋㅋㅋㅋㅋ" localSheetId="6" hidden="1">#REF!</definedName>
    <definedName name="ㅋㅋㅋㅋㅋㅋㅋㅋㅋ" hidden="1">#REF!</definedName>
    <definedName name="ㅌㅊㅍㅌㅊㅍㅌㅋㅊㅍㅌ" localSheetId="0" hidden="1">#REF!</definedName>
    <definedName name="ㅌㅊㅍㅌㅊㅍㅌㅋㅊㅍㅌ" localSheetId="1" hidden="1">#REF!</definedName>
    <definedName name="ㅌㅊㅍㅌㅊㅍㅌㅋㅊㅍㅌ" localSheetId="3" hidden="1">#REF!</definedName>
    <definedName name="ㅌㅊㅍㅌㅊㅍㅌㅋㅊㅍㅌ" localSheetId="4" hidden="1">#REF!</definedName>
    <definedName name="ㅌㅊㅍㅌㅊㅍㅌㅋㅊㅍㅌ" localSheetId="5" hidden="1">#REF!</definedName>
    <definedName name="ㅌㅊㅍㅌㅊㅍㅌㅋㅊㅍㅌ" localSheetId="6" hidden="1">#REF!</definedName>
    <definedName name="ㅌㅊㅍㅌㅊㅍㅌㅋㅊㅍㅌ" hidden="1">#REF!</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N25" i="24" l="1"/>
  <c r="N24" i="24"/>
  <c r="N63" i="24"/>
  <c r="L24" i="24"/>
  <c r="L30" i="24"/>
  <c r="I16" i="22"/>
  <c r="G16" i="22"/>
  <c r="C15" i="21"/>
  <c r="C14" i="21"/>
  <c r="C11" i="23"/>
  <c r="C11" i="22"/>
  <c r="C11" i="21"/>
  <c r="C11" i="20"/>
  <c r="K6" i="24"/>
  <c r="N19" i="4"/>
  <c r="N18" i="4"/>
  <c r="N17" i="4"/>
  <c r="M19" i="4"/>
  <c r="M18" i="4"/>
  <c r="M17" i="4"/>
  <c r="C23" i="4"/>
  <c r="C22" i="4"/>
  <c r="C21" i="4"/>
  <c r="C20" i="4"/>
  <c r="C19" i="4"/>
  <c r="C18" i="4"/>
  <c r="C15" i="4"/>
  <c r="H15" i="5"/>
  <c r="P69" i="5"/>
  <c r="Q69" i="5"/>
  <c r="O59" i="5"/>
  <c r="O52" i="5"/>
  <c r="O40" i="5"/>
  <c r="O37" i="5"/>
  <c r="O34" i="5"/>
  <c r="O31" i="5"/>
  <c r="O28" i="5"/>
  <c r="O23" i="5"/>
  <c r="O15" i="5"/>
  <c r="O69" i="5"/>
  <c r="D7" i="5"/>
  <c r="D5" i="4"/>
  <c r="D5" i="5"/>
  <c r="D6" i="4"/>
  <c r="D6" i="5"/>
  <c r="AX6" i="5"/>
  <c r="AW6" i="5"/>
  <c r="AV6" i="5"/>
  <c r="AU6" i="5"/>
  <c r="AS6" i="5"/>
  <c r="AR6" i="5"/>
  <c r="AQ6" i="5"/>
  <c r="AP6" i="5"/>
  <c r="AO6" i="5"/>
  <c r="AN6" i="5"/>
  <c r="AM6" i="5"/>
  <c r="AL6" i="5"/>
  <c r="AK6" i="5"/>
  <c r="AJ6" i="5"/>
  <c r="AI6" i="5"/>
  <c r="AH6" i="5"/>
  <c r="AG6" i="5"/>
  <c r="AF6" i="5"/>
  <c r="AE6" i="5"/>
  <c r="AD6" i="5"/>
  <c r="AC6" i="5"/>
  <c r="AB6" i="5"/>
  <c r="AA6" i="5"/>
  <c r="Z6" i="5"/>
  <c r="Y6" i="5"/>
  <c r="N24" i="4"/>
  <c r="M24" i="4"/>
  <c r="L24" i="4"/>
  <c r="AT6" i="5"/>
</calcChain>
</file>

<file path=xl/sharedStrings.xml><?xml version="1.0" encoding="utf-8"?>
<sst xmlns="http://schemas.openxmlformats.org/spreadsheetml/2006/main" count="1202" uniqueCount="221">
  <si>
    <t>OM4-DE-IS-0001</t>
    <phoneticPr fontId="25" type="noConversion"/>
  </si>
  <si>
    <t>06/2025/HĐ-PVN/OM4-06</t>
    <phoneticPr fontId="25" type="noConversion"/>
  </si>
  <si>
    <t>O MON IV THERMAL POWER PLANT</t>
    <phoneticPr fontId="25" type="noConversion"/>
  </si>
  <si>
    <t>UNIT PRICE
(USD)</t>
    <phoneticPr fontId="0" type="noConversion"/>
  </si>
  <si>
    <t>AMOUNT
(USD)</t>
    <phoneticPr fontId="0" type="noConversion"/>
  </si>
  <si>
    <t>PECC2 Innovation Hub, 45 Street No.2, Truong Tho Ward, Thu Duc City, HCMC, Vietnam
Tel: +84-28-2221 6468 | Fax: +84-28-2221 0408</t>
  </si>
  <si>
    <t>BREAK DOWN of COMMERCIAL INVOICE</t>
  </si>
  <si>
    <t xml:space="preserve">INVOICE NO. : </t>
  </si>
  <si>
    <t>OM4-DE-IS-0001</t>
  </si>
  <si>
    <t xml:space="preserve">PLACE :  </t>
    <phoneticPr fontId="0" type="noConversion"/>
  </si>
  <si>
    <t xml:space="preserve">DATE  : </t>
    <phoneticPr fontId="0" type="noConversion"/>
  </si>
  <si>
    <t>SI.
No.</t>
    <phoneticPr fontId="0" type="noConversion"/>
  </si>
  <si>
    <t>Package No.</t>
    <phoneticPr fontId="0" type="noConversion"/>
  </si>
  <si>
    <t>Description of Goods</t>
    <phoneticPr fontId="0" type="noConversion"/>
  </si>
  <si>
    <t>C/O of Goods</t>
    <phoneticPr fontId="0" type="noConversion"/>
  </si>
  <si>
    <t>Position in price schedule</t>
    <phoneticPr fontId="0" type="noConversion"/>
  </si>
  <si>
    <t>Quantity</t>
    <phoneticPr fontId="0" type="noConversion"/>
  </si>
  <si>
    <t>Package Type</t>
    <phoneticPr fontId="0" type="noConversion"/>
  </si>
  <si>
    <t>NET WEIGHT
(KG)</t>
  </si>
  <si>
    <t>Remark
(**)</t>
    <phoneticPr fontId="0" type="noConversion"/>
  </si>
  <si>
    <t>Nos</t>
    <phoneticPr fontId="0" type="noConversion"/>
  </si>
  <si>
    <t>Unit</t>
    <phoneticPr fontId="0" type="noConversion"/>
  </si>
  <si>
    <t>OM4-DE-IS-0001-001</t>
  </si>
  <si>
    <t>Republic of Korea</t>
    <phoneticPr fontId="0" type="noConversion"/>
  </si>
  <si>
    <t>PKG</t>
    <phoneticPr fontId="0" type="noConversion"/>
  </si>
  <si>
    <t>Wooden Box</t>
    <phoneticPr fontId="0" type="noConversion"/>
  </si>
  <si>
    <t>B1</t>
  </si>
  <si>
    <t>TEMPLATE(TP-1)_10T*374*374</t>
  </si>
  <si>
    <t>TEMPLATE(TP-2)_10T*450*900</t>
  </si>
  <si>
    <t>Republic of Korea</t>
  </si>
  <si>
    <t>TEMPLATE(TP-3)_10T*270*320</t>
    <phoneticPr fontId="0" type="noConversion"/>
  </si>
  <si>
    <t>TEMPLATE(STP-1)_15T*250*3801</t>
  </si>
  <si>
    <t>TEMPLATE(STP-2)_10T*60*250</t>
  </si>
  <si>
    <t>TEMPLATE(STP-3)_15T*250*3801</t>
    <phoneticPr fontId="0" type="noConversion"/>
  </si>
  <si>
    <t>TEMPLATE(STP-4)_10T*60*250</t>
    <phoneticPr fontId="0" type="noConversion"/>
  </si>
  <si>
    <t>OM4-DE-IS-0001-002</t>
  </si>
  <si>
    <t>HRSG Embeded Material (Anchor Bolt/Nut/Washer)</t>
  </si>
  <si>
    <t>B1</t>
    <phoneticPr fontId="0" type="noConversion"/>
  </si>
  <si>
    <t>OM4-DE-IS-0001-003</t>
  </si>
  <si>
    <t>OM4-DE-IS-0001-004</t>
  </si>
  <si>
    <t>I</t>
    <phoneticPr fontId="0" type="noConversion"/>
  </si>
  <si>
    <t>OM4-DE-IS-0001-005</t>
  </si>
  <si>
    <t>OM4-DE-IS-0001-006</t>
  </si>
  <si>
    <t>OM4-DE-IS-0001-007</t>
  </si>
  <si>
    <t>Square Washer 130X160X20T</t>
    <phoneticPr fontId="0" type="noConversion"/>
  </si>
  <si>
    <t>EA</t>
  </si>
  <si>
    <t>Square Washer 130X130X20T</t>
    <phoneticPr fontId="0" type="noConversion"/>
  </si>
  <si>
    <t>Square Washer 100X100X15T</t>
    <phoneticPr fontId="0" type="noConversion"/>
  </si>
  <si>
    <t>Square Washer 120X120X16T</t>
    <phoneticPr fontId="0" type="noConversion"/>
  </si>
  <si>
    <t>Anchor Plate 130X130X20T</t>
    <phoneticPr fontId="0" type="noConversion"/>
  </si>
  <si>
    <t>Anchor Plate 100X100X12T</t>
    <phoneticPr fontId="0" type="noConversion"/>
  </si>
  <si>
    <t>Anchor Plate 120X120X16T</t>
    <phoneticPr fontId="0" type="noConversion"/>
  </si>
  <si>
    <t>Bot. Plate 100X100X10T</t>
    <phoneticPr fontId="0" type="noConversion"/>
  </si>
  <si>
    <t>OM4-DE-IS-0001-008</t>
  </si>
  <si>
    <t>Sleeve 3"XSTD-982L</t>
    <phoneticPr fontId="0" type="noConversion"/>
  </si>
  <si>
    <t>Sleeve 3"XSTD-1,062L</t>
    <phoneticPr fontId="0" type="noConversion"/>
  </si>
  <si>
    <t>Sleeve 2-1/2"XSTD-752L</t>
    <phoneticPr fontId="0" type="noConversion"/>
  </si>
  <si>
    <t>Cap Plate Ø100XØ61X10T</t>
    <phoneticPr fontId="0" type="noConversion"/>
  </si>
  <si>
    <t>Cap Plate Ø100XØ65X10T</t>
    <phoneticPr fontId="0" type="noConversion"/>
  </si>
  <si>
    <t>Cap Plate Ø100XØ47X10T</t>
    <phoneticPr fontId="0" type="noConversion"/>
  </si>
  <si>
    <t>OM4-DE-IS-0001-009</t>
  </si>
  <si>
    <t>HRSG Embeded Material (Spare)</t>
  </si>
  <si>
    <t>Nut M56</t>
    <phoneticPr fontId="0" type="noConversion"/>
  </si>
  <si>
    <t>Nut M60</t>
    <phoneticPr fontId="0" type="noConversion"/>
  </si>
  <si>
    <t>Nut M42</t>
    <phoneticPr fontId="0" type="noConversion"/>
  </si>
  <si>
    <t>Nut M48</t>
    <phoneticPr fontId="0" type="noConversion"/>
  </si>
  <si>
    <t>Grand-Total</t>
    <phoneticPr fontId="0" type="noConversion"/>
  </si>
  <si>
    <t>PKG</t>
    <phoneticPr fontId="25" type="noConversion"/>
  </si>
  <si>
    <t>PACKING LIST(2/2)</t>
    <phoneticPr fontId="0" type="noConversion"/>
  </si>
  <si>
    <t xml:space="preserve">P/L No. </t>
    <phoneticPr fontId="0" type="noConversion"/>
  </si>
  <si>
    <t>Dated</t>
    <phoneticPr fontId="0" type="noConversion"/>
  </si>
  <si>
    <t>*  Storage Classification</t>
    <phoneticPr fontId="0" type="noConversion"/>
  </si>
  <si>
    <t>**  Plant/Equipment/Materials for</t>
    <phoneticPr fontId="0" type="noConversion"/>
  </si>
  <si>
    <t>Project</t>
    <phoneticPr fontId="0" type="noConversion"/>
  </si>
  <si>
    <t>"A"</t>
    <phoneticPr fontId="0" type="noConversion"/>
  </si>
  <si>
    <t>: Indoor with Air conditioning</t>
    <phoneticPr fontId="0" type="noConversion"/>
  </si>
  <si>
    <t>HRSG</t>
  </si>
  <si>
    <t>TBN</t>
    <phoneticPr fontId="0" type="noConversion"/>
  </si>
  <si>
    <t>GEN</t>
    <phoneticPr fontId="0" type="noConversion"/>
  </si>
  <si>
    <t>BOP</t>
    <phoneticPr fontId="0" type="noConversion"/>
  </si>
  <si>
    <t>"B"</t>
    <phoneticPr fontId="0" type="noConversion"/>
  </si>
  <si>
    <t>: Indoor without Air conditioning</t>
    <phoneticPr fontId="0" type="noConversion"/>
  </si>
  <si>
    <t>Unit 1</t>
    <phoneticPr fontId="0" type="noConversion"/>
  </si>
  <si>
    <t>T1</t>
    <phoneticPr fontId="0" type="noConversion"/>
  </si>
  <si>
    <t>G1</t>
    <phoneticPr fontId="0" type="noConversion"/>
  </si>
  <si>
    <t>P2</t>
  </si>
  <si>
    <t>"C"</t>
    <phoneticPr fontId="0" type="noConversion"/>
  </si>
  <si>
    <t>: Hazardous Material</t>
    <phoneticPr fontId="0" type="noConversion"/>
  </si>
  <si>
    <t>Unit 2</t>
    <phoneticPr fontId="0" type="noConversion"/>
  </si>
  <si>
    <t>B2</t>
    <phoneticPr fontId="0" type="noConversion"/>
  </si>
  <si>
    <t>T2</t>
    <phoneticPr fontId="0" type="noConversion"/>
  </si>
  <si>
    <t>G2</t>
    <phoneticPr fontId="0" type="noConversion"/>
  </si>
  <si>
    <t>P2</t>
    <phoneticPr fontId="0" type="noConversion"/>
  </si>
  <si>
    <t>"D"</t>
    <phoneticPr fontId="0" type="noConversion"/>
  </si>
  <si>
    <t>: Outdoor with waterproofing</t>
    <phoneticPr fontId="0" type="noConversion"/>
  </si>
  <si>
    <t>Common</t>
    <phoneticPr fontId="0" type="noConversion"/>
  </si>
  <si>
    <t>B0</t>
    <phoneticPr fontId="0" type="noConversion"/>
  </si>
  <si>
    <t>T0</t>
    <phoneticPr fontId="0" type="noConversion"/>
  </si>
  <si>
    <t>G0</t>
    <phoneticPr fontId="0" type="noConversion"/>
  </si>
  <si>
    <t>P0</t>
    <phoneticPr fontId="0" type="noConversion"/>
  </si>
  <si>
    <t>"E"</t>
    <phoneticPr fontId="0" type="noConversion"/>
  </si>
  <si>
    <t>: Outdoor without waterproofing</t>
    <phoneticPr fontId="0" type="noConversion"/>
  </si>
  <si>
    <t>Measurement</t>
    <phoneticPr fontId="0" type="noConversion"/>
  </si>
  <si>
    <t>Net Weight
(kg)</t>
    <phoneticPr fontId="0" type="noConversion"/>
  </si>
  <si>
    <t>Gross Weight
(kg)</t>
    <phoneticPr fontId="0" type="noConversion"/>
  </si>
  <si>
    <t>Hazardous Material</t>
    <phoneticPr fontId="0" type="noConversion"/>
  </si>
  <si>
    <t>Storage Classification
(*)</t>
    <phoneticPr fontId="0" type="noConversion"/>
  </si>
  <si>
    <t>Length
(cm)</t>
    <phoneticPr fontId="0" type="noConversion"/>
  </si>
  <si>
    <t>Width
(cm)</t>
    <phoneticPr fontId="0" type="noConversion"/>
  </si>
  <si>
    <t>Height
(cm)</t>
    <phoneticPr fontId="0" type="noConversion"/>
  </si>
  <si>
    <t>Volume
(cbm)</t>
    <phoneticPr fontId="0" type="noConversion"/>
  </si>
  <si>
    <r>
      <rPr>
        <sz val="10"/>
        <color rgb="FF000000"/>
        <rFont val="Calibri"/>
        <family val="2"/>
      </rPr>
      <t xml:space="preserve">PS 1.1, </t>
    </r>
    <r>
      <rPr>
        <sz val="10"/>
        <color rgb="FF000000"/>
        <rFont val="맑은 고딕"/>
        <family val="3"/>
        <charset val="129"/>
      </rPr>
      <t>Ⅱ</t>
    </r>
    <r>
      <rPr>
        <sz val="10"/>
        <color rgb="FF000000"/>
        <rFont val="Calibri"/>
        <family val="2"/>
      </rPr>
      <t>, 1</t>
    </r>
  </si>
  <si>
    <t>Wooden Box</t>
    <phoneticPr fontId="25" type="noConversion"/>
  </si>
  <si>
    <t>N</t>
    <phoneticPr fontId="25" type="noConversion"/>
  </si>
  <si>
    <t>B</t>
    <phoneticPr fontId="25" type="noConversion"/>
  </si>
  <si>
    <t>B1</t>
    <phoneticPr fontId="25" type="noConversion"/>
  </si>
  <si>
    <t>Grand Total</t>
    <phoneticPr fontId="0" type="noConversion"/>
  </si>
  <si>
    <t>DETAILED PACKING LIST</t>
    <phoneticPr fontId="0" type="noConversion"/>
  </si>
  <si>
    <t>PL No.</t>
    <phoneticPr fontId="0" type="noConversion"/>
  </si>
  <si>
    <t>Referenced DWG No.</t>
    <phoneticPr fontId="0" type="noConversion"/>
  </si>
  <si>
    <t>OM4-DE-XW03-P1HBA-CI-330003</t>
    <phoneticPr fontId="25" type="noConversion"/>
  </si>
  <si>
    <t>OM4-DE-XW03-P1HBA-CI-330004</t>
    <phoneticPr fontId="25" type="noConversion"/>
  </si>
  <si>
    <t>Manufacturer</t>
    <phoneticPr fontId="0" type="noConversion"/>
  </si>
  <si>
    <t>Tag No.</t>
    <phoneticPr fontId="0" type="noConversion"/>
  </si>
  <si>
    <t>HRSG Embeded Material (Template)</t>
  </si>
  <si>
    <t>BHI</t>
  </si>
  <si>
    <t>Republic of Korea</t>
    <phoneticPr fontId="25" type="noConversion"/>
  </si>
  <si>
    <t>TP-1</t>
  </si>
  <si>
    <t>TP-2</t>
    <phoneticPr fontId="25" type="noConversion"/>
  </si>
  <si>
    <t>TEMPLATE(TP-3)_10T*270*320</t>
    <phoneticPr fontId="25" type="noConversion"/>
  </si>
  <si>
    <t>TP-3</t>
    <phoneticPr fontId="25" type="noConversion"/>
  </si>
  <si>
    <t>STP-1</t>
    <phoneticPr fontId="25" type="noConversion"/>
  </si>
  <si>
    <t>STP-2</t>
    <phoneticPr fontId="25" type="noConversion"/>
  </si>
  <si>
    <t>TEMPLATE(STP-3)_15T*250*3801</t>
    <phoneticPr fontId="25" type="noConversion"/>
  </si>
  <si>
    <t>STP-3</t>
  </si>
  <si>
    <t>TEMPLATE(STP-4)_10T*60*250</t>
    <phoneticPr fontId="25" type="noConversion"/>
  </si>
  <si>
    <t>STP-4</t>
  </si>
  <si>
    <t>AB-1</t>
  </si>
  <si>
    <t>AB-3</t>
  </si>
  <si>
    <t>AB-2</t>
  </si>
  <si>
    <t>I</t>
    <phoneticPr fontId="25" type="noConversion"/>
  </si>
  <si>
    <t>SAB-1</t>
  </si>
  <si>
    <t>Square Washer 130X160X20T</t>
    <phoneticPr fontId="25" type="noConversion"/>
  </si>
  <si>
    <t>Square Washer 130X130X20T</t>
    <phoneticPr fontId="25" type="noConversion"/>
  </si>
  <si>
    <t>Square Washer 100X100X15T</t>
    <phoneticPr fontId="25" type="noConversion"/>
  </si>
  <si>
    <t>Square Washer 120X120X16T</t>
    <phoneticPr fontId="25" type="noConversion"/>
  </si>
  <si>
    <t>Anchor Plate 130X130X20T</t>
    <phoneticPr fontId="25" type="noConversion"/>
  </si>
  <si>
    <t>AP-1</t>
  </si>
  <si>
    <t>AP-2</t>
  </si>
  <si>
    <t>Anchor Plate 100X100X12T</t>
    <phoneticPr fontId="25" type="noConversion"/>
  </si>
  <si>
    <t>AP-3</t>
  </si>
  <si>
    <t>Anchor Plate 120X120X16T</t>
    <phoneticPr fontId="25" type="noConversion"/>
  </si>
  <si>
    <t>Bot. Plate 100X100X10T</t>
    <phoneticPr fontId="25" type="noConversion"/>
  </si>
  <si>
    <t>Sleeve 3"XSTD-982L</t>
    <phoneticPr fontId="25" type="noConversion"/>
  </si>
  <si>
    <t>Sleeve 3"XSTD-1,062L</t>
    <phoneticPr fontId="25" type="noConversion"/>
  </si>
  <si>
    <t>Sleeve 2-1/2"XSTD-752L</t>
    <phoneticPr fontId="25" type="noConversion"/>
  </si>
  <si>
    <t>Cap Plate Ø100XØ61X10T</t>
    <phoneticPr fontId="25" type="noConversion"/>
  </si>
  <si>
    <t>Cap Plate Ø100XØ65X10T</t>
    <phoneticPr fontId="25" type="noConversion"/>
  </si>
  <si>
    <t>Cap Plate Ø100XØ47X10T</t>
    <phoneticPr fontId="25" type="noConversion"/>
  </si>
  <si>
    <t>Nut M56</t>
    <phoneticPr fontId="25" type="noConversion"/>
  </si>
  <si>
    <t>Spare</t>
  </si>
  <si>
    <t>Nut M60</t>
    <phoneticPr fontId="25" type="noConversion"/>
  </si>
  <si>
    <t>Nut M42</t>
    <phoneticPr fontId="25" type="noConversion"/>
  </si>
  <si>
    <t>Nut M48</t>
    <phoneticPr fontId="25" type="noConversion"/>
  </si>
  <si>
    <t>Sub-Total</t>
    <phoneticPr fontId="0" type="noConversion"/>
  </si>
  <si>
    <t>SHIPPING MARK</t>
    <phoneticPr fontId="0" type="noConversion"/>
  </si>
  <si>
    <t xml:space="preserve">O MON IV THERMAL POWER PLANT </t>
  </si>
  <si>
    <t>Address: O Mon Power Complex at Phuoc Thoi wards, O Mon district, Can Tho city</t>
  </si>
  <si>
    <t xml:space="preserve">                             SHIPPER  </t>
    <phoneticPr fontId="0" type="noConversion"/>
  </si>
  <si>
    <t>:</t>
  </si>
  <si>
    <t xml:space="preserve">Doosan Enerbility Co., Ltd.
</t>
    <phoneticPr fontId="25" type="noConversion"/>
  </si>
  <si>
    <t xml:space="preserve">                            ADDRESS</t>
    <phoneticPr fontId="0" type="noConversion"/>
  </si>
  <si>
    <t xml:space="preserve">22 DoosanVolvo-ro, Seongsan-gu, Chang-won-si, 
Gyeongsangnam-do 51711, Republic of Korea </t>
    <phoneticPr fontId="25" type="noConversion"/>
  </si>
  <si>
    <t xml:space="preserve">                        CONSIGNEE</t>
    <phoneticPr fontId="0" type="noConversion"/>
  </si>
  <si>
    <t>Cty Doosan Enerbility Co.,Ltd HQ-Nha thau TH CV thuoc Goi thau so OM4-EPC-HHO-06 cho NMND O Mon IV 
Thoi Loi Area, Phuoc Thoi Ward, Can Tho City, Vietnam
T : (+84) 367 566 167 F : (+84 243) 624 8485</t>
    <phoneticPr fontId="25" type="noConversion"/>
  </si>
  <si>
    <t xml:space="preserve">                    NOTIFY PARTY</t>
    <phoneticPr fontId="0" type="noConversion"/>
  </si>
  <si>
    <t>:</t>
    <phoneticPr fontId="0" type="noConversion"/>
  </si>
  <si>
    <t xml:space="preserve">Cty Doosan Enerbility Co.,Ltd HQ-Nha thau TH CV thuoc Goi thau so OM4-EPC-HHO-06 cho NMND O Mon IV 
Thoi Loi Area, Phươc Thoi Ward, Can Tho City, Vietnam
T : (+84) 367 566 167 F : (+84 243) 624 8485
BRANCH OF KWANGJIN VIET NAM IN DUNG QUAT Co.,Ltd 
Dung Quat Economic Zone, Van Tuong Commune, Quang Ngai Province, Vietnam
T : (+84) 28 3825 6330 	 	 	 
Attn: Mr. Phuoc  / Email: phuoc@kjtc.co.kr </t>
    <phoneticPr fontId="25" type="noConversion"/>
  </si>
  <si>
    <t xml:space="preserve">                   CONTRACT NO.</t>
    <phoneticPr fontId="0" type="noConversion"/>
  </si>
  <si>
    <t xml:space="preserve">                   SHIPMENT NO.</t>
    <phoneticPr fontId="0" type="noConversion"/>
  </si>
  <si>
    <t xml:space="preserve">EQUIPMENT DESCRIPTION </t>
    <phoneticPr fontId="0" type="noConversion"/>
  </si>
  <si>
    <t>PLANT/ EQUIPMENT AND MATERIALS FOR O MON IV THERMAL</t>
  </si>
  <si>
    <t>DESCRIPTION OF GOODS</t>
    <phoneticPr fontId="25" type="noConversion"/>
  </si>
  <si>
    <r>
      <t xml:space="preserve">PL(2_2) Sheet </t>
    </r>
    <r>
      <rPr>
        <sz val="18"/>
        <rFont val="돋움"/>
        <family val="3"/>
        <charset val="129"/>
      </rPr>
      <t>내</t>
    </r>
    <r>
      <rPr>
        <sz val="18"/>
        <rFont val="Calibri"/>
        <family val="2"/>
      </rPr>
      <t xml:space="preserve"> </t>
    </r>
    <r>
      <rPr>
        <sz val="18"/>
        <rFont val="돋움"/>
        <family val="3"/>
        <charset val="129"/>
      </rPr>
      <t>내용</t>
    </r>
    <r>
      <rPr>
        <sz val="18"/>
        <rFont val="Calibri"/>
        <family val="2"/>
      </rPr>
      <t xml:space="preserve"> </t>
    </r>
    <r>
      <rPr>
        <sz val="18"/>
        <rFont val="돋움"/>
        <family val="3"/>
        <charset val="129"/>
      </rPr>
      <t>반영</t>
    </r>
    <r>
      <rPr>
        <sz val="18"/>
        <rFont val="Calibri"/>
        <family val="2"/>
      </rPr>
      <t xml:space="preserve"> </t>
    </r>
    <r>
      <rPr>
        <sz val="18"/>
        <rFont val="돋움"/>
        <family val="3"/>
        <charset val="129"/>
      </rPr>
      <t>필요</t>
    </r>
    <phoneticPr fontId="25" type="noConversion"/>
  </si>
  <si>
    <t xml:space="preserve">                     CONSIGNOR.
            </t>
    <phoneticPr fontId="0" type="noConversion"/>
  </si>
  <si>
    <t>BHI Co., Ltd.</t>
    <phoneticPr fontId="25" type="noConversion"/>
  </si>
  <si>
    <t xml:space="preserve">                     PACKAGE NO.
            </t>
    <phoneticPr fontId="0" type="noConversion"/>
  </si>
  <si>
    <r>
      <t xml:space="preserve">PL(2_2) Sheet </t>
    </r>
    <r>
      <rPr>
        <sz val="18"/>
        <rFont val="돋움"/>
        <family val="3"/>
        <charset val="129"/>
      </rPr>
      <t>내</t>
    </r>
    <r>
      <rPr>
        <sz val="18"/>
        <rFont val="Calibri"/>
        <family val="2"/>
      </rPr>
      <t xml:space="preserve"> PKG </t>
    </r>
    <r>
      <rPr>
        <sz val="18"/>
        <rFont val="돋움"/>
        <family val="3"/>
        <charset val="129"/>
      </rPr>
      <t>별</t>
    </r>
    <r>
      <rPr>
        <sz val="18"/>
        <rFont val="Calibri"/>
        <family val="2"/>
      </rPr>
      <t xml:space="preserve"> </t>
    </r>
    <r>
      <rPr>
        <sz val="18"/>
        <rFont val="돋움"/>
        <family val="3"/>
        <charset val="129"/>
      </rPr>
      <t>숫자</t>
    </r>
    <r>
      <rPr>
        <sz val="18"/>
        <rFont val="Calibri"/>
        <family val="2"/>
      </rPr>
      <t xml:space="preserve"> </t>
    </r>
    <r>
      <rPr>
        <sz val="18"/>
        <rFont val="돋움"/>
        <family val="3"/>
        <charset val="129"/>
      </rPr>
      <t>반영</t>
    </r>
    <r>
      <rPr>
        <sz val="18"/>
        <rFont val="Calibri"/>
        <family val="2"/>
      </rPr>
      <t xml:space="preserve"> </t>
    </r>
    <r>
      <rPr>
        <sz val="18"/>
        <rFont val="돋움"/>
        <family val="3"/>
        <charset val="129"/>
      </rPr>
      <t>필요</t>
    </r>
    <phoneticPr fontId="25" type="noConversion"/>
  </si>
  <si>
    <t xml:space="preserve">                      NET WEIGHT
</t>
    <phoneticPr fontId="0" type="noConversion"/>
  </si>
  <si>
    <t>KG</t>
    <phoneticPr fontId="0" type="noConversion"/>
  </si>
  <si>
    <t xml:space="preserve">                 GROSS WEIGHT
</t>
    <phoneticPr fontId="0" type="noConversion"/>
  </si>
  <si>
    <t xml:space="preserve">                       -	MEASUREMENT
</t>
    <phoneticPr fontId="0" type="noConversion"/>
  </si>
  <si>
    <t>cm(L) X</t>
    <phoneticPr fontId="0" type="noConversion"/>
  </si>
  <si>
    <t>cm (W) X</t>
    <phoneticPr fontId="0" type="noConversion"/>
  </si>
  <si>
    <t>cm (H)</t>
    <phoneticPr fontId="0" type="noConversion"/>
  </si>
  <si>
    <t>CBM</t>
    <phoneticPr fontId="0" type="noConversion"/>
  </si>
  <si>
    <t xml:space="preserve">                  LOADING PORT
</t>
    <phoneticPr fontId="0" type="noConversion"/>
  </si>
  <si>
    <t xml:space="preserve">    PORT OF DESTINATION
                       </t>
    <phoneticPr fontId="0" type="noConversion"/>
  </si>
  <si>
    <t>Ho Chi Minh City Port, Vietnam</t>
    <phoneticPr fontId="25" type="noConversion"/>
  </si>
  <si>
    <t xml:space="preserve">         COUNTRY OF ORIGIN</t>
    <phoneticPr fontId="0" type="noConversion"/>
  </si>
  <si>
    <t xml:space="preserve">                              QUALITY</t>
    <phoneticPr fontId="0" type="noConversion"/>
  </si>
  <si>
    <t>100% BRAND NEW</t>
    <phoneticPr fontId="0" type="noConversion"/>
  </si>
  <si>
    <r>
      <t xml:space="preserve">- In the B/L Form, </t>
    </r>
    <r>
      <rPr>
        <b/>
        <sz val="11"/>
        <color rgb="FFFF0000"/>
        <rFont val="돋움"/>
        <family val="3"/>
        <charset val="129"/>
      </rPr>
      <t>"Freight Prepaid"</t>
    </r>
    <r>
      <rPr>
        <sz val="11"/>
        <color rgb="FFFF0000"/>
        <rFont val="돋움"/>
        <family val="3"/>
        <charset val="129"/>
      </rPr>
      <t xml:space="preserve"> must be used according to the signed EPC regulations, "Freight payable" cannot be used as the form we are drafting.
- According to EPC, the Contractor is required to bear the risks and losses until handover, and must insure all goods during transportation, so remove the content of the complicated limitation regulations below in the B/L Form.</t>
    </r>
  </si>
  <si>
    <t>PS 1.1, Ⅱ, 1</t>
  </si>
  <si>
    <t>HRSG Embeded Material (Template)</t>
    <phoneticPr fontId="25" type="noConversion"/>
  </si>
  <si>
    <t>COG Marked (Y/N)</t>
    <phoneticPr fontId="25" type="noConversion"/>
  </si>
  <si>
    <t>Sling Point Marked (Y/N)</t>
    <phoneticPr fontId="25" type="noConversion"/>
  </si>
  <si>
    <t>Handle with care Marked
(Y/N)</t>
    <phoneticPr fontId="25" type="noConversion"/>
  </si>
  <si>
    <t>Y</t>
    <phoneticPr fontId="25" type="noConversion"/>
  </si>
  <si>
    <t>Hazardous 
Material</t>
    <phoneticPr fontId="0" type="noConversion"/>
  </si>
  <si>
    <t>EA</t>
    <phoneticPr fontId="25" type="noConversion"/>
  </si>
  <si>
    <t>Busan International Port, Korea</t>
    <phoneticPr fontId="25" type="noConversion"/>
  </si>
  <si>
    <t>#1 HRSG Embeded Material</t>
    <phoneticPr fontId="25" type="noConversion"/>
  </si>
  <si>
    <t>HRSG Embeded Material</t>
    <phoneticPr fontId="25" type="noConversion"/>
  </si>
  <si>
    <t>EA</t>
    <phoneticPr fontId="0" type="noConversion"/>
  </si>
  <si>
    <t>Anchor Bolt</t>
    <phoneticPr fontId="25" type="noConversion"/>
  </si>
  <si>
    <t>Anchor Bolt</t>
    <phoneticPr fontId="0" type="noConversion"/>
  </si>
  <si>
    <t>OM4-DE-IS-0001-002</t>
    <phoneticPr fontId="25" type="noConversion"/>
  </si>
  <si>
    <t>OM4-DE-IS-0001-003</t>
    <phoneticPr fontId="25" type="noConversion"/>
  </si>
  <si>
    <t>Vị Trí</t>
  </si>
  <si>
    <t>S1</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</si>
</sst>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9">
    <numFmt numFmtId="41" formatCode="_-* #,##0_-;\-* #,##0_-;_-* &quot;-&quot;_-;_-@_-"/>
    <numFmt numFmtId="43" formatCode="_-* #,##0.00_-;\-* #,##0.00_-;_-* &quot;-&quot;??_-;_-@_-"/>
    <numFmt numFmtId="164" formatCode="_-* #,##0.00_-;\-* #,##0.00_-;_-* &quot;-&quot;_-;_-@_-"/>
    <numFmt numFmtId="165" formatCode="#,##0_ ;[Red]\-#,##0\ "/>
    <numFmt numFmtId="166" formatCode="_-* #,##0.0_-;\-* #,##0.0_-;_-* &quot;-&quot;_-;_-@_-"/>
    <numFmt numFmtId="167" formatCode="0.00_);[Red]\(0.00\)"/>
    <numFmt numFmtId="168" formatCode="&quot;#&quot;\ 00"/>
    <numFmt numFmtId="169" formatCode="&quot;#&quot;00"/>
    <numFmt numFmtId="170" formatCode="0_);[Red]\(0\)"/>
  </numFmts>
  <fonts count="36">
    <font>
      <sz val="11"/>
      <name val="돋움"/>
      <family val="3"/>
      <charset val="129"/>
    </font>
    <font>
      <sz val="11"/>
      <name val="돋움"/>
      <family val="3"/>
      <charset val="129"/>
    </font>
    <font>
      <sz val="10"/>
      <name val="Arial"/>
      <family val="2"/>
    </font>
    <font>
      <b/>
      <sz val="10"/>
      <name val="Arial"/>
      <family val="2"/>
    </font>
    <font>
      <b/>
      <sz val="16"/>
      <name val="Arial"/>
      <family val="2"/>
    </font>
    <font>
      <sz val="12"/>
      <name val="바탕체"/>
      <family val="1"/>
      <charset val="129"/>
    </font>
    <font>
      <sz val="10"/>
      <name val="Calibri"/>
      <family val="2"/>
    </font>
    <font>
      <b/>
      <sz val="10"/>
      <name val="Calibri"/>
      <family val="2"/>
    </font>
    <font>
      <sz val="11"/>
      <name val="Arial"/>
      <family val="2"/>
    </font>
    <font>
      <sz val="9"/>
      <name val="Arial"/>
      <family val="2"/>
    </font>
    <font>
      <b/>
      <sz val="16"/>
      <name val="Calibri"/>
      <family val="2"/>
    </font>
    <font>
      <sz val="11"/>
      <name val="Arial"/>
      <family val="3"/>
      <charset val="129"/>
      <scheme val="minor"/>
    </font>
    <font>
      <sz val="11"/>
      <name val="Calibri"/>
      <family val="2"/>
    </font>
    <font>
      <sz val="10"/>
      <name val="Arial"/>
      <family val="2"/>
      <scheme val="minor"/>
    </font>
    <font>
      <sz val="10"/>
      <name val="Arial"/>
      <family val="3"/>
      <charset val="129"/>
      <scheme val="minor"/>
    </font>
    <font>
      <b/>
      <sz val="10"/>
      <name val="Arial"/>
      <family val="2"/>
      <scheme val="minor"/>
    </font>
    <font>
      <sz val="11"/>
      <color indexed="8"/>
      <name val="맑은 고딕"/>
      <family val="3"/>
      <charset val="129"/>
    </font>
    <font>
      <sz val="9"/>
      <name val="Calibri"/>
      <family val="2"/>
    </font>
    <font>
      <b/>
      <u/>
      <sz val="36"/>
      <name val="Calibri"/>
      <family val="2"/>
    </font>
    <font>
      <sz val="18"/>
      <name val="Calibri"/>
      <family val="2"/>
    </font>
    <font>
      <b/>
      <sz val="20"/>
      <name val="Calibri"/>
      <family val="2"/>
    </font>
    <font>
      <b/>
      <sz val="18"/>
      <name val="Calibri"/>
      <family val="2"/>
    </font>
    <font>
      <sz val="10"/>
      <name val="굴림"/>
      <family val="3"/>
      <charset val="129"/>
    </font>
    <font>
      <sz val="11"/>
      <color rgb="FFFF0000"/>
      <name val="돋움"/>
      <family val="3"/>
      <charset val="129"/>
    </font>
    <font>
      <b/>
      <sz val="11"/>
      <color rgb="FFFF0000"/>
      <name val="돋움"/>
      <family val="3"/>
      <charset val="129"/>
    </font>
    <font>
      <sz val="8"/>
      <name val="돋움"/>
      <family val="3"/>
      <charset val="129"/>
    </font>
    <font>
      <sz val="10"/>
      <color rgb="FF0000FF"/>
      <name val="Calibri"/>
      <family val="2"/>
    </font>
    <font>
      <sz val="11"/>
      <name val="굴림체"/>
      <family val="3"/>
      <charset val="129"/>
    </font>
    <font>
      <sz val="1"/>
      <color indexed="8"/>
      <name val="Courier"/>
      <family val="3"/>
    </font>
    <font>
      <sz val="18"/>
      <name val="돋움"/>
      <family val="3"/>
      <charset val="129"/>
    </font>
    <font>
      <b/>
      <sz val="10"/>
      <name val="Calibri"/>
      <family val="2"/>
      <charset val="129"/>
    </font>
    <font>
      <b/>
      <sz val="9"/>
      <name val="Arial"/>
      <family val="2"/>
      <charset val="129"/>
    </font>
    <font>
      <sz val="10"/>
      <color rgb="FF000000"/>
      <name val="Calibri"/>
      <family val="2"/>
    </font>
    <font>
      <sz val="10"/>
      <color rgb="FF000000"/>
      <name val="맑은 고딕"/>
      <family val="3"/>
      <charset val="129"/>
    </font>
    <font>
      <sz val="10"/>
      <color rgb="FF000000"/>
      <name val="Calibri"/>
      <family val="2"/>
    </font>
    <font>
      <sz val="10"/>
      <color rgb="FFFF0000"/>
      <name val="Calibri"/>
      <family val="2"/>
    </font>
  </fonts>
  <fills count="4">
    <fill>
      <patternFill patternType="none"/>
    </fill>
    <fill>
      <patternFill patternType="gray125"/>
    </fill>
    <fill>
      <patternFill patternType="solid">
        <fgColor theme="0"/>
        <bgColor indexed="64"/>
      </patternFill>
    </fill>
    <fill>
      <patternFill patternType="solid">
        <fgColor rgb="FFFFFF00"/>
        <bgColor indexed="64"/>
      </patternFill>
    </fill>
  </fills>
  <borders count="26">
    <border>
      <left/>
      <right/>
      <top/>
      <bottom/>
      <diagonal/>
    </border>
    <border>
      <left style="medium">
        <color indexed="64"/>
      </left>
      <right/>
      <top style="medium">
        <color indexed="64"/>
      </top>
      <bottom/>
      <diagonal/>
    </border>
    <border>
      <left/>
      <right/>
      <top style="medium">
        <color indexed="64"/>
      </top>
      <bottom/>
      <diagonal/>
    </border>
    <border>
      <left/>
      <right style="medium">
        <color indexed="64"/>
      </right>
      <top style="medium">
        <color indexed="64"/>
      </top>
      <bottom/>
      <diagonal/>
    </border>
    <border>
      <left style="medium">
        <color indexed="64"/>
      </left>
      <right/>
      <top/>
      <bottom style="thin">
        <color indexed="64"/>
      </bottom>
      <diagonal/>
    </border>
    <border>
      <left/>
      <right/>
      <top/>
      <bottom style="thin">
        <color indexed="64"/>
      </bottom>
      <diagonal/>
    </border>
    <border>
      <left/>
      <right style="medium">
        <color indexed="64"/>
      </right>
      <top/>
      <bottom style="thin">
        <color indexed="64"/>
      </bottom>
      <diagonal/>
    </border>
    <border>
      <left/>
      <right/>
      <top style="thin">
        <color indexed="64"/>
      </top>
      <bottom/>
      <diagonal/>
    </border>
    <border>
      <left/>
      <right style="thin">
        <color indexed="64"/>
      </right>
      <top style="thin">
        <color indexed="64"/>
      </top>
      <bottom/>
      <diagonal/>
    </border>
    <border>
      <left style="thin">
        <color indexed="64"/>
      </left>
      <right/>
      <top style="thin">
        <color indexed="64"/>
      </top>
      <bottom/>
      <diagonal/>
    </border>
    <border>
      <left/>
      <right style="thin">
        <color indexed="64"/>
      </right>
      <top/>
      <bottom/>
      <diagonal/>
    </border>
    <border>
      <left style="thin">
        <color indexed="64"/>
      </left>
      <right/>
      <top/>
      <bottom style="thin">
        <color indexed="64"/>
      </bottom>
      <diagonal/>
    </border>
    <border>
      <left/>
      <right/>
      <top/>
      <bottom style="medium">
        <color indexed="64"/>
      </bottom>
      <diagonal/>
    </border>
    <border>
      <left style="thin">
        <color indexed="64"/>
      </left>
      <right/>
      <top/>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style="thin">
        <color indexed="64"/>
      </right>
      <top/>
      <bottom/>
      <diagonal/>
    </border>
    <border>
      <left style="thin">
        <color indexed="64"/>
      </left>
      <right style="thin">
        <color indexed="64"/>
      </right>
      <top style="thin">
        <color indexed="64"/>
      </top>
      <bottom/>
      <diagonal/>
    </border>
    <border>
      <left style="thin">
        <color indexed="64"/>
      </left>
      <right style="thin">
        <color indexed="64"/>
      </right>
      <top style="thin">
        <color indexed="64"/>
      </top>
      <bottom style="thin">
        <color indexed="64"/>
      </bottom>
      <diagonal/>
    </border>
    <border>
      <left/>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right/>
      <top/>
      <bottom style="double">
        <color indexed="64"/>
      </bottom>
      <diagonal/>
    </border>
    <border>
      <left style="double">
        <color indexed="64"/>
      </left>
      <right/>
      <top style="double">
        <color indexed="64"/>
      </top>
      <bottom style="double">
        <color indexed="64"/>
      </bottom>
      <diagonal/>
    </border>
    <border>
      <left/>
      <right/>
      <top style="double">
        <color indexed="64"/>
      </top>
      <bottom style="double">
        <color indexed="64"/>
      </bottom>
      <diagonal/>
    </border>
    <border>
      <left/>
      <right style="double">
        <color indexed="64"/>
      </right>
      <top style="double">
        <color indexed="64"/>
      </top>
      <bottom style="double">
        <color indexed="64"/>
      </bottom>
      <diagonal/>
    </border>
  </borders>
  <cellStyleXfs count="15">
    <xf numFmtId="0" fontId="0" fillId="0" borderId="0">
      <alignment vertical="center"/>
    </xf>
    <xf numFmtId="41" fontId="1" fillId="0" borderId="0" applyFont="0" applyFill="0" applyBorder="0" applyAlignment="0" applyProtection="0">
      <alignment vertical="center"/>
    </xf>
    <xf numFmtId="0" fontId="1" fillId="0" borderId="0">
      <alignment vertical="center"/>
    </xf>
    <xf numFmtId="37" fontId="5" fillId="0" borderId="0"/>
    <xf numFmtId="0" fontId="16" fillId="0" borderId="0">
      <alignment vertical="center"/>
    </xf>
    <xf numFmtId="41" fontId="1" fillId="0" borderId="0" applyFont="0" applyFill="0" applyBorder="0" applyAlignment="0" applyProtection="0"/>
    <xf numFmtId="0" fontId="1" fillId="0" borderId="0">
      <alignment vertical="center"/>
    </xf>
    <xf numFmtId="0" fontId="22" fillId="0" borderId="0">
      <alignment vertical="center"/>
    </xf>
    <xf numFmtId="0" fontId="1" fillId="0" borderId="0">
      <alignment vertical="center"/>
    </xf>
    <xf numFmtId="0" fontId="27" fillId="0" borderId="0"/>
    <xf numFmtId="4" fontId="28" fillId="0" borderId="0">
      <protection locked="0"/>
    </xf>
    <xf numFmtId="41" fontId="1" fillId="0" borderId="0" applyFont="0" applyFill="0" applyBorder="0" applyAlignment="0" applyProtection="0">
      <alignment vertical="center"/>
    </xf>
    <xf numFmtId="41" fontId="1" fillId="0" borderId="0" applyFont="0" applyFill="0" applyBorder="0" applyAlignment="0" applyProtection="0"/>
    <xf numFmtId="41" fontId="1" fillId="0" borderId="0" applyFont="0" applyFill="0" applyBorder="0" applyAlignment="0" applyProtection="0">
      <alignment vertical="center"/>
    </xf>
    <xf numFmtId="41" fontId="1" fillId="0" borderId="0" applyFont="0" applyFill="0" applyBorder="0" applyAlignment="0" applyProtection="0"/>
  </cellStyleXfs>
  <cellXfs count="238">
    <xf numFmtId="0" fontId="0" fillId="0" borderId="0" xfId="0">
      <alignment vertical="center"/>
    </xf>
    <xf numFmtId="41" fontId="2" fillId="0" borderId="0" xfId="0" applyNumberFormat="1" applyFont="1" applyAlignment="1">
      <alignment horizontal="center" vertical="center"/>
    </xf>
    <xf numFmtId="0" fontId="2" fillId="0" borderId="0" xfId="0" applyFont="1">
      <alignment vertical="center"/>
    </xf>
    <xf numFmtId="0" fontId="3" fillId="0" borderId="0" xfId="0" applyFont="1">
      <alignment vertical="center"/>
    </xf>
    <xf numFmtId="0" fontId="2" fillId="0" borderId="0" xfId="0" applyFont="1" applyAlignment="1">
      <alignment horizontal="left" vertical="center"/>
    </xf>
    <xf numFmtId="0" fontId="2" fillId="0" borderId="0" xfId="0" applyFont="1" applyAlignment="1">
      <alignment horizontal="center" vertical="center"/>
    </xf>
    <xf numFmtId="0" fontId="6" fillId="0" borderId="0" xfId="0" applyFont="1">
      <alignment vertical="center"/>
    </xf>
    <xf numFmtId="37" fontId="6" fillId="0" borderId="0" xfId="0" applyNumberFormat="1" applyFont="1" applyAlignment="1">
      <alignment horizontal="left" vertical="center" indent="1"/>
    </xf>
    <xf numFmtId="0" fontId="6" fillId="0" borderId="0" xfId="0" applyFont="1" applyAlignment="1">
      <alignment horizontal="left" vertical="center" indent="1"/>
    </xf>
    <xf numFmtId="37" fontId="6" fillId="0" borderId="0" xfId="0" applyNumberFormat="1" applyFont="1">
      <alignment vertical="center"/>
    </xf>
    <xf numFmtId="0" fontId="6" fillId="0" borderId="0" xfId="0" applyFont="1" applyAlignment="1">
      <alignment horizontal="center" vertical="center"/>
    </xf>
    <xf numFmtId="0" fontId="6" fillId="0" borderId="18" xfId="0" applyFont="1" applyBorder="1" applyAlignment="1">
      <alignment horizontal="center" vertical="center"/>
    </xf>
    <xf numFmtId="0" fontId="6" fillId="0" borderId="0" xfId="0" applyFont="1" applyAlignment="1">
      <alignment vertical="center" wrapText="1"/>
    </xf>
    <xf numFmtId="0" fontId="8" fillId="0" borderId="0" xfId="0" applyFont="1">
      <alignment vertical="center"/>
    </xf>
    <xf numFmtId="41" fontId="2" fillId="0" borderId="0" xfId="1" applyFont="1" applyFill="1" applyBorder="1" applyAlignment="1">
      <alignment horizontal="center" vertical="center"/>
    </xf>
    <xf numFmtId="0" fontId="4" fillId="0" borderId="22" xfId="0" applyFont="1" applyBorder="1" applyAlignment="1">
      <alignment horizontal="center" vertical="center"/>
    </xf>
    <xf numFmtId="0" fontId="3" fillId="0" borderId="0" xfId="0" applyFont="1" applyAlignment="1">
      <alignment horizontal="left" vertical="center"/>
    </xf>
    <xf numFmtId="0" fontId="2" fillId="0" borderId="0" xfId="0" applyFont="1" applyAlignment="1">
      <alignment horizontal="right" vertical="center"/>
    </xf>
    <xf numFmtId="15" fontId="2" fillId="0" borderId="0" xfId="0" quotePrefix="1" applyNumberFormat="1" applyFont="1" applyAlignment="1">
      <alignment horizontal="left" vertical="center"/>
    </xf>
    <xf numFmtId="0" fontId="2" fillId="0" borderId="0" xfId="0" applyFont="1" applyAlignment="1">
      <alignment horizontal="left" vertical="center" indent="1"/>
    </xf>
    <xf numFmtId="0" fontId="2" fillId="0" borderId="18" xfId="0" applyFont="1" applyBorder="1" applyAlignment="1">
      <alignment horizontal="left" vertical="center"/>
    </xf>
    <xf numFmtId="0" fontId="2" fillId="0" borderId="18" xfId="0" applyFont="1" applyBorder="1" applyAlignment="1">
      <alignment horizontal="center" vertical="center"/>
    </xf>
    <xf numFmtId="0" fontId="3" fillId="0" borderId="18" xfId="0" applyFont="1" applyBorder="1" applyAlignment="1">
      <alignment horizontal="center" vertical="center"/>
    </xf>
    <xf numFmtId="0" fontId="3" fillId="0" borderId="18" xfId="0" applyFont="1" applyBorder="1" applyAlignment="1">
      <alignment horizontal="center" vertical="center" wrapText="1"/>
    </xf>
    <xf numFmtId="41" fontId="2" fillId="0" borderId="0" xfId="1" applyFont="1" applyFill="1" applyAlignment="1">
      <alignment vertical="center"/>
    </xf>
    <xf numFmtId="0" fontId="2" fillId="0" borderId="0" xfId="0" applyFont="1" applyAlignment="1">
      <alignment vertical="center" wrapText="1"/>
    </xf>
    <xf numFmtId="0" fontId="2" fillId="0" borderId="0" xfId="1" applyNumberFormat="1" applyFont="1" applyFill="1" applyAlignment="1">
      <alignment vertical="center"/>
    </xf>
    <xf numFmtId="41" fontId="2" fillId="0" borderId="0" xfId="1" applyFont="1" applyAlignment="1">
      <alignment vertical="center"/>
    </xf>
    <xf numFmtId="0" fontId="2" fillId="0" borderId="0" xfId="1" applyNumberFormat="1" applyFont="1" applyAlignment="1">
      <alignment vertical="center"/>
    </xf>
    <xf numFmtId="0" fontId="10" fillId="0" borderId="0" xfId="0" applyFont="1" applyAlignment="1">
      <alignment horizontal="center" vertical="center"/>
    </xf>
    <xf numFmtId="0" fontId="11" fillId="0" borderId="0" xfId="0" applyFont="1">
      <alignment vertical="center"/>
    </xf>
    <xf numFmtId="0" fontId="12" fillId="0" borderId="0" xfId="0" applyFont="1" applyAlignment="1">
      <alignment horizontal="center" vertical="center"/>
    </xf>
    <xf numFmtId="0" fontId="12" fillId="0" borderId="0" xfId="0" applyFont="1">
      <alignment vertical="center"/>
    </xf>
    <xf numFmtId="41" fontId="6" fillId="0" borderId="0" xfId="0" applyNumberFormat="1" applyFont="1" applyAlignment="1">
      <alignment horizontal="center" vertical="center"/>
    </xf>
    <xf numFmtId="41" fontId="13" fillId="0" borderId="0" xfId="0" applyNumberFormat="1" applyFont="1" applyAlignment="1">
      <alignment horizontal="left" vertical="center"/>
    </xf>
    <xf numFmtId="41" fontId="6" fillId="0" borderId="0" xfId="1" applyFont="1" applyFill="1" applyBorder="1" applyAlignment="1">
      <alignment horizontal="center" vertical="center"/>
    </xf>
    <xf numFmtId="0" fontId="10" fillId="0" borderId="22" xfId="0" applyFont="1" applyBorder="1" applyAlignment="1">
      <alignment horizontal="center" vertical="center"/>
    </xf>
    <xf numFmtId="0" fontId="7" fillId="0" borderId="0" xfId="0" applyFont="1" applyAlignment="1">
      <alignment horizontal="left" vertical="center"/>
    </xf>
    <xf numFmtId="37" fontId="6" fillId="0" borderId="0" xfId="0" applyNumberFormat="1" applyFont="1" applyAlignment="1">
      <alignment horizontal="left" vertical="center"/>
    </xf>
    <xf numFmtId="167" fontId="6" fillId="0" borderId="0" xfId="0" applyNumberFormat="1" applyFont="1" applyAlignment="1">
      <alignment horizontal="center" vertical="center"/>
    </xf>
    <xf numFmtId="0" fontId="6" fillId="0" borderId="0" xfId="0" applyFont="1" applyAlignment="1">
      <alignment horizontal="right" vertical="center"/>
    </xf>
    <xf numFmtId="0" fontId="14" fillId="0" borderId="0" xfId="0" applyFont="1">
      <alignment vertical="center"/>
    </xf>
    <xf numFmtId="0" fontId="6" fillId="0" borderId="0" xfId="0" applyFont="1" applyAlignment="1">
      <alignment horizontal="left" vertical="center"/>
    </xf>
    <xf numFmtId="167" fontId="6" fillId="0" borderId="0" xfId="0" applyNumberFormat="1" applyFont="1" applyAlignment="1">
      <alignment horizontal="left" vertical="center"/>
    </xf>
    <xf numFmtId="167" fontId="6" fillId="0" borderId="18" xfId="0" applyNumberFormat="1" applyFont="1" applyBorder="1" applyAlignment="1">
      <alignment horizontal="left" vertical="center"/>
    </xf>
    <xf numFmtId="167" fontId="6" fillId="0" borderId="18" xfId="0" applyNumberFormat="1" applyFont="1" applyBorder="1" applyAlignment="1">
      <alignment horizontal="center" vertical="center"/>
    </xf>
    <xf numFmtId="0" fontId="15" fillId="0" borderId="0" xfId="0" applyFont="1">
      <alignment vertical="center"/>
    </xf>
    <xf numFmtId="0" fontId="7" fillId="0" borderId="0" xfId="0" applyFont="1" applyAlignment="1">
      <alignment horizontal="center" vertical="center"/>
    </xf>
    <xf numFmtId="0" fontId="7" fillId="0" borderId="0" xfId="0" applyFont="1">
      <alignment vertical="center"/>
    </xf>
    <xf numFmtId="0" fontId="7" fillId="0" borderId="18" xfId="0" applyFont="1" applyBorder="1" applyAlignment="1">
      <alignment horizontal="center" vertical="center"/>
    </xf>
    <xf numFmtId="0" fontId="7" fillId="0" borderId="18" xfId="0" applyFont="1" applyBorder="1" applyAlignment="1">
      <alignment horizontal="center" vertical="center" wrapText="1"/>
    </xf>
    <xf numFmtId="167" fontId="7" fillId="0" borderId="18" xfId="0" applyNumberFormat="1" applyFont="1" applyBorder="1" applyAlignment="1">
      <alignment horizontal="center" vertical="center" wrapText="1"/>
    </xf>
    <xf numFmtId="0" fontId="6" fillId="0" borderId="0" xfId="4" applyFont="1" applyAlignment="1">
      <alignment horizontal="center" vertical="center"/>
    </xf>
    <xf numFmtId="0" fontId="6" fillId="0" borderId="0" xfId="4" applyFont="1">
      <alignment vertical="center"/>
    </xf>
    <xf numFmtId="41" fontId="6" fillId="0" borderId="0" xfId="1" applyFont="1" applyAlignment="1">
      <alignment vertical="center"/>
    </xf>
    <xf numFmtId="167" fontId="6" fillId="0" borderId="0" xfId="0" applyNumberFormat="1" applyFont="1">
      <alignment vertical="center"/>
    </xf>
    <xf numFmtId="0" fontId="6" fillId="0" borderId="0" xfId="1" applyNumberFormat="1" applyFont="1" applyFill="1" applyAlignment="1">
      <alignment vertical="center"/>
    </xf>
    <xf numFmtId="0" fontId="19" fillId="0" borderId="0" xfId="6" applyFont="1">
      <alignment vertical="center"/>
    </xf>
    <xf numFmtId="0" fontId="19" fillId="0" borderId="0" xfId="6" applyFont="1" applyAlignment="1">
      <alignment horizontal="center" vertical="center"/>
    </xf>
    <xf numFmtId="0" fontId="19" fillId="0" borderId="0" xfId="6" applyFont="1" applyAlignment="1">
      <alignment horizontal="left" vertical="center" indent="2"/>
    </xf>
    <xf numFmtId="0" fontId="21" fillId="0" borderId="0" xfId="6" applyFont="1" applyAlignment="1">
      <alignment horizontal="center" vertical="top"/>
    </xf>
    <xf numFmtId="169" fontId="19" fillId="0" borderId="0" xfId="6" applyNumberFormat="1" applyFont="1" applyAlignment="1">
      <alignment horizontal="left" vertical="center" indent="2"/>
    </xf>
    <xf numFmtId="0" fontId="21" fillId="0" borderId="5" xfId="6" applyFont="1" applyBorder="1" applyAlignment="1">
      <alignment horizontal="center" vertical="top" wrapText="1"/>
    </xf>
    <xf numFmtId="0" fontId="23" fillId="0" borderId="0" xfId="0" quotePrefix="1" applyFont="1" applyAlignment="1">
      <alignment vertical="center" wrapText="1"/>
    </xf>
    <xf numFmtId="0" fontId="19" fillId="0" borderId="16" xfId="6" applyFont="1" applyBorder="1" applyAlignment="1">
      <alignment horizontal="right" vertical="top" wrapText="1" indent="1"/>
    </xf>
    <xf numFmtId="0" fontId="19" fillId="0" borderId="16" xfId="6" applyFont="1" applyBorder="1" applyAlignment="1">
      <alignment horizontal="right" vertical="top" indent="1"/>
    </xf>
    <xf numFmtId="0" fontId="19" fillId="0" borderId="15" xfId="6" applyFont="1" applyBorder="1" applyAlignment="1">
      <alignment horizontal="right" vertical="top" wrapText="1" indent="1"/>
    </xf>
    <xf numFmtId="41" fontId="2" fillId="0" borderId="0" xfId="0" applyNumberFormat="1" applyFont="1" applyAlignment="1">
      <alignment horizontal="left" vertical="center"/>
    </xf>
    <xf numFmtId="14" fontId="26" fillId="0" borderId="0" xfId="0" applyNumberFormat="1" applyFont="1">
      <alignment vertical="center"/>
    </xf>
    <xf numFmtId="14" fontId="2" fillId="0" borderId="0" xfId="0" quotePrefix="1" applyNumberFormat="1" applyFont="1" applyAlignment="1">
      <alignment horizontal="left" vertical="center"/>
    </xf>
    <xf numFmtId="0" fontId="4" fillId="0" borderId="0" xfId="0" applyFont="1">
      <alignment vertical="center"/>
    </xf>
    <xf numFmtId="0" fontId="4" fillId="0" borderId="0" xfId="0" applyFont="1" applyAlignment="1">
      <alignment horizontal="center" vertical="center"/>
    </xf>
    <xf numFmtId="37" fontId="2" fillId="2" borderId="0" xfId="0" applyNumberFormat="1" applyFont="1" applyFill="1" applyAlignment="1">
      <alignment horizontal="left" vertical="center"/>
    </xf>
    <xf numFmtId="37" fontId="6" fillId="2" borderId="0" xfId="0" applyNumberFormat="1" applyFont="1" applyFill="1" applyAlignment="1">
      <alignment horizontal="left" vertical="center"/>
    </xf>
    <xf numFmtId="0" fontId="19" fillId="2" borderId="5" xfId="7" applyFont="1" applyFill="1" applyBorder="1" applyAlignment="1">
      <alignment vertical="top" wrapText="1"/>
    </xf>
    <xf numFmtId="0" fontId="19" fillId="2" borderId="14" xfId="7" applyFont="1" applyFill="1" applyBorder="1" applyAlignment="1">
      <alignment vertical="top" wrapText="1"/>
    </xf>
    <xf numFmtId="0" fontId="19" fillId="0" borderId="0" xfId="1" applyNumberFormat="1" applyFont="1" applyFill="1" applyBorder="1" applyAlignment="1">
      <alignment vertical="top"/>
    </xf>
    <xf numFmtId="41" fontId="19" fillId="0" borderId="0" xfId="1" applyFont="1" applyFill="1" applyBorder="1" applyAlignment="1">
      <alignment horizontal="left" vertical="top"/>
    </xf>
    <xf numFmtId="41" fontId="19" fillId="0" borderId="0" xfId="1" applyFont="1" applyFill="1" applyBorder="1" applyAlignment="1">
      <alignment vertical="top"/>
    </xf>
    <xf numFmtId="164" fontId="19" fillId="0" borderId="0" xfId="1" applyNumberFormat="1" applyFont="1" applyFill="1" applyBorder="1" applyAlignment="1">
      <alignment vertical="top"/>
    </xf>
    <xf numFmtId="49" fontId="19" fillId="0" borderId="10" xfId="6" applyNumberFormat="1" applyFont="1" applyBorder="1" applyAlignment="1">
      <alignment horizontal="left" vertical="top"/>
    </xf>
    <xf numFmtId="0" fontId="6" fillId="2" borderId="18" xfId="0" applyFont="1" applyFill="1" applyBorder="1" applyAlignment="1">
      <alignment horizontal="center" vertical="center"/>
    </xf>
    <xf numFmtId="0" fontId="2" fillId="2" borderId="18" xfId="0" applyFont="1" applyFill="1" applyBorder="1" applyAlignment="1">
      <alignment horizontal="center" vertical="center"/>
    </xf>
    <xf numFmtId="0" fontId="6" fillId="2" borderId="15" xfId="0" applyFont="1" applyFill="1" applyBorder="1" applyAlignment="1">
      <alignment horizontal="center" vertical="center"/>
    </xf>
    <xf numFmtId="0" fontId="2" fillId="2" borderId="18" xfId="0" applyFont="1" applyFill="1" applyBorder="1" applyAlignment="1">
      <alignment vertical="center" wrapText="1"/>
    </xf>
    <xf numFmtId="0" fontId="6" fillId="2" borderId="15" xfId="0" applyFont="1" applyFill="1" applyBorder="1" applyAlignment="1">
      <alignment horizontal="center" vertical="center" wrapText="1"/>
    </xf>
    <xf numFmtId="0" fontId="9" fillId="2" borderId="18" xfId="0" applyFont="1" applyFill="1" applyBorder="1" applyAlignment="1">
      <alignment horizontal="center" vertical="center" wrapText="1"/>
    </xf>
    <xf numFmtId="1" fontId="2" fillId="2" borderId="18" xfId="0" applyNumberFormat="1" applyFont="1" applyFill="1" applyBorder="1" applyAlignment="1">
      <alignment horizontal="center" vertical="center" wrapText="1"/>
    </xf>
    <xf numFmtId="0" fontId="2" fillId="2" borderId="18" xfId="0" applyFont="1" applyFill="1" applyBorder="1" applyAlignment="1">
      <alignment horizontal="center" vertical="center" wrapText="1"/>
    </xf>
    <xf numFmtId="0" fontId="7" fillId="2" borderId="0" xfId="0" applyFont="1" applyFill="1" applyAlignment="1">
      <alignment horizontal="left" vertical="center"/>
    </xf>
    <xf numFmtId="14" fontId="6" fillId="2" borderId="0" xfId="0" quotePrefix="1" applyNumberFormat="1" applyFont="1" applyFill="1" applyAlignment="1">
      <alignment horizontal="left" vertical="center"/>
    </xf>
    <xf numFmtId="15" fontId="6" fillId="2" borderId="0" xfId="0" applyNumberFormat="1" applyFont="1" applyFill="1" applyAlignment="1">
      <alignment horizontal="left" vertical="center"/>
    </xf>
    <xf numFmtId="0" fontId="6" fillId="2" borderId="0" xfId="0" applyFont="1" applyFill="1" applyAlignment="1">
      <alignment horizontal="left" vertical="center"/>
    </xf>
    <xf numFmtId="0" fontId="6" fillId="2" borderId="0" xfId="0" applyFont="1" applyFill="1">
      <alignment vertical="center"/>
    </xf>
    <xf numFmtId="0" fontId="6" fillId="2" borderId="11" xfId="0" applyFont="1" applyFill="1" applyBorder="1" applyAlignment="1">
      <alignment horizontal="left" vertical="center"/>
    </xf>
    <xf numFmtId="0" fontId="6" fillId="2" borderId="5" xfId="0" applyFont="1" applyFill="1" applyBorder="1" applyAlignment="1">
      <alignment horizontal="left" vertical="center"/>
    </xf>
    <xf numFmtId="0" fontId="6" fillId="2" borderId="11" xfId="0" applyFont="1" applyFill="1" applyBorder="1" applyAlignment="1">
      <alignment horizontal="left" vertical="center" wrapText="1"/>
    </xf>
    <xf numFmtId="41" fontId="6" fillId="2" borderId="18" xfId="1" applyFont="1" applyFill="1" applyBorder="1" applyAlignment="1">
      <alignment horizontal="center" vertical="center" wrapText="1"/>
    </xf>
    <xf numFmtId="167" fontId="6" fillId="2" borderId="18" xfId="4" applyNumberFormat="1" applyFont="1" applyFill="1" applyBorder="1" applyAlignment="1">
      <alignment horizontal="center" vertical="center" wrapText="1"/>
    </xf>
    <xf numFmtId="0" fontId="6" fillId="2" borderId="11" xfId="0" applyFont="1" applyFill="1" applyBorder="1" applyAlignment="1">
      <alignment horizontal="center" vertical="center" wrapText="1"/>
    </xf>
    <xf numFmtId="0" fontId="6" fillId="2" borderId="11" xfId="0" applyFont="1" applyFill="1" applyBorder="1" applyAlignment="1">
      <alignment horizontal="center" vertical="center"/>
    </xf>
    <xf numFmtId="0" fontId="9" fillId="2" borderId="15" xfId="0" applyFont="1" applyFill="1" applyBorder="1" applyAlignment="1">
      <alignment horizontal="center" vertical="center" wrapText="1"/>
    </xf>
    <xf numFmtId="0" fontId="6" fillId="2" borderId="18" xfId="4" applyFont="1" applyFill="1" applyBorder="1" applyAlignment="1">
      <alignment horizontal="center" vertical="center"/>
    </xf>
    <xf numFmtId="0" fontId="17" fillId="2" borderId="18" xfId="4" applyFont="1" applyFill="1" applyBorder="1" applyAlignment="1">
      <alignment horizontal="center" vertical="center" wrapText="1"/>
    </xf>
    <xf numFmtId="0" fontId="6" fillId="2" borderId="18" xfId="4" applyFont="1" applyFill="1" applyBorder="1" applyAlignment="1">
      <alignment horizontal="center" vertical="center" wrapText="1"/>
    </xf>
    <xf numFmtId="0" fontId="19" fillId="2" borderId="17" xfId="6" applyFont="1" applyFill="1" applyBorder="1" applyAlignment="1">
      <alignment horizontal="right" vertical="top" wrapText="1" indent="1"/>
    </xf>
    <xf numFmtId="0" fontId="21" fillId="2" borderId="7" xfId="6" applyFont="1" applyFill="1" applyBorder="1" applyAlignment="1">
      <alignment horizontal="center" vertical="top" wrapText="1"/>
    </xf>
    <xf numFmtId="0" fontId="19" fillId="2" borderId="16" xfId="6" applyFont="1" applyFill="1" applyBorder="1" applyAlignment="1">
      <alignment horizontal="right" vertical="top" wrapText="1" indent="1"/>
    </xf>
    <xf numFmtId="0" fontId="21" fillId="2" borderId="0" xfId="6" applyFont="1" applyFill="1" applyAlignment="1">
      <alignment horizontal="center" vertical="top" wrapText="1"/>
    </xf>
    <xf numFmtId="0" fontId="21" fillId="2" borderId="0" xfId="6" applyFont="1" applyFill="1" applyAlignment="1">
      <alignment horizontal="center" vertical="top"/>
    </xf>
    <xf numFmtId="168" fontId="19" fillId="2" borderId="0" xfId="6" applyNumberFormat="1" applyFont="1" applyFill="1" applyAlignment="1">
      <alignment horizontal="left" vertical="top"/>
    </xf>
    <xf numFmtId="166" fontId="19" fillId="2" borderId="0" xfId="1" applyNumberFormat="1" applyFont="1" applyFill="1" applyBorder="1" applyAlignment="1">
      <alignment vertical="top"/>
    </xf>
    <xf numFmtId="41" fontId="19" fillId="2" borderId="0" xfId="1" applyFont="1" applyFill="1" applyBorder="1" applyAlignment="1">
      <alignment horizontal="left" vertical="top"/>
    </xf>
    <xf numFmtId="41" fontId="19" fillId="2" borderId="0" xfId="1" applyFont="1" applyFill="1" applyBorder="1" applyAlignment="1">
      <alignment vertical="top"/>
    </xf>
    <xf numFmtId="0" fontId="19" fillId="2" borderId="10" xfId="6" applyFont="1" applyFill="1" applyBorder="1" applyAlignment="1">
      <alignment vertical="top"/>
    </xf>
    <xf numFmtId="0" fontId="19" fillId="2" borderId="0" xfId="6" applyFont="1" applyFill="1" applyAlignment="1">
      <alignment horizontal="left" vertical="top"/>
    </xf>
    <xf numFmtId="170" fontId="19" fillId="2" borderId="10" xfId="6" applyNumberFormat="1" applyFont="1" applyFill="1" applyBorder="1" applyAlignment="1">
      <alignment vertical="top"/>
    </xf>
    <xf numFmtId="49" fontId="19" fillId="2" borderId="0" xfId="1" applyNumberFormat="1" applyFont="1" applyFill="1" applyBorder="1" applyAlignment="1">
      <alignment horizontal="left" vertical="top"/>
    </xf>
    <xf numFmtId="164" fontId="19" fillId="2" borderId="0" xfId="1" applyNumberFormat="1" applyFont="1" applyFill="1" applyBorder="1" applyAlignment="1">
      <alignment vertical="top"/>
    </xf>
    <xf numFmtId="49" fontId="19" fillId="2" borderId="10" xfId="6" applyNumberFormat="1" applyFont="1" applyFill="1" applyBorder="1" applyAlignment="1">
      <alignment horizontal="left" vertical="top"/>
    </xf>
    <xf numFmtId="0" fontId="19" fillId="2" borderId="5" xfId="7" applyFont="1" applyFill="1" applyBorder="1" applyAlignment="1">
      <alignment horizontal="left" vertical="top"/>
    </xf>
    <xf numFmtId="164" fontId="6" fillId="0" borderId="18" xfId="1" applyNumberFormat="1" applyFont="1" applyFill="1" applyBorder="1" applyAlignment="1">
      <alignment horizontal="center" vertical="center"/>
    </xf>
    <xf numFmtId="0" fontId="19" fillId="2" borderId="0" xfId="6" applyFont="1" applyFill="1" applyAlignment="1">
      <alignment horizontal="left" vertical="top" wrapText="1"/>
    </xf>
    <xf numFmtId="0" fontId="19" fillId="2" borderId="10" xfId="6" applyFont="1" applyFill="1" applyBorder="1" applyAlignment="1">
      <alignment horizontal="left" vertical="top" wrapText="1"/>
    </xf>
    <xf numFmtId="165" fontId="6" fillId="0" borderId="0" xfId="1" applyNumberFormat="1" applyFont="1" applyFill="1" applyBorder="1" applyAlignment="1">
      <alignment horizontal="center" vertical="center"/>
    </xf>
    <xf numFmtId="164" fontId="6" fillId="0" borderId="0" xfId="1" applyNumberFormat="1" applyFont="1" applyFill="1" applyBorder="1" applyAlignment="1">
      <alignment horizontal="center" vertical="center"/>
    </xf>
    <xf numFmtId="0" fontId="7" fillId="2" borderId="15" xfId="0" applyFont="1" applyFill="1" applyBorder="1" applyAlignment="1">
      <alignment horizontal="center" vertical="center"/>
    </xf>
    <xf numFmtId="0" fontId="7" fillId="2" borderId="18" xfId="0" applyFont="1" applyFill="1" applyBorder="1" applyAlignment="1">
      <alignment horizontal="center" vertical="center"/>
    </xf>
    <xf numFmtId="0" fontId="7" fillId="0" borderId="18" xfId="0" applyFont="1" applyBorder="1">
      <alignment vertical="center"/>
    </xf>
    <xf numFmtId="0" fontId="30" fillId="2" borderId="15" xfId="0" applyFont="1" applyFill="1" applyBorder="1" applyAlignment="1">
      <alignment horizontal="center" vertical="center"/>
    </xf>
    <xf numFmtId="0" fontId="30" fillId="2" borderId="11" xfId="0" applyFont="1" applyFill="1" applyBorder="1" applyAlignment="1">
      <alignment horizontal="left" vertical="center"/>
    </xf>
    <xf numFmtId="0" fontId="30" fillId="2" borderId="5" xfId="0" applyFont="1" applyFill="1" applyBorder="1" applyAlignment="1">
      <alignment horizontal="left" vertical="center"/>
    </xf>
    <xf numFmtId="0" fontId="30" fillId="2" borderId="15" xfId="0" applyFont="1" applyFill="1" applyBorder="1" applyAlignment="1">
      <alignment horizontal="center" vertical="center" wrapText="1"/>
    </xf>
    <xf numFmtId="0" fontId="30" fillId="2" borderId="18" xfId="0" applyFont="1" applyFill="1" applyBorder="1" applyAlignment="1">
      <alignment horizontal="center" vertical="center"/>
    </xf>
    <xf numFmtId="0" fontId="31" fillId="2" borderId="18" xfId="0" applyFont="1" applyFill="1" applyBorder="1" applyAlignment="1">
      <alignment horizontal="center" vertical="center" wrapText="1"/>
    </xf>
    <xf numFmtId="164" fontId="30" fillId="0" borderId="18" xfId="1" applyNumberFormat="1" applyFont="1" applyFill="1" applyBorder="1" applyAlignment="1">
      <alignment horizontal="center" vertical="center"/>
    </xf>
    <xf numFmtId="2" fontId="2" fillId="2" borderId="18" xfId="0" applyNumberFormat="1" applyFont="1" applyFill="1" applyBorder="1" applyAlignment="1">
      <alignment horizontal="center" vertical="center" wrapText="1"/>
    </xf>
    <xf numFmtId="164" fontId="2" fillId="2" borderId="18" xfId="1" applyNumberFormat="1" applyFont="1" applyFill="1" applyBorder="1" applyAlignment="1">
      <alignment horizontal="center" vertical="center" wrapText="1"/>
    </xf>
    <xf numFmtId="164" fontId="2" fillId="2" borderId="18" xfId="0" applyNumberFormat="1" applyFont="1" applyFill="1" applyBorder="1" applyAlignment="1">
      <alignment horizontal="center" vertical="center" wrapText="1"/>
    </xf>
    <xf numFmtId="164" fontId="2" fillId="0" borderId="15" xfId="0" applyNumberFormat="1" applyFont="1" applyBorder="1" applyAlignment="1">
      <alignment horizontal="center" vertical="center"/>
    </xf>
    <xf numFmtId="164" fontId="30" fillId="2" borderId="15" xfId="1" applyNumberFormat="1" applyFont="1" applyFill="1" applyBorder="1" applyAlignment="1">
      <alignment horizontal="center" vertical="center" wrapText="1"/>
    </xf>
    <xf numFmtId="164" fontId="6" fillId="2" borderId="15" xfId="1" applyNumberFormat="1" applyFont="1" applyFill="1" applyBorder="1" applyAlignment="1">
      <alignment horizontal="center" vertical="center" wrapText="1"/>
    </xf>
    <xf numFmtId="164" fontId="6" fillId="2" borderId="11" xfId="1" applyNumberFormat="1" applyFont="1" applyFill="1" applyBorder="1" applyAlignment="1">
      <alignment horizontal="center" vertical="center" wrapText="1"/>
    </xf>
    <xf numFmtId="164" fontId="30" fillId="2" borderId="11" xfId="1" applyNumberFormat="1" applyFont="1" applyFill="1" applyBorder="1" applyAlignment="1">
      <alignment horizontal="center" vertical="center" wrapText="1"/>
    </xf>
    <xf numFmtId="0" fontId="34" fillId="2" borderId="15" xfId="0" applyFont="1" applyFill="1" applyBorder="1" applyAlignment="1">
      <alignment horizontal="center" vertical="center" wrapText="1"/>
    </xf>
    <xf numFmtId="0" fontId="2" fillId="0" borderId="13" xfId="0" applyFont="1" applyBorder="1" applyAlignment="1">
      <alignment horizontal="center" vertical="center"/>
    </xf>
    <xf numFmtId="0" fontId="2" fillId="0" borderId="0" xfId="0" applyFont="1" applyBorder="1" applyAlignment="1">
      <alignment horizontal="center" vertical="center"/>
    </xf>
    <xf numFmtId="0" fontId="6" fillId="0" borderId="15" xfId="0" applyFont="1" applyFill="1" applyBorder="1" applyAlignment="1">
      <alignment horizontal="center" vertical="center"/>
    </xf>
    <xf numFmtId="0" fontId="6" fillId="0" borderId="11" xfId="0" applyFont="1" applyFill="1" applyBorder="1" applyAlignment="1">
      <alignment horizontal="left" vertical="center"/>
    </xf>
    <xf numFmtId="0" fontId="6" fillId="0" borderId="5" xfId="0" applyFont="1" applyFill="1" applyBorder="1" applyAlignment="1">
      <alignment horizontal="left" vertical="center"/>
    </xf>
    <xf numFmtId="0" fontId="6" fillId="0" borderId="11" xfId="0" applyFont="1" applyFill="1" applyBorder="1" applyAlignment="1">
      <alignment horizontal="center" vertical="center" wrapText="1"/>
    </xf>
    <xf numFmtId="0" fontId="6" fillId="0" borderId="15" xfId="0" applyFont="1" applyFill="1" applyBorder="1" applyAlignment="1">
      <alignment horizontal="center" vertical="center" wrapText="1"/>
    </xf>
    <xf numFmtId="0" fontId="6" fillId="0" borderId="18" xfId="0" applyFont="1" applyFill="1" applyBorder="1" applyAlignment="1">
      <alignment horizontal="center" vertical="center"/>
    </xf>
    <xf numFmtId="41" fontId="6" fillId="0" borderId="18" xfId="1" applyFont="1" applyFill="1" applyBorder="1" applyAlignment="1">
      <alignment horizontal="center" vertical="center" wrapText="1"/>
    </xf>
    <xf numFmtId="164" fontId="30" fillId="3" borderId="18" xfId="1" applyNumberFormat="1" applyFont="1" applyFill="1" applyBorder="1" applyAlignment="1">
      <alignment horizontal="center" vertical="center"/>
    </xf>
    <xf numFmtId="164" fontId="6" fillId="3" borderId="15" xfId="1" applyNumberFormat="1" applyFont="1" applyFill="1" applyBorder="1" applyAlignment="1">
      <alignment horizontal="center" vertical="center" wrapText="1"/>
    </xf>
    <xf numFmtId="164" fontId="6" fillId="3" borderId="18" xfId="1" applyNumberFormat="1" applyFont="1" applyFill="1" applyBorder="1" applyAlignment="1">
      <alignment horizontal="center" vertical="center"/>
    </xf>
    <xf numFmtId="43" fontId="7" fillId="0" borderId="0" xfId="0" applyNumberFormat="1" applyFont="1" applyAlignment="1">
      <alignment horizontal="center" vertical="center"/>
    </xf>
    <xf numFmtId="164" fontId="6" fillId="2" borderId="18" xfId="1" applyNumberFormat="1" applyFont="1" applyFill="1" applyBorder="1" applyAlignment="1">
      <alignment horizontal="center" vertical="center"/>
    </xf>
    <xf numFmtId="0" fontId="6" fillId="2" borderId="18" xfId="0" applyFont="1" applyFill="1" applyBorder="1" applyAlignment="1">
      <alignment horizontal="center" vertical="center"/>
    </xf>
    <xf numFmtId="2" fontId="2" fillId="2" borderId="15" xfId="0" applyNumberFormat="1" applyFont="1" applyFill="1" applyBorder="1" applyAlignment="1">
      <alignment horizontal="center" vertical="center"/>
    </xf>
    <xf numFmtId="0" fontId="6" fillId="3" borderId="11" xfId="0" applyFont="1" applyFill="1" applyBorder="1" applyAlignment="1">
      <alignment horizontal="left" vertical="center"/>
    </xf>
    <xf numFmtId="167" fontId="6" fillId="2" borderId="0" xfId="0" applyNumberFormat="1" applyFont="1" applyFill="1">
      <alignment vertical="center"/>
    </xf>
    <xf numFmtId="164" fontId="30" fillId="3" borderId="15" xfId="1" applyNumberFormat="1" applyFont="1" applyFill="1" applyBorder="1" applyAlignment="1">
      <alignment horizontal="center" vertical="center" wrapText="1"/>
    </xf>
    <xf numFmtId="0" fontId="6" fillId="2" borderId="18" xfId="0" applyFont="1" applyFill="1" applyBorder="1" applyAlignment="1">
      <alignment horizontal="center" vertical="center"/>
    </xf>
    <xf numFmtId="0" fontId="6" fillId="2" borderId="15" xfId="0" applyFont="1" applyFill="1" applyBorder="1" applyAlignment="1">
      <alignment horizontal="center" vertical="center" wrapText="1"/>
    </xf>
    <xf numFmtId="0" fontId="9" fillId="2" borderId="18" xfId="0" applyFont="1" applyFill="1" applyBorder="1" applyAlignment="1">
      <alignment horizontal="center" vertical="center" wrapText="1"/>
    </xf>
    <xf numFmtId="0" fontId="6" fillId="2" borderId="0" xfId="0" applyFont="1" applyFill="1">
      <alignment vertical="center"/>
    </xf>
    <xf numFmtId="0" fontId="6" fillId="2" borderId="5" xfId="0" applyFont="1" applyFill="1" applyBorder="1" applyAlignment="1">
      <alignment horizontal="left" vertical="center"/>
    </xf>
    <xf numFmtId="167" fontId="6" fillId="2" borderId="18" xfId="4" applyNumberFormat="1" applyFont="1" applyFill="1" applyBorder="1" applyAlignment="1">
      <alignment horizontal="center" vertical="center" wrapText="1"/>
    </xf>
    <xf numFmtId="0" fontId="9" fillId="2" borderId="15" xfId="0" applyFont="1" applyFill="1" applyBorder="1" applyAlignment="1">
      <alignment horizontal="center" vertical="center" wrapText="1"/>
    </xf>
    <xf numFmtId="167" fontId="6" fillId="2" borderId="18" xfId="0" applyNumberFormat="1" applyFont="1" applyFill="1" applyBorder="1" applyAlignment="1">
      <alignment horizontal="center" vertical="center"/>
    </xf>
    <xf numFmtId="0" fontId="30" fillId="2" borderId="5" xfId="0" applyFont="1" applyFill="1" applyBorder="1" applyAlignment="1">
      <alignment horizontal="left" vertical="center"/>
    </xf>
    <xf numFmtId="0" fontId="30" fillId="2" borderId="18" xfId="0" applyFont="1" applyFill="1" applyBorder="1" applyAlignment="1">
      <alignment horizontal="center" vertical="center"/>
    </xf>
    <xf numFmtId="0" fontId="6" fillId="2" borderId="18" xfId="0" applyFont="1" applyFill="1" applyBorder="1" applyAlignment="1">
      <alignment horizontal="center" vertical="center"/>
    </xf>
    <xf numFmtId="0" fontId="30" fillId="0" borderId="15" xfId="0" applyFont="1" applyBorder="1" applyAlignment="1">
      <alignment horizontal="center" vertical="center"/>
    </xf>
    <xf numFmtId="0" fontId="30" fillId="0" borderId="15" xfId="0" applyFont="1" applyBorder="1" applyAlignment="1">
      <alignment horizontal="center" vertical="center" wrapText="1"/>
    </xf>
    <xf numFmtId="0" fontId="30" fillId="0" borderId="18" xfId="0" applyFont="1" applyBorder="1" applyAlignment="1">
      <alignment horizontal="center" vertical="center"/>
    </xf>
    <xf numFmtId="0" fontId="31" fillId="0" borderId="18" xfId="0" applyFont="1" applyBorder="1" applyAlignment="1">
      <alignment horizontal="center" vertical="center" wrapText="1"/>
    </xf>
    <xf numFmtId="0" fontId="31" fillId="0" borderId="15" xfId="0" applyFont="1" applyBorder="1" applyAlignment="1">
      <alignment horizontal="center" vertical="center" wrapText="1"/>
    </xf>
    <xf numFmtId="164" fontId="6" fillId="0" borderId="0" xfId="0" applyNumberFormat="1" applyFont="1">
      <alignment vertical="center"/>
    </xf>
    <xf numFmtId="164" fontId="35" fillId="0" borderId="0" xfId="0" applyNumberFormat="1" applyFont="1">
      <alignment vertical="center"/>
    </xf>
    <xf numFmtId="0" fontId="6" fillId="2" borderId="18" xfId="0" applyFont="1" applyFill="1" applyBorder="1" applyAlignment="1">
      <alignment horizontal="center" vertical="center"/>
    </xf>
    <xf numFmtId="0" fontId="10" fillId="0" borderId="0" xfId="0" applyFont="1" applyAlignment="1">
      <alignment horizontal="center" vertical="center"/>
    </xf>
    <xf numFmtId="0" fontId="19" fillId="2" borderId="0" xfId="6" applyFont="1" applyFill="1" applyAlignment="1">
      <alignment horizontal="left" vertical="top" wrapText="1"/>
    </xf>
    <xf numFmtId="0" fontId="19" fillId="2" borderId="10" xfId="6" applyFont="1" applyFill="1" applyBorder="1" applyAlignment="1">
      <alignment horizontal="left" vertical="top" wrapText="1"/>
    </xf>
    <xf numFmtId="0" fontId="18" fillId="2" borderId="12" xfId="6" applyFont="1" applyFill="1" applyBorder="1" applyAlignment="1">
      <alignment horizontal="center" vertical="center"/>
    </xf>
    <xf numFmtId="0" fontId="20" fillId="2" borderId="1" xfId="6" applyFont="1" applyFill="1" applyBorder="1" applyAlignment="1">
      <alignment horizontal="center" vertical="center" wrapText="1"/>
    </xf>
    <xf numFmtId="0" fontId="20" fillId="2" borderId="2" xfId="6" applyFont="1" applyFill="1" applyBorder="1" applyAlignment="1">
      <alignment horizontal="center" vertical="center" wrapText="1"/>
    </xf>
    <xf numFmtId="0" fontId="20" fillId="2" borderId="3" xfId="6" applyFont="1" applyFill="1" applyBorder="1" applyAlignment="1">
      <alignment horizontal="center" vertical="center" wrapText="1"/>
    </xf>
    <xf numFmtId="0" fontId="20" fillId="2" borderId="4" xfId="6" applyFont="1" applyFill="1" applyBorder="1" applyAlignment="1">
      <alignment horizontal="center" vertical="center" wrapText="1"/>
    </xf>
    <xf numFmtId="0" fontId="20" fillId="2" borderId="5" xfId="6" applyFont="1" applyFill="1" applyBorder="1" applyAlignment="1">
      <alignment horizontal="center" vertical="center" wrapText="1"/>
    </xf>
    <xf numFmtId="0" fontId="20" fillId="2" borderId="6" xfId="6" applyFont="1" applyFill="1" applyBorder="1" applyAlignment="1">
      <alignment horizontal="center" vertical="center" wrapText="1"/>
    </xf>
    <xf numFmtId="0" fontId="19" fillId="2" borderId="7" xfId="6" applyFont="1" applyFill="1" applyBorder="1" applyAlignment="1">
      <alignment horizontal="left" vertical="top" wrapText="1"/>
    </xf>
    <xf numFmtId="0" fontId="19" fillId="2" borderId="7" xfId="6" applyFont="1" applyFill="1" applyBorder="1" applyAlignment="1">
      <alignment horizontal="left" vertical="top"/>
    </xf>
    <xf numFmtId="0" fontId="19" fillId="2" borderId="8" xfId="6" applyFont="1" applyFill="1" applyBorder="1" applyAlignment="1">
      <alignment horizontal="left" vertical="top"/>
    </xf>
    <xf numFmtId="0" fontId="7" fillId="2" borderId="18" xfId="0" applyFont="1" applyFill="1" applyBorder="1" applyAlignment="1">
      <alignment horizontal="center" vertical="center"/>
    </xf>
    <xf numFmtId="0" fontId="7" fillId="0" borderId="18" xfId="0" applyFont="1" applyBorder="1" applyAlignment="1">
      <alignment horizontal="center" vertical="center" wrapText="1"/>
    </xf>
    <xf numFmtId="0" fontId="7" fillId="0" borderId="17" xfId="0" applyFont="1" applyBorder="1" applyAlignment="1">
      <alignment horizontal="center" vertical="center" wrapText="1"/>
    </xf>
    <xf numFmtId="0" fontId="7" fillId="0" borderId="15" xfId="0" applyFont="1" applyBorder="1" applyAlignment="1">
      <alignment horizontal="center" vertical="center" wrapText="1"/>
    </xf>
    <xf numFmtId="0" fontId="7" fillId="0" borderId="15" xfId="0" applyFont="1" applyBorder="1" applyAlignment="1">
      <alignment horizontal="center" vertical="center"/>
    </xf>
    <xf numFmtId="0" fontId="7" fillId="0" borderId="17" xfId="0" applyFont="1" applyBorder="1" applyAlignment="1">
      <alignment horizontal="center" vertical="center"/>
    </xf>
    <xf numFmtId="0" fontId="7" fillId="0" borderId="9" xfId="0" applyFont="1" applyBorder="1" applyAlignment="1">
      <alignment horizontal="center" vertical="center"/>
    </xf>
    <xf numFmtId="0" fontId="7" fillId="0" borderId="7" xfId="0" applyFont="1" applyBorder="1" applyAlignment="1">
      <alignment horizontal="center" vertical="center"/>
    </xf>
    <xf numFmtId="0" fontId="7" fillId="0" borderId="11" xfId="0" applyFont="1" applyBorder="1" applyAlignment="1">
      <alignment horizontal="center" vertical="center"/>
    </xf>
    <xf numFmtId="0" fontId="7" fillId="0" borderId="5" xfId="0" applyFont="1" applyBorder="1" applyAlignment="1">
      <alignment horizontal="center" vertical="center"/>
    </xf>
    <xf numFmtId="0" fontId="7" fillId="0" borderId="20" xfId="0" applyFont="1" applyBorder="1" applyAlignment="1">
      <alignment horizontal="center" vertical="center"/>
    </xf>
    <xf numFmtId="0" fontId="7" fillId="0" borderId="21" xfId="0" applyFont="1" applyBorder="1" applyAlignment="1">
      <alignment horizontal="center" vertical="center"/>
    </xf>
    <xf numFmtId="0" fontId="10" fillId="0" borderId="0" xfId="0" applyFont="1" applyAlignment="1">
      <alignment horizontal="center" vertical="center"/>
    </xf>
    <xf numFmtId="0" fontId="6" fillId="0" borderId="0" xfId="0" applyFont="1" applyAlignment="1">
      <alignment horizontal="left" vertical="center" wrapText="1"/>
    </xf>
    <xf numFmtId="0" fontId="10" fillId="0" borderId="23" xfId="0" applyFont="1" applyBorder="1" applyAlignment="1">
      <alignment horizontal="center" vertical="center"/>
    </xf>
    <xf numFmtId="0" fontId="10" fillId="0" borderId="24" xfId="0" applyFont="1" applyBorder="1" applyAlignment="1">
      <alignment horizontal="center" vertical="center"/>
    </xf>
    <xf numFmtId="0" fontId="10" fillId="0" borderId="25" xfId="0" applyFont="1" applyBorder="1" applyAlignment="1">
      <alignment horizontal="center" vertical="center"/>
    </xf>
    <xf numFmtId="37" fontId="6" fillId="0" borderId="0" xfId="0" applyNumberFormat="1" applyFont="1" applyAlignment="1">
      <alignment horizontal="left" vertical="center"/>
    </xf>
    <xf numFmtId="15" fontId="6" fillId="0" borderId="0" xfId="0" applyNumberFormat="1" applyFont="1" applyAlignment="1">
      <alignment horizontal="center" vertical="center"/>
    </xf>
    <xf numFmtId="14" fontId="26" fillId="0" borderId="0" xfId="0" applyNumberFormat="1" applyFont="1" applyAlignment="1">
      <alignment horizontal="left" vertical="center"/>
    </xf>
    <xf numFmtId="0" fontId="7" fillId="0" borderId="19" xfId="0" applyFont="1" applyBorder="1" applyAlignment="1">
      <alignment horizontal="center" vertical="center"/>
    </xf>
    <xf numFmtId="0" fontId="6" fillId="2" borderId="20" xfId="4" applyFont="1" applyFill="1" applyBorder="1" applyAlignment="1">
      <alignment horizontal="center" vertical="center"/>
    </xf>
    <xf numFmtId="0" fontId="6" fillId="2" borderId="19" xfId="4" applyFont="1" applyFill="1" applyBorder="1" applyAlignment="1">
      <alignment horizontal="center" vertical="center"/>
    </xf>
    <xf numFmtId="0" fontId="6" fillId="2" borderId="21" xfId="4" applyFont="1" applyFill="1" applyBorder="1" applyAlignment="1">
      <alignment horizontal="center" vertical="center"/>
    </xf>
    <xf numFmtId="0" fontId="6" fillId="2" borderId="18" xfId="0" applyFont="1" applyFill="1" applyBorder="1" applyAlignment="1">
      <alignment horizontal="center" vertical="center"/>
    </xf>
    <xf numFmtId="0" fontId="7" fillId="2" borderId="17" xfId="0" applyFont="1" applyFill="1" applyBorder="1" applyAlignment="1">
      <alignment horizontal="center" vertical="center" wrapText="1"/>
    </xf>
    <xf numFmtId="0" fontId="7" fillId="2" borderId="15" xfId="0" applyFont="1" applyFill="1" applyBorder="1" applyAlignment="1">
      <alignment horizontal="center" vertical="center" wrapText="1"/>
    </xf>
    <xf numFmtId="0" fontId="3" fillId="2" borderId="17" xfId="0" applyFont="1" applyFill="1" applyBorder="1" applyAlignment="1">
      <alignment horizontal="center" vertical="center" wrapText="1"/>
    </xf>
    <xf numFmtId="0" fontId="3" fillId="2" borderId="15" xfId="0" applyFont="1" applyFill="1" applyBorder="1" applyAlignment="1">
      <alignment horizontal="center" vertical="center" wrapText="1"/>
    </xf>
    <xf numFmtId="0" fontId="3" fillId="0" borderId="20" xfId="0" applyFont="1" applyBorder="1" applyAlignment="1">
      <alignment horizontal="center" vertical="center"/>
    </xf>
    <xf numFmtId="0" fontId="3" fillId="0" borderId="19" xfId="0" applyFont="1" applyBorder="1" applyAlignment="1">
      <alignment horizontal="center" vertical="center"/>
    </xf>
    <xf numFmtId="0" fontId="3" fillId="0" borderId="21" xfId="0" applyFont="1" applyBorder="1" applyAlignment="1">
      <alignment horizontal="center" vertical="center"/>
    </xf>
    <xf numFmtId="0" fontId="2" fillId="0" borderId="0" xfId="0" applyFont="1" applyAlignment="1">
      <alignment horizontal="left" vertical="center" wrapText="1"/>
    </xf>
    <xf numFmtId="0" fontId="4" fillId="0" borderId="23" xfId="0" applyFont="1" applyBorder="1" applyAlignment="1">
      <alignment horizontal="center" vertical="center"/>
    </xf>
    <xf numFmtId="0" fontId="4" fillId="0" borderId="24" xfId="0" applyFont="1" applyBorder="1" applyAlignment="1">
      <alignment horizontal="center" vertical="center"/>
    </xf>
    <xf numFmtId="0" fontId="4" fillId="0" borderId="25" xfId="0" applyFont="1" applyBorder="1" applyAlignment="1">
      <alignment horizontal="center" vertical="center"/>
    </xf>
    <xf numFmtId="0" fontId="3" fillId="0" borderId="17" xfId="0" applyFont="1" applyBorder="1" applyAlignment="1">
      <alignment horizontal="center" vertical="center" wrapText="1"/>
    </xf>
    <xf numFmtId="0" fontId="3" fillId="0" borderId="15" xfId="0" applyFont="1" applyBorder="1" applyAlignment="1">
      <alignment horizontal="center" vertical="center" wrapText="1"/>
    </xf>
    <xf numFmtId="0" fontId="3" fillId="0" borderId="17" xfId="0" applyFont="1" applyBorder="1" applyAlignment="1">
      <alignment horizontal="center" vertical="center"/>
    </xf>
    <xf numFmtId="0" fontId="3" fillId="0" borderId="15" xfId="0" applyFont="1" applyBorder="1" applyAlignment="1">
      <alignment horizontal="center" vertical="center"/>
    </xf>
    <xf numFmtId="0" fontId="3" fillId="0" borderId="9" xfId="0" applyFont="1" applyBorder="1" applyAlignment="1">
      <alignment horizontal="center" vertical="center"/>
    </xf>
    <xf numFmtId="0" fontId="3" fillId="0" borderId="11" xfId="0" applyFont="1" applyBorder="1" applyAlignment="1">
      <alignment horizontal="center" vertical="center"/>
    </xf>
  </cellXfs>
  <cellStyles count="15">
    <cellStyle name="Bình thường" xfId="0" builtinId="0"/>
    <cellStyle name="Comma" xfId="10" xr:uid="{00000000-0005-0000-0000-000000000000}"/>
    <cellStyle name="Dấu phẩy [0]" xfId="1" builtinId="6"/>
    <cellStyle name="Normal 3" xfId="8" xr:uid="{00000000-0005-0000-0000-000001000000}"/>
    <cellStyle name="쉼표 [0] 2" xfId="11" xr:uid="{96417942-B5FE-4457-876F-9ECC82FC3B72}"/>
    <cellStyle name="쉼표 [0] 3" xfId="13" xr:uid="{0611A1D9-362A-4A4C-B490-03D07A5C565D}"/>
    <cellStyle name="쉼표 [0] 6" xfId="5" xr:uid="{00000000-0005-0000-0000-000003000000}"/>
    <cellStyle name="쉼표 [0] 6 2" xfId="12" xr:uid="{941826A3-9659-48D6-B0AD-1B489BEDEA49}"/>
    <cellStyle name="쉼표 [0] 6 3" xfId="14" xr:uid="{BEE297FE-B21E-4C60-A8E0-6FC93AB858EB}"/>
    <cellStyle name="표준 6" xfId="4" xr:uid="{00000000-0005-0000-0000-000005000000}"/>
    <cellStyle name="표준_080407 3항차 final packing List(r3)통합" xfId="9" xr:uid="{00000000-0005-0000-0000-000006000000}"/>
    <cellStyle name="표준_Cirebon Grating Pk'g list(서흥)_080910_final" xfId="6" xr:uid="{00000000-0005-0000-0000-000007000000}"/>
    <cellStyle name="표준_PACKINGLIST (철골_1항차)" xfId="7" xr:uid="{00000000-0005-0000-0000-000008000000}"/>
    <cellStyle name="표준_STG-PKL" xfId="3" xr:uid="{00000000-0005-0000-0000-00000A000000}"/>
    <cellStyle name="標準_Proforma PL cirebon 2" xfId="2" xr:uid="{00000000-0005-0000-0000-000009000000}"/>
  </cellStyles>
  <dxfs count="1">
    <dxf>
      <font>
        <color rgb="FF9C0006"/>
      </font>
      <fill>
        <patternFill>
          <bgColor rgb="FFFFC7CE"/>
        </patternFill>
      </fill>
    </dxf>
  </dxfs>
  <tableStyles count="0" defaultTableStyle="TableStyleMedium2" defaultPivotStyle="PivotStyleLight16"/>
  <colors>
    <mruColors>
      <color rgb="FF0000F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tyles" Target="styles.xml"/><Relationship Id="rId18" Type="http://schemas.openxmlformats.org/officeDocument/2006/relationships/customXml" Target="../customXml/item3.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17" Type="http://schemas.openxmlformats.org/officeDocument/2006/relationships/customXml" Target="../customXml/item2.xml"/><Relationship Id="rId2" Type="http://schemas.openxmlformats.org/officeDocument/2006/relationships/worksheet" Target="worksheets/sheet2.xml"/><Relationship Id="rId16" Type="http://schemas.openxmlformats.org/officeDocument/2006/relationships/customXml" Target="../customXml/item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calcChain" Target="calcChain.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aredStrings" Target="sharedStrings.xml"/></Relationships>
</file>

<file path=xl/drawings/_rels/drawing1.xml.rels><?xml version="1.0" encoding="UTF-8" standalone="yes"?>
<Relationships xmlns="http://schemas.openxmlformats.org/package/2006/relationships"><Relationship Id="rId2" Type="http://schemas.openxmlformats.org/officeDocument/2006/relationships/image" Target="../media/image2.png"/><Relationship Id="rId1" Type="http://schemas.openxmlformats.org/officeDocument/2006/relationships/image" Target="../media/image1.jpeg"/></Relationships>
</file>

<file path=xl/drawings/_rels/drawing2.xml.rels><?xml version="1.0" encoding="UTF-8" standalone="yes"?>
<Relationships xmlns="http://schemas.openxmlformats.org/package/2006/relationships"><Relationship Id="rId2" Type="http://schemas.openxmlformats.org/officeDocument/2006/relationships/image" Target="../media/image2.png"/><Relationship Id="rId1" Type="http://schemas.openxmlformats.org/officeDocument/2006/relationships/image" Target="../media/image1.jpeg"/></Relationships>
</file>

<file path=xl/drawings/_rels/drawing3.xml.rels><?xml version="1.0" encoding="UTF-8" standalone="yes"?>
<Relationships xmlns="http://schemas.openxmlformats.org/package/2006/relationships"><Relationship Id="rId2" Type="http://schemas.openxmlformats.org/officeDocument/2006/relationships/image" Target="../media/image2.png"/><Relationship Id="rId1" Type="http://schemas.openxmlformats.org/officeDocument/2006/relationships/image" Target="../media/image1.jpeg"/></Relationships>
</file>

<file path=xl/drawings/_rels/drawing4.xml.rels><?xml version="1.0" encoding="UTF-8" standalone="yes"?>
<Relationships xmlns="http://schemas.openxmlformats.org/package/2006/relationships"><Relationship Id="rId1" Type="http://schemas.openxmlformats.org/officeDocument/2006/relationships/image" Target="../media/image3.png"/></Relationships>
</file>

<file path=xl/drawings/_rels/drawing5.xml.rels><?xml version="1.0" encoding="UTF-8" standalone="yes"?>
<Relationships xmlns="http://schemas.openxmlformats.org/package/2006/relationships"><Relationship Id="rId1" Type="http://schemas.openxmlformats.org/officeDocument/2006/relationships/image" Target="../media/image4.png"/></Relationships>
</file>

<file path=xl/drawings/_rels/drawing6.xml.rels><?xml version="1.0" encoding="UTF-8" standalone="yes"?>
<Relationships xmlns="http://schemas.openxmlformats.org/package/2006/relationships"><Relationship Id="rId1" Type="http://schemas.openxmlformats.org/officeDocument/2006/relationships/image" Target="../media/image5.png"/></Relationships>
</file>

<file path=xl/drawings/_rels/drawing7.xml.rels><?xml version="1.0" encoding="UTF-8" standalone="yes"?>
<Relationships xmlns="http://schemas.openxmlformats.org/package/2006/relationships"><Relationship Id="rId1"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3</xdr:col>
      <xdr:colOff>0</xdr:colOff>
      <xdr:row>1</xdr:row>
      <xdr:rowOff>3969</xdr:rowOff>
    </xdr:from>
    <xdr:to>
      <xdr:col>3</xdr:col>
      <xdr:colOff>1503826</xdr:colOff>
      <xdr:row>1</xdr:row>
      <xdr:rowOff>282734</xdr:rowOff>
    </xdr:to>
    <xdr:pic>
      <xdr:nvPicPr>
        <xdr:cNvPr id="2" name="그림 2">
          <a:extLst>
            <a:ext uri="{FF2B5EF4-FFF2-40B4-BE49-F238E27FC236}">
              <a16:creationId xmlns:a16="http://schemas.microsoft.com/office/drawing/2014/main" id="{4FC63662-0526-4F2E-BFA0-B75C9ACEFCE7}"/>
            </a:ext>
          </a:extLst>
        </xdr:cNvPr>
        <xdr:cNvPicPr>
          <a:picLocks noChangeAspect="1"/>
        </xdr:cNvPicPr>
      </xdr:nvPicPr>
      <xdr:blipFill rotWithShape="1">
        <a:blip xmlns:r="http://schemas.openxmlformats.org/officeDocument/2006/relationships" r:embed="rId1" cstate="print">
          <a:extLst>
            <a:ext uri="{28A0092B-C50C-407E-A947-70E740481C1C}">
              <a14:useLocalDpi xmlns:a14="http://schemas.microsoft.com/office/drawing/2010/main" val="0"/>
            </a:ext>
          </a:extLst>
        </a:blip>
        <a:srcRect t="9117" b="11386"/>
        <a:stretch>
          <a:fillRect/>
        </a:stretch>
      </xdr:blipFill>
      <xdr:spPr bwMode="auto">
        <a:xfrm>
          <a:off x="390525" y="118269"/>
          <a:ext cx="1507636" cy="282575"/>
        </a:xfrm>
        <a:prstGeom prst="rect">
          <a:avLst/>
        </a:prstGeom>
        <a:noFill/>
        <a:ln>
          <a:noFill/>
        </a:ln>
        <a:extLst>
          <a:ext uri="{53640926-AAD7-44D8-BBD7-CCE9431645EC}">
            <a14:shadowObscured xmlns:a14="http://schemas.microsoft.com/office/drawing/2010/main"/>
          </a:ext>
        </a:extLst>
      </xdr:spPr>
    </xdr:pic>
    <xdr:clientData/>
  </xdr:twoCellAnchor>
  <xdr:twoCellAnchor editAs="oneCell">
    <xdr:from>
      <xdr:col>13</xdr:col>
      <xdr:colOff>323850</xdr:colOff>
      <xdr:row>1</xdr:row>
      <xdr:rowOff>135890</xdr:rowOff>
    </xdr:from>
    <xdr:to>
      <xdr:col>14</xdr:col>
      <xdr:colOff>457462</xdr:colOff>
      <xdr:row>2</xdr:row>
      <xdr:rowOff>93662</xdr:rowOff>
    </xdr:to>
    <xdr:pic>
      <xdr:nvPicPr>
        <xdr:cNvPr id="3" name="Picture 2">
          <a:extLst>
            <a:ext uri="{FF2B5EF4-FFF2-40B4-BE49-F238E27FC236}">
              <a16:creationId xmlns:a16="http://schemas.microsoft.com/office/drawing/2014/main" id="{C8AF15A1-A47B-4224-A141-2AFB5C4233BA}"/>
            </a:ext>
          </a:extLst>
        </xdr:cNvPr>
        <xdr:cNvPicPr>
          <a:picLocks noChangeAspect="1"/>
        </xdr:cNvPicPr>
      </xdr:nvPicPr>
      <xdr:blipFill>
        <a:blip xmlns:r="http://schemas.openxmlformats.org/officeDocument/2006/relationships" r:embed="rId2"/>
        <a:stretch>
          <a:fillRect/>
        </a:stretch>
      </xdr:blipFill>
      <xdr:spPr>
        <a:xfrm>
          <a:off x="11125200" y="250190"/>
          <a:ext cx="1101352" cy="291147"/>
        </a:xfrm>
        <a:prstGeom prst="rect">
          <a:avLst/>
        </a:prstGeom>
      </xdr:spPr>
    </xdr:pic>
    <xdr:clientData/>
  </xdr:twoCellAnchor>
  <xdr:oneCellAnchor>
    <xdr:from>
      <xdr:col>2</xdr:col>
      <xdr:colOff>0</xdr:colOff>
      <xdr:row>1</xdr:row>
      <xdr:rowOff>3969</xdr:rowOff>
    </xdr:from>
    <xdr:ext cx="1503826" cy="278765"/>
    <xdr:pic>
      <xdr:nvPicPr>
        <xdr:cNvPr id="4" name="그림 2">
          <a:extLst>
            <a:ext uri="{FF2B5EF4-FFF2-40B4-BE49-F238E27FC236}">
              <a16:creationId xmlns:a16="http://schemas.microsoft.com/office/drawing/2014/main" id="{2EE2E9C8-4729-6A4A-BEE8-35DD361DE31D}"/>
            </a:ext>
          </a:extLst>
        </xdr:cNvPr>
        <xdr:cNvPicPr>
          <a:picLocks noChangeAspect="1"/>
        </xdr:cNvPicPr>
      </xdr:nvPicPr>
      <xdr:blipFill rotWithShape="1">
        <a:blip xmlns:r="http://schemas.openxmlformats.org/officeDocument/2006/relationships" r:embed="rId1" cstate="print">
          <a:extLst>
            <a:ext uri="{28A0092B-C50C-407E-A947-70E740481C1C}">
              <a14:useLocalDpi xmlns:a14="http://schemas.microsoft.com/office/drawing/2010/main" val="0"/>
            </a:ext>
          </a:extLst>
        </a:blip>
        <a:srcRect t="9117" b="11386"/>
        <a:stretch>
          <a:fillRect/>
        </a:stretch>
      </xdr:blipFill>
      <xdr:spPr bwMode="auto">
        <a:xfrm>
          <a:off x="677333" y="118269"/>
          <a:ext cx="1503826" cy="278765"/>
        </a:xfrm>
        <a:prstGeom prst="rect">
          <a:avLst/>
        </a:prstGeom>
        <a:noFill/>
        <a:ln>
          <a:noFill/>
        </a:ln>
        <a:extLst>
          <a:ext uri="{53640926-AAD7-44D8-BBD7-CCE9431645EC}">
            <a14:shadowObscured xmlns:a14="http://schemas.microsoft.com/office/drawing/2010/main"/>
          </a:ext>
        </a:extLst>
      </xdr:spPr>
    </xdr:pic>
    <xdr:clientData/>
  </xdr:oneCellAnchor>
</xdr:wsDr>
</file>

<file path=xl/drawings/drawing2.xml><?xml version="1.0" encoding="utf-8"?>
<xdr:wsDr xmlns:xdr="http://schemas.openxmlformats.org/drawingml/2006/spreadsheetDrawing" xmlns:a="http://schemas.openxmlformats.org/drawingml/2006/main">
  <xdr:twoCellAnchor editAs="oneCell">
    <xdr:from>
      <xdr:col>2</xdr:col>
      <xdr:colOff>0</xdr:colOff>
      <xdr:row>1</xdr:row>
      <xdr:rowOff>3969</xdr:rowOff>
    </xdr:from>
    <xdr:to>
      <xdr:col>2</xdr:col>
      <xdr:colOff>1503826</xdr:colOff>
      <xdr:row>1</xdr:row>
      <xdr:rowOff>282734</xdr:rowOff>
    </xdr:to>
    <xdr:pic>
      <xdr:nvPicPr>
        <xdr:cNvPr id="2" name="그림 2">
          <a:extLst>
            <a:ext uri="{FF2B5EF4-FFF2-40B4-BE49-F238E27FC236}">
              <a16:creationId xmlns:a16="http://schemas.microsoft.com/office/drawing/2014/main" id="{A8E7A8E0-A754-4482-AF74-876E703A6BFF}"/>
            </a:ext>
          </a:extLst>
        </xdr:cNvPr>
        <xdr:cNvPicPr>
          <a:picLocks noChangeAspect="1"/>
        </xdr:cNvPicPr>
      </xdr:nvPicPr>
      <xdr:blipFill rotWithShape="1">
        <a:blip xmlns:r="http://schemas.openxmlformats.org/officeDocument/2006/relationships" r:embed="rId1" cstate="print">
          <a:extLst>
            <a:ext uri="{28A0092B-C50C-407E-A947-70E740481C1C}">
              <a14:useLocalDpi xmlns:a14="http://schemas.microsoft.com/office/drawing/2010/main" val="0"/>
            </a:ext>
          </a:extLst>
        </a:blip>
        <a:srcRect t="9117" b="11386"/>
        <a:stretch>
          <a:fillRect/>
        </a:stretch>
      </xdr:blipFill>
      <xdr:spPr bwMode="auto">
        <a:xfrm>
          <a:off x="400050" y="118269"/>
          <a:ext cx="1508271" cy="276225"/>
        </a:xfrm>
        <a:prstGeom prst="rect">
          <a:avLst/>
        </a:prstGeom>
        <a:noFill/>
        <a:ln>
          <a:noFill/>
        </a:ln>
        <a:extLst>
          <a:ext uri="{53640926-AAD7-44D8-BBD7-CCE9431645EC}">
            <a14:shadowObscured xmlns:a14="http://schemas.microsoft.com/office/drawing/2010/main"/>
          </a:ext>
        </a:extLst>
      </xdr:spPr>
    </xdr:pic>
    <xdr:clientData/>
  </xdr:twoCellAnchor>
  <xdr:twoCellAnchor editAs="oneCell">
    <xdr:from>
      <xdr:col>19</xdr:col>
      <xdr:colOff>950593</xdr:colOff>
      <xdr:row>1</xdr:row>
      <xdr:rowOff>71120</xdr:rowOff>
    </xdr:from>
    <xdr:to>
      <xdr:col>20</xdr:col>
      <xdr:colOff>251161</xdr:colOff>
      <xdr:row>2</xdr:row>
      <xdr:rowOff>36512</xdr:rowOff>
    </xdr:to>
    <xdr:pic>
      <xdr:nvPicPr>
        <xdr:cNvPr id="3" name="Picture 2">
          <a:extLst>
            <a:ext uri="{FF2B5EF4-FFF2-40B4-BE49-F238E27FC236}">
              <a16:creationId xmlns:a16="http://schemas.microsoft.com/office/drawing/2014/main" id="{92708511-8760-4245-8514-006096CE83F1}"/>
            </a:ext>
          </a:extLst>
        </xdr:cNvPr>
        <xdr:cNvPicPr>
          <a:picLocks noChangeAspect="1"/>
        </xdr:cNvPicPr>
      </xdr:nvPicPr>
      <xdr:blipFill>
        <a:blip xmlns:r="http://schemas.openxmlformats.org/officeDocument/2006/relationships" r:embed="rId2"/>
        <a:stretch>
          <a:fillRect/>
        </a:stretch>
      </xdr:blipFill>
      <xdr:spPr>
        <a:xfrm>
          <a:off x="16076293" y="185420"/>
          <a:ext cx="1179532" cy="289242"/>
        </a:xfrm>
        <a:prstGeom prst="rect">
          <a:avLst/>
        </a:prstGeom>
      </xdr:spPr>
    </xdr:pic>
    <xdr:clientData/>
  </xdr:twoCellAnchor>
</xdr:wsDr>
</file>

<file path=xl/drawings/drawing3.xml><?xml version="1.0" encoding="utf-8"?>
<xdr:wsDr xmlns:xdr="http://schemas.openxmlformats.org/drawingml/2006/spreadsheetDrawing" xmlns:a="http://schemas.openxmlformats.org/drawingml/2006/main">
  <xdr:twoCellAnchor editAs="oneCell">
    <xdr:from>
      <xdr:col>2</xdr:col>
      <xdr:colOff>0</xdr:colOff>
      <xdr:row>1</xdr:row>
      <xdr:rowOff>3969</xdr:rowOff>
    </xdr:from>
    <xdr:to>
      <xdr:col>2</xdr:col>
      <xdr:colOff>1503191</xdr:colOff>
      <xdr:row>1</xdr:row>
      <xdr:rowOff>283369</xdr:rowOff>
    </xdr:to>
    <xdr:pic>
      <xdr:nvPicPr>
        <xdr:cNvPr id="2" name="그림 2">
          <a:extLst>
            <a:ext uri="{FF2B5EF4-FFF2-40B4-BE49-F238E27FC236}">
              <a16:creationId xmlns:a16="http://schemas.microsoft.com/office/drawing/2014/main" id="{043A71AE-9FDB-4AFE-8BA5-7F72736D8877}"/>
            </a:ext>
          </a:extLst>
        </xdr:cNvPr>
        <xdr:cNvPicPr>
          <a:picLocks noChangeAspect="1"/>
        </xdr:cNvPicPr>
      </xdr:nvPicPr>
      <xdr:blipFill rotWithShape="1">
        <a:blip xmlns:r="http://schemas.openxmlformats.org/officeDocument/2006/relationships" r:embed="rId1" cstate="print">
          <a:extLst>
            <a:ext uri="{28A0092B-C50C-407E-A947-70E740481C1C}">
              <a14:useLocalDpi xmlns:a14="http://schemas.microsoft.com/office/drawing/2010/main" val="0"/>
            </a:ext>
          </a:extLst>
        </a:blip>
        <a:srcRect t="9117" b="11386"/>
        <a:stretch>
          <a:fillRect/>
        </a:stretch>
      </xdr:blipFill>
      <xdr:spPr bwMode="auto">
        <a:xfrm>
          <a:off x="400050" y="118269"/>
          <a:ext cx="1508271" cy="276225"/>
        </a:xfrm>
        <a:prstGeom prst="rect">
          <a:avLst/>
        </a:prstGeom>
        <a:noFill/>
        <a:ln>
          <a:noFill/>
        </a:ln>
        <a:extLst>
          <a:ext uri="{53640926-AAD7-44D8-BBD7-CCE9431645EC}">
            <a14:shadowObscured xmlns:a14="http://schemas.microsoft.com/office/drawing/2010/main"/>
          </a:ext>
        </a:extLst>
      </xdr:spPr>
    </xdr:pic>
    <xdr:clientData/>
  </xdr:twoCellAnchor>
  <xdr:twoCellAnchor editAs="oneCell">
    <xdr:from>
      <xdr:col>18</xdr:col>
      <xdr:colOff>132414</xdr:colOff>
      <xdr:row>1</xdr:row>
      <xdr:rowOff>26894</xdr:rowOff>
    </xdr:from>
    <xdr:to>
      <xdr:col>19</xdr:col>
      <xdr:colOff>211750</xdr:colOff>
      <xdr:row>2</xdr:row>
      <xdr:rowOff>56</xdr:rowOff>
    </xdr:to>
    <xdr:pic>
      <xdr:nvPicPr>
        <xdr:cNvPr id="3" name="Picture 2">
          <a:extLst>
            <a:ext uri="{FF2B5EF4-FFF2-40B4-BE49-F238E27FC236}">
              <a16:creationId xmlns:a16="http://schemas.microsoft.com/office/drawing/2014/main" id="{E6D5D902-1B22-4E79-8CDB-6FBE06D6B3AC}"/>
            </a:ext>
          </a:extLst>
        </xdr:cNvPr>
        <xdr:cNvPicPr>
          <a:picLocks noChangeAspect="1"/>
        </xdr:cNvPicPr>
      </xdr:nvPicPr>
      <xdr:blipFill>
        <a:blip xmlns:r="http://schemas.openxmlformats.org/officeDocument/2006/relationships" r:embed="rId2"/>
        <a:stretch>
          <a:fillRect/>
        </a:stretch>
      </xdr:blipFill>
      <xdr:spPr>
        <a:xfrm>
          <a:off x="14210364" y="141194"/>
          <a:ext cx="1039458" cy="290512"/>
        </a:xfrm>
        <a:prstGeom prst="rect">
          <a:avLst/>
        </a:prstGeom>
      </xdr:spPr>
    </xdr:pic>
    <xdr:clientData/>
  </xdr:twoCellAnchor>
</xdr:wsDr>
</file>

<file path=xl/drawings/drawing4.xml><?xml version="1.0" encoding="utf-8"?>
<xdr:wsDr xmlns:xdr="http://schemas.openxmlformats.org/drawingml/2006/spreadsheetDrawing" xmlns:a="http://schemas.openxmlformats.org/drawingml/2006/main">
  <xdr:twoCellAnchor editAs="oneCell">
    <xdr:from>
      <xdr:col>0</xdr:col>
      <xdr:colOff>0</xdr:colOff>
      <xdr:row>0</xdr:row>
      <xdr:rowOff>0</xdr:rowOff>
    </xdr:from>
    <xdr:to>
      <xdr:col>7</xdr:col>
      <xdr:colOff>296061</xdr:colOff>
      <xdr:row>42</xdr:row>
      <xdr:rowOff>105795</xdr:rowOff>
    </xdr:to>
    <xdr:pic>
      <xdr:nvPicPr>
        <xdr:cNvPr id="2" name="Picture 1">
          <a:extLst>
            <a:ext uri="{FF2B5EF4-FFF2-40B4-BE49-F238E27FC236}">
              <a16:creationId xmlns:a16="http://schemas.microsoft.com/office/drawing/2014/main" id="{5B384E68-F239-7CF8-8E0C-4636EAD95363}"/>
            </a:ext>
          </a:extLst>
        </xdr:cNvPr>
        <xdr:cNvPicPr>
          <a:picLocks noChangeAspect="1"/>
        </xdr:cNvPicPr>
      </xdr:nvPicPr>
      <xdr:blipFill>
        <a:blip xmlns:r="http://schemas.openxmlformats.org/officeDocument/2006/relationships" r:embed="rId1"/>
        <a:stretch>
          <a:fillRect/>
        </a:stretch>
      </xdr:blipFill>
      <xdr:spPr>
        <a:xfrm>
          <a:off x="0" y="0"/>
          <a:ext cx="5630061" cy="7306695"/>
        </a:xfrm>
        <a:prstGeom prst="rect">
          <a:avLst/>
        </a:prstGeom>
      </xdr:spPr>
    </xdr:pic>
    <xdr:clientData/>
  </xdr:twoCellAnchor>
</xdr:wsDr>
</file>

<file path=xl/drawings/drawing5.xml><?xml version="1.0" encoding="utf-8"?>
<xdr:wsDr xmlns:xdr="http://schemas.openxmlformats.org/drawingml/2006/spreadsheetDrawing" xmlns:a="http://schemas.openxmlformats.org/drawingml/2006/main">
  <xdr:twoCellAnchor editAs="oneCell">
    <xdr:from>
      <xdr:col>0</xdr:col>
      <xdr:colOff>0</xdr:colOff>
      <xdr:row>1</xdr:row>
      <xdr:rowOff>69850</xdr:rowOff>
    </xdr:from>
    <xdr:to>
      <xdr:col>7</xdr:col>
      <xdr:colOff>101600</xdr:colOff>
      <xdr:row>39</xdr:row>
      <xdr:rowOff>5108</xdr:rowOff>
    </xdr:to>
    <xdr:pic>
      <xdr:nvPicPr>
        <xdr:cNvPr id="3" name="그림 2">
          <a:extLst>
            <a:ext uri="{FF2B5EF4-FFF2-40B4-BE49-F238E27FC236}">
              <a16:creationId xmlns:a16="http://schemas.microsoft.com/office/drawing/2014/main" id="{CC591DF6-CC67-2F33-F4D5-8B2D32DAD8F3}"/>
            </a:ext>
          </a:extLst>
        </xdr:cNvPr>
        <xdr:cNvPicPr>
          <a:picLocks noChangeAspect="1"/>
        </xdr:cNvPicPr>
      </xdr:nvPicPr>
      <xdr:blipFill>
        <a:blip xmlns:r="http://schemas.openxmlformats.org/officeDocument/2006/relationships" r:embed="rId1"/>
        <a:stretch>
          <a:fillRect/>
        </a:stretch>
      </xdr:blipFill>
      <xdr:spPr>
        <a:xfrm>
          <a:off x="0" y="247650"/>
          <a:ext cx="4724400" cy="6691658"/>
        </a:xfrm>
        <a:prstGeom prst="rect">
          <a:avLst/>
        </a:prstGeom>
      </xdr:spPr>
    </xdr:pic>
    <xdr:clientData/>
  </xdr:twoCellAnchor>
</xdr:wsDr>
</file>

<file path=xl/drawings/drawing6.xml><?xml version="1.0" encoding="utf-8"?>
<xdr:wsDr xmlns:xdr="http://schemas.openxmlformats.org/drawingml/2006/spreadsheetDrawing" xmlns:a="http://schemas.openxmlformats.org/drawingml/2006/main">
  <xdr:twoCellAnchor editAs="oneCell">
    <xdr:from>
      <xdr:col>0</xdr:col>
      <xdr:colOff>0</xdr:colOff>
      <xdr:row>1</xdr:row>
      <xdr:rowOff>0</xdr:rowOff>
    </xdr:from>
    <xdr:to>
      <xdr:col>7</xdr:col>
      <xdr:colOff>277008</xdr:colOff>
      <xdr:row>39</xdr:row>
      <xdr:rowOff>86745</xdr:rowOff>
    </xdr:to>
    <xdr:pic>
      <xdr:nvPicPr>
        <xdr:cNvPr id="2" name="Picture 1">
          <a:extLst>
            <a:ext uri="{FF2B5EF4-FFF2-40B4-BE49-F238E27FC236}">
              <a16:creationId xmlns:a16="http://schemas.microsoft.com/office/drawing/2014/main" id="{FAF6769A-280A-914F-EDCC-3763FC93F948}"/>
            </a:ext>
          </a:extLst>
        </xdr:cNvPr>
        <xdr:cNvPicPr>
          <a:picLocks noChangeAspect="1"/>
        </xdr:cNvPicPr>
      </xdr:nvPicPr>
      <xdr:blipFill>
        <a:blip xmlns:r="http://schemas.openxmlformats.org/officeDocument/2006/relationships" r:embed="rId1"/>
        <a:stretch>
          <a:fillRect/>
        </a:stretch>
      </xdr:blipFill>
      <xdr:spPr>
        <a:xfrm>
          <a:off x="0" y="182880"/>
          <a:ext cx="4970928" cy="7767705"/>
        </a:xfrm>
        <a:prstGeom prst="rect">
          <a:avLst/>
        </a:prstGeom>
      </xdr:spPr>
    </xdr:pic>
    <xdr:clientData/>
  </xdr:twoCellAnchor>
</xdr:wsDr>
</file>

<file path=xl/drawings/drawing7.xml><?xml version="1.0" encoding="utf-8"?>
<xdr:wsDr xmlns:xdr="http://schemas.openxmlformats.org/drawingml/2006/spreadsheetDrawing" xmlns:a="http://schemas.openxmlformats.org/drawingml/2006/main">
  <xdr:twoCellAnchor editAs="oneCell">
    <xdr:from>
      <xdr:col>0</xdr:col>
      <xdr:colOff>177800</xdr:colOff>
      <xdr:row>0</xdr:row>
      <xdr:rowOff>0</xdr:rowOff>
    </xdr:from>
    <xdr:to>
      <xdr:col>9</xdr:col>
      <xdr:colOff>514350</xdr:colOff>
      <xdr:row>49</xdr:row>
      <xdr:rowOff>70080</xdr:rowOff>
    </xdr:to>
    <xdr:pic>
      <xdr:nvPicPr>
        <xdr:cNvPr id="6" name="그림 5">
          <a:extLst>
            <a:ext uri="{FF2B5EF4-FFF2-40B4-BE49-F238E27FC236}">
              <a16:creationId xmlns:a16="http://schemas.microsoft.com/office/drawing/2014/main" id="{7CF006AE-F715-0CFA-8C16-7FB6CAE2FA8A}"/>
            </a:ext>
          </a:extLst>
        </xdr:cNvPr>
        <xdr:cNvPicPr>
          <a:picLocks noChangeAspect="1"/>
        </xdr:cNvPicPr>
      </xdr:nvPicPr>
      <xdr:blipFill>
        <a:blip xmlns:r="http://schemas.openxmlformats.org/officeDocument/2006/relationships" r:embed="rId1"/>
        <a:stretch>
          <a:fillRect/>
        </a:stretch>
      </xdr:blipFill>
      <xdr:spPr>
        <a:xfrm>
          <a:off x="177800" y="0"/>
          <a:ext cx="6280150" cy="8909280"/>
        </a:xfrm>
        <a:prstGeom prst="rect">
          <a:avLst/>
        </a:prstGeom>
      </xdr:spPr>
    </xdr:pic>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FFC000"/>
    <pageSetUpPr fitToPage="1"/>
  </sheetPr>
  <dimension ref="A1:AH64"/>
  <sheetViews>
    <sheetView showGridLines="0" tabSelected="1" view="pageBreakPreview" topLeftCell="C10" zoomScaleNormal="100" zoomScaleSheetLayoutView="100" workbookViewId="0">
      <selection activeCell="D10" sqref="D10:D62"/>
    </sheetView>
  </sheetViews>
  <sheetFormatPr defaultColWidth="8.76953125" defaultRowHeight="18" customHeight="1"/>
  <cols>
    <col min="1" max="1" width="1.05078125" style="32" customWidth="1"/>
    <col min="2" max="2" width="3.625" style="10" customWidth="1"/>
    <col min="3" max="4" width="21.1640625" style="42" customWidth="1"/>
    <col min="5" max="5" width="23.73828125" style="54" customWidth="1"/>
    <col min="6" max="7" width="21.75" style="54" customWidth="1"/>
    <col min="8" max="8" width="9.703125" style="6" customWidth="1"/>
    <col min="9" max="9" width="5.26171875" style="12" customWidth="1"/>
    <col min="10" max="10" width="5.26171875" style="6" customWidth="1"/>
    <col min="11" max="11" width="7.6015625" style="6" customWidth="1"/>
    <col min="12" max="12" width="9.8203125" style="10" bestFit="1" customWidth="1"/>
    <col min="13" max="13" width="10.9921875" style="6" customWidth="1"/>
    <col min="14" max="14" width="12.74609375" style="6" customWidth="1"/>
    <col min="15" max="15" width="6.6640625" style="56" customWidth="1"/>
    <col min="16" max="16" width="1.05078125" style="30" customWidth="1"/>
    <col min="17" max="19" width="8.76953125" style="31" customWidth="1"/>
    <col min="20" max="20" width="11.2265625" style="31" customWidth="1"/>
    <col min="21" max="23" width="8.76953125" style="31" customWidth="1"/>
    <col min="24" max="29" width="8.76953125" style="32" customWidth="1"/>
    <col min="30" max="34" width="8.76953125" style="31"/>
    <col min="35" max="16384" width="8.76953125" style="32"/>
  </cols>
  <sheetData>
    <row r="1" spans="1:34" ht="9" customHeight="1">
      <c r="B1" s="208"/>
      <c r="C1" s="208"/>
      <c r="D1" s="208"/>
      <c r="E1" s="208"/>
      <c r="F1" s="208"/>
      <c r="G1" s="208"/>
      <c r="H1" s="208"/>
      <c r="I1" s="208"/>
      <c r="J1" s="208"/>
      <c r="K1" s="208"/>
      <c r="L1" s="208"/>
      <c r="M1" s="208"/>
      <c r="N1" s="208"/>
      <c r="O1" s="208"/>
    </row>
    <row r="2" spans="1:34" ht="26.1" customHeight="1">
      <c r="B2" s="29"/>
      <c r="C2" s="6"/>
      <c r="D2" s="6"/>
      <c r="E2" s="6"/>
      <c r="F2" s="6"/>
      <c r="G2" s="6"/>
      <c r="I2" s="6"/>
      <c r="J2" s="33"/>
      <c r="K2" s="33"/>
      <c r="O2" s="32"/>
      <c r="P2" s="32"/>
      <c r="Q2" s="32"/>
      <c r="R2" s="32"/>
      <c r="S2" s="32"/>
      <c r="T2" s="32"/>
      <c r="U2" s="32"/>
      <c r="V2" s="32"/>
      <c r="W2" s="32"/>
      <c r="AD2" s="32"/>
      <c r="AE2" s="32"/>
      <c r="AF2" s="32"/>
      <c r="AG2" s="32"/>
      <c r="AH2" s="32"/>
    </row>
    <row r="3" spans="1:34" ht="27.6" customHeight="1" thickBot="1">
      <c r="B3" s="29"/>
      <c r="C3" s="183"/>
      <c r="D3" s="209" t="s">
        <v>5</v>
      </c>
      <c r="E3" s="209"/>
      <c r="F3" s="209"/>
      <c r="G3" s="209"/>
      <c r="H3" s="209"/>
      <c r="I3" s="209"/>
      <c r="J3" s="209"/>
      <c r="K3" s="209"/>
      <c r="O3" s="32"/>
      <c r="P3" s="32"/>
      <c r="Q3" s="32"/>
      <c r="R3" s="32"/>
      <c r="S3" s="32"/>
      <c r="T3" s="32"/>
      <c r="U3" s="32"/>
      <c r="V3" s="32"/>
      <c r="W3" s="32"/>
      <c r="AD3" s="32"/>
      <c r="AE3" s="32"/>
      <c r="AF3" s="32"/>
      <c r="AG3" s="32"/>
      <c r="AH3" s="32"/>
    </row>
    <row r="4" spans="1:34" ht="33.75" customHeight="1" thickTop="1" thickBot="1">
      <c r="B4" s="210" t="s">
        <v>6</v>
      </c>
      <c r="C4" s="211"/>
      <c r="D4" s="211"/>
      <c r="E4" s="211"/>
      <c r="F4" s="211"/>
      <c r="G4" s="211"/>
      <c r="H4" s="211"/>
      <c r="I4" s="211"/>
      <c r="J4" s="211"/>
      <c r="K4" s="211"/>
      <c r="L4" s="211"/>
      <c r="M4" s="211"/>
      <c r="N4" s="211"/>
      <c r="O4" s="212"/>
    </row>
    <row r="5" spans="1:34" s="6" customFormat="1" ht="17.25" customHeight="1" thickTop="1">
      <c r="B5" s="10"/>
      <c r="C5" s="37"/>
      <c r="D5" s="37"/>
      <c r="E5" s="73"/>
      <c r="H5" s="10"/>
      <c r="I5" s="38"/>
      <c r="J5" s="10"/>
      <c r="K5" s="10"/>
      <c r="L5" s="10"/>
      <c r="M5" s="9"/>
      <c r="N5" s="68"/>
      <c r="O5" s="10"/>
      <c r="P5" s="41"/>
      <c r="AD5" s="10"/>
      <c r="AE5" s="10"/>
      <c r="AF5" s="10"/>
      <c r="AG5" s="10"/>
      <c r="AH5" s="10"/>
    </row>
    <row r="6" spans="1:34" s="6" customFormat="1" ht="14.25">
      <c r="A6" s="9"/>
      <c r="B6" s="213" t="s">
        <v>7</v>
      </c>
      <c r="C6" s="213"/>
      <c r="D6" s="213"/>
      <c r="E6" s="7" t="s">
        <v>8</v>
      </c>
      <c r="F6" s="7" t="s">
        <v>9</v>
      </c>
      <c r="G6" s="214"/>
      <c r="H6" s="214"/>
      <c r="I6" s="214"/>
      <c r="J6" s="9" t="s">
        <v>10</v>
      </c>
      <c r="K6" s="215" t="e">
        <f>#REF!</f>
        <v>#REF!</v>
      </c>
      <c r="L6" s="215"/>
      <c r="M6" s="215"/>
      <c r="S6" s="6">
        <v>2</v>
      </c>
      <c r="T6" s="6">
        <v>9817.5</v>
      </c>
    </row>
    <row r="7" spans="1:34" s="6" customFormat="1" ht="17.25" customHeight="1">
      <c r="B7" s="10"/>
      <c r="C7" s="37"/>
      <c r="D7" s="37"/>
      <c r="E7" s="10"/>
      <c r="F7" s="10"/>
      <c r="G7" s="10"/>
      <c r="H7" s="10"/>
      <c r="I7" s="10"/>
      <c r="J7" s="10"/>
      <c r="K7" s="10"/>
      <c r="L7" s="124"/>
      <c r="M7" s="125"/>
      <c r="N7" s="125"/>
      <c r="O7" s="10"/>
      <c r="P7" s="41"/>
      <c r="Q7" s="10"/>
      <c r="R7" s="10"/>
      <c r="S7" s="10"/>
      <c r="T7" s="10"/>
      <c r="U7" s="10"/>
      <c r="V7" s="10"/>
      <c r="W7" s="10"/>
      <c r="AD7" s="10"/>
      <c r="AE7" s="10"/>
      <c r="AF7" s="10"/>
      <c r="AG7" s="10"/>
      <c r="AH7" s="10"/>
    </row>
    <row r="8" spans="1:34" s="48" customFormat="1" ht="20.25" customHeight="1">
      <c r="B8" s="198" t="s">
        <v>11</v>
      </c>
      <c r="C8" s="201" t="s">
        <v>12</v>
      </c>
      <c r="D8" s="201" t="s">
        <v>219</v>
      </c>
      <c r="E8" s="202" t="s">
        <v>13</v>
      </c>
      <c r="F8" s="203"/>
      <c r="G8" s="201" t="s">
        <v>14</v>
      </c>
      <c r="H8" s="198" t="s">
        <v>15</v>
      </c>
      <c r="I8" s="206" t="s">
        <v>16</v>
      </c>
      <c r="J8" s="207"/>
      <c r="K8" s="197" t="s">
        <v>17</v>
      </c>
      <c r="L8" s="197" t="s">
        <v>18</v>
      </c>
      <c r="M8" s="197" t="s">
        <v>3</v>
      </c>
      <c r="N8" s="197" t="s">
        <v>4</v>
      </c>
      <c r="O8" s="198" t="s">
        <v>19</v>
      </c>
      <c r="P8" s="46"/>
      <c r="Q8" s="47"/>
      <c r="R8" s="47"/>
      <c r="S8" s="47"/>
      <c r="T8" s="47"/>
      <c r="U8" s="47"/>
      <c r="V8" s="47"/>
      <c r="W8" s="47"/>
      <c r="AD8" s="47"/>
      <c r="AE8" s="47"/>
      <c r="AF8" s="47"/>
      <c r="AG8" s="47"/>
      <c r="AH8" s="47"/>
    </row>
    <row r="9" spans="1:34" s="48" customFormat="1" ht="28.5" customHeight="1">
      <c r="B9" s="200"/>
      <c r="C9" s="200"/>
      <c r="D9" s="200"/>
      <c r="E9" s="204"/>
      <c r="F9" s="205"/>
      <c r="G9" s="200"/>
      <c r="H9" s="199"/>
      <c r="I9" s="49" t="s">
        <v>20</v>
      </c>
      <c r="J9" s="49" t="s">
        <v>21</v>
      </c>
      <c r="K9" s="197"/>
      <c r="L9" s="197"/>
      <c r="M9" s="197"/>
      <c r="N9" s="197"/>
      <c r="O9" s="199"/>
      <c r="Q9" s="47"/>
      <c r="R9" s="47"/>
      <c r="S9" s="47"/>
      <c r="T9" s="47"/>
      <c r="U9" s="47"/>
      <c r="V9" s="47"/>
      <c r="W9" s="47"/>
      <c r="AD9" s="47"/>
      <c r="AE9" s="47"/>
      <c r="AF9" s="47"/>
      <c r="AG9" s="47"/>
      <c r="AH9" s="47"/>
    </row>
    <row r="10" spans="1:34" s="48" customFormat="1" ht="28.5" customHeight="1">
      <c r="B10" s="126">
        <v>1</v>
      </c>
      <c r="C10" s="126" t="s">
        <v>22</v>
      </c>
      <c r="D10" s="126" t="s">
        <v>220</v>
      </c>
      <c r="E10" s="130" t="s">
        <v>212</v>
      </c>
      <c r="F10" s="131"/>
      <c r="G10" s="129" t="s">
        <v>23</v>
      </c>
      <c r="H10" s="132" t="s">
        <v>203</v>
      </c>
      <c r="I10" s="133">
        <v>1</v>
      </c>
      <c r="J10" s="133" t="s">
        <v>24</v>
      </c>
      <c r="K10" s="134" t="s">
        <v>25</v>
      </c>
      <c r="L10" s="140">
        <v>2492</v>
      </c>
      <c r="M10" s="135"/>
      <c r="N10" s="135">
        <v>15750</v>
      </c>
      <c r="O10" s="132" t="s">
        <v>26</v>
      </c>
      <c r="Q10" s="47"/>
      <c r="R10" s="47"/>
      <c r="S10" s="47"/>
      <c r="T10" s="47"/>
      <c r="U10" s="47"/>
      <c r="V10" s="47"/>
      <c r="W10" s="47"/>
      <c r="AD10" s="47"/>
      <c r="AE10" s="47"/>
      <c r="AF10" s="47"/>
      <c r="AG10" s="47"/>
      <c r="AH10" s="47"/>
    </row>
    <row r="11" spans="1:34" s="48" customFormat="1" ht="28.5" customHeight="1">
      <c r="B11" s="83"/>
      <c r="C11" s="83" t="s">
        <v>22</v>
      </c>
      <c r="D11" s="126" t="s">
        <v>220</v>
      </c>
      <c r="E11" s="94" t="s">
        <v>27</v>
      </c>
      <c r="F11" s="95"/>
      <c r="G11" s="83" t="s">
        <v>23</v>
      </c>
      <c r="H11" s="85" t="s">
        <v>203</v>
      </c>
      <c r="I11" s="174">
        <v>20</v>
      </c>
      <c r="J11" s="174" t="s">
        <v>45</v>
      </c>
      <c r="K11" s="170"/>
      <c r="L11" s="141">
        <v>190</v>
      </c>
      <c r="M11" s="121">
        <v>60</v>
      </c>
      <c r="N11" s="121">
        <v>1200</v>
      </c>
      <c r="O11" s="85"/>
      <c r="Q11" s="47"/>
      <c r="R11" s="47"/>
      <c r="S11" s="47"/>
      <c r="T11" s="47"/>
      <c r="U11" s="47"/>
      <c r="V11" s="47"/>
      <c r="W11" s="47"/>
      <c r="AD11" s="47"/>
      <c r="AE11" s="47"/>
      <c r="AF11" s="47"/>
      <c r="AG11" s="47"/>
      <c r="AH11" s="47"/>
    </row>
    <row r="12" spans="1:34" s="48" customFormat="1" ht="28.5" customHeight="1">
      <c r="B12" s="83"/>
      <c r="C12" s="83" t="s">
        <v>22</v>
      </c>
      <c r="D12" s="126" t="s">
        <v>220</v>
      </c>
      <c r="E12" s="94" t="s">
        <v>28</v>
      </c>
      <c r="F12" s="95"/>
      <c r="G12" s="83" t="s">
        <v>29</v>
      </c>
      <c r="H12" s="85" t="s">
        <v>203</v>
      </c>
      <c r="I12" s="174">
        <v>40</v>
      </c>
      <c r="J12" s="174" t="s">
        <v>45</v>
      </c>
      <c r="K12" s="165"/>
      <c r="L12" s="141">
        <v>916</v>
      </c>
      <c r="M12" s="121">
        <v>144.75</v>
      </c>
      <c r="N12" s="121">
        <v>5790</v>
      </c>
      <c r="O12" s="85"/>
      <c r="Q12" s="47"/>
      <c r="R12" s="47"/>
      <c r="S12" s="47"/>
      <c r="T12" s="47"/>
      <c r="U12" s="47"/>
      <c r="V12" s="47"/>
      <c r="W12" s="47"/>
      <c r="AD12" s="47"/>
      <c r="AE12" s="47"/>
      <c r="AF12" s="47"/>
      <c r="AG12" s="47"/>
      <c r="AH12" s="47"/>
    </row>
    <row r="13" spans="1:34" s="48" customFormat="1" ht="28.5" customHeight="1">
      <c r="B13" s="83"/>
      <c r="C13" s="83" t="s">
        <v>22</v>
      </c>
      <c r="D13" s="126" t="s">
        <v>220</v>
      </c>
      <c r="E13" s="94" t="s">
        <v>30</v>
      </c>
      <c r="F13" s="95"/>
      <c r="G13" s="83" t="s">
        <v>29</v>
      </c>
      <c r="H13" s="85" t="s">
        <v>203</v>
      </c>
      <c r="I13" s="174">
        <v>8</v>
      </c>
      <c r="J13" s="174" t="s">
        <v>45</v>
      </c>
      <c r="K13" s="165"/>
      <c r="L13" s="141">
        <v>45.6</v>
      </c>
      <c r="M13" s="121">
        <v>36</v>
      </c>
      <c r="N13" s="121">
        <v>288</v>
      </c>
      <c r="O13" s="85"/>
      <c r="Q13" s="47"/>
      <c r="R13" s="47"/>
      <c r="S13" s="47"/>
      <c r="T13" s="47"/>
      <c r="U13" s="47"/>
      <c r="V13" s="47"/>
      <c r="W13" s="47"/>
      <c r="AD13" s="47"/>
      <c r="AE13" s="47"/>
      <c r="AF13" s="47"/>
      <c r="AG13" s="47"/>
      <c r="AH13" s="47"/>
    </row>
    <row r="14" spans="1:34" s="48" customFormat="1" ht="28.5" customHeight="1">
      <c r="B14" s="83"/>
      <c r="C14" s="83" t="s">
        <v>22</v>
      </c>
      <c r="D14" s="126" t="s">
        <v>220</v>
      </c>
      <c r="E14" s="94" t="s">
        <v>31</v>
      </c>
      <c r="F14" s="95"/>
      <c r="G14" s="83" t="s">
        <v>29</v>
      </c>
      <c r="H14" s="85" t="s">
        <v>203</v>
      </c>
      <c r="I14" s="174">
        <v>6</v>
      </c>
      <c r="J14" s="174" t="s">
        <v>45</v>
      </c>
      <c r="K14" s="165"/>
      <c r="L14" s="141">
        <v>663</v>
      </c>
      <c r="M14" s="121">
        <v>698.5</v>
      </c>
      <c r="N14" s="121">
        <v>4191</v>
      </c>
      <c r="O14" s="85"/>
      <c r="Q14" s="47"/>
      <c r="R14" s="47"/>
      <c r="S14" s="47"/>
      <c r="T14" s="47"/>
      <c r="U14" s="47"/>
      <c r="V14" s="47"/>
      <c r="W14" s="47"/>
      <c r="AD14" s="47"/>
      <c r="AE14" s="47"/>
      <c r="AF14" s="47"/>
      <c r="AG14" s="47"/>
      <c r="AH14" s="47"/>
    </row>
    <row r="15" spans="1:34" s="48" customFormat="1" ht="28.5" customHeight="1">
      <c r="B15" s="83"/>
      <c r="C15" s="83" t="s">
        <v>22</v>
      </c>
      <c r="D15" s="126" t="s">
        <v>220</v>
      </c>
      <c r="E15" s="94" t="s">
        <v>32</v>
      </c>
      <c r="F15" s="95"/>
      <c r="G15" s="83" t="s">
        <v>29</v>
      </c>
      <c r="H15" s="85" t="s">
        <v>203</v>
      </c>
      <c r="I15" s="174">
        <v>6</v>
      </c>
      <c r="J15" s="174" t="s">
        <v>45</v>
      </c>
      <c r="K15" s="165"/>
      <c r="L15" s="141">
        <v>7.2</v>
      </c>
      <c r="M15" s="121">
        <v>7.5</v>
      </c>
      <c r="N15" s="121">
        <v>45</v>
      </c>
      <c r="O15" s="85"/>
      <c r="Q15" s="47"/>
      <c r="R15" s="47"/>
      <c r="S15" s="47"/>
      <c r="T15" s="47"/>
      <c r="U15" s="47"/>
      <c r="V15" s="47"/>
      <c r="W15" s="47"/>
      <c r="AD15" s="47"/>
      <c r="AE15" s="47"/>
      <c r="AF15" s="47"/>
      <c r="AG15" s="47"/>
      <c r="AH15" s="47"/>
    </row>
    <row r="16" spans="1:34" s="48" customFormat="1" ht="28.5" customHeight="1">
      <c r="B16" s="126"/>
      <c r="C16" s="83" t="s">
        <v>22</v>
      </c>
      <c r="D16" s="126" t="s">
        <v>220</v>
      </c>
      <c r="E16" s="94" t="s">
        <v>33</v>
      </c>
      <c r="F16" s="95"/>
      <c r="G16" s="83" t="s">
        <v>29</v>
      </c>
      <c r="H16" s="85" t="s">
        <v>203</v>
      </c>
      <c r="I16" s="174">
        <v>6</v>
      </c>
      <c r="J16" s="174" t="s">
        <v>45</v>
      </c>
      <c r="K16" s="165"/>
      <c r="L16" s="141">
        <v>663</v>
      </c>
      <c r="M16" s="121">
        <v>698.5</v>
      </c>
      <c r="N16" s="121">
        <v>4191</v>
      </c>
      <c r="O16" s="85"/>
      <c r="Q16" s="47"/>
      <c r="R16" s="47"/>
      <c r="S16" s="47"/>
      <c r="T16" s="47"/>
      <c r="U16" s="47"/>
      <c r="V16" s="47"/>
      <c r="W16" s="47"/>
      <c r="AD16" s="47"/>
      <c r="AE16" s="47"/>
      <c r="AF16" s="47"/>
      <c r="AG16" s="47"/>
      <c r="AH16" s="47"/>
    </row>
    <row r="17" spans="1:34" s="48" customFormat="1" ht="28.5" customHeight="1">
      <c r="B17" s="126"/>
      <c r="C17" s="83" t="s">
        <v>22</v>
      </c>
      <c r="D17" s="126" t="s">
        <v>220</v>
      </c>
      <c r="E17" s="94" t="s">
        <v>34</v>
      </c>
      <c r="F17" s="95"/>
      <c r="G17" s="83" t="s">
        <v>29</v>
      </c>
      <c r="H17" s="85" t="s">
        <v>203</v>
      </c>
      <c r="I17" s="174">
        <v>6</v>
      </c>
      <c r="J17" s="174" t="s">
        <v>45</v>
      </c>
      <c r="K17" s="165"/>
      <c r="L17" s="141">
        <v>7.2</v>
      </c>
      <c r="M17" s="121">
        <v>7.5</v>
      </c>
      <c r="N17" s="121">
        <v>45</v>
      </c>
      <c r="O17" s="85"/>
      <c r="Q17" s="47"/>
      <c r="R17" s="47"/>
      <c r="S17" s="47"/>
      <c r="T17" s="47"/>
      <c r="U17" s="47"/>
      <c r="V17" s="47"/>
      <c r="W17" s="47"/>
      <c r="AD17" s="47"/>
      <c r="AE17" s="47"/>
      <c r="AF17" s="47"/>
      <c r="AG17" s="47"/>
      <c r="AH17" s="47"/>
    </row>
    <row r="18" spans="1:34" s="48" customFormat="1" ht="28.5" customHeight="1">
      <c r="B18" s="129">
        <v>2</v>
      </c>
      <c r="C18" s="126" t="s">
        <v>35</v>
      </c>
      <c r="D18" s="126" t="s">
        <v>220</v>
      </c>
      <c r="E18" s="130" t="s">
        <v>213</v>
      </c>
      <c r="F18" s="172"/>
      <c r="G18" s="175" t="s">
        <v>23</v>
      </c>
      <c r="H18" s="176" t="s">
        <v>203</v>
      </c>
      <c r="I18" s="177">
        <v>1</v>
      </c>
      <c r="J18" s="177" t="s">
        <v>24</v>
      </c>
      <c r="K18" s="178" t="s">
        <v>25</v>
      </c>
      <c r="L18" s="163">
        <v>1568</v>
      </c>
      <c r="M18" s="154"/>
      <c r="N18" s="154">
        <v>9817.5</v>
      </c>
      <c r="O18" s="176" t="s">
        <v>37</v>
      </c>
      <c r="Q18" s="47"/>
      <c r="R18" s="47"/>
      <c r="S18" s="47"/>
      <c r="T18" s="47"/>
      <c r="U18" s="47"/>
      <c r="V18" s="47"/>
      <c r="W18" s="47"/>
      <c r="AD18" s="47"/>
      <c r="AE18" s="47"/>
      <c r="AF18" s="47"/>
      <c r="AG18" s="47"/>
      <c r="AH18" s="47"/>
    </row>
    <row r="19" spans="1:34" s="48" customFormat="1" ht="28.5" customHeight="1">
      <c r="B19" s="129"/>
      <c r="C19" s="83" t="s">
        <v>35</v>
      </c>
      <c r="D19" s="126" t="s">
        <v>220</v>
      </c>
      <c r="E19" s="161" t="s">
        <v>216</v>
      </c>
      <c r="F19" s="172"/>
      <c r="G19" s="83" t="s">
        <v>29</v>
      </c>
      <c r="H19" s="165" t="s">
        <v>203</v>
      </c>
      <c r="I19" s="174">
        <v>40</v>
      </c>
      <c r="J19" s="174" t="s">
        <v>214</v>
      </c>
      <c r="K19" s="179"/>
      <c r="L19" s="155">
        <v>1068</v>
      </c>
      <c r="M19" s="156">
        <v>149.28000000000003</v>
      </c>
      <c r="N19" s="156">
        <v>5971.2000000000007</v>
      </c>
      <c r="O19" s="176"/>
      <c r="Q19" s="47"/>
      <c r="R19" s="47"/>
      <c r="S19" s="47"/>
      <c r="T19" s="47"/>
      <c r="U19" s="47"/>
      <c r="V19" s="47"/>
      <c r="W19" s="47"/>
      <c r="AD19" s="47"/>
      <c r="AE19" s="47"/>
      <c r="AF19" s="47"/>
      <c r="AG19" s="47"/>
      <c r="AH19" s="47"/>
    </row>
    <row r="20" spans="1:34" s="48" customFormat="1" ht="28.5" customHeight="1">
      <c r="B20" s="129"/>
      <c r="C20" s="83" t="s">
        <v>35</v>
      </c>
      <c r="D20" s="126" t="s">
        <v>220</v>
      </c>
      <c r="E20" s="161" t="s">
        <v>62</v>
      </c>
      <c r="F20" s="172"/>
      <c r="G20" s="83" t="s">
        <v>29</v>
      </c>
      <c r="H20" s="165" t="s">
        <v>203</v>
      </c>
      <c r="I20" s="11">
        <v>160</v>
      </c>
      <c r="J20" s="11" t="s">
        <v>210</v>
      </c>
      <c r="K20" s="179"/>
      <c r="L20" s="155">
        <v>280</v>
      </c>
      <c r="M20" s="156">
        <v>15.4375</v>
      </c>
      <c r="N20" s="156">
        <v>2470</v>
      </c>
      <c r="O20" s="176"/>
      <c r="Q20" s="47"/>
      <c r="R20" s="47"/>
      <c r="S20" s="47"/>
      <c r="T20" s="47"/>
      <c r="U20" s="47"/>
      <c r="V20" s="47"/>
      <c r="W20" s="47"/>
      <c r="AD20" s="47"/>
      <c r="AE20" s="47"/>
      <c r="AF20" s="47"/>
      <c r="AG20" s="47"/>
      <c r="AH20" s="47"/>
    </row>
    <row r="21" spans="1:34" s="48" customFormat="1" ht="28.5" customHeight="1">
      <c r="B21" s="126"/>
      <c r="C21" s="83" t="s">
        <v>35</v>
      </c>
      <c r="D21" s="126" t="s">
        <v>220</v>
      </c>
      <c r="E21" s="161" t="s">
        <v>216</v>
      </c>
      <c r="F21" s="168"/>
      <c r="G21" s="83" t="s">
        <v>29</v>
      </c>
      <c r="H21" s="85" t="s">
        <v>203</v>
      </c>
      <c r="I21" s="81">
        <v>16</v>
      </c>
      <c r="J21" s="81" t="s">
        <v>214</v>
      </c>
      <c r="K21" s="85"/>
      <c r="L21" s="155">
        <v>181.6</v>
      </c>
      <c r="M21" s="156">
        <v>66.018749999999997</v>
      </c>
      <c r="N21" s="156">
        <v>1056.3</v>
      </c>
      <c r="O21" s="85"/>
      <c r="Q21" s="47"/>
      <c r="R21" s="47"/>
      <c r="S21" s="47"/>
      <c r="T21" s="47"/>
      <c r="U21" s="47"/>
      <c r="V21" s="47"/>
      <c r="W21" s="47"/>
      <c r="AD21" s="47"/>
      <c r="AE21" s="47"/>
      <c r="AF21" s="47"/>
      <c r="AG21" s="47"/>
      <c r="AH21" s="47"/>
    </row>
    <row r="22" spans="1:34" s="48" customFormat="1" ht="28.5" customHeight="1">
      <c r="B22" s="126"/>
      <c r="C22" s="83" t="s">
        <v>35</v>
      </c>
      <c r="D22" s="126" t="s">
        <v>220</v>
      </c>
      <c r="E22" s="161" t="s">
        <v>64</v>
      </c>
      <c r="F22" s="168"/>
      <c r="G22" s="83" t="s">
        <v>29</v>
      </c>
      <c r="H22" s="85" t="s">
        <v>203</v>
      </c>
      <c r="I22" s="164">
        <v>64</v>
      </c>
      <c r="J22" s="81" t="s">
        <v>214</v>
      </c>
      <c r="K22" s="85"/>
      <c r="L22" s="155">
        <v>38.4</v>
      </c>
      <c r="M22" s="156">
        <v>5</v>
      </c>
      <c r="N22" s="156">
        <v>320</v>
      </c>
      <c r="O22" s="85"/>
      <c r="Q22" s="47"/>
      <c r="R22" s="47"/>
      <c r="S22" s="47"/>
      <c r="T22" s="47"/>
      <c r="U22" s="47"/>
      <c r="V22" s="47"/>
      <c r="W22" s="47"/>
      <c r="AD22" s="47"/>
      <c r="AE22" s="47"/>
      <c r="AF22" s="47"/>
      <c r="AG22" s="47"/>
      <c r="AH22" s="47"/>
    </row>
    <row r="23" spans="1:34" s="48" customFormat="1" ht="28.5" customHeight="1">
      <c r="B23" s="129">
        <v>3</v>
      </c>
      <c r="C23" s="126" t="s">
        <v>38</v>
      </c>
      <c r="D23" s="126" t="s">
        <v>220</v>
      </c>
      <c r="E23" s="130" t="s">
        <v>213</v>
      </c>
      <c r="F23" s="172"/>
      <c r="G23" s="175" t="s">
        <v>29</v>
      </c>
      <c r="H23" s="176" t="s">
        <v>203</v>
      </c>
      <c r="I23" s="177">
        <v>1</v>
      </c>
      <c r="J23" s="177" t="s">
        <v>24</v>
      </c>
      <c r="K23" s="178" t="s">
        <v>25</v>
      </c>
      <c r="L23" s="163">
        <v>2120</v>
      </c>
      <c r="M23" s="154"/>
      <c r="N23" s="154">
        <v>13008.1875</v>
      </c>
      <c r="O23" s="176" t="s">
        <v>37</v>
      </c>
      <c r="Q23" s="47"/>
      <c r="R23" s="47"/>
      <c r="S23" s="47"/>
      <c r="T23" s="47"/>
      <c r="U23" s="47"/>
      <c r="V23" s="47"/>
      <c r="W23" s="47"/>
      <c r="AD23" s="47"/>
      <c r="AE23" s="47"/>
      <c r="AF23" s="47"/>
      <c r="AG23" s="47"/>
      <c r="AH23" s="47"/>
    </row>
    <row r="24" spans="1:34" s="48" customFormat="1" ht="28.15" customHeight="1">
      <c r="B24" s="126"/>
      <c r="C24" s="83" t="s">
        <v>38</v>
      </c>
      <c r="D24" s="126" t="s">
        <v>220</v>
      </c>
      <c r="E24" s="161" t="s">
        <v>215</v>
      </c>
      <c r="F24" s="168"/>
      <c r="G24" s="83" t="s">
        <v>29</v>
      </c>
      <c r="H24" s="165" t="s">
        <v>203</v>
      </c>
      <c r="I24" s="174">
        <v>53</v>
      </c>
      <c r="J24" s="174" t="s">
        <v>45</v>
      </c>
      <c r="K24" s="165"/>
      <c r="L24" s="155">
        <f>L23-L25</f>
        <v>1707.78</v>
      </c>
      <c r="M24" s="156">
        <v>169.6875</v>
      </c>
      <c r="N24" s="156">
        <f>N23-N25</f>
        <v>8993.4375</v>
      </c>
      <c r="O24" s="165"/>
      <c r="Q24" s="47"/>
      <c r="R24" s="47"/>
      <c r="S24" s="47"/>
      <c r="T24" s="47"/>
      <c r="U24" s="47"/>
      <c r="V24" s="47"/>
      <c r="W24" s="47"/>
      <c r="AD24" s="47"/>
      <c r="AE24" s="47"/>
      <c r="AF24" s="47"/>
      <c r="AG24" s="47"/>
      <c r="AH24" s="47"/>
    </row>
    <row r="25" spans="1:34" s="48" customFormat="1" ht="28.5" customHeight="1">
      <c r="B25" s="126"/>
      <c r="C25" s="83" t="s">
        <v>38</v>
      </c>
      <c r="D25" s="126" t="s">
        <v>220</v>
      </c>
      <c r="E25" s="161" t="s">
        <v>161</v>
      </c>
      <c r="F25" s="168"/>
      <c r="G25" s="83" t="s">
        <v>29</v>
      </c>
      <c r="H25" s="85" t="s">
        <v>203</v>
      </c>
      <c r="I25" s="164">
        <v>212</v>
      </c>
      <c r="J25" s="81" t="s">
        <v>45</v>
      </c>
      <c r="K25" s="86"/>
      <c r="L25" s="155">
        <v>412.22</v>
      </c>
      <c r="M25" s="156">
        <v>18.9375</v>
      </c>
      <c r="N25" s="156">
        <f>M25*I25</f>
        <v>4014.75</v>
      </c>
      <c r="O25" s="85"/>
      <c r="Q25" s="47"/>
      <c r="R25" s="47"/>
      <c r="S25" s="47"/>
      <c r="T25" s="47"/>
      <c r="U25" s="47"/>
      <c r="V25" s="47"/>
      <c r="W25" s="47"/>
      <c r="AD25" s="47"/>
      <c r="AE25" s="47"/>
      <c r="AF25" s="47"/>
      <c r="AG25" s="47"/>
      <c r="AH25" s="47"/>
    </row>
    <row r="26" spans="1:34" s="48" customFormat="1" ht="28.5" customHeight="1">
      <c r="B26" s="129">
        <v>4</v>
      </c>
      <c r="C26" s="126" t="s">
        <v>39</v>
      </c>
      <c r="D26" s="126" t="s">
        <v>220</v>
      </c>
      <c r="E26" s="130" t="s">
        <v>213</v>
      </c>
      <c r="F26" s="172"/>
      <c r="G26" s="129" t="s">
        <v>29</v>
      </c>
      <c r="H26" s="132" t="s">
        <v>203</v>
      </c>
      <c r="I26" s="173">
        <v>1</v>
      </c>
      <c r="J26" s="133" t="s">
        <v>24</v>
      </c>
      <c r="K26" s="134" t="s">
        <v>25</v>
      </c>
      <c r="L26" s="163">
        <v>2120</v>
      </c>
      <c r="M26" s="154"/>
      <c r="N26" s="154">
        <v>13008.1875</v>
      </c>
      <c r="O26" s="132" t="s">
        <v>37</v>
      </c>
      <c r="Q26" s="47"/>
      <c r="R26" s="47"/>
      <c r="S26" s="47"/>
      <c r="T26" s="47"/>
      <c r="U26" s="47"/>
      <c r="V26" s="47"/>
      <c r="W26" s="47"/>
      <c r="AD26" s="47"/>
      <c r="AE26" s="47"/>
      <c r="AF26" s="47"/>
      <c r="AG26" s="47"/>
      <c r="AH26" s="47"/>
    </row>
    <row r="27" spans="1:34" s="48" customFormat="1" ht="28.5" customHeight="1">
      <c r="B27" s="129"/>
      <c r="C27" s="83" t="s">
        <v>39</v>
      </c>
      <c r="D27" s="126" t="s">
        <v>220</v>
      </c>
      <c r="E27" s="161" t="s">
        <v>215</v>
      </c>
      <c r="F27" s="172"/>
      <c r="G27" s="83" t="s">
        <v>29</v>
      </c>
      <c r="H27" s="165" t="s">
        <v>203</v>
      </c>
      <c r="I27" s="174">
        <v>53</v>
      </c>
      <c r="J27" s="174" t="s">
        <v>214</v>
      </c>
      <c r="K27" s="134"/>
      <c r="L27" s="155">
        <v>1707.78</v>
      </c>
      <c r="M27" s="156">
        <v>169.6875</v>
      </c>
      <c r="N27" s="156">
        <v>8993.4375</v>
      </c>
      <c r="O27" s="132"/>
      <c r="Q27" s="47"/>
      <c r="R27" s="47"/>
      <c r="S27" s="47"/>
      <c r="T27" s="47"/>
      <c r="U27" s="47"/>
      <c r="V27" s="47"/>
      <c r="W27" s="47"/>
      <c r="AD27" s="47"/>
      <c r="AE27" s="47"/>
      <c r="AF27" s="47"/>
      <c r="AG27" s="47"/>
      <c r="AH27" s="47"/>
    </row>
    <row r="28" spans="1:34" s="48" customFormat="1" ht="28.5" customHeight="1">
      <c r="B28" s="126"/>
      <c r="C28" s="83" t="s">
        <v>39</v>
      </c>
      <c r="D28" s="126" t="s">
        <v>220</v>
      </c>
      <c r="E28" s="161" t="s">
        <v>161</v>
      </c>
      <c r="F28" s="168"/>
      <c r="G28" s="83" t="s">
        <v>29</v>
      </c>
      <c r="H28" s="85" t="s">
        <v>203</v>
      </c>
      <c r="I28" s="164">
        <v>212</v>
      </c>
      <c r="J28" s="81" t="s">
        <v>214</v>
      </c>
      <c r="K28" s="86"/>
      <c r="L28" s="155">
        <v>412.22</v>
      </c>
      <c r="M28" s="156">
        <v>18.9375</v>
      </c>
      <c r="N28" s="156">
        <v>4014.75</v>
      </c>
      <c r="O28" s="85"/>
      <c r="Q28" s="47"/>
      <c r="R28" s="47"/>
      <c r="S28" s="47"/>
      <c r="T28" s="47"/>
      <c r="U28" s="47"/>
      <c r="V28" s="47"/>
      <c r="W28" s="47"/>
      <c r="AD28" s="47"/>
      <c r="AE28" s="47"/>
      <c r="AF28" s="47"/>
      <c r="AG28" s="47"/>
      <c r="AH28" s="47"/>
    </row>
    <row r="29" spans="1:34" s="48" customFormat="1" ht="28.5" customHeight="1">
      <c r="A29" s="48" t="s">
        <v>40</v>
      </c>
      <c r="B29" s="129">
        <v>5</v>
      </c>
      <c r="C29" s="126" t="s">
        <v>41</v>
      </c>
      <c r="D29" s="126" t="s">
        <v>220</v>
      </c>
      <c r="E29" s="130" t="s">
        <v>213</v>
      </c>
      <c r="F29" s="172"/>
      <c r="G29" s="129" t="s">
        <v>29</v>
      </c>
      <c r="H29" s="132" t="s">
        <v>203</v>
      </c>
      <c r="I29" s="173">
        <v>1</v>
      </c>
      <c r="J29" s="133" t="s">
        <v>24</v>
      </c>
      <c r="K29" s="134" t="s">
        <v>25</v>
      </c>
      <c r="L29" s="163">
        <v>2160</v>
      </c>
      <c r="M29" s="154"/>
      <c r="N29" s="154">
        <v>13253.625</v>
      </c>
      <c r="O29" s="132" t="s">
        <v>37</v>
      </c>
      <c r="Q29" s="47"/>
      <c r="R29" s="47"/>
      <c r="S29" s="47"/>
      <c r="T29" s="47"/>
      <c r="U29" s="47"/>
      <c r="V29" s="47"/>
      <c r="W29" s="47"/>
      <c r="AD29" s="47"/>
      <c r="AE29" s="47"/>
      <c r="AF29" s="47"/>
      <c r="AG29" s="47"/>
      <c r="AH29" s="47"/>
    </row>
    <row r="30" spans="1:34" s="48" customFormat="1" ht="28.5" customHeight="1">
      <c r="B30" s="129"/>
      <c r="C30" s="83" t="s">
        <v>41</v>
      </c>
      <c r="D30" s="126" t="s">
        <v>220</v>
      </c>
      <c r="E30" s="161" t="s">
        <v>215</v>
      </c>
      <c r="F30" s="172"/>
      <c r="G30" s="83" t="s">
        <v>29</v>
      </c>
      <c r="H30" s="165" t="s">
        <v>203</v>
      </c>
      <c r="I30" s="174">
        <v>54</v>
      </c>
      <c r="J30" s="174" t="s">
        <v>214</v>
      </c>
      <c r="K30" s="134"/>
      <c r="L30" s="155">
        <f>L29-L31</f>
        <v>1944</v>
      </c>
      <c r="M30" s="156">
        <v>169.6875</v>
      </c>
      <c r="N30" s="156">
        <v>9163.125</v>
      </c>
      <c r="O30" s="132"/>
      <c r="Q30" s="47"/>
      <c r="R30" s="47"/>
      <c r="S30" s="47"/>
      <c r="T30" s="47"/>
      <c r="U30" s="47"/>
      <c r="V30" s="47"/>
      <c r="W30" s="47"/>
      <c r="AD30" s="47"/>
      <c r="AE30" s="47"/>
      <c r="AF30" s="47"/>
      <c r="AG30" s="47"/>
      <c r="AH30" s="47"/>
    </row>
    <row r="31" spans="1:34" s="48" customFormat="1" ht="28.5" customHeight="1">
      <c r="B31" s="126"/>
      <c r="C31" s="83" t="s">
        <v>41</v>
      </c>
      <c r="D31" s="126" t="s">
        <v>220</v>
      </c>
      <c r="E31" s="161" t="s">
        <v>161</v>
      </c>
      <c r="F31" s="168"/>
      <c r="G31" s="83" t="s">
        <v>29</v>
      </c>
      <c r="H31" s="85" t="s">
        <v>203</v>
      </c>
      <c r="I31" s="164">
        <v>216</v>
      </c>
      <c r="J31" s="174" t="s">
        <v>214</v>
      </c>
      <c r="K31" s="86"/>
      <c r="L31" s="155">
        <v>216</v>
      </c>
      <c r="M31" s="156">
        <v>18.9375</v>
      </c>
      <c r="N31" s="156">
        <v>4090.5</v>
      </c>
      <c r="O31" s="85"/>
      <c r="Q31" s="47"/>
      <c r="R31" s="47"/>
      <c r="S31" s="47"/>
      <c r="T31" s="47"/>
      <c r="U31" s="47"/>
      <c r="V31" s="47"/>
      <c r="W31" s="47"/>
      <c r="AD31" s="47"/>
      <c r="AE31" s="47"/>
      <c r="AF31" s="47"/>
      <c r="AG31" s="47"/>
      <c r="AH31" s="47"/>
    </row>
    <row r="32" spans="1:34" s="48" customFormat="1" ht="28.5" customHeight="1">
      <c r="B32" s="129">
        <v>6</v>
      </c>
      <c r="C32" s="126" t="s">
        <v>42</v>
      </c>
      <c r="D32" s="126" t="s">
        <v>220</v>
      </c>
      <c r="E32" s="130" t="s">
        <v>213</v>
      </c>
      <c r="F32" s="172"/>
      <c r="G32" s="129" t="s">
        <v>29</v>
      </c>
      <c r="H32" s="132" t="s">
        <v>203</v>
      </c>
      <c r="I32" s="173">
        <v>1</v>
      </c>
      <c r="J32" s="133" t="s">
        <v>24</v>
      </c>
      <c r="K32" s="134" t="s">
        <v>25</v>
      </c>
      <c r="L32" s="163">
        <v>2376</v>
      </c>
      <c r="M32" s="154"/>
      <c r="N32" s="154">
        <v>14279.999999999976</v>
      </c>
      <c r="O32" s="132" t="s">
        <v>37</v>
      </c>
      <c r="Q32" s="47"/>
      <c r="R32" s="47"/>
      <c r="S32" s="47"/>
      <c r="T32" s="47"/>
      <c r="U32" s="47"/>
      <c r="V32" s="47"/>
      <c r="W32" s="47"/>
      <c r="AD32" s="47"/>
      <c r="AE32" s="47"/>
      <c r="AF32" s="47"/>
      <c r="AG32" s="47"/>
      <c r="AH32" s="47"/>
    </row>
    <row r="33" spans="2:34" s="48" customFormat="1" ht="28.5" customHeight="1">
      <c r="B33" s="129"/>
      <c r="C33" s="83" t="s">
        <v>42</v>
      </c>
      <c r="D33" s="126" t="s">
        <v>220</v>
      </c>
      <c r="E33" s="161" t="s">
        <v>215</v>
      </c>
      <c r="F33" s="172"/>
      <c r="G33" s="83" t="s">
        <v>29</v>
      </c>
      <c r="H33" s="165" t="s">
        <v>203</v>
      </c>
      <c r="I33" s="174">
        <v>72</v>
      </c>
      <c r="J33" s="174" t="s">
        <v>214</v>
      </c>
      <c r="K33" s="134"/>
      <c r="L33" s="155">
        <v>2046.8571428571429</v>
      </c>
      <c r="M33" s="156">
        <v>158.90476190476159</v>
      </c>
      <c r="N33" s="156">
        <v>11441.142857142833</v>
      </c>
      <c r="O33" s="132"/>
      <c r="Q33" s="47"/>
      <c r="R33" s="47"/>
      <c r="S33" s="47"/>
      <c r="T33" s="47"/>
      <c r="U33" s="47"/>
      <c r="V33" s="47"/>
      <c r="W33" s="47"/>
      <c r="AD33" s="47"/>
      <c r="AE33" s="47"/>
      <c r="AF33" s="47"/>
      <c r="AG33" s="47"/>
      <c r="AH33" s="47"/>
    </row>
    <row r="34" spans="2:34" s="48" customFormat="1" ht="28.5" customHeight="1">
      <c r="B34" s="126"/>
      <c r="C34" s="83" t="s">
        <v>42</v>
      </c>
      <c r="D34" s="126" t="s">
        <v>220</v>
      </c>
      <c r="E34" s="161" t="s">
        <v>163</v>
      </c>
      <c r="F34" s="168"/>
      <c r="G34" s="83" t="s">
        <v>29</v>
      </c>
      <c r="H34" s="85" t="s">
        <v>203</v>
      </c>
      <c r="I34" s="81">
        <v>288</v>
      </c>
      <c r="J34" s="81" t="s">
        <v>214</v>
      </c>
      <c r="K34" s="86"/>
      <c r="L34" s="155">
        <v>329.14285714285711</v>
      </c>
      <c r="M34" s="156">
        <v>9.8571428571428577</v>
      </c>
      <c r="N34" s="156">
        <v>2838.8571428571431</v>
      </c>
      <c r="O34" s="85"/>
      <c r="Q34" s="47"/>
      <c r="R34" s="47"/>
      <c r="S34" s="47"/>
      <c r="T34" s="47"/>
      <c r="U34" s="47"/>
      <c r="V34" s="47"/>
      <c r="W34" s="47"/>
      <c r="AD34" s="47"/>
      <c r="AE34" s="47"/>
      <c r="AF34" s="47"/>
      <c r="AG34" s="47"/>
      <c r="AH34" s="47"/>
    </row>
    <row r="35" spans="2:34" s="48" customFormat="1" ht="28.5" customHeight="1">
      <c r="B35" s="129">
        <v>7</v>
      </c>
      <c r="C35" s="126" t="s">
        <v>43</v>
      </c>
      <c r="D35" s="126" t="s">
        <v>220</v>
      </c>
      <c r="E35" s="130" t="s">
        <v>213</v>
      </c>
      <c r="F35" s="131"/>
      <c r="G35" s="129" t="s">
        <v>29</v>
      </c>
      <c r="H35" s="132" t="s">
        <v>203</v>
      </c>
      <c r="I35" s="133">
        <v>1</v>
      </c>
      <c r="J35" s="133" t="s">
        <v>24</v>
      </c>
      <c r="K35" s="134" t="s">
        <v>25</v>
      </c>
      <c r="L35" s="140">
        <v>1567</v>
      </c>
      <c r="M35" s="135"/>
      <c r="N35" s="135">
        <v>9496.5</v>
      </c>
      <c r="O35" s="132" t="s">
        <v>37</v>
      </c>
      <c r="Q35" s="47"/>
      <c r="R35" s="47"/>
      <c r="S35" s="47"/>
      <c r="T35" s="47"/>
      <c r="U35" s="47"/>
      <c r="V35" s="47"/>
      <c r="W35" s="47"/>
      <c r="AD35" s="47"/>
      <c r="AE35" s="47"/>
      <c r="AF35" s="47"/>
      <c r="AG35" s="47"/>
      <c r="AH35" s="47"/>
    </row>
    <row r="36" spans="2:34" s="48" customFormat="1" ht="28.5" customHeight="1">
      <c r="B36" s="126"/>
      <c r="C36" s="83" t="s">
        <v>43</v>
      </c>
      <c r="D36" s="126" t="s">
        <v>220</v>
      </c>
      <c r="E36" s="94" t="s">
        <v>44</v>
      </c>
      <c r="F36" s="95"/>
      <c r="G36" s="83" t="s">
        <v>29</v>
      </c>
      <c r="H36" s="85" t="s">
        <v>203</v>
      </c>
      <c r="I36" s="81">
        <v>40</v>
      </c>
      <c r="J36" s="81" t="s">
        <v>45</v>
      </c>
      <c r="K36" s="101"/>
      <c r="L36" s="141">
        <v>132</v>
      </c>
      <c r="M36" s="121">
        <v>20</v>
      </c>
      <c r="N36" s="121">
        <v>800</v>
      </c>
      <c r="O36" s="85"/>
      <c r="Q36" s="47"/>
      <c r="R36" s="47"/>
      <c r="S36" s="47"/>
      <c r="T36" s="47"/>
      <c r="U36" s="47"/>
      <c r="V36" s="47"/>
      <c r="W36" s="47"/>
      <c r="AD36" s="47"/>
      <c r="AE36" s="47"/>
      <c r="AF36" s="47"/>
      <c r="AG36" s="47"/>
      <c r="AH36" s="47"/>
    </row>
    <row r="37" spans="2:34" s="48" customFormat="1" ht="28.5" customHeight="1">
      <c r="B37" s="126"/>
      <c r="C37" s="83" t="s">
        <v>43</v>
      </c>
      <c r="D37" s="126" t="s">
        <v>220</v>
      </c>
      <c r="E37" s="94" t="s">
        <v>46</v>
      </c>
      <c r="F37" s="95"/>
      <c r="G37" s="83" t="s">
        <v>29</v>
      </c>
      <c r="H37" s="85" t="s">
        <v>203</v>
      </c>
      <c r="I37" s="81">
        <v>160</v>
      </c>
      <c r="J37" s="81" t="s">
        <v>45</v>
      </c>
      <c r="K37" s="85"/>
      <c r="L37" s="141">
        <v>432</v>
      </c>
      <c r="M37" s="121">
        <v>16.345238095238095</v>
      </c>
      <c r="N37" s="121">
        <v>2615.2380952380954</v>
      </c>
      <c r="O37" s="85"/>
      <c r="Q37" s="47"/>
      <c r="R37" s="47"/>
      <c r="S37" s="47"/>
      <c r="T37" s="47"/>
      <c r="U37" s="47"/>
      <c r="V37" s="47"/>
      <c r="W37" s="47"/>
      <c r="AD37" s="47"/>
      <c r="AE37" s="47"/>
      <c r="AF37" s="47"/>
      <c r="AG37" s="47"/>
      <c r="AH37" s="47"/>
    </row>
    <row r="38" spans="2:34" s="48" customFormat="1" ht="28.5" customHeight="1">
      <c r="B38" s="126"/>
      <c r="C38" s="83" t="s">
        <v>43</v>
      </c>
      <c r="D38" s="126" t="s">
        <v>220</v>
      </c>
      <c r="E38" s="94" t="s">
        <v>47</v>
      </c>
      <c r="F38" s="95"/>
      <c r="G38" s="83" t="s">
        <v>29</v>
      </c>
      <c r="H38" s="85" t="s">
        <v>203</v>
      </c>
      <c r="I38" s="81">
        <v>16</v>
      </c>
      <c r="J38" s="81" t="s">
        <v>45</v>
      </c>
      <c r="K38" s="85"/>
      <c r="L38" s="141">
        <v>19</v>
      </c>
      <c r="M38" s="121">
        <v>7.1904761904761907</v>
      </c>
      <c r="N38" s="121">
        <v>115.04761904761905</v>
      </c>
      <c r="O38" s="85"/>
      <c r="Q38" s="47"/>
      <c r="R38" s="47"/>
      <c r="S38" s="47"/>
      <c r="T38" s="47"/>
      <c r="U38" s="47"/>
      <c r="V38" s="47"/>
      <c r="W38" s="47"/>
      <c r="AD38" s="47"/>
      <c r="AE38" s="47"/>
      <c r="AF38" s="47"/>
      <c r="AG38" s="47"/>
      <c r="AH38" s="47"/>
    </row>
    <row r="39" spans="2:34" s="48" customFormat="1" ht="28.5" customHeight="1">
      <c r="B39" s="126"/>
      <c r="C39" s="83" t="s">
        <v>43</v>
      </c>
      <c r="D39" s="126" t="s">
        <v>220</v>
      </c>
      <c r="E39" s="96" t="s">
        <v>48</v>
      </c>
      <c r="F39" s="95"/>
      <c r="G39" s="83" t="s">
        <v>29</v>
      </c>
      <c r="H39" s="85" t="s">
        <v>203</v>
      </c>
      <c r="I39" s="81">
        <v>72</v>
      </c>
      <c r="J39" s="81" t="s">
        <v>45</v>
      </c>
      <c r="K39" s="85"/>
      <c r="L39" s="142">
        <v>129</v>
      </c>
      <c r="M39" s="121">
        <v>10.857142857142858</v>
      </c>
      <c r="N39" s="121">
        <v>781.71428571428578</v>
      </c>
      <c r="O39" s="85"/>
      <c r="Q39" s="47"/>
      <c r="R39" s="47"/>
      <c r="S39" s="47"/>
      <c r="T39" s="47"/>
      <c r="U39" s="47"/>
      <c r="V39" s="47"/>
      <c r="W39" s="47"/>
      <c r="AD39" s="47"/>
      <c r="AE39" s="47"/>
      <c r="AF39" s="47"/>
      <c r="AG39" s="47"/>
      <c r="AH39" s="47"/>
    </row>
    <row r="40" spans="2:34" s="48" customFormat="1" ht="28.5" customHeight="1">
      <c r="B40" s="126"/>
      <c r="C40" s="83" t="s">
        <v>43</v>
      </c>
      <c r="D40" s="126" t="s">
        <v>220</v>
      </c>
      <c r="E40" s="94" t="s">
        <v>49</v>
      </c>
      <c r="F40" s="95"/>
      <c r="G40" s="83" t="s">
        <v>29</v>
      </c>
      <c r="H40" s="85" t="s">
        <v>203</v>
      </c>
      <c r="I40" s="81">
        <v>40</v>
      </c>
      <c r="J40" s="81" t="s">
        <v>45</v>
      </c>
      <c r="K40" s="85"/>
      <c r="L40" s="142">
        <v>108</v>
      </c>
      <c r="M40" s="121">
        <v>16.37</v>
      </c>
      <c r="N40" s="121">
        <v>654.80000000000007</v>
      </c>
      <c r="O40" s="85"/>
      <c r="Q40" s="47"/>
      <c r="R40" s="47"/>
      <c r="S40" s="47"/>
      <c r="T40" s="47"/>
      <c r="U40" s="47"/>
      <c r="V40" s="47"/>
      <c r="W40" s="47"/>
      <c r="AD40" s="47"/>
      <c r="AE40" s="47"/>
      <c r="AF40" s="47"/>
      <c r="AG40" s="47"/>
      <c r="AH40" s="47"/>
    </row>
    <row r="41" spans="2:34" s="48" customFormat="1" ht="28.5" customHeight="1">
      <c r="B41" s="126"/>
      <c r="C41" s="83" t="s">
        <v>43</v>
      </c>
      <c r="D41" s="126" t="s">
        <v>220</v>
      </c>
      <c r="E41" s="94" t="s">
        <v>49</v>
      </c>
      <c r="F41" s="95"/>
      <c r="G41" s="83" t="s">
        <v>29</v>
      </c>
      <c r="H41" s="85" t="s">
        <v>203</v>
      </c>
      <c r="I41" s="81">
        <v>160</v>
      </c>
      <c r="J41" s="81" t="s">
        <v>45</v>
      </c>
      <c r="K41" s="85"/>
      <c r="L41" s="142">
        <v>432</v>
      </c>
      <c r="M41" s="121">
        <v>16.37</v>
      </c>
      <c r="N41" s="121">
        <v>2619.2000000000003</v>
      </c>
      <c r="O41" s="85"/>
      <c r="Q41" s="47"/>
      <c r="R41" s="47"/>
      <c r="S41" s="47"/>
      <c r="T41" s="47"/>
      <c r="U41" s="47"/>
      <c r="V41" s="47"/>
      <c r="W41" s="47"/>
      <c r="AD41" s="47"/>
      <c r="AE41" s="47"/>
      <c r="AF41" s="47"/>
      <c r="AG41" s="47"/>
      <c r="AH41" s="47"/>
    </row>
    <row r="42" spans="2:34" s="48" customFormat="1" ht="28.5" customHeight="1">
      <c r="B42" s="126"/>
      <c r="C42" s="83" t="s">
        <v>43</v>
      </c>
      <c r="D42" s="126" t="s">
        <v>220</v>
      </c>
      <c r="E42" s="94" t="s">
        <v>50</v>
      </c>
      <c r="F42" s="95"/>
      <c r="G42" s="83" t="s">
        <v>29</v>
      </c>
      <c r="H42" s="85" t="s">
        <v>203</v>
      </c>
      <c r="I42" s="81">
        <v>16</v>
      </c>
      <c r="J42" s="81" t="s">
        <v>45</v>
      </c>
      <c r="K42" s="85"/>
      <c r="L42" s="142">
        <v>14</v>
      </c>
      <c r="M42" s="121">
        <v>5.25</v>
      </c>
      <c r="N42" s="121">
        <v>84</v>
      </c>
      <c r="O42" s="85"/>
      <c r="Q42" s="47"/>
      <c r="R42" s="47"/>
      <c r="S42" s="47"/>
      <c r="T42" s="47"/>
      <c r="U42" s="47"/>
      <c r="V42" s="47"/>
      <c r="W42" s="47"/>
      <c r="AD42" s="47"/>
      <c r="AE42" s="47"/>
      <c r="AF42" s="47"/>
      <c r="AG42" s="47"/>
      <c r="AH42" s="47"/>
    </row>
    <row r="43" spans="2:34" s="48" customFormat="1" ht="28.5" customHeight="1">
      <c r="B43" s="126"/>
      <c r="C43" s="83" t="s">
        <v>43</v>
      </c>
      <c r="D43" s="126" t="s">
        <v>220</v>
      </c>
      <c r="E43" s="94" t="s">
        <v>51</v>
      </c>
      <c r="F43" s="95"/>
      <c r="G43" s="83" t="s">
        <v>29</v>
      </c>
      <c r="H43" s="85" t="s">
        <v>203</v>
      </c>
      <c r="I43" s="81">
        <v>72</v>
      </c>
      <c r="J43" s="81" t="s">
        <v>45</v>
      </c>
      <c r="K43" s="85"/>
      <c r="L43" s="142">
        <v>129</v>
      </c>
      <c r="M43" s="121">
        <v>10.881944444444445</v>
      </c>
      <c r="N43" s="121">
        <v>783.5</v>
      </c>
      <c r="O43" s="85"/>
      <c r="Q43" s="47"/>
      <c r="R43" s="47"/>
      <c r="S43" s="47"/>
      <c r="T43" s="47"/>
      <c r="U43" s="47"/>
      <c r="V43" s="47"/>
      <c r="W43" s="47"/>
      <c r="AD43" s="47"/>
      <c r="AE43" s="47"/>
      <c r="AF43" s="47"/>
      <c r="AG43" s="47"/>
      <c r="AH43" s="47"/>
    </row>
    <row r="44" spans="2:34" s="48" customFormat="1" ht="28.5" customHeight="1">
      <c r="B44" s="126"/>
      <c r="C44" s="83" t="s">
        <v>43</v>
      </c>
      <c r="D44" s="126" t="s">
        <v>220</v>
      </c>
      <c r="E44" s="94" t="s">
        <v>52</v>
      </c>
      <c r="F44" s="95"/>
      <c r="G44" s="83" t="s">
        <v>29</v>
      </c>
      <c r="H44" s="85" t="s">
        <v>203</v>
      </c>
      <c r="I44" s="81">
        <v>40</v>
      </c>
      <c r="J44" s="81" t="s">
        <v>45</v>
      </c>
      <c r="K44" s="85"/>
      <c r="L44" s="142">
        <v>32</v>
      </c>
      <c r="M44" s="121">
        <v>4.8287037037037033</v>
      </c>
      <c r="N44" s="121">
        <v>193.14814814814812</v>
      </c>
      <c r="O44" s="85"/>
      <c r="Q44" s="47"/>
      <c r="R44" s="47"/>
      <c r="S44" s="47"/>
      <c r="T44" s="47"/>
      <c r="U44" s="47"/>
      <c r="V44" s="47"/>
      <c r="W44" s="47"/>
      <c r="AD44" s="47"/>
      <c r="AE44" s="47"/>
      <c r="AF44" s="47"/>
      <c r="AG44" s="47"/>
      <c r="AH44" s="47"/>
    </row>
    <row r="45" spans="2:34" s="48" customFormat="1" ht="28.5" customHeight="1">
      <c r="B45" s="126"/>
      <c r="C45" s="83" t="s">
        <v>43</v>
      </c>
      <c r="D45" s="126" t="s">
        <v>220</v>
      </c>
      <c r="E45" s="94" t="s">
        <v>52</v>
      </c>
      <c r="F45" s="95"/>
      <c r="G45" s="83" t="s">
        <v>29</v>
      </c>
      <c r="H45" s="85" t="s">
        <v>203</v>
      </c>
      <c r="I45" s="81">
        <v>160</v>
      </c>
      <c r="J45" s="81" t="s">
        <v>45</v>
      </c>
      <c r="K45" s="85"/>
      <c r="L45" s="142">
        <v>128</v>
      </c>
      <c r="M45" s="121">
        <v>4.8287037037037033</v>
      </c>
      <c r="N45" s="121">
        <v>772.5925925925925</v>
      </c>
      <c r="O45" s="85"/>
      <c r="Q45" s="47"/>
      <c r="R45" s="47"/>
      <c r="S45" s="47"/>
      <c r="T45" s="47"/>
      <c r="U45" s="47"/>
      <c r="V45" s="47"/>
      <c r="W45" s="47"/>
      <c r="AD45" s="47"/>
      <c r="AE45" s="47"/>
      <c r="AF45" s="47"/>
      <c r="AG45" s="47"/>
      <c r="AH45" s="47"/>
    </row>
    <row r="46" spans="2:34" s="48" customFormat="1" ht="28.5" customHeight="1">
      <c r="B46" s="126"/>
      <c r="C46" s="83" t="s">
        <v>43</v>
      </c>
      <c r="D46" s="126" t="s">
        <v>220</v>
      </c>
      <c r="E46" s="96" t="s">
        <v>52</v>
      </c>
      <c r="F46" s="95"/>
      <c r="G46" s="83" t="s">
        <v>29</v>
      </c>
      <c r="H46" s="85" t="s">
        <v>203</v>
      </c>
      <c r="I46" s="81">
        <v>16</v>
      </c>
      <c r="J46" s="81" t="s">
        <v>45</v>
      </c>
      <c r="K46" s="85"/>
      <c r="L46" s="142">
        <v>12</v>
      </c>
      <c r="M46" s="121">
        <v>4.8287037037037033</v>
      </c>
      <c r="N46" s="121">
        <v>77.259259259259252</v>
      </c>
      <c r="O46" s="85"/>
      <c r="Q46" s="47"/>
      <c r="R46" s="47"/>
      <c r="S46" s="47"/>
      <c r="T46" s="47"/>
      <c r="U46" s="47"/>
      <c r="V46" s="47"/>
      <c r="W46" s="47"/>
      <c r="AD46" s="47"/>
      <c r="AE46" s="47"/>
      <c r="AF46" s="47"/>
      <c r="AG46" s="47"/>
      <c r="AH46" s="47"/>
    </row>
    <row r="47" spans="2:34" s="48" customFormat="1" ht="28.5" customHeight="1">
      <c r="B47" s="129">
        <v>8</v>
      </c>
      <c r="C47" s="126" t="s">
        <v>53</v>
      </c>
      <c r="D47" s="126" t="s">
        <v>220</v>
      </c>
      <c r="E47" s="130" t="s">
        <v>213</v>
      </c>
      <c r="F47" s="131"/>
      <c r="G47" s="129" t="s">
        <v>29</v>
      </c>
      <c r="H47" s="132" t="s">
        <v>203</v>
      </c>
      <c r="I47" s="133">
        <v>1</v>
      </c>
      <c r="J47" s="133" t="s">
        <v>24</v>
      </c>
      <c r="K47" s="134" t="s">
        <v>25</v>
      </c>
      <c r="L47" s="143">
        <v>2640</v>
      </c>
      <c r="M47" s="135"/>
      <c r="N47" s="135">
        <v>15172.5</v>
      </c>
      <c r="O47" s="132" t="s">
        <v>37</v>
      </c>
      <c r="Q47" s="47"/>
      <c r="R47" s="47"/>
      <c r="S47" s="47"/>
      <c r="T47" s="47"/>
      <c r="U47" s="47"/>
      <c r="V47" s="47"/>
      <c r="W47" s="47"/>
      <c r="AD47" s="47"/>
      <c r="AE47" s="47"/>
      <c r="AF47" s="47"/>
      <c r="AG47" s="47"/>
      <c r="AH47" s="47"/>
    </row>
    <row r="48" spans="2:34" s="48" customFormat="1" ht="28.5" customHeight="1">
      <c r="B48" s="126"/>
      <c r="C48" s="83" t="s">
        <v>53</v>
      </c>
      <c r="D48" s="126" t="s">
        <v>220</v>
      </c>
      <c r="E48" s="94" t="s">
        <v>54</v>
      </c>
      <c r="F48" s="95"/>
      <c r="G48" s="83" t="s">
        <v>29</v>
      </c>
      <c r="H48" s="85" t="s">
        <v>203</v>
      </c>
      <c r="I48" s="81">
        <v>40</v>
      </c>
      <c r="J48" s="81" t="s">
        <v>45</v>
      </c>
      <c r="K48" s="101"/>
      <c r="L48" s="142">
        <v>444</v>
      </c>
      <c r="M48" s="121">
        <v>64</v>
      </c>
      <c r="N48" s="121">
        <v>2560</v>
      </c>
      <c r="O48" s="85"/>
      <c r="Q48" s="47"/>
      <c r="R48" s="47"/>
      <c r="S48" s="47"/>
      <c r="T48" s="47"/>
      <c r="U48" s="47"/>
      <c r="V48" s="47"/>
      <c r="W48" s="47"/>
      <c r="AD48" s="47"/>
      <c r="AE48" s="47"/>
      <c r="AF48" s="47"/>
      <c r="AG48" s="47"/>
      <c r="AH48" s="47"/>
    </row>
    <row r="49" spans="2:34" s="48" customFormat="1" ht="28.5" customHeight="1">
      <c r="B49" s="83"/>
      <c r="C49" s="83" t="s">
        <v>53</v>
      </c>
      <c r="D49" s="126" t="s">
        <v>220</v>
      </c>
      <c r="E49" s="96" t="s">
        <v>55</v>
      </c>
      <c r="F49" s="95"/>
      <c r="G49" s="83" t="s">
        <v>29</v>
      </c>
      <c r="H49" s="85" t="s">
        <v>203</v>
      </c>
      <c r="I49" s="81">
        <v>160</v>
      </c>
      <c r="J49" s="81" t="s">
        <v>45</v>
      </c>
      <c r="K49" s="85"/>
      <c r="L49" s="142">
        <v>1920</v>
      </c>
      <c r="M49" s="121">
        <v>68</v>
      </c>
      <c r="N49" s="121">
        <v>10880</v>
      </c>
      <c r="O49" s="85"/>
      <c r="Q49" s="47"/>
      <c r="R49" s="47"/>
      <c r="S49" s="47"/>
      <c r="T49" s="47"/>
      <c r="U49" s="47"/>
      <c r="V49" s="47"/>
      <c r="W49" s="47"/>
      <c r="AD49" s="47"/>
      <c r="AE49" s="47"/>
      <c r="AF49" s="47"/>
      <c r="AG49" s="47"/>
      <c r="AH49" s="47"/>
    </row>
    <row r="50" spans="2:34" s="48" customFormat="1" ht="28.5" customHeight="1">
      <c r="B50" s="83"/>
      <c r="C50" s="83" t="s">
        <v>53</v>
      </c>
      <c r="D50" s="126" t="s">
        <v>220</v>
      </c>
      <c r="E50" s="96" t="s">
        <v>56</v>
      </c>
      <c r="F50" s="95"/>
      <c r="G50" s="83" t="s">
        <v>29</v>
      </c>
      <c r="H50" s="85" t="s">
        <v>203</v>
      </c>
      <c r="I50" s="81">
        <v>16</v>
      </c>
      <c r="J50" s="81" t="s">
        <v>45</v>
      </c>
      <c r="K50" s="85"/>
      <c r="L50" s="142">
        <v>104</v>
      </c>
      <c r="M50" s="121">
        <v>40</v>
      </c>
      <c r="N50" s="121">
        <v>640</v>
      </c>
      <c r="O50" s="85"/>
      <c r="Q50" s="47"/>
      <c r="R50" s="47"/>
      <c r="S50" s="47"/>
      <c r="T50" s="47"/>
      <c r="U50" s="47"/>
      <c r="V50" s="47"/>
      <c r="W50" s="47"/>
      <c r="AD50" s="47"/>
      <c r="AE50" s="47"/>
      <c r="AF50" s="47"/>
      <c r="AG50" s="47"/>
      <c r="AH50" s="47"/>
    </row>
    <row r="51" spans="2:34" s="48" customFormat="1" ht="28.5" customHeight="1">
      <c r="B51" s="83"/>
      <c r="C51" s="83" t="s">
        <v>53</v>
      </c>
      <c r="D51" s="126" t="s">
        <v>220</v>
      </c>
      <c r="E51" s="94" t="s">
        <v>57</v>
      </c>
      <c r="F51" s="95"/>
      <c r="G51" s="83" t="s">
        <v>29</v>
      </c>
      <c r="H51" s="85" t="s">
        <v>203</v>
      </c>
      <c r="I51" s="81">
        <v>40</v>
      </c>
      <c r="J51" s="81" t="s">
        <v>45</v>
      </c>
      <c r="K51" s="85"/>
      <c r="L51" s="142">
        <v>32</v>
      </c>
      <c r="M51" s="121">
        <v>4.75</v>
      </c>
      <c r="N51" s="121">
        <v>190</v>
      </c>
      <c r="O51" s="85"/>
      <c r="Q51" s="47"/>
      <c r="R51" s="47"/>
      <c r="S51" s="47"/>
      <c r="T51" s="47"/>
      <c r="U51" s="47"/>
      <c r="V51" s="47"/>
      <c r="W51" s="47"/>
      <c r="AD51" s="47"/>
      <c r="AE51" s="47"/>
      <c r="AF51" s="47"/>
      <c r="AG51" s="47"/>
      <c r="AH51" s="47"/>
    </row>
    <row r="52" spans="2:34" s="48" customFormat="1" ht="28.5" customHeight="1">
      <c r="B52" s="83"/>
      <c r="C52" s="83" t="s">
        <v>53</v>
      </c>
      <c r="D52" s="126" t="s">
        <v>220</v>
      </c>
      <c r="E52" s="94" t="s">
        <v>58</v>
      </c>
      <c r="F52" s="95"/>
      <c r="G52" s="83" t="s">
        <v>29</v>
      </c>
      <c r="H52" s="85" t="s">
        <v>203</v>
      </c>
      <c r="I52" s="81">
        <v>160</v>
      </c>
      <c r="J52" s="81" t="s">
        <v>45</v>
      </c>
      <c r="K52" s="85"/>
      <c r="L52" s="142">
        <v>128</v>
      </c>
      <c r="M52" s="121">
        <v>5.1906249999999998</v>
      </c>
      <c r="N52" s="121">
        <v>830.5</v>
      </c>
      <c r="O52" s="85"/>
      <c r="Q52" s="47"/>
      <c r="R52" s="47"/>
      <c r="S52" s="47"/>
      <c r="T52" s="47"/>
      <c r="U52" s="47"/>
      <c r="V52" s="47"/>
      <c r="W52" s="47"/>
      <c r="AD52" s="47"/>
      <c r="AE52" s="47"/>
      <c r="AF52" s="47"/>
      <c r="AG52" s="47"/>
      <c r="AH52" s="47"/>
    </row>
    <row r="53" spans="2:34" s="48" customFormat="1" ht="28.5" customHeight="1">
      <c r="B53" s="83"/>
      <c r="C53" s="83" t="s">
        <v>53</v>
      </c>
      <c r="D53" s="126" t="s">
        <v>220</v>
      </c>
      <c r="E53" s="94" t="s">
        <v>59</v>
      </c>
      <c r="F53" s="95"/>
      <c r="G53" s="83" t="s">
        <v>29</v>
      </c>
      <c r="H53" s="85" t="s">
        <v>203</v>
      </c>
      <c r="I53" s="81">
        <v>16</v>
      </c>
      <c r="J53" s="81" t="s">
        <v>45</v>
      </c>
      <c r="K53" s="85"/>
      <c r="L53" s="142">
        <v>12</v>
      </c>
      <c r="M53" s="121">
        <v>4.5</v>
      </c>
      <c r="N53" s="121">
        <v>72</v>
      </c>
      <c r="O53" s="85"/>
      <c r="Q53" s="47"/>
      <c r="R53" s="47"/>
      <c r="S53" s="47"/>
      <c r="T53" s="47"/>
      <c r="U53" s="47"/>
      <c r="V53" s="47"/>
      <c r="W53" s="47"/>
      <c r="AD53" s="47"/>
      <c r="AE53" s="47"/>
      <c r="AF53" s="47"/>
      <c r="AG53" s="47"/>
      <c r="AH53" s="47"/>
    </row>
    <row r="54" spans="2:34" s="48" customFormat="1" ht="28.5" customHeight="1">
      <c r="B54" s="129">
        <v>9</v>
      </c>
      <c r="C54" s="126" t="s">
        <v>60</v>
      </c>
      <c r="D54" s="126" t="s">
        <v>220</v>
      </c>
      <c r="E54" s="130" t="s">
        <v>213</v>
      </c>
      <c r="F54" s="131"/>
      <c r="G54" s="129" t="s">
        <v>29</v>
      </c>
      <c r="H54" s="132" t="s">
        <v>203</v>
      </c>
      <c r="I54" s="133">
        <v>1</v>
      </c>
      <c r="J54" s="133" t="s">
        <v>24</v>
      </c>
      <c r="K54" s="134" t="s">
        <v>25</v>
      </c>
      <c r="L54" s="143">
        <v>155</v>
      </c>
      <c r="M54" s="135"/>
      <c r="N54" s="135">
        <v>1213.5</v>
      </c>
      <c r="O54" s="132" t="s">
        <v>37</v>
      </c>
      <c r="Q54" s="47"/>
      <c r="R54" s="47"/>
      <c r="S54" s="47"/>
      <c r="T54" s="47"/>
      <c r="U54" s="47"/>
      <c r="V54" s="47"/>
      <c r="W54" s="47"/>
      <c r="AD54" s="47"/>
      <c r="AE54" s="47"/>
      <c r="AF54" s="47"/>
      <c r="AG54" s="47"/>
      <c r="AH54" s="47"/>
    </row>
    <row r="55" spans="2:34" s="48" customFormat="1" ht="28.5" customHeight="1">
      <c r="B55" s="83"/>
      <c r="C55" s="83" t="s">
        <v>60</v>
      </c>
      <c r="D55" s="126" t="s">
        <v>220</v>
      </c>
      <c r="E55" s="94" t="s">
        <v>62</v>
      </c>
      <c r="F55" s="95"/>
      <c r="G55" s="83" t="s">
        <v>29</v>
      </c>
      <c r="H55" s="85" t="s">
        <v>203</v>
      </c>
      <c r="I55" s="81">
        <v>8</v>
      </c>
      <c r="J55" s="81" t="s">
        <v>45</v>
      </c>
      <c r="K55" s="101"/>
      <c r="L55" s="142">
        <v>14</v>
      </c>
      <c r="M55" s="121">
        <v>15.4375</v>
      </c>
      <c r="N55" s="121">
        <v>123.5</v>
      </c>
      <c r="O55" s="85"/>
      <c r="Q55" s="47"/>
      <c r="R55" s="47"/>
      <c r="S55" s="47"/>
      <c r="T55" s="47"/>
      <c r="U55" s="47"/>
      <c r="V55" s="47"/>
      <c r="W55" s="47"/>
      <c r="AD55" s="47"/>
      <c r="AE55" s="47"/>
      <c r="AF55" s="47"/>
      <c r="AG55" s="47"/>
      <c r="AH55" s="47"/>
    </row>
    <row r="56" spans="2:34" s="48" customFormat="1" ht="28.5" customHeight="1">
      <c r="B56" s="83"/>
      <c r="C56" s="83" t="s">
        <v>60</v>
      </c>
      <c r="D56" s="126" t="s">
        <v>220</v>
      </c>
      <c r="E56" s="94" t="s">
        <v>63</v>
      </c>
      <c r="F56" s="95"/>
      <c r="G56" s="83" t="s">
        <v>29</v>
      </c>
      <c r="H56" s="85" t="s">
        <v>203</v>
      </c>
      <c r="I56" s="81">
        <v>32</v>
      </c>
      <c r="J56" s="81" t="s">
        <v>45</v>
      </c>
      <c r="K56" s="85"/>
      <c r="L56" s="142">
        <v>70</v>
      </c>
      <c r="M56" s="121">
        <v>18.9375</v>
      </c>
      <c r="N56" s="121">
        <v>606</v>
      </c>
      <c r="O56" s="85"/>
      <c r="Q56" s="47"/>
      <c r="R56" s="47"/>
      <c r="S56" s="47"/>
      <c r="T56" s="47"/>
      <c r="U56" s="47"/>
      <c r="V56" s="47"/>
      <c r="W56" s="47"/>
      <c r="AD56" s="47"/>
      <c r="AE56" s="47"/>
      <c r="AF56" s="47"/>
      <c r="AG56" s="47"/>
      <c r="AH56" s="47"/>
    </row>
    <row r="57" spans="2:34" s="48" customFormat="1" ht="28.5" customHeight="1">
      <c r="B57" s="83"/>
      <c r="C57" s="83" t="s">
        <v>60</v>
      </c>
      <c r="D57" s="126" t="s">
        <v>220</v>
      </c>
      <c r="E57" s="94" t="s">
        <v>64</v>
      </c>
      <c r="F57" s="95"/>
      <c r="G57" s="83" t="s">
        <v>29</v>
      </c>
      <c r="H57" s="85" t="s">
        <v>203</v>
      </c>
      <c r="I57" s="81">
        <v>5</v>
      </c>
      <c r="J57" s="81" t="s">
        <v>45</v>
      </c>
      <c r="K57" s="85"/>
      <c r="L57" s="142">
        <v>3</v>
      </c>
      <c r="M57" s="121">
        <v>5</v>
      </c>
      <c r="N57" s="121">
        <v>25</v>
      </c>
      <c r="O57" s="85"/>
      <c r="Q57" s="47"/>
      <c r="R57" s="47"/>
      <c r="S57" s="47"/>
      <c r="T57" s="47"/>
      <c r="U57" s="47"/>
      <c r="V57" s="47"/>
      <c r="W57" s="47"/>
      <c r="AD57" s="47"/>
      <c r="AE57" s="47"/>
      <c r="AF57" s="47"/>
      <c r="AG57" s="47"/>
      <c r="AH57" s="47"/>
    </row>
    <row r="58" spans="2:34" s="48" customFormat="1" ht="28.5" customHeight="1">
      <c r="B58" s="83"/>
      <c r="C58" s="83" t="s">
        <v>60</v>
      </c>
      <c r="D58" s="126" t="s">
        <v>220</v>
      </c>
      <c r="E58" s="94" t="s">
        <v>65</v>
      </c>
      <c r="F58" s="95"/>
      <c r="G58" s="83" t="s">
        <v>29</v>
      </c>
      <c r="H58" s="85" t="s">
        <v>203</v>
      </c>
      <c r="I58" s="81">
        <v>14</v>
      </c>
      <c r="J58" s="81" t="s">
        <v>45</v>
      </c>
      <c r="K58" s="85"/>
      <c r="L58" s="142">
        <v>16</v>
      </c>
      <c r="M58" s="121">
        <v>9.8571428571428577</v>
      </c>
      <c r="N58" s="121">
        <v>138</v>
      </c>
      <c r="O58" s="85"/>
      <c r="Q58" s="47"/>
      <c r="R58" s="47"/>
      <c r="S58" s="47"/>
      <c r="T58" s="47"/>
      <c r="U58" s="47"/>
      <c r="V58" s="47"/>
      <c r="W58" s="47"/>
      <c r="AD58" s="47"/>
      <c r="AE58" s="47"/>
      <c r="AF58" s="47"/>
      <c r="AG58" s="47"/>
      <c r="AH58" s="47"/>
    </row>
    <row r="59" spans="2:34" s="48" customFormat="1" ht="28.5" customHeight="1">
      <c r="B59" s="83"/>
      <c r="C59" s="83" t="s">
        <v>60</v>
      </c>
      <c r="D59" s="126" t="s">
        <v>220</v>
      </c>
      <c r="E59" s="94" t="s">
        <v>44</v>
      </c>
      <c r="F59" s="95"/>
      <c r="G59" s="83" t="s">
        <v>29</v>
      </c>
      <c r="H59" s="85" t="s">
        <v>203</v>
      </c>
      <c r="I59" s="81">
        <v>5</v>
      </c>
      <c r="J59" s="81" t="s">
        <v>45</v>
      </c>
      <c r="K59" s="85"/>
      <c r="L59" s="142">
        <v>16</v>
      </c>
      <c r="M59" s="121">
        <v>20</v>
      </c>
      <c r="N59" s="121">
        <v>100</v>
      </c>
      <c r="O59" s="85"/>
      <c r="Q59" s="47"/>
      <c r="R59" s="157"/>
      <c r="S59" s="47"/>
      <c r="T59" s="47"/>
      <c r="U59" s="47"/>
      <c r="V59" s="47"/>
      <c r="W59" s="47"/>
      <c r="AD59" s="47"/>
      <c r="AE59" s="47"/>
      <c r="AF59" s="47"/>
      <c r="AG59" s="47"/>
      <c r="AH59" s="47"/>
    </row>
    <row r="60" spans="2:34" s="48" customFormat="1" ht="28.5" customHeight="1">
      <c r="B60" s="83"/>
      <c r="C60" s="83" t="s">
        <v>60</v>
      </c>
      <c r="D60" s="126" t="s">
        <v>220</v>
      </c>
      <c r="E60" s="94" t="s">
        <v>46</v>
      </c>
      <c r="F60" s="95"/>
      <c r="G60" s="83" t="s">
        <v>29</v>
      </c>
      <c r="H60" s="85" t="s">
        <v>203</v>
      </c>
      <c r="I60" s="81">
        <v>8</v>
      </c>
      <c r="J60" s="81" t="s">
        <v>45</v>
      </c>
      <c r="K60" s="85"/>
      <c r="L60" s="142">
        <v>21</v>
      </c>
      <c r="M60" s="121">
        <v>16.345238095238095</v>
      </c>
      <c r="N60" s="121">
        <v>130.76190476190476</v>
      </c>
      <c r="O60" s="85"/>
      <c r="Q60" s="47"/>
      <c r="R60" s="47"/>
      <c r="S60" s="47"/>
      <c r="T60" s="47"/>
      <c r="U60" s="47"/>
      <c r="V60" s="47"/>
      <c r="W60" s="47"/>
      <c r="AD60" s="47"/>
      <c r="AE60" s="47"/>
      <c r="AF60" s="47"/>
      <c r="AG60" s="47"/>
      <c r="AH60" s="47"/>
    </row>
    <row r="61" spans="2:34" s="48" customFormat="1" ht="28.5" customHeight="1">
      <c r="B61" s="83"/>
      <c r="C61" s="83" t="s">
        <v>60</v>
      </c>
      <c r="D61" s="126" t="s">
        <v>220</v>
      </c>
      <c r="E61" s="94" t="s">
        <v>47</v>
      </c>
      <c r="F61" s="95"/>
      <c r="G61" s="83" t="s">
        <v>29</v>
      </c>
      <c r="H61" s="85" t="s">
        <v>203</v>
      </c>
      <c r="I61" s="81">
        <v>5</v>
      </c>
      <c r="J61" s="81" t="s">
        <v>45</v>
      </c>
      <c r="K61" s="85"/>
      <c r="L61" s="142">
        <v>6</v>
      </c>
      <c r="M61" s="121">
        <v>7.1904761904761907</v>
      </c>
      <c r="N61" s="121">
        <v>35.952380952380956</v>
      </c>
      <c r="O61" s="85"/>
      <c r="Q61" s="47"/>
      <c r="R61" s="47"/>
      <c r="S61" s="47"/>
      <c r="T61" s="47"/>
      <c r="U61" s="47"/>
      <c r="V61" s="47"/>
      <c r="W61" s="47"/>
      <c r="AD61" s="47"/>
      <c r="AE61" s="47"/>
      <c r="AF61" s="47"/>
      <c r="AG61" s="47"/>
      <c r="AH61" s="47"/>
    </row>
    <row r="62" spans="2:34" s="48" customFormat="1" ht="28.5" customHeight="1">
      <c r="B62" s="83"/>
      <c r="C62" s="83" t="s">
        <v>60</v>
      </c>
      <c r="D62" s="126" t="s">
        <v>220</v>
      </c>
      <c r="E62" s="94" t="s">
        <v>48</v>
      </c>
      <c r="F62" s="95"/>
      <c r="G62" s="83" t="s">
        <v>29</v>
      </c>
      <c r="H62" s="85" t="s">
        <v>203</v>
      </c>
      <c r="I62" s="81">
        <v>5</v>
      </c>
      <c r="J62" s="81" t="s">
        <v>45</v>
      </c>
      <c r="K62" s="85"/>
      <c r="L62" s="142">
        <v>9</v>
      </c>
      <c r="M62" s="121">
        <v>10.857142857142858</v>
      </c>
      <c r="N62" s="121">
        <v>54.285714285714292</v>
      </c>
      <c r="O62" s="85"/>
      <c r="Q62" s="47"/>
      <c r="R62" s="47"/>
      <c r="S62" s="47"/>
      <c r="T62" s="47"/>
      <c r="U62" s="47"/>
      <c r="V62" s="47"/>
      <c r="W62" s="47"/>
      <c r="AD62" s="47"/>
      <c r="AE62" s="47"/>
      <c r="AF62" s="47"/>
      <c r="AG62" s="47"/>
      <c r="AH62" s="47"/>
    </row>
    <row r="63" spans="2:34" s="6" customFormat="1" ht="23.25" customHeight="1">
      <c r="B63" s="196" t="s">
        <v>66</v>
      </c>
      <c r="C63" s="196"/>
      <c r="D63" s="196"/>
      <c r="E63" s="196"/>
      <c r="F63" s="196"/>
      <c r="G63" s="196"/>
      <c r="H63" s="196"/>
      <c r="I63" s="196"/>
      <c r="J63" s="196"/>
      <c r="K63" s="127"/>
      <c r="L63" s="49"/>
      <c r="M63" s="128"/>
      <c r="N63" s="181">
        <f>SUM(N10:N62)-N10-N18-N23-N26-N29-N32-N35-N47-N54</f>
        <v>104999.99999999997</v>
      </c>
      <c r="O63" s="127"/>
      <c r="P63" s="41"/>
      <c r="Q63" s="10"/>
      <c r="R63" s="10"/>
      <c r="S63" s="10"/>
      <c r="T63" s="10"/>
      <c r="U63" s="10"/>
      <c r="V63" s="10"/>
      <c r="W63" s="10"/>
      <c r="AD63" s="10"/>
      <c r="AE63" s="10"/>
      <c r="AF63" s="10"/>
      <c r="AG63" s="10"/>
      <c r="AH63" s="10"/>
    </row>
    <row r="64" spans="2:34" ht="18" customHeight="1">
      <c r="N64" s="180"/>
    </row>
  </sheetData>
  <mergeCells count="19">
    <mergeCell ref="B1:O1"/>
    <mergeCell ref="D3:K3"/>
    <mergeCell ref="B4:O4"/>
    <mergeCell ref="B6:D6"/>
    <mergeCell ref="G6:I6"/>
    <mergeCell ref="K6:M6"/>
    <mergeCell ref="O8:O9"/>
    <mergeCell ref="B8:B9"/>
    <mergeCell ref="D8:D9"/>
    <mergeCell ref="E8:F9"/>
    <mergeCell ref="G8:G9"/>
    <mergeCell ref="H8:H9"/>
    <mergeCell ref="I8:J8"/>
    <mergeCell ref="C8:C9"/>
    <mergeCell ref="B63:J63"/>
    <mergeCell ref="K8:K9"/>
    <mergeCell ref="L8:L9"/>
    <mergeCell ref="M8:M9"/>
    <mergeCell ref="N8:N9"/>
  </mergeCells>
  <phoneticPr fontId="25" type="noConversion"/>
  <conditionalFormatting sqref="E6">
    <cfRule type="duplicateValues" dxfId="0" priority="1"/>
  </conditionalFormatting>
  <printOptions horizontalCentered="1"/>
  <pageMargins left="0.23622047244094491" right="0.23622047244094491" top="0.47244094488188981" bottom="0.51181102362204722" header="0.31496062992125984" footer="0.31496062992125984"/>
  <pageSetup paperSize="9" scale="46" orientation="portrait" r:id="rId1"/>
  <headerFooter alignWithMargins="0">
    <oddFooter>&amp;C&amp;P/&amp;N</oddFooter>
  </headerFooter>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rgb="FF92D050"/>
    <pageSetUpPr fitToPage="1"/>
  </sheetPr>
  <dimension ref="A1:AX70"/>
  <sheetViews>
    <sheetView showGridLines="0" view="pageBreakPreview" topLeftCell="H1" zoomScale="80" zoomScaleNormal="100" zoomScaleSheetLayoutView="80" workbookViewId="0">
      <selection activeCell="R68" sqref="R68"/>
    </sheetView>
  </sheetViews>
  <sheetFormatPr defaultColWidth="8.76953125" defaultRowHeight="18" customHeight="1"/>
  <cols>
    <col min="1" max="1" width="1.05078125" style="32" customWidth="1"/>
    <col min="2" max="2" width="3.625" style="10" customWidth="1"/>
    <col min="3" max="3" width="21.1640625" style="42" customWidth="1"/>
    <col min="4" max="4" width="23.73828125" style="54" customWidth="1"/>
    <col min="5" max="5" width="21.75" style="54" customWidth="1"/>
    <col min="6" max="6" width="14.265625" style="10" customWidth="1"/>
    <col min="7" max="7" width="21.75" style="54" customWidth="1"/>
    <col min="8" max="8" width="9.703125" style="6" customWidth="1"/>
    <col min="9" max="9" width="5.26171875" style="12" customWidth="1"/>
    <col min="10" max="10" width="5.26171875" style="6" customWidth="1"/>
    <col min="11" max="11" width="7.6015625" style="6" customWidth="1"/>
    <col min="12" max="14" width="6.3125" style="6" customWidth="1"/>
    <col min="15" max="15" width="7.6015625" style="55" customWidth="1"/>
    <col min="16" max="17" width="10.171875" style="6" bestFit="1" customWidth="1"/>
    <col min="18" max="18" width="8.53515625" style="6" customWidth="1"/>
    <col min="19" max="19" width="10.0546875" style="10" customWidth="1"/>
    <col min="20" max="20" width="21.75" style="10" customWidth="1"/>
    <col min="21" max="21" width="6.6640625" style="56" customWidth="1"/>
    <col min="22" max="22" width="1.05078125" style="30" customWidth="1"/>
    <col min="23" max="29" width="8.76953125" style="31" customWidth="1"/>
    <col min="30" max="35" width="8.76953125" style="32" customWidth="1"/>
    <col min="36" max="40" width="8.76953125" style="31"/>
    <col min="41" max="16384" width="8.76953125" style="32"/>
  </cols>
  <sheetData>
    <row r="1" spans="2:50" ht="9" customHeight="1">
      <c r="B1" s="208"/>
      <c r="C1" s="208"/>
      <c r="D1" s="208"/>
      <c r="E1" s="208"/>
      <c r="F1" s="208"/>
      <c r="G1" s="208"/>
      <c r="H1" s="208"/>
      <c r="I1" s="208"/>
      <c r="J1" s="208"/>
      <c r="K1" s="208"/>
      <c r="L1" s="208"/>
      <c r="M1" s="208"/>
      <c r="N1" s="208"/>
      <c r="O1" s="208"/>
      <c r="P1" s="208"/>
      <c r="Q1" s="208"/>
      <c r="R1" s="208"/>
      <c r="S1" s="208"/>
      <c r="T1" s="208"/>
      <c r="U1" s="208"/>
    </row>
    <row r="2" spans="2:50" ht="26.1" customHeight="1">
      <c r="B2" s="29"/>
      <c r="C2" s="6"/>
      <c r="D2" s="6"/>
      <c r="E2" s="6"/>
      <c r="F2" s="32"/>
      <c r="G2" s="6"/>
      <c r="I2" s="6"/>
      <c r="J2" s="33"/>
      <c r="K2" s="33"/>
      <c r="L2" s="33"/>
      <c r="M2" s="34"/>
      <c r="N2" s="35"/>
      <c r="O2" s="29"/>
      <c r="P2" s="29"/>
      <c r="Q2" s="29"/>
      <c r="R2" s="29"/>
      <c r="S2" s="29"/>
      <c r="T2" s="32"/>
      <c r="U2" s="32"/>
      <c r="V2" s="32"/>
      <c r="W2" s="32"/>
      <c r="X2" s="32"/>
      <c r="Y2" s="32"/>
      <c r="Z2" s="32"/>
      <c r="AA2" s="32"/>
      <c r="AB2" s="32"/>
      <c r="AC2" s="32"/>
      <c r="AJ2" s="32"/>
      <c r="AK2" s="32"/>
      <c r="AL2" s="32"/>
      <c r="AM2" s="32"/>
      <c r="AN2" s="32"/>
    </row>
    <row r="3" spans="2:50" ht="27.6" customHeight="1">
      <c r="B3" s="29"/>
      <c r="C3" s="209" t="s">
        <v>5</v>
      </c>
      <c r="D3" s="209"/>
      <c r="E3" s="209"/>
      <c r="F3" s="209"/>
      <c r="G3" s="209"/>
      <c r="H3" s="209"/>
      <c r="I3" s="209"/>
      <c r="J3" s="209"/>
      <c r="K3" s="209"/>
      <c r="L3" s="33"/>
      <c r="M3" s="34"/>
      <c r="N3" s="35"/>
      <c r="O3" s="36"/>
      <c r="P3" s="29"/>
      <c r="Q3" s="29"/>
      <c r="R3" s="29"/>
      <c r="S3" s="29"/>
      <c r="T3" s="32"/>
      <c r="U3" s="32"/>
      <c r="V3" s="32"/>
      <c r="W3" s="32"/>
      <c r="X3" s="32"/>
      <c r="Y3" s="32"/>
      <c r="Z3" s="32"/>
      <c r="AA3" s="32"/>
      <c r="AB3" s="32"/>
      <c r="AC3" s="32"/>
      <c r="AJ3" s="32"/>
      <c r="AK3" s="32"/>
      <c r="AL3" s="32"/>
      <c r="AM3" s="32"/>
      <c r="AN3" s="32"/>
    </row>
    <row r="4" spans="2:50" ht="33.75" customHeight="1">
      <c r="B4" s="210" t="s">
        <v>117</v>
      </c>
      <c r="C4" s="211"/>
      <c r="D4" s="211"/>
      <c r="E4" s="211"/>
      <c r="F4" s="211"/>
      <c r="G4" s="211"/>
      <c r="H4" s="211"/>
      <c r="I4" s="211"/>
      <c r="J4" s="211"/>
      <c r="K4" s="211"/>
      <c r="L4" s="211"/>
      <c r="M4" s="211"/>
      <c r="N4" s="211"/>
      <c r="O4" s="211"/>
      <c r="P4" s="211"/>
      <c r="Q4" s="211"/>
      <c r="R4" s="211"/>
      <c r="S4" s="211"/>
      <c r="T4" s="211"/>
      <c r="U4" s="212"/>
    </row>
    <row r="5" spans="2:50" s="6" customFormat="1" ht="17.25" customHeight="1">
      <c r="B5" s="10"/>
      <c r="C5" s="37" t="s">
        <v>118</v>
      </c>
      <c r="D5" s="73" t="e">
        <f>'PL(2_2)'!D5</f>
        <v>#REF!</v>
      </c>
      <c r="F5" s="40"/>
      <c r="H5" s="10"/>
      <c r="I5" s="38"/>
      <c r="J5" s="10"/>
      <c r="K5" s="10"/>
      <c r="L5" s="10"/>
      <c r="M5" s="10"/>
      <c r="N5" s="10"/>
      <c r="O5" s="39"/>
      <c r="P5" s="10"/>
      <c r="Q5" s="10"/>
      <c r="R5" s="10"/>
      <c r="S5" s="40"/>
      <c r="T5" s="10"/>
      <c r="U5" s="10"/>
      <c r="V5" s="41"/>
      <c r="Y5" s="6">
        <v>36</v>
      </c>
      <c r="Z5" s="6">
        <v>39</v>
      </c>
      <c r="AA5" s="6">
        <v>40</v>
      </c>
      <c r="AB5" s="6">
        <v>163</v>
      </c>
      <c r="AC5" s="6">
        <v>3</v>
      </c>
      <c r="AD5" s="6">
        <v>8</v>
      </c>
      <c r="AE5" s="6">
        <v>44</v>
      </c>
      <c r="AF5" s="6">
        <v>45</v>
      </c>
      <c r="AG5" s="6">
        <v>46</v>
      </c>
      <c r="AH5" s="6">
        <v>60</v>
      </c>
      <c r="AI5" s="6">
        <v>66</v>
      </c>
      <c r="AJ5" s="10">
        <v>68</v>
      </c>
      <c r="AK5" s="10">
        <v>69</v>
      </c>
      <c r="AL5" s="10">
        <v>70</v>
      </c>
      <c r="AM5" s="10">
        <v>71</v>
      </c>
      <c r="AN5" s="10">
        <v>170</v>
      </c>
      <c r="AO5" s="6">
        <v>110</v>
      </c>
      <c r="AP5" s="6">
        <v>234</v>
      </c>
      <c r="AQ5" s="6">
        <v>33</v>
      </c>
      <c r="AR5" s="6">
        <v>34</v>
      </c>
      <c r="AS5" s="6">
        <v>142</v>
      </c>
      <c r="AU5" s="6">
        <v>79</v>
      </c>
      <c r="AV5" s="6">
        <v>80</v>
      </c>
      <c r="AW5" s="6">
        <v>81</v>
      </c>
      <c r="AX5" s="6">
        <v>82</v>
      </c>
    </row>
    <row r="6" spans="2:50" s="6" customFormat="1" ht="17.25" customHeight="1">
      <c r="B6" s="10"/>
      <c r="C6" s="89" t="s">
        <v>70</v>
      </c>
      <c r="D6" s="90" t="e">
        <f>'PL(2_2)'!D6</f>
        <v>#REF!</v>
      </c>
      <c r="F6" s="10"/>
      <c r="H6" s="10"/>
      <c r="I6" s="10"/>
      <c r="J6" s="42" t="s">
        <v>71</v>
      </c>
      <c r="K6" s="10"/>
      <c r="L6" s="10"/>
      <c r="M6" s="10"/>
      <c r="N6" s="10"/>
      <c r="O6" s="43" t="s">
        <v>72</v>
      </c>
      <c r="P6" s="10"/>
      <c r="Q6" s="10"/>
      <c r="R6" s="10"/>
      <c r="S6" s="10"/>
      <c r="T6" s="10"/>
      <c r="U6" s="10"/>
      <c r="V6" s="41"/>
      <c r="Y6" s="6">
        <f t="shared" ref="Y6:AO6" si="0">SUMIF($AG$68:$AG$68,Y5,$I$68:$I$68)</f>
        <v>0</v>
      </c>
      <c r="Z6" s="6">
        <f t="shared" si="0"/>
        <v>0</v>
      </c>
      <c r="AA6" s="6">
        <f t="shared" si="0"/>
        <v>0</v>
      </c>
      <c r="AB6" s="6">
        <f t="shared" si="0"/>
        <v>0</v>
      </c>
      <c r="AC6" s="6">
        <f t="shared" si="0"/>
        <v>0</v>
      </c>
      <c r="AD6" s="6">
        <f t="shared" si="0"/>
        <v>0</v>
      </c>
      <c r="AE6" s="6">
        <f t="shared" si="0"/>
        <v>0</v>
      </c>
      <c r="AF6" s="6">
        <f t="shared" si="0"/>
        <v>0</v>
      </c>
      <c r="AG6" s="6">
        <f t="shared" si="0"/>
        <v>0</v>
      </c>
      <c r="AH6" s="6">
        <f t="shared" si="0"/>
        <v>0</v>
      </c>
      <c r="AI6" s="6">
        <f t="shared" si="0"/>
        <v>0</v>
      </c>
      <c r="AJ6" s="10">
        <f t="shared" si="0"/>
        <v>0</v>
      </c>
      <c r="AK6" s="10">
        <f t="shared" si="0"/>
        <v>0</v>
      </c>
      <c r="AL6" s="10">
        <f t="shared" si="0"/>
        <v>0</v>
      </c>
      <c r="AM6" s="10">
        <f t="shared" si="0"/>
        <v>0</v>
      </c>
      <c r="AN6" s="10">
        <f t="shared" si="0"/>
        <v>0</v>
      </c>
      <c r="AO6" s="6">
        <f t="shared" si="0"/>
        <v>0</v>
      </c>
      <c r="AP6" s="6">
        <f>SUMIF($AG$68:$AG$338,AP5,$I$68:$I$338)</f>
        <v>0</v>
      </c>
      <c r="AQ6" s="6">
        <f>SUMIF($AG$68:$AG$338,AQ5,$I$68:$I$338)</f>
        <v>0</v>
      </c>
      <c r="AR6" s="6">
        <f>SUMIF($AG$68:$AG$338,AR5,$I$68:$I$338)</f>
        <v>0</v>
      </c>
      <c r="AS6" s="6">
        <f>SUMIF($AG$68:$AG$68,AS5,$I$68:$I$68)</f>
        <v>0</v>
      </c>
      <c r="AT6" s="6">
        <f>SUM(Y6:AS7)</f>
        <v>109</v>
      </c>
      <c r="AU6" s="6">
        <f>SUMIF($AG$68:$AG$68,AU5,$I$68:$I$68)</f>
        <v>0</v>
      </c>
      <c r="AV6" s="6">
        <f>SUMIF($AG$68:$AG$68,AV5,$I$68:$I$68)</f>
        <v>0</v>
      </c>
      <c r="AW6" s="6">
        <f>SUMIF($AG$68:$AG$338,AW5,$I$68:$I$338)</f>
        <v>0</v>
      </c>
      <c r="AX6" s="6">
        <f>SUMIF($AG$68:$AG$338,AX5,$I$68:$I$338)</f>
        <v>0</v>
      </c>
    </row>
    <row r="7" spans="2:50" s="6" customFormat="1" ht="17.25" customHeight="1">
      <c r="B7" s="10"/>
      <c r="C7" s="89" t="s">
        <v>73</v>
      </c>
      <c r="D7" s="91" t="str">
        <f>'PL(2_2)'!D7</f>
        <v>O MON IV THERMAL POWER PLANT</v>
      </c>
      <c r="F7" s="10"/>
      <c r="H7" s="10"/>
      <c r="I7" s="10"/>
      <c r="J7" s="8" t="s">
        <v>74</v>
      </c>
      <c r="K7" s="42" t="s">
        <v>75</v>
      </c>
      <c r="L7" s="10"/>
      <c r="M7" s="10"/>
      <c r="N7" s="10"/>
      <c r="O7" s="44"/>
      <c r="P7" s="11" t="s">
        <v>76</v>
      </c>
      <c r="Q7" s="11" t="s">
        <v>77</v>
      </c>
      <c r="R7" s="11" t="s">
        <v>78</v>
      </c>
      <c r="S7" s="11" t="s">
        <v>79</v>
      </c>
      <c r="T7" s="10"/>
      <c r="U7" s="10"/>
      <c r="V7" s="41"/>
      <c r="W7" s="10"/>
      <c r="X7" s="10"/>
      <c r="Y7" s="10"/>
      <c r="Z7" s="10"/>
      <c r="AA7" s="10"/>
      <c r="AB7" s="10"/>
      <c r="AC7" s="10">
        <v>1</v>
      </c>
      <c r="AD7" s="6">
        <v>1</v>
      </c>
      <c r="AG7" s="6">
        <v>5</v>
      </c>
      <c r="AH7" s="6">
        <v>100</v>
      </c>
      <c r="AJ7" s="10"/>
      <c r="AK7" s="10"/>
      <c r="AL7" s="10"/>
      <c r="AM7" s="10"/>
      <c r="AN7" s="10"/>
      <c r="AS7" s="6">
        <v>2</v>
      </c>
      <c r="AU7" s="6">
        <v>105</v>
      </c>
    </row>
    <row r="8" spans="2:50" s="6" customFormat="1" ht="17.25" customHeight="1">
      <c r="B8" s="10"/>
      <c r="C8" s="89" t="s">
        <v>119</v>
      </c>
      <c r="D8" s="92" t="s">
        <v>120</v>
      </c>
      <c r="F8" s="10"/>
      <c r="H8" s="10"/>
      <c r="I8" s="10"/>
      <c r="J8" s="8" t="s">
        <v>80</v>
      </c>
      <c r="K8" s="42" t="s">
        <v>81</v>
      </c>
      <c r="L8" s="10"/>
      <c r="M8" s="10"/>
      <c r="N8" s="10"/>
      <c r="O8" s="45" t="s">
        <v>82</v>
      </c>
      <c r="P8" s="11" t="s">
        <v>37</v>
      </c>
      <c r="Q8" s="11" t="s">
        <v>83</v>
      </c>
      <c r="R8" s="11" t="s">
        <v>84</v>
      </c>
      <c r="S8" s="11" t="s">
        <v>85</v>
      </c>
      <c r="T8" s="10"/>
      <c r="U8" s="10"/>
      <c r="V8" s="41"/>
      <c r="W8" s="10"/>
      <c r="X8" s="10"/>
      <c r="Y8" s="10"/>
      <c r="Z8" s="10"/>
      <c r="AA8" s="10"/>
      <c r="AB8" s="10"/>
      <c r="AC8" s="10"/>
      <c r="AJ8" s="10"/>
      <c r="AK8" s="10"/>
      <c r="AL8" s="10"/>
      <c r="AM8" s="10"/>
      <c r="AN8" s="10"/>
    </row>
    <row r="9" spans="2:50" s="6" customFormat="1" ht="17.25" customHeight="1">
      <c r="B9" s="10"/>
      <c r="C9" s="93"/>
      <c r="D9" s="93" t="s">
        <v>121</v>
      </c>
      <c r="E9" s="37"/>
      <c r="F9" s="10"/>
      <c r="G9" s="37"/>
      <c r="H9" s="10"/>
      <c r="I9" s="10"/>
      <c r="J9" s="8" t="s">
        <v>86</v>
      </c>
      <c r="K9" s="42" t="s">
        <v>87</v>
      </c>
      <c r="L9" s="10"/>
      <c r="M9" s="10"/>
      <c r="N9" s="10"/>
      <c r="O9" s="45" t="s">
        <v>88</v>
      </c>
      <c r="P9" s="11" t="s">
        <v>89</v>
      </c>
      <c r="Q9" s="11" t="s">
        <v>90</v>
      </c>
      <c r="R9" s="11" t="s">
        <v>91</v>
      </c>
      <c r="S9" s="11" t="s">
        <v>92</v>
      </c>
      <c r="T9" s="10"/>
      <c r="U9" s="10"/>
      <c r="V9" s="41"/>
      <c r="W9" s="10"/>
      <c r="X9" s="10"/>
      <c r="Y9" s="10"/>
      <c r="Z9" s="10"/>
      <c r="AA9" s="10"/>
      <c r="AB9" s="10"/>
      <c r="AC9" s="10"/>
      <c r="AJ9" s="10"/>
      <c r="AK9" s="10"/>
      <c r="AL9" s="10"/>
      <c r="AM9" s="10"/>
      <c r="AN9" s="10"/>
    </row>
    <row r="10" spans="2:50" s="6" customFormat="1" ht="17.25" customHeight="1">
      <c r="B10" s="10"/>
      <c r="C10" s="89"/>
      <c r="D10" s="89"/>
      <c r="E10" s="37"/>
      <c r="F10" s="10"/>
      <c r="G10" s="37"/>
      <c r="H10" s="10"/>
      <c r="I10" s="10"/>
      <c r="J10" s="8" t="s">
        <v>93</v>
      </c>
      <c r="K10" s="42" t="s">
        <v>94</v>
      </c>
      <c r="L10" s="10"/>
      <c r="M10" s="10"/>
      <c r="N10" s="10"/>
      <c r="O10" s="45" t="s">
        <v>95</v>
      </c>
      <c r="P10" s="11" t="s">
        <v>96</v>
      </c>
      <c r="Q10" s="11" t="s">
        <v>97</v>
      </c>
      <c r="R10" s="11" t="s">
        <v>98</v>
      </c>
      <c r="S10" s="11" t="s">
        <v>99</v>
      </c>
      <c r="T10" s="10"/>
      <c r="U10" s="10"/>
      <c r="V10" s="41"/>
      <c r="W10" s="10"/>
      <c r="X10" s="10"/>
      <c r="Y10" s="10"/>
      <c r="Z10" s="10"/>
      <c r="AA10" s="10"/>
      <c r="AB10" s="10"/>
      <c r="AC10" s="10"/>
      <c r="AJ10" s="10"/>
      <c r="AK10" s="10"/>
      <c r="AL10" s="10"/>
      <c r="AM10" s="10"/>
      <c r="AN10" s="10"/>
    </row>
    <row r="11" spans="2:50" s="6" customFormat="1" ht="17.25" customHeight="1">
      <c r="B11" s="10"/>
      <c r="C11" s="37"/>
      <c r="D11" s="37"/>
      <c r="E11" s="37"/>
      <c r="F11" s="10"/>
      <c r="G11" s="37"/>
      <c r="H11" s="10"/>
      <c r="I11" s="10"/>
      <c r="J11" s="8" t="s">
        <v>100</v>
      </c>
      <c r="K11" s="42" t="s">
        <v>101</v>
      </c>
      <c r="L11" s="10"/>
      <c r="M11" s="10"/>
      <c r="N11" s="10"/>
      <c r="O11" s="39"/>
      <c r="P11" s="10"/>
      <c r="Q11" s="10"/>
      <c r="R11" s="10"/>
      <c r="S11" s="10"/>
      <c r="T11" s="10"/>
      <c r="U11" s="10"/>
      <c r="V11" s="41"/>
      <c r="W11" s="10"/>
      <c r="X11" s="10"/>
      <c r="Y11" s="10"/>
      <c r="Z11" s="10"/>
      <c r="AA11" s="10"/>
      <c r="AB11" s="10"/>
      <c r="AC11" s="10"/>
      <c r="AJ11" s="10"/>
      <c r="AK11" s="10"/>
      <c r="AL11" s="10"/>
      <c r="AM11" s="10"/>
      <c r="AN11" s="10"/>
    </row>
    <row r="12" spans="2:50" s="6" customFormat="1" ht="17.25" customHeight="1">
      <c r="B12" s="10"/>
      <c r="C12" s="37"/>
      <c r="D12" s="10"/>
      <c r="E12" s="10"/>
      <c r="F12" s="10"/>
      <c r="G12" s="10"/>
      <c r="H12" s="10"/>
      <c r="I12" s="10"/>
      <c r="J12" s="10"/>
      <c r="K12" s="10"/>
      <c r="L12" s="10"/>
      <c r="M12" s="10"/>
      <c r="N12" s="10"/>
      <c r="O12" s="39"/>
      <c r="P12" s="10"/>
      <c r="Q12" s="10"/>
      <c r="R12" s="10"/>
      <c r="S12" s="10"/>
      <c r="T12" s="10"/>
      <c r="U12" s="10"/>
      <c r="V12" s="41"/>
      <c r="W12" s="10"/>
      <c r="X12" s="10"/>
      <c r="Y12" s="10"/>
      <c r="Z12" s="10"/>
      <c r="AA12" s="10"/>
      <c r="AB12" s="10"/>
      <c r="AC12" s="10"/>
      <c r="AJ12" s="10"/>
      <c r="AK12" s="10"/>
      <c r="AL12" s="10"/>
      <c r="AM12" s="10"/>
      <c r="AN12" s="10"/>
    </row>
    <row r="13" spans="2:50" s="48" customFormat="1" ht="20.25" customHeight="1">
      <c r="B13" s="198" t="s">
        <v>11</v>
      </c>
      <c r="C13" s="201" t="s">
        <v>12</v>
      </c>
      <c r="D13" s="202" t="s">
        <v>13</v>
      </c>
      <c r="E13" s="203"/>
      <c r="F13" s="221" t="s">
        <v>122</v>
      </c>
      <c r="G13" s="201" t="s">
        <v>14</v>
      </c>
      <c r="H13" s="198" t="s">
        <v>15</v>
      </c>
      <c r="I13" s="206" t="s">
        <v>16</v>
      </c>
      <c r="J13" s="207"/>
      <c r="K13" s="198" t="s">
        <v>17</v>
      </c>
      <c r="L13" s="206" t="s">
        <v>102</v>
      </c>
      <c r="M13" s="216"/>
      <c r="N13" s="216"/>
      <c r="O13" s="207"/>
      <c r="P13" s="198" t="s">
        <v>103</v>
      </c>
      <c r="Q13" s="198" t="s">
        <v>104</v>
      </c>
      <c r="R13" s="198" t="s">
        <v>105</v>
      </c>
      <c r="S13" s="198" t="s">
        <v>106</v>
      </c>
      <c r="T13" s="202" t="s">
        <v>123</v>
      </c>
      <c r="U13" s="198" t="s">
        <v>19</v>
      </c>
      <c r="V13" s="46"/>
      <c r="W13" s="47"/>
      <c r="X13" s="47"/>
      <c r="Y13" s="47"/>
      <c r="Z13" s="47"/>
      <c r="AA13" s="47"/>
      <c r="AB13" s="47"/>
      <c r="AC13" s="47"/>
      <c r="AJ13" s="47"/>
      <c r="AK13" s="47"/>
      <c r="AL13" s="47"/>
      <c r="AM13" s="47"/>
      <c r="AN13" s="47"/>
    </row>
    <row r="14" spans="2:50" s="48" customFormat="1" ht="28.5" customHeight="1">
      <c r="B14" s="200"/>
      <c r="C14" s="200"/>
      <c r="D14" s="204"/>
      <c r="E14" s="205"/>
      <c r="F14" s="222"/>
      <c r="G14" s="200"/>
      <c r="H14" s="199"/>
      <c r="I14" s="49" t="s">
        <v>20</v>
      </c>
      <c r="J14" s="49" t="s">
        <v>21</v>
      </c>
      <c r="K14" s="199"/>
      <c r="L14" s="50" t="s">
        <v>107</v>
      </c>
      <c r="M14" s="50" t="s">
        <v>108</v>
      </c>
      <c r="N14" s="50" t="s">
        <v>109</v>
      </c>
      <c r="O14" s="51" t="s">
        <v>110</v>
      </c>
      <c r="P14" s="199"/>
      <c r="Q14" s="199"/>
      <c r="R14" s="199"/>
      <c r="S14" s="199"/>
      <c r="T14" s="204"/>
      <c r="U14" s="199"/>
      <c r="W14" s="47"/>
      <c r="X14" s="47"/>
      <c r="Y14" s="47"/>
      <c r="Z14" s="47"/>
      <c r="AA14" s="47"/>
      <c r="AB14" s="47"/>
      <c r="AC14" s="47"/>
      <c r="AJ14" s="47"/>
      <c r="AK14" s="47"/>
      <c r="AL14" s="47"/>
      <c r="AM14" s="47"/>
      <c r="AN14" s="47"/>
    </row>
    <row r="15" spans="2:50" s="48" customFormat="1" ht="28.5" customHeight="1">
      <c r="B15" s="83">
        <v>1</v>
      </c>
      <c r="C15" s="83" t="s">
        <v>22</v>
      </c>
      <c r="D15" s="94" t="s">
        <v>124</v>
      </c>
      <c r="E15" s="95"/>
      <c r="F15" s="99" t="s">
        <v>125</v>
      </c>
      <c r="G15" s="83" t="s">
        <v>126</v>
      </c>
      <c r="H15" s="85" t="str">
        <f>'PL(2_2)'!E15</f>
        <v>PS 1.1, Ⅱ, 1</v>
      </c>
      <c r="I15" s="81">
        <v>1</v>
      </c>
      <c r="J15" s="81" t="s">
        <v>67</v>
      </c>
      <c r="K15" s="86" t="s">
        <v>112</v>
      </c>
      <c r="L15" s="97">
        <v>410</v>
      </c>
      <c r="M15" s="97">
        <v>150</v>
      </c>
      <c r="N15" s="97">
        <v>83</v>
      </c>
      <c r="O15" s="98">
        <f>L15*M15*N15/1000000</f>
        <v>5.1044999999999998</v>
      </c>
      <c r="P15" s="141">
        <v>2492</v>
      </c>
      <c r="Q15" s="141">
        <v>2772</v>
      </c>
      <c r="R15" s="85" t="s">
        <v>113</v>
      </c>
      <c r="S15" s="85" t="s">
        <v>114</v>
      </c>
      <c r="T15" s="100"/>
      <c r="U15" s="85" t="s">
        <v>26</v>
      </c>
      <c r="W15" s="47"/>
      <c r="X15" s="47"/>
      <c r="Y15" s="47"/>
      <c r="Z15" s="47"/>
      <c r="AA15" s="47"/>
      <c r="AB15" s="47"/>
      <c r="AC15" s="47"/>
      <c r="AJ15" s="47"/>
      <c r="AK15" s="47"/>
      <c r="AL15" s="47"/>
      <c r="AM15" s="47"/>
      <c r="AN15" s="47"/>
    </row>
    <row r="16" spans="2:50" s="48" customFormat="1" ht="28.5" customHeight="1">
      <c r="B16" s="83"/>
      <c r="C16" s="83" t="s">
        <v>22</v>
      </c>
      <c r="D16" s="94" t="s">
        <v>27</v>
      </c>
      <c r="E16" s="95"/>
      <c r="F16" s="99" t="s">
        <v>125</v>
      </c>
      <c r="G16" s="83" t="s">
        <v>126</v>
      </c>
      <c r="H16" s="85" t="s">
        <v>203</v>
      </c>
      <c r="I16" s="81">
        <v>20</v>
      </c>
      <c r="J16" s="159" t="s">
        <v>210</v>
      </c>
      <c r="K16" s="101"/>
      <c r="L16" s="97"/>
      <c r="M16" s="97"/>
      <c r="N16" s="97"/>
      <c r="O16" s="98"/>
      <c r="P16" s="141">
        <v>190</v>
      </c>
      <c r="Q16" s="141"/>
      <c r="R16" s="85"/>
      <c r="S16" s="85"/>
      <c r="T16" s="100" t="s">
        <v>127</v>
      </c>
      <c r="U16" s="85"/>
      <c r="W16" s="47"/>
      <c r="X16" s="47"/>
      <c r="Y16" s="47"/>
      <c r="Z16" s="47"/>
      <c r="AA16" s="47"/>
      <c r="AB16" s="47"/>
      <c r="AC16" s="47"/>
      <c r="AJ16" s="47"/>
      <c r="AK16" s="47"/>
      <c r="AL16" s="47"/>
      <c r="AM16" s="47"/>
      <c r="AN16" s="47"/>
    </row>
    <row r="17" spans="2:40" s="48" customFormat="1" ht="28.5" customHeight="1">
      <c r="B17" s="83"/>
      <c r="C17" s="83" t="s">
        <v>22</v>
      </c>
      <c r="D17" s="94" t="s">
        <v>28</v>
      </c>
      <c r="E17" s="95"/>
      <c r="F17" s="99" t="s">
        <v>125</v>
      </c>
      <c r="G17" s="83" t="s">
        <v>29</v>
      </c>
      <c r="H17" s="85" t="s">
        <v>203</v>
      </c>
      <c r="I17" s="81">
        <v>40</v>
      </c>
      <c r="J17" s="159" t="s">
        <v>210</v>
      </c>
      <c r="K17" s="85"/>
      <c r="L17" s="97"/>
      <c r="M17" s="97"/>
      <c r="N17" s="97"/>
      <c r="O17" s="97"/>
      <c r="P17" s="141">
        <v>916</v>
      </c>
      <c r="Q17" s="141"/>
      <c r="R17" s="85"/>
      <c r="S17" s="85"/>
      <c r="T17" s="100" t="s">
        <v>128</v>
      </c>
      <c r="U17" s="85"/>
      <c r="W17" s="47"/>
      <c r="X17" s="47"/>
      <c r="Y17" s="47"/>
      <c r="Z17" s="47"/>
      <c r="AA17" s="47"/>
      <c r="AB17" s="47"/>
      <c r="AC17" s="47"/>
      <c r="AJ17" s="47"/>
      <c r="AK17" s="47"/>
      <c r="AL17" s="47"/>
      <c r="AM17" s="47"/>
      <c r="AN17" s="47"/>
    </row>
    <row r="18" spans="2:40" s="48" customFormat="1" ht="28.5" customHeight="1">
      <c r="B18" s="83"/>
      <c r="C18" s="83" t="s">
        <v>22</v>
      </c>
      <c r="D18" s="94" t="s">
        <v>129</v>
      </c>
      <c r="E18" s="95"/>
      <c r="F18" s="99" t="s">
        <v>125</v>
      </c>
      <c r="G18" s="83" t="s">
        <v>29</v>
      </c>
      <c r="H18" s="85" t="s">
        <v>203</v>
      </c>
      <c r="I18" s="81">
        <v>8</v>
      </c>
      <c r="J18" s="159" t="s">
        <v>210</v>
      </c>
      <c r="K18" s="85"/>
      <c r="L18" s="97"/>
      <c r="M18" s="97"/>
      <c r="N18" s="97"/>
      <c r="O18" s="97"/>
      <c r="P18" s="141">
        <v>45.6</v>
      </c>
      <c r="Q18" s="141"/>
      <c r="R18" s="85"/>
      <c r="S18" s="85"/>
      <c r="T18" s="100" t="s">
        <v>130</v>
      </c>
      <c r="U18" s="85"/>
      <c r="W18" s="47"/>
      <c r="X18" s="47"/>
      <c r="Y18" s="47"/>
      <c r="Z18" s="47"/>
      <c r="AA18" s="47"/>
      <c r="AB18" s="47"/>
      <c r="AC18" s="47"/>
      <c r="AJ18" s="47"/>
      <c r="AK18" s="47"/>
      <c r="AL18" s="47"/>
      <c r="AM18" s="47"/>
      <c r="AN18" s="47"/>
    </row>
    <row r="19" spans="2:40" s="48" customFormat="1" ht="28.5" customHeight="1">
      <c r="B19" s="83"/>
      <c r="C19" s="83" t="s">
        <v>22</v>
      </c>
      <c r="D19" s="94" t="s">
        <v>31</v>
      </c>
      <c r="E19" s="95"/>
      <c r="F19" s="99" t="s">
        <v>125</v>
      </c>
      <c r="G19" s="83" t="s">
        <v>29</v>
      </c>
      <c r="H19" s="85" t="s">
        <v>203</v>
      </c>
      <c r="I19" s="81">
        <v>6</v>
      </c>
      <c r="J19" s="159" t="s">
        <v>210</v>
      </c>
      <c r="K19" s="85"/>
      <c r="L19" s="97"/>
      <c r="M19" s="97"/>
      <c r="N19" s="97"/>
      <c r="O19" s="97"/>
      <c r="P19" s="141">
        <v>663</v>
      </c>
      <c r="Q19" s="141"/>
      <c r="R19" s="85"/>
      <c r="S19" s="85"/>
      <c r="T19" s="100" t="s">
        <v>131</v>
      </c>
      <c r="U19" s="85"/>
      <c r="W19" s="47"/>
      <c r="X19" s="47"/>
      <c r="Y19" s="47"/>
      <c r="Z19" s="47"/>
      <c r="AA19" s="47"/>
      <c r="AB19" s="47"/>
      <c r="AC19" s="47"/>
      <c r="AJ19" s="47"/>
      <c r="AK19" s="47"/>
      <c r="AL19" s="47"/>
      <c r="AM19" s="47"/>
      <c r="AN19" s="47"/>
    </row>
    <row r="20" spans="2:40" s="48" customFormat="1" ht="28.5" customHeight="1">
      <c r="B20" s="83"/>
      <c r="C20" s="83" t="s">
        <v>22</v>
      </c>
      <c r="D20" s="94" t="s">
        <v>32</v>
      </c>
      <c r="E20" s="95"/>
      <c r="F20" s="99" t="s">
        <v>125</v>
      </c>
      <c r="G20" s="83" t="s">
        <v>29</v>
      </c>
      <c r="H20" s="85" t="s">
        <v>203</v>
      </c>
      <c r="I20" s="81">
        <v>6</v>
      </c>
      <c r="J20" s="159" t="s">
        <v>210</v>
      </c>
      <c r="K20" s="85"/>
      <c r="L20" s="97"/>
      <c r="M20" s="97"/>
      <c r="N20" s="97"/>
      <c r="O20" s="97"/>
      <c r="P20" s="141">
        <v>7.2</v>
      </c>
      <c r="Q20" s="141"/>
      <c r="R20" s="85"/>
      <c r="S20" s="85"/>
      <c r="T20" s="100" t="s">
        <v>132</v>
      </c>
      <c r="U20" s="85"/>
      <c r="W20" s="47"/>
      <c r="X20" s="47"/>
      <c r="Y20" s="47"/>
      <c r="Z20" s="47"/>
      <c r="AA20" s="47"/>
      <c r="AB20" s="47"/>
      <c r="AC20" s="47"/>
      <c r="AJ20" s="47"/>
      <c r="AK20" s="47"/>
      <c r="AL20" s="47"/>
      <c r="AM20" s="47"/>
      <c r="AN20" s="47"/>
    </row>
    <row r="21" spans="2:40" s="48" customFormat="1" ht="28.5" customHeight="1">
      <c r="B21" s="83"/>
      <c r="C21" s="83" t="s">
        <v>22</v>
      </c>
      <c r="D21" s="94" t="s">
        <v>133</v>
      </c>
      <c r="E21" s="95"/>
      <c r="F21" s="99" t="s">
        <v>125</v>
      </c>
      <c r="G21" s="83" t="s">
        <v>29</v>
      </c>
      <c r="H21" s="85" t="s">
        <v>203</v>
      </c>
      <c r="I21" s="81">
        <v>6</v>
      </c>
      <c r="J21" s="159" t="s">
        <v>210</v>
      </c>
      <c r="K21" s="85"/>
      <c r="L21" s="97"/>
      <c r="M21" s="97"/>
      <c r="N21" s="97"/>
      <c r="O21" s="97"/>
      <c r="P21" s="141">
        <v>663</v>
      </c>
      <c r="Q21" s="141"/>
      <c r="R21" s="85"/>
      <c r="S21" s="85"/>
      <c r="T21" s="100" t="s">
        <v>134</v>
      </c>
      <c r="U21" s="85"/>
      <c r="W21" s="47"/>
      <c r="X21" s="47"/>
      <c r="Y21" s="47"/>
      <c r="Z21" s="47"/>
      <c r="AA21" s="47"/>
      <c r="AB21" s="47"/>
      <c r="AC21" s="47"/>
      <c r="AJ21" s="47"/>
      <c r="AK21" s="47"/>
      <c r="AL21" s="47"/>
      <c r="AM21" s="47"/>
      <c r="AN21" s="47"/>
    </row>
    <row r="22" spans="2:40" s="48" customFormat="1" ht="28.5" customHeight="1">
      <c r="B22" s="83"/>
      <c r="C22" s="83" t="s">
        <v>22</v>
      </c>
      <c r="D22" s="94" t="s">
        <v>135</v>
      </c>
      <c r="E22" s="95"/>
      <c r="F22" s="99" t="s">
        <v>125</v>
      </c>
      <c r="G22" s="83" t="s">
        <v>29</v>
      </c>
      <c r="H22" s="85" t="s">
        <v>203</v>
      </c>
      <c r="I22" s="81">
        <v>6</v>
      </c>
      <c r="J22" s="159" t="s">
        <v>210</v>
      </c>
      <c r="K22" s="85"/>
      <c r="L22" s="97"/>
      <c r="M22" s="97"/>
      <c r="N22" s="97"/>
      <c r="O22" s="97"/>
      <c r="P22" s="141">
        <v>7.2</v>
      </c>
      <c r="Q22" s="141"/>
      <c r="R22" s="85"/>
      <c r="S22" s="85"/>
      <c r="T22" s="100" t="s">
        <v>136</v>
      </c>
      <c r="U22" s="85"/>
      <c r="W22" s="47"/>
      <c r="X22" s="47"/>
      <c r="Y22" s="47"/>
      <c r="Z22" s="47"/>
      <c r="AA22" s="47"/>
      <c r="AB22" s="47"/>
      <c r="AC22" s="47"/>
      <c r="AJ22" s="47"/>
      <c r="AK22" s="47"/>
      <c r="AL22" s="47"/>
      <c r="AM22" s="47"/>
      <c r="AN22" s="47"/>
    </row>
    <row r="23" spans="2:40" s="48" customFormat="1" ht="28.5" customHeight="1">
      <c r="B23" s="83">
        <v>2</v>
      </c>
      <c r="C23" s="83" t="s">
        <v>35</v>
      </c>
      <c r="D23" s="94" t="s">
        <v>36</v>
      </c>
      <c r="E23" s="95"/>
      <c r="F23" s="99" t="s">
        <v>125</v>
      </c>
      <c r="G23" s="83" t="s">
        <v>126</v>
      </c>
      <c r="H23" s="85" t="s">
        <v>203</v>
      </c>
      <c r="I23" s="81">
        <v>1</v>
      </c>
      <c r="J23" s="81" t="s">
        <v>67</v>
      </c>
      <c r="K23" s="86" t="s">
        <v>112</v>
      </c>
      <c r="L23" s="97">
        <v>170</v>
      </c>
      <c r="M23" s="97">
        <v>115</v>
      </c>
      <c r="N23" s="97">
        <v>85</v>
      </c>
      <c r="O23" s="98">
        <f>L23*M23*N23/1000000</f>
        <v>1.6617500000000001</v>
      </c>
      <c r="P23" s="141">
        <v>1568</v>
      </c>
      <c r="Q23" s="141">
        <v>1668</v>
      </c>
      <c r="R23" s="85" t="s">
        <v>113</v>
      </c>
      <c r="S23" s="85" t="s">
        <v>114</v>
      </c>
      <c r="T23" s="100"/>
      <c r="U23" s="85" t="s">
        <v>115</v>
      </c>
      <c r="W23" s="47"/>
      <c r="X23" s="47"/>
      <c r="Y23" s="47"/>
      <c r="Z23" s="47"/>
      <c r="AA23" s="47"/>
      <c r="AB23" s="47"/>
      <c r="AC23" s="47"/>
      <c r="AJ23" s="47"/>
      <c r="AK23" s="47"/>
      <c r="AL23" s="47"/>
      <c r="AM23" s="47"/>
      <c r="AN23" s="47"/>
    </row>
    <row r="24" spans="2:40" s="48" customFormat="1" ht="28.5" customHeight="1">
      <c r="B24" s="83"/>
      <c r="C24" s="83" t="s">
        <v>35</v>
      </c>
      <c r="D24" s="161" t="s">
        <v>216</v>
      </c>
      <c r="E24" s="168"/>
      <c r="F24" s="99" t="s">
        <v>125</v>
      </c>
      <c r="G24" s="83" t="s">
        <v>29</v>
      </c>
      <c r="H24" s="165" t="s">
        <v>203</v>
      </c>
      <c r="I24" s="182">
        <v>40</v>
      </c>
      <c r="J24" s="182" t="s">
        <v>45</v>
      </c>
      <c r="K24" s="165"/>
      <c r="L24" s="97"/>
      <c r="M24" s="97"/>
      <c r="N24" s="97"/>
      <c r="O24" s="97"/>
      <c r="P24" s="141">
        <v>1068</v>
      </c>
      <c r="Q24" s="141"/>
      <c r="R24" s="165"/>
      <c r="S24" s="165"/>
      <c r="T24" s="100" t="s">
        <v>137</v>
      </c>
      <c r="U24" s="165"/>
      <c r="W24" s="47"/>
      <c r="X24" s="47"/>
      <c r="Y24" s="47"/>
      <c r="Z24" s="47"/>
      <c r="AA24" s="47"/>
      <c r="AB24" s="47"/>
      <c r="AC24" s="47"/>
      <c r="AJ24" s="47"/>
      <c r="AK24" s="47"/>
      <c r="AL24" s="47"/>
      <c r="AM24" s="47"/>
      <c r="AN24" s="47"/>
    </row>
    <row r="25" spans="2:40" s="48" customFormat="1" ht="28.5" customHeight="1">
      <c r="B25" s="83"/>
      <c r="C25" s="147" t="s">
        <v>35</v>
      </c>
      <c r="D25" s="161" t="s">
        <v>62</v>
      </c>
      <c r="E25" s="168"/>
      <c r="F25" s="99" t="s">
        <v>125</v>
      </c>
      <c r="G25" s="83" t="s">
        <v>29</v>
      </c>
      <c r="H25" s="165" t="s">
        <v>203</v>
      </c>
      <c r="I25" s="182">
        <v>160</v>
      </c>
      <c r="J25" s="182" t="s">
        <v>45</v>
      </c>
      <c r="K25" s="165"/>
      <c r="L25" s="97"/>
      <c r="M25" s="97"/>
      <c r="N25" s="97"/>
      <c r="O25" s="97"/>
      <c r="P25" s="141">
        <v>280</v>
      </c>
      <c r="Q25" s="141"/>
      <c r="R25" s="165"/>
      <c r="S25" s="165"/>
      <c r="T25" s="100" t="s">
        <v>137</v>
      </c>
      <c r="U25" s="165"/>
      <c r="W25" s="47"/>
      <c r="X25" s="47"/>
      <c r="Y25" s="47"/>
      <c r="Z25" s="47"/>
      <c r="AA25" s="47"/>
      <c r="AB25" s="47"/>
      <c r="AC25" s="47"/>
      <c r="AJ25" s="47"/>
      <c r="AK25" s="47"/>
      <c r="AL25" s="47"/>
      <c r="AM25" s="47"/>
      <c r="AN25" s="47"/>
    </row>
    <row r="26" spans="2:40" s="48" customFormat="1" ht="28.5" customHeight="1">
      <c r="B26" s="83"/>
      <c r="C26" s="83" t="s">
        <v>35</v>
      </c>
      <c r="D26" s="161" t="s">
        <v>216</v>
      </c>
      <c r="E26" s="168"/>
      <c r="F26" s="150" t="s">
        <v>125</v>
      </c>
      <c r="G26" s="147" t="s">
        <v>29</v>
      </c>
      <c r="H26" s="151" t="s">
        <v>203</v>
      </c>
      <c r="I26" s="152">
        <v>16</v>
      </c>
      <c r="J26" s="152" t="s">
        <v>45</v>
      </c>
      <c r="K26" s="151"/>
      <c r="L26" s="153"/>
      <c r="M26" s="153"/>
      <c r="N26" s="153"/>
      <c r="O26" s="97"/>
      <c r="P26" s="141">
        <v>181.6</v>
      </c>
      <c r="Q26" s="141"/>
      <c r="R26" s="165"/>
      <c r="S26" s="165"/>
      <c r="T26" s="100" t="s">
        <v>138</v>
      </c>
      <c r="U26" s="85"/>
      <c r="W26" s="47"/>
      <c r="X26" s="47"/>
      <c r="Y26" s="47"/>
      <c r="Z26" s="47"/>
      <c r="AA26" s="47"/>
      <c r="AB26" s="47"/>
      <c r="AC26" s="47"/>
      <c r="AJ26" s="47"/>
      <c r="AK26" s="47"/>
      <c r="AL26" s="47"/>
      <c r="AM26" s="47"/>
      <c r="AN26" s="47"/>
    </row>
    <row r="27" spans="2:40" s="48" customFormat="1" ht="28.5" customHeight="1">
      <c r="B27" s="83"/>
      <c r="C27" s="147" t="s">
        <v>35</v>
      </c>
      <c r="D27" s="161" t="s">
        <v>64</v>
      </c>
      <c r="E27" s="95"/>
      <c r="F27" s="150" t="s">
        <v>125</v>
      </c>
      <c r="G27" s="147" t="s">
        <v>29</v>
      </c>
      <c r="H27" s="151" t="s">
        <v>203</v>
      </c>
      <c r="I27" s="152">
        <v>64</v>
      </c>
      <c r="J27" s="152" t="s">
        <v>45</v>
      </c>
      <c r="K27" s="151"/>
      <c r="L27" s="153"/>
      <c r="M27" s="153"/>
      <c r="N27" s="153"/>
      <c r="O27" s="97"/>
      <c r="P27" s="141">
        <v>38.4</v>
      </c>
      <c r="Q27" s="141"/>
      <c r="R27" s="85"/>
      <c r="S27" s="85"/>
      <c r="T27" s="100" t="s">
        <v>138</v>
      </c>
      <c r="U27" s="85"/>
      <c r="W27" s="47"/>
      <c r="X27" s="47"/>
      <c r="Y27" s="47"/>
      <c r="Z27" s="47"/>
      <c r="AA27" s="47"/>
      <c r="AB27" s="47"/>
      <c r="AC27" s="47"/>
      <c r="AJ27" s="47"/>
      <c r="AK27" s="47"/>
      <c r="AL27" s="47"/>
      <c r="AM27" s="47"/>
      <c r="AN27" s="47"/>
    </row>
    <row r="28" spans="2:40" s="48" customFormat="1" ht="28.5" customHeight="1">
      <c r="B28" s="83">
        <v>3</v>
      </c>
      <c r="C28" s="147" t="s">
        <v>38</v>
      </c>
      <c r="D28" s="148" t="s">
        <v>36</v>
      </c>
      <c r="E28" s="149"/>
      <c r="F28" s="150" t="s">
        <v>125</v>
      </c>
      <c r="G28" s="147" t="s">
        <v>29</v>
      </c>
      <c r="H28" s="165" t="s">
        <v>203</v>
      </c>
      <c r="I28" s="164">
        <v>1</v>
      </c>
      <c r="J28" s="164" t="s">
        <v>67</v>
      </c>
      <c r="K28" s="166" t="s">
        <v>112</v>
      </c>
      <c r="L28" s="97">
        <v>175</v>
      </c>
      <c r="M28" s="97">
        <v>115</v>
      </c>
      <c r="N28" s="97">
        <v>105</v>
      </c>
      <c r="O28" s="169">
        <f t="shared" ref="O28:O40" si="1">L28*M28*N28/1000000</f>
        <v>2.1131250000000001</v>
      </c>
      <c r="P28" s="141">
        <v>2120</v>
      </c>
      <c r="Q28" s="141">
        <v>2240</v>
      </c>
      <c r="R28" s="165" t="s">
        <v>113</v>
      </c>
      <c r="S28" s="85" t="s">
        <v>114</v>
      </c>
      <c r="T28" s="100"/>
      <c r="U28" s="85" t="s">
        <v>115</v>
      </c>
      <c r="W28" s="47"/>
      <c r="X28" s="47"/>
      <c r="Y28" s="47"/>
      <c r="Z28" s="47"/>
      <c r="AA28" s="47"/>
      <c r="AB28" s="47"/>
      <c r="AC28" s="47"/>
      <c r="AJ28" s="47"/>
      <c r="AK28" s="47"/>
      <c r="AL28" s="47"/>
      <c r="AM28" s="47"/>
      <c r="AN28" s="47"/>
    </row>
    <row r="29" spans="2:40" s="48" customFormat="1" ht="28.5" customHeight="1">
      <c r="B29" s="83"/>
      <c r="C29" s="147" t="s">
        <v>38</v>
      </c>
      <c r="D29" s="161" t="s">
        <v>215</v>
      </c>
      <c r="E29" s="168"/>
      <c r="F29" s="150" t="s">
        <v>125</v>
      </c>
      <c r="G29" s="147" t="s">
        <v>29</v>
      </c>
      <c r="H29" s="165" t="s">
        <v>203</v>
      </c>
      <c r="I29" s="182">
        <v>53</v>
      </c>
      <c r="J29" s="182" t="s">
        <v>45</v>
      </c>
      <c r="K29" s="166"/>
      <c r="L29" s="97"/>
      <c r="M29" s="97"/>
      <c r="N29" s="97"/>
      <c r="O29" s="169"/>
      <c r="P29" s="141">
        <v>1707.78</v>
      </c>
      <c r="Q29" s="141"/>
      <c r="R29" s="165"/>
      <c r="S29" s="165"/>
      <c r="T29" s="100" t="s">
        <v>139</v>
      </c>
      <c r="U29" s="165"/>
      <c r="W29" s="47"/>
      <c r="X29" s="47"/>
      <c r="Y29" s="47"/>
      <c r="Z29" s="47"/>
      <c r="AA29" s="47"/>
      <c r="AB29" s="47"/>
      <c r="AC29" s="47"/>
      <c r="AJ29" s="47"/>
      <c r="AK29" s="47"/>
      <c r="AL29" s="47"/>
      <c r="AM29" s="47"/>
      <c r="AN29" s="47"/>
    </row>
    <row r="30" spans="2:40" s="48" customFormat="1" ht="28.5" customHeight="1">
      <c r="B30" s="83"/>
      <c r="C30" s="147" t="s">
        <v>38</v>
      </c>
      <c r="D30" s="161" t="s">
        <v>161</v>
      </c>
      <c r="E30" s="95"/>
      <c r="F30" s="150" t="s">
        <v>125</v>
      </c>
      <c r="G30" s="147" t="s">
        <v>29</v>
      </c>
      <c r="H30" s="165" t="s">
        <v>203</v>
      </c>
      <c r="I30" s="182">
        <v>212</v>
      </c>
      <c r="J30" s="182" t="s">
        <v>45</v>
      </c>
      <c r="K30" s="166"/>
      <c r="L30" s="97"/>
      <c r="M30" s="97"/>
      <c r="N30" s="97"/>
      <c r="O30" s="169"/>
      <c r="P30" s="141">
        <v>412.22</v>
      </c>
      <c r="Q30" s="141"/>
      <c r="R30" s="165"/>
      <c r="S30" s="85"/>
      <c r="T30" s="100" t="s">
        <v>139</v>
      </c>
      <c r="U30" s="85"/>
      <c r="W30" s="47"/>
      <c r="X30" s="47"/>
      <c r="Y30" s="47"/>
      <c r="Z30" s="47"/>
      <c r="AA30" s="47"/>
      <c r="AB30" s="47"/>
      <c r="AC30" s="47"/>
      <c r="AJ30" s="47"/>
      <c r="AK30" s="47"/>
      <c r="AL30" s="47"/>
      <c r="AM30" s="47"/>
      <c r="AN30" s="47"/>
    </row>
    <row r="31" spans="2:40" s="48" customFormat="1" ht="28.5" customHeight="1">
      <c r="B31" s="83">
        <v>4</v>
      </c>
      <c r="C31" s="147" t="s">
        <v>39</v>
      </c>
      <c r="D31" s="148" t="s">
        <v>36</v>
      </c>
      <c r="E31" s="95"/>
      <c r="F31" s="150" t="s">
        <v>125</v>
      </c>
      <c r="G31" s="147" t="s">
        <v>29</v>
      </c>
      <c r="H31" s="165" t="s">
        <v>203</v>
      </c>
      <c r="I31" s="164">
        <v>1</v>
      </c>
      <c r="J31" s="164" t="s">
        <v>67</v>
      </c>
      <c r="K31" s="166" t="s">
        <v>112</v>
      </c>
      <c r="L31" s="97">
        <v>175</v>
      </c>
      <c r="M31" s="97">
        <v>115</v>
      </c>
      <c r="N31" s="97">
        <v>105</v>
      </c>
      <c r="O31" s="169">
        <f t="shared" si="1"/>
        <v>2.1131250000000001</v>
      </c>
      <c r="P31" s="141">
        <v>2120</v>
      </c>
      <c r="Q31" s="141">
        <v>2240</v>
      </c>
      <c r="R31" s="165" t="s">
        <v>113</v>
      </c>
      <c r="S31" s="85" t="s">
        <v>114</v>
      </c>
      <c r="T31" s="100"/>
      <c r="U31" s="85" t="s">
        <v>115</v>
      </c>
      <c r="W31" s="47"/>
      <c r="X31" s="47"/>
      <c r="Y31" s="47"/>
      <c r="Z31" s="47"/>
      <c r="AA31" s="47"/>
      <c r="AB31" s="47"/>
      <c r="AC31" s="47"/>
      <c r="AJ31" s="47"/>
      <c r="AK31" s="47"/>
      <c r="AL31" s="47"/>
      <c r="AM31" s="47"/>
      <c r="AN31" s="47"/>
    </row>
    <row r="32" spans="2:40" s="48" customFormat="1" ht="28.5" customHeight="1">
      <c r="B32" s="83"/>
      <c r="C32" s="147" t="s">
        <v>39</v>
      </c>
      <c r="D32" s="161" t="s">
        <v>215</v>
      </c>
      <c r="E32" s="168"/>
      <c r="F32" s="150" t="s">
        <v>125</v>
      </c>
      <c r="G32" s="147" t="s">
        <v>29</v>
      </c>
      <c r="H32" s="165" t="s">
        <v>203</v>
      </c>
      <c r="I32" s="182">
        <v>53</v>
      </c>
      <c r="J32" s="182" t="s">
        <v>45</v>
      </c>
      <c r="K32" s="166"/>
      <c r="L32" s="97"/>
      <c r="M32" s="97"/>
      <c r="N32" s="97"/>
      <c r="O32" s="169"/>
      <c r="P32" s="141">
        <v>1707.78</v>
      </c>
      <c r="Q32" s="141"/>
      <c r="R32" s="165"/>
      <c r="S32" s="165"/>
      <c r="T32" s="100" t="s">
        <v>139</v>
      </c>
      <c r="U32" s="165"/>
      <c r="W32" s="47"/>
      <c r="X32" s="47"/>
      <c r="Y32" s="47"/>
      <c r="Z32" s="47"/>
      <c r="AA32" s="47"/>
      <c r="AB32" s="47"/>
      <c r="AC32" s="47"/>
      <c r="AJ32" s="47"/>
      <c r="AK32" s="47"/>
      <c r="AL32" s="47"/>
      <c r="AM32" s="47"/>
      <c r="AN32" s="47"/>
    </row>
    <row r="33" spans="1:40" s="48" customFormat="1" ht="28.5" customHeight="1">
      <c r="B33" s="83"/>
      <c r="C33" s="147" t="s">
        <v>39</v>
      </c>
      <c r="D33" s="161" t="s">
        <v>161</v>
      </c>
      <c r="E33" s="95"/>
      <c r="F33" s="150" t="s">
        <v>125</v>
      </c>
      <c r="G33" s="147" t="s">
        <v>29</v>
      </c>
      <c r="H33" s="165" t="s">
        <v>203</v>
      </c>
      <c r="I33" s="164">
        <v>212</v>
      </c>
      <c r="J33" s="164" t="s">
        <v>45</v>
      </c>
      <c r="K33" s="166"/>
      <c r="L33" s="97"/>
      <c r="M33" s="97"/>
      <c r="N33" s="97"/>
      <c r="O33" s="169"/>
      <c r="P33" s="141">
        <v>412.22</v>
      </c>
      <c r="Q33" s="141"/>
      <c r="R33" s="165"/>
      <c r="S33" s="85"/>
      <c r="T33" s="100" t="s">
        <v>139</v>
      </c>
      <c r="U33" s="85"/>
      <c r="W33" s="47"/>
      <c r="X33" s="47"/>
      <c r="Y33" s="47"/>
      <c r="Z33" s="47"/>
      <c r="AA33" s="47"/>
      <c r="AB33" s="47"/>
      <c r="AC33" s="47"/>
      <c r="AJ33" s="47"/>
      <c r="AK33" s="47"/>
      <c r="AL33" s="47"/>
      <c r="AM33" s="47"/>
      <c r="AN33" s="47"/>
    </row>
    <row r="34" spans="1:40" s="48" customFormat="1" ht="28.5" customHeight="1">
      <c r="A34" s="48" t="s">
        <v>140</v>
      </c>
      <c r="B34" s="83">
        <v>5</v>
      </c>
      <c r="C34" s="147" t="s">
        <v>41</v>
      </c>
      <c r="D34" s="148" t="s">
        <v>36</v>
      </c>
      <c r="E34" s="95"/>
      <c r="F34" s="150" t="s">
        <v>125</v>
      </c>
      <c r="G34" s="147" t="s">
        <v>29</v>
      </c>
      <c r="H34" s="165" t="s">
        <v>203</v>
      </c>
      <c r="I34" s="164">
        <v>1</v>
      </c>
      <c r="J34" s="164" t="s">
        <v>67</v>
      </c>
      <c r="K34" s="166" t="s">
        <v>112</v>
      </c>
      <c r="L34" s="97">
        <v>175</v>
      </c>
      <c r="M34" s="97">
        <v>115</v>
      </c>
      <c r="N34" s="97">
        <v>105</v>
      </c>
      <c r="O34" s="169">
        <f t="shared" si="1"/>
        <v>2.1131250000000001</v>
      </c>
      <c r="P34" s="141">
        <v>2160</v>
      </c>
      <c r="Q34" s="141">
        <v>2280</v>
      </c>
      <c r="R34" s="165" t="s">
        <v>113</v>
      </c>
      <c r="S34" s="85" t="s">
        <v>114</v>
      </c>
      <c r="T34" s="100"/>
      <c r="U34" s="85" t="s">
        <v>115</v>
      </c>
      <c r="W34" s="47"/>
      <c r="X34" s="47"/>
      <c r="Y34" s="47"/>
      <c r="Z34" s="47"/>
      <c r="AA34" s="47"/>
      <c r="AB34" s="47"/>
      <c r="AC34" s="47"/>
      <c r="AJ34" s="47"/>
      <c r="AK34" s="47"/>
      <c r="AL34" s="47"/>
      <c r="AM34" s="47"/>
      <c r="AN34" s="47"/>
    </row>
    <row r="35" spans="1:40" s="48" customFormat="1" ht="28.5" customHeight="1">
      <c r="B35" s="83"/>
      <c r="C35" s="147" t="s">
        <v>41</v>
      </c>
      <c r="D35" s="161" t="s">
        <v>215</v>
      </c>
      <c r="E35" s="168"/>
      <c r="F35" s="150" t="s">
        <v>125</v>
      </c>
      <c r="G35" s="147" t="s">
        <v>29</v>
      </c>
      <c r="H35" s="165" t="s">
        <v>203</v>
      </c>
      <c r="I35" s="182">
        <v>54</v>
      </c>
      <c r="J35" s="182" t="s">
        <v>45</v>
      </c>
      <c r="K35" s="166"/>
      <c r="L35" s="97"/>
      <c r="M35" s="97"/>
      <c r="N35" s="97"/>
      <c r="O35" s="169"/>
      <c r="P35" s="141">
        <v>1944</v>
      </c>
      <c r="Q35" s="141"/>
      <c r="R35" s="165"/>
      <c r="S35" s="165"/>
      <c r="T35" s="100" t="s">
        <v>139</v>
      </c>
      <c r="U35" s="165"/>
      <c r="W35" s="47"/>
      <c r="X35" s="47"/>
      <c r="Y35" s="47"/>
      <c r="Z35" s="47"/>
      <c r="AA35" s="47"/>
      <c r="AB35" s="47"/>
      <c r="AC35" s="47"/>
      <c r="AJ35" s="47"/>
      <c r="AK35" s="47"/>
      <c r="AL35" s="47"/>
      <c r="AM35" s="47"/>
      <c r="AN35" s="47"/>
    </row>
    <row r="36" spans="1:40" s="48" customFormat="1" ht="28.5" customHeight="1">
      <c r="B36" s="83"/>
      <c r="C36" s="147" t="s">
        <v>41</v>
      </c>
      <c r="D36" s="161" t="s">
        <v>161</v>
      </c>
      <c r="E36" s="95"/>
      <c r="F36" s="150" t="s">
        <v>125</v>
      </c>
      <c r="G36" s="147" t="s">
        <v>29</v>
      </c>
      <c r="H36" s="165" t="s">
        <v>203</v>
      </c>
      <c r="I36" s="164">
        <v>216</v>
      </c>
      <c r="J36" s="164" t="s">
        <v>45</v>
      </c>
      <c r="K36" s="166"/>
      <c r="L36" s="97"/>
      <c r="M36" s="97"/>
      <c r="N36" s="97"/>
      <c r="O36" s="169"/>
      <c r="P36" s="141">
        <v>216</v>
      </c>
      <c r="Q36" s="141"/>
      <c r="R36" s="165"/>
      <c r="S36" s="85"/>
      <c r="T36" s="100" t="s">
        <v>139</v>
      </c>
      <c r="U36" s="85"/>
      <c r="W36" s="47"/>
      <c r="X36" s="47"/>
      <c r="Y36" s="47"/>
      <c r="Z36" s="47"/>
      <c r="AA36" s="47"/>
      <c r="AB36" s="47"/>
      <c r="AC36" s="47"/>
      <c r="AJ36" s="47"/>
      <c r="AK36" s="47"/>
      <c r="AL36" s="47"/>
      <c r="AM36" s="47"/>
      <c r="AN36" s="47"/>
    </row>
    <row r="37" spans="1:40" s="48" customFormat="1" ht="28.5" customHeight="1">
      <c r="B37" s="83">
        <v>6</v>
      </c>
      <c r="C37" s="147" t="s">
        <v>42</v>
      </c>
      <c r="D37" s="148" t="s">
        <v>36</v>
      </c>
      <c r="E37" s="95"/>
      <c r="F37" s="150" t="s">
        <v>125</v>
      </c>
      <c r="G37" s="147" t="s">
        <v>29</v>
      </c>
      <c r="H37" s="165" t="s">
        <v>203</v>
      </c>
      <c r="I37" s="164">
        <v>1</v>
      </c>
      <c r="J37" s="164" t="s">
        <v>67</v>
      </c>
      <c r="K37" s="166" t="s">
        <v>112</v>
      </c>
      <c r="L37" s="97">
        <v>215</v>
      </c>
      <c r="M37" s="97">
        <v>115</v>
      </c>
      <c r="N37" s="97">
        <v>85</v>
      </c>
      <c r="O37" s="169">
        <f t="shared" si="1"/>
        <v>2.1016249999999999</v>
      </c>
      <c r="P37" s="141">
        <v>2376</v>
      </c>
      <c r="Q37" s="141">
        <v>2516</v>
      </c>
      <c r="R37" s="165" t="s">
        <v>113</v>
      </c>
      <c r="S37" s="85" t="s">
        <v>114</v>
      </c>
      <c r="T37" s="100"/>
      <c r="U37" s="85" t="s">
        <v>115</v>
      </c>
      <c r="W37" s="47"/>
      <c r="X37" s="47"/>
      <c r="Y37" s="47"/>
      <c r="Z37" s="47"/>
      <c r="AA37" s="47"/>
      <c r="AB37" s="47"/>
      <c r="AC37" s="47"/>
      <c r="AJ37" s="47"/>
      <c r="AK37" s="47"/>
      <c r="AL37" s="47"/>
      <c r="AM37" s="47"/>
      <c r="AN37" s="47"/>
    </row>
    <row r="38" spans="1:40" s="48" customFormat="1" ht="28.5" customHeight="1">
      <c r="B38" s="83"/>
      <c r="C38" s="147" t="s">
        <v>42</v>
      </c>
      <c r="D38" s="161" t="s">
        <v>215</v>
      </c>
      <c r="E38" s="168"/>
      <c r="F38" s="150" t="s">
        <v>125</v>
      </c>
      <c r="G38" s="147" t="s">
        <v>29</v>
      </c>
      <c r="H38" s="165" t="s">
        <v>203</v>
      </c>
      <c r="I38" s="182">
        <v>72</v>
      </c>
      <c r="J38" s="182" t="s">
        <v>214</v>
      </c>
      <c r="K38" s="166"/>
      <c r="L38" s="97"/>
      <c r="M38" s="97"/>
      <c r="N38" s="97"/>
      <c r="O38" s="169"/>
      <c r="P38" s="141">
        <v>2046.8571428571429</v>
      </c>
      <c r="Q38" s="141"/>
      <c r="R38" s="165"/>
      <c r="S38" s="165"/>
      <c r="T38" s="100" t="s">
        <v>141</v>
      </c>
      <c r="U38" s="165"/>
      <c r="W38" s="47"/>
      <c r="X38" s="47"/>
      <c r="Y38" s="47"/>
      <c r="Z38" s="47"/>
      <c r="AA38" s="47"/>
      <c r="AB38" s="47"/>
      <c r="AC38" s="47"/>
      <c r="AJ38" s="47"/>
      <c r="AK38" s="47"/>
      <c r="AL38" s="47"/>
      <c r="AM38" s="47"/>
      <c r="AN38" s="47"/>
    </row>
    <row r="39" spans="1:40" s="48" customFormat="1" ht="28.5" customHeight="1">
      <c r="B39" s="83"/>
      <c r="C39" s="147" t="s">
        <v>42</v>
      </c>
      <c r="D39" s="161" t="s">
        <v>163</v>
      </c>
      <c r="E39" s="95"/>
      <c r="F39" s="150" t="s">
        <v>125</v>
      </c>
      <c r="G39" s="147" t="s">
        <v>29</v>
      </c>
      <c r="H39" s="165" t="s">
        <v>203</v>
      </c>
      <c r="I39" s="182">
        <v>288</v>
      </c>
      <c r="J39" s="182" t="s">
        <v>214</v>
      </c>
      <c r="K39" s="166"/>
      <c r="L39" s="97"/>
      <c r="M39" s="97"/>
      <c r="N39" s="97"/>
      <c r="O39" s="169"/>
      <c r="P39" s="141">
        <v>329.14285714285711</v>
      </c>
      <c r="Q39" s="141"/>
      <c r="R39" s="165"/>
      <c r="S39" s="85"/>
      <c r="T39" s="100" t="s">
        <v>141</v>
      </c>
      <c r="U39" s="85"/>
      <c r="W39" s="47"/>
      <c r="X39" s="47"/>
      <c r="Y39" s="47"/>
      <c r="Z39" s="47"/>
      <c r="AA39" s="47"/>
      <c r="AB39" s="47"/>
      <c r="AC39" s="47"/>
      <c r="AJ39" s="47"/>
      <c r="AK39" s="47"/>
      <c r="AL39" s="47"/>
      <c r="AM39" s="47"/>
      <c r="AN39" s="47"/>
    </row>
    <row r="40" spans="1:40" s="48" customFormat="1" ht="28.5" customHeight="1">
      <c r="B40" s="83">
        <v>7</v>
      </c>
      <c r="C40" s="83" t="s">
        <v>43</v>
      </c>
      <c r="D40" s="94" t="s">
        <v>36</v>
      </c>
      <c r="E40" s="95"/>
      <c r="F40" s="99" t="s">
        <v>125</v>
      </c>
      <c r="G40" s="83" t="s">
        <v>29</v>
      </c>
      <c r="H40" s="85" t="s">
        <v>203</v>
      </c>
      <c r="I40" s="81">
        <v>1</v>
      </c>
      <c r="J40" s="81" t="s">
        <v>67</v>
      </c>
      <c r="K40" s="86" t="s">
        <v>112</v>
      </c>
      <c r="L40" s="97">
        <v>115</v>
      </c>
      <c r="M40" s="97">
        <v>115</v>
      </c>
      <c r="N40" s="97">
        <v>80</v>
      </c>
      <c r="O40" s="98">
        <f t="shared" si="1"/>
        <v>1.0580000000000001</v>
      </c>
      <c r="P40" s="141">
        <v>1567</v>
      </c>
      <c r="Q40" s="141">
        <v>1627</v>
      </c>
      <c r="R40" s="85" t="s">
        <v>113</v>
      </c>
      <c r="S40" s="85" t="s">
        <v>114</v>
      </c>
      <c r="T40" s="100"/>
      <c r="U40" s="85" t="s">
        <v>115</v>
      </c>
      <c r="W40" s="47"/>
      <c r="X40" s="47"/>
      <c r="Y40" s="47"/>
      <c r="Z40" s="47"/>
      <c r="AA40" s="47"/>
      <c r="AB40" s="47"/>
      <c r="AC40" s="47"/>
      <c r="AJ40" s="47"/>
      <c r="AK40" s="47"/>
      <c r="AL40" s="47"/>
      <c r="AM40" s="47"/>
      <c r="AN40" s="47"/>
    </row>
    <row r="41" spans="1:40" s="48" customFormat="1" ht="28.5" customHeight="1">
      <c r="B41" s="83"/>
      <c r="C41" s="83" t="s">
        <v>43</v>
      </c>
      <c r="D41" s="94" t="s">
        <v>142</v>
      </c>
      <c r="E41" s="95"/>
      <c r="F41" s="99" t="s">
        <v>125</v>
      </c>
      <c r="G41" s="83" t="s">
        <v>29</v>
      </c>
      <c r="H41" s="85" t="s">
        <v>203</v>
      </c>
      <c r="I41" s="81">
        <v>40</v>
      </c>
      <c r="J41" s="81" t="s">
        <v>45</v>
      </c>
      <c r="K41" s="101"/>
      <c r="L41" s="97"/>
      <c r="M41" s="97"/>
      <c r="N41" s="97"/>
      <c r="O41" s="98"/>
      <c r="P41" s="141">
        <v>132</v>
      </c>
      <c r="Q41" s="141"/>
      <c r="R41" s="85"/>
      <c r="S41" s="85"/>
      <c r="T41" s="100" t="s">
        <v>137</v>
      </c>
      <c r="U41" s="85"/>
      <c r="W41" s="47"/>
      <c r="X41" s="47"/>
      <c r="Y41" s="47"/>
      <c r="Z41" s="47"/>
      <c r="AA41" s="47"/>
      <c r="AB41" s="47"/>
      <c r="AC41" s="47"/>
      <c r="AJ41" s="47"/>
      <c r="AK41" s="47"/>
      <c r="AL41" s="47"/>
      <c r="AM41" s="47"/>
      <c r="AN41" s="47"/>
    </row>
    <row r="42" spans="1:40" s="48" customFormat="1" ht="28.5" customHeight="1">
      <c r="B42" s="83"/>
      <c r="C42" s="83" t="s">
        <v>43</v>
      </c>
      <c r="D42" s="94" t="s">
        <v>143</v>
      </c>
      <c r="E42" s="95"/>
      <c r="F42" s="99" t="s">
        <v>125</v>
      </c>
      <c r="G42" s="83" t="s">
        <v>29</v>
      </c>
      <c r="H42" s="85" t="s">
        <v>203</v>
      </c>
      <c r="I42" s="81">
        <v>160</v>
      </c>
      <c r="J42" s="81" t="s">
        <v>45</v>
      </c>
      <c r="K42" s="85"/>
      <c r="L42" s="97"/>
      <c r="M42" s="97"/>
      <c r="N42" s="97"/>
      <c r="O42" s="97"/>
      <c r="P42" s="141">
        <v>432</v>
      </c>
      <c r="Q42" s="141"/>
      <c r="R42" s="85"/>
      <c r="S42" s="85"/>
      <c r="T42" s="100" t="s">
        <v>139</v>
      </c>
      <c r="U42" s="85"/>
      <c r="W42" s="47"/>
      <c r="X42" s="47"/>
      <c r="Y42" s="47"/>
      <c r="Z42" s="47"/>
      <c r="AA42" s="47"/>
      <c r="AB42" s="47"/>
      <c r="AC42" s="47"/>
      <c r="AJ42" s="47"/>
      <c r="AK42" s="47"/>
      <c r="AL42" s="47"/>
      <c r="AM42" s="47"/>
      <c r="AN42" s="47"/>
    </row>
    <row r="43" spans="1:40" s="48" customFormat="1" ht="28.5" customHeight="1">
      <c r="B43" s="83"/>
      <c r="C43" s="83" t="s">
        <v>43</v>
      </c>
      <c r="D43" s="94" t="s">
        <v>144</v>
      </c>
      <c r="E43" s="95"/>
      <c r="F43" s="99" t="s">
        <v>125</v>
      </c>
      <c r="G43" s="83" t="s">
        <v>29</v>
      </c>
      <c r="H43" s="85" t="s">
        <v>203</v>
      </c>
      <c r="I43" s="81">
        <v>16</v>
      </c>
      <c r="J43" s="81" t="s">
        <v>45</v>
      </c>
      <c r="K43" s="85"/>
      <c r="L43" s="97"/>
      <c r="M43" s="97"/>
      <c r="N43" s="97"/>
      <c r="O43" s="97"/>
      <c r="P43" s="141">
        <v>19</v>
      </c>
      <c r="Q43" s="141"/>
      <c r="R43" s="85"/>
      <c r="S43" s="85"/>
      <c r="T43" s="100" t="s">
        <v>138</v>
      </c>
      <c r="U43" s="85"/>
      <c r="W43" s="47"/>
      <c r="X43" s="47"/>
      <c r="Y43" s="47"/>
      <c r="Z43" s="47"/>
      <c r="AA43" s="47"/>
      <c r="AB43" s="47"/>
      <c r="AC43" s="47"/>
      <c r="AJ43" s="47"/>
      <c r="AK43" s="47"/>
      <c r="AL43" s="47"/>
      <c r="AM43" s="47"/>
      <c r="AN43" s="47"/>
    </row>
    <row r="44" spans="1:40" s="48" customFormat="1" ht="28.5" customHeight="1">
      <c r="B44" s="83"/>
      <c r="C44" s="83" t="s">
        <v>43</v>
      </c>
      <c r="D44" s="96" t="s">
        <v>145</v>
      </c>
      <c r="E44" s="95"/>
      <c r="F44" s="99" t="s">
        <v>125</v>
      </c>
      <c r="G44" s="83" t="s">
        <v>29</v>
      </c>
      <c r="H44" s="85" t="s">
        <v>203</v>
      </c>
      <c r="I44" s="81">
        <v>72</v>
      </c>
      <c r="J44" s="81" t="s">
        <v>45</v>
      </c>
      <c r="K44" s="85"/>
      <c r="L44" s="97"/>
      <c r="M44" s="97"/>
      <c r="N44" s="97"/>
      <c r="O44" s="97"/>
      <c r="P44" s="141">
        <v>129</v>
      </c>
      <c r="Q44" s="141"/>
      <c r="R44" s="85"/>
      <c r="S44" s="85"/>
      <c r="T44" s="100" t="s">
        <v>141</v>
      </c>
      <c r="U44" s="85"/>
      <c r="W44" s="47"/>
      <c r="X44" s="47"/>
      <c r="Y44" s="47"/>
      <c r="Z44" s="47"/>
      <c r="AA44" s="47"/>
      <c r="AB44" s="47"/>
      <c r="AC44" s="47"/>
      <c r="AJ44" s="47"/>
      <c r="AK44" s="47"/>
      <c r="AL44" s="47"/>
      <c r="AM44" s="47"/>
      <c r="AN44" s="47"/>
    </row>
    <row r="45" spans="1:40" s="48" customFormat="1" ht="28.5" customHeight="1">
      <c r="B45" s="83"/>
      <c r="C45" s="83" t="s">
        <v>43</v>
      </c>
      <c r="D45" s="94" t="s">
        <v>146</v>
      </c>
      <c r="E45" s="95"/>
      <c r="F45" s="99" t="s">
        <v>125</v>
      </c>
      <c r="G45" s="83" t="s">
        <v>29</v>
      </c>
      <c r="H45" s="85" t="s">
        <v>203</v>
      </c>
      <c r="I45" s="81">
        <v>40</v>
      </c>
      <c r="J45" s="81" t="s">
        <v>45</v>
      </c>
      <c r="K45" s="85"/>
      <c r="L45" s="97"/>
      <c r="M45" s="97"/>
      <c r="N45" s="97"/>
      <c r="O45" s="97"/>
      <c r="P45" s="141">
        <v>108</v>
      </c>
      <c r="Q45" s="141"/>
      <c r="R45" s="85"/>
      <c r="S45" s="85"/>
      <c r="T45" s="100" t="s">
        <v>147</v>
      </c>
      <c r="U45" s="85"/>
      <c r="W45" s="47"/>
      <c r="X45" s="47"/>
      <c r="Y45" s="47"/>
      <c r="Z45" s="47"/>
      <c r="AA45" s="47"/>
      <c r="AB45" s="47"/>
      <c r="AC45" s="47"/>
      <c r="AJ45" s="47"/>
      <c r="AK45" s="47"/>
      <c r="AL45" s="47"/>
      <c r="AM45" s="47"/>
      <c r="AN45" s="47"/>
    </row>
    <row r="46" spans="1:40" s="48" customFormat="1" ht="28.5" customHeight="1">
      <c r="B46" s="83"/>
      <c r="C46" s="83" t="s">
        <v>43</v>
      </c>
      <c r="D46" s="94" t="s">
        <v>146</v>
      </c>
      <c r="E46" s="95"/>
      <c r="F46" s="99" t="s">
        <v>125</v>
      </c>
      <c r="G46" s="83" t="s">
        <v>29</v>
      </c>
      <c r="H46" s="85" t="s">
        <v>203</v>
      </c>
      <c r="I46" s="81">
        <v>160</v>
      </c>
      <c r="J46" s="81" t="s">
        <v>45</v>
      </c>
      <c r="K46" s="85"/>
      <c r="L46" s="97"/>
      <c r="M46" s="97"/>
      <c r="N46" s="97"/>
      <c r="O46" s="97"/>
      <c r="P46" s="141">
        <v>432</v>
      </c>
      <c r="Q46" s="141"/>
      <c r="R46" s="85"/>
      <c r="S46" s="85"/>
      <c r="T46" s="100" t="s">
        <v>148</v>
      </c>
      <c r="U46" s="85"/>
      <c r="W46" s="47"/>
      <c r="X46" s="47"/>
      <c r="Y46" s="47"/>
      <c r="Z46" s="47"/>
      <c r="AA46" s="47"/>
      <c r="AB46" s="47"/>
      <c r="AC46" s="47"/>
      <c r="AJ46" s="47"/>
      <c r="AK46" s="47"/>
      <c r="AL46" s="47"/>
      <c r="AM46" s="47"/>
      <c r="AN46" s="47"/>
    </row>
    <row r="47" spans="1:40" s="48" customFormat="1" ht="28.5" customHeight="1">
      <c r="B47" s="83"/>
      <c r="C47" s="83" t="s">
        <v>43</v>
      </c>
      <c r="D47" s="94" t="s">
        <v>149</v>
      </c>
      <c r="E47" s="95"/>
      <c r="F47" s="99" t="s">
        <v>125</v>
      </c>
      <c r="G47" s="83" t="s">
        <v>29</v>
      </c>
      <c r="H47" s="85" t="s">
        <v>203</v>
      </c>
      <c r="I47" s="81">
        <v>16</v>
      </c>
      <c r="J47" s="81" t="s">
        <v>45</v>
      </c>
      <c r="K47" s="85"/>
      <c r="L47" s="97"/>
      <c r="M47" s="97"/>
      <c r="N47" s="97"/>
      <c r="O47" s="97"/>
      <c r="P47" s="141">
        <v>14</v>
      </c>
      <c r="Q47" s="141"/>
      <c r="R47" s="85"/>
      <c r="S47" s="85"/>
      <c r="T47" s="100" t="s">
        <v>150</v>
      </c>
      <c r="U47" s="85"/>
      <c r="W47" s="47"/>
      <c r="X47" s="47"/>
      <c r="Y47" s="47"/>
      <c r="Z47" s="47"/>
      <c r="AA47" s="47"/>
      <c r="AB47" s="47"/>
      <c r="AC47" s="47"/>
      <c r="AJ47" s="47"/>
      <c r="AK47" s="47"/>
      <c r="AL47" s="47"/>
      <c r="AM47" s="47"/>
      <c r="AN47" s="47"/>
    </row>
    <row r="48" spans="1:40" s="48" customFormat="1" ht="28.5" customHeight="1">
      <c r="B48" s="83"/>
      <c r="C48" s="83" t="s">
        <v>43</v>
      </c>
      <c r="D48" s="94" t="s">
        <v>151</v>
      </c>
      <c r="E48" s="95"/>
      <c r="F48" s="99" t="s">
        <v>125</v>
      </c>
      <c r="G48" s="83" t="s">
        <v>29</v>
      </c>
      <c r="H48" s="85" t="s">
        <v>203</v>
      </c>
      <c r="I48" s="81">
        <v>72</v>
      </c>
      <c r="J48" s="81" t="s">
        <v>45</v>
      </c>
      <c r="K48" s="85"/>
      <c r="L48" s="97"/>
      <c r="M48" s="97"/>
      <c r="N48" s="97"/>
      <c r="O48" s="97"/>
      <c r="P48" s="141">
        <v>129</v>
      </c>
      <c r="Q48" s="141"/>
      <c r="R48" s="85"/>
      <c r="S48" s="85"/>
      <c r="T48" s="100" t="s">
        <v>141</v>
      </c>
      <c r="U48" s="85"/>
      <c r="W48" s="47"/>
      <c r="X48" s="47"/>
      <c r="Y48" s="47"/>
      <c r="Z48" s="47"/>
      <c r="AA48" s="47"/>
      <c r="AB48" s="47"/>
      <c r="AC48" s="47"/>
      <c r="AJ48" s="47"/>
      <c r="AK48" s="47"/>
      <c r="AL48" s="47"/>
      <c r="AM48" s="47"/>
      <c r="AN48" s="47"/>
    </row>
    <row r="49" spans="2:40" s="48" customFormat="1" ht="28.5" customHeight="1">
      <c r="B49" s="83"/>
      <c r="C49" s="83" t="s">
        <v>43</v>
      </c>
      <c r="D49" s="94" t="s">
        <v>152</v>
      </c>
      <c r="E49" s="95"/>
      <c r="F49" s="99" t="s">
        <v>125</v>
      </c>
      <c r="G49" s="83" t="s">
        <v>29</v>
      </c>
      <c r="H49" s="85" t="s">
        <v>203</v>
      </c>
      <c r="I49" s="81">
        <v>40</v>
      </c>
      <c r="J49" s="81" t="s">
        <v>45</v>
      </c>
      <c r="K49" s="85"/>
      <c r="L49" s="97"/>
      <c r="M49" s="97"/>
      <c r="N49" s="97"/>
      <c r="O49" s="97"/>
      <c r="P49" s="141">
        <v>32</v>
      </c>
      <c r="Q49" s="141"/>
      <c r="R49" s="85"/>
      <c r="S49" s="85"/>
      <c r="T49" s="100" t="s">
        <v>137</v>
      </c>
      <c r="U49" s="85"/>
      <c r="W49" s="47"/>
      <c r="X49" s="47"/>
      <c r="Y49" s="47"/>
      <c r="Z49" s="47"/>
      <c r="AA49" s="47"/>
      <c r="AB49" s="47"/>
      <c r="AC49" s="47"/>
      <c r="AJ49" s="47"/>
      <c r="AK49" s="47"/>
      <c r="AL49" s="47"/>
      <c r="AM49" s="47"/>
      <c r="AN49" s="47"/>
    </row>
    <row r="50" spans="2:40" s="48" customFormat="1" ht="28.5" customHeight="1">
      <c r="B50" s="83"/>
      <c r="C50" s="83" t="s">
        <v>43</v>
      </c>
      <c r="D50" s="94" t="s">
        <v>152</v>
      </c>
      <c r="E50" s="95"/>
      <c r="F50" s="99" t="s">
        <v>125</v>
      </c>
      <c r="G50" s="83" t="s">
        <v>29</v>
      </c>
      <c r="H50" s="85" t="s">
        <v>203</v>
      </c>
      <c r="I50" s="81">
        <v>160</v>
      </c>
      <c r="J50" s="81" t="s">
        <v>45</v>
      </c>
      <c r="K50" s="85"/>
      <c r="L50" s="97"/>
      <c r="M50" s="97"/>
      <c r="N50" s="97"/>
      <c r="O50" s="97"/>
      <c r="P50" s="141">
        <v>128</v>
      </c>
      <c r="Q50" s="141"/>
      <c r="R50" s="85"/>
      <c r="S50" s="85"/>
      <c r="T50" s="100" t="s">
        <v>139</v>
      </c>
      <c r="U50" s="85"/>
      <c r="W50" s="47"/>
      <c r="X50" s="47"/>
      <c r="Y50" s="47"/>
      <c r="Z50" s="47"/>
      <c r="AA50" s="47"/>
      <c r="AB50" s="47"/>
      <c r="AC50" s="47"/>
      <c r="AJ50" s="47"/>
      <c r="AK50" s="47"/>
      <c r="AL50" s="47"/>
      <c r="AM50" s="47"/>
      <c r="AN50" s="47"/>
    </row>
    <row r="51" spans="2:40" s="48" customFormat="1" ht="28.5" customHeight="1">
      <c r="B51" s="83"/>
      <c r="C51" s="83" t="s">
        <v>43</v>
      </c>
      <c r="D51" s="96" t="s">
        <v>152</v>
      </c>
      <c r="E51" s="95"/>
      <c r="F51" s="99" t="s">
        <v>125</v>
      </c>
      <c r="G51" s="83" t="s">
        <v>29</v>
      </c>
      <c r="H51" s="85" t="s">
        <v>203</v>
      </c>
      <c r="I51" s="81">
        <v>16</v>
      </c>
      <c r="J51" s="81" t="s">
        <v>45</v>
      </c>
      <c r="K51" s="165"/>
      <c r="L51" s="97"/>
      <c r="M51" s="97"/>
      <c r="N51" s="97"/>
      <c r="O51" s="97"/>
      <c r="P51" s="141">
        <v>12</v>
      </c>
      <c r="Q51" s="141"/>
      <c r="R51" s="85"/>
      <c r="S51" s="85"/>
      <c r="T51" s="100" t="s">
        <v>138</v>
      </c>
      <c r="U51" s="85"/>
      <c r="W51" s="47"/>
      <c r="X51" s="47"/>
      <c r="Y51" s="47"/>
      <c r="Z51" s="47"/>
      <c r="AA51" s="47"/>
      <c r="AB51" s="47"/>
      <c r="AC51" s="47"/>
      <c r="AJ51" s="47"/>
      <c r="AK51" s="47"/>
      <c r="AL51" s="47"/>
      <c r="AM51" s="47"/>
      <c r="AN51" s="47"/>
    </row>
    <row r="52" spans="2:40" s="48" customFormat="1" ht="28.5" customHeight="1">
      <c r="B52" s="83">
        <v>8</v>
      </c>
      <c r="C52" s="83" t="s">
        <v>53</v>
      </c>
      <c r="D52" s="94" t="s">
        <v>36</v>
      </c>
      <c r="E52" s="95"/>
      <c r="F52" s="99" t="s">
        <v>125</v>
      </c>
      <c r="G52" s="83" t="s">
        <v>29</v>
      </c>
      <c r="H52" s="85" t="s">
        <v>203</v>
      </c>
      <c r="I52" s="81">
        <v>1</v>
      </c>
      <c r="J52" s="81" t="s">
        <v>67</v>
      </c>
      <c r="K52" s="166" t="s">
        <v>112</v>
      </c>
      <c r="L52" s="97">
        <v>245</v>
      </c>
      <c r="M52" s="97">
        <v>115</v>
      </c>
      <c r="N52" s="97">
        <v>120</v>
      </c>
      <c r="O52" s="169">
        <f>L52*M52*N52/1000000</f>
        <v>3.3809999999999998</v>
      </c>
      <c r="P52" s="141">
        <v>2640</v>
      </c>
      <c r="Q52" s="141">
        <v>2790</v>
      </c>
      <c r="R52" s="85" t="s">
        <v>113</v>
      </c>
      <c r="S52" s="85" t="s">
        <v>114</v>
      </c>
      <c r="T52" s="100"/>
      <c r="U52" s="85" t="s">
        <v>115</v>
      </c>
      <c r="W52" s="47"/>
      <c r="X52" s="47"/>
      <c r="Y52" s="47"/>
      <c r="Z52" s="47"/>
      <c r="AA52" s="47"/>
      <c r="AB52" s="47"/>
      <c r="AC52" s="47"/>
      <c r="AJ52" s="47"/>
      <c r="AK52" s="47"/>
      <c r="AL52" s="47"/>
      <c r="AM52" s="47"/>
      <c r="AN52" s="47"/>
    </row>
    <row r="53" spans="2:40" s="48" customFormat="1" ht="28.5" customHeight="1">
      <c r="B53" s="83"/>
      <c r="C53" s="83" t="s">
        <v>53</v>
      </c>
      <c r="D53" s="94" t="s">
        <v>153</v>
      </c>
      <c r="E53" s="95"/>
      <c r="F53" s="99" t="s">
        <v>125</v>
      </c>
      <c r="G53" s="83" t="s">
        <v>29</v>
      </c>
      <c r="H53" s="85" t="s">
        <v>203</v>
      </c>
      <c r="I53" s="81">
        <v>40</v>
      </c>
      <c r="J53" s="81" t="s">
        <v>45</v>
      </c>
      <c r="K53" s="170"/>
      <c r="L53" s="97"/>
      <c r="M53" s="97"/>
      <c r="N53" s="97"/>
      <c r="O53" s="169"/>
      <c r="P53" s="141">
        <v>444</v>
      </c>
      <c r="Q53" s="141"/>
      <c r="R53" s="85"/>
      <c r="S53" s="85"/>
      <c r="T53" s="100" t="s">
        <v>137</v>
      </c>
      <c r="U53" s="85"/>
      <c r="W53" s="47"/>
      <c r="X53" s="47"/>
      <c r="Y53" s="47"/>
      <c r="Z53" s="47"/>
      <c r="AA53" s="47"/>
      <c r="AB53" s="47"/>
      <c r="AC53" s="47"/>
      <c r="AJ53" s="47"/>
      <c r="AK53" s="47"/>
      <c r="AL53" s="47"/>
      <c r="AM53" s="47"/>
      <c r="AN53" s="47"/>
    </row>
    <row r="54" spans="2:40" s="48" customFormat="1" ht="28.5" customHeight="1">
      <c r="B54" s="83"/>
      <c r="C54" s="83" t="s">
        <v>53</v>
      </c>
      <c r="D54" s="96" t="s">
        <v>154</v>
      </c>
      <c r="E54" s="95"/>
      <c r="F54" s="99" t="s">
        <v>125</v>
      </c>
      <c r="G54" s="83" t="s">
        <v>29</v>
      </c>
      <c r="H54" s="85" t="s">
        <v>203</v>
      </c>
      <c r="I54" s="81">
        <v>160</v>
      </c>
      <c r="J54" s="81" t="s">
        <v>45</v>
      </c>
      <c r="K54" s="85"/>
      <c r="L54" s="97"/>
      <c r="M54" s="97"/>
      <c r="N54" s="97"/>
      <c r="O54" s="97"/>
      <c r="P54" s="141">
        <v>1920</v>
      </c>
      <c r="Q54" s="141"/>
      <c r="R54" s="85"/>
      <c r="S54" s="85"/>
      <c r="T54" s="100" t="s">
        <v>139</v>
      </c>
      <c r="U54" s="85"/>
      <c r="W54" s="47"/>
      <c r="X54" s="47"/>
      <c r="Y54" s="47"/>
      <c r="Z54" s="47"/>
      <c r="AA54" s="47"/>
      <c r="AB54" s="47"/>
      <c r="AC54" s="47"/>
      <c r="AJ54" s="47"/>
      <c r="AK54" s="47"/>
      <c r="AL54" s="47"/>
      <c r="AM54" s="47"/>
      <c r="AN54" s="47"/>
    </row>
    <row r="55" spans="2:40" s="48" customFormat="1" ht="28.5" customHeight="1">
      <c r="B55" s="83"/>
      <c r="C55" s="83" t="s">
        <v>53</v>
      </c>
      <c r="D55" s="96" t="s">
        <v>155</v>
      </c>
      <c r="E55" s="95"/>
      <c r="F55" s="99" t="s">
        <v>125</v>
      </c>
      <c r="G55" s="83" t="s">
        <v>29</v>
      </c>
      <c r="H55" s="85" t="s">
        <v>203</v>
      </c>
      <c r="I55" s="81">
        <v>16</v>
      </c>
      <c r="J55" s="81" t="s">
        <v>45</v>
      </c>
      <c r="K55" s="85"/>
      <c r="L55" s="97"/>
      <c r="M55" s="97"/>
      <c r="N55" s="97"/>
      <c r="O55" s="97"/>
      <c r="P55" s="141">
        <v>104</v>
      </c>
      <c r="Q55" s="141"/>
      <c r="R55" s="85"/>
      <c r="S55" s="85"/>
      <c r="T55" s="100" t="s">
        <v>138</v>
      </c>
      <c r="U55" s="85"/>
      <c r="W55" s="47"/>
      <c r="X55" s="47"/>
      <c r="Y55" s="47"/>
      <c r="Z55" s="47"/>
      <c r="AA55" s="47"/>
      <c r="AB55" s="47"/>
      <c r="AC55" s="47"/>
      <c r="AJ55" s="47"/>
      <c r="AK55" s="47"/>
      <c r="AL55" s="47"/>
      <c r="AM55" s="47"/>
      <c r="AN55" s="47"/>
    </row>
    <row r="56" spans="2:40" s="48" customFormat="1" ht="28.5" customHeight="1">
      <c r="B56" s="83"/>
      <c r="C56" s="83" t="s">
        <v>53</v>
      </c>
      <c r="D56" s="94" t="s">
        <v>156</v>
      </c>
      <c r="E56" s="95"/>
      <c r="F56" s="99" t="s">
        <v>125</v>
      </c>
      <c r="G56" s="83" t="s">
        <v>29</v>
      </c>
      <c r="H56" s="85" t="s">
        <v>203</v>
      </c>
      <c r="I56" s="81">
        <v>40</v>
      </c>
      <c r="J56" s="81" t="s">
        <v>45</v>
      </c>
      <c r="K56" s="85"/>
      <c r="L56" s="97"/>
      <c r="M56" s="97"/>
      <c r="N56" s="97"/>
      <c r="O56" s="97"/>
      <c r="P56" s="141">
        <v>32</v>
      </c>
      <c r="Q56" s="141"/>
      <c r="R56" s="85"/>
      <c r="S56" s="85"/>
      <c r="T56" s="100" t="s">
        <v>137</v>
      </c>
      <c r="U56" s="85"/>
      <c r="W56" s="47"/>
      <c r="X56" s="47"/>
      <c r="Y56" s="47"/>
      <c r="Z56" s="47"/>
      <c r="AA56" s="47"/>
      <c r="AB56" s="47"/>
      <c r="AC56" s="47"/>
      <c r="AJ56" s="47"/>
      <c r="AK56" s="47"/>
      <c r="AL56" s="47"/>
      <c r="AM56" s="47"/>
      <c r="AN56" s="47"/>
    </row>
    <row r="57" spans="2:40" s="48" customFormat="1" ht="28.5" customHeight="1">
      <c r="B57" s="83"/>
      <c r="C57" s="83" t="s">
        <v>53</v>
      </c>
      <c r="D57" s="94" t="s">
        <v>157</v>
      </c>
      <c r="E57" s="95"/>
      <c r="F57" s="99" t="s">
        <v>125</v>
      </c>
      <c r="G57" s="83" t="s">
        <v>29</v>
      </c>
      <c r="H57" s="85" t="s">
        <v>203</v>
      </c>
      <c r="I57" s="81">
        <v>160</v>
      </c>
      <c r="J57" s="81" t="s">
        <v>45</v>
      </c>
      <c r="K57" s="85"/>
      <c r="L57" s="97"/>
      <c r="M57" s="97"/>
      <c r="N57" s="97"/>
      <c r="O57" s="97"/>
      <c r="P57" s="141">
        <v>128</v>
      </c>
      <c r="Q57" s="141"/>
      <c r="R57" s="85"/>
      <c r="S57" s="85"/>
      <c r="T57" s="100" t="s">
        <v>139</v>
      </c>
      <c r="U57" s="85"/>
      <c r="W57" s="47"/>
      <c r="X57" s="47"/>
      <c r="Y57" s="47"/>
      <c r="Z57" s="47"/>
      <c r="AA57" s="47"/>
      <c r="AB57" s="47"/>
      <c r="AC57" s="47"/>
      <c r="AJ57" s="47"/>
      <c r="AK57" s="47"/>
      <c r="AL57" s="47"/>
      <c r="AM57" s="47"/>
      <c r="AN57" s="47"/>
    </row>
    <row r="58" spans="2:40" s="48" customFormat="1" ht="28.5" customHeight="1">
      <c r="B58" s="83"/>
      <c r="C58" s="83" t="s">
        <v>53</v>
      </c>
      <c r="D58" s="94" t="s">
        <v>158</v>
      </c>
      <c r="E58" s="95"/>
      <c r="F58" s="99" t="s">
        <v>125</v>
      </c>
      <c r="G58" s="83" t="s">
        <v>29</v>
      </c>
      <c r="H58" s="85" t="s">
        <v>203</v>
      </c>
      <c r="I58" s="81">
        <v>16</v>
      </c>
      <c r="J58" s="81" t="s">
        <v>45</v>
      </c>
      <c r="K58" s="85"/>
      <c r="L58" s="97"/>
      <c r="M58" s="97"/>
      <c r="N58" s="97"/>
      <c r="O58" s="97"/>
      <c r="P58" s="141">
        <v>12</v>
      </c>
      <c r="Q58" s="141"/>
      <c r="R58" s="85"/>
      <c r="S58" s="85"/>
      <c r="T58" s="100" t="s">
        <v>138</v>
      </c>
      <c r="U58" s="85"/>
      <c r="W58" s="47"/>
      <c r="X58" s="47"/>
      <c r="Y58" s="47"/>
      <c r="Z58" s="47"/>
      <c r="AA58" s="47"/>
      <c r="AB58" s="47"/>
      <c r="AC58" s="47"/>
      <c r="AJ58" s="47"/>
      <c r="AK58" s="47"/>
      <c r="AL58" s="47"/>
      <c r="AM58" s="47"/>
      <c r="AN58" s="47"/>
    </row>
    <row r="59" spans="2:40" s="48" customFormat="1" ht="28.5" customHeight="1">
      <c r="B59" s="83">
        <v>9</v>
      </c>
      <c r="C59" s="83" t="s">
        <v>60</v>
      </c>
      <c r="D59" s="94" t="s">
        <v>61</v>
      </c>
      <c r="E59" s="95"/>
      <c r="F59" s="99" t="s">
        <v>125</v>
      </c>
      <c r="G59" s="83" t="s">
        <v>29</v>
      </c>
      <c r="H59" s="85" t="s">
        <v>203</v>
      </c>
      <c r="I59" s="81">
        <v>1</v>
      </c>
      <c r="J59" s="81" t="s">
        <v>67</v>
      </c>
      <c r="K59" s="86" t="s">
        <v>112</v>
      </c>
      <c r="L59" s="97">
        <v>90</v>
      </c>
      <c r="M59" s="97">
        <v>90</v>
      </c>
      <c r="N59" s="97">
        <v>60</v>
      </c>
      <c r="O59" s="98">
        <f>L59*M59*N59/1000000</f>
        <v>0.48599999999999999</v>
      </c>
      <c r="P59" s="141">
        <v>155</v>
      </c>
      <c r="Q59" s="141">
        <v>195</v>
      </c>
      <c r="R59" s="85" t="s">
        <v>113</v>
      </c>
      <c r="S59" s="85" t="s">
        <v>114</v>
      </c>
      <c r="T59" s="100"/>
      <c r="U59" s="85" t="s">
        <v>115</v>
      </c>
      <c r="W59" s="47"/>
      <c r="X59" s="47"/>
      <c r="Y59" s="47"/>
      <c r="Z59" s="47"/>
      <c r="AA59" s="47"/>
      <c r="AB59" s="47"/>
      <c r="AC59" s="47"/>
      <c r="AJ59" s="47"/>
      <c r="AK59" s="47"/>
      <c r="AL59" s="47"/>
      <c r="AM59" s="47"/>
      <c r="AN59" s="47"/>
    </row>
    <row r="60" spans="2:40" s="48" customFormat="1" ht="28.5" customHeight="1">
      <c r="B60" s="83"/>
      <c r="C60" s="83" t="s">
        <v>60</v>
      </c>
      <c r="D60" s="94" t="s">
        <v>159</v>
      </c>
      <c r="E60" s="95"/>
      <c r="F60" s="99" t="s">
        <v>125</v>
      </c>
      <c r="G60" s="83" t="s">
        <v>29</v>
      </c>
      <c r="H60" s="85" t="s">
        <v>203</v>
      </c>
      <c r="I60" s="81">
        <v>8</v>
      </c>
      <c r="J60" s="81" t="s">
        <v>45</v>
      </c>
      <c r="K60" s="101"/>
      <c r="L60" s="97"/>
      <c r="M60" s="97"/>
      <c r="N60" s="97"/>
      <c r="O60" s="98"/>
      <c r="P60" s="141">
        <v>14</v>
      </c>
      <c r="Q60" s="141"/>
      <c r="R60" s="85"/>
      <c r="S60" s="85"/>
      <c r="T60" s="100" t="s">
        <v>160</v>
      </c>
      <c r="U60" s="85"/>
      <c r="W60" s="47"/>
      <c r="X60" s="47"/>
      <c r="Y60" s="47"/>
      <c r="Z60" s="47"/>
      <c r="AA60" s="47"/>
      <c r="AB60" s="47"/>
      <c r="AC60" s="47"/>
      <c r="AJ60" s="47"/>
      <c r="AK60" s="47"/>
      <c r="AL60" s="47"/>
      <c r="AM60" s="47"/>
      <c r="AN60" s="47"/>
    </row>
    <row r="61" spans="2:40" s="48" customFormat="1" ht="28.5" customHeight="1">
      <c r="B61" s="83"/>
      <c r="C61" s="83" t="s">
        <v>60</v>
      </c>
      <c r="D61" s="94" t="s">
        <v>161</v>
      </c>
      <c r="E61" s="95"/>
      <c r="F61" s="99" t="s">
        <v>125</v>
      </c>
      <c r="G61" s="83" t="s">
        <v>29</v>
      </c>
      <c r="H61" s="85" t="s">
        <v>203</v>
      </c>
      <c r="I61" s="81">
        <v>32</v>
      </c>
      <c r="J61" s="81" t="s">
        <v>45</v>
      </c>
      <c r="K61" s="85"/>
      <c r="L61" s="97"/>
      <c r="M61" s="97"/>
      <c r="N61" s="97"/>
      <c r="O61" s="97"/>
      <c r="P61" s="141">
        <v>70</v>
      </c>
      <c r="Q61" s="141"/>
      <c r="R61" s="85"/>
      <c r="S61" s="85"/>
      <c r="T61" s="100" t="s">
        <v>160</v>
      </c>
      <c r="U61" s="85"/>
      <c r="W61" s="47"/>
      <c r="X61" s="47"/>
      <c r="Y61" s="47"/>
      <c r="Z61" s="47"/>
      <c r="AA61" s="47"/>
      <c r="AB61" s="47"/>
      <c r="AC61" s="47"/>
      <c r="AJ61" s="47"/>
      <c r="AK61" s="47"/>
      <c r="AL61" s="47"/>
      <c r="AM61" s="47"/>
      <c r="AN61" s="47"/>
    </row>
    <row r="62" spans="2:40" s="48" customFormat="1" ht="28.5" customHeight="1">
      <c r="B62" s="83"/>
      <c r="C62" s="83" t="s">
        <v>60</v>
      </c>
      <c r="D62" s="94" t="s">
        <v>162</v>
      </c>
      <c r="E62" s="95"/>
      <c r="F62" s="99" t="s">
        <v>125</v>
      </c>
      <c r="G62" s="83" t="s">
        <v>29</v>
      </c>
      <c r="H62" s="85" t="s">
        <v>203</v>
      </c>
      <c r="I62" s="81">
        <v>5</v>
      </c>
      <c r="J62" s="81" t="s">
        <v>45</v>
      </c>
      <c r="K62" s="85"/>
      <c r="L62" s="97"/>
      <c r="M62" s="97"/>
      <c r="N62" s="97"/>
      <c r="O62" s="97"/>
      <c r="P62" s="141">
        <v>3</v>
      </c>
      <c r="Q62" s="141"/>
      <c r="R62" s="85"/>
      <c r="S62" s="85"/>
      <c r="T62" s="100" t="s">
        <v>160</v>
      </c>
      <c r="U62" s="85"/>
      <c r="W62" s="47"/>
      <c r="X62" s="47"/>
      <c r="Y62" s="47"/>
      <c r="Z62" s="47"/>
      <c r="AA62" s="47"/>
      <c r="AB62" s="47"/>
      <c r="AC62" s="47"/>
      <c r="AJ62" s="47"/>
      <c r="AK62" s="47"/>
      <c r="AL62" s="47"/>
      <c r="AM62" s="47"/>
      <c r="AN62" s="47"/>
    </row>
    <row r="63" spans="2:40" s="48" customFormat="1" ht="28.5" customHeight="1">
      <c r="B63" s="83"/>
      <c r="C63" s="83" t="s">
        <v>60</v>
      </c>
      <c r="D63" s="94" t="s">
        <v>163</v>
      </c>
      <c r="E63" s="95"/>
      <c r="F63" s="99" t="s">
        <v>125</v>
      </c>
      <c r="G63" s="83" t="s">
        <v>29</v>
      </c>
      <c r="H63" s="85" t="s">
        <v>203</v>
      </c>
      <c r="I63" s="81">
        <v>14</v>
      </c>
      <c r="J63" s="81" t="s">
        <v>45</v>
      </c>
      <c r="K63" s="85"/>
      <c r="L63" s="97"/>
      <c r="M63" s="97"/>
      <c r="N63" s="97"/>
      <c r="O63" s="97"/>
      <c r="P63" s="141">
        <v>16</v>
      </c>
      <c r="Q63" s="141"/>
      <c r="R63" s="85"/>
      <c r="S63" s="85"/>
      <c r="T63" s="100" t="s">
        <v>160</v>
      </c>
      <c r="U63" s="85"/>
      <c r="W63" s="47"/>
      <c r="X63" s="47"/>
      <c r="Y63" s="47"/>
      <c r="Z63" s="47"/>
      <c r="AA63" s="47"/>
      <c r="AB63" s="47"/>
      <c r="AC63" s="47"/>
      <c r="AJ63" s="47"/>
      <c r="AK63" s="47"/>
      <c r="AL63" s="47"/>
      <c r="AM63" s="47"/>
      <c r="AN63" s="47"/>
    </row>
    <row r="64" spans="2:40" s="48" customFormat="1" ht="28.5" customHeight="1">
      <c r="B64" s="83"/>
      <c r="C64" s="83" t="s">
        <v>60</v>
      </c>
      <c r="D64" s="94" t="s">
        <v>142</v>
      </c>
      <c r="E64" s="95"/>
      <c r="F64" s="99" t="s">
        <v>125</v>
      </c>
      <c r="G64" s="83" t="s">
        <v>29</v>
      </c>
      <c r="H64" s="85" t="s">
        <v>203</v>
      </c>
      <c r="I64" s="81">
        <v>5</v>
      </c>
      <c r="J64" s="81" t="s">
        <v>45</v>
      </c>
      <c r="K64" s="85"/>
      <c r="L64" s="97"/>
      <c r="M64" s="97"/>
      <c r="N64" s="97"/>
      <c r="O64" s="97"/>
      <c r="P64" s="141">
        <v>16</v>
      </c>
      <c r="Q64" s="141"/>
      <c r="R64" s="85"/>
      <c r="S64" s="85"/>
      <c r="T64" s="100" t="s">
        <v>160</v>
      </c>
      <c r="U64" s="85"/>
      <c r="W64" s="47"/>
      <c r="X64" s="47"/>
      <c r="Y64" s="47"/>
      <c r="Z64" s="47"/>
      <c r="AA64" s="47"/>
      <c r="AB64" s="47"/>
      <c r="AC64" s="47"/>
      <c r="AJ64" s="47"/>
      <c r="AK64" s="47"/>
      <c r="AL64" s="47"/>
      <c r="AM64" s="47"/>
      <c r="AN64" s="47"/>
    </row>
    <row r="65" spans="2:40" s="48" customFormat="1" ht="28.5" customHeight="1">
      <c r="B65" s="83"/>
      <c r="C65" s="83" t="s">
        <v>60</v>
      </c>
      <c r="D65" s="94" t="s">
        <v>143</v>
      </c>
      <c r="E65" s="95"/>
      <c r="F65" s="99" t="s">
        <v>125</v>
      </c>
      <c r="G65" s="83" t="s">
        <v>29</v>
      </c>
      <c r="H65" s="85" t="s">
        <v>203</v>
      </c>
      <c r="I65" s="81">
        <v>8</v>
      </c>
      <c r="J65" s="81" t="s">
        <v>45</v>
      </c>
      <c r="K65" s="85"/>
      <c r="L65" s="97"/>
      <c r="M65" s="97"/>
      <c r="N65" s="97"/>
      <c r="O65" s="97"/>
      <c r="P65" s="141">
        <v>21</v>
      </c>
      <c r="Q65" s="141"/>
      <c r="R65" s="85"/>
      <c r="S65" s="85"/>
      <c r="T65" s="100" t="s">
        <v>160</v>
      </c>
      <c r="U65" s="85"/>
      <c r="W65" s="47"/>
      <c r="X65" s="47"/>
      <c r="Y65" s="47"/>
      <c r="Z65" s="47"/>
      <c r="AA65" s="47"/>
      <c r="AB65" s="47"/>
      <c r="AC65" s="47"/>
      <c r="AJ65" s="47"/>
      <c r="AK65" s="47"/>
      <c r="AL65" s="47"/>
      <c r="AM65" s="47"/>
      <c r="AN65" s="47"/>
    </row>
    <row r="66" spans="2:40" s="48" customFormat="1" ht="28.5" customHeight="1">
      <c r="B66" s="83"/>
      <c r="C66" s="83" t="s">
        <v>60</v>
      </c>
      <c r="D66" s="94" t="s">
        <v>144</v>
      </c>
      <c r="E66" s="95"/>
      <c r="F66" s="99" t="s">
        <v>125</v>
      </c>
      <c r="G66" s="83" t="s">
        <v>29</v>
      </c>
      <c r="H66" s="85" t="s">
        <v>203</v>
      </c>
      <c r="I66" s="81">
        <v>5</v>
      </c>
      <c r="J66" s="81" t="s">
        <v>45</v>
      </c>
      <c r="K66" s="85"/>
      <c r="L66" s="97"/>
      <c r="M66" s="97"/>
      <c r="N66" s="97"/>
      <c r="O66" s="97"/>
      <c r="P66" s="141">
        <v>6</v>
      </c>
      <c r="Q66" s="141"/>
      <c r="R66" s="85"/>
      <c r="S66" s="85"/>
      <c r="T66" s="100" t="s">
        <v>160</v>
      </c>
      <c r="U66" s="85"/>
      <c r="W66" s="47"/>
      <c r="X66" s="47"/>
      <c r="Y66" s="47"/>
      <c r="Z66" s="47"/>
      <c r="AA66" s="47"/>
      <c r="AB66" s="47"/>
      <c r="AC66" s="47"/>
      <c r="AJ66" s="47"/>
      <c r="AK66" s="47"/>
      <c r="AL66" s="47"/>
      <c r="AM66" s="47"/>
      <c r="AN66" s="47"/>
    </row>
    <row r="67" spans="2:40" s="48" customFormat="1" ht="28.5" customHeight="1">
      <c r="B67" s="83"/>
      <c r="C67" s="83" t="s">
        <v>60</v>
      </c>
      <c r="D67" s="94" t="s">
        <v>145</v>
      </c>
      <c r="E67" s="95"/>
      <c r="F67" s="99" t="s">
        <v>125</v>
      </c>
      <c r="G67" s="83" t="s">
        <v>29</v>
      </c>
      <c r="H67" s="85" t="s">
        <v>203</v>
      </c>
      <c r="I67" s="81">
        <v>5</v>
      </c>
      <c r="J67" s="81" t="s">
        <v>45</v>
      </c>
      <c r="K67" s="85"/>
      <c r="L67" s="97"/>
      <c r="M67" s="97"/>
      <c r="N67" s="97"/>
      <c r="O67" s="97"/>
      <c r="P67" s="141">
        <v>9</v>
      </c>
      <c r="Q67" s="141"/>
      <c r="R67" s="85"/>
      <c r="S67" s="85"/>
      <c r="T67" s="100" t="s">
        <v>160</v>
      </c>
      <c r="U67" s="85"/>
      <c r="W67" s="47"/>
      <c r="X67" s="47"/>
      <c r="Y67" s="47"/>
      <c r="Z67" s="47"/>
      <c r="AA67" s="47"/>
      <c r="AB67" s="47"/>
      <c r="AC67" s="47"/>
      <c r="AJ67" s="47"/>
      <c r="AK67" s="47"/>
      <c r="AL67" s="47"/>
      <c r="AM67" s="47"/>
      <c r="AN67" s="47"/>
    </row>
    <row r="68" spans="2:40" s="53" customFormat="1" ht="24" customHeight="1">
      <c r="B68" s="217" t="s">
        <v>164</v>
      </c>
      <c r="C68" s="218"/>
      <c r="D68" s="218"/>
      <c r="E68" s="218"/>
      <c r="F68" s="218"/>
      <c r="G68" s="218"/>
      <c r="H68" s="219"/>
      <c r="I68" s="102"/>
      <c r="J68" s="102"/>
      <c r="K68" s="103"/>
      <c r="L68" s="97"/>
      <c r="M68" s="97"/>
      <c r="N68" s="97"/>
      <c r="O68" s="97"/>
      <c r="P68" s="97"/>
      <c r="Q68" s="97"/>
      <c r="R68" s="104"/>
      <c r="S68" s="104"/>
      <c r="T68" s="104"/>
      <c r="U68" s="104"/>
      <c r="W68" s="52"/>
      <c r="X68" s="52"/>
      <c r="Y68" s="52"/>
      <c r="Z68" s="52"/>
      <c r="AA68" s="52"/>
      <c r="AB68" s="52"/>
      <c r="AC68" s="52"/>
      <c r="AJ68" s="52"/>
      <c r="AK68" s="52"/>
      <c r="AL68" s="52"/>
      <c r="AM68" s="52"/>
      <c r="AN68" s="52"/>
    </row>
    <row r="69" spans="2:40" s="6" customFormat="1" ht="32.25" customHeight="1">
      <c r="B69" s="220" t="s">
        <v>66</v>
      </c>
      <c r="C69" s="220"/>
      <c r="D69" s="220"/>
      <c r="E69" s="220"/>
      <c r="F69" s="220"/>
      <c r="G69" s="220"/>
      <c r="H69" s="220"/>
      <c r="I69" s="220"/>
      <c r="J69" s="220"/>
      <c r="K69" s="81"/>
      <c r="L69" s="81"/>
      <c r="M69" s="164"/>
      <c r="N69" s="164"/>
      <c r="O69" s="171">
        <f>SUM(O15:O68)</f>
        <v>20.132250000000003</v>
      </c>
      <c r="P69" s="158">
        <f>SUM(P15:P68)-P15-P23-P28-P31-P34-P37-P40-P52-P59</f>
        <v>17198</v>
      </c>
      <c r="Q69" s="158">
        <f>SUM(Q15:Q68)</f>
        <v>18328</v>
      </c>
      <c r="R69" s="81"/>
      <c r="S69" s="81"/>
      <c r="T69" s="81"/>
      <c r="U69" s="81"/>
      <c r="V69" s="41"/>
      <c r="W69" s="10"/>
      <c r="X69" s="10"/>
      <c r="Y69" s="10"/>
      <c r="Z69" s="10"/>
      <c r="AA69" s="10"/>
      <c r="AB69" s="10"/>
      <c r="AC69" s="10"/>
      <c r="AJ69" s="10"/>
      <c r="AK69" s="10"/>
      <c r="AL69" s="10"/>
      <c r="AM69" s="10"/>
      <c r="AN69" s="10"/>
    </row>
    <row r="70" spans="2:40" ht="18" customHeight="1">
      <c r="M70" s="167"/>
      <c r="N70" s="167"/>
      <c r="O70" s="162"/>
      <c r="P70" s="167"/>
      <c r="Q70" s="167"/>
    </row>
  </sheetData>
  <mergeCells count="20">
    <mergeCell ref="B68:H68"/>
    <mergeCell ref="B69:J69"/>
    <mergeCell ref="P13:P14"/>
    <mergeCell ref="Q13:Q14"/>
    <mergeCell ref="R13:R14"/>
    <mergeCell ref="F13:F14"/>
    <mergeCell ref="B1:U1"/>
    <mergeCell ref="C3:K3"/>
    <mergeCell ref="B4:U4"/>
    <mergeCell ref="B13:B14"/>
    <mergeCell ref="C13:C14"/>
    <mergeCell ref="D13:E14"/>
    <mergeCell ref="H13:H14"/>
    <mergeCell ref="I13:J13"/>
    <mergeCell ref="K13:K14"/>
    <mergeCell ref="L13:O13"/>
    <mergeCell ref="U13:U14"/>
    <mergeCell ref="S13:S14"/>
    <mergeCell ref="T13:T14"/>
    <mergeCell ref="G13:G14"/>
  </mergeCells>
  <phoneticPr fontId="25" type="noConversion"/>
  <printOptions horizontalCentered="1"/>
  <pageMargins left="0.23622047244094491" right="0.23622047244094491" top="0.47244094488188981" bottom="0.51181102362204722" header="0.31496062992125984" footer="0.31496062992125984"/>
  <pageSetup paperSize="9" scale="37" fitToHeight="0" orientation="portrait" r:id="rId1"/>
  <headerFooter alignWithMargins="0">
    <oddFooter>&amp;C&amp;P/&amp;N</oddFooter>
  </headerFooter>
  <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92D050"/>
    <pageSetUpPr fitToPage="1"/>
  </sheetPr>
  <dimension ref="B1:T34"/>
  <sheetViews>
    <sheetView showGridLines="0" view="pageBreakPreview" topLeftCell="Y1" zoomScale="90" zoomScaleNormal="100" zoomScaleSheetLayoutView="90" workbookViewId="0">
      <selection activeCell="C13" sqref="C13:C14"/>
    </sheetView>
  </sheetViews>
  <sheetFormatPr defaultColWidth="8.76953125" defaultRowHeight="18" customHeight="1"/>
  <cols>
    <col min="1" max="1" width="1.05078125" style="13" customWidth="1"/>
    <col min="2" max="2" width="3.625" style="5" customWidth="1"/>
    <col min="3" max="3" width="22.3359375" style="4" customWidth="1"/>
    <col min="4" max="4" width="54.14453125" style="27" customWidth="1"/>
    <col min="5" max="5" width="9.23828125" style="2" customWidth="1"/>
    <col min="6" max="6" width="5.26171875" style="25" customWidth="1"/>
    <col min="7" max="7" width="5.26171875" style="2" customWidth="1"/>
    <col min="8" max="8" width="8.30078125" style="2" customWidth="1"/>
    <col min="9" max="11" width="7.25" style="2" customWidth="1"/>
    <col min="12" max="12" width="7.83203125" style="2" customWidth="1"/>
    <col min="13" max="14" width="11.109375" style="2" bestFit="1" customWidth="1"/>
    <col min="15" max="15" width="9.35546875" style="2" customWidth="1"/>
    <col min="16" max="18" width="8.30078125" style="2" customWidth="1"/>
    <col min="19" max="19" width="11.2265625" style="5" customWidth="1"/>
    <col min="20" max="20" width="7.1328125" style="28" customWidth="1"/>
    <col min="21" max="21" width="7.25" style="13" customWidth="1"/>
    <col min="22" max="16384" width="8.76953125" style="13"/>
  </cols>
  <sheetData>
    <row r="1" spans="2:20" ht="9" customHeight="1">
      <c r="B1" s="70"/>
      <c r="C1" s="2"/>
      <c r="D1" s="2"/>
      <c r="F1" s="2"/>
      <c r="H1" s="1"/>
      <c r="I1" s="1"/>
      <c r="J1" s="1"/>
      <c r="K1" s="67"/>
      <c r="L1" s="14"/>
      <c r="M1" s="70"/>
      <c r="N1" s="70"/>
      <c r="O1" s="70"/>
      <c r="P1" s="70"/>
      <c r="Q1" s="70"/>
      <c r="R1" s="70"/>
      <c r="S1" s="70"/>
      <c r="T1" s="70"/>
    </row>
    <row r="2" spans="2:20" ht="26.1" customHeight="1">
      <c r="B2" s="71"/>
      <c r="C2" s="2"/>
      <c r="D2" s="2"/>
      <c r="F2" s="2"/>
      <c r="H2" s="1"/>
      <c r="I2" s="1"/>
      <c r="J2" s="1"/>
      <c r="K2" s="67"/>
      <c r="L2" s="14"/>
      <c r="M2" s="71"/>
      <c r="N2" s="71"/>
      <c r="O2" s="71"/>
      <c r="P2" s="71"/>
      <c r="Q2" s="71"/>
      <c r="R2" s="71"/>
      <c r="S2" s="71"/>
      <c r="T2" s="71"/>
    </row>
    <row r="3" spans="2:20" ht="27.6" customHeight="1" thickBot="1">
      <c r="B3" s="71"/>
      <c r="C3" s="228" t="s">
        <v>5</v>
      </c>
      <c r="D3" s="228"/>
      <c r="E3" s="228"/>
      <c r="F3" s="228"/>
      <c r="G3" s="228"/>
      <c r="H3" s="228"/>
      <c r="I3" s="228"/>
      <c r="J3" s="1"/>
      <c r="K3" s="67"/>
      <c r="L3" s="14"/>
      <c r="M3" s="15"/>
      <c r="N3" s="71"/>
      <c r="O3" s="71"/>
      <c r="P3" s="71"/>
      <c r="Q3" s="71"/>
      <c r="R3" s="71"/>
      <c r="S3" s="71"/>
      <c r="T3" s="71"/>
    </row>
    <row r="4" spans="2:20" ht="33.75" customHeight="1" thickTop="1" thickBot="1">
      <c r="B4" s="229" t="s">
        <v>68</v>
      </c>
      <c r="C4" s="230"/>
      <c r="D4" s="230"/>
      <c r="E4" s="230"/>
      <c r="F4" s="230"/>
      <c r="G4" s="230"/>
      <c r="H4" s="230"/>
      <c r="I4" s="230"/>
      <c r="J4" s="230"/>
      <c r="K4" s="230"/>
      <c r="L4" s="230"/>
      <c r="M4" s="230"/>
      <c r="N4" s="230"/>
      <c r="O4" s="230"/>
      <c r="P4" s="230"/>
      <c r="Q4" s="230"/>
      <c r="R4" s="230"/>
      <c r="S4" s="230"/>
      <c r="T4" s="231"/>
    </row>
    <row r="5" spans="2:20" s="2" customFormat="1" ht="17.25" customHeight="1" thickTop="1">
      <c r="B5" s="5"/>
      <c r="C5" s="16" t="s">
        <v>69</v>
      </c>
      <c r="D5" s="72" t="e">
        <f>#REF!</f>
        <v>#REF!</v>
      </c>
      <c r="E5" s="5"/>
      <c r="F5" s="5"/>
      <c r="G5" s="5"/>
      <c r="H5" s="5"/>
      <c r="I5" s="5"/>
      <c r="J5" s="5"/>
      <c r="K5" s="5"/>
      <c r="L5" s="5"/>
      <c r="M5" s="5"/>
      <c r="N5" s="5"/>
      <c r="O5" s="5"/>
      <c r="P5" s="5"/>
      <c r="Q5" s="5"/>
      <c r="R5" s="5"/>
      <c r="S5" s="17"/>
      <c r="T5" s="5"/>
    </row>
    <row r="6" spans="2:20" s="2" customFormat="1" ht="17.25" customHeight="1">
      <c r="B6" s="5"/>
      <c r="C6" s="16" t="s">
        <v>70</v>
      </c>
      <c r="D6" s="69" t="e">
        <f>#REF!</f>
        <v>#REF!</v>
      </c>
      <c r="E6" s="5"/>
      <c r="F6" s="5"/>
      <c r="G6" s="4" t="s">
        <v>71</v>
      </c>
      <c r="H6" s="5"/>
      <c r="I6" s="5"/>
      <c r="J6" s="5"/>
      <c r="K6" s="5"/>
      <c r="L6" s="4" t="s">
        <v>72</v>
      </c>
      <c r="M6" s="5"/>
      <c r="N6" s="5"/>
      <c r="O6" s="5"/>
      <c r="P6" s="5"/>
      <c r="Q6" s="5"/>
      <c r="R6" s="5"/>
      <c r="S6" s="5"/>
      <c r="T6" s="5"/>
    </row>
    <row r="7" spans="2:20" s="2" customFormat="1" ht="17.25" customHeight="1">
      <c r="B7" s="5"/>
      <c r="C7" s="16" t="s">
        <v>73</v>
      </c>
      <c r="D7" s="18" t="s">
        <v>2</v>
      </c>
      <c r="E7" s="5"/>
      <c r="F7" s="5"/>
      <c r="G7" s="19" t="s">
        <v>74</v>
      </c>
      <c r="H7" s="4" t="s">
        <v>75</v>
      </c>
      <c r="I7" s="5"/>
      <c r="J7" s="5"/>
      <c r="K7" s="5"/>
      <c r="L7" s="20"/>
      <c r="M7" s="21" t="s">
        <v>76</v>
      </c>
      <c r="N7" s="21" t="s">
        <v>77</v>
      </c>
      <c r="O7" s="21" t="s">
        <v>78</v>
      </c>
      <c r="P7" s="21" t="s">
        <v>79</v>
      </c>
      <c r="Q7" s="145"/>
      <c r="R7" s="146"/>
      <c r="S7" s="146"/>
      <c r="T7" s="5"/>
    </row>
    <row r="8" spans="2:20" s="2" customFormat="1" ht="17.25" customHeight="1">
      <c r="B8" s="5"/>
      <c r="D8" s="16"/>
      <c r="E8" s="5"/>
      <c r="F8" s="5"/>
      <c r="G8" s="19" t="s">
        <v>80</v>
      </c>
      <c r="H8" s="4" t="s">
        <v>81</v>
      </c>
      <c r="I8" s="5"/>
      <c r="J8" s="5"/>
      <c r="K8" s="5"/>
      <c r="L8" s="21" t="s">
        <v>82</v>
      </c>
      <c r="M8" s="21" t="s">
        <v>37</v>
      </c>
      <c r="N8" s="21" t="s">
        <v>83</v>
      </c>
      <c r="O8" s="21" t="s">
        <v>84</v>
      </c>
      <c r="P8" s="21" t="s">
        <v>85</v>
      </c>
      <c r="Q8" s="145"/>
      <c r="R8" s="146"/>
      <c r="S8" s="146"/>
      <c r="T8" s="5"/>
    </row>
    <row r="9" spans="2:20" s="2" customFormat="1" ht="17.25" customHeight="1">
      <c r="B9" s="5"/>
      <c r="C9" s="16"/>
      <c r="D9" s="16"/>
      <c r="E9" s="5"/>
      <c r="F9" s="5"/>
      <c r="G9" s="19" t="s">
        <v>86</v>
      </c>
      <c r="H9" s="4" t="s">
        <v>87</v>
      </c>
      <c r="I9" s="5"/>
      <c r="J9" s="5"/>
      <c r="K9" s="5"/>
      <c r="L9" s="21" t="s">
        <v>88</v>
      </c>
      <c r="M9" s="21" t="s">
        <v>89</v>
      </c>
      <c r="N9" s="21" t="s">
        <v>90</v>
      </c>
      <c r="O9" s="21" t="s">
        <v>91</v>
      </c>
      <c r="P9" s="21" t="s">
        <v>92</v>
      </c>
      <c r="Q9" s="145"/>
      <c r="R9" s="146"/>
      <c r="S9" s="146"/>
      <c r="T9" s="5"/>
    </row>
    <row r="10" spans="2:20" s="2" customFormat="1" ht="17.25" customHeight="1">
      <c r="B10" s="5"/>
      <c r="D10" s="16"/>
      <c r="E10" s="5"/>
      <c r="F10" s="5"/>
      <c r="G10" s="19" t="s">
        <v>93</v>
      </c>
      <c r="H10" s="4" t="s">
        <v>94</v>
      </c>
      <c r="I10" s="5"/>
      <c r="J10" s="5"/>
      <c r="K10" s="5"/>
      <c r="L10" s="21" t="s">
        <v>95</v>
      </c>
      <c r="M10" s="21" t="s">
        <v>96</v>
      </c>
      <c r="N10" s="21" t="s">
        <v>97</v>
      </c>
      <c r="O10" s="21" t="s">
        <v>98</v>
      </c>
      <c r="P10" s="21" t="s">
        <v>99</v>
      </c>
      <c r="Q10" s="145"/>
      <c r="R10" s="146"/>
      <c r="S10" s="146"/>
      <c r="T10" s="5"/>
    </row>
    <row r="11" spans="2:20" s="2" customFormat="1" ht="17.25" customHeight="1">
      <c r="B11" s="5"/>
      <c r="D11" s="16"/>
      <c r="E11" s="5"/>
      <c r="F11" s="5"/>
      <c r="G11" s="19" t="s">
        <v>100</v>
      </c>
      <c r="H11" s="4" t="s">
        <v>101</v>
      </c>
      <c r="I11" s="5"/>
      <c r="J11" s="5"/>
      <c r="K11" s="5"/>
      <c r="L11" s="5"/>
      <c r="M11" s="5"/>
      <c r="N11" s="5"/>
      <c r="O11" s="5"/>
      <c r="P11" s="5"/>
      <c r="Q11" s="5"/>
      <c r="R11" s="5"/>
      <c r="S11" s="5"/>
      <c r="T11" s="5"/>
    </row>
    <row r="12" spans="2:20" s="2" customFormat="1" ht="12.75">
      <c r="B12" s="5"/>
      <c r="C12" s="16"/>
      <c r="D12" s="5"/>
      <c r="E12" s="5"/>
      <c r="F12" s="5"/>
      <c r="I12" s="5"/>
      <c r="J12" s="5"/>
      <c r="K12" s="5"/>
      <c r="L12" s="5"/>
      <c r="M12" s="5"/>
      <c r="N12" s="5"/>
      <c r="O12" s="5"/>
      <c r="P12" s="5"/>
      <c r="Q12" s="5"/>
      <c r="R12" s="5"/>
      <c r="S12" s="5"/>
      <c r="T12" s="5"/>
    </row>
    <row r="13" spans="2:20" s="3" customFormat="1" ht="12.75">
      <c r="B13" s="232" t="s">
        <v>11</v>
      </c>
      <c r="C13" s="234" t="s">
        <v>12</v>
      </c>
      <c r="D13" s="236" t="s">
        <v>13</v>
      </c>
      <c r="E13" s="232" t="s">
        <v>15</v>
      </c>
      <c r="F13" s="225" t="s">
        <v>16</v>
      </c>
      <c r="G13" s="227"/>
      <c r="H13" s="232" t="s">
        <v>17</v>
      </c>
      <c r="I13" s="225" t="s">
        <v>102</v>
      </c>
      <c r="J13" s="226"/>
      <c r="K13" s="226"/>
      <c r="L13" s="227"/>
      <c r="M13" s="232" t="s">
        <v>103</v>
      </c>
      <c r="N13" s="232" t="s">
        <v>104</v>
      </c>
      <c r="O13" s="232" t="s">
        <v>209</v>
      </c>
      <c r="P13" s="223" t="s">
        <v>205</v>
      </c>
      <c r="Q13" s="223" t="s">
        <v>206</v>
      </c>
      <c r="R13" s="223" t="s">
        <v>207</v>
      </c>
      <c r="S13" s="232" t="s">
        <v>106</v>
      </c>
      <c r="T13" s="232" t="s">
        <v>19</v>
      </c>
    </row>
    <row r="14" spans="2:20" s="3" customFormat="1" ht="43.15" customHeight="1">
      <c r="B14" s="233"/>
      <c r="C14" s="235"/>
      <c r="D14" s="237"/>
      <c r="E14" s="233"/>
      <c r="F14" s="22" t="s">
        <v>20</v>
      </c>
      <c r="G14" s="22" t="s">
        <v>21</v>
      </c>
      <c r="H14" s="233"/>
      <c r="I14" s="23" t="s">
        <v>107</v>
      </c>
      <c r="J14" s="23" t="s">
        <v>108</v>
      </c>
      <c r="K14" s="23" t="s">
        <v>109</v>
      </c>
      <c r="L14" s="23" t="s">
        <v>110</v>
      </c>
      <c r="M14" s="233"/>
      <c r="N14" s="233"/>
      <c r="O14" s="233"/>
      <c r="P14" s="224"/>
      <c r="Q14" s="224"/>
      <c r="R14" s="224"/>
      <c r="S14" s="233"/>
      <c r="T14" s="233"/>
    </row>
    <row r="15" spans="2:20" s="2" customFormat="1" ht="47.25" customHeight="1">
      <c r="B15" s="82">
        <v>1</v>
      </c>
      <c r="C15" s="83" t="str">
        <f>'Breakdown CI'!D10</f>
        <v>S1</v>
      </c>
      <c r="D15" s="84" t="s">
        <v>204</v>
      </c>
      <c r="E15" s="144" t="s">
        <v>111</v>
      </c>
      <c r="F15" s="82">
        <v>1</v>
      </c>
      <c r="G15" s="82" t="s">
        <v>67</v>
      </c>
      <c r="H15" s="86" t="s">
        <v>112</v>
      </c>
      <c r="I15" s="87">
        <v>410</v>
      </c>
      <c r="J15" s="87">
        <v>150</v>
      </c>
      <c r="K15" s="87">
        <v>83</v>
      </c>
      <c r="L15" s="136">
        <v>5.1044999999999998</v>
      </c>
      <c r="M15" s="137">
        <v>2492</v>
      </c>
      <c r="N15" s="137">
        <v>2772</v>
      </c>
      <c r="O15" s="88" t="s">
        <v>113</v>
      </c>
      <c r="P15" s="88" t="s">
        <v>208</v>
      </c>
      <c r="Q15" s="88" t="s">
        <v>208</v>
      </c>
      <c r="R15" s="88" t="s">
        <v>208</v>
      </c>
      <c r="S15" s="88" t="s">
        <v>114</v>
      </c>
      <c r="T15" s="88" t="s">
        <v>115</v>
      </c>
    </row>
    <row r="16" spans="2:20" s="2" customFormat="1" ht="47.25" customHeight="1">
      <c r="B16" s="82">
        <v>2</v>
      </c>
      <c r="C16" s="83" t="s">
        <v>217</v>
      </c>
      <c r="D16" s="84" t="s">
        <v>36</v>
      </c>
      <c r="E16" s="85" t="s">
        <v>203</v>
      </c>
      <c r="F16" s="82">
        <v>1</v>
      </c>
      <c r="G16" s="82" t="s">
        <v>67</v>
      </c>
      <c r="H16" s="86" t="s">
        <v>112</v>
      </c>
      <c r="I16" s="87">
        <v>170</v>
      </c>
      <c r="J16" s="87">
        <v>115</v>
      </c>
      <c r="K16" s="87">
        <v>85</v>
      </c>
      <c r="L16" s="136">
        <v>1.6617500000000001</v>
      </c>
      <c r="M16" s="138">
        <v>1568</v>
      </c>
      <c r="N16" s="138">
        <v>1668</v>
      </c>
      <c r="O16" s="88" t="s">
        <v>113</v>
      </c>
      <c r="P16" s="88" t="s">
        <v>208</v>
      </c>
      <c r="Q16" s="88" t="s">
        <v>208</v>
      </c>
      <c r="R16" s="88" t="s">
        <v>208</v>
      </c>
      <c r="S16" s="88" t="s">
        <v>114</v>
      </c>
      <c r="T16" s="88" t="s">
        <v>115</v>
      </c>
    </row>
    <row r="17" spans="2:20" s="2" customFormat="1" ht="47.25" customHeight="1">
      <c r="B17" s="82">
        <v>3</v>
      </c>
      <c r="C17" s="83" t="s">
        <v>218</v>
      </c>
      <c r="D17" s="84" t="s">
        <v>36</v>
      </c>
      <c r="E17" s="85" t="s">
        <v>203</v>
      </c>
      <c r="F17" s="82">
        <v>1</v>
      </c>
      <c r="G17" s="82" t="s">
        <v>67</v>
      </c>
      <c r="H17" s="86" t="s">
        <v>112</v>
      </c>
      <c r="I17" s="87">
        <v>175</v>
      </c>
      <c r="J17" s="87">
        <v>115</v>
      </c>
      <c r="K17" s="87">
        <v>105</v>
      </c>
      <c r="L17" s="136">
        <v>2.1131250000000001</v>
      </c>
      <c r="M17" s="138">
        <f>'Detailed PL'!P28</f>
        <v>2120</v>
      </c>
      <c r="N17" s="138">
        <f>'Detailed PL'!Q28</f>
        <v>2240</v>
      </c>
      <c r="O17" s="88" t="s">
        <v>113</v>
      </c>
      <c r="P17" s="88" t="s">
        <v>208</v>
      </c>
      <c r="Q17" s="88" t="s">
        <v>208</v>
      </c>
      <c r="R17" s="88" t="s">
        <v>208</v>
      </c>
      <c r="S17" s="88" t="s">
        <v>114</v>
      </c>
      <c r="T17" s="88" t="s">
        <v>115</v>
      </c>
    </row>
    <row r="18" spans="2:20" s="2" customFormat="1" ht="47.25" customHeight="1">
      <c r="B18" s="82">
        <v>4</v>
      </c>
      <c r="C18" s="83" t="str">
        <f>'Breakdown CI'!D26</f>
        <v>S1</v>
      </c>
      <c r="D18" s="84" t="s">
        <v>36</v>
      </c>
      <c r="E18" s="85" t="s">
        <v>203</v>
      </c>
      <c r="F18" s="82">
        <v>1</v>
      </c>
      <c r="G18" s="82" t="s">
        <v>67</v>
      </c>
      <c r="H18" s="86" t="s">
        <v>112</v>
      </c>
      <c r="I18" s="87">
        <v>175</v>
      </c>
      <c r="J18" s="87">
        <v>115</v>
      </c>
      <c r="K18" s="87">
        <v>105</v>
      </c>
      <c r="L18" s="136">
        <v>2.1131250000000001</v>
      </c>
      <c r="M18" s="138">
        <f>'Detailed PL'!P31</f>
        <v>2120</v>
      </c>
      <c r="N18" s="138">
        <f>'Detailed PL'!Q31</f>
        <v>2240</v>
      </c>
      <c r="O18" s="88" t="s">
        <v>113</v>
      </c>
      <c r="P18" s="88" t="s">
        <v>208</v>
      </c>
      <c r="Q18" s="88" t="s">
        <v>208</v>
      </c>
      <c r="R18" s="88" t="s">
        <v>208</v>
      </c>
      <c r="S18" s="88" t="s">
        <v>114</v>
      </c>
      <c r="T18" s="88" t="s">
        <v>115</v>
      </c>
    </row>
    <row r="19" spans="2:20" s="2" customFormat="1" ht="47.25" customHeight="1">
      <c r="B19" s="82">
        <v>5</v>
      </c>
      <c r="C19" s="83" t="str">
        <f>'Breakdown CI'!D29</f>
        <v>S1</v>
      </c>
      <c r="D19" s="84" t="s">
        <v>36</v>
      </c>
      <c r="E19" s="85" t="s">
        <v>203</v>
      </c>
      <c r="F19" s="82">
        <v>1</v>
      </c>
      <c r="G19" s="82" t="s">
        <v>67</v>
      </c>
      <c r="H19" s="86" t="s">
        <v>112</v>
      </c>
      <c r="I19" s="87">
        <v>175</v>
      </c>
      <c r="J19" s="87">
        <v>115</v>
      </c>
      <c r="K19" s="87">
        <v>105</v>
      </c>
      <c r="L19" s="136">
        <v>2.1131250000000001</v>
      </c>
      <c r="M19" s="138">
        <f>'Detailed PL'!P34</f>
        <v>2160</v>
      </c>
      <c r="N19" s="138">
        <f>'Detailed PL'!Q34</f>
        <v>2280</v>
      </c>
      <c r="O19" s="88" t="s">
        <v>113</v>
      </c>
      <c r="P19" s="88" t="s">
        <v>208</v>
      </c>
      <c r="Q19" s="88" t="s">
        <v>208</v>
      </c>
      <c r="R19" s="88" t="s">
        <v>208</v>
      </c>
      <c r="S19" s="88" t="s">
        <v>114</v>
      </c>
      <c r="T19" s="88" t="s">
        <v>115</v>
      </c>
    </row>
    <row r="20" spans="2:20" s="2" customFormat="1" ht="47.25" customHeight="1">
      <c r="B20" s="82">
        <v>6</v>
      </c>
      <c r="C20" s="83" t="str">
        <f>'Breakdown CI'!D32</f>
        <v>S1</v>
      </c>
      <c r="D20" s="84" t="s">
        <v>36</v>
      </c>
      <c r="E20" s="85" t="s">
        <v>203</v>
      </c>
      <c r="F20" s="82">
        <v>1</v>
      </c>
      <c r="G20" s="82" t="s">
        <v>67</v>
      </c>
      <c r="H20" s="86" t="s">
        <v>112</v>
      </c>
      <c r="I20" s="87">
        <v>215</v>
      </c>
      <c r="J20" s="87">
        <v>115</v>
      </c>
      <c r="K20" s="87">
        <v>85</v>
      </c>
      <c r="L20" s="136">
        <v>2.1016249999999999</v>
      </c>
      <c r="M20" s="138">
        <v>2376</v>
      </c>
      <c r="N20" s="138">
        <v>2516</v>
      </c>
      <c r="O20" s="88" t="s">
        <v>113</v>
      </c>
      <c r="P20" s="88" t="s">
        <v>208</v>
      </c>
      <c r="Q20" s="88" t="s">
        <v>208</v>
      </c>
      <c r="R20" s="88" t="s">
        <v>208</v>
      </c>
      <c r="S20" s="88" t="s">
        <v>114</v>
      </c>
      <c r="T20" s="88" t="s">
        <v>115</v>
      </c>
    </row>
    <row r="21" spans="2:20" s="2" customFormat="1" ht="47.25" customHeight="1">
      <c r="B21" s="82">
        <v>7</v>
      </c>
      <c r="C21" s="83" t="str">
        <f>'Breakdown CI'!D35</f>
        <v>S1</v>
      </c>
      <c r="D21" s="84" t="s">
        <v>36</v>
      </c>
      <c r="E21" s="85" t="s">
        <v>203</v>
      </c>
      <c r="F21" s="82">
        <v>1</v>
      </c>
      <c r="G21" s="82" t="s">
        <v>67</v>
      </c>
      <c r="H21" s="86" t="s">
        <v>112</v>
      </c>
      <c r="I21" s="87">
        <v>115</v>
      </c>
      <c r="J21" s="87">
        <v>115</v>
      </c>
      <c r="K21" s="87">
        <v>80</v>
      </c>
      <c r="L21" s="136">
        <v>1.0580000000000001</v>
      </c>
      <c r="M21" s="138">
        <v>1567</v>
      </c>
      <c r="N21" s="138">
        <v>1627</v>
      </c>
      <c r="O21" s="88" t="s">
        <v>113</v>
      </c>
      <c r="P21" s="88" t="s">
        <v>208</v>
      </c>
      <c r="Q21" s="88" t="s">
        <v>208</v>
      </c>
      <c r="R21" s="88" t="s">
        <v>208</v>
      </c>
      <c r="S21" s="88" t="s">
        <v>114</v>
      </c>
      <c r="T21" s="88" t="s">
        <v>115</v>
      </c>
    </row>
    <row r="22" spans="2:20" s="2" customFormat="1" ht="47.25" customHeight="1">
      <c r="B22" s="82">
        <v>8</v>
      </c>
      <c r="C22" s="83" t="str">
        <f>'Breakdown CI'!D47</f>
        <v>S1</v>
      </c>
      <c r="D22" s="84" t="s">
        <v>36</v>
      </c>
      <c r="E22" s="85" t="s">
        <v>203</v>
      </c>
      <c r="F22" s="82">
        <v>1</v>
      </c>
      <c r="G22" s="82" t="s">
        <v>67</v>
      </c>
      <c r="H22" s="86" t="s">
        <v>112</v>
      </c>
      <c r="I22" s="87">
        <v>245</v>
      </c>
      <c r="J22" s="87">
        <v>115</v>
      </c>
      <c r="K22" s="87">
        <v>120</v>
      </c>
      <c r="L22" s="136">
        <v>3.38</v>
      </c>
      <c r="M22" s="138">
        <v>2640</v>
      </c>
      <c r="N22" s="138">
        <v>2790</v>
      </c>
      <c r="O22" s="88" t="s">
        <v>113</v>
      </c>
      <c r="P22" s="88" t="s">
        <v>208</v>
      </c>
      <c r="Q22" s="88" t="s">
        <v>208</v>
      </c>
      <c r="R22" s="88" t="s">
        <v>208</v>
      </c>
      <c r="S22" s="88" t="s">
        <v>114</v>
      </c>
      <c r="T22" s="88" t="s">
        <v>115</v>
      </c>
    </row>
    <row r="23" spans="2:20" s="2" customFormat="1" ht="47.25" customHeight="1">
      <c r="B23" s="82">
        <v>9</v>
      </c>
      <c r="C23" s="83" t="str">
        <f>'Breakdown CI'!D54</f>
        <v>S1</v>
      </c>
      <c r="D23" s="84" t="s">
        <v>61</v>
      </c>
      <c r="E23" s="85" t="s">
        <v>203</v>
      </c>
      <c r="F23" s="82">
        <v>1</v>
      </c>
      <c r="G23" s="82" t="s">
        <v>67</v>
      </c>
      <c r="H23" s="86" t="s">
        <v>112</v>
      </c>
      <c r="I23" s="87">
        <v>90</v>
      </c>
      <c r="J23" s="87">
        <v>90</v>
      </c>
      <c r="K23" s="87">
        <v>60</v>
      </c>
      <c r="L23" s="136">
        <v>0.48599999999999999</v>
      </c>
      <c r="M23" s="138">
        <v>155</v>
      </c>
      <c r="N23" s="138">
        <v>195</v>
      </c>
      <c r="O23" s="88" t="s">
        <v>113</v>
      </c>
      <c r="P23" s="88" t="s">
        <v>208</v>
      </c>
      <c r="Q23" s="88" t="s">
        <v>208</v>
      </c>
      <c r="R23" s="88" t="s">
        <v>208</v>
      </c>
      <c r="S23" s="88" t="s">
        <v>114</v>
      </c>
      <c r="T23" s="88" t="s">
        <v>115</v>
      </c>
    </row>
    <row r="24" spans="2:20" ht="18.75" customHeight="1">
      <c r="B24" s="225" t="s">
        <v>116</v>
      </c>
      <c r="C24" s="226"/>
      <c r="D24" s="226"/>
      <c r="E24" s="226"/>
      <c r="F24" s="226"/>
      <c r="G24" s="226"/>
      <c r="H24" s="226"/>
      <c r="I24" s="226"/>
      <c r="J24" s="226"/>
      <c r="K24" s="227"/>
      <c r="L24" s="160">
        <f>SUM(L15:L23)</f>
        <v>20.131250000000001</v>
      </c>
      <c r="M24" s="139">
        <f>SUM(M15:M23)</f>
        <v>17198</v>
      </c>
      <c r="N24" s="139">
        <f>SUM(N15:N23)</f>
        <v>18328</v>
      </c>
      <c r="O24" s="21"/>
      <c r="P24" s="21"/>
      <c r="Q24" s="21"/>
      <c r="R24" s="21"/>
      <c r="S24" s="21"/>
      <c r="T24" s="21"/>
    </row>
    <row r="25" spans="2:20" ht="18" customHeight="1">
      <c r="D25" s="24"/>
      <c r="T25" s="26"/>
    </row>
    <row r="26" spans="2:20" ht="18" customHeight="1">
      <c r="D26" s="24"/>
      <c r="T26" s="26"/>
    </row>
    <row r="27" spans="2:20" ht="18" customHeight="1">
      <c r="D27" s="24"/>
      <c r="T27" s="26"/>
    </row>
    <row r="28" spans="2:20" ht="18" customHeight="1">
      <c r="D28" s="24"/>
      <c r="T28" s="26"/>
    </row>
    <row r="29" spans="2:20" ht="18" customHeight="1">
      <c r="D29" s="24"/>
      <c r="T29" s="26"/>
    </row>
    <row r="30" spans="2:20" ht="18" customHeight="1">
      <c r="D30" s="24"/>
      <c r="T30" s="26"/>
    </row>
    <row r="31" spans="2:20" ht="18" customHeight="1">
      <c r="D31" s="24"/>
      <c r="T31" s="26"/>
    </row>
    <row r="32" spans="2:20" ht="18" customHeight="1">
      <c r="D32" s="24"/>
      <c r="T32" s="26"/>
    </row>
    <row r="33" spans="4:20" ht="18" customHeight="1">
      <c r="D33" s="24"/>
      <c r="T33" s="26"/>
    </row>
    <row r="34" spans="4:20" ht="18" customHeight="1">
      <c r="D34" s="24"/>
      <c r="T34" s="26"/>
    </row>
  </sheetData>
  <mergeCells count="18">
    <mergeCell ref="S13:S14"/>
    <mergeCell ref="T13:T14"/>
    <mergeCell ref="P13:P14"/>
    <mergeCell ref="Q13:Q14"/>
    <mergeCell ref="R13:R14"/>
    <mergeCell ref="B24:K24"/>
    <mergeCell ref="C3:I3"/>
    <mergeCell ref="B4:T4"/>
    <mergeCell ref="B13:B14"/>
    <mergeCell ref="C13:C14"/>
    <mergeCell ref="D13:D14"/>
    <mergeCell ref="E13:E14"/>
    <mergeCell ref="F13:G13"/>
    <mergeCell ref="H13:H14"/>
    <mergeCell ref="I13:L13"/>
    <mergeCell ref="M13:M14"/>
    <mergeCell ref="N13:N14"/>
    <mergeCell ref="O13:O14"/>
  </mergeCells>
  <phoneticPr fontId="25" type="noConversion"/>
  <printOptions horizontalCentered="1"/>
  <pageMargins left="0.70866141732283472" right="0.70866141732283472" top="0.74803149606299213" bottom="0.74803149606299213" header="0.31496062992125984" footer="0.31496062992125984"/>
  <pageSetup paperSize="9" scale="53" fitToHeight="0" orientation="landscape" r:id="rId1"/>
  <headerFooter alignWithMargins="0">
    <oddFooter>&amp;C&amp;P/&amp;N</oddFooter>
  </headerFooter>
  <drawing r:id="rId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00B050"/>
    <pageSetUpPr fitToPage="1"/>
  </sheetPr>
  <dimension ref="A1:M39"/>
  <sheetViews>
    <sheetView showGridLines="0" view="pageBreakPreview" topLeftCell="A11" zoomScaleNormal="70" zoomScaleSheetLayoutView="100" workbookViewId="0">
      <selection activeCell="C17" sqref="C17"/>
    </sheetView>
  </sheetViews>
  <sheetFormatPr defaultColWidth="7.71484375" defaultRowHeight="23.25"/>
  <cols>
    <col min="1" max="1" width="43.03515625" style="57" customWidth="1"/>
    <col min="2" max="2" width="2.5703125" style="58" customWidth="1"/>
    <col min="3" max="3" width="11.69140625" style="57" customWidth="1"/>
    <col min="4" max="4" width="10.0546875" style="57" customWidth="1"/>
    <col min="5" max="5" width="9.9375" style="57" customWidth="1"/>
    <col min="6" max="6" width="12.16015625" style="57" customWidth="1"/>
    <col min="7" max="7" width="10.171875" style="57" bestFit="1" customWidth="1"/>
    <col min="8" max="8" width="10.0546875" style="57" customWidth="1"/>
    <col min="9" max="9" width="12.04296875" style="57" customWidth="1"/>
    <col min="10" max="10" width="9.5859375" style="57" customWidth="1"/>
    <col min="11" max="11" width="0.69921875" style="57" customWidth="1"/>
    <col min="12" max="12" width="7.71484375" style="57"/>
    <col min="13" max="13" width="14.3828125" style="57" bestFit="1" customWidth="1"/>
    <col min="14" max="16384" width="7.71484375" style="57"/>
  </cols>
  <sheetData>
    <row r="1" spans="1:13" ht="91.15" customHeight="1" thickBot="1">
      <c r="A1" s="186" t="s">
        <v>165</v>
      </c>
      <c r="B1" s="186"/>
      <c r="C1" s="186"/>
      <c r="D1" s="186"/>
      <c r="E1" s="186"/>
      <c r="F1" s="186"/>
      <c r="G1" s="186"/>
      <c r="H1" s="186"/>
      <c r="I1" s="186"/>
      <c r="J1" s="186"/>
    </row>
    <row r="2" spans="1:13" ht="32.65" customHeight="1">
      <c r="A2" s="187" t="s">
        <v>166</v>
      </c>
      <c r="B2" s="188"/>
      <c r="C2" s="188"/>
      <c r="D2" s="188"/>
      <c r="E2" s="188"/>
      <c r="F2" s="188"/>
      <c r="G2" s="188"/>
      <c r="H2" s="188"/>
      <c r="I2" s="188"/>
      <c r="J2" s="189"/>
    </row>
    <row r="3" spans="1:13" ht="28.15" customHeight="1">
      <c r="A3" s="190" t="s">
        <v>167</v>
      </c>
      <c r="B3" s="191"/>
      <c r="C3" s="191"/>
      <c r="D3" s="191"/>
      <c r="E3" s="191"/>
      <c r="F3" s="191"/>
      <c r="G3" s="191"/>
      <c r="H3" s="191"/>
      <c r="I3" s="191"/>
      <c r="J3" s="192"/>
    </row>
    <row r="4" spans="1:13" s="59" customFormat="1" ht="30" customHeight="1">
      <c r="A4" s="105" t="s">
        <v>168</v>
      </c>
      <c r="B4" s="106" t="s">
        <v>169</v>
      </c>
      <c r="C4" s="193" t="s">
        <v>170</v>
      </c>
      <c r="D4" s="194"/>
      <c r="E4" s="194"/>
      <c r="F4" s="194"/>
      <c r="G4" s="194"/>
      <c r="H4" s="194"/>
      <c r="I4" s="194"/>
      <c r="J4" s="195"/>
    </row>
    <row r="5" spans="1:13" s="59" customFormat="1" ht="55.5" customHeight="1">
      <c r="A5" s="107" t="s">
        <v>171</v>
      </c>
      <c r="B5" s="108" t="s">
        <v>169</v>
      </c>
      <c r="C5" s="184" t="s">
        <v>172</v>
      </c>
      <c r="D5" s="184"/>
      <c r="E5" s="184"/>
      <c r="F5" s="184"/>
      <c r="G5" s="184"/>
      <c r="H5" s="184"/>
      <c r="I5" s="184"/>
      <c r="J5" s="185"/>
    </row>
    <row r="6" spans="1:13" s="59" customFormat="1" ht="101.65" customHeight="1">
      <c r="A6" s="107" t="s">
        <v>173</v>
      </c>
      <c r="B6" s="109" t="s">
        <v>169</v>
      </c>
      <c r="C6" s="184" t="s">
        <v>174</v>
      </c>
      <c r="D6" s="184"/>
      <c r="E6" s="184"/>
      <c r="F6" s="184"/>
      <c r="G6" s="184"/>
      <c r="H6" s="184"/>
      <c r="I6" s="184"/>
      <c r="J6" s="185"/>
    </row>
    <row r="7" spans="1:13" s="59" customFormat="1" ht="243.4" customHeight="1">
      <c r="A7" s="107" t="s">
        <v>175</v>
      </c>
      <c r="B7" s="109" t="s">
        <v>176</v>
      </c>
      <c r="C7" s="184" t="s">
        <v>177</v>
      </c>
      <c r="D7" s="184"/>
      <c r="E7" s="184"/>
      <c r="F7" s="184"/>
      <c r="G7" s="184"/>
      <c r="H7" s="184"/>
      <c r="I7" s="184"/>
      <c r="J7" s="185"/>
    </row>
    <row r="8" spans="1:13" s="59" customFormat="1" ht="28.15" customHeight="1">
      <c r="A8" s="107" t="s">
        <v>178</v>
      </c>
      <c r="B8" s="108" t="s">
        <v>169</v>
      </c>
      <c r="C8" s="184" t="s">
        <v>1</v>
      </c>
      <c r="D8" s="184"/>
      <c r="E8" s="184"/>
      <c r="F8" s="184"/>
      <c r="G8" s="184"/>
      <c r="H8" s="184"/>
      <c r="I8" s="184"/>
      <c r="J8" s="185"/>
    </row>
    <row r="9" spans="1:13" s="59" customFormat="1" ht="33.4" customHeight="1">
      <c r="A9" s="107" t="s">
        <v>179</v>
      </c>
      <c r="B9" s="108" t="s">
        <v>176</v>
      </c>
      <c r="C9" s="184" t="s">
        <v>0</v>
      </c>
      <c r="D9" s="184"/>
      <c r="E9" s="184"/>
      <c r="F9" s="184"/>
      <c r="G9" s="184"/>
      <c r="H9" s="184"/>
      <c r="I9" s="184"/>
      <c r="J9" s="185"/>
    </row>
    <row r="10" spans="1:13" s="59" customFormat="1" ht="28.9" customHeight="1">
      <c r="A10" s="107" t="s">
        <v>180</v>
      </c>
      <c r="B10" s="108" t="s">
        <v>169</v>
      </c>
      <c r="C10" s="184" t="s">
        <v>181</v>
      </c>
      <c r="D10" s="184"/>
      <c r="E10" s="184"/>
      <c r="F10" s="184"/>
      <c r="G10" s="184"/>
      <c r="H10" s="184"/>
      <c r="I10" s="184"/>
      <c r="J10" s="185"/>
    </row>
    <row r="11" spans="1:13" s="59" customFormat="1" ht="43.5" customHeight="1">
      <c r="A11" s="107" t="s">
        <v>182</v>
      </c>
      <c r="B11" s="108" t="s">
        <v>169</v>
      </c>
      <c r="C11" s="184" t="str">
        <f>'PL(2_2)'!D20</f>
        <v>HRSG Embeded Material (Anchor Bolt/Nut/Washer)</v>
      </c>
      <c r="D11" s="184"/>
      <c r="E11" s="184"/>
      <c r="F11" s="184"/>
      <c r="G11" s="184"/>
      <c r="H11" s="184"/>
      <c r="I11" s="184"/>
      <c r="J11" s="185"/>
      <c r="L11" s="59" t="s">
        <v>183</v>
      </c>
    </row>
    <row r="12" spans="1:13" s="59" customFormat="1" ht="31.9" customHeight="1">
      <c r="A12" s="107" t="s">
        <v>184</v>
      </c>
      <c r="B12" s="109" t="s">
        <v>176</v>
      </c>
      <c r="C12" s="110" t="s">
        <v>185</v>
      </c>
      <c r="D12" s="122"/>
      <c r="E12" s="122"/>
      <c r="F12" s="122"/>
      <c r="G12" s="122"/>
      <c r="H12" s="122"/>
      <c r="I12" s="122"/>
      <c r="J12" s="123"/>
      <c r="M12" s="61"/>
    </row>
    <row r="13" spans="1:13" s="59" customFormat="1" ht="37.5" customHeight="1">
      <c r="A13" s="107" t="s">
        <v>186</v>
      </c>
      <c r="B13" s="109" t="s">
        <v>176</v>
      </c>
      <c r="C13" s="110" t="s">
        <v>42</v>
      </c>
      <c r="D13" s="122"/>
      <c r="E13" s="122"/>
      <c r="F13" s="122"/>
      <c r="G13" s="122"/>
      <c r="H13" s="122"/>
      <c r="I13" s="122"/>
      <c r="J13" s="123"/>
      <c r="L13" s="59" t="s">
        <v>187</v>
      </c>
      <c r="M13" s="61"/>
    </row>
    <row r="14" spans="1:13" s="59" customFormat="1" ht="36.4" customHeight="1">
      <c r="A14" s="107" t="s">
        <v>188</v>
      </c>
      <c r="B14" s="108" t="s">
        <v>169</v>
      </c>
      <c r="C14" s="111">
        <v>2376</v>
      </c>
      <c r="D14" s="112" t="s">
        <v>189</v>
      </c>
      <c r="E14" s="113"/>
      <c r="F14" s="113"/>
      <c r="G14" s="113"/>
      <c r="H14" s="113"/>
      <c r="I14" s="113"/>
      <c r="J14" s="114"/>
    </row>
    <row r="15" spans="1:13" s="59" customFormat="1" ht="57.4" customHeight="1">
      <c r="A15" s="107" t="s">
        <v>190</v>
      </c>
      <c r="B15" s="108" t="s">
        <v>169</v>
      </c>
      <c r="C15" s="111">
        <v>2516</v>
      </c>
      <c r="D15" s="112" t="s">
        <v>189</v>
      </c>
      <c r="E15" s="113"/>
      <c r="F15" s="115"/>
      <c r="G15" s="113"/>
      <c r="H15" s="113"/>
      <c r="I15" s="113"/>
      <c r="J15" s="116"/>
    </row>
    <row r="16" spans="1:13" s="59" customFormat="1" ht="53.65" customHeight="1">
      <c r="A16" s="107" t="s">
        <v>191</v>
      </c>
      <c r="B16" s="109" t="s">
        <v>169</v>
      </c>
      <c r="C16" s="111">
        <v>215</v>
      </c>
      <c r="D16" s="117" t="s">
        <v>192</v>
      </c>
      <c r="E16" s="111">
        <v>115</v>
      </c>
      <c r="F16" s="117" t="s">
        <v>193</v>
      </c>
      <c r="G16" s="111">
        <v>85</v>
      </c>
      <c r="H16" s="117" t="s">
        <v>194</v>
      </c>
      <c r="I16" s="118">
        <v>2.1016249999999999</v>
      </c>
      <c r="J16" s="119" t="s">
        <v>195</v>
      </c>
    </row>
    <row r="17" spans="1:13" s="59" customFormat="1" ht="31.15" customHeight="1">
      <c r="A17" s="64" t="s">
        <v>196</v>
      </c>
      <c r="B17" s="60" t="s">
        <v>169</v>
      </c>
      <c r="C17" s="76" t="s">
        <v>211</v>
      </c>
      <c r="D17" s="77"/>
      <c r="E17" s="78"/>
      <c r="F17" s="77"/>
      <c r="G17" s="78"/>
      <c r="H17" s="77"/>
      <c r="I17" s="79"/>
      <c r="J17" s="80"/>
    </row>
    <row r="18" spans="1:13" s="59" customFormat="1" ht="49.15" customHeight="1">
      <c r="A18" s="64" t="s">
        <v>197</v>
      </c>
      <c r="B18" s="60" t="s">
        <v>169</v>
      </c>
      <c r="C18" s="76" t="s">
        <v>198</v>
      </c>
      <c r="D18" s="77"/>
      <c r="E18" s="78"/>
      <c r="F18" s="77"/>
      <c r="G18" s="78"/>
      <c r="H18" s="77"/>
      <c r="I18" s="79"/>
      <c r="J18" s="80"/>
    </row>
    <row r="19" spans="1:13" s="59" customFormat="1" ht="40.15" customHeight="1">
      <c r="A19" s="65" t="s">
        <v>199</v>
      </c>
      <c r="B19" s="60" t="s">
        <v>169</v>
      </c>
      <c r="C19" s="76" t="s">
        <v>126</v>
      </c>
      <c r="D19" s="77"/>
      <c r="E19" s="78"/>
      <c r="F19" s="77"/>
      <c r="G19" s="78"/>
      <c r="H19" s="77"/>
      <c r="I19" s="79"/>
      <c r="J19" s="80"/>
    </row>
    <row r="20" spans="1:13" s="59" customFormat="1" ht="40.15" customHeight="1">
      <c r="A20" s="66" t="s">
        <v>200</v>
      </c>
      <c r="B20" s="62" t="s">
        <v>169</v>
      </c>
      <c r="C20" s="120" t="s">
        <v>201</v>
      </c>
      <c r="D20" s="74"/>
      <c r="E20" s="74"/>
      <c r="F20" s="74"/>
      <c r="G20" s="74"/>
      <c r="H20" s="74"/>
      <c r="I20" s="74"/>
      <c r="J20" s="75"/>
    </row>
    <row r="21" spans="1:13" ht="120" hidden="1" customHeight="1" thickBot="1"/>
    <row r="22" spans="1:13" ht="55.15" hidden="1" customHeight="1"/>
    <row r="23" spans="1:13" ht="55.15" hidden="1" customHeight="1" thickBot="1"/>
    <row r="24" spans="1:13" ht="40.15" hidden="1" customHeight="1"/>
    <row r="25" spans="1:13" s="59" customFormat="1" ht="40.15" hidden="1" customHeight="1">
      <c r="A25" s="57"/>
      <c r="B25" s="58"/>
      <c r="C25" s="57"/>
      <c r="D25" s="57"/>
      <c r="E25" s="57"/>
      <c r="F25" s="57"/>
      <c r="G25" s="57"/>
      <c r="H25" s="57"/>
      <c r="I25" s="57"/>
      <c r="J25" s="57"/>
    </row>
    <row r="26" spans="1:13" s="59" customFormat="1" ht="55.5" hidden="1" customHeight="1">
      <c r="A26" s="57"/>
      <c r="B26" s="58"/>
      <c r="C26" s="57"/>
      <c r="D26" s="57"/>
      <c r="E26" s="57"/>
      <c r="F26" s="57"/>
      <c r="G26" s="57"/>
      <c r="H26" s="57"/>
      <c r="I26" s="57"/>
      <c r="J26" s="57"/>
    </row>
    <row r="27" spans="1:13" s="59" customFormat="1" ht="53.25" hidden="1" customHeight="1">
      <c r="A27" s="57"/>
      <c r="B27" s="58"/>
      <c r="C27" s="57"/>
      <c r="D27" s="57"/>
      <c r="E27" s="57"/>
      <c r="F27" s="57"/>
      <c r="G27" s="57"/>
      <c r="H27" s="57"/>
      <c r="I27" s="57"/>
      <c r="J27" s="57"/>
    </row>
    <row r="28" spans="1:13" s="59" customFormat="1" ht="99.75" hidden="1" customHeight="1">
      <c r="A28" s="57"/>
      <c r="B28" s="58"/>
      <c r="C28" s="57"/>
      <c r="D28" s="57"/>
      <c r="E28" s="57"/>
      <c r="F28" s="57"/>
      <c r="G28" s="57"/>
      <c r="H28" s="57"/>
      <c r="I28" s="57"/>
      <c r="J28" s="57"/>
    </row>
    <row r="29" spans="1:13" s="59" customFormat="1" ht="40.15" hidden="1" customHeight="1">
      <c r="A29" s="57"/>
      <c r="B29" s="58"/>
      <c r="C29" s="57"/>
      <c r="D29" s="57"/>
      <c r="E29" s="57"/>
      <c r="F29" s="57"/>
      <c r="G29" s="57"/>
      <c r="H29" s="57"/>
      <c r="I29" s="57"/>
      <c r="J29" s="57"/>
    </row>
    <row r="30" spans="1:13" s="59" customFormat="1" ht="40.15" hidden="1" customHeight="1">
      <c r="A30" s="57"/>
      <c r="B30" s="58"/>
      <c r="C30" s="57"/>
      <c r="D30" s="57"/>
      <c r="E30" s="57"/>
      <c r="F30" s="57"/>
      <c r="G30" s="57"/>
      <c r="H30" s="57"/>
      <c r="I30" s="57"/>
      <c r="J30" s="57"/>
    </row>
    <row r="31" spans="1:13" s="59" customFormat="1" ht="75" hidden="1" customHeight="1">
      <c r="A31" s="57"/>
      <c r="B31" s="58"/>
      <c r="C31" s="57"/>
      <c r="D31" s="57"/>
      <c r="E31" s="57"/>
      <c r="F31" s="57"/>
      <c r="G31" s="57"/>
      <c r="H31" s="57"/>
      <c r="I31" s="57"/>
      <c r="J31" s="57"/>
    </row>
    <row r="32" spans="1:13" s="59" customFormat="1" ht="40.15" hidden="1" customHeight="1">
      <c r="A32" s="57"/>
      <c r="B32" s="58"/>
      <c r="C32" s="57"/>
      <c r="D32" s="57"/>
      <c r="E32" s="57"/>
      <c r="F32" s="57"/>
      <c r="G32" s="57"/>
      <c r="H32" s="57"/>
      <c r="I32" s="57"/>
      <c r="J32" s="57"/>
      <c r="M32" s="61"/>
    </row>
    <row r="33" spans="1:10" s="59" customFormat="1" ht="40.15" hidden="1" customHeight="1">
      <c r="A33" s="57"/>
      <c r="B33" s="58"/>
      <c r="C33" s="57"/>
      <c r="D33" s="57"/>
      <c r="E33" s="57"/>
      <c r="F33" s="57"/>
      <c r="G33" s="57"/>
      <c r="H33" s="57"/>
      <c r="I33" s="57"/>
      <c r="J33" s="57"/>
    </row>
    <row r="34" spans="1:10" s="59" customFormat="1" ht="40.15" hidden="1" customHeight="1">
      <c r="A34" s="57"/>
      <c r="B34" s="58"/>
      <c r="C34" s="57"/>
      <c r="D34" s="57"/>
      <c r="E34" s="57"/>
      <c r="F34" s="57"/>
      <c r="G34" s="57"/>
      <c r="H34" s="57"/>
      <c r="I34" s="57"/>
      <c r="J34" s="57"/>
    </row>
    <row r="35" spans="1:10" s="59" customFormat="1" ht="40.15" hidden="1" customHeight="1">
      <c r="A35" s="57"/>
      <c r="B35" s="58"/>
      <c r="C35" s="57"/>
      <c r="D35" s="57"/>
      <c r="E35" s="57"/>
      <c r="F35" s="57"/>
      <c r="G35" s="57"/>
      <c r="H35" s="57"/>
      <c r="I35" s="57"/>
      <c r="J35" s="57"/>
    </row>
    <row r="36" spans="1:10" s="59" customFormat="1" ht="40.15" hidden="1" customHeight="1">
      <c r="A36" s="57"/>
      <c r="B36" s="58"/>
      <c r="C36" s="57"/>
      <c r="D36" s="57"/>
      <c r="E36" s="57"/>
      <c r="F36" s="57"/>
      <c r="G36" s="57"/>
      <c r="H36" s="57"/>
      <c r="I36" s="57"/>
      <c r="J36" s="57"/>
    </row>
    <row r="37" spans="1:10" s="59" customFormat="1" ht="40.15" hidden="1" customHeight="1">
      <c r="A37" s="57"/>
      <c r="B37" s="58"/>
      <c r="C37" s="57"/>
      <c r="D37" s="57"/>
      <c r="E37" s="57"/>
      <c r="F37" s="57"/>
      <c r="G37" s="57"/>
      <c r="H37" s="57"/>
      <c r="I37" s="57"/>
      <c r="J37" s="57"/>
    </row>
    <row r="38" spans="1:10" s="59" customFormat="1" ht="40.15" hidden="1" customHeight="1">
      <c r="A38" s="57"/>
      <c r="B38" s="58"/>
      <c r="C38" s="57"/>
      <c r="D38" s="57"/>
      <c r="E38" s="57"/>
      <c r="F38" s="57"/>
      <c r="G38" s="57"/>
      <c r="H38" s="57"/>
      <c r="I38" s="57"/>
      <c r="J38" s="57"/>
    </row>
    <row r="39" spans="1:10" s="59" customFormat="1" ht="40.15" hidden="1" customHeight="1">
      <c r="A39" s="57"/>
      <c r="B39" s="58"/>
      <c r="C39" s="57"/>
      <c r="D39" s="57"/>
      <c r="E39" s="57"/>
      <c r="F39" s="57"/>
      <c r="G39" s="57"/>
      <c r="H39" s="57"/>
      <c r="I39" s="57"/>
      <c r="J39" s="57"/>
    </row>
  </sheetData>
  <mergeCells count="11">
    <mergeCell ref="C7:J7"/>
    <mergeCell ref="C8:J8"/>
    <mergeCell ref="C9:J9"/>
    <mergeCell ref="C10:J10"/>
    <mergeCell ref="C11:J11"/>
    <mergeCell ref="C6:J6"/>
    <mergeCell ref="A1:J1"/>
    <mergeCell ref="A2:J2"/>
    <mergeCell ref="A3:J3"/>
    <mergeCell ref="C4:J4"/>
    <mergeCell ref="C5:J5"/>
  </mergeCells>
  <phoneticPr fontId="25" type="noConversion"/>
  <printOptions horizontalCentered="1"/>
  <pageMargins left="0.25" right="0.25" top="0.75" bottom="0.75" header="0.3" footer="0.3"/>
  <pageSetup paperSize="9" scale="65" fitToHeight="0"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00B050"/>
    <pageSetUpPr fitToPage="1"/>
  </sheetPr>
  <dimension ref="A1:M39"/>
  <sheetViews>
    <sheetView showGridLines="0" view="pageBreakPreview" topLeftCell="A11" zoomScaleNormal="70" zoomScaleSheetLayoutView="100" workbookViewId="0">
      <selection activeCell="C17" sqref="C17"/>
    </sheetView>
  </sheetViews>
  <sheetFormatPr defaultColWidth="7.71484375" defaultRowHeight="23.25"/>
  <cols>
    <col min="1" max="1" width="43.03515625" style="57" customWidth="1"/>
    <col min="2" max="2" width="2.5703125" style="58" customWidth="1"/>
    <col min="3" max="3" width="11.69140625" style="57" customWidth="1"/>
    <col min="4" max="4" width="10.0546875" style="57" customWidth="1"/>
    <col min="5" max="5" width="9.9375" style="57" customWidth="1"/>
    <col min="6" max="6" width="12.16015625" style="57" customWidth="1"/>
    <col min="7" max="7" width="10.171875" style="57" bestFit="1" customWidth="1"/>
    <col min="8" max="8" width="10.0546875" style="57" customWidth="1"/>
    <col min="9" max="9" width="12.04296875" style="57" customWidth="1"/>
    <col min="10" max="10" width="9.5859375" style="57" customWidth="1"/>
    <col min="11" max="11" width="0.69921875" style="57" customWidth="1"/>
    <col min="12" max="12" width="7.71484375" style="57"/>
    <col min="13" max="13" width="14.3828125" style="57" bestFit="1" customWidth="1"/>
    <col min="14" max="16384" width="7.71484375" style="57"/>
  </cols>
  <sheetData>
    <row r="1" spans="1:13" ht="91.15" customHeight="1" thickBot="1">
      <c r="A1" s="186" t="s">
        <v>165</v>
      </c>
      <c r="B1" s="186"/>
      <c r="C1" s="186"/>
      <c r="D1" s="186"/>
      <c r="E1" s="186"/>
      <c r="F1" s="186"/>
      <c r="G1" s="186"/>
      <c r="H1" s="186"/>
      <c r="I1" s="186"/>
      <c r="J1" s="186"/>
    </row>
    <row r="2" spans="1:13" ht="32.65" customHeight="1">
      <c r="A2" s="187" t="s">
        <v>166</v>
      </c>
      <c r="B2" s="188"/>
      <c r="C2" s="188"/>
      <c r="D2" s="188"/>
      <c r="E2" s="188"/>
      <c r="F2" s="188"/>
      <c r="G2" s="188"/>
      <c r="H2" s="188"/>
      <c r="I2" s="188"/>
      <c r="J2" s="189"/>
    </row>
    <row r="3" spans="1:13" ht="28.15" customHeight="1">
      <c r="A3" s="190" t="s">
        <v>167</v>
      </c>
      <c r="B3" s="191"/>
      <c r="C3" s="191"/>
      <c r="D3" s="191"/>
      <c r="E3" s="191"/>
      <c r="F3" s="191"/>
      <c r="G3" s="191"/>
      <c r="H3" s="191"/>
      <c r="I3" s="191"/>
      <c r="J3" s="192"/>
    </row>
    <row r="4" spans="1:13" s="59" customFormat="1" ht="30" customHeight="1">
      <c r="A4" s="105" t="s">
        <v>168</v>
      </c>
      <c r="B4" s="106" t="s">
        <v>169</v>
      </c>
      <c r="C4" s="193" t="s">
        <v>170</v>
      </c>
      <c r="D4" s="194"/>
      <c r="E4" s="194"/>
      <c r="F4" s="194"/>
      <c r="G4" s="194"/>
      <c r="H4" s="194"/>
      <c r="I4" s="194"/>
      <c r="J4" s="195"/>
    </row>
    <row r="5" spans="1:13" s="59" customFormat="1" ht="55.5" customHeight="1">
      <c r="A5" s="107" t="s">
        <v>171</v>
      </c>
      <c r="B5" s="108" t="s">
        <v>169</v>
      </c>
      <c r="C5" s="184" t="s">
        <v>172</v>
      </c>
      <c r="D5" s="184"/>
      <c r="E5" s="184"/>
      <c r="F5" s="184"/>
      <c r="G5" s="184"/>
      <c r="H5" s="184"/>
      <c r="I5" s="184"/>
      <c r="J5" s="185"/>
    </row>
    <row r="6" spans="1:13" s="59" customFormat="1" ht="101.65" customHeight="1">
      <c r="A6" s="107" t="s">
        <v>173</v>
      </c>
      <c r="B6" s="109" t="s">
        <v>169</v>
      </c>
      <c r="C6" s="184" t="s">
        <v>174</v>
      </c>
      <c r="D6" s="184"/>
      <c r="E6" s="184"/>
      <c r="F6" s="184"/>
      <c r="G6" s="184"/>
      <c r="H6" s="184"/>
      <c r="I6" s="184"/>
      <c r="J6" s="185"/>
    </row>
    <row r="7" spans="1:13" s="59" customFormat="1" ht="243.4" customHeight="1">
      <c r="A7" s="107" t="s">
        <v>175</v>
      </c>
      <c r="B7" s="109" t="s">
        <v>176</v>
      </c>
      <c r="C7" s="184" t="s">
        <v>177</v>
      </c>
      <c r="D7" s="184"/>
      <c r="E7" s="184"/>
      <c r="F7" s="184"/>
      <c r="G7" s="184"/>
      <c r="H7" s="184"/>
      <c r="I7" s="184"/>
      <c r="J7" s="185"/>
    </row>
    <row r="8" spans="1:13" s="59" customFormat="1" ht="28.15" customHeight="1">
      <c r="A8" s="107" t="s">
        <v>178</v>
      </c>
      <c r="B8" s="108" t="s">
        <v>169</v>
      </c>
      <c r="C8" s="184" t="s">
        <v>1</v>
      </c>
      <c r="D8" s="184"/>
      <c r="E8" s="184"/>
      <c r="F8" s="184"/>
      <c r="G8" s="184"/>
      <c r="H8" s="184"/>
      <c r="I8" s="184"/>
      <c r="J8" s="185"/>
    </row>
    <row r="9" spans="1:13" s="59" customFormat="1" ht="33.4" customHeight="1">
      <c r="A9" s="107" t="s">
        <v>179</v>
      </c>
      <c r="B9" s="108" t="s">
        <v>176</v>
      </c>
      <c r="C9" s="184" t="s">
        <v>0</v>
      </c>
      <c r="D9" s="184"/>
      <c r="E9" s="184"/>
      <c r="F9" s="184"/>
      <c r="G9" s="184"/>
      <c r="H9" s="184"/>
      <c r="I9" s="184"/>
      <c r="J9" s="185"/>
    </row>
    <row r="10" spans="1:13" s="59" customFormat="1" ht="28.9" customHeight="1">
      <c r="A10" s="107" t="s">
        <v>180</v>
      </c>
      <c r="B10" s="108" t="s">
        <v>169</v>
      </c>
      <c r="C10" s="184" t="s">
        <v>181</v>
      </c>
      <c r="D10" s="184"/>
      <c r="E10" s="184"/>
      <c r="F10" s="184"/>
      <c r="G10" s="184"/>
      <c r="H10" s="184"/>
      <c r="I10" s="184"/>
      <c r="J10" s="185"/>
    </row>
    <row r="11" spans="1:13" s="59" customFormat="1" ht="43.5" customHeight="1">
      <c r="A11" s="107" t="s">
        <v>182</v>
      </c>
      <c r="B11" s="108" t="s">
        <v>169</v>
      </c>
      <c r="C11" s="184" t="str">
        <f>'PL(2_2)'!D21</f>
        <v>HRSG Embeded Material (Anchor Bolt/Nut/Washer)</v>
      </c>
      <c r="D11" s="184"/>
      <c r="E11" s="184"/>
      <c r="F11" s="184"/>
      <c r="G11" s="184"/>
      <c r="H11" s="184"/>
      <c r="I11" s="184"/>
      <c r="J11" s="185"/>
      <c r="L11" s="59" t="s">
        <v>183</v>
      </c>
    </row>
    <row r="12" spans="1:13" s="59" customFormat="1" ht="31.9" customHeight="1">
      <c r="A12" s="107" t="s">
        <v>184</v>
      </c>
      <c r="B12" s="109" t="s">
        <v>176</v>
      </c>
      <c r="C12" s="110" t="s">
        <v>185</v>
      </c>
      <c r="D12" s="122"/>
      <c r="E12" s="122"/>
      <c r="F12" s="122"/>
      <c r="G12" s="122"/>
      <c r="H12" s="122"/>
      <c r="I12" s="122"/>
      <c r="J12" s="123"/>
      <c r="M12" s="61"/>
    </row>
    <row r="13" spans="1:13" s="59" customFormat="1" ht="37.5" customHeight="1">
      <c r="A13" s="107" t="s">
        <v>186</v>
      </c>
      <c r="B13" s="109" t="s">
        <v>176</v>
      </c>
      <c r="C13" s="110" t="s">
        <v>43</v>
      </c>
      <c r="D13" s="122"/>
      <c r="E13" s="122"/>
      <c r="F13" s="122"/>
      <c r="G13" s="122"/>
      <c r="H13" s="122"/>
      <c r="I13" s="122"/>
      <c r="J13" s="123"/>
      <c r="L13" s="59" t="s">
        <v>187</v>
      </c>
      <c r="M13" s="61"/>
    </row>
    <row r="14" spans="1:13" s="59" customFormat="1" ht="36.4" customHeight="1">
      <c r="A14" s="107" t="s">
        <v>188</v>
      </c>
      <c r="B14" s="108" t="s">
        <v>169</v>
      </c>
      <c r="C14" s="111">
        <f>'PL(2_2)'!M21</f>
        <v>1567</v>
      </c>
      <c r="D14" s="112" t="s">
        <v>189</v>
      </c>
      <c r="E14" s="113"/>
      <c r="F14" s="113"/>
      <c r="G14" s="113"/>
      <c r="H14" s="113"/>
      <c r="I14" s="113"/>
      <c r="J14" s="114"/>
    </row>
    <row r="15" spans="1:13" s="59" customFormat="1" ht="57.4" customHeight="1">
      <c r="A15" s="107" t="s">
        <v>190</v>
      </c>
      <c r="B15" s="108" t="s">
        <v>169</v>
      </c>
      <c r="C15" s="111">
        <f>'PL(2_2)'!N21</f>
        <v>1627</v>
      </c>
      <c r="D15" s="112" t="s">
        <v>189</v>
      </c>
      <c r="E15" s="113"/>
      <c r="F15" s="115"/>
      <c r="G15" s="113"/>
      <c r="H15" s="113"/>
      <c r="I15" s="113"/>
      <c r="J15" s="116"/>
    </row>
    <row r="16" spans="1:13" s="59" customFormat="1" ht="53.65" customHeight="1">
      <c r="A16" s="107" t="s">
        <v>191</v>
      </c>
      <c r="B16" s="109" t="s">
        <v>169</v>
      </c>
      <c r="C16" s="111">
        <v>115</v>
      </c>
      <c r="D16" s="117" t="s">
        <v>192</v>
      </c>
      <c r="E16" s="111">
        <v>115</v>
      </c>
      <c r="F16" s="117" t="s">
        <v>193</v>
      </c>
      <c r="G16" s="111">
        <v>80</v>
      </c>
      <c r="H16" s="117" t="s">
        <v>194</v>
      </c>
      <c r="I16" s="118">
        <v>1.0580000000000001</v>
      </c>
      <c r="J16" s="119" t="s">
        <v>195</v>
      </c>
    </row>
    <row r="17" spans="1:13" s="59" customFormat="1" ht="31.15" customHeight="1">
      <c r="A17" s="64" t="s">
        <v>196</v>
      </c>
      <c r="B17" s="60" t="s">
        <v>169</v>
      </c>
      <c r="C17" s="76" t="s">
        <v>211</v>
      </c>
      <c r="D17" s="77"/>
      <c r="E17" s="78"/>
      <c r="F17" s="77"/>
      <c r="G17" s="78"/>
      <c r="H17" s="77"/>
      <c r="I17" s="79"/>
      <c r="J17" s="80"/>
    </row>
    <row r="18" spans="1:13" s="59" customFormat="1" ht="49.15" customHeight="1">
      <c r="A18" s="64" t="s">
        <v>197</v>
      </c>
      <c r="B18" s="60" t="s">
        <v>169</v>
      </c>
      <c r="C18" s="76" t="s">
        <v>198</v>
      </c>
      <c r="D18" s="77"/>
      <c r="E18" s="78"/>
      <c r="F18" s="77"/>
      <c r="G18" s="78"/>
      <c r="H18" s="77"/>
      <c r="I18" s="79"/>
      <c r="J18" s="80"/>
    </row>
    <row r="19" spans="1:13" s="59" customFormat="1" ht="40.15" customHeight="1">
      <c r="A19" s="65" t="s">
        <v>199</v>
      </c>
      <c r="B19" s="60" t="s">
        <v>169</v>
      </c>
      <c r="C19" s="76" t="s">
        <v>126</v>
      </c>
      <c r="D19" s="77"/>
      <c r="E19" s="78"/>
      <c r="F19" s="77"/>
      <c r="G19" s="78"/>
      <c r="H19" s="77"/>
      <c r="I19" s="79"/>
      <c r="J19" s="80"/>
    </row>
    <row r="20" spans="1:13" s="59" customFormat="1" ht="40.15" customHeight="1">
      <c r="A20" s="66" t="s">
        <v>200</v>
      </c>
      <c r="B20" s="62" t="s">
        <v>169</v>
      </c>
      <c r="C20" s="120" t="s">
        <v>201</v>
      </c>
      <c r="D20" s="74"/>
      <c r="E20" s="74"/>
      <c r="F20" s="74"/>
      <c r="G20" s="74"/>
      <c r="H20" s="74"/>
      <c r="I20" s="74"/>
      <c r="J20" s="75"/>
    </row>
    <row r="21" spans="1:13" ht="120" hidden="1" customHeight="1" thickBot="1"/>
    <row r="22" spans="1:13" ht="55.15" hidden="1" customHeight="1"/>
    <row r="23" spans="1:13" ht="55.15" hidden="1" customHeight="1" thickBot="1"/>
    <row r="24" spans="1:13" ht="40.15" hidden="1" customHeight="1"/>
    <row r="25" spans="1:13" s="59" customFormat="1" ht="40.15" hidden="1" customHeight="1">
      <c r="A25" s="57"/>
      <c r="B25" s="58"/>
      <c r="C25" s="57"/>
      <c r="D25" s="57"/>
      <c r="E25" s="57"/>
      <c r="F25" s="57"/>
      <c r="G25" s="57"/>
      <c r="H25" s="57"/>
      <c r="I25" s="57"/>
      <c r="J25" s="57"/>
    </row>
    <row r="26" spans="1:13" s="59" customFormat="1" ht="55.5" hidden="1" customHeight="1">
      <c r="A26" s="57"/>
      <c r="B26" s="58"/>
      <c r="C26" s="57"/>
      <c r="D26" s="57"/>
      <c r="E26" s="57"/>
      <c r="F26" s="57"/>
      <c r="G26" s="57"/>
      <c r="H26" s="57"/>
      <c r="I26" s="57"/>
      <c r="J26" s="57"/>
    </row>
    <row r="27" spans="1:13" s="59" customFormat="1" ht="53.25" hidden="1" customHeight="1">
      <c r="A27" s="57"/>
      <c r="B27" s="58"/>
      <c r="C27" s="57"/>
      <c r="D27" s="57"/>
      <c r="E27" s="57"/>
      <c r="F27" s="57"/>
      <c r="G27" s="57"/>
      <c r="H27" s="57"/>
      <c r="I27" s="57"/>
      <c r="J27" s="57"/>
    </row>
    <row r="28" spans="1:13" s="59" customFormat="1" ht="99.75" hidden="1" customHeight="1">
      <c r="A28" s="57"/>
      <c r="B28" s="58"/>
      <c r="C28" s="57"/>
      <c r="D28" s="57"/>
      <c r="E28" s="57"/>
      <c r="F28" s="57"/>
      <c r="G28" s="57"/>
      <c r="H28" s="57"/>
      <c r="I28" s="57"/>
      <c r="J28" s="57"/>
    </row>
    <row r="29" spans="1:13" s="59" customFormat="1" ht="40.15" hidden="1" customHeight="1">
      <c r="A29" s="57"/>
      <c r="B29" s="58"/>
      <c r="C29" s="57"/>
      <c r="D29" s="57"/>
      <c r="E29" s="57"/>
      <c r="F29" s="57"/>
      <c r="G29" s="57"/>
      <c r="H29" s="57"/>
      <c r="I29" s="57"/>
      <c r="J29" s="57"/>
    </row>
    <row r="30" spans="1:13" s="59" customFormat="1" ht="40.15" hidden="1" customHeight="1">
      <c r="A30" s="57"/>
      <c r="B30" s="58"/>
      <c r="C30" s="57"/>
      <c r="D30" s="57"/>
      <c r="E30" s="57"/>
      <c r="F30" s="57"/>
      <c r="G30" s="57"/>
      <c r="H30" s="57"/>
      <c r="I30" s="57"/>
      <c r="J30" s="57"/>
    </row>
    <row r="31" spans="1:13" s="59" customFormat="1" ht="75" hidden="1" customHeight="1">
      <c r="A31" s="57"/>
      <c r="B31" s="58"/>
      <c r="C31" s="57"/>
      <c r="D31" s="57"/>
      <c r="E31" s="57"/>
      <c r="F31" s="57"/>
      <c r="G31" s="57"/>
      <c r="H31" s="57"/>
      <c r="I31" s="57"/>
      <c r="J31" s="57"/>
    </row>
    <row r="32" spans="1:13" s="59" customFormat="1" ht="40.15" hidden="1" customHeight="1">
      <c r="A32" s="57"/>
      <c r="B32" s="58"/>
      <c r="C32" s="57"/>
      <c r="D32" s="57"/>
      <c r="E32" s="57"/>
      <c r="F32" s="57"/>
      <c r="G32" s="57"/>
      <c r="H32" s="57"/>
      <c r="I32" s="57"/>
      <c r="J32" s="57"/>
      <c r="M32" s="61"/>
    </row>
    <row r="33" spans="1:10" s="59" customFormat="1" ht="40.15" hidden="1" customHeight="1">
      <c r="A33" s="57"/>
      <c r="B33" s="58"/>
      <c r="C33" s="57"/>
      <c r="D33" s="57"/>
      <c r="E33" s="57"/>
      <c r="F33" s="57"/>
      <c r="G33" s="57"/>
      <c r="H33" s="57"/>
      <c r="I33" s="57"/>
      <c r="J33" s="57"/>
    </row>
    <row r="34" spans="1:10" s="59" customFormat="1" ht="40.15" hidden="1" customHeight="1">
      <c r="A34" s="57"/>
      <c r="B34" s="58"/>
      <c r="C34" s="57"/>
      <c r="D34" s="57"/>
      <c r="E34" s="57"/>
      <c r="F34" s="57"/>
      <c r="G34" s="57"/>
      <c r="H34" s="57"/>
      <c r="I34" s="57"/>
      <c r="J34" s="57"/>
    </row>
    <row r="35" spans="1:10" s="59" customFormat="1" ht="40.15" hidden="1" customHeight="1">
      <c r="A35" s="57"/>
      <c r="B35" s="58"/>
      <c r="C35" s="57"/>
      <c r="D35" s="57"/>
      <c r="E35" s="57"/>
      <c r="F35" s="57"/>
      <c r="G35" s="57"/>
      <c r="H35" s="57"/>
      <c r="I35" s="57"/>
      <c r="J35" s="57"/>
    </row>
    <row r="36" spans="1:10" s="59" customFormat="1" ht="40.15" hidden="1" customHeight="1">
      <c r="A36" s="57"/>
      <c r="B36" s="58"/>
      <c r="C36" s="57"/>
      <c r="D36" s="57"/>
      <c r="E36" s="57"/>
      <c r="F36" s="57"/>
      <c r="G36" s="57"/>
      <c r="H36" s="57"/>
      <c r="I36" s="57"/>
      <c r="J36" s="57"/>
    </row>
    <row r="37" spans="1:10" s="59" customFormat="1" ht="40.15" hidden="1" customHeight="1">
      <c r="A37" s="57"/>
      <c r="B37" s="58"/>
      <c r="C37" s="57"/>
      <c r="D37" s="57"/>
      <c r="E37" s="57"/>
      <c r="F37" s="57"/>
      <c r="G37" s="57"/>
      <c r="H37" s="57"/>
      <c r="I37" s="57"/>
      <c r="J37" s="57"/>
    </row>
    <row r="38" spans="1:10" s="59" customFormat="1" ht="40.15" hidden="1" customHeight="1">
      <c r="A38" s="57"/>
      <c r="B38" s="58"/>
      <c r="C38" s="57"/>
      <c r="D38" s="57"/>
      <c r="E38" s="57"/>
      <c r="F38" s="57"/>
      <c r="G38" s="57"/>
      <c r="H38" s="57"/>
      <c r="I38" s="57"/>
      <c r="J38" s="57"/>
    </row>
    <row r="39" spans="1:10" s="59" customFormat="1" ht="40.15" hidden="1" customHeight="1">
      <c r="A39" s="57"/>
      <c r="B39" s="58"/>
      <c r="C39" s="57"/>
      <c r="D39" s="57"/>
      <c r="E39" s="57"/>
      <c r="F39" s="57"/>
      <c r="G39" s="57"/>
      <c r="H39" s="57"/>
      <c r="I39" s="57"/>
      <c r="J39" s="57"/>
    </row>
  </sheetData>
  <mergeCells count="11">
    <mergeCell ref="C7:J7"/>
    <mergeCell ref="C8:J8"/>
    <mergeCell ref="C9:J9"/>
    <mergeCell ref="C10:J10"/>
    <mergeCell ref="C11:J11"/>
    <mergeCell ref="C6:J6"/>
    <mergeCell ref="A1:J1"/>
    <mergeCell ref="A2:J2"/>
    <mergeCell ref="A3:J3"/>
    <mergeCell ref="C4:J4"/>
    <mergeCell ref="C5:J5"/>
  </mergeCells>
  <phoneticPr fontId="25" type="noConversion"/>
  <printOptions horizontalCentered="1"/>
  <pageMargins left="0.25" right="0.25" top="0.75" bottom="0.75" header="0.3" footer="0.3"/>
  <pageSetup paperSize="9" scale="65" fitToHeight="0" orientation="portrait"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00B050"/>
    <pageSetUpPr fitToPage="1"/>
  </sheetPr>
  <dimension ref="A1:M39"/>
  <sheetViews>
    <sheetView showGridLines="0" view="pageBreakPreview" topLeftCell="A9" zoomScaleNormal="70" zoomScaleSheetLayoutView="100" workbookViewId="0">
      <selection activeCell="C17" sqref="C17"/>
    </sheetView>
  </sheetViews>
  <sheetFormatPr defaultColWidth="7.71484375" defaultRowHeight="23.25"/>
  <cols>
    <col min="1" max="1" width="43.03515625" style="57" customWidth="1"/>
    <col min="2" max="2" width="2.5703125" style="58" customWidth="1"/>
    <col min="3" max="3" width="11.69140625" style="57" customWidth="1"/>
    <col min="4" max="4" width="10.0546875" style="57" customWidth="1"/>
    <col min="5" max="5" width="9.9375" style="57" customWidth="1"/>
    <col min="6" max="6" width="12.16015625" style="57" customWidth="1"/>
    <col min="7" max="7" width="10.171875" style="57" bestFit="1" customWidth="1"/>
    <col min="8" max="8" width="10.0546875" style="57" customWidth="1"/>
    <col min="9" max="9" width="12.04296875" style="57" customWidth="1"/>
    <col min="10" max="10" width="9.5859375" style="57" customWidth="1"/>
    <col min="11" max="11" width="0.69921875" style="57" customWidth="1"/>
    <col min="12" max="12" width="7.71484375" style="57"/>
    <col min="13" max="13" width="14.3828125" style="57" bestFit="1" customWidth="1"/>
    <col min="14" max="16384" width="7.71484375" style="57"/>
  </cols>
  <sheetData>
    <row r="1" spans="1:13" ht="91.15" customHeight="1" thickBot="1">
      <c r="A1" s="186" t="s">
        <v>165</v>
      </c>
      <c r="B1" s="186"/>
      <c r="C1" s="186"/>
      <c r="D1" s="186"/>
      <c r="E1" s="186"/>
      <c r="F1" s="186"/>
      <c r="G1" s="186"/>
      <c r="H1" s="186"/>
      <c r="I1" s="186"/>
      <c r="J1" s="186"/>
    </row>
    <row r="2" spans="1:13" ht="32.65" customHeight="1">
      <c r="A2" s="187" t="s">
        <v>166</v>
      </c>
      <c r="B2" s="188"/>
      <c r="C2" s="188"/>
      <c r="D2" s="188"/>
      <c r="E2" s="188"/>
      <c r="F2" s="188"/>
      <c r="G2" s="188"/>
      <c r="H2" s="188"/>
      <c r="I2" s="188"/>
      <c r="J2" s="189"/>
    </row>
    <row r="3" spans="1:13" ht="28.15" customHeight="1">
      <c r="A3" s="190" t="s">
        <v>167</v>
      </c>
      <c r="B3" s="191"/>
      <c r="C3" s="191"/>
      <c r="D3" s="191"/>
      <c r="E3" s="191"/>
      <c r="F3" s="191"/>
      <c r="G3" s="191"/>
      <c r="H3" s="191"/>
      <c r="I3" s="191"/>
      <c r="J3" s="192"/>
    </row>
    <row r="4" spans="1:13" s="59" customFormat="1" ht="30" customHeight="1">
      <c r="A4" s="105" t="s">
        <v>168</v>
      </c>
      <c r="B4" s="106" t="s">
        <v>169</v>
      </c>
      <c r="C4" s="193" t="s">
        <v>170</v>
      </c>
      <c r="D4" s="194"/>
      <c r="E4" s="194"/>
      <c r="F4" s="194"/>
      <c r="G4" s="194"/>
      <c r="H4" s="194"/>
      <c r="I4" s="194"/>
      <c r="J4" s="195"/>
    </row>
    <row r="5" spans="1:13" s="59" customFormat="1" ht="55.5" customHeight="1">
      <c r="A5" s="107" t="s">
        <v>171</v>
      </c>
      <c r="B5" s="108" t="s">
        <v>169</v>
      </c>
      <c r="C5" s="184" t="s">
        <v>172</v>
      </c>
      <c r="D5" s="184"/>
      <c r="E5" s="184"/>
      <c r="F5" s="184"/>
      <c r="G5" s="184"/>
      <c r="H5" s="184"/>
      <c r="I5" s="184"/>
      <c r="J5" s="185"/>
    </row>
    <row r="6" spans="1:13" s="59" customFormat="1" ht="101.65" customHeight="1">
      <c r="A6" s="107" t="s">
        <v>173</v>
      </c>
      <c r="B6" s="109" t="s">
        <v>169</v>
      </c>
      <c r="C6" s="184" t="s">
        <v>174</v>
      </c>
      <c r="D6" s="184"/>
      <c r="E6" s="184"/>
      <c r="F6" s="184"/>
      <c r="G6" s="184"/>
      <c r="H6" s="184"/>
      <c r="I6" s="184"/>
      <c r="J6" s="185"/>
    </row>
    <row r="7" spans="1:13" s="59" customFormat="1" ht="243.4" customHeight="1">
      <c r="A7" s="107" t="s">
        <v>175</v>
      </c>
      <c r="B7" s="109" t="s">
        <v>176</v>
      </c>
      <c r="C7" s="184" t="s">
        <v>177</v>
      </c>
      <c r="D7" s="184"/>
      <c r="E7" s="184"/>
      <c r="F7" s="184"/>
      <c r="G7" s="184"/>
      <c r="H7" s="184"/>
      <c r="I7" s="184"/>
      <c r="J7" s="185"/>
    </row>
    <row r="8" spans="1:13" s="59" customFormat="1" ht="28.15" customHeight="1">
      <c r="A8" s="107" t="s">
        <v>178</v>
      </c>
      <c r="B8" s="108" t="s">
        <v>169</v>
      </c>
      <c r="C8" s="184" t="s">
        <v>1</v>
      </c>
      <c r="D8" s="184"/>
      <c r="E8" s="184"/>
      <c r="F8" s="184"/>
      <c r="G8" s="184"/>
      <c r="H8" s="184"/>
      <c r="I8" s="184"/>
      <c r="J8" s="185"/>
    </row>
    <row r="9" spans="1:13" s="59" customFormat="1" ht="33.4" customHeight="1">
      <c r="A9" s="107" t="s">
        <v>179</v>
      </c>
      <c r="B9" s="108" t="s">
        <v>176</v>
      </c>
      <c r="C9" s="184" t="s">
        <v>0</v>
      </c>
      <c r="D9" s="184"/>
      <c r="E9" s="184"/>
      <c r="F9" s="184"/>
      <c r="G9" s="184"/>
      <c r="H9" s="184"/>
      <c r="I9" s="184"/>
      <c r="J9" s="185"/>
    </row>
    <row r="10" spans="1:13" s="59" customFormat="1" ht="28.9" customHeight="1">
      <c r="A10" s="107" t="s">
        <v>180</v>
      </c>
      <c r="B10" s="108" t="s">
        <v>169</v>
      </c>
      <c r="C10" s="184" t="s">
        <v>181</v>
      </c>
      <c r="D10" s="184"/>
      <c r="E10" s="184"/>
      <c r="F10" s="184"/>
      <c r="G10" s="184"/>
      <c r="H10" s="184"/>
      <c r="I10" s="184"/>
      <c r="J10" s="185"/>
    </row>
    <row r="11" spans="1:13" s="59" customFormat="1" ht="43.5" customHeight="1">
      <c r="A11" s="107" t="s">
        <v>182</v>
      </c>
      <c r="B11" s="108" t="s">
        <v>169</v>
      </c>
      <c r="C11" s="184" t="str">
        <f>'PL(2_2)'!D22</f>
        <v>HRSG Embeded Material (Anchor Bolt/Nut/Washer)</v>
      </c>
      <c r="D11" s="184"/>
      <c r="E11" s="184"/>
      <c r="F11" s="184"/>
      <c r="G11" s="184"/>
      <c r="H11" s="184"/>
      <c r="I11" s="184"/>
      <c r="J11" s="185"/>
      <c r="L11" s="59" t="s">
        <v>183</v>
      </c>
    </row>
    <row r="12" spans="1:13" s="59" customFormat="1" ht="31.9" customHeight="1">
      <c r="A12" s="107" t="s">
        <v>184</v>
      </c>
      <c r="B12" s="109" t="s">
        <v>176</v>
      </c>
      <c r="C12" s="110" t="s">
        <v>185</v>
      </c>
      <c r="D12" s="122"/>
      <c r="E12" s="122"/>
      <c r="F12" s="122"/>
      <c r="G12" s="122"/>
      <c r="H12" s="122"/>
      <c r="I12" s="122"/>
      <c r="J12" s="123"/>
      <c r="M12" s="61"/>
    </row>
    <row r="13" spans="1:13" s="59" customFormat="1" ht="37.5" customHeight="1">
      <c r="A13" s="107" t="s">
        <v>186</v>
      </c>
      <c r="B13" s="109" t="s">
        <v>176</v>
      </c>
      <c r="C13" s="110" t="s">
        <v>53</v>
      </c>
      <c r="D13" s="122"/>
      <c r="E13" s="122"/>
      <c r="F13" s="122"/>
      <c r="G13" s="122"/>
      <c r="H13" s="122"/>
      <c r="I13" s="122"/>
      <c r="J13" s="123"/>
      <c r="L13" s="59" t="s">
        <v>187</v>
      </c>
      <c r="M13" s="61"/>
    </row>
    <row r="14" spans="1:13" s="59" customFormat="1" ht="36.4" customHeight="1">
      <c r="A14" s="107" t="s">
        <v>188</v>
      </c>
      <c r="B14" s="108" t="s">
        <v>169</v>
      </c>
      <c r="C14" s="111">
        <v>2640</v>
      </c>
      <c r="D14" s="112" t="s">
        <v>189</v>
      </c>
      <c r="E14" s="113"/>
      <c r="F14" s="113"/>
      <c r="G14" s="113"/>
      <c r="H14" s="113"/>
      <c r="I14" s="113"/>
      <c r="J14" s="114"/>
    </row>
    <row r="15" spans="1:13" s="59" customFormat="1" ht="57.4" customHeight="1">
      <c r="A15" s="107" t="s">
        <v>190</v>
      </c>
      <c r="B15" s="108" t="s">
        <v>169</v>
      </c>
      <c r="C15" s="111">
        <v>2790</v>
      </c>
      <c r="D15" s="112" t="s">
        <v>189</v>
      </c>
      <c r="E15" s="113"/>
      <c r="F15" s="115"/>
      <c r="G15" s="113"/>
      <c r="H15" s="113"/>
      <c r="I15" s="113"/>
      <c r="J15" s="116"/>
    </row>
    <row r="16" spans="1:13" s="59" customFormat="1" ht="53.65" customHeight="1">
      <c r="A16" s="107" t="s">
        <v>191</v>
      </c>
      <c r="B16" s="109" t="s">
        <v>169</v>
      </c>
      <c r="C16" s="111">
        <v>245</v>
      </c>
      <c r="D16" s="117" t="s">
        <v>192</v>
      </c>
      <c r="E16" s="111">
        <v>115</v>
      </c>
      <c r="F16" s="117" t="s">
        <v>193</v>
      </c>
      <c r="G16" s="111">
        <f>'PL(2_2)'!K22</f>
        <v>120</v>
      </c>
      <c r="H16" s="117" t="s">
        <v>194</v>
      </c>
      <c r="I16" s="118">
        <f>'PL(2_2)'!L22</f>
        <v>3.38</v>
      </c>
      <c r="J16" s="119" t="s">
        <v>195</v>
      </c>
    </row>
    <row r="17" spans="1:13" s="59" customFormat="1" ht="31.15" customHeight="1">
      <c r="A17" s="64" t="s">
        <v>196</v>
      </c>
      <c r="B17" s="60" t="s">
        <v>169</v>
      </c>
      <c r="C17" s="76" t="s">
        <v>211</v>
      </c>
      <c r="D17" s="77"/>
      <c r="E17" s="78"/>
      <c r="F17" s="77"/>
      <c r="G17" s="78"/>
      <c r="H17" s="77"/>
      <c r="I17" s="79"/>
      <c r="J17" s="80"/>
    </row>
    <row r="18" spans="1:13" s="59" customFormat="1" ht="49.15" customHeight="1">
      <c r="A18" s="64" t="s">
        <v>197</v>
      </c>
      <c r="B18" s="60" t="s">
        <v>169</v>
      </c>
      <c r="C18" s="76" t="s">
        <v>198</v>
      </c>
      <c r="D18" s="77"/>
      <c r="E18" s="78"/>
      <c r="F18" s="77"/>
      <c r="G18" s="78"/>
      <c r="H18" s="77"/>
      <c r="I18" s="79"/>
      <c r="J18" s="80"/>
    </row>
    <row r="19" spans="1:13" s="59" customFormat="1" ht="40.15" customHeight="1">
      <c r="A19" s="65" t="s">
        <v>199</v>
      </c>
      <c r="B19" s="60" t="s">
        <v>169</v>
      </c>
      <c r="C19" s="76" t="s">
        <v>126</v>
      </c>
      <c r="D19" s="77"/>
      <c r="E19" s="78"/>
      <c r="F19" s="77"/>
      <c r="G19" s="78"/>
      <c r="H19" s="77"/>
      <c r="I19" s="79"/>
      <c r="J19" s="80"/>
    </row>
    <row r="20" spans="1:13" s="59" customFormat="1" ht="40.15" customHeight="1">
      <c r="A20" s="66" t="s">
        <v>200</v>
      </c>
      <c r="B20" s="62" t="s">
        <v>169</v>
      </c>
      <c r="C20" s="120" t="s">
        <v>201</v>
      </c>
      <c r="D20" s="74"/>
      <c r="E20" s="74"/>
      <c r="F20" s="74"/>
      <c r="G20" s="74"/>
      <c r="H20" s="74"/>
      <c r="I20" s="74"/>
      <c r="J20" s="75"/>
    </row>
    <row r="21" spans="1:13" ht="120" hidden="1" customHeight="1" thickBot="1"/>
    <row r="22" spans="1:13" ht="55.15" hidden="1" customHeight="1"/>
    <row r="23" spans="1:13" ht="55.15" hidden="1" customHeight="1" thickBot="1"/>
    <row r="24" spans="1:13" ht="40.15" hidden="1" customHeight="1"/>
    <row r="25" spans="1:13" s="59" customFormat="1" ht="40.15" hidden="1" customHeight="1">
      <c r="A25" s="57"/>
      <c r="B25" s="58"/>
      <c r="C25" s="57"/>
      <c r="D25" s="57"/>
      <c r="E25" s="57"/>
      <c r="F25" s="57"/>
      <c r="G25" s="57"/>
      <c r="H25" s="57"/>
      <c r="I25" s="57"/>
      <c r="J25" s="57"/>
    </row>
    <row r="26" spans="1:13" s="59" customFormat="1" ht="55.5" hidden="1" customHeight="1">
      <c r="A26" s="57"/>
      <c r="B26" s="58"/>
      <c r="C26" s="57"/>
      <c r="D26" s="57"/>
      <c r="E26" s="57"/>
      <c r="F26" s="57"/>
      <c r="G26" s="57"/>
      <c r="H26" s="57"/>
      <c r="I26" s="57"/>
      <c r="J26" s="57"/>
    </row>
    <row r="27" spans="1:13" s="59" customFormat="1" ht="53.25" hidden="1" customHeight="1">
      <c r="A27" s="57"/>
      <c r="B27" s="58"/>
      <c r="C27" s="57"/>
      <c r="D27" s="57"/>
      <c r="E27" s="57"/>
      <c r="F27" s="57"/>
      <c r="G27" s="57"/>
      <c r="H27" s="57"/>
      <c r="I27" s="57"/>
      <c r="J27" s="57"/>
    </row>
    <row r="28" spans="1:13" s="59" customFormat="1" ht="99.75" hidden="1" customHeight="1">
      <c r="A28" s="57"/>
      <c r="B28" s="58"/>
      <c r="C28" s="57"/>
      <c r="D28" s="57"/>
      <c r="E28" s="57"/>
      <c r="F28" s="57"/>
      <c r="G28" s="57"/>
      <c r="H28" s="57"/>
      <c r="I28" s="57"/>
      <c r="J28" s="57"/>
    </row>
    <row r="29" spans="1:13" s="59" customFormat="1" ht="40.15" hidden="1" customHeight="1">
      <c r="A29" s="57"/>
      <c r="B29" s="58"/>
      <c r="C29" s="57"/>
      <c r="D29" s="57"/>
      <c r="E29" s="57"/>
      <c r="F29" s="57"/>
      <c r="G29" s="57"/>
      <c r="H29" s="57"/>
      <c r="I29" s="57"/>
      <c r="J29" s="57"/>
    </row>
    <row r="30" spans="1:13" s="59" customFormat="1" ht="40.15" hidden="1" customHeight="1">
      <c r="A30" s="57"/>
      <c r="B30" s="58"/>
      <c r="C30" s="57"/>
      <c r="D30" s="57"/>
      <c r="E30" s="57"/>
      <c r="F30" s="57"/>
      <c r="G30" s="57"/>
      <c r="H30" s="57"/>
      <c r="I30" s="57"/>
      <c r="J30" s="57"/>
    </row>
    <row r="31" spans="1:13" s="59" customFormat="1" ht="75" hidden="1" customHeight="1">
      <c r="A31" s="57"/>
      <c r="B31" s="58"/>
      <c r="C31" s="57"/>
      <c r="D31" s="57"/>
      <c r="E31" s="57"/>
      <c r="F31" s="57"/>
      <c r="G31" s="57"/>
      <c r="H31" s="57"/>
      <c r="I31" s="57"/>
      <c r="J31" s="57"/>
    </row>
    <row r="32" spans="1:13" s="59" customFormat="1" ht="40.15" hidden="1" customHeight="1">
      <c r="A32" s="57"/>
      <c r="B32" s="58"/>
      <c r="C32" s="57"/>
      <c r="D32" s="57"/>
      <c r="E32" s="57"/>
      <c r="F32" s="57"/>
      <c r="G32" s="57"/>
      <c r="H32" s="57"/>
      <c r="I32" s="57"/>
      <c r="J32" s="57"/>
      <c r="M32" s="61"/>
    </row>
    <row r="33" spans="1:10" s="59" customFormat="1" ht="40.15" hidden="1" customHeight="1">
      <c r="A33" s="57"/>
      <c r="B33" s="58"/>
      <c r="C33" s="57"/>
      <c r="D33" s="57"/>
      <c r="E33" s="57"/>
      <c r="F33" s="57"/>
      <c r="G33" s="57"/>
      <c r="H33" s="57"/>
      <c r="I33" s="57"/>
      <c r="J33" s="57"/>
    </row>
    <row r="34" spans="1:10" s="59" customFormat="1" ht="40.15" hidden="1" customHeight="1">
      <c r="A34" s="57"/>
      <c r="B34" s="58"/>
      <c r="C34" s="57"/>
      <c r="D34" s="57"/>
      <c r="E34" s="57"/>
      <c r="F34" s="57"/>
      <c r="G34" s="57"/>
      <c r="H34" s="57"/>
      <c r="I34" s="57"/>
      <c r="J34" s="57"/>
    </row>
    <row r="35" spans="1:10" s="59" customFormat="1" ht="40.15" hidden="1" customHeight="1">
      <c r="A35" s="57"/>
      <c r="B35" s="58"/>
      <c r="C35" s="57"/>
      <c r="D35" s="57"/>
      <c r="E35" s="57"/>
      <c r="F35" s="57"/>
      <c r="G35" s="57"/>
      <c r="H35" s="57"/>
      <c r="I35" s="57"/>
      <c r="J35" s="57"/>
    </row>
    <row r="36" spans="1:10" s="59" customFormat="1" ht="40.15" hidden="1" customHeight="1">
      <c r="A36" s="57"/>
      <c r="B36" s="58"/>
      <c r="C36" s="57"/>
      <c r="D36" s="57"/>
      <c r="E36" s="57"/>
      <c r="F36" s="57"/>
      <c r="G36" s="57"/>
      <c r="H36" s="57"/>
      <c r="I36" s="57"/>
      <c r="J36" s="57"/>
    </row>
    <row r="37" spans="1:10" s="59" customFormat="1" ht="40.15" hidden="1" customHeight="1">
      <c r="A37" s="57"/>
      <c r="B37" s="58"/>
      <c r="C37" s="57"/>
      <c r="D37" s="57"/>
      <c r="E37" s="57"/>
      <c r="F37" s="57"/>
      <c r="G37" s="57"/>
      <c r="H37" s="57"/>
      <c r="I37" s="57"/>
      <c r="J37" s="57"/>
    </row>
    <row r="38" spans="1:10" s="59" customFormat="1" ht="40.15" hidden="1" customHeight="1">
      <c r="A38" s="57"/>
      <c r="B38" s="58"/>
      <c r="C38" s="57"/>
      <c r="D38" s="57"/>
      <c r="E38" s="57"/>
      <c r="F38" s="57"/>
      <c r="G38" s="57"/>
      <c r="H38" s="57"/>
      <c r="I38" s="57"/>
      <c r="J38" s="57"/>
    </row>
    <row r="39" spans="1:10" s="59" customFormat="1" ht="40.15" hidden="1" customHeight="1">
      <c r="A39" s="57"/>
      <c r="B39" s="58"/>
      <c r="C39" s="57"/>
      <c r="D39" s="57"/>
      <c r="E39" s="57"/>
      <c r="F39" s="57"/>
      <c r="G39" s="57"/>
      <c r="H39" s="57"/>
      <c r="I39" s="57"/>
      <c r="J39" s="57"/>
    </row>
  </sheetData>
  <mergeCells count="11">
    <mergeCell ref="C7:J7"/>
    <mergeCell ref="C8:J8"/>
    <mergeCell ref="C9:J9"/>
    <mergeCell ref="C10:J10"/>
    <mergeCell ref="C11:J11"/>
    <mergeCell ref="C6:J6"/>
    <mergeCell ref="A1:J1"/>
    <mergeCell ref="A2:J2"/>
    <mergeCell ref="A3:J3"/>
    <mergeCell ref="C4:J4"/>
    <mergeCell ref="C5:J5"/>
  </mergeCells>
  <phoneticPr fontId="25" type="noConversion"/>
  <printOptions horizontalCentered="1"/>
  <pageMargins left="0.25" right="0.25" top="0.75" bottom="0.75" header="0.3" footer="0.3"/>
  <pageSetup paperSize="9" scale="65" fitToHeight="0" orientation="portrait"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tabColor rgb="FF00B050"/>
    <pageSetUpPr fitToPage="1"/>
  </sheetPr>
  <dimension ref="A1:M39"/>
  <sheetViews>
    <sheetView showGridLines="0" view="pageBreakPreview" topLeftCell="A15" zoomScaleNormal="70" zoomScaleSheetLayoutView="100" workbookViewId="0">
      <selection activeCell="C17" sqref="C17"/>
    </sheetView>
  </sheetViews>
  <sheetFormatPr defaultColWidth="7.71484375" defaultRowHeight="23.25"/>
  <cols>
    <col min="1" max="1" width="43.03515625" style="57" customWidth="1"/>
    <col min="2" max="2" width="2.5703125" style="58" customWidth="1"/>
    <col min="3" max="3" width="11.69140625" style="57" customWidth="1"/>
    <col min="4" max="4" width="10.0546875" style="57" customWidth="1"/>
    <col min="5" max="5" width="9.9375" style="57" customWidth="1"/>
    <col min="6" max="6" width="12.16015625" style="57" customWidth="1"/>
    <col min="7" max="7" width="10.171875" style="57" bestFit="1" customWidth="1"/>
    <col min="8" max="8" width="10.0546875" style="57" customWidth="1"/>
    <col min="9" max="9" width="12.04296875" style="57" customWidth="1"/>
    <col min="10" max="10" width="9.5859375" style="57" customWidth="1"/>
    <col min="11" max="11" width="0.69921875" style="57" customWidth="1"/>
    <col min="12" max="12" width="7.71484375" style="57"/>
    <col min="13" max="13" width="14.3828125" style="57" bestFit="1" customWidth="1"/>
    <col min="14" max="16384" width="7.71484375" style="57"/>
  </cols>
  <sheetData>
    <row r="1" spans="1:13" ht="91.15" customHeight="1" thickBot="1">
      <c r="A1" s="186" t="s">
        <v>165</v>
      </c>
      <c r="B1" s="186"/>
      <c r="C1" s="186"/>
      <c r="D1" s="186"/>
      <c r="E1" s="186"/>
      <c r="F1" s="186"/>
      <c r="G1" s="186"/>
      <c r="H1" s="186"/>
      <c r="I1" s="186"/>
      <c r="J1" s="186"/>
    </row>
    <row r="2" spans="1:13" ht="32.65" customHeight="1">
      <c r="A2" s="187" t="s">
        <v>166</v>
      </c>
      <c r="B2" s="188"/>
      <c r="C2" s="188"/>
      <c r="D2" s="188"/>
      <c r="E2" s="188"/>
      <c r="F2" s="188"/>
      <c r="G2" s="188"/>
      <c r="H2" s="188"/>
      <c r="I2" s="188"/>
      <c r="J2" s="189"/>
    </row>
    <row r="3" spans="1:13" ht="28.15" customHeight="1">
      <c r="A3" s="190" t="s">
        <v>167</v>
      </c>
      <c r="B3" s="191"/>
      <c r="C3" s="191"/>
      <c r="D3" s="191"/>
      <c r="E3" s="191"/>
      <c r="F3" s="191"/>
      <c r="G3" s="191"/>
      <c r="H3" s="191"/>
      <c r="I3" s="191"/>
      <c r="J3" s="192"/>
    </row>
    <row r="4" spans="1:13" s="59" customFormat="1" ht="30" customHeight="1">
      <c r="A4" s="105" t="s">
        <v>168</v>
      </c>
      <c r="B4" s="106" t="s">
        <v>169</v>
      </c>
      <c r="C4" s="193" t="s">
        <v>170</v>
      </c>
      <c r="D4" s="194"/>
      <c r="E4" s="194"/>
      <c r="F4" s="194"/>
      <c r="G4" s="194"/>
      <c r="H4" s="194"/>
      <c r="I4" s="194"/>
      <c r="J4" s="195"/>
    </row>
    <row r="5" spans="1:13" s="59" customFormat="1" ht="55.5" customHeight="1">
      <c r="A5" s="107" t="s">
        <v>171</v>
      </c>
      <c r="B5" s="108" t="s">
        <v>169</v>
      </c>
      <c r="C5" s="184" t="s">
        <v>172</v>
      </c>
      <c r="D5" s="184"/>
      <c r="E5" s="184"/>
      <c r="F5" s="184"/>
      <c r="G5" s="184"/>
      <c r="H5" s="184"/>
      <c r="I5" s="184"/>
      <c r="J5" s="185"/>
    </row>
    <row r="6" spans="1:13" s="59" customFormat="1" ht="101.65" customHeight="1">
      <c r="A6" s="107" t="s">
        <v>173</v>
      </c>
      <c r="B6" s="109" t="s">
        <v>169</v>
      </c>
      <c r="C6" s="184" t="s">
        <v>174</v>
      </c>
      <c r="D6" s="184"/>
      <c r="E6" s="184"/>
      <c r="F6" s="184"/>
      <c r="G6" s="184"/>
      <c r="H6" s="184"/>
      <c r="I6" s="184"/>
      <c r="J6" s="185"/>
    </row>
    <row r="7" spans="1:13" s="59" customFormat="1" ht="243.4" customHeight="1">
      <c r="A7" s="107" t="s">
        <v>175</v>
      </c>
      <c r="B7" s="109" t="s">
        <v>176</v>
      </c>
      <c r="C7" s="184" t="s">
        <v>177</v>
      </c>
      <c r="D7" s="184"/>
      <c r="E7" s="184"/>
      <c r="F7" s="184"/>
      <c r="G7" s="184"/>
      <c r="H7" s="184"/>
      <c r="I7" s="184"/>
      <c r="J7" s="185"/>
    </row>
    <row r="8" spans="1:13" s="59" customFormat="1" ht="28.15" customHeight="1">
      <c r="A8" s="107" t="s">
        <v>178</v>
      </c>
      <c r="B8" s="108" t="s">
        <v>169</v>
      </c>
      <c r="C8" s="184" t="s">
        <v>1</v>
      </c>
      <c r="D8" s="184"/>
      <c r="E8" s="184"/>
      <c r="F8" s="184"/>
      <c r="G8" s="184"/>
      <c r="H8" s="184"/>
      <c r="I8" s="184"/>
      <c r="J8" s="185"/>
    </row>
    <row r="9" spans="1:13" s="59" customFormat="1" ht="33.4" customHeight="1">
      <c r="A9" s="107" t="s">
        <v>179</v>
      </c>
      <c r="B9" s="108" t="s">
        <v>176</v>
      </c>
      <c r="C9" s="184" t="s">
        <v>0</v>
      </c>
      <c r="D9" s="184"/>
      <c r="E9" s="184"/>
      <c r="F9" s="184"/>
      <c r="G9" s="184"/>
      <c r="H9" s="184"/>
      <c r="I9" s="184"/>
      <c r="J9" s="185"/>
    </row>
    <row r="10" spans="1:13" s="59" customFormat="1" ht="28.9" customHeight="1">
      <c r="A10" s="107" t="s">
        <v>180</v>
      </c>
      <c r="B10" s="108" t="s">
        <v>169</v>
      </c>
      <c r="C10" s="184" t="s">
        <v>181</v>
      </c>
      <c r="D10" s="184"/>
      <c r="E10" s="184"/>
      <c r="F10" s="184"/>
      <c r="G10" s="184"/>
      <c r="H10" s="184"/>
      <c r="I10" s="184"/>
      <c r="J10" s="185"/>
    </row>
    <row r="11" spans="1:13" s="59" customFormat="1" ht="43.5" customHeight="1">
      <c r="A11" s="107" t="s">
        <v>182</v>
      </c>
      <c r="B11" s="108" t="s">
        <v>169</v>
      </c>
      <c r="C11" s="184" t="str">
        <f>'PL(2_2)'!D23</f>
        <v>HRSG Embeded Material (Spare)</v>
      </c>
      <c r="D11" s="184"/>
      <c r="E11" s="184"/>
      <c r="F11" s="184"/>
      <c r="G11" s="184"/>
      <c r="H11" s="184"/>
      <c r="I11" s="184"/>
      <c r="J11" s="185"/>
      <c r="L11" s="59" t="s">
        <v>183</v>
      </c>
    </row>
    <row r="12" spans="1:13" s="59" customFormat="1" ht="31.9" customHeight="1">
      <c r="A12" s="107" t="s">
        <v>184</v>
      </c>
      <c r="B12" s="109" t="s">
        <v>176</v>
      </c>
      <c r="C12" s="110" t="s">
        <v>185</v>
      </c>
      <c r="D12" s="122"/>
      <c r="E12" s="122"/>
      <c r="F12" s="122"/>
      <c r="G12" s="122"/>
      <c r="H12" s="122"/>
      <c r="I12" s="122"/>
      <c r="J12" s="123"/>
      <c r="M12" s="61"/>
    </row>
    <row r="13" spans="1:13" s="59" customFormat="1" ht="37.5" customHeight="1">
      <c r="A13" s="107" t="s">
        <v>186</v>
      </c>
      <c r="B13" s="109" t="s">
        <v>176</v>
      </c>
      <c r="C13" s="110" t="s">
        <v>60</v>
      </c>
      <c r="D13" s="122"/>
      <c r="E13" s="122"/>
      <c r="F13" s="122"/>
      <c r="G13" s="122"/>
      <c r="H13" s="122"/>
      <c r="I13" s="122"/>
      <c r="J13" s="123"/>
      <c r="L13" s="59" t="s">
        <v>187</v>
      </c>
      <c r="M13" s="61"/>
    </row>
    <row r="14" spans="1:13" s="59" customFormat="1" ht="36.4" customHeight="1">
      <c r="A14" s="107" t="s">
        <v>188</v>
      </c>
      <c r="B14" s="108" t="s">
        <v>169</v>
      </c>
      <c r="C14" s="111">
        <v>155</v>
      </c>
      <c r="D14" s="112" t="s">
        <v>189</v>
      </c>
      <c r="E14" s="113"/>
      <c r="F14" s="113"/>
      <c r="G14" s="113"/>
      <c r="H14" s="113"/>
      <c r="I14" s="113"/>
      <c r="J14" s="114"/>
    </row>
    <row r="15" spans="1:13" s="59" customFormat="1" ht="57.4" customHeight="1">
      <c r="A15" s="107" t="s">
        <v>190</v>
      </c>
      <c r="B15" s="108" t="s">
        <v>169</v>
      </c>
      <c r="C15" s="111">
        <v>195</v>
      </c>
      <c r="D15" s="112" t="s">
        <v>189</v>
      </c>
      <c r="E15" s="113"/>
      <c r="F15" s="115"/>
      <c r="G15" s="113"/>
      <c r="H15" s="113"/>
      <c r="I15" s="113"/>
      <c r="J15" s="116"/>
    </row>
    <row r="16" spans="1:13" s="59" customFormat="1" ht="53.65" customHeight="1">
      <c r="A16" s="107" t="s">
        <v>191</v>
      </c>
      <c r="B16" s="109" t="s">
        <v>169</v>
      </c>
      <c r="C16" s="111">
        <v>90</v>
      </c>
      <c r="D16" s="117" t="s">
        <v>192</v>
      </c>
      <c r="E16" s="111">
        <v>90</v>
      </c>
      <c r="F16" s="117" t="s">
        <v>193</v>
      </c>
      <c r="G16" s="111">
        <v>60</v>
      </c>
      <c r="H16" s="117" t="s">
        <v>194</v>
      </c>
      <c r="I16" s="118">
        <v>0.48599999999999999</v>
      </c>
      <c r="J16" s="119" t="s">
        <v>195</v>
      </c>
    </row>
    <row r="17" spans="1:13" s="59" customFormat="1" ht="31.15" customHeight="1">
      <c r="A17" s="64" t="s">
        <v>196</v>
      </c>
      <c r="B17" s="60" t="s">
        <v>169</v>
      </c>
      <c r="C17" s="76" t="s">
        <v>211</v>
      </c>
      <c r="D17" s="77"/>
      <c r="E17" s="78"/>
      <c r="F17" s="77"/>
      <c r="G17" s="78"/>
      <c r="H17" s="77"/>
      <c r="I17" s="79"/>
      <c r="J17" s="80"/>
    </row>
    <row r="18" spans="1:13" s="59" customFormat="1" ht="49.15" customHeight="1">
      <c r="A18" s="64" t="s">
        <v>197</v>
      </c>
      <c r="B18" s="60" t="s">
        <v>169</v>
      </c>
      <c r="C18" s="76" t="s">
        <v>198</v>
      </c>
      <c r="D18" s="77"/>
      <c r="E18" s="78"/>
      <c r="F18" s="77"/>
      <c r="G18" s="78"/>
      <c r="H18" s="77"/>
      <c r="I18" s="79"/>
      <c r="J18" s="80"/>
    </row>
    <row r="19" spans="1:13" s="59" customFormat="1" ht="40.15" customHeight="1">
      <c r="A19" s="65" t="s">
        <v>199</v>
      </c>
      <c r="B19" s="60" t="s">
        <v>169</v>
      </c>
      <c r="C19" s="76" t="s">
        <v>126</v>
      </c>
      <c r="D19" s="77"/>
      <c r="E19" s="78"/>
      <c r="F19" s="77"/>
      <c r="G19" s="78"/>
      <c r="H19" s="77"/>
      <c r="I19" s="79"/>
      <c r="J19" s="80"/>
    </row>
    <row r="20" spans="1:13" s="59" customFormat="1" ht="40.15" customHeight="1">
      <c r="A20" s="66" t="s">
        <v>200</v>
      </c>
      <c r="B20" s="62" t="s">
        <v>169</v>
      </c>
      <c r="C20" s="120" t="s">
        <v>201</v>
      </c>
      <c r="D20" s="74"/>
      <c r="E20" s="74"/>
      <c r="F20" s="74"/>
      <c r="G20" s="74"/>
      <c r="H20" s="74"/>
      <c r="I20" s="74"/>
      <c r="J20" s="75"/>
    </row>
    <row r="21" spans="1:13" ht="120" hidden="1" customHeight="1" thickBot="1"/>
    <row r="22" spans="1:13" ht="55.15" hidden="1" customHeight="1"/>
    <row r="23" spans="1:13" ht="55.15" hidden="1" customHeight="1" thickBot="1"/>
    <row r="24" spans="1:13" ht="40.15" hidden="1" customHeight="1"/>
    <row r="25" spans="1:13" s="59" customFormat="1" ht="40.15" hidden="1" customHeight="1">
      <c r="A25" s="57"/>
      <c r="B25" s="58"/>
      <c r="C25" s="57"/>
      <c r="D25" s="57"/>
      <c r="E25" s="57"/>
      <c r="F25" s="57"/>
      <c r="G25" s="57"/>
      <c r="H25" s="57"/>
      <c r="I25" s="57"/>
      <c r="J25" s="57"/>
    </row>
    <row r="26" spans="1:13" s="59" customFormat="1" ht="55.5" hidden="1" customHeight="1">
      <c r="A26" s="57"/>
      <c r="B26" s="58"/>
      <c r="C26" s="57"/>
      <c r="D26" s="57"/>
      <c r="E26" s="57"/>
      <c r="F26" s="57"/>
      <c r="G26" s="57"/>
      <c r="H26" s="57"/>
      <c r="I26" s="57"/>
      <c r="J26" s="57"/>
    </row>
    <row r="27" spans="1:13" s="59" customFormat="1" ht="53.25" hidden="1" customHeight="1">
      <c r="A27" s="57"/>
      <c r="B27" s="58"/>
      <c r="C27" s="57"/>
      <c r="D27" s="57"/>
      <c r="E27" s="57"/>
      <c r="F27" s="57"/>
      <c r="G27" s="57"/>
      <c r="H27" s="57"/>
      <c r="I27" s="57"/>
      <c r="J27" s="57"/>
    </row>
    <row r="28" spans="1:13" s="59" customFormat="1" ht="99.75" hidden="1" customHeight="1">
      <c r="A28" s="57"/>
      <c r="B28" s="58"/>
      <c r="C28" s="57"/>
      <c r="D28" s="57"/>
      <c r="E28" s="57"/>
      <c r="F28" s="57"/>
      <c r="G28" s="57"/>
      <c r="H28" s="57"/>
      <c r="I28" s="57"/>
      <c r="J28" s="57"/>
    </row>
    <row r="29" spans="1:13" s="59" customFormat="1" ht="40.15" hidden="1" customHeight="1">
      <c r="A29" s="57"/>
      <c r="B29" s="58"/>
      <c r="C29" s="57"/>
      <c r="D29" s="57"/>
      <c r="E29" s="57"/>
      <c r="F29" s="57"/>
      <c r="G29" s="57"/>
      <c r="H29" s="57"/>
      <c r="I29" s="57"/>
      <c r="J29" s="57"/>
    </row>
    <row r="30" spans="1:13" s="59" customFormat="1" ht="40.15" hidden="1" customHeight="1">
      <c r="A30" s="57"/>
      <c r="B30" s="58"/>
      <c r="C30" s="57"/>
      <c r="D30" s="57"/>
      <c r="E30" s="57"/>
      <c r="F30" s="57"/>
      <c r="G30" s="57"/>
      <c r="H30" s="57"/>
      <c r="I30" s="57"/>
      <c r="J30" s="57"/>
    </row>
    <row r="31" spans="1:13" s="59" customFormat="1" ht="75" hidden="1" customHeight="1">
      <c r="A31" s="57"/>
      <c r="B31" s="58"/>
      <c r="C31" s="57"/>
      <c r="D31" s="57"/>
      <c r="E31" s="57"/>
      <c r="F31" s="57"/>
      <c r="G31" s="57"/>
      <c r="H31" s="57"/>
      <c r="I31" s="57"/>
      <c r="J31" s="57"/>
    </row>
    <row r="32" spans="1:13" s="59" customFormat="1" ht="40.15" hidden="1" customHeight="1">
      <c r="A32" s="57"/>
      <c r="B32" s="58"/>
      <c r="C32" s="57"/>
      <c r="D32" s="57"/>
      <c r="E32" s="57"/>
      <c r="F32" s="57"/>
      <c r="G32" s="57"/>
      <c r="H32" s="57"/>
      <c r="I32" s="57"/>
      <c r="J32" s="57"/>
      <c r="M32" s="61"/>
    </row>
    <row r="33" spans="1:10" s="59" customFormat="1" ht="40.15" hidden="1" customHeight="1">
      <c r="A33" s="57"/>
      <c r="B33" s="58"/>
      <c r="C33" s="57"/>
      <c r="D33" s="57"/>
      <c r="E33" s="57"/>
      <c r="F33" s="57"/>
      <c r="G33" s="57"/>
      <c r="H33" s="57"/>
      <c r="I33" s="57"/>
      <c r="J33" s="57"/>
    </row>
    <row r="34" spans="1:10" s="59" customFormat="1" ht="40.15" hidden="1" customHeight="1">
      <c r="A34" s="57"/>
      <c r="B34" s="58"/>
      <c r="C34" s="57"/>
      <c r="D34" s="57"/>
      <c r="E34" s="57"/>
      <c r="F34" s="57"/>
      <c r="G34" s="57"/>
      <c r="H34" s="57"/>
      <c r="I34" s="57"/>
      <c r="J34" s="57"/>
    </row>
    <row r="35" spans="1:10" s="59" customFormat="1" ht="40.15" hidden="1" customHeight="1">
      <c r="A35" s="57"/>
      <c r="B35" s="58"/>
      <c r="C35" s="57"/>
      <c r="D35" s="57"/>
      <c r="E35" s="57"/>
      <c r="F35" s="57"/>
      <c r="G35" s="57"/>
      <c r="H35" s="57"/>
      <c r="I35" s="57"/>
      <c r="J35" s="57"/>
    </row>
    <row r="36" spans="1:10" s="59" customFormat="1" ht="40.15" hidden="1" customHeight="1">
      <c r="A36" s="57"/>
      <c r="B36" s="58"/>
      <c r="C36" s="57"/>
      <c r="D36" s="57"/>
      <c r="E36" s="57"/>
      <c r="F36" s="57"/>
      <c r="G36" s="57"/>
      <c r="H36" s="57"/>
      <c r="I36" s="57"/>
      <c r="J36" s="57"/>
    </row>
    <row r="37" spans="1:10" s="59" customFormat="1" ht="40.15" hidden="1" customHeight="1">
      <c r="A37" s="57"/>
      <c r="B37" s="58"/>
      <c r="C37" s="57"/>
      <c r="D37" s="57"/>
      <c r="E37" s="57"/>
      <c r="F37" s="57"/>
      <c r="G37" s="57"/>
      <c r="H37" s="57"/>
      <c r="I37" s="57"/>
      <c r="J37" s="57"/>
    </row>
    <row r="38" spans="1:10" s="59" customFormat="1" ht="40.15" hidden="1" customHeight="1">
      <c r="A38" s="57"/>
      <c r="B38" s="58"/>
      <c r="C38" s="57"/>
      <c r="D38" s="57"/>
      <c r="E38" s="57"/>
      <c r="F38" s="57"/>
      <c r="G38" s="57"/>
      <c r="H38" s="57"/>
      <c r="I38" s="57"/>
      <c r="J38" s="57"/>
    </row>
    <row r="39" spans="1:10" s="59" customFormat="1" ht="40.15" hidden="1" customHeight="1">
      <c r="A39" s="57"/>
      <c r="B39" s="58"/>
      <c r="C39" s="57"/>
      <c r="D39" s="57"/>
      <c r="E39" s="57"/>
      <c r="F39" s="57"/>
      <c r="G39" s="57"/>
      <c r="H39" s="57"/>
      <c r="I39" s="57"/>
      <c r="J39" s="57"/>
    </row>
  </sheetData>
  <mergeCells count="11">
    <mergeCell ref="C7:J7"/>
    <mergeCell ref="C8:J8"/>
    <mergeCell ref="C9:J9"/>
    <mergeCell ref="C10:J10"/>
    <mergeCell ref="C11:J11"/>
    <mergeCell ref="C6:J6"/>
    <mergeCell ref="A1:J1"/>
    <mergeCell ref="A2:J2"/>
    <mergeCell ref="A3:J3"/>
    <mergeCell ref="C4:J4"/>
    <mergeCell ref="C5:J5"/>
  </mergeCells>
  <phoneticPr fontId="25" type="noConversion"/>
  <printOptions horizontalCentered="1"/>
  <pageMargins left="0.25" right="0.25" top="0.75" bottom="0.75" header="0.3" footer="0.3"/>
  <pageSetup paperSize="9" scale="65" fitToHeight="0" orientation="portrait"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tabColor rgb="FF00B0F0"/>
  </sheetPr>
  <dimension ref="A1"/>
  <sheetViews>
    <sheetView workbookViewId="0">
      <selection activeCell="J53" sqref="J53"/>
    </sheetView>
  </sheetViews>
  <sheetFormatPr defaultRowHeight="13.5"/>
  <sheetData/>
  <phoneticPr fontId="25" type="noConversion"/>
  <pageMargins left="0.7" right="0.7" top="0.75" bottom="0.75" header="0.3" footer="0.3"/>
  <drawing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sheetPr>
    <tabColor rgb="FF0070C0"/>
  </sheetPr>
  <dimension ref="A1"/>
  <sheetViews>
    <sheetView zoomScale="115" zoomScaleNormal="115" workbookViewId="0">
      <selection activeCell="K20" sqref="K20"/>
    </sheetView>
  </sheetViews>
  <sheetFormatPr defaultRowHeight="13.5"/>
  <sheetData/>
  <phoneticPr fontId="25" type="noConversion"/>
  <pageMargins left="0.7" right="0.7" top="0.75" bottom="0.75" header="0.3" footer="0.3"/>
  <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sheetPr>
    <tabColor rgb="FF002060"/>
  </sheetPr>
  <dimension ref="I3"/>
  <sheetViews>
    <sheetView workbookViewId="0">
      <selection activeCell="A10" sqref="A10"/>
    </sheetView>
  </sheetViews>
  <sheetFormatPr defaultRowHeight="13.5"/>
  <cols>
    <col min="9" max="9" width="80.80859375" customWidth="1"/>
  </cols>
  <sheetData>
    <row r="3" spans="9:9" ht="57">
      <c r="I3" s="63" t="s">
        <v>202</v>
      </c>
    </row>
  </sheetData>
  <phoneticPr fontId="25" type="noConversion"/>
  <pageMargins left="0.7" right="0.7" top="0.75" bottom="0.75" header="0.3" footer="0.3"/>
  <drawing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dimension ref="A2"/>
  <sheetViews>
    <sheetView workbookViewId="0">
      <selection activeCell="Q26" sqref="Q26"/>
    </sheetView>
  </sheetViews>
  <sheetFormatPr defaultRowHeight="13.5"/>
  <sheetData>
    <row r="2" ht="24" customHeight="1"/>
  </sheetData>
  <phoneticPr fontId="25" type="noConversion"/>
  <pageMargins left="0.7" right="0.7" top="0.75" bottom="0.75" header="0.3" footer="0.3"/>
  <drawing r:id="rId1"/>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1DBA561FAA6C9F48918AC7C258C8C719" ma:contentTypeVersion="12" ma:contentTypeDescription="Create a new document." ma:contentTypeScope="" ma:versionID="b3247bacf62a51d90bb6a73d306b6457">
  <xsd:schema xmlns:xsd="http://www.w3.org/2001/XMLSchema" xmlns:xs="http://www.w3.org/2001/XMLSchema" xmlns:p="http://schemas.microsoft.com/office/2006/metadata/properties" xmlns:ns2="394f4bda-2b1c-4f7c-8f89-933f198c8d42" xmlns:ns3="a4d5cc5e-dfa1-4e82-94a9-1981df698304" targetNamespace="http://schemas.microsoft.com/office/2006/metadata/properties" ma:root="true" ma:fieldsID="380595c1c517ea30e24557633da43a67" ns2:_="" ns3:_="">
    <xsd:import namespace="394f4bda-2b1c-4f7c-8f89-933f198c8d42"/>
    <xsd:import namespace="a4d5cc5e-dfa1-4e82-94a9-1981df698304"/>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DateTaken" minOccurs="0"/>
                <xsd:element ref="ns2:lcf76f155ced4ddcb4097134ff3c332f" minOccurs="0"/>
                <xsd:element ref="ns3:TaxCatchAll" minOccurs="0"/>
                <xsd:element ref="ns2:MediaServiceOCR" minOccurs="0"/>
                <xsd:element ref="ns2:MediaServiceGenerationTime" minOccurs="0"/>
                <xsd:element ref="ns2:MediaServiceEventHashCode" minOccurs="0"/>
                <xsd:element ref="ns2:MediaLengthInSeconds" minOccurs="0"/>
                <xsd:element ref="ns2:MediaServiceBillingMetadata"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394f4bda-2b1c-4f7c-8f89-933f198c8d42"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DateTaken" ma:index="11" nillable="true" ma:displayName="MediaServiceDateTaken" ma:hidden="true" ma:indexed="true" ma:internalName="MediaServiceDateTaken" ma:readOnly="true">
      <xsd:simpleType>
        <xsd:restriction base="dms:Text"/>
      </xsd:simpleType>
    </xsd:element>
    <xsd:element name="lcf76f155ced4ddcb4097134ff3c332f" ma:index="13" nillable="true" ma:taxonomy="true" ma:internalName="lcf76f155ced4ddcb4097134ff3c332f" ma:taxonomyFieldName="MediaServiceImageTags" ma:displayName="Image Tags" ma:readOnly="false" ma:fieldId="{5cf76f15-5ced-4ddc-b409-7134ff3c332f}" ma:taxonomyMulti="true" ma:sspId="c8a7d0b2-06ec-47a5-9bd5-a2ea2905d2be" ma:termSetId="09814cd3-568e-fe90-9814-8d621ff8fb84" ma:anchorId="fba54fb3-c3e1-fe81-a776-ca4b69148c4d" ma:open="true" ma:isKeyword="false">
      <xsd:complexType>
        <xsd:sequence>
          <xsd:element ref="pc:Terms" minOccurs="0" maxOccurs="1"/>
        </xsd:sequence>
      </xsd:complex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LengthInSeconds" ma:index="18" nillable="true" ma:displayName="MediaLengthInSeconds" ma:hidden="true" ma:internalName="MediaLengthInSeconds" ma:readOnly="true">
      <xsd:simpleType>
        <xsd:restriction base="dms:Unknown"/>
      </xsd:simpleType>
    </xsd:element>
    <xsd:element name="MediaServiceBillingMetadata" ma:index="19" nillable="true" ma:displayName="MediaServiceBillingMetadata" ma:hidden="true" ma:internalName="MediaServiceBillingMetadata"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4d5cc5e-dfa1-4e82-94a9-1981df698304" elementFormDefault="qualified">
    <xsd:import namespace="http://schemas.microsoft.com/office/2006/documentManagement/types"/>
    <xsd:import namespace="http://schemas.microsoft.com/office/infopath/2007/PartnerControls"/>
    <xsd:element name="TaxCatchAll" ma:index="14" nillable="true" ma:displayName="Taxonomy Catch All Column" ma:hidden="true" ma:list="{efb0f660-ad80-4b11-98e5-db6d20d88209}" ma:internalName="TaxCatchAll" ma:showField="CatchAllData" ma:web="a4d5cc5e-dfa1-4e82-94a9-1981df698304">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TaxCatchAll xmlns="a4d5cc5e-dfa1-4e82-94a9-1981df698304" xsi:nil="true"/>
    <lcf76f155ced4ddcb4097134ff3c332f xmlns="394f4bda-2b1c-4f7c-8f89-933f198c8d42">
      <Terms xmlns="http://schemas.microsoft.com/office/infopath/2007/PartnerControls"/>
    </lcf76f155ced4ddcb4097134ff3c332f>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F4CD793B-0D19-497B-8DE5-ED0481F65976}">
  <ds:schemaRefs>
    <ds:schemaRef ds:uri="http://schemas.microsoft.com/office/2006/metadata/contentType"/>
    <ds:schemaRef ds:uri="http://schemas.microsoft.com/office/2006/metadata/properties/metaAttributes"/>
    <ds:schemaRef ds:uri="http://www.w3.org/2000/xmlns/"/>
    <ds:schemaRef ds:uri="http://www.w3.org/2001/XMLSchema"/>
    <ds:schemaRef ds:uri="394f4bda-2b1c-4f7c-8f89-933f198c8d42"/>
    <ds:schemaRef ds:uri="a4d5cc5e-dfa1-4e82-94a9-1981df698304"/>
  </ds:schemaRefs>
</ds:datastoreItem>
</file>

<file path=customXml/itemProps2.xml><?xml version="1.0" encoding="utf-8"?>
<ds:datastoreItem xmlns:ds="http://schemas.openxmlformats.org/officeDocument/2006/customXml" ds:itemID="{9D6C71D9-1122-41BE-8046-842F0AE68963}">
  <ds:schemaRefs>
    <ds:schemaRef ds:uri="http://schemas.microsoft.com/office/2006/metadata/properties"/>
    <ds:schemaRef ds:uri="http://www.w3.org/2000/xmlns/"/>
    <ds:schemaRef ds:uri="a4d5cc5e-dfa1-4e82-94a9-1981df698304"/>
    <ds:schemaRef ds:uri="http://www.w3.org/2001/XMLSchema-instance"/>
    <ds:schemaRef ds:uri="394f4bda-2b1c-4f7c-8f89-933f198c8d42"/>
    <ds:schemaRef ds:uri="http://schemas.microsoft.com/office/infopath/2007/PartnerControls"/>
  </ds:schemaRefs>
</ds:datastoreItem>
</file>

<file path=customXml/itemProps3.xml><?xml version="1.0" encoding="utf-8"?>
<ds:datastoreItem xmlns:ds="http://schemas.openxmlformats.org/officeDocument/2006/customXml" ds:itemID="{FD118D43-B7CD-45F3-8174-31C6C469D825}">
  <ds:schemaRefs>
    <ds:schemaRef ds:uri="http://schemas.microsoft.com/sharepoint/v3/contenttype/forms"/>
  </ds:schemaRefs>
</ds:datastoreItem>
</file>

<file path=docMetadata/LabelInfo.xml><?xml version="1.0" encoding="utf-8"?>
<clbl:labelList xmlns:clbl="http://schemas.microsoft.com/office/2020/mipLabelMetadata">
  <clbl:label id="{9d1b3610-9ab0-42d5-93aa-46150d723d87}" enabled="0" method="" siteId="{9d1b3610-9ab0-42d5-93aa-46150d723d87}" removed="1"/>
</clbl:labelList>
</file>

<file path=docProps/app.xml><?xml version="1.0" encoding="utf-8"?>
<Properties xmlns="http://schemas.openxmlformats.org/officeDocument/2006/extended-properties" xmlns:vt="http://schemas.openxmlformats.org/officeDocument/2006/docPropsVTypes">
  <Application>Excel iOS</Application>
  <DocSecurity>0</DocSecurity>
  <ScaleCrop>false</ScaleCrop>
  <HeadingPairs>
    <vt:vector size="4" baseType="variant">
      <vt:variant>
        <vt:lpstr>Trang tính</vt:lpstr>
      </vt:variant>
      <vt:variant>
        <vt:i4>11</vt:i4>
      </vt:variant>
      <vt:variant>
        <vt:lpstr>Phạm vi Có tên</vt:lpstr>
      </vt:variant>
      <vt:variant>
        <vt:i4>11</vt:i4>
      </vt:variant>
    </vt:vector>
  </HeadingPairs>
  <TitlesOfParts>
    <vt:vector size="22" baseType="lpstr">
      <vt:lpstr>Breakdown CI</vt:lpstr>
      <vt:lpstr>Detailed PL</vt:lpstr>
      <vt:lpstr>PL(2_2)</vt:lpstr>
      <vt:lpstr>SHIPPING MARK(006)</vt:lpstr>
      <vt:lpstr>SHIPPING MARK(007)</vt:lpstr>
      <vt:lpstr>SHIPPING MARK(008)</vt:lpstr>
      <vt:lpstr>SHIPPING MARK(009)</vt:lpstr>
      <vt:lpstr>CO</vt:lpstr>
      <vt:lpstr>CQ</vt:lpstr>
      <vt:lpstr>BL</vt:lpstr>
      <vt:lpstr>PSIC</vt:lpstr>
      <vt:lpstr>PSIC!_Hlk215568700</vt:lpstr>
      <vt:lpstr>Breakdown CI!Print_Titles</vt:lpstr>
      <vt:lpstr>Detailed PL!Print_Titles</vt:lpstr>
      <vt:lpstr>PL(2_2)!Print_Titles</vt:lpstr>
      <vt:lpstr>Breakdown CI!Vùng_In</vt:lpstr>
      <vt:lpstr>Detailed PL!Vùng_In</vt:lpstr>
      <vt:lpstr>PL(2_2)!Vùng_In</vt:lpstr>
      <vt:lpstr>SHIPPING MARK(006)!Vùng_In</vt:lpstr>
      <vt:lpstr>SHIPPING MARK(007)!Vùng_In</vt:lpstr>
      <vt:lpstr>SHIPPING MARK(008)!Vùng_In</vt:lpstr>
      <vt:lpstr>SHIPPING MARK(009)!Vùng_In</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Bùi Thị Thu Nguyệt</dc:creator>
  <cp:keywords/>
  <dc:description/>
  <cp:lastModifiedBy>차수민(Soomin Cha) 선임 두산에너빌리티</cp:lastModifiedBy>
  <cp:revision/>
  <cp:lastPrinted>2026-03-19T06:50:01Z</cp:lastPrinted>
  <dcterms:created xsi:type="dcterms:W3CDTF">2025-07-09T09:39:20Z</dcterms:created>
  <dcterms:modified xsi:type="dcterms:W3CDTF">2026-03-27T08:06:17Z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0x0101001DBA561FAA6C9F48918AC7C258C8C719</vt:lpwstr>
  </property>
  <property fmtid="{D5CDD505-2E9C-101B-9397-08002B2CF9AE}" pid="3" name="MediaServiceImageTags">
    <vt:lpwstr/>
  </property>
</Properties>
</file>