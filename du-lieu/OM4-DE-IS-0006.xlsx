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 MON 4\OM4-DE-IS-000400050006 Draft CDF 20260720\Rve (23.07.2026)\Rve2 (30.07.2026)\OM4-DE-IS-0006\"/>
    </mc:Choice>
  </mc:AlternateContent>
  <xr:revisionPtr revIDLastSave="0" documentId="13_ncr:1_{537090B4-2BDB-4E47-964F-ED0E6C12227E}" xr6:coauthVersionLast="47" xr6:coauthVersionMax="47" xr10:uidLastSave="{00000000-0000-0000-0000-000000000000}"/>
  <bookViews>
    <workbookView xWindow="-50" yWindow="-50" windowWidth="19300" windowHeight="10180" tabRatio="917" activeTab="1" xr2:uid="{00000000-000D-0000-FFFF-FFFF00000000}"/>
  </bookViews>
  <sheets>
    <sheet name="Break Down CI (Rve1)" sheetId="49" r:id="rId1"/>
    <sheet name="PL(2_2)" sheetId="4" r:id="rId2"/>
    <sheet name="Detailed PL" sheetId="5" r:id="rId3"/>
    <sheet name="Commercial Invoice (Rev1)" sheetId="50" r:id="rId4"/>
    <sheet name="Break Down CI (Rve2)" sheetId="52" r:id="rId5"/>
    <sheet name="BOOK" sheetId="51" r:id="rId6"/>
    <sheet name="Commercial Invoice" sheetId="1" r:id="rId7"/>
    <sheet name="Break Down CI" sheetId="14" r:id="rId8"/>
    <sheet name="Packing List (1_2)" sheetId="3" r:id="rId9"/>
    <sheet name="SHIPPING MARK(2)" sheetId="17" r:id="rId10"/>
    <sheet name="SHIPPING MARK(3)" sheetId="18" r:id="rId11"/>
    <sheet name="SHIPPING MARK(4)" sheetId="19" r:id="rId12"/>
    <sheet name="SHIPPING MARK(5)" sheetId="20" r:id="rId13"/>
    <sheet name="SHIPPING MARK(6)" sheetId="21" r:id="rId14"/>
    <sheet name="SHIPPING MARK(7)" sheetId="22" r:id="rId15"/>
    <sheet name="SHIPPING MARK(8)" sheetId="23" r:id="rId16"/>
    <sheet name="SHIPPING MARK(9)" sheetId="24" r:id="rId17"/>
    <sheet name="SHIPPING MARK(10)" sheetId="25" r:id="rId18"/>
    <sheet name="SHIPPING MARK(11)" sheetId="26" r:id="rId19"/>
    <sheet name="SHIPPING MARK(12)" sheetId="27" r:id="rId20"/>
    <sheet name="SHIPPING MARK(13)" sheetId="28" r:id="rId21"/>
    <sheet name="SHIPPING MARK(14)" sheetId="29" r:id="rId22"/>
    <sheet name="SHIPPING MARK(15)" sheetId="30" r:id="rId23"/>
    <sheet name="SHIPPING MARK(16)" sheetId="31" r:id="rId24"/>
    <sheet name="SHIPPING MARK(17)" sheetId="32" r:id="rId25"/>
    <sheet name="SHIPPING MARK(18)" sheetId="33" r:id="rId26"/>
    <sheet name="SHIPPING MARK(19)" sheetId="34" r:id="rId27"/>
    <sheet name="SHIPPING MARK(20)" sheetId="35" r:id="rId28"/>
    <sheet name="SHIPPING MARK(21)" sheetId="36" r:id="rId29"/>
    <sheet name="SHIPPING MARK(22)" sheetId="37" r:id="rId30"/>
    <sheet name="SHIPPING MARK(23)" sheetId="38" r:id="rId31"/>
    <sheet name="SHIPPING MARK(24)" sheetId="39" r:id="rId32"/>
    <sheet name="SHIPPING MARK(25)" sheetId="40" r:id="rId33"/>
    <sheet name="SHIPPING MARK(26)" sheetId="41" r:id="rId34"/>
    <sheet name="SHIPPING MARK(27)" sheetId="42" r:id="rId35"/>
    <sheet name="SHIPPING MARK(28)" sheetId="43" r:id="rId36"/>
    <sheet name="SHIPPING MARK(29)" sheetId="44" r:id="rId37"/>
    <sheet name="SHIPPING MARK(30)" sheetId="45" r:id="rId38"/>
    <sheet name="SHIPPING MARK(31)" sheetId="46" r:id="rId39"/>
    <sheet name="SHIPPING MARK(32)" sheetId="47" r:id="rId40"/>
    <sheet name="SHIPPING MARK(33)" sheetId="48" r:id="rId41"/>
    <sheet name="Technical Description" sheetId="13" r:id="rId42"/>
    <sheet name="CO" sheetId="6" r:id="rId43"/>
    <sheet name="CQ" sheetId="10" r:id="rId44"/>
    <sheet name="BL" sheetId="7" r:id="rId45"/>
    <sheet name="PSIC" sheetId="11" r:id="rId46"/>
  </sheets>
  <definedNames>
    <definedName name="__123Graph_A" localSheetId="5" hidden="1">#REF!</definedName>
    <definedName name="__123Graph_A" localSheetId="7" hidden="1">#REF!</definedName>
    <definedName name="__123Graph_A" localSheetId="0" hidden="1">#REF!</definedName>
    <definedName name="__123Graph_A" localSheetId="4" hidden="1">#REF!</definedName>
    <definedName name="__123Graph_A" localSheetId="6" hidden="1">#REF!</definedName>
    <definedName name="__123Graph_A" localSheetId="3" hidden="1">#REF!</definedName>
    <definedName name="__123Graph_A" localSheetId="2" hidden="1">#REF!</definedName>
    <definedName name="__123Graph_A" localSheetId="8"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26" hidden="1">#REF!</definedName>
    <definedName name="__123Graph_A" localSheetId="9"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36" hidden="1">#REF!</definedName>
    <definedName name="__123Graph_A" localSheetId="10" hidden="1">#REF!</definedName>
    <definedName name="__123Graph_A" localSheetId="37" hidden="1">#REF!</definedName>
    <definedName name="__123Graph_A" localSheetId="38" hidden="1">#REF!</definedName>
    <definedName name="__123Graph_A" localSheetId="39" hidden="1">#REF!</definedName>
    <definedName name="__123Graph_A" localSheetId="4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localSheetId="16" hidden="1">#REF!</definedName>
    <definedName name="__123Graph_A" hidden="1">#REF!</definedName>
    <definedName name="__123Graph_ACurrent" localSheetId="5" hidden="1">#REF!</definedName>
    <definedName name="__123Graph_ACurrent" localSheetId="7" hidden="1">#REF!</definedName>
    <definedName name="__123Graph_ACurrent" localSheetId="0" hidden="1">#REF!</definedName>
    <definedName name="__123Graph_ACurrent" localSheetId="4" hidden="1">#REF!</definedName>
    <definedName name="__123Graph_ACurrent" localSheetId="6" hidden="1">#REF!</definedName>
    <definedName name="__123Graph_ACurrent" localSheetId="3" hidden="1">#REF!</definedName>
    <definedName name="__123Graph_ACurrent" localSheetId="2" hidden="1">#REF!</definedName>
    <definedName name="__123Graph_ACurrent" localSheetId="8"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26" hidden="1">#REF!</definedName>
    <definedName name="__123Graph_ACurrent" localSheetId="9"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36" hidden="1">#REF!</definedName>
    <definedName name="__123Graph_ACurrent" localSheetId="10"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4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localSheetId="16" hidden="1">#REF!</definedName>
    <definedName name="__123Graph_ACurrent" hidden="1">#REF!</definedName>
    <definedName name="__123Graph_B" localSheetId="5" hidden="1">#REF!</definedName>
    <definedName name="__123Graph_B" localSheetId="7" hidden="1">#REF!</definedName>
    <definedName name="__123Graph_B" localSheetId="0" hidden="1">#REF!</definedName>
    <definedName name="__123Graph_B" localSheetId="4" hidden="1">#REF!</definedName>
    <definedName name="__123Graph_B" localSheetId="6" hidden="1">#REF!</definedName>
    <definedName name="__123Graph_B" localSheetId="3" hidden="1">#REF!</definedName>
    <definedName name="__123Graph_B" localSheetId="2" hidden="1">#REF!</definedName>
    <definedName name="__123Graph_B" localSheetId="8"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26" hidden="1">#REF!</definedName>
    <definedName name="__123Graph_B" localSheetId="9"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36" hidden="1">#REF!</definedName>
    <definedName name="__123Graph_B" localSheetId="10" hidden="1">#REF!</definedName>
    <definedName name="__123Graph_B" localSheetId="37" hidden="1">#REF!</definedName>
    <definedName name="__123Graph_B" localSheetId="38" hidden="1">#REF!</definedName>
    <definedName name="__123Graph_B" localSheetId="39" hidden="1">#REF!</definedName>
    <definedName name="__123Graph_B" localSheetId="4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localSheetId="16" hidden="1">#REF!</definedName>
    <definedName name="__123Graph_B" hidden="1">#REF!</definedName>
    <definedName name="__123Graph_BCurrent" localSheetId="5" hidden="1">#REF!</definedName>
    <definedName name="__123Graph_BCurrent" localSheetId="7" hidden="1">#REF!</definedName>
    <definedName name="__123Graph_BCurrent" localSheetId="0" hidden="1">#REF!</definedName>
    <definedName name="__123Graph_BCurrent" localSheetId="4" hidden="1">#REF!</definedName>
    <definedName name="__123Graph_BCurrent" localSheetId="6" hidden="1">#REF!</definedName>
    <definedName name="__123Graph_BCurrent" localSheetId="3" hidden="1">#REF!</definedName>
    <definedName name="__123Graph_BCurrent" localSheetId="2" hidden="1">#REF!</definedName>
    <definedName name="__123Graph_BCurrent" localSheetId="8"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26" hidden="1">#REF!</definedName>
    <definedName name="__123Graph_BCurrent" localSheetId="9"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36" hidden="1">#REF!</definedName>
    <definedName name="__123Graph_BCurrent" localSheetId="10"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4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localSheetId="16" hidden="1">#REF!</definedName>
    <definedName name="__123Graph_BCurrent" hidden="1">#REF!</definedName>
    <definedName name="__123Graph_D" localSheetId="5" hidden="1">#REF!</definedName>
    <definedName name="__123Graph_D" localSheetId="7" hidden="1">#REF!</definedName>
    <definedName name="__123Graph_D" localSheetId="0" hidden="1">#REF!</definedName>
    <definedName name="__123Graph_D" localSheetId="4" hidden="1">#REF!</definedName>
    <definedName name="__123Graph_D" localSheetId="6" hidden="1">#REF!</definedName>
    <definedName name="__123Graph_D" localSheetId="3" hidden="1">#REF!</definedName>
    <definedName name="__123Graph_D" localSheetId="2" hidden="1">#REF!</definedName>
    <definedName name="__123Graph_D" localSheetId="8"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26" hidden="1">#REF!</definedName>
    <definedName name="__123Graph_D" localSheetId="9"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36" hidden="1">#REF!</definedName>
    <definedName name="__123Graph_D" localSheetId="10" hidden="1">#REF!</definedName>
    <definedName name="__123Graph_D" localSheetId="37" hidden="1">#REF!</definedName>
    <definedName name="__123Graph_D" localSheetId="38" hidden="1">#REF!</definedName>
    <definedName name="__123Graph_D" localSheetId="39" hidden="1">#REF!</definedName>
    <definedName name="__123Graph_D" localSheetId="4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localSheetId="16" hidden="1">#REF!</definedName>
    <definedName name="__123Graph_D" hidden="1">#REF!</definedName>
    <definedName name="__123Graph_E" localSheetId="5" hidden="1">#REF!</definedName>
    <definedName name="__123Graph_E" localSheetId="7" hidden="1">#REF!</definedName>
    <definedName name="__123Graph_E" localSheetId="0" hidden="1">#REF!</definedName>
    <definedName name="__123Graph_E" localSheetId="4" hidden="1">#REF!</definedName>
    <definedName name="__123Graph_E" localSheetId="6" hidden="1">#REF!</definedName>
    <definedName name="__123Graph_E" localSheetId="3" hidden="1">#REF!</definedName>
    <definedName name="__123Graph_E" localSheetId="8"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26" hidden="1">#REF!</definedName>
    <definedName name="__123Graph_E" localSheetId="9"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36" hidden="1">#REF!</definedName>
    <definedName name="__123Graph_E" localSheetId="10" hidden="1">#REF!</definedName>
    <definedName name="__123Graph_E" localSheetId="37" hidden="1">#REF!</definedName>
    <definedName name="__123Graph_E" localSheetId="38" hidden="1">#REF!</definedName>
    <definedName name="__123Graph_E" localSheetId="39" hidden="1">#REF!</definedName>
    <definedName name="__123Graph_E" localSheetId="4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localSheetId="16" hidden="1">#REF!</definedName>
    <definedName name="__123Graph_E" hidden="1">#REF!</definedName>
    <definedName name="__123Graph_LBL_A" localSheetId="5" hidden="1">#REF!</definedName>
    <definedName name="__123Graph_LBL_A" localSheetId="7" hidden="1">#REF!</definedName>
    <definedName name="__123Graph_LBL_A" localSheetId="0" hidden="1">#REF!</definedName>
    <definedName name="__123Graph_LBL_A" localSheetId="4" hidden="1">#REF!</definedName>
    <definedName name="__123Graph_LBL_A" localSheetId="6" hidden="1">#REF!</definedName>
    <definedName name="__123Graph_LBL_A" localSheetId="3" hidden="1">#REF!</definedName>
    <definedName name="__123Graph_LBL_A" localSheetId="2" hidden="1">#REF!</definedName>
    <definedName name="__123Graph_LBL_A" localSheetId="8"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26" hidden="1">#REF!</definedName>
    <definedName name="__123Graph_LBL_A" localSheetId="9"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36" hidden="1">#REF!</definedName>
    <definedName name="__123Graph_LBL_A" localSheetId="10" hidden="1">#REF!</definedName>
    <definedName name="__123Graph_LBL_A" localSheetId="37" hidden="1">#REF!</definedName>
    <definedName name="__123Graph_LBL_A" localSheetId="38" hidden="1">#REF!</definedName>
    <definedName name="__123Graph_LBL_A" localSheetId="39" hidden="1">#REF!</definedName>
    <definedName name="__123Graph_LBL_A" localSheetId="4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localSheetId="16" hidden="1">#REF!</definedName>
    <definedName name="__123Graph_LBL_A" hidden="1">#REF!</definedName>
    <definedName name="__123Graph_LBL_B" localSheetId="5" hidden="1">#REF!</definedName>
    <definedName name="__123Graph_LBL_B" localSheetId="7" hidden="1">#REF!</definedName>
    <definedName name="__123Graph_LBL_B" localSheetId="0" hidden="1">#REF!</definedName>
    <definedName name="__123Graph_LBL_B" localSheetId="4" hidden="1">#REF!</definedName>
    <definedName name="__123Graph_LBL_B" localSheetId="6" hidden="1">#REF!</definedName>
    <definedName name="__123Graph_LBL_B" localSheetId="3" hidden="1">#REF!</definedName>
    <definedName name="__123Graph_LBL_B" localSheetId="2" hidden="1">#REF!</definedName>
    <definedName name="__123Graph_LBL_B" localSheetId="8"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26" hidden="1">#REF!</definedName>
    <definedName name="__123Graph_LBL_B" localSheetId="9"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36" hidden="1">#REF!</definedName>
    <definedName name="__123Graph_LBL_B" localSheetId="10" hidden="1">#REF!</definedName>
    <definedName name="__123Graph_LBL_B" localSheetId="37" hidden="1">#REF!</definedName>
    <definedName name="__123Graph_LBL_B" localSheetId="38" hidden="1">#REF!</definedName>
    <definedName name="__123Graph_LBL_B" localSheetId="39" hidden="1">#REF!</definedName>
    <definedName name="__123Graph_LBL_B" localSheetId="4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localSheetId="16" hidden="1">#REF!</definedName>
    <definedName name="__123Graph_LBL_B" hidden="1">#REF!</definedName>
    <definedName name="__123Graph_X" localSheetId="5" hidden="1">#REF!</definedName>
    <definedName name="__123Graph_X" localSheetId="7" hidden="1">#REF!</definedName>
    <definedName name="__123Graph_X" localSheetId="0" hidden="1">#REF!</definedName>
    <definedName name="__123Graph_X" localSheetId="4" hidden="1">#REF!</definedName>
    <definedName name="__123Graph_X" localSheetId="6" hidden="1">#REF!</definedName>
    <definedName name="__123Graph_X" localSheetId="3" hidden="1">#REF!</definedName>
    <definedName name="__123Graph_X" localSheetId="2" hidden="1">#REF!</definedName>
    <definedName name="__123Graph_X" localSheetId="8"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26" hidden="1">#REF!</definedName>
    <definedName name="__123Graph_X" localSheetId="9"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36" hidden="1">#REF!</definedName>
    <definedName name="__123Graph_X" localSheetId="10" hidden="1">#REF!</definedName>
    <definedName name="__123Graph_X" localSheetId="37" hidden="1">#REF!</definedName>
    <definedName name="__123Graph_X" localSheetId="38" hidden="1">#REF!</definedName>
    <definedName name="__123Graph_X" localSheetId="39" hidden="1">#REF!</definedName>
    <definedName name="__123Graph_X" localSheetId="4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localSheetId="16" hidden="1">#REF!</definedName>
    <definedName name="__123Graph_X" hidden="1">#REF!</definedName>
    <definedName name="__123Graph_XCurrent" localSheetId="5" hidden="1">#REF!</definedName>
    <definedName name="__123Graph_XCurrent" localSheetId="7" hidden="1">#REF!</definedName>
    <definedName name="__123Graph_XCurrent" localSheetId="0" hidden="1">#REF!</definedName>
    <definedName name="__123Graph_XCurrent" localSheetId="4" hidden="1">#REF!</definedName>
    <definedName name="__123Graph_XCurrent" localSheetId="6" hidden="1">#REF!</definedName>
    <definedName name="__123Graph_XCurrent" localSheetId="3" hidden="1">#REF!</definedName>
    <definedName name="__123Graph_XCurrent" localSheetId="2" hidden="1">#REF!</definedName>
    <definedName name="__123Graph_XCurrent" localSheetId="8"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26" hidden="1">#REF!</definedName>
    <definedName name="__123Graph_XCurrent" localSheetId="9"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36" hidden="1">#REF!</definedName>
    <definedName name="__123Graph_XCurrent" localSheetId="10"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4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localSheetId="16" hidden="1">#REF!</definedName>
    <definedName name="__123Graph_XCurrent" hidden="1">#REF!</definedName>
    <definedName name="_1__123Graph_AChart_1A" localSheetId="5" hidden="1">#REF!</definedName>
    <definedName name="_1__123Graph_AChart_1A" localSheetId="7" hidden="1">#REF!</definedName>
    <definedName name="_1__123Graph_AChart_1A" localSheetId="0" hidden="1">#REF!</definedName>
    <definedName name="_1__123Graph_AChart_1A" localSheetId="4" hidden="1">#REF!</definedName>
    <definedName name="_1__123Graph_AChart_1A" localSheetId="6" hidden="1">#REF!</definedName>
    <definedName name="_1__123Graph_AChart_1A" localSheetId="3" hidden="1">#REF!</definedName>
    <definedName name="_1__123Graph_AChart_1A" localSheetId="2" hidden="1">#REF!</definedName>
    <definedName name="_1__123Graph_AChart_1A" localSheetId="8"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26" hidden="1">#REF!</definedName>
    <definedName name="_1__123Graph_AChart_1A" localSheetId="9"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36" hidden="1">#REF!</definedName>
    <definedName name="_1__123Graph_AChart_1A" localSheetId="10"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4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localSheetId="16" hidden="1">#REF!</definedName>
    <definedName name="_1__123Graph_AChart_1A" hidden="1">#REF!</definedName>
    <definedName name="_2__123Graph_BChart_1A" localSheetId="5" hidden="1">#REF!</definedName>
    <definedName name="_2__123Graph_BChart_1A" localSheetId="7" hidden="1">#REF!</definedName>
    <definedName name="_2__123Graph_BChart_1A" localSheetId="0" hidden="1">#REF!</definedName>
    <definedName name="_2__123Graph_BChart_1A" localSheetId="4" hidden="1">#REF!</definedName>
    <definedName name="_2__123Graph_BChart_1A" localSheetId="6" hidden="1">#REF!</definedName>
    <definedName name="_2__123Graph_BChart_1A" localSheetId="3" hidden="1">#REF!</definedName>
    <definedName name="_2__123Graph_BChart_1A" localSheetId="2" hidden="1">#REF!</definedName>
    <definedName name="_2__123Graph_BChart_1A" localSheetId="8"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26" hidden="1">#REF!</definedName>
    <definedName name="_2__123Graph_BChart_1A" localSheetId="9"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36" hidden="1">#REF!</definedName>
    <definedName name="_2__123Graph_BChart_1A" localSheetId="10"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4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localSheetId="16" hidden="1">#REF!</definedName>
    <definedName name="_2__123Graph_BChart_1A" hidden="1">#REF!</definedName>
    <definedName name="_3__123Graph_XChart_1A" localSheetId="5" hidden="1">#REF!</definedName>
    <definedName name="_3__123Graph_XChart_1A" localSheetId="7" hidden="1">#REF!</definedName>
    <definedName name="_3__123Graph_XChart_1A" localSheetId="0" hidden="1">#REF!</definedName>
    <definedName name="_3__123Graph_XChart_1A" localSheetId="4" hidden="1">#REF!</definedName>
    <definedName name="_3__123Graph_XChart_1A" localSheetId="6" hidden="1">#REF!</definedName>
    <definedName name="_3__123Graph_XChart_1A" localSheetId="3" hidden="1">#REF!</definedName>
    <definedName name="_3__123Graph_XChart_1A" localSheetId="2" hidden="1">#REF!</definedName>
    <definedName name="_3__123Graph_XChart_1A" localSheetId="8"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26" hidden="1">#REF!</definedName>
    <definedName name="_3__123Graph_XChart_1A" localSheetId="9"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36" hidden="1">#REF!</definedName>
    <definedName name="_3__123Graph_XChart_1A" localSheetId="10"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4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localSheetId="16" hidden="1">#REF!</definedName>
    <definedName name="_3__123Graph_XChart_1A" hidden="1">#REF!</definedName>
    <definedName name="_Fill" localSheetId="5" hidden="1">#REF!</definedName>
    <definedName name="_Fill" localSheetId="7" hidden="1">#REF!</definedName>
    <definedName name="_Fill" localSheetId="0" hidden="1">#REF!</definedName>
    <definedName name="_Fill" localSheetId="4" hidden="1">#REF!</definedName>
    <definedName name="_Fill" localSheetId="6" hidden="1">#REF!</definedName>
    <definedName name="_Fill" localSheetId="3" hidden="1">#REF!</definedName>
    <definedName name="_Fill" localSheetId="2" hidden="1">#REF!</definedName>
    <definedName name="_Fill" localSheetId="8"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26" hidden="1">#REF!</definedName>
    <definedName name="_Fill" localSheetId="9"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36" hidden="1">#REF!</definedName>
    <definedName name="_Fill" localSheetId="10" hidden="1">#REF!</definedName>
    <definedName name="_Fill" localSheetId="37" hidden="1">#REF!</definedName>
    <definedName name="_Fill" localSheetId="38" hidden="1">#REF!</definedName>
    <definedName name="_Fill" localSheetId="39" hidden="1">#REF!</definedName>
    <definedName name="_Fill" localSheetId="4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localSheetId="16" hidden="1">#REF!</definedName>
    <definedName name="_Fill" hidden="1">#REF!</definedName>
    <definedName name="_xlnm._FilterDatabase" localSheetId="5" hidden="1">BOOK!$A$7:$J$135</definedName>
    <definedName name="_xlnm._FilterDatabase" localSheetId="7" hidden="1">'Break Down CI'!$A$7:$N$134</definedName>
    <definedName name="_xlnm._FilterDatabase" localSheetId="0" hidden="1">'Break Down CI (Rve1)'!$A$7:$Y$133</definedName>
    <definedName name="_xlnm._FilterDatabase" localSheetId="4" hidden="1">'Break Down CI (Rve2)'!$A$7:$X$133</definedName>
    <definedName name="_xlnm._FilterDatabase" localSheetId="2" hidden="1">'Detailed PL'!$B$14:$AP$151</definedName>
    <definedName name="_xlnm._FilterDatabase" localSheetId="1" hidden="1">'PL(2_2)'!$B$14:$AD$48</definedName>
    <definedName name="_xlnm._FilterDatabase" localSheetId="17" hidden="1">'SHIPPING MARK(10)'!$A$1:$A$20</definedName>
    <definedName name="_xlnm._FilterDatabase" localSheetId="18" hidden="1">'SHIPPING MARK(11)'!$A$1:$A$20</definedName>
    <definedName name="_xlnm._FilterDatabase" localSheetId="19" hidden="1">'SHIPPING MARK(12)'!$A$1:$A$20</definedName>
    <definedName name="_xlnm._FilterDatabase" localSheetId="20" hidden="1">'SHIPPING MARK(13)'!$A$1:$A$20</definedName>
    <definedName name="_xlnm._FilterDatabase" localSheetId="21" hidden="1">'SHIPPING MARK(14)'!$A$1:$A$20</definedName>
    <definedName name="_xlnm._FilterDatabase" localSheetId="22" hidden="1">'SHIPPING MARK(15)'!$A$1:$A$20</definedName>
    <definedName name="_xlnm._FilterDatabase" localSheetId="23" hidden="1">'SHIPPING MARK(16)'!$A$1:$A$20</definedName>
    <definedName name="_xlnm._FilterDatabase" localSheetId="24" hidden="1">'SHIPPING MARK(17)'!$A$1:$A$20</definedName>
    <definedName name="_xlnm._FilterDatabase" localSheetId="25" hidden="1">'SHIPPING MARK(18)'!$A$1:$A$20</definedName>
    <definedName name="_xlnm._FilterDatabase" localSheetId="26" hidden="1">'SHIPPING MARK(19)'!$A$1:$A$20</definedName>
    <definedName name="_xlnm._FilterDatabase" localSheetId="9" hidden="1">'SHIPPING MARK(2)'!$A$1:$A$20</definedName>
    <definedName name="_xlnm._FilterDatabase" localSheetId="27" hidden="1">'SHIPPING MARK(20)'!$A$1:$A$20</definedName>
    <definedName name="_xlnm._FilterDatabase" localSheetId="28" hidden="1">'SHIPPING MARK(21)'!$A$1:$A$20</definedName>
    <definedName name="_xlnm._FilterDatabase" localSheetId="29" hidden="1">'SHIPPING MARK(22)'!$A$1:$A$20</definedName>
    <definedName name="_xlnm._FilterDatabase" localSheetId="30" hidden="1">'SHIPPING MARK(23)'!$A$1:$A$20</definedName>
    <definedName name="_xlnm._FilterDatabase" localSheetId="31" hidden="1">'SHIPPING MARK(24)'!$A$1:$A$20</definedName>
    <definedName name="_xlnm._FilterDatabase" localSheetId="32" hidden="1">'SHIPPING MARK(25)'!$A$1:$A$20</definedName>
    <definedName name="_xlnm._FilterDatabase" localSheetId="33" hidden="1">'SHIPPING MARK(26)'!$A$1:$A$20</definedName>
    <definedName name="_xlnm._FilterDatabase" localSheetId="34" hidden="1">'SHIPPING MARK(27)'!$A$1:$A$20</definedName>
    <definedName name="_xlnm._FilterDatabase" localSheetId="35" hidden="1">'SHIPPING MARK(28)'!$A$1:$A$20</definedName>
    <definedName name="_xlnm._FilterDatabase" localSheetId="36" hidden="1">'SHIPPING MARK(29)'!$A$1:$A$20</definedName>
    <definedName name="_xlnm._FilterDatabase" localSheetId="10" hidden="1">'SHIPPING MARK(3)'!$A$1:$A$20</definedName>
    <definedName name="_xlnm._FilterDatabase" localSheetId="37" hidden="1">'SHIPPING MARK(30)'!$A$1:$A$20</definedName>
    <definedName name="_xlnm._FilterDatabase" localSheetId="38" hidden="1">'SHIPPING MARK(31)'!$A$1:$A$20</definedName>
    <definedName name="_xlnm._FilterDatabase" localSheetId="39" hidden="1">'SHIPPING MARK(32)'!$A$1:$A$20</definedName>
    <definedName name="_xlnm._FilterDatabase" localSheetId="40" hidden="1">'SHIPPING MARK(33)'!$A$1:$A$20</definedName>
    <definedName name="_xlnm._FilterDatabase" localSheetId="11" hidden="1">'SHIPPING MARK(4)'!$A$1:$A$20</definedName>
    <definedName name="_xlnm._FilterDatabase" localSheetId="12" hidden="1">'SHIPPING MARK(5)'!$A$1:$A$20</definedName>
    <definedName name="_xlnm._FilterDatabase" localSheetId="13" hidden="1">'SHIPPING MARK(6)'!$A$1:$A$20</definedName>
    <definedName name="_xlnm._FilterDatabase" localSheetId="14" hidden="1">'SHIPPING MARK(7)'!$A$1:$A$20</definedName>
    <definedName name="_xlnm._FilterDatabase" localSheetId="15" hidden="1">'SHIPPING MARK(8)'!$A$1:$A$20</definedName>
    <definedName name="_xlnm._FilterDatabase" localSheetId="16" hidden="1">'SHIPPING MARK(9)'!$A$1:$A$20</definedName>
    <definedName name="_xlnm._FilterDatabase" localSheetId="41" hidden="1">'Technical Description'!$A$8:$H$42</definedName>
    <definedName name="_Hlk215568700" localSheetId="45">PSIC!$B$2</definedName>
    <definedName name="_Key1" localSheetId="5" hidden="1">#REF!</definedName>
    <definedName name="_Key1" localSheetId="7" hidden="1">#REF!</definedName>
    <definedName name="_Key1" localSheetId="0" hidden="1">#REF!</definedName>
    <definedName name="_Key1" localSheetId="4" hidden="1">#REF!</definedName>
    <definedName name="_Key1" localSheetId="6" hidden="1">#REF!</definedName>
    <definedName name="_Key1" localSheetId="3" hidden="1">#REF!</definedName>
    <definedName name="_Key1" localSheetId="8"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26" hidden="1">#REF!</definedName>
    <definedName name="_Key1" localSheetId="9"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36" hidden="1">#REF!</definedName>
    <definedName name="_Key1" localSheetId="10" hidden="1">#REF!</definedName>
    <definedName name="_Key1" localSheetId="37" hidden="1">#REF!</definedName>
    <definedName name="_Key1" localSheetId="38" hidden="1">#REF!</definedName>
    <definedName name="_Key1" localSheetId="39" hidden="1">#REF!</definedName>
    <definedName name="_Key1" localSheetId="4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localSheetId="16" hidden="1">#REF!</definedName>
    <definedName name="_Key1" hidden="1">#REF!</definedName>
    <definedName name="_Key2" localSheetId="5" hidden="1">#REF!</definedName>
    <definedName name="_Key2" localSheetId="7" hidden="1">#REF!</definedName>
    <definedName name="_Key2" localSheetId="0" hidden="1">#REF!</definedName>
    <definedName name="_Key2" localSheetId="4" hidden="1">#REF!</definedName>
    <definedName name="_Key2" localSheetId="6" hidden="1">#REF!</definedName>
    <definedName name="_Key2" localSheetId="3" hidden="1">#REF!</definedName>
    <definedName name="_Key2" localSheetId="8"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26" hidden="1">#REF!</definedName>
    <definedName name="_Key2" localSheetId="9"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36" hidden="1">#REF!</definedName>
    <definedName name="_Key2" localSheetId="10" hidden="1">#REF!</definedName>
    <definedName name="_Key2" localSheetId="37" hidden="1">#REF!</definedName>
    <definedName name="_Key2" localSheetId="38" hidden="1">#REF!</definedName>
    <definedName name="_Key2" localSheetId="39" hidden="1">#REF!</definedName>
    <definedName name="_Key2" localSheetId="4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localSheetId="16" hidden="1">#REF!</definedName>
    <definedName name="_Key2" hidden="1">#REF!</definedName>
    <definedName name="_Order1" hidden="1">255</definedName>
    <definedName name="_Order2" hidden="1">255</definedName>
    <definedName name="_Parse_In" localSheetId="5" hidden="1">#REF!</definedName>
    <definedName name="_Parse_In" localSheetId="7" hidden="1">#REF!</definedName>
    <definedName name="_Parse_In" localSheetId="0" hidden="1">#REF!</definedName>
    <definedName name="_Parse_In" localSheetId="4" hidden="1">#REF!</definedName>
    <definedName name="_Parse_In" localSheetId="6" hidden="1">#REF!</definedName>
    <definedName name="_Parse_In" localSheetId="3" hidden="1">#REF!</definedName>
    <definedName name="_Parse_In" localSheetId="2" hidden="1">#REF!</definedName>
    <definedName name="_Parse_In" localSheetId="8"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26" hidden="1">#REF!</definedName>
    <definedName name="_Parse_In" localSheetId="9"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36" hidden="1">#REF!</definedName>
    <definedName name="_Parse_In" localSheetId="10" hidden="1">#REF!</definedName>
    <definedName name="_Parse_In" localSheetId="37" hidden="1">#REF!</definedName>
    <definedName name="_Parse_In" localSheetId="38" hidden="1">#REF!</definedName>
    <definedName name="_Parse_In" localSheetId="39" hidden="1">#REF!</definedName>
    <definedName name="_Parse_In" localSheetId="4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localSheetId="16" hidden="1">#REF!</definedName>
    <definedName name="_Parse_In" hidden="1">#REF!</definedName>
    <definedName name="_Parse_Out" localSheetId="5" hidden="1">#REF!</definedName>
    <definedName name="_Parse_Out" localSheetId="7" hidden="1">#REF!</definedName>
    <definedName name="_Parse_Out" localSheetId="0" hidden="1">#REF!</definedName>
    <definedName name="_Parse_Out" localSheetId="4" hidden="1">#REF!</definedName>
    <definedName name="_Parse_Out" localSheetId="6" hidden="1">#REF!</definedName>
    <definedName name="_Parse_Out" localSheetId="3" hidden="1">#REF!</definedName>
    <definedName name="_Parse_Out" localSheetId="8"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26" hidden="1">#REF!</definedName>
    <definedName name="_Parse_Out" localSheetId="9"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36" hidden="1">#REF!</definedName>
    <definedName name="_Parse_Out" localSheetId="10" hidden="1">#REF!</definedName>
    <definedName name="_Parse_Out" localSheetId="37" hidden="1">#REF!</definedName>
    <definedName name="_Parse_Out" localSheetId="38" hidden="1">#REF!</definedName>
    <definedName name="_Parse_Out" localSheetId="39" hidden="1">#REF!</definedName>
    <definedName name="_Parse_Out" localSheetId="4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localSheetId="16" hidden="1">#REF!</definedName>
    <definedName name="_Parse_Out" hidden="1">#REF!</definedName>
    <definedName name="_Sort" localSheetId="5" hidden="1">#REF!</definedName>
    <definedName name="_Sort" localSheetId="7" hidden="1">#REF!</definedName>
    <definedName name="_Sort" localSheetId="0" hidden="1">#REF!</definedName>
    <definedName name="_Sort" localSheetId="4" hidden="1">#REF!</definedName>
    <definedName name="_Sort" localSheetId="6" hidden="1">#REF!</definedName>
    <definedName name="_Sort" localSheetId="3" hidden="1">#REF!</definedName>
    <definedName name="_Sort" localSheetId="8"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26" hidden="1">#REF!</definedName>
    <definedName name="_Sort" localSheetId="9"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36" hidden="1">#REF!</definedName>
    <definedName name="_Sort" localSheetId="10" hidden="1">#REF!</definedName>
    <definedName name="_Sort" localSheetId="37" hidden="1">#REF!</definedName>
    <definedName name="_Sort" localSheetId="38" hidden="1">#REF!</definedName>
    <definedName name="_Sort" localSheetId="39" hidden="1">#REF!</definedName>
    <definedName name="_Sort" localSheetId="4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localSheetId="16" hidden="1">#REF!</definedName>
    <definedName name="_Sort" hidden="1">#REF!</definedName>
    <definedName name="A" localSheetId="5" hidden="1">#REF!</definedName>
    <definedName name="A" localSheetId="7" hidden="1">#REF!</definedName>
    <definedName name="A" localSheetId="0" hidden="1">#REF!</definedName>
    <definedName name="A" localSheetId="4" hidden="1">#REF!</definedName>
    <definedName name="A" localSheetId="6" hidden="1">#REF!</definedName>
    <definedName name="A" localSheetId="3" hidden="1">#REF!</definedName>
    <definedName name="A" localSheetId="8"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26" hidden="1">#REF!</definedName>
    <definedName name="A" localSheetId="9"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36" hidden="1">#REF!</definedName>
    <definedName name="A" localSheetId="10" hidden="1">#REF!</definedName>
    <definedName name="A" localSheetId="37" hidden="1">#REF!</definedName>
    <definedName name="A" localSheetId="38" hidden="1">#REF!</definedName>
    <definedName name="A" localSheetId="39" hidden="1">#REF!</definedName>
    <definedName name="A" localSheetId="4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localSheetId="16" hidden="1">#REF!</definedName>
    <definedName name="A" hidden="1">#REF!</definedName>
    <definedName name="ABC" localSheetId="5" hidden="1">#REF!</definedName>
    <definedName name="ABC" localSheetId="7" hidden="1">#REF!</definedName>
    <definedName name="ABC" localSheetId="0" hidden="1">#REF!</definedName>
    <definedName name="ABC" localSheetId="4" hidden="1">#REF!</definedName>
    <definedName name="ABC" localSheetId="6" hidden="1">#REF!</definedName>
    <definedName name="ABC" localSheetId="3" hidden="1">#REF!</definedName>
    <definedName name="ABC" localSheetId="2" hidden="1">#REF!</definedName>
    <definedName name="ABC" localSheetId="8"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26" hidden="1">#REF!</definedName>
    <definedName name="ABC" localSheetId="9"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36" hidden="1">#REF!</definedName>
    <definedName name="ABC" localSheetId="10" hidden="1">#REF!</definedName>
    <definedName name="ABC" localSheetId="37" hidden="1">#REF!</definedName>
    <definedName name="ABC" localSheetId="38" hidden="1">#REF!</definedName>
    <definedName name="ABC" localSheetId="39" hidden="1">#REF!</definedName>
    <definedName name="ABC" localSheetId="4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localSheetId="16" hidden="1">#REF!</definedName>
    <definedName name="ABC" hidden="1">#REF!</definedName>
    <definedName name="CO" localSheetId="5" hidden="1">#REF!</definedName>
    <definedName name="CO" localSheetId="7" hidden="1">#REF!</definedName>
    <definedName name="CO" localSheetId="0" hidden="1">#REF!</definedName>
    <definedName name="CO" localSheetId="4" hidden="1">#REF!</definedName>
    <definedName name="CO" localSheetId="6" hidden="1">#REF!</definedName>
    <definedName name="CO" localSheetId="3" hidden="1">#REF!</definedName>
    <definedName name="CO" localSheetId="2" hidden="1">#REF!</definedName>
    <definedName name="CO" localSheetId="8"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26" hidden="1">#REF!</definedName>
    <definedName name="CO" localSheetId="9"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36" hidden="1">#REF!</definedName>
    <definedName name="CO" localSheetId="10" hidden="1">#REF!</definedName>
    <definedName name="CO" localSheetId="37" hidden="1">#REF!</definedName>
    <definedName name="CO" localSheetId="38" hidden="1">#REF!</definedName>
    <definedName name="CO" localSheetId="39" hidden="1">#REF!</definedName>
    <definedName name="CO" localSheetId="4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localSheetId="16" hidden="1">#REF!</definedName>
    <definedName name="CO"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26" hidden="1">#REF!</definedName>
    <definedName name="e" localSheetId="9"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36" hidden="1">#REF!</definedName>
    <definedName name="e" localSheetId="10" hidden="1">#REF!</definedName>
    <definedName name="e" localSheetId="37" hidden="1">#REF!</definedName>
    <definedName name="e" localSheetId="38" hidden="1">#REF!</definedName>
    <definedName name="e" localSheetId="39" hidden="1">#REF!</definedName>
    <definedName name="e" localSheetId="4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localSheetId="16" hidden="1">#REF!</definedName>
    <definedName name="e"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26" hidden="1">#REF!</definedName>
    <definedName name="Ge" localSheetId="9"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36" hidden="1">#REF!</definedName>
    <definedName name="Ge" localSheetId="10" hidden="1">#REF!</definedName>
    <definedName name="Ge" localSheetId="37" hidden="1">#REF!</definedName>
    <definedName name="Ge" localSheetId="38" hidden="1">#REF!</definedName>
    <definedName name="Ge" localSheetId="39" hidden="1">#REF!</definedName>
    <definedName name="Ge" localSheetId="4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localSheetId="16" hidden="1">#REF!</definedName>
    <definedName name="Ge" hidden="1">#REF!</definedName>
    <definedName name="iv2dt" localSheetId="5" hidden="1">#REF!</definedName>
    <definedName name="iv2dt" localSheetId="7" hidden="1">#REF!</definedName>
    <definedName name="iv2dt" localSheetId="0" hidden="1">#REF!</definedName>
    <definedName name="iv2dt" localSheetId="4" hidden="1">#REF!</definedName>
    <definedName name="iv2dt" localSheetId="6" hidden="1">#REF!</definedName>
    <definedName name="iv2dt" localSheetId="3" hidden="1">#REF!</definedName>
    <definedName name="iv2dt" localSheetId="2" hidden="1">#REF!</definedName>
    <definedName name="iv2dt" localSheetId="8"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26" hidden="1">#REF!</definedName>
    <definedName name="iv2dt" localSheetId="9"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36" hidden="1">#REF!</definedName>
    <definedName name="iv2dt" localSheetId="10" hidden="1">#REF!</definedName>
    <definedName name="iv2dt" localSheetId="37" hidden="1">#REF!</definedName>
    <definedName name="iv2dt" localSheetId="38" hidden="1">#REF!</definedName>
    <definedName name="iv2dt" localSheetId="39" hidden="1">#REF!</definedName>
    <definedName name="iv2dt" localSheetId="4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localSheetId="16" hidden="1">#REF!</definedName>
    <definedName name="iv2dt" hidden="1">#REF!</definedName>
    <definedName name="ivdt" localSheetId="5" hidden="1">#REF!</definedName>
    <definedName name="ivdt" localSheetId="7" hidden="1">#REF!</definedName>
    <definedName name="ivdt" localSheetId="0" hidden="1">#REF!</definedName>
    <definedName name="ivdt" localSheetId="4" hidden="1">#REF!</definedName>
    <definedName name="ivdt" localSheetId="6" hidden="1">#REF!</definedName>
    <definedName name="ivdt" localSheetId="3" hidden="1">#REF!</definedName>
    <definedName name="ivdt" localSheetId="2" hidden="1">#REF!</definedName>
    <definedName name="ivdt" localSheetId="8"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26" hidden="1">#REF!</definedName>
    <definedName name="ivdt" localSheetId="9"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36" hidden="1">#REF!</definedName>
    <definedName name="ivdt" localSheetId="10" hidden="1">#REF!</definedName>
    <definedName name="ivdt" localSheetId="37" hidden="1">#REF!</definedName>
    <definedName name="ivdt" localSheetId="38" hidden="1">#REF!</definedName>
    <definedName name="ivdt" localSheetId="39" hidden="1">#REF!</definedName>
    <definedName name="ivdt" localSheetId="4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localSheetId="16" hidden="1">#REF!</definedName>
    <definedName name="ivdt" hidden="1">#REF!</definedName>
    <definedName name="KABOLINE" localSheetId="5" hidden="1">#REF!</definedName>
    <definedName name="KABOLINE" localSheetId="7" hidden="1">#REF!</definedName>
    <definedName name="KABOLINE" localSheetId="0" hidden="1">#REF!</definedName>
    <definedName name="KABOLINE" localSheetId="4" hidden="1">#REF!</definedName>
    <definedName name="KABOLINE" localSheetId="6" hidden="1">#REF!</definedName>
    <definedName name="KABOLINE" localSheetId="3" hidden="1">#REF!</definedName>
    <definedName name="KABOLINE" localSheetId="2" hidden="1">#REF!</definedName>
    <definedName name="KABOLINE" localSheetId="8"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26" hidden="1">#REF!</definedName>
    <definedName name="KABOLINE" localSheetId="9"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36" hidden="1">#REF!</definedName>
    <definedName name="KABOLINE" localSheetId="10" hidden="1">#REF!</definedName>
    <definedName name="KABOLINE" localSheetId="37" hidden="1">#REF!</definedName>
    <definedName name="KABOLINE" localSheetId="38" hidden="1">#REF!</definedName>
    <definedName name="KABOLINE" localSheetId="39" hidden="1">#REF!</definedName>
    <definedName name="KABOLINE" localSheetId="4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localSheetId="16" hidden="1">#REF!</definedName>
    <definedName name="KABOLINE" hidden="1">#REF!</definedName>
    <definedName name="latent">#REF!</definedName>
    <definedName name="_xlnm.Print_Titles" localSheetId="5">BOOK!$7:$7</definedName>
    <definedName name="_xlnm.Print_Titles" localSheetId="7">'Break Down CI'!$7:$7</definedName>
    <definedName name="_xlnm.Print_Titles" localSheetId="0">'Break Down CI (Rve1)'!$7:$7</definedName>
    <definedName name="_xlnm.Print_Titles" localSheetId="4">'Break Down CI (Rve2)'!$7:$7</definedName>
    <definedName name="_xlnm.Print_Titles" localSheetId="2">'Detailed PL'!$13:$14</definedName>
    <definedName name="_xlnm.Print_Titles" localSheetId="1">'PL(2_2)'!$13:$14</definedName>
    <definedName name="_xlnm.Print_Titles" localSheetId="41">'Technical Description'!$7:$8</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26" hidden="1">#REF!</definedName>
    <definedName name="SM" localSheetId="9"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36" hidden="1">#REF!</definedName>
    <definedName name="SM" localSheetId="10" hidden="1">#REF!</definedName>
    <definedName name="SM" localSheetId="37" hidden="1">#REF!</definedName>
    <definedName name="SM" localSheetId="38" hidden="1">#REF!</definedName>
    <definedName name="SM" localSheetId="39" hidden="1">#REF!</definedName>
    <definedName name="SM" localSheetId="4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localSheetId="16" hidden="1">#REF!</definedName>
    <definedName name="SM" hidden="1">#REF!</definedName>
    <definedName name="tube_test_press1_12">#REF!</definedName>
    <definedName name="_xlnm.Print_Area" localSheetId="5">BOOK!$A$1:$J$113</definedName>
    <definedName name="_xlnm.Print_Area" localSheetId="7">'Break Down CI'!$A$1:$L$112</definedName>
    <definedName name="_xlnm.Print_Area" localSheetId="0">'Break Down CI (Rve1)'!$A$1:$W$111</definedName>
    <definedName name="_xlnm.Print_Area" localSheetId="4">'Break Down CI (Rve2)'!$A$1:$V$111</definedName>
    <definedName name="_xlnm.Print_Area" localSheetId="6">'Commercial Invoice'!$A$1:$K$46</definedName>
    <definedName name="_xlnm.Print_Area" localSheetId="3">'Commercial Invoice (Rev1)'!$A$1:$K$46</definedName>
    <definedName name="_xlnm.Print_Area" localSheetId="2">'Detailed PL'!$A$1:$X$151</definedName>
    <definedName name="_xlnm.Print_Area" localSheetId="8">'Packing List (1_2)'!$A$1:$K$49</definedName>
    <definedName name="_xlnm.Print_Area" localSheetId="1">'PL(2_2)'!$B$1:$T$48</definedName>
    <definedName name="_xlnm.Print_Area" localSheetId="17">'SHIPPING MARK(10)'!$A$1:$J$20</definedName>
    <definedName name="_xlnm.Print_Area" localSheetId="18">'SHIPPING MARK(11)'!$A$1:$J$20</definedName>
    <definedName name="_xlnm.Print_Area" localSheetId="19">'SHIPPING MARK(12)'!$A$1:$J$20</definedName>
    <definedName name="_xlnm.Print_Area" localSheetId="20">'SHIPPING MARK(13)'!$A$1:$J$20</definedName>
    <definedName name="_xlnm.Print_Area" localSheetId="21">'SHIPPING MARK(14)'!$A$1:$J$20</definedName>
    <definedName name="_xlnm.Print_Area" localSheetId="22">'SHIPPING MARK(15)'!$A$1:$J$20</definedName>
    <definedName name="_xlnm.Print_Area" localSheetId="23">'SHIPPING MARK(16)'!$A$1:$J$20</definedName>
    <definedName name="_xlnm.Print_Area" localSheetId="24">'SHIPPING MARK(17)'!$A$1:$J$20</definedName>
    <definedName name="_xlnm.Print_Area" localSheetId="25">'SHIPPING MARK(18)'!$A$1:$J$20</definedName>
    <definedName name="_xlnm.Print_Area" localSheetId="26">'SHIPPING MARK(19)'!$A$1:$J$20</definedName>
    <definedName name="_xlnm.Print_Area" localSheetId="9">'SHIPPING MARK(2)'!$A$1:$J$20</definedName>
    <definedName name="_xlnm.Print_Area" localSheetId="27">'SHIPPING MARK(20)'!$A$1:$J$20</definedName>
    <definedName name="_xlnm.Print_Area" localSheetId="28">'SHIPPING MARK(21)'!$A$1:$J$20</definedName>
    <definedName name="_xlnm.Print_Area" localSheetId="29">'SHIPPING MARK(22)'!$A$1:$J$20</definedName>
    <definedName name="_xlnm.Print_Area" localSheetId="30">'SHIPPING MARK(23)'!$A$1:$J$20</definedName>
    <definedName name="_xlnm.Print_Area" localSheetId="31">'SHIPPING MARK(24)'!$A$1:$J$20</definedName>
    <definedName name="_xlnm.Print_Area" localSheetId="32">'SHIPPING MARK(25)'!$A$1:$J$20</definedName>
    <definedName name="_xlnm.Print_Area" localSheetId="33">'SHIPPING MARK(26)'!$A$1:$J$20</definedName>
    <definedName name="_xlnm.Print_Area" localSheetId="34">'SHIPPING MARK(27)'!$A$1:$J$20</definedName>
    <definedName name="_xlnm.Print_Area" localSheetId="35">'SHIPPING MARK(28)'!$A$1:$J$20</definedName>
    <definedName name="_xlnm.Print_Area" localSheetId="36">'SHIPPING MARK(29)'!$A$1:$J$20</definedName>
    <definedName name="_xlnm.Print_Area" localSheetId="10">'SHIPPING MARK(3)'!$A$1:$J$20</definedName>
    <definedName name="_xlnm.Print_Area" localSheetId="37">'SHIPPING MARK(30)'!$A$1:$J$20</definedName>
    <definedName name="_xlnm.Print_Area" localSheetId="38">'SHIPPING MARK(31)'!$A$1:$J$20</definedName>
    <definedName name="_xlnm.Print_Area" localSheetId="39">'SHIPPING MARK(32)'!$A$1:$J$20</definedName>
    <definedName name="_xlnm.Print_Area" localSheetId="40">'SHIPPING MARK(33)'!$A$1:$J$20</definedName>
    <definedName name="_xlnm.Print_Area" localSheetId="11">'SHIPPING MARK(4)'!$A$1:$J$20</definedName>
    <definedName name="_xlnm.Print_Area" localSheetId="12">'SHIPPING MARK(5)'!$A$1:$J$20</definedName>
    <definedName name="_xlnm.Print_Area" localSheetId="13">'SHIPPING MARK(6)'!$A$1:$J$20</definedName>
    <definedName name="_xlnm.Print_Area" localSheetId="14">'SHIPPING MARK(7)'!$A$1:$J$20</definedName>
    <definedName name="_xlnm.Print_Area" localSheetId="15">'SHIPPING MARK(8)'!$A$1:$J$20</definedName>
    <definedName name="_xlnm.Print_Area" localSheetId="16">'SHIPPING MARK(9)'!$A$1:$J$20</definedName>
    <definedName name="_xlnm.Print_Area" localSheetId="41">'Technical Description'!$A$1:$H$42</definedName>
    <definedName name="weki_9701.xls" localSheetId="5" hidden="1">#REF!</definedName>
    <definedName name="weki_9701.xls" localSheetId="7" hidden="1">#REF!</definedName>
    <definedName name="weki_9701.xls" localSheetId="0" hidden="1">#REF!</definedName>
    <definedName name="weki_9701.xls" localSheetId="4" hidden="1">#REF!</definedName>
    <definedName name="weki_9701.xls" localSheetId="6" hidden="1">#REF!</definedName>
    <definedName name="weki_9701.xls" localSheetId="3" hidden="1">#REF!</definedName>
    <definedName name="weki_9701.xls" localSheetId="8"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26" hidden="1">#REF!</definedName>
    <definedName name="weki_9701.xls" localSheetId="9"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36" hidden="1">#REF!</definedName>
    <definedName name="weki_9701.xls" localSheetId="10" hidden="1">#REF!</definedName>
    <definedName name="weki_9701.xls" localSheetId="37" hidden="1">#REF!</definedName>
    <definedName name="weki_9701.xls" localSheetId="38" hidden="1">#REF!</definedName>
    <definedName name="weki_9701.xls" localSheetId="39" hidden="1">#REF!</definedName>
    <definedName name="weki_9701.xls" localSheetId="4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localSheetId="16" hidden="1">#REF!</definedName>
    <definedName name="weki_9701.xls" hidden="1">#REF!</definedName>
    <definedName name="wekir9701.xls" localSheetId="5" hidden="1">#REF!</definedName>
    <definedName name="wekir9701.xls" localSheetId="7" hidden="1">#REF!</definedName>
    <definedName name="wekir9701.xls" localSheetId="0" hidden="1">#REF!</definedName>
    <definedName name="wekir9701.xls" localSheetId="4" hidden="1">#REF!</definedName>
    <definedName name="wekir9701.xls" localSheetId="6" hidden="1">#REF!</definedName>
    <definedName name="wekir9701.xls" localSheetId="3" hidden="1">#REF!</definedName>
    <definedName name="wekir9701.xls" localSheetId="8"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26" hidden="1">#REF!</definedName>
    <definedName name="wekir9701.xls" localSheetId="9"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36" hidden="1">#REF!</definedName>
    <definedName name="wekir9701.xls" localSheetId="10" hidden="1">#REF!</definedName>
    <definedName name="wekir9701.xls" localSheetId="37" hidden="1">#REF!</definedName>
    <definedName name="wekir9701.xls" localSheetId="38" hidden="1">#REF!</definedName>
    <definedName name="wekir9701.xls" localSheetId="39" hidden="1">#REF!</definedName>
    <definedName name="wekir9701.xls" localSheetId="4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localSheetId="16" hidden="1">#REF!</definedName>
    <definedName name="wekir9701.xls" hidden="1">#REF!</definedName>
    <definedName name="X" localSheetId="5" hidden="1">#REF!</definedName>
    <definedName name="X" localSheetId="7" hidden="1">#REF!</definedName>
    <definedName name="X" localSheetId="0" hidden="1">#REF!</definedName>
    <definedName name="X" localSheetId="4" hidden="1">#REF!</definedName>
    <definedName name="X" localSheetId="6" hidden="1">#REF!</definedName>
    <definedName name="X" localSheetId="3" hidden="1">#REF!</definedName>
    <definedName name="X" localSheetId="8"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26" hidden="1">#REF!</definedName>
    <definedName name="X" localSheetId="9"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36" hidden="1">#REF!</definedName>
    <definedName name="X" localSheetId="10" hidden="1">#REF!</definedName>
    <definedName name="X" localSheetId="37" hidden="1">#REF!</definedName>
    <definedName name="X" localSheetId="38" hidden="1">#REF!</definedName>
    <definedName name="X" localSheetId="39" hidden="1">#REF!</definedName>
    <definedName name="X" localSheetId="4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localSheetId="16" hidden="1">#REF!</definedName>
    <definedName name="X" hidden="1">#REF!</definedName>
    <definedName name="Z" localSheetId="5" hidden="1">#REF!</definedName>
    <definedName name="Z" localSheetId="7" hidden="1">#REF!</definedName>
    <definedName name="Z" localSheetId="0" hidden="1">#REF!</definedName>
    <definedName name="Z" localSheetId="4" hidden="1">#REF!</definedName>
    <definedName name="Z" localSheetId="6" hidden="1">#REF!</definedName>
    <definedName name="Z" localSheetId="3" hidden="1">#REF!</definedName>
    <definedName name="Z" localSheetId="8"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26" hidden="1">#REF!</definedName>
    <definedName name="Z" localSheetId="9"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36" hidden="1">#REF!</definedName>
    <definedName name="Z" localSheetId="10" hidden="1">#REF!</definedName>
    <definedName name="Z" localSheetId="37" hidden="1">#REF!</definedName>
    <definedName name="Z" localSheetId="38" hidden="1">#REF!</definedName>
    <definedName name="Z" localSheetId="39" hidden="1">#REF!</definedName>
    <definedName name="Z" localSheetId="4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localSheetId="16" hidden="1">#REF!</definedName>
    <definedName name="Z" hidden="1">#REF!</definedName>
    <definedName name="ㄴㅇㄹㅇㄹ" localSheetId="5" hidden="1">#REF!</definedName>
    <definedName name="ㄴㅇㄹㅇㄹ" localSheetId="7" hidden="1">#REF!</definedName>
    <definedName name="ㄴㅇㄹㅇㄹ" localSheetId="0" hidden="1">#REF!</definedName>
    <definedName name="ㄴㅇㄹㅇㄹ" localSheetId="4" hidden="1">#REF!</definedName>
    <definedName name="ㄴㅇㄹㅇㄹ" localSheetId="6" hidden="1">#REF!</definedName>
    <definedName name="ㄴㅇㄹㅇㄹ" localSheetId="3" hidden="1">#REF!</definedName>
    <definedName name="ㄴㅇㄹㅇㄹ" localSheetId="2" hidden="1">#REF!</definedName>
    <definedName name="ㄴㅇㄹㅇㄹ" localSheetId="8"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26" hidden="1">#REF!</definedName>
    <definedName name="ㄴㅇㄹㅇㄹ" localSheetId="9"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36" hidden="1">#REF!</definedName>
    <definedName name="ㄴㅇㄹㅇㄹ" localSheetId="10" hidden="1">#REF!</definedName>
    <definedName name="ㄴㅇㄹㅇㄹ" localSheetId="37" hidden="1">#REF!</definedName>
    <definedName name="ㄴㅇㄹㅇㄹ" localSheetId="38" hidden="1">#REF!</definedName>
    <definedName name="ㄴㅇㄹㅇㄹ" localSheetId="39" hidden="1">#REF!</definedName>
    <definedName name="ㄴㅇㄹㅇㄹ" localSheetId="4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localSheetId="16" hidden="1">#REF!</definedName>
    <definedName name="ㄴㅇㄹㅇㄹ"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26" hidden="1">#REF!</definedName>
    <definedName name="느" localSheetId="9"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36" hidden="1">#REF!</definedName>
    <definedName name="느" localSheetId="10" hidden="1">#REF!</definedName>
    <definedName name="느" localSheetId="37" hidden="1">#REF!</definedName>
    <definedName name="느" localSheetId="38" hidden="1">#REF!</definedName>
    <definedName name="느" localSheetId="39" hidden="1">#REF!</definedName>
    <definedName name="느" localSheetId="4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localSheetId="16" hidden="1">#REF!</definedName>
    <definedName name="느" hidden="1">#REF!</definedName>
    <definedName name="ㅊㅌㅍㅊㅍㅊㅌㅍㅊㅌㅍㅊㅌㅍㅊㅌㅍㅊㅌㅍ" localSheetId="5" hidden="1">#REF!</definedName>
    <definedName name="ㅊㅌㅍㅊㅍㅊㅌㅍㅊㅌㅍㅊㅌㅍㅊㅌㅍㅊㅌㅍ" localSheetId="7" hidden="1">#REF!</definedName>
    <definedName name="ㅊㅌㅍㅊㅍㅊㅌㅍㅊㅌㅍㅊㅌㅍㅊㅌㅍㅊㅌㅍ" localSheetId="0" hidden="1">#REF!</definedName>
    <definedName name="ㅊㅌㅍㅊㅍㅊㅌㅍㅊㅌㅍㅊㅌㅍㅊㅌㅍㅊㅌㅍ" localSheetId="4" hidden="1">#REF!</definedName>
    <definedName name="ㅊㅌㅍㅊㅍㅊㅌㅍㅊㅌㅍㅊㅌㅍㅊㅌㅍㅊㅌㅍ" localSheetId="6" hidden="1">#REF!</definedName>
    <definedName name="ㅊㅌㅍㅊㅍㅊㅌㅍㅊㅌㅍㅊㅌㅍㅊㅌㅍㅊㅌㅍ" localSheetId="3" hidden="1">#REF!</definedName>
    <definedName name="ㅊㅌㅍㅊㅍㅊㅌㅍㅊㅌㅍㅊㅌㅍㅊㅌㅍㅊㅌㅍ" localSheetId="2" hidden="1">#REF!</definedName>
    <definedName name="ㅊㅌㅍㅊㅍㅊㅌㅍㅊㅌㅍㅊㅌㅍㅊㅌㅍㅊㅌㅍ" localSheetId="8"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26" hidden="1">#REF!</definedName>
    <definedName name="ㅊㅌㅍㅊㅍㅊㅌㅍㅊㅌㅍㅊㅌㅍㅊㅌㅍㅊㅌㅍ" localSheetId="9"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36" hidden="1">#REF!</definedName>
    <definedName name="ㅊㅌㅍㅊㅍㅊㅌㅍㅊㅌㅍㅊㅌㅍㅊㅌㅍㅊㅌㅍ" localSheetId="10"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4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localSheetId="16" hidden="1">#REF!</definedName>
    <definedName name="ㅊㅌㅍㅊㅍㅊㅌㅍㅊㅌㅍㅊㅌㅍㅊㅌㅍㅊㅌㅍ" hidden="1">#REF!</definedName>
    <definedName name="ㅊㅌㅍㅊㅍㅌㅋㅊㅍㅌㅊㅍ" localSheetId="5" hidden="1">#REF!</definedName>
    <definedName name="ㅊㅌㅍㅊㅍㅌㅋㅊㅍㅌㅊㅍ" localSheetId="7" hidden="1">#REF!</definedName>
    <definedName name="ㅊㅌㅍㅊㅍㅌㅋㅊㅍㅌㅊㅍ" localSheetId="0" hidden="1">#REF!</definedName>
    <definedName name="ㅊㅌㅍㅊㅍㅌㅋㅊㅍㅌㅊㅍ" localSheetId="4" hidden="1">#REF!</definedName>
    <definedName name="ㅊㅌㅍㅊㅍㅌㅋㅊㅍㅌㅊㅍ" localSheetId="6" hidden="1">#REF!</definedName>
    <definedName name="ㅊㅌㅍㅊㅍㅌㅋㅊㅍㅌㅊㅍ" localSheetId="3" hidden="1">#REF!</definedName>
    <definedName name="ㅊㅌㅍㅊㅍㅌㅋㅊㅍㅌㅊㅍ" localSheetId="2" hidden="1">#REF!</definedName>
    <definedName name="ㅊㅌㅍㅊㅍㅌㅋㅊㅍㅌㅊㅍ" localSheetId="8"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26" hidden="1">#REF!</definedName>
    <definedName name="ㅊㅌㅍㅊㅍㅌㅋㅊㅍㅌㅊㅍ" localSheetId="9"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36" hidden="1">#REF!</definedName>
    <definedName name="ㅊㅌㅍㅊㅍㅌㅋㅊㅍㅌㅊㅍ" localSheetId="10"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4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localSheetId="16" hidden="1">#REF!</definedName>
    <definedName name="ㅊㅌㅍㅊㅍㅌㅋㅊㅍㅌㅊㅍ" hidden="1">#REF!</definedName>
    <definedName name="ㅊㅌㅍㅋㅊㅍㅌㅊㅍㅌㅊㅍ" localSheetId="5" hidden="1">#REF!</definedName>
    <definedName name="ㅊㅌㅍㅋㅊㅍㅌㅊㅍㅌㅊㅍ" localSheetId="7" hidden="1">#REF!</definedName>
    <definedName name="ㅊㅌㅍㅋㅊㅍㅌㅊㅍㅌㅊㅍ" localSheetId="0" hidden="1">#REF!</definedName>
    <definedName name="ㅊㅌㅍㅋㅊㅍㅌㅊㅍㅌㅊㅍ" localSheetId="4" hidden="1">#REF!</definedName>
    <definedName name="ㅊㅌㅍㅋㅊㅍㅌㅊㅍㅌㅊㅍ" localSheetId="6" hidden="1">#REF!</definedName>
    <definedName name="ㅊㅌㅍㅋㅊㅍㅌㅊㅍㅌㅊㅍ" localSheetId="3" hidden="1">#REF!</definedName>
    <definedName name="ㅊㅌㅍㅋㅊㅍㅌㅊㅍㅌㅊㅍ" localSheetId="2" hidden="1">#REF!</definedName>
    <definedName name="ㅊㅌㅍㅋㅊㅍㅌㅊㅍㅌㅊㅍ" localSheetId="8"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26" hidden="1">#REF!</definedName>
    <definedName name="ㅊㅌㅍㅋㅊㅍㅌㅊㅍㅌㅊㅍ" localSheetId="9"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36" hidden="1">#REF!</definedName>
    <definedName name="ㅊㅌㅍㅋㅊㅍㅌㅊㅍㅌㅊㅍ" localSheetId="10"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4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localSheetId="16" hidden="1">#REF!</definedName>
    <definedName name="ㅊㅌㅍㅋㅊㅍㅌㅊㅍㅌㅊㅍ" hidden="1">#REF!</definedName>
    <definedName name="ㅊㅌㅍㅌㅊㅍㅊㅌㅍㅌㅊㅍㅌㅊㅍ" localSheetId="5" hidden="1">#REF!</definedName>
    <definedName name="ㅊㅌㅍㅌㅊㅍㅊㅌㅍㅌㅊㅍㅌㅊㅍ" localSheetId="7" hidden="1">#REF!</definedName>
    <definedName name="ㅊㅌㅍㅌㅊㅍㅊㅌㅍㅌㅊㅍㅌㅊㅍ" localSheetId="0" hidden="1">#REF!</definedName>
    <definedName name="ㅊㅌㅍㅌㅊㅍㅊㅌㅍㅌㅊㅍㅌㅊㅍ" localSheetId="4" hidden="1">#REF!</definedName>
    <definedName name="ㅊㅌㅍㅌㅊㅍㅊㅌㅍㅌㅊㅍㅌㅊㅍ" localSheetId="6" hidden="1">#REF!</definedName>
    <definedName name="ㅊㅌㅍㅌㅊㅍㅊㅌㅍㅌㅊㅍㅌㅊㅍ" localSheetId="3" hidden="1">#REF!</definedName>
    <definedName name="ㅊㅌㅍㅌㅊㅍㅊㅌㅍㅌㅊㅍㅌㅊㅍ" localSheetId="2" hidden="1">#REF!</definedName>
    <definedName name="ㅊㅌㅍㅌㅊㅍㅊㅌㅍㅌㅊㅍㅌㅊㅍ" localSheetId="8"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26" hidden="1">#REF!</definedName>
    <definedName name="ㅊㅌㅍㅌㅊㅍㅊㅌㅍㅌㅊㅍㅌㅊㅍ" localSheetId="9"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36" hidden="1">#REF!</definedName>
    <definedName name="ㅊㅌㅍㅌㅊㅍㅊㅌㅍㅌㅊㅍㅌㅊㅍ" localSheetId="10"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4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localSheetId="16" hidden="1">#REF!</definedName>
    <definedName name="ㅊㅌㅍㅌㅊㅍㅊㅌㅍㅌㅊㅍㅌㅊㅍ" hidden="1">#REF!</definedName>
    <definedName name="ㅋ" localSheetId="5" hidden="1">#REF!</definedName>
    <definedName name="ㅋ" localSheetId="7" hidden="1">#REF!</definedName>
    <definedName name="ㅋ" localSheetId="0" hidden="1">#REF!</definedName>
    <definedName name="ㅋ" localSheetId="4" hidden="1">#REF!</definedName>
    <definedName name="ㅋ" localSheetId="6" hidden="1">#REF!</definedName>
    <definedName name="ㅋ" localSheetId="3" hidden="1">#REF!</definedName>
    <definedName name="ㅋ" localSheetId="2" hidden="1">#REF!</definedName>
    <definedName name="ㅋ" localSheetId="8"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26" hidden="1">#REF!</definedName>
    <definedName name="ㅋ" localSheetId="9"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36" hidden="1">#REF!</definedName>
    <definedName name="ㅋ" localSheetId="10" hidden="1">#REF!</definedName>
    <definedName name="ㅋ" localSheetId="37" hidden="1">#REF!</definedName>
    <definedName name="ㅋ" localSheetId="38" hidden="1">#REF!</definedName>
    <definedName name="ㅋ" localSheetId="39" hidden="1">#REF!</definedName>
    <definedName name="ㅋ" localSheetId="4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localSheetId="16" hidden="1">#REF!</definedName>
    <definedName name="ㅋ" hidden="1">#REF!</definedName>
    <definedName name="ㅋㅋㅋㅋ" localSheetId="5" hidden="1">#REF!</definedName>
    <definedName name="ㅋㅋㅋㅋ" localSheetId="7" hidden="1">#REF!</definedName>
    <definedName name="ㅋㅋㅋㅋ" localSheetId="0" hidden="1">#REF!</definedName>
    <definedName name="ㅋㅋㅋㅋ" localSheetId="4" hidden="1">#REF!</definedName>
    <definedName name="ㅋㅋㅋㅋ" localSheetId="6" hidden="1">#REF!</definedName>
    <definedName name="ㅋㅋㅋㅋ" localSheetId="3" hidden="1">#REF!</definedName>
    <definedName name="ㅋㅋㅋㅋ" localSheetId="2" hidden="1">#REF!</definedName>
    <definedName name="ㅋㅋㅋㅋ" localSheetId="8"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26" hidden="1">#REF!</definedName>
    <definedName name="ㅋㅋㅋㅋ" localSheetId="9"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36" hidden="1">#REF!</definedName>
    <definedName name="ㅋㅋㅋㅋ" localSheetId="10" hidden="1">#REF!</definedName>
    <definedName name="ㅋㅋㅋㅋ" localSheetId="37" hidden="1">#REF!</definedName>
    <definedName name="ㅋㅋㅋㅋ" localSheetId="38" hidden="1">#REF!</definedName>
    <definedName name="ㅋㅋㅋㅋ" localSheetId="39" hidden="1">#REF!</definedName>
    <definedName name="ㅋㅋㅋㅋ" localSheetId="4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localSheetId="16" hidden="1">#REF!</definedName>
    <definedName name="ㅋㅋㅋㅋ" hidden="1">#REF!</definedName>
    <definedName name="ㅋㅋㅋㅋㅋㅋ" localSheetId="5" hidden="1">#REF!</definedName>
    <definedName name="ㅋㅋㅋㅋㅋㅋ" localSheetId="7" hidden="1">#REF!</definedName>
    <definedName name="ㅋㅋㅋㅋㅋㅋ" localSheetId="0" hidden="1">#REF!</definedName>
    <definedName name="ㅋㅋㅋㅋㅋㅋ" localSheetId="4" hidden="1">#REF!</definedName>
    <definedName name="ㅋㅋㅋㅋㅋㅋ" localSheetId="6" hidden="1">#REF!</definedName>
    <definedName name="ㅋㅋㅋㅋㅋㅋ" localSheetId="3" hidden="1">#REF!</definedName>
    <definedName name="ㅋㅋㅋㅋㅋㅋ" localSheetId="2" hidden="1">#REF!</definedName>
    <definedName name="ㅋㅋㅋㅋㅋㅋ" localSheetId="8"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26" hidden="1">#REF!</definedName>
    <definedName name="ㅋㅋㅋㅋㅋㅋ" localSheetId="9"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36" hidden="1">#REF!</definedName>
    <definedName name="ㅋㅋㅋㅋㅋㅋ" localSheetId="10"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4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localSheetId="16" hidden="1">#REF!</definedName>
    <definedName name="ㅋㅋㅋㅋㅋㅋ" hidden="1">#REF!</definedName>
    <definedName name="ㅋㅋㅋㅋㅋㅋㅋㅋㅋ" localSheetId="5" hidden="1">#REF!</definedName>
    <definedName name="ㅋㅋㅋㅋㅋㅋㅋㅋㅋ" localSheetId="7" hidden="1">#REF!</definedName>
    <definedName name="ㅋㅋㅋㅋㅋㅋㅋㅋㅋ" localSheetId="0" hidden="1">#REF!</definedName>
    <definedName name="ㅋㅋㅋㅋㅋㅋㅋㅋㅋ" localSheetId="4" hidden="1">#REF!</definedName>
    <definedName name="ㅋㅋㅋㅋㅋㅋㅋㅋㅋ" localSheetId="6" hidden="1">#REF!</definedName>
    <definedName name="ㅋㅋㅋㅋㅋㅋㅋㅋㅋ" localSheetId="3" hidden="1">#REF!</definedName>
    <definedName name="ㅋㅋㅋㅋㅋㅋㅋㅋㅋ" localSheetId="2" hidden="1">#REF!</definedName>
    <definedName name="ㅋㅋㅋㅋㅋㅋㅋㅋㅋ" localSheetId="8"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26" hidden="1">#REF!</definedName>
    <definedName name="ㅋㅋㅋㅋㅋㅋㅋㅋㅋ" localSheetId="9"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36" hidden="1">#REF!</definedName>
    <definedName name="ㅋㅋㅋㅋㅋㅋㅋㅋㅋ" localSheetId="10"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4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localSheetId="16" hidden="1">#REF!</definedName>
    <definedName name="ㅋㅋㅋㅋㅋㅋㅋㅋㅋ" hidden="1">#REF!</definedName>
    <definedName name="ㅌㅊㅍㅌㅊㅍㅌㅋㅊㅍㅌ" localSheetId="5" hidden="1">#REF!</definedName>
    <definedName name="ㅌㅊㅍㅌㅊㅍㅌㅋㅊㅍㅌ" localSheetId="7" hidden="1">#REF!</definedName>
    <definedName name="ㅌㅊㅍㅌㅊㅍㅌㅋㅊㅍㅌ" localSheetId="0" hidden="1">#REF!</definedName>
    <definedName name="ㅌㅊㅍㅌㅊㅍㅌㅋㅊㅍㅌ" localSheetId="4" hidden="1">#REF!</definedName>
    <definedName name="ㅌㅊㅍㅌㅊㅍㅌㅋㅊㅍㅌ" localSheetId="6" hidden="1">#REF!</definedName>
    <definedName name="ㅌㅊㅍㅌㅊㅍㅌㅋㅊㅍㅌ" localSheetId="3" hidden="1">#REF!</definedName>
    <definedName name="ㅌㅊㅍㅌㅊㅍㅌㅋㅊㅍㅌ" localSheetId="2" hidden="1">#REF!</definedName>
    <definedName name="ㅌㅊㅍㅌㅊㅍㅌㅋㅊㅍㅌ" localSheetId="8"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26" hidden="1">#REF!</definedName>
    <definedName name="ㅌㅊㅍㅌㅊㅍㅌㅋㅊㅍㅌ" localSheetId="9"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36" hidden="1">#REF!</definedName>
    <definedName name="ㅌㅊㅍㅌㅊㅍㅌㅋㅊㅍㅌ" localSheetId="10"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4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localSheetId="16"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1" i="49" l="1"/>
  <c r="S111" i="52"/>
  <c r="W133" i="52"/>
  <c r="W132" i="52"/>
  <c r="W131" i="52"/>
  <c r="W130" i="52"/>
  <c r="W129" i="52"/>
  <c r="W128" i="52"/>
  <c r="W127" i="52"/>
  <c r="W126" i="52"/>
  <c r="W125" i="52"/>
  <c r="W124" i="52"/>
  <c r="W123" i="52"/>
  <c r="W122" i="52"/>
  <c r="W121" i="52"/>
  <c r="W120" i="52"/>
  <c r="W119" i="52"/>
  <c r="W118" i="52"/>
  <c r="W117" i="52"/>
  <c r="W116" i="52"/>
  <c r="X114" i="52"/>
  <c r="W113" i="52"/>
  <c r="W112" i="52"/>
  <c r="W111" i="52"/>
  <c r="T111" i="52"/>
  <c r="Q110" i="52"/>
  <c r="O109" i="52"/>
  <c r="Q107" i="52"/>
  <c r="Q106" i="52"/>
  <c r="Q105" i="52"/>
  <c r="O101" i="52"/>
  <c r="O40" i="52"/>
  <c r="O39" i="52"/>
  <c r="O38" i="52"/>
  <c r="O37" i="52"/>
  <c r="O36" i="52"/>
  <c r="O35" i="52"/>
  <c r="O34" i="52"/>
  <c r="O33" i="52"/>
  <c r="O32" i="52"/>
  <c r="O31" i="52"/>
  <c r="Q30" i="52"/>
  <c r="O30" i="52"/>
  <c r="O29" i="52"/>
  <c r="O28" i="52"/>
  <c r="O27" i="52"/>
  <c r="O26" i="52"/>
  <c r="O25" i="52"/>
  <c r="O24" i="52"/>
  <c r="O23" i="52"/>
  <c r="O22" i="52"/>
  <c r="O21" i="52"/>
  <c r="O20" i="52"/>
  <c r="O19" i="52"/>
  <c r="O18" i="52"/>
  <c r="O17" i="52"/>
  <c r="O16" i="52"/>
  <c r="O15" i="52"/>
  <c r="O14" i="52"/>
  <c r="O13" i="52"/>
  <c r="O12" i="52"/>
  <c r="O11" i="52"/>
  <c r="O10" i="52"/>
  <c r="O9" i="52"/>
  <c r="O8" i="52"/>
  <c r="T5" i="52"/>
  <c r="C5" i="52"/>
  <c r="H111" i="51"/>
  <c r="I111" i="51"/>
  <c r="J112" i="51"/>
  <c r="J5" i="51"/>
  <c r="C5" i="51"/>
  <c r="S5" i="49"/>
  <c r="P109" i="49"/>
  <c r="P101" i="49"/>
  <c r="P9" i="49"/>
  <c r="P10" i="49"/>
  <c r="P11" i="49"/>
  <c r="P12" i="49"/>
  <c r="P13" i="49"/>
  <c r="P14" i="49"/>
  <c r="P15" i="49"/>
  <c r="P16" i="49"/>
  <c r="P17" i="49"/>
  <c r="P18" i="49"/>
  <c r="P19" i="49"/>
  <c r="P20" i="49"/>
  <c r="P21" i="49"/>
  <c r="P22" i="49"/>
  <c r="P23" i="49"/>
  <c r="P24" i="49"/>
  <c r="P25" i="49"/>
  <c r="P26" i="49"/>
  <c r="P27" i="49"/>
  <c r="P28" i="49"/>
  <c r="P29" i="49"/>
  <c r="P30" i="49"/>
  <c r="P31" i="49"/>
  <c r="P32" i="49"/>
  <c r="P33" i="49"/>
  <c r="P34" i="49"/>
  <c r="P35" i="49"/>
  <c r="P36" i="49"/>
  <c r="P37" i="49"/>
  <c r="P38" i="49"/>
  <c r="P39" i="49"/>
  <c r="P40" i="49"/>
  <c r="P8" i="49"/>
  <c r="S111" i="49"/>
  <c r="T114" i="52"/>
  <c r="X133" i="49"/>
  <c r="X132" i="49"/>
  <c r="X131" i="49"/>
  <c r="X130" i="49"/>
  <c r="X129" i="49"/>
  <c r="X128" i="49"/>
  <c r="X127" i="49"/>
  <c r="X126" i="49"/>
  <c r="X125" i="49"/>
  <c r="X124" i="49"/>
  <c r="X123" i="49"/>
  <c r="X122" i="49"/>
  <c r="X121" i="49"/>
  <c r="X120" i="49"/>
  <c r="X119" i="49"/>
  <c r="X118" i="49"/>
  <c r="X117" i="49"/>
  <c r="X116" i="49"/>
  <c r="Y114" i="49"/>
  <c r="X113" i="49"/>
  <c r="X112" i="49"/>
  <c r="X111" i="49"/>
  <c r="R110" i="49"/>
  <c r="R107" i="49"/>
  <c r="R106" i="49"/>
  <c r="R105" i="49"/>
  <c r="R30" i="49"/>
  <c r="D5" i="49"/>
  <c r="I30" i="14"/>
  <c r="I106" i="14"/>
  <c r="I107" i="14"/>
  <c r="I108" i="14"/>
  <c r="I105" i="14"/>
  <c r="L5" i="14"/>
  <c r="K5" i="14"/>
  <c r="C14" i="31"/>
  <c r="I16" i="48"/>
  <c r="G16" i="48"/>
  <c r="E16" i="48"/>
  <c r="C16" i="48"/>
  <c r="C15" i="48"/>
  <c r="C14" i="48"/>
  <c r="C13" i="48"/>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7"/>
  <c r="G16" i="17"/>
  <c r="E16" i="17"/>
  <c r="C16" i="17"/>
  <c r="C15" i="17"/>
  <c r="C14" i="17"/>
  <c r="C13" i="17"/>
  <c r="Z17" i="5"/>
  <c r="K37" i="50"/>
  <c r="J111" i="14"/>
  <c r="K31" i="1"/>
  <c r="J31" i="1"/>
  <c r="N48" i="4"/>
  <c r="M48" i="4"/>
  <c r="L48" i="4"/>
  <c r="P151" i="5"/>
  <c r="Q151" i="5"/>
  <c r="R151" i="5"/>
  <c r="Z150" i="5"/>
  <c r="Z144" i="5"/>
  <c r="Z137" i="5"/>
  <c r="Z132" i="5"/>
  <c r="Z123" i="5"/>
  <c r="Z118" i="5"/>
  <c r="Z113" i="5"/>
  <c r="Z108" i="5"/>
  <c r="Z103" i="5"/>
  <c r="Z98" i="5"/>
  <c r="Z93" i="5"/>
  <c r="Z88" i="5"/>
  <c r="Z83" i="5"/>
  <c r="Z78" i="5"/>
  <c r="Z73" i="5"/>
  <c r="Z68" i="5"/>
  <c r="Z63" i="5"/>
  <c r="Z44" i="5"/>
  <c r="Z35" i="5"/>
  <c r="Z29" i="5"/>
  <c r="Z26" i="5"/>
  <c r="Z20" i="5"/>
  <c r="K37" i="1"/>
  <c r="C5" i="14"/>
  <c r="M134" i="14"/>
  <c r="M133" i="14"/>
  <c r="M132" i="14"/>
  <c r="M131" i="14"/>
  <c r="M130" i="14"/>
  <c r="M129" i="14"/>
  <c r="M128" i="14"/>
  <c r="M127" i="14"/>
  <c r="M126" i="14"/>
  <c r="M125" i="14"/>
  <c r="M124" i="14"/>
  <c r="M123" i="14"/>
  <c r="M122" i="14"/>
  <c r="M121" i="14"/>
  <c r="M120" i="14"/>
  <c r="M119" i="14"/>
  <c r="M118" i="14"/>
  <c r="M117" i="14"/>
  <c r="N115" i="14"/>
  <c r="M114" i="14"/>
  <c r="M113" i="14"/>
  <c r="M112" i="14"/>
  <c r="M111" i="14"/>
  <c r="E42" i="13"/>
  <c r="E41" i="13"/>
  <c r="E40" i="13"/>
  <c r="K41" i="3"/>
  <c r="H15" i="3"/>
  <c r="H5" i="3"/>
  <c r="B7" i="13"/>
  <c r="E7" i="5"/>
  <c r="D5" i="4"/>
  <c r="E5" i="5"/>
  <c r="H8" i="3"/>
  <c r="H6" i="3"/>
  <c r="D6" i="4"/>
  <c r="E6" i="5"/>
  <c r="J41" i="3"/>
  <c r="I41" i="3"/>
  <c r="Z47" i="5"/>
</calcChain>
</file>

<file path=xl/sharedStrings.xml><?xml version="1.0" encoding="utf-8"?>
<sst xmlns="http://schemas.openxmlformats.org/spreadsheetml/2006/main" count="7525" uniqueCount="492">
  <si>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</si>
  <si>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</si>
  <si>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</si>
  <si>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</si>
  <si>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</si>
  <si>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</si>
  <si>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</si>
  <si>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</si>
  <si>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</si>
  <si>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</si>
  <si>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</si>
  <si>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</si>
  <si>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</si>
  <si>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</si>
  <si>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</si>
  <si>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</si>
  <si>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</si>
  <si>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</si>
  <si>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</si>
  <si>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</si>
  <si>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</si>
  <si>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</si>
  <si>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</si>
  <si>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</si>
  <si>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</si>
  <si>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</si>
  <si>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</si>
  <si>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</si>
  <si>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</si>
  <si>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</si>
  <si>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</si>
  <si>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</si>
  <si>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</si>
  <si>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</si>
  <si>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</si>
  <si>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</si>
  <si>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</si>
  <si>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</si>
  <si>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</si>
  <si>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</si>
  <si>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</si>
  <si>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</si>
  <si>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</si>
  <si>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</si>
  <si>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</si>
  <si>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</si>
  <si>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</si>
  <si>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</si>
  <si>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</si>
  <si>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</si>
  <si>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</si>
  <si>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</si>
  <si>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</si>
  <si>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</si>
  <si>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</si>
  <si>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</si>
  <si>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</si>
  <si>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</si>
  <si>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</si>
  <si>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</si>
  <si>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</si>
  <si>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</si>
  <si>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</si>
  <si>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</si>
  <si>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</si>
  <si>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</si>
  <si>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</si>
  <si>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</si>
  <si>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</si>
  <si>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</si>
  <si>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</si>
  <si>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</si>
  <si>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</si>
  <si>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</si>
  <si>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</si>
  <si>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</si>
  <si>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</si>
  <si>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</si>
  <si>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</si>
  <si>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</si>
  <si>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</si>
  <si>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</si>
  <si>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</si>
  <si>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</si>
  <si>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</si>
  <si>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</si>
  <si>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</si>
  <si>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</si>
  <si>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Referenced DWG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</si>
  <si>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</si>
  <si>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</si>
  <si>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</si>
  <si>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</si>
  <si>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</si>
  <si>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</si>
  <si>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</si>
  <si>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</si>
  <si>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</si>
  <si>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</si>
  <si>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</si>
  <si>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</si>
  <si>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</si>
  <si>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</si>
  <si>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</si>
  <si>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</si>
  <si>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</si>
  <si>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</si>
  <si>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</si>
  <si>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</si>
  <si>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</si>
  <si>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</si>
  <si>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</si>
  <si>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</si>
  <si>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</si>
  <si>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</si>
  <si>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</si>
  <si>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</si>
  <si>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</si>
  <si>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</si>
  <si>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</si>
  <si>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</si>
  <si>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</si>
  <si>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</si>
  <si>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</si>
  <si>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</si>
  <si>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</si>
  <si>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</si>
  <si>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</si>
  <si>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</si>
  <si>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</si>
  <si>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</si>
  <si>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</si>
  <si>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</si>
  <si>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</si>
  <si>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</si>
  <si>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</si>
  <si>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</si>
  <si>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</si>
  <si>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</si>
  <si>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</si>
  <si>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</si>
  <si>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</si>
  <si>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</si>
  <si>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</si>
  <si>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</si>
  <si>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</si>
  <si>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</si>
  <si>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</si>
  <si>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</si>
  <si>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</si>
  <si>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</si>
  <si>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</si>
  <si>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</si>
  <si>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</si>
  <si>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</si>
  <si>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</si>
  <si>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</si>
  <si>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</si>
  <si>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</si>
  <si>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</si>
  <si>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</si>
  <si>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</si>
  <si>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</si>
  <si>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</si>
  <si>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</si>
  <si>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</si>
  <si>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</si>
  <si>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</si>
  <si>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</si>
  <si>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</si>
  <si>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</si>
  <si>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</si>
  <si>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KOBE, JAPAN</t>
  </si>
  <si>
    <t>KOBE, JAPAN</t>
    <phoneticPr fontId="33" type="noConversion"/>
  </si>
  <si>
    <t>Ho Chi Minh City Port, Vietnam</t>
  </si>
  <si>
    <t>FOUNDATION BOLT M36X700</t>
  </si>
  <si>
    <t>FOUNDATION BOLT M68X4X2000</t>
  </si>
  <si>
    <t>EMBEDDED HARDWARE</t>
  </si>
  <si>
    <t>JAPAN</t>
    <phoneticPr fontId="33" type="noConversion"/>
  </si>
  <si>
    <t>CASE</t>
  </si>
  <si>
    <t>GTG</t>
    <phoneticPr fontId="0" type="noConversion"/>
  </si>
  <si>
    <t>OM4-DE-IS-0006</t>
    <phoneticPr fontId="33" type="noConversion"/>
  </si>
  <si>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</si>
  <si>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</si>
  <si>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</si>
  <si>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</si>
  <si>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</si>
  <si>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</si>
  <si>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</si>
  <si>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</si>
  <si>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</si>
  <si>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</si>
  <si>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</si>
  <si>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</si>
  <si>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</si>
  <si>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</si>
  <si>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</si>
  <si>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</si>
  <si>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</si>
  <si>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G4-90019(G1-X2490)-0 G1-X2217-04</t>
  </si>
  <si>
    <t>G4-90019(G1-X2490)-0 G1-X2217-06</t>
  </si>
  <si>
    <t>G4-90370(G1-X1744)-0 G2-71467-01</t>
  </si>
  <si>
    <t>G4-90019(G1-X2982)-0 G1-X2983-01</t>
  </si>
  <si>
    <t>G4-90019(G1-X2982)-0 G1-X2983-02</t>
  </si>
  <si>
    <t>G4-90370(G1-X1744)-0 G2-71467-02</t>
  </si>
  <si>
    <t>G4-90370(G1-X1740)-0 G2-71463-01</t>
  </si>
  <si>
    <t>G4-90019(G1-X2490)-0 G1-X2217-02</t>
  </si>
  <si>
    <t>G4-90370(G1-X1742)-0 G2-71465-01</t>
  </si>
  <si>
    <t>G4-90370(G1-X1742)-0 G2-71465-02</t>
  </si>
  <si>
    <t>G4-90370(G1-X1741)-0 G2-71464-01</t>
  </si>
  <si>
    <t>G4-90370(G1-X1741)-0 G2-71464-02</t>
  </si>
  <si>
    <t>MPW</t>
  </si>
  <si>
    <t>JAPAN</t>
  </si>
  <si>
    <t>G4-90019(G1-X2490)-0 G1-X2217-01</t>
  </si>
  <si>
    <t>SET</t>
  </si>
  <si>
    <t>G4-90019(G1-X2982)-0 G1-X2983-05</t>
  </si>
  <si>
    <t>G4-90019(G1-X2982)-0 G1-X2983-06</t>
  </si>
  <si>
    <t>G4-90019(G1-X2982)-0 G1-X2983-07</t>
  </si>
  <si>
    <t>G4-90019(G1-X2982)-0 G1-X2983-08</t>
  </si>
  <si>
    <t>G4-90019(G1-X2982)-0 G1-X2983-09</t>
  </si>
  <si>
    <t>G4-90019(G1-X2982)-1 G1-X2983-10</t>
  </si>
  <si>
    <t>G4-90019(G1-X3127)-0 G2-71943-01</t>
  </si>
  <si>
    <t>G4-90019(G1-X2489)-0 G1-X2216-01</t>
  </si>
  <si>
    <t>G4-90019(G1-X2489)-0 G1-X2216-05</t>
  </si>
  <si>
    <t>G4-90019(G1-X2489)-0 G1-X2216-07</t>
  </si>
  <si>
    <t>G4-90019(G1-X2489)-0 G1-X2216-11</t>
  </si>
  <si>
    <t>PCS</t>
  </si>
  <si>
    <t>G4-90019(G1-X2489)-1 G1-X2216-29</t>
  </si>
  <si>
    <t>G4-90019(G1-X2489)-1 G1-X2216-05</t>
  </si>
  <si>
    <t>G4-90019(G1-X2489)-1 G1-X2216-07</t>
  </si>
  <si>
    <t>G4-90019(G1-X2489)-1 G1-X2216-11</t>
  </si>
  <si>
    <t>HEX. NUT M36</t>
  </si>
  <si>
    <t>PLAIN WASHER 36</t>
  </si>
  <si>
    <t>CAP</t>
  </si>
  <si>
    <t>G4-90019(G1-X2489)-0 G1-X2216-02</t>
  </si>
  <si>
    <t>G4-90019(G1-X2489)-0 G1-X2216-06</t>
  </si>
  <si>
    <t>G4-90019(G1-X2489)-0 G1-X2216-08</t>
  </si>
  <si>
    <t>G4-90019(G1-X2489)-0 G1-X2216-12</t>
  </si>
  <si>
    <t>G4-90019(G1-X1151)-0 G1-X1186-02</t>
  </si>
  <si>
    <t>G1-X1597-- G2-71978-01</t>
  </si>
  <si>
    <t>G1-X1597-- G2-71978-03</t>
  </si>
  <si>
    <t>G1-X1597-- G2-71978-04</t>
  </si>
  <si>
    <t>G1-X1597-- G2-71978-07</t>
  </si>
  <si>
    <t>PLAIN WASHER 30</t>
  </si>
  <si>
    <t>G4-90019(G1-X1149)-0 G2-71457-01</t>
  </si>
  <si>
    <t>G4-90019(G1-X1149)-0 G2-71457-03</t>
  </si>
  <si>
    <t>G4-90019(G1-X1149)-0 G2-71457-04</t>
  </si>
  <si>
    <t>G4-90019(G1-X1149)-0 G2-71457-07</t>
  </si>
  <si>
    <t>G4-90019(G1-X1151)-0 G1-X1186-01</t>
  </si>
  <si>
    <t>OM4-DE-IS-0006-003</t>
  </si>
  <si>
    <t>OM4-DE-IS-0006-004</t>
  </si>
  <si>
    <t>OM4-DE-IS-0006-005</t>
  </si>
  <si>
    <t>OM4-DE-IS-0006-006</t>
  </si>
  <si>
    <t>OM4-DE-IS-0006-007</t>
  </si>
  <si>
    <t>OM4-DE-IS-0006-008</t>
  </si>
  <si>
    <t>OM4-DE-IS-0006-009</t>
  </si>
  <si>
    <t>OM4-DE-IS-0006-010</t>
  </si>
  <si>
    <t>OM4-DE-IS-0006-011</t>
  </si>
  <si>
    <t>OM4-DE-IS-0006-012</t>
  </si>
  <si>
    <t>OM4-DE-IS-0006-013</t>
  </si>
  <si>
    <t>OM4-DE-IS-0006-014</t>
  </si>
  <si>
    <t>OM4-DE-IS-0006-015</t>
  </si>
  <si>
    <t>OM4-DE-IS-0006-016</t>
  </si>
  <si>
    <t>OM4-DE-IS-0006-017</t>
  </si>
  <si>
    <t>OM4-DE-IS-0006-018</t>
  </si>
  <si>
    <t>OM4-DE-IS-0006-019</t>
  </si>
  <si>
    <t>OM4-DE-IS-0006-020</t>
  </si>
  <si>
    <t>OM4-DE-IS-0006-021</t>
  </si>
  <si>
    <t>OM4-DE-IS-0006-022</t>
  </si>
  <si>
    <t>OM4-DE-IS-0006-023</t>
  </si>
  <si>
    <t>OM4-DE-IS-0006-024</t>
  </si>
  <si>
    <t>OM4-DE-IS-0006-025</t>
  </si>
  <si>
    <t>OM4-DE-IS-0006-026</t>
  </si>
  <si>
    <t>OM4-DE-IS-0006-027</t>
  </si>
  <si>
    <t>OM4-DE-IS-0006-028</t>
  </si>
  <si>
    <t>OM4-DE-IS-0006-029</t>
  </si>
  <si>
    <t>OM4-DE-IS-0006-030</t>
  </si>
  <si>
    <t>OM4-DE-IS-0006-031</t>
  </si>
  <si>
    <t>OM4-DE-IS-0006-032</t>
  </si>
  <si>
    <t>OM4-DE-IS-0006-033</t>
  </si>
  <si>
    <t>B</t>
    <phoneticPr fontId="33" type="noConversion"/>
  </si>
  <si>
    <t>PS 1.1, Ⅰ, 3</t>
  </si>
  <si>
    <t>N/A</t>
    <phoneticPr fontId="33" type="noConversion"/>
  </si>
  <si>
    <t>OM4-DE-IS-0006-001</t>
  </si>
  <si>
    <t>OM4-DE-IS-0006-002</t>
  </si>
  <si>
    <t>Gas Turbine set and its auxiliaries #2
- Embedded materials</t>
    <phoneticPr fontId="33" type="noConversion"/>
  </si>
  <si>
    <t>OM4-MPW-GT2-TGO-0001</t>
  </si>
  <si>
    <t>OM4-MPW-GT2-TGO-0002</t>
  </si>
  <si>
    <t>OM4-MPW-GT2-TGO-0003</t>
  </si>
  <si>
    <t>OM4-MPW-GT2-TGO-0004</t>
  </si>
  <si>
    <t>OM4-MPW-GT2-TGO-0005</t>
  </si>
  <si>
    <t>OM4-MPW-GT2-TGO-0006</t>
  </si>
  <si>
    <t>OM4-MPW-GT2-TGO-0007</t>
  </si>
  <si>
    <t>OM4-MPW-GT2-TGO-0008</t>
  </si>
  <si>
    <t>OM4-MPW-GT2-TGO-0009</t>
  </si>
  <si>
    <t>OM4-MPW-GT2-TGO-0010</t>
  </si>
  <si>
    <t>OM4-MPW-GT2-TGO-0011</t>
  </si>
  <si>
    <t>OM4-MPW-GT2-TGO-0012</t>
  </si>
  <si>
    <t>OM4-MPW-GT2-TGO-0013</t>
  </si>
  <si>
    <t>OM4-MPW-GT2-TGO-0014</t>
  </si>
  <si>
    <t>OM4-MPW-GT2-TGO-0015</t>
  </si>
  <si>
    <t>OM4-MPW-GT2-TGO-0016</t>
  </si>
  <si>
    <t>OM4-MPW-GT2-TGO-0017</t>
  </si>
  <si>
    <t>OM4-MPW-GT2-TGO-0018</t>
  </si>
  <si>
    <t>OM4-MPW-GT2-TGO-0019</t>
  </si>
  <si>
    <t>OM4-MPW-GT2-TGO-0020</t>
  </si>
  <si>
    <t>OM4-MPW-GT2-TGO-0021</t>
  </si>
  <si>
    <t>OM4-MPW-GT2-TGO-0022</t>
  </si>
  <si>
    <t>OM4-MPW-GT2-TGO-0023</t>
  </si>
  <si>
    <t>OM4-MPW-GT2-TGO-0024</t>
  </si>
  <si>
    <t>OM4-MPW-GT2-TGO-0025</t>
  </si>
  <si>
    <t>OM4-MPW-GT2-TGO-0026</t>
  </si>
  <si>
    <t>OM4-MPW-GT2-TGO-0027</t>
  </si>
  <si>
    <t>OM4-MPW-GT2-TGO-0028</t>
  </si>
  <si>
    <t>OM4-MPW-GT2-TGO-0029</t>
  </si>
  <si>
    <t>OM4-MPW-GT2-TGO-0030</t>
  </si>
  <si>
    <t>OM4-MPW-GT2-TGO-0031</t>
  </si>
  <si>
    <t>OM4-MPW-GT2-TGO-0032</t>
  </si>
  <si>
    <t>OM4-MPW-GT2-TGO-0033</t>
  </si>
  <si>
    <t>N</t>
  </si>
  <si>
    <t>Y</t>
  </si>
  <si>
    <t>B</t>
  </si>
  <si>
    <t>DWG No.</t>
    <phoneticPr fontId="33" type="noConversion"/>
  </si>
  <si>
    <t>N</t>
    <phoneticPr fontId="33" type="noConversion"/>
  </si>
  <si>
    <t>Remark</t>
    <phoneticPr fontId="33" type="noConversion"/>
  </si>
  <si>
    <t>HRSG</t>
  </si>
  <si>
    <t>HRSG</t>
    <phoneticPr fontId="0" type="noConversion"/>
  </si>
  <si>
    <t>STG</t>
  </si>
  <si>
    <t>STG</t>
    <phoneticPr fontId="0" type="noConversion"/>
  </si>
  <si>
    <t>GTG</t>
  </si>
  <si>
    <t>G2</t>
  </si>
  <si>
    <t>G2</t>
    <phoneticPr fontId="33" type="noConversion"/>
  </si>
  <si>
    <t>**  Plant/Equipment/Materials for</t>
  </si>
  <si>
    <t>BOP</t>
  </si>
  <si>
    <t>Unit 1</t>
  </si>
  <si>
    <t>B1</t>
  </si>
  <si>
    <t>T1</t>
  </si>
  <si>
    <t>G1</t>
  </si>
  <si>
    <t>Unit 2</t>
  </si>
  <si>
    <t>B2</t>
  </si>
  <si>
    <t>T2</t>
  </si>
  <si>
    <t>Common</t>
  </si>
  <si>
    <t>B0</t>
  </si>
  <si>
    <t>T0</t>
  </si>
  <si>
    <t>G0</t>
  </si>
  <si>
    <t>P0</t>
  </si>
  <si>
    <t>33</t>
    <phoneticPr fontId="33" type="noConversion"/>
  </si>
  <si>
    <t>*Remark</t>
  </si>
  <si>
    <t>- PO No. : 2025012890</t>
    <phoneticPr fontId="33" type="noConversion"/>
  </si>
  <si>
    <t>- Sub-Vendor : MPW</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</si>
  <si>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</si>
  <si>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</si>
  <si>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</si>
  <si>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</si>
  <si>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</si>
  <si>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</si>
  <si>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</si>
  <si>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</si>
  <si>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</si>
  <si>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EMBEDDED HARDWARE</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</si>
  <si>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</si>
  <si>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</si>
  <si>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</si>
  <si>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</si>
  <si>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</si>
  <si>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</si>
  <si>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</si>
  <si>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</si>
  <si>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</si>
  <si>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</si>
  <si>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</si>
  <si>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FOUNDATION BOLT ASS'Y:M36 X 760</t>
    <phoneticPr fontId="33" type="noConversion"/>
  </si>
  <si>
    <t>Items Excluded from RCEP COO Application</t>
  </si>
  <si>
    <t>ASL TAIPEI / 2629S</t>
  </si>
  <si>
    <t>CIF Ho Chi Minh City Port, Vietnam</t>
    <phoneticPr fontId="33" type="noConversion"/>
  </si>
  <si>
    <t>- OEM's Inv No. : OM4-T-002-JPN</t>
    <phoneticPr fontId="33" type="noConversion"/>
  </si>
  <si>
    <t>SITKBSG2611907</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</si>
  <si>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</si>
  <si>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</si>
  <si>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</si>
  <si>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</si>
  <si>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DWG No.</t>
  </si>
  <si>
    <t>, (</t>
  </si>
  <si>
    <t>)</t>
  </si>
  <si>
    <t>=</t>
  </si>
  <si>
    <t>kg</t>
  </si>
  <si>
    <t>HO CHI MINH, VIET NAM</t>
  </si>
  <si>
    <t>Tấm nền móng, bằng thép, đặt sẵn, đã được gia công để dùng làm kết cấu, dùng cho hệ thống tua bin khí số #2, (46SETS=606.03kg), số DWG No.: G4-90370(G1-X1743)-0 G2-71466-01 -EMBEDDED HARDWARE</t>
  </si>
  <si>
    <t>Tấm nền móng, bằng thép, đặt sẵn, đã được gia công để dùng làm kết cấu, dùng cho hệ thống tua bin khí số #2, (17SETS=223.97kg), số DWG No.: G4-90370(G1-X1743)-0 G2-71466-02 -EMBEDDED HARDWARE</t>
  </si>
  <si>
    <t>Tấm nền móng, bằng thép, đặt sẵn, đã được gia công để dùng làm kết cấu, dùng cho hệ thống tua bin khí số #2, (17SETS=672.92kg), số DWG No.: G4-90370(G1-X1739)-0 G2-71462-01 -EMBEDDED HARDWARE</t>
  </si>
  <si>
    <t>Tấm nền móng, bằng thép, đặt sẵn, đã được gia công để dùng làm kết cấu, dùng cho hệ thống tua bin khí số #2, (7SETS=277.08kg), số DWG No.: G4-90370(G1-X1739)-0 G2-71462-02 -EMBEDDED HARDWARE</t>
  </si>
  <si>
    <t>Tấm nền móng, bằng thép, đặt sẵn, đã được gia công để dùng làm kết cấu, dùng cho hệ thống tua bin khí số #2, (4SETS=50.2kg), số DWG No.: G4-90019(G1-X2982)-0 G1-X2983-03 -EMBEDDED HARDWARE</t>
  </si>
  <si>
    <t>Tấm nền móng, bằng thép, đặt sẵn, đã được gia công để dùng làm kết cấu, dùng cho hệ thống tua bin khí số #2, (5SETS=62.75kg), số DWG No.: G4-90019(G1-X2982)-0 G1-X2983-04 -EMBEDDED HARDWARE</t>
  </si>
  <si>
    <t>Tấm nền móng, bằng thép, đặt sẵn, đã được gia công để dùng làm kết cấu, dùng cho hệ thống tua bin khí số #2, (13SETS=163.14kg), số DWG No.: G4-90019(G1-X2490)-0 G1-X2217-03 -EMBEDDED MATERIAL</t>
  </si>
  <si>
    <t>Tấm nền móng, bằng thép, đặt sẵn, đã được gia công để dùng làm kết cấu, dùng cho hệ thống tua bin khí số #2, (19SETS=238.43kg), số DWG No.: G4-90019(G1-X2490)-0 G1-X2217-05 -EMBEDDED MATERIAL</t>
  </si>
  <si>
    <t>Tấm nền móng, bằng thép, đặt sẵn, đã được gia công để dùng làm kết cấu, dùng cho hệ thống tua bin khí số #2, (10SETS=125.49kg), số DWG No.: G4-90019(G1-X2490)-0 G1-X2217-07 -EMBEDDED MATERIAL</t>
  </si>
  <si>
    <t>Tấm nền móng, bằng thép, đặt sẵn, đã được gia công để dùng làm kết cấu, dùng cho hệ thống tua bin khí số #2, (38SETS=639.51kg), số DWG No.: G4-90019(G1-X2490)-0 G1-X2217-04 -EMBEDDED MATERIAL</t>
  </si>
  <si>
    <t>Tấm nền móng, bằng thép, đặt sẵn, đã được gia công để dùng làm kết cấu, dùng cho hệ thống tua bin khí số #2, (3SETS=50.49kg), số DWG No.: G4-90019(G1-X2490)-0 G1-X2217-06 -EMBEDDED MATERIAL</t>
  </si>
  <si>
    <t>Tấm nền móng, bằng thép, đặt sẵn, đã được gia công để dùng làm kết cấu, dùng cho hệ thống tua bin khí số #2, (29SETS=470kg), số DWG No.: G4-90370(G1-X1744)-0 G2-71467-01 -EMBEDDED HARDWARE</t>
  </si>
  <si>
    <t>Tấm nền móng, bằng thép, đặt sẵn, đã được gia công để dùng làm kết cấu, dùng cho hệ thống tua bin khí số #2, (6SETS=37.89kg), số DWG No.: G4-90019(G1-X2982)-0 G1-X2983-01 -EMBEDDED HARDWARE</t>
  </si>
  <si>
    <t>Tấm nền móng, bằng thép, đặt sẵn, đã được gia công để dùng làm kết cấu, dùng cho hệ thống tua bin khí số #2, (10SETS=63.16kg), số DWG No.: G4-90019(G1-X2982)-0 G1-X2983-02 -EMBEDDED HARDWARE</t>
  </si>
  <si>
    <t>Tấm nền móng, bằng thép, đặt sẵn, đã được gia công để dùng làm kết cấu, dùng cho hệ thống tua bin khí số #2, (22SETS=138.95kg), số DWG No.: G4-90370(G1-X1744)-0 G2-71467-02 -EMBEDDED HARDWARE</t>
  </si>
  <si>
    <t>Tấm nền móng, bằng thép, đặt sẵn, đã được gia công để dùng làm kết cấu, dùng cho hệ thống tua bin khí số #2, (32SETS=1580kg), số DWG No.: G4-90370(G1-X1740)-0 G2-71463-01 -EMBEDDED HARDWARE</t>
  </si>
  <si>
    <t>Tấm nền móng, bằng thép, đặt sẵn, đã được gia công để dùng làm kết cấu, dùng cho hệ thống tua bin khí số #2, (32SETS=1080kg), số DWG No.: G4-90019(G1-X2490)-0 G1-X2217-02 -EMBEDDED MATERIAL</t>
  </si>
  <si>
    <t>Tấm nền móng, bằng thép, đặt sẵn, đã được gia công để dùng làm kết cấu, dùng cho hệ thống tua bin khí số #2, (32SETS=1580kg), số DWG No.: G4-90370(G1-X1739)-0 G2-71462-01 -EMBEDDED HARDWARE</t>
  </si>
  <si>
    <t>Tấm nền móng, bằng thép, đặt sẵn, đã được gia công để dùng làm kết cấu, dùng cho hệ thống tua bin khí số #2, (25SETS=1120.69kg), số DWG No.: G4-90370(G1-X1742)-0 G2-71465-01 -EMBEDDED HARDWARE</t>
  </si>
  <si>
    <t>Tấm nền móng, bằng thép, đặt sẵn, đã được gia công để dùng làm kết cấu, dùng cho hệ thống tua bin khí số #2, (4SETS=179.31kg), số DWG No.: G4-90370(G1-X1742)-0 G2-71465-02 -EMBEDDED HARDWARE</t>
  </si>
  <si>
    <t>Tấm nền móng, bằng thép, đặt sẵn, đã được gia công để dùng làm kết cấu, dùng cho hệ thống tua bin khí số #2, (17SETS=595kg), số DWG No.: G4-90370(G1-X1741)-0 G2-71464-01 -EMBEDDED HARDWARE</t>
  </si>
  <si>
    <t>Tấm nền móng, bằng thép, đặt sẵn, đã được gia công để dùng làm kết cấu, dùng cho hệ thống tua bin khí số #2, (13SETS=455kg), số DWG No.: G4-90370(G1-X1741)-0 G2-71464-02 -EMBEDDED HARDWARE</t>
  </si>
  <si>
    <t>Tấm nền móng, bằng thép, đặt sẵn, đã được gia công để dùng làm kết cấu, dùng cho hệ thống tua bin khí số #2, (34SETS=1150kg), số DWG No.: G4-90019(G1-X2490)-0 G1-X2217-02 -EMBEDDED MATERIAL</t>
  </si>
  <si>
    <t>Tấm nền móng, bằng thép, đặt sẵn, đã được gia công để dùng làm kết cấu, dùng cho hệ thống tua bin khí số #2, (35SETS=1730kg), số DWG No.: G4-90019(G1-X2490)-0 G1-X2217-01 -EMBEDDED MATERIAL</t>
  </si>
  <si>
    <t>Tấm nền móng, bằng thép, đặt sẵn, đã được gia công để dùng làm kết cấu, dùng cho hệ thống tua bin khí số #2, (36SETS=1780kg), số DWG No.: G4-90019(G1-X2490)-0 G1-X2217-01 -EMBEDDED MATERIAL</t>
  </si>
  <si>
    <t>Tấm nền móng, bằng thép, đặt sẵn, đã được gia công để dùng làm kết cấu, dùng cho hệ thống tua bin khí số #2, (1SET=32.22kg), số DWG No.: G4-90019(G1-X2982)-0 G1-X2983-05 -EMBEDDED HARDWARE</t>
  </si>
  <si>
    <t>Tấm nền móng, bằng thép, đặt sẵn, đã được gia công để dùng làm kết cấu, dùng cho hệ thống tua bin khí số #2, (1SET=32.22kg), số DWG No.: G4-90019(G1-X2982)-0 G1-X2983-06 -EMBEDDED HARDWARE</t>
  </si>
  <si>
    <t>Tấm nền móng, bằng thép, đặt sẵn, đã được gia công để dùng làm kết cấu, dùng cho hệ thống tua bin khí số #2, (1SET=32.22kg), số DWG No.: G4-90019(G1-X2982)-0 G1-X2983-07 -EMBEDDED HARDWARE</t>
  </si>
  <si>
    <t>Tấm nền móng, bằng thép, đặt sẵn, đã được gia công để dùng làm kết cấu, dùng cho hệ thống tua bin khí số #2, (2SETS=64.44kg), số DWG No.: G4-90019(G1-X2982)-0 G1-X2983-08 -EMBEDDED HARDWARE</t>
  </si>
  <si>
    <t>Tấm nền móng, bằng thép, đặt sẵn, đã được gia công để dùng làm kết cấu, dùng cho hệ thống tua bin khí số #2, (1SET=32.22kg), số DWG No.: G4-90019(G1-X2982)-0 G1-X2983-09 -EMBEDDED HARDWARE</t>
  </si>
  <si>
    <t>Tấm nền móng, bằng thép, đặt sẵn, đã được gia công để dùng làm kết cấu, dùng cho hệ thống tua bin khí số #2, (1SET=32.22kg), số DWG No.: G4-90019(G1-X2982)-1 G1-X2983-10 -EMBEDDED HARDWARE</t>
  </si>
  <si>
    <t>Tấm nền móng, bằng thép, đặt sẵn, đã được gia công để dùng làm kết cấu, dùng cho hệ thống tua bin khí số #2, (2SETS=64.44kg), số DWG No.: G4-90019(G1-X3127)-0 G2-71943-01 -EMBEDDED HARDWARE</t>
  </si>
  <si>
    <t>Bộ bu lông móng bằng thép (bộ gồm: 1 bu lông, 2 đai ốc, 2 vòng đệm), loại có ren, có đường kính ngoài của thân: 68mm (M68X2000), hàng mới 100% -FOUNDATION BOLT M68X2000</t>
  </si>
  <si>
    <t>Đai ốc bằng thép, loại có ren, dùng cho bu lông móng có đường kính ngoài của thân: 68mm (M68), hàng mới 100% -HEX. NUT M68</t>
  </si>
  <si>
    <t>Vòng đệm bằng thép, không ren, dùng cho bu lông móng, có đường kính: 68mm, hàng mới 100% -PLAIN WASHER 68</t>
  </si>
  <si>
    <t>Nắp chèn kín bằng thép, đã được gia công cơ khí qua nhiều công đoạn để tạo ra 1 sản phẩm hoàn chỉnh, kích thước: 155x74x3.2t mm, hàng mới 100% -CAP</t>
  </si>
  <si>
    <t>Bộ bu lông móng bằng thép (bộ gồm: 1 bu lông, 2 đai ốc, 1 vòng đệm), loại có ren, có đường kính ngoài của thân: 68mm (M68X2000), hàng mới 100% -FOUNDATION BOLT M68X2000</t>
  </si>
  <si>
    <t>Bộ bu lông móng bằng thép (bộ gồm: 1 bu lông và 2 đai ốc), loại có ren, có đường kính ngoài của thân: 36mm (M36X700), hàng mới 100% -FOUNDATION BOLT M36X700</t>
  </si>
  <si>
    <t>Đai ốc bằng thép, loại có ren, dùng cho bu lông móng có đường kính ngoài của thân: 36mm (M36), hàng mới 100% -HEX. NUT M36</t>
  </si>
  <si>
    <t>Vòng đệm bằng thép, không ren, dùng cho bu lông móng, có đường kính: 36mm, hàng mới 100% -PLAIN WASHER 36</t>
  </si>
  <si>
    <t>Nắp chèn kín bằng thép, đã được gia công cơ khí qua nhiều công đoạn để tạo ra 1 sản phẩm hoàn chỉnh, kích thước: 105x 95x3.2t mm, hàng mới 100% -CAP</t>
  </si>
  <si>
    <t>Tấm nền móng, bằng thép, đặt sẵn, đã được gia công để dùng làm kết cấu, dùng cho hệ thống tuabin khí số #2, (2SETS=23kg, số DWG No.: G4-90019(G1-X1151)-0 G1-X1186-02 -EMBEDDED HARDWARE</t>
  </si>
  <si>
    <t>Bộ bu lông móng bằng thép (bộ gồm: 1 bu lông và 2 đai ốc), loại có ren, có đường kính ngoài của thân: 36mm (M36X760), hàng mới 100% -FOUNDATION BOLT M36 X 760</t>
  </si>
  <si>
    <t>Đai ốc bằng thép, loại có ren, dùng cho bu lông móng có đường kính ngoài của thân: 36mm (M36), hàng mới 100% -HEX.NUT M36</t>
  </si>
  <si>
    <t>Miếng chèn bằng thép, đã được gia công cơ khí qua nhiều công đoạn để tạo ra 1 sản phẩm hoàn chỉnh, kích thước: 95x3.2t mm, hàng mới 100% -BLIND PLATE T3.2 : OUTER DIA.95</t>
  </si>
  <si>
    <t>Bộ bu lông móng bằng thép (bộ gồm: 1 bu lông và 2 đai ốc), loại có ren, có đường kính ngoài của thân: 30mm (M30X630), hàng mới 100% -FOUNDATION BOLT M30X630</t>
  </si>
  <si>
    <t>Đai ốc bằng thép, loại có ren, dùng cho bu lông móng có đường kính ngoài của thân: 30mm (M30), hàng mới 100% -HEX. NUT M30</t>
  </si>
  <si>
    <t>Nắp chèn kín bằng thép, đã được gia công cơ khí qua nhiều công đoạn để tạo ra 1 sản phẩm hoàn chỉnh, kích thước: 90x33x3.2t mm, hàng mới 100% -CAP</t>
  </si>
  <si>
    <t>Tấm nền móng, bằng thép, đặt sẵn, đã được gia công để dùng làm kết cấu, dùng cho hệ thống tuabin khí số #2, (4SETS=14.17kg), số DWG No.: G4-90019(G1-X1151)-0 G1-X1186-01 -EMBEDDED HARDWARE</t>
  </si>
  <si>
    <t>Vòng đệm bằng thép, không ren, dùng cho bu lông móng, có đường kính: 30mm, hàng mới 100% -PLAIN WASHER 30</t>
  </si>
  <si>
    <t>PCE</t>
  </si>
  <si>
    <t>73089099</t>
  </si>
  <si>
    <t>73181590</t>
  </si>
  <si>
    <t>73181690</t>
  </si>
  <si>
    <t>73182200</t>
  </si>
  <si>
    <t>73269099</t>
  </si>
  <si>
    <t>Bộ bu lông móng bằng thép (bộ gồm: 1 bu lông, 2 đai ốc), loại có ren, có đường kính ngoài của thân: 68mm (M68X2000), hàng mới 100% -FOUNDATION BOLT M68X2000</t>
  </si>
  <si>
    <t>Tấm nền móng, bằng thép, đặt sẵn, đã được gia công để dùng làm kết cấu, dùng cho hệ thống tuabin khí số #2, (4SETS=68.83kg), số DWG No.: G4-90019(G1-X1151)-0 G1-X1186-01 -EMBEDDED HARDWARE</t>
  </si>
  <si>
    <t>Tên hàng tiếng việt</t>
  </si>
  <si>
    <t>Hs code</t>
  </si>
  <si>
    <t>Tấm nền móng bằng thép, đã được gia công dùng làm kết cấu, dùng cho hệ thống tuabin khí số #2, DWG No.: G4-90370(G1-X1743)-0 G2-71466-01 -EMBEDDED HARDWARE</t>
  </si>
  <si>
    <t>Tấm nền móng bằng thép, đã được gia công dùng làm kết cấu, dùng cho hệ thống tuabin khí số #2, DWG No.: G4-90370(G1-X1743)-0 G2-71466-02 -EMBEDDED HARDWARE</t>
  </si>
  <si>
    <t>Tấm nền móng bằng thép, đã được gia công dùng làm kết cấu, dùng cho hệ thống tuabin khí số #2, DWG No.: G4-90370(G1-X1739)-0 G2-71462-01 -EMBEDDED HARDWARE</t>
  </si>
  <si>
    <t>Tấm nền móng bằng thép, đã được gia công dùng làm kết cấu, dùng cho hệ thống tuabin khí số #2, DWG No.: G4-90370(G1-X1739)-0 G2-71462-02 -EMBEDDED HARDWARE</t>
  </si>
  <si>
    <t>Tấm nền móng bằng thép, đã được gia công dùng làm kết cấu, dùng cho hệ thống tuabin khí số #2, DWG No.: G4-90019(G1-X2982)-0 G1-X2983-03 -EMBEDDED HARDWARE</t>
  </si>
  <si>
    <t>Tấm nền móng bằng thép, đã được gia công dùng làm kết cấu, dùng cho hệ thống tuabin khí số #2, DWG No.: G4-90019(G1-X2982)-0 G1-X2983-04 -EMBEDDED HARDWARE</t>
  </si>
  <si>
    <t>Tấm nền móng bằng thép, đã được gia công dùng làm kết cấu, dùng cho hệ thống tuabin khí số #2, DWG No.: G4-90019(G1-X2490)-0 G1-X2217-03 -EMBEDDED MATERIAL</t>
  </si>
  <si>
    <t>Tấm nền móng bằng thép, đã được gia công dùng làm kết cấu, dùng cho hệ thống tuabin khí số #2, DWG No.: G4-90019(G1-X2490)-0 G1-X2217-05 -EMBEDDED MATERIAL</t>
  </si>
  <si>
    <t>Tấm nền móng bằng thép, đã được gia công dùng làm kết cấu, dùng cho hệ thống tuabin khí số #2, DWG No.: G4-90019(G1-X2490)-0 G1-X2217-07 -EMBEDDED MATERIAL</t>
  </si>
  <si>
    <t>Tấm nền móng bằng thép, đã được gia công dùng làm kết cấu, dùng cho hệ thống tuabin khí số #2, DWG No.: G4-90019(G1-X2490)-0 G1-X2217-04 -EMBEDDED MATERIAL</t>
  </si>
  <si>
    <t>Tấm nền móng bằng thép, đã được gia công dùng làm kết cấu, dùng cho hệ thống tuabin khí số #2, DWG No.: G4-90019(G1-X2490)-0 G1-X2217-06 -EMBEDDED MATERIAL</t>
  </si>
  <si>
    <t>Tấm nền móng bằng thép, đã được gia công dùng làm kết cấu, dùng cho hệ thống tuabin khí số #2, DWG No.: G4-90370(G1-X1744)-0 G2-71467-01 -EMBEDDED HARDWARE</t>
  </si>
  <si>
    <t>Tấm nền móng bằng thép, đã được gia công dùng làm kết cấu, dùng cho hệ thống tuabin khí số #2, DWG No.: G4-90019(G1-X2982)-0 G1-X2983-01 -EMBEDDED HARDWARE</t>
  </si>
  <si>
    <t>Tấm nền móng bằng thép, đã được gia công dùng làm kết cấu, dùng cho hệ thống tuabin khí số #2, DWG No.: G4-90019(G1-X2982)-0 G1-X2983-02 -EMBEDDED HARDWARE</t>
  </si>
  <si>
    <t>Tấm nền móng bằng thép, đã được gia công dùng làm kết cấu, dùng cho hệ thống tuabin khí số #2, DWG No.: G4-90370(G1-X1744)-0 G2-71467-02 -EMBEDDED HARDWARE</t>
  </si>
  <si>
    <t>Tấm nền móng bằng thép, đã được gia công dùng làm kết cấu, dùng cho hệ thống tuabin khí số #2, DWG No.: G4-90370(G1-X1740)-0 G2-71463-01 -EMBEDDED HARDWARE</t>
  </si>
  <si>
    <t>Tấm nền móng bằng thép, đã được gia công dùng làm kết cấu, dùng cho hệ thống tuabin khí số #2, DWG No.: G4-90019(G1-X2490)-0 G1-X2217-02 -EMBEDDED MATERIAL</t>
  </si>
  <si>
    <t>Tấm nền móng bằng thép, đã được gia công dùng làm kết cấu, dùng cho hệ thống tuabin khí số #2, DWG No.: G4-90370(G1-X1742)-0 G2-71465-01 -EMBEDDED HARDWARE</t>
  </si>
  <si>
    <t>Tấm nền móng bằng thép, đã được gia công dùng làm kết cấu, dùng cho hệ thống tuabin khí số #2, DWG No.: G4-90370(G1-X1742)-0 G2-71465-02 -EMBEDDED HARDWARE</t>
  </si>
  <si>
    <t>Tấm nền móng bằng thép, đã được gia công dùng làm kết cấu, dùng cho hệ thống tuabin khí số #2, DWG No.: G4-90370(G1-X1741)-0 G2-71464-01 -EMBEDDED HARDWARE</t>
  </si>
  <si>
    <t>Tấm nền móng bằng thép, đã được gia công dùng làm kết cấu, dùng cho hệ thống tuabin khí số #2, DWG No.: G4-90370(G1-X1741)-0 G2-71464-02 -EMBEDDED HARDWARE</t>
  </si>
  <si>
    <t>Tấm nền móng bằng thép, đã được gia công dùng làm kết cấu, dùng cho hệ thống tuabin khí số #2, DWG No.: G4-90019(G1-X2490)-0 G1-X2217-01 -EMBEDDED MATERIAL</t>
  </si>
  <si>
    <t>Tấm nền móng bằng thép, đã được gia công dùng làm kết cấu, dùng cho hệ thống tuabin khí số #2, DWG No.: G4-90019(G1-X2982)-0 G1-X2983-05 -EMBEDDED HARDWARE</t>
  </si>
  <si>
    <t>Tấm nền móng bằng thép, đã được gia công dùng làm kết cấu, dùng cho hệ thống tuabin khí số #2, DWG No.: G4-90019(G1-X2982)-0 G1-X2983-06 -EMBEDDED HARDWARE</t>
  </si>
  <si>
    <t>Tấm nền móng bằng thép, đã được gia công dùng làm kết cấu, dùng cho hệ thống tuabin khí số #2, DWG No.: G4-90019(G1-X2982)-0 G1-X2983-07 -EMBEDDED HARDWARE</t>
  </si>
  <si>
    <t>Tấm nền móng bằng thép, đã được gia công dùng làm kết cấu, dùng cho hệ thống tuabin khí số #2, WG No.: G4-90019(G1-X2982)-0 G1-X2983-08 -EMBEDDED HARDWARE</t>
  </si>
  <si>
    <t>Tấm nền móng bằng thép, đã được gia công dùng làm kết cấu, dùng cho hệ thống tuabin khí số #2, DWG No.: G4-90019(G1-X2982)-0 G1-X2983-09 -EMBEDDED HARDWARE</t>
  </si>
  <si>
    <t>Tấm nền móng bằng thép, đã được gia công dùng làm kết cấu, dùng cho hệ thống tuabin khí số #2, DWG No.: G4-90019(G1-X2982)-1 G1-X2983-10 -EMBEDDED HARDWARE</t>
  </si>
  <si>
    <t>Tấm nền móng bằng thép, đã được gia công dùng làm kết cấu, dùng cho hệ thống tuabin khí số #2, DWG No.: G4-90019(G1-X3127)-0 G2-71943-01 -EMBEDDED HARDWARE</t>
  </si>
  <si>
    <t>Bộ bu lông móng bằng thép (bộ gồm: 1 bu lông, 2 đai ốc), loại có ren, có đường kính ngoài của thân: 36mm (M36X700), hàng mới 100% -FOUNDATION BOLT M36X700</t>
  </si>
  <si>
    <t>Tấm nền móng bằng thép, đã được gia công dùng làm kết cấu, dùng cho hệ thống tuabin khí số #2, DWG No.: G4-90019(G1-X1151)-0 G1-X1186-02 -EMBEDDED HARDWARE</t>
  </si>
  <si>
    <t>Bộ bu lông móng bằng thép (bộ gồm: 1 bu lông, 2 đai ốc), loại có ren, có đường kính ngoài của thân: 36mm (M36X760), hàng mới 100% -FOUNDATION BOLT M36 X 760</t>
  </si>
  <si>
    <t>Miếng chèn bằng thép, đã được gia công cơ khí qua nhiều công đoạn để tạo ra 1 sản phẩm hoàn chỉnh, kích thước: 95x3.2t mm, hàng mới 100% -BLIND PLATE T3.2: OUTER DIA.95</t>
  </si>
  <si>
    <t>Bộ bu lông móng bằng thép (bộ gồm: 1 bu lông, 2 đai ốc), loại có ren, có đường kính ngoài của thân: 30mm (M30X630), hàng mới 100% -FOUNDATION BOLT M30X630</t>
  </si>
  <si>
    <t>Tấm nền móng bằng thép, đã được gia công dùng làm kết cấu, dùng cho hệ thống tuabin khí số #2, DWG No.: G4-90019(G1-X1151)-0 G1-X1186-01 -EMBEDDED HARDWARE</t>
  </si>
  <si>
    <t>Vị trí</t>
  </si>
  <si>
    <t>S1</t>
  </si>
  <si>
    <t>G2 ( S1 B )</t>
  </si>
  <si>
    <t>G2 ( S1 A)</t>
  </si>
  <si>
    <t>G2 (S1 B )</t>
  </si>
  <si>
    <t>G2 (S1 A)</t>
  </si>
  <si>
    <t>G2 (S1A)</t>
  </si>
  <si>
    <t>G2 ( S1 B)</t>
  </si>
  <si>
    <t>G2 (S1 B)</t>
  </si>
  <si>
    <t>Remark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</si>
</sst>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1" formatCode="_-* #,##0_-;\-* #,##0_-;_-* &quot;-&quot;_-;_-@_-"/>
    <numFmt numFmtId="43" formatCode="_-* #,##0.00_-;\-* #,##0.00_-;_-* &quot;-&quot;??_-;_-@_-"/>
    <numFmt numFmtId="164" formatCode="_(* #,##0.00_);_(* \(#,##0.00\);_(* &quot;-&quot;??_);_(@_)"/>
    <numFmt numFmtId="165" formatCode="_-* #,##0.00_-;\-* #,##0.00_-;_-* &quot;-&quot;_-;_-@_-"/>
    <numFmt numFmtId="166" formatCode="_-* #,##0.000_-;\-* #,##0.000_-;_-* &quot;-&quot;???_-;_-@_-"/>
    <numFmt numFmtId="167" formatCode="#,##0.000_);[Red]\(#,##0.000\)"/>
    <numFmt numFmtId="168" formatCode="_-* #,##0.0_-;\-* #,##0.0_-;_-* &quot;-&quot;_-;_-@_-"/>
    <numFmt numFmtId="169" formatCode="&quot;#&quot;\ 00"/>
    <numFmt numFmtId="170" formatCode="&quot;#&quot;00"/>
    <numFmt numFmtId="171" formatCode="0_);[Red]\(0\)"/>
    <numFmt numFmtId="172" formatCode="0.000_);[Red]\(0.000\)"/>
    <numFmt numFmtId="173" formatCode="_(* #,##0_);_(* \(#,##0\);_(* &quot;-&quot;??_);_(@_)"/>
    <numFmt numFmtId="174" formatCode="#,##0_ "/>
    <numFmt numFmtId="175" formatCode="_-* #,##0.000_-;\-* #,##0.000_-;_-* &quot;-&quot;_-;_-@_-"/>
    <numFmt numFmtId="176" formatCode="_-* #,##0.0000_-;\-* #,##0.0000_-;_-* &quot;-&quot;??_-;_-@_-"/>
    <numFmt numFmtId="177" formatCode="_-* #,##0.00000_-;\-* #,##0.00000_-;_-* &quot;-&quot;??_-;_-@_-"/>
    <numFmt numFmtId="178" formatCode="_-* #,##0.000_-;\-* #,##0.000_-;_-* &quot;-&quot;??_-;_-@_-"/>
    <numFmt numFmtId="179" formatCode="_(* #,##0.0000000_);_(* \(#,##0.0000000\);_(* &quot;-&quot;??_);_(@_)"/>
    <numFmt numFmtId="180" formatCode="_-* #,##0.000000_-;\-* #,##0.000000_-;_-* &quot;-&quot;??_-;_-@_-"/>
    <numFmt numFmtId="181" formatCode="_-* #,##0.0000000000_-;\-* #,##0.0000000000_-;_-* &quot;-&quot;??_-;_-@_-"/>
  </numFmts>
  <fonts count="64">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b/>
      <sz val="12.1"/>
      <name val="Arial"/>
      <family val="2"/>
    </font>
    <font>
      <sz val="10"/>
      <color indexed="8"/>
      <name val="Calibri"/>
      <family val="2"/>
    </font>
    <font>
      <sz val="12"/>
      <name val="Calibri"/>
      <family val="2"/>
    </font>
    <font>
      <sz val="12"/>
      <color indexed="8"/>
      <name val="Calibri"/>
      <family val="2"/>
    </font>
    <font>
      <sz val="12"/>
      <color rgb="FFFF0000"/>
      <name val="Calibri"/>
      <family val="2"/>
    </font>
    <font>
      <b/>
      <sz val="12"/>
      <name val="Calibri"/>
      <family val="2"/>
    </font>
    <font>
      <sz val="9"/>
      <name val="Helvetica"/>
      <family val="18"/>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8">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cellStyleXfs>
  <cellXfs count="594">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5"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5"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41" fontId="12" fillId="0" borderId="0" xfId="1" applyFont="1" applyAlignme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0"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1"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1" fontId="20" fillId="0" borderId="0" xfId="1" applyNumberFormat="1" applyFont="1">
      <alignment vertical="center"/>
    </xf>
    <xf numFmtId="172"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1" fontId="39" fillId="0" borderId="21" xfId="1" applyNumberFormat="1" applyFont="1" applyFill="1" applyBorder="1" applyAlignment="1">
      <alignment horizontal="center" vertical="center" wrapText="1"/>
    </xf>
    <xf numFmtId="172"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1" fontId="25" fillId="0" borderId="0" xfId="1" applyNumberFormat="1" applyFont="1" applyFill="1" applyBorder="1" applyAlignment="1">
      <alignment horizontal="left" vertical="center"/>
    </xf>
    <xf numFmtId="173" fontId="25" fillId="0" borderId="0" xfId="11" applyNumberFormat="1" applyFont="1" applyAlignment="1">
      <alignment horizontal="center" vertical="center"/>
      <protection locked="0"/>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1" fontId="25" fillId="0" borderId="0" xfId="1" applyNumberFormat="1" applyFont="1" applyFill="1" applyBorder="1" applyAlignment="1">
      <alignment horizontal="center" vertical="center"/>
    </xf>
    <xf numFmtId="172" fontId="25" fillId="0" borderId="0" xfId="0" applyNumberFormat="1" applyFont="1" applyAlignment="1">
      <alignment horizontal="center" vertical="center"/>
    </xf>
    <xf numFmtId="174" fontId="25" fillId="0" borderId="0" xfId="0" applyNumberFormat="1" applyFont="1" applyAlignment="1">
      <alignment horizontal="center" vertical="center"/>
    </xf>
    <xf numFmtId="171" fontId="25" fillId="0" borderId="0" xfId="1" applyNumberFormat="1" applyFont="1" applyBorder="1" applyAlignment="1">
      <alignment horizontal="center" vertical="center"/>
    </xf>
    <xf numFmtId="172" fontId="46" fillId="0" borderId="0" xfId="0" applyNumberFormat="1" applyFont="1" applyAlignment="1">
      <alignment horizontal="center" vertical="center"/>
    </xf>
    <xf numFmtId="171" fontId="12" fillId="0" borderId="0" xfId="1" applyNumberFormat="1" applyFont="1" applyBorder="1">
      <alignment vertical="center"/>
    </xf>
    <xf numFmtId="172" fontId="12" fillId="0" borderId="0" xfId="0" applyNumberFormat="1" applyFont="1">
      <alignment vertical="center"/>
    </xf>
    <xf numFmtId="171"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5"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5"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5"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12" fillId="2" borderId="15" xfId="0" applyFont="1" applyFill="1" applyBorder="1" applyAlignment="1">
      <alignment horizontal="lef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41" fontId="27" fillId="2" borderId="0" xfId="1" applyFont="1" applyFill="1" applyBorder="1" applyAlignment="1">
      <alignment horizontal="left" vertical="top"/>
    </xf>
    <xf numFmtId="41" fontId="27" fillId="2" borderId="0" xfId="1" applyFont="1" applyFill="1" applyBorder="1" applyAlignment="1">
      <alignment vertical="top"/>
    </xf>
    <xf numFmtId="0" fontId="27" fillId="2" borderId="14" xfId="6" applyFont="1" applyFill="1" applyBorder="1" applyAlignment="1">
      <alignment vertical="top"/>
    </xf>
    <xf numFmtId="0" fontId="27" fillId="2" borderId="0" xfId="6" applyFont="1" applyFill="1" applyAlignment="1">
      <alignment horizontal="left" vertical="top"/>
    </xf>
    <xf numFmtId="171"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2"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171" fontId="39" fillId="0" borderId="26" xfId="1" applyNumberFormat="1" applyFont="1" applyFill="1" applyBorder="1" applyAlignment="1">
      <alignment horizontal="center" vertical="center"/>
    </xf>
    <xf numFmtId="0" fontId="39" fillId="0" borderId="26" xfId="0" applyFont="1" applyBorder="1" applyAlignment="1">
      <alignment horizontal="center" vertical="center"/>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5" fontId="12" fillId="0" borderId="26" xfId="1" applyNumberFormat="1" applyFont="1" applyFill="1" applyBorder="1" applyAlignment="1">
      <alignment horizontal="center" vertical="center"/>
    </xf>
    <xf numFmtId="0" fontId="13" fillId="0" borderId="0" xfId="0" applyFont="1">
      <alignment vertical="center"/>
    </xf>
    <xf numFmtId="165" fontId="14" fillId="0" borderId="14" xfId="0" applyNumberFormat="1" applyFont="1" applyBorder="1">
      <alignment vertical="center"/>
    </xf>
    <xf numFmtId="165"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69" fontId="27" fillId="3" borderId="0" xfId="6" applyNumberFormat="1" applyFont="1" applyFill="1" applyAlignment="1">
      <alignment horizontal="left" vertical="top"/>
    </xf>
    <xf numFmtId="165"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5" fontId="12" fillId="2" borderId="26" xfId="1" applyNumberFormat="1" applyFont="1" applyFill="1" applyBorder="1" applyAlignment="1">
      <alignment horizontal="center" vertical="center" wrapText="1"/>
    </xf>
    <xf numFmtId="165" fontId="12" fillId="2" borderId="26" xfId="1" applyNumberFormat="1" applyFont="1" applyFill="1" applyBorder="1" applyAlignment="1">
      <alignment horizontal="center" vertical="center"/>
    </xf>
    <xf numFmtId="165" fontId="2" fillId="0" borderId="21" xfId="1" applyNumberFormat="1" applyFont="1" applyBorder="1" applyAlignment="1">
      <alignment horizontal="center" vertical="center"/>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15" fontId="2" fillId="2" borderId="7" xfId="3" applyNumberFormat="1" applyFont="1" applyFill="1" applyBorder="1" applyAlignment="1">
      <alignment horizontal="left" vertical="center"/>
    </xf>
    <xf numFmtId="0" fontId="2" fillId="3" borderId="26" xfId="0" applyFont="1" applyFill="1" applyBorder="1" applyAlignment="1">
      <alignment horizontal="center" vertical="center" wrapText="1"/>
    </xf>
    <xf numFmtId="0" fontId="14" fillId="0" borderId="7" xfId="0" applyFont="1" applyBorder="1" applyAlignment="1">
      <alignment horizontal="center" vertical="center"/>
    </xf>
    <xf numFmtId="0" fontId="39" fillId="0" borderId="43" xfId="0" applyFont="1" applyBorder="1" applyAlignment="1">
      <alignment horizontal="center" vertical="center"/>
    </xf>
    <xf numFmtId="0" fontId="39" fillId="0" borderId="22" xfId="0" applyFont="1" applyBorder="1" applyAlignment="1">
      <alignment horizontal="center" vertical="center" wrapText="1"/>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2" borderId="26" xfId="0" applyFont="1" applyFill="1" applyBorder="1" applyAlignment="1">
      <alignment horizontal="left" vertical="center" wrapText="1"/>
    </xf>
    <xf numFmtId="0" fontId="2" fillId="3" borderId="21" xfId="0" applyFont="1" applyFill="1" applyBorder="1" applyAlignment="1">
      <alignment horizontal="center" vertical="center" wrapText="1"/>
    </xf>
    <xf numFmtId="0" fontId="12" fillId="2" borderId="20" xfId="0" applyFont="1" applyFill="1" applyBorder="1" applyAlignment="1">
      <alignment horizontal="left" vertical="center"/>
    </xf>
    <xf numFmtId="0" fontId="12" fillId="0" borderId="15" xfId="0" applyFont="1" applyBorder="1" applyAlignment="1">
      <alignment horizontal="left" vertical="center"/>
    </xf>
    <xf numFmtId="172" fontId="39" fillId="0" borderId="15" xfId="0" applyNumberFormat="1" applyFont="1" applyBorder="1" applyAlignment="1">
      <alignment horizontal="center" vertical="center" wrapText="1"/>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7" fillId="2" borderId="26"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165" fontId="2" fillId="2" borderId="21" xfId="1" applyNumberFormat="1" applyFont="1" applyFill="1" applyBorder="1" applyAlignment="1">
      <alignment horizontal="center" vertical="center" wrapText="1"/>
    </xf>
    <xf numFmtId="166" fontId="2" fillId="0" borderId="0" xfId="0" applyNumberFormat="1" applyFont="1">
      <alignment vertical="center"/>
    </xf>
    <xf numFmtId="0" fontId="14" fillId="3" borderId="0" xfId="0" applyFont="1" applyFill="1">
      <alignment vertical="center"/>
    </xf>
    <xf numFmtId="0" fontId="14" fillId="3" borderId="0" xfId="0" applyFont="1" applyFill="1" applyAlignment="1">
      <alignment horizontal="center" vertical="center"/>
    </xf>
    <xf numFmtId="0" fontId="12" fillId="2" borderId="15" xfId="0" applyFont="1" applyFill="1" applyBorder="1" applyAlignment="1">
      <alignment horizontal="center" vertical="center"/>
    </xf>
    <xf numFmtId="165" fontId="12" fillId="0" borderId="0" xfId="1" applyNumberFormat="1" applyFont="1" applyAlignment="1">
      <alignment horizontal="center" vertical="center"/>
    </xf>
    <xf numFmtId="165" fontId="21" fillId="0" borderId="0" xfId="1" applyNumberFormat="1" applyFont="1" applyAlignment="1">
      <alignment horizontal="left" vertical="center"/>
    </xf>
    <xf numFmtId="165" fontId="12" fillId="0" borderId="0" xfId="1" applyNumberFormat="1" applyFont="1" applyFill="1" applyBorder="1" applyAlignment="1">
      <alignment horizontal="center" vertical="center"/>
    </xf>
    <xf numFmtId="165" fontId="18" fillId="0" borderId="0" xfId="1" applyNumberFormat="1" applyFont="1" applyAlignment="1">
      <alignment horizontal="center" vertical="center"/>
    </xf>
    <xf numFmtId="165" fontId="18" fillId="0" borderId="32" xfId="1" applyNumberFormat="1" applyFont="1" applyBorder="1" applyAlignment="1">
      <alignment horizontal="center" vertical="center"/>
    </xf>
    <xf numFmtId="165" fontId="12" fillId="0" borderId="0" xfId="1" applyNumberFormat="1" applyFont="1" applyAlignment="1">
      <alignment horizontal="left" vertical="center"/>
    </xf>
    <xf numFmtId="165" fontId="12" fillId="0" borderId="26" xfId="1" applyNumberFormat="1" applyFont="1" applyBorder="1" applyAlignment="1">
      <alignment horizontal="left" vertical="center"/>
    </xf>
    <xf numFmtId="165" fontId="12" fillId="0" borderId="26" xfId="1" applyNumberFormat="1" applyFont="1" applyBorder="1" applyAlignment="1">
      <alignment horizontal="center" vertical="center"/>
    </xf>
    <xf numFmtId="165" fontId="14" fillId="0" borderId="26" xfId="1" applyNumberFormat="1" applyFont="1" applyBorder="1" applyAlignment="1">
      <alignment horizontal="center" vertical="center" wrapText="1"/>
    </xf>
    <xf numFmtId="165" fontId="17" fillId="2" borderId="26" xfId="1" applyNumberFormat="1" applyFont="1" applyFill="1" applyBorder="1" applyAlignment="1">
      <alignment horizontal="center" vertical="center" wrapText="1"/>
    </xf>
    <xf numFmtId="165" fontId="2" fillId="2" borderId="26" xfId="1" applyNumberFormat="1" applyFont="1" applyFill="1" applyBorder="1" applyAlignment="1">
      <alignment horizontal="center" vertical="center" wrapText="1"/>
    </xf>
    <xf numFmtId="165" fontId="17" fillId="3" borderId="26" xfId="1" applyNumberFormat="1" applyFont="1" applyFill="1" applyBorder="1" applyAlignment="1">
      <alignment horizontal="center" vertical="center" wrapText="1"/>
    </xf>
    <xf numFmtId="165" fontId="2" fillId="3" borderId="26" xfId="1" applyNumberFormat="1" applyFont="1" applyFill="1" applyBorder="1" applyAlignment="1">
      <alignment horizontal="center" vertical="center" wrapText="1"/>
    </xf>
    <xf numFmtId="165" fontId="2" fillId="3" borderId="21" xfId="1" applyNumberFormat="1" applyFont="1" applyFill="1" applyBorder="1" applyAlignment="1">
      <alignment horizontal="center" vertical="center" wrapText="1"/>
    </xf>
    <xf numFmtId="165" fontId="12" fillId="2" borderId="21" xfId="1" applyNumberFormat="1" applyFont="1" applyFill="1" applyBorder="1" applyAlignment="1">
      <alignment horizontal="center" vertical="center" wrapText="1"/>
    </xf>
    <xf numFmtId="165" fontId="12" fillId="0" borderId="0" xfId="1" applyNumberFormat="1" applyFont="1">
      <alignment vertical="center"/>
    </xf>
    <xf numFmtId="165" fontId="2" fillId="0" borderId="0" xfId="1" applyNumberFormat="1" applyFont="1">
      <alignment vertical="center"/>
    </xf>
    <xf numFmtId="4" fontId="2" fillId="0" borderId="0" xfId="0" applyNumberFormat="1" applyFont="1">
      <alignment vertical="center"/>
    </xf>
    <xf numFmtId="165" fontId="12" fillId="0" borderId="26" xfId="1" applyNumberFormat="1" applyFont="1" applyBorder="1" applyAlignment="1">
      <alignment horizontal="center" vertical="center" wrapText="1"/>
    </xf>
    <xf numFmtId="165" fontId="12" fillId="0" borderId="26" xfId="1" applyNumberFormat="1" applyFont="1" applyBorder="1" applyAlignment="1">
      <alignment horizontal="right" vertical="center" wrapText="1"/>
    </xf>
    <xf numFmtId="165" fontId="12" fillId="0" borderId="7" xfId="1" applyNumberFormat="1" applyFont="1" applyBorder="1" applyAlignment="1">
      <alignment horizontal="center" vertical="center"/>
    </xf>
    <xf numFmtId="165" fontId="27" fillId="2" borderId="0" xfId="1" applyNumberFormat="1" applyFont="1" applyFill="1" applyBorder="1" applyAlignment="1">
      <alignment horizontal="left" vertical="top"/>
    </xf>
    <xf numFmtId="165" fontId="2" fillId="2" borderId="23" xfId="1" applyNumberFormat="1" applyFont="1" applyFill="1" applyBorder="1" applyAlignment="1">
      <alignment horizontal="center" vertical="center"/>
    </xf>
    <xf numFmtId="165" fontId="3" fillId="0" borderId="26" xfId="1" applyNumberFormat="1" applyFont="1" applyBorder="1" applyAlignment="1">
      <alignment horizontal="center" vertical="center"/>
    </xf>
    <xf numFmtId="0" fontId="12" fillId="0" borderId="12" xfId="0" applyFont="1" applyBorder="1" applyAlignment="1">
      <alignment horizontal="left" vertical="center"/>
    </xf>
    <xf numFmtId="0" fontId="12" fillId="4" borderId="26" xfId="0" applyFont="1" applyFill="1" applyBorder="1" applyAlignment="1">
      <alignment horizontal="center" vertical="center"/>
    </xf>
    <xf numFmtId="175" fontId="27" fillId="3" borderId="0" xfId="1" applyNumberFormat="1" applyFont="1" applyFill="1" applyBorder="1" applyAlignment="1">
      <alignment vertical="top"/>
    </xf>
    <xf numFmtId="175" fontId="2" fillId="2" borderId="24" xfId="0" applyNumberFormat="1" applyFont="1" applyFill="1" applyBorder="1" applyAlignment="1">
      <alignment horizontal="center" vertical="center"/>
    </xf>
    <xf numFmtId="175" fontId="2" fillId="0" borderId="22" xfId="0" applyNumberFormat="1" applyFont="1" applyBorder="1" applyAlignment="1">
      <alignment horizontal="center" vertical="center"/>
    </xf>
    <xf numFmtId="175" fontId="3" fillId="0" borderId="29" xfId="0" applyNumberFormat="1" applyFont="1" applyBorder="1" applyAlignment="1">
      <alignment horizontal="center"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43" fontId="12" fillId="0" borderId="26" xfId="0" applyNumberFormat="1" applyFont="1" applyBorder="1" applyAlignment="1">
      <alignment horizontal="center" vertical="center" wrapText="1"/>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175" fontId="14" fillId="0" borderId="26" xfId="1" applyNumberFormat="1" applyFont="1" applyBorder="1" applyAlignment="1">
      <alignment horizontal="center" vertical="center" wrapText="1"/>
    </xf>
    <xf numFmtId="175" fontId="2" fillId="3" borderId="26" xfId="1" applyNumberFormat="1" applyFont="1" applyFill="1" applyBorder="1" applyAlignment="1">
      <alignment horizontal="center" vertical="center" wrapText="1"/>
    </xf>
    <xf numFmtId="175" fontId="12" fillId="2" borderId="26" xfId="1" applyNumberFormat="1" applyFont="1" applyFill="1" applyBorder="1" applyAlignment="1">
      <alignment horizontal="center" vertical="center"/>
    </xf>
    <xf numFmtId="43" fontId="12" fillId="2" borderId="26" xfId="0" applyNumberFormat="1" applyFont="1" applyFill="1" applyBorder="1" applyAlignment="1">
      <alignment horizontal="center" vertical="center" wrapText="1"/>
    </xf>
    <xf numFmtId="0" fontId="12" fillId="2" borderId="25" xfId="0" applyFont="1" applyFill="1" applyBorder="1" applyAlignment="1">
      <alignment horizontal="center" vertical="center" wrapText="1"/>
    </xf>
    <xf numFmtId="0" fontId="12" fillId="2" borderId="25" xfId="0" applyFont="1" applyFill="1" applyBorder="1" applyAlignment="1">
      <alignment horizontal="center" vertical="center"/>
    </xf>
    <xf numFmtId="0" fontId="12" fillId="2" borderId="12" xfId="0" applyFont="1" applyFill="1" applyBorder="1" applyAlignment="1">
      <alignment horizontal="left" vertical="center"/>
    </xf>
    <xf numFmtId="0" fontId="12" fillId="2" borderId="26" xfId="0" applyFont="1" applyFill="1" applyBorder="1" applyAlignment="1">
      <alignment horizontal="center" vertical="center" wrapText="1"/>
    </xf>
    <xf numFmtId="0" fontId="12" fillId="5" borderId="25" xfId="0" applyFont="1" applyFill="1" applyBorder="1" applyAlignment="1">
      <alignment horizontal="center" vertical="center" wrapText="1"/>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0" fontId="12" fillId="5" borderId="26" xfId="0" applyFont="1" applyFill="1" applyBorder="1" applyAlignment="1">
      <alignment horizontal="center" vertical="center"/>
    </xf>
    <xf numFmtId="165" fontId="12" fillId="5" borderId="26" xfId="1" applyNumberFormat="1" applyFont="1" applyFill="1" applyBorder="1" applyAlignment="1">
      <alignment horizontal="right" vertical="center" wrapText="1"/>
    </xf>
    <xf numFmtId="43" fontId="12" fillId="5" borderId="26" xfId="0" applyNumberFormat="1" applyFont="1" applyFill="1" applyBorder="1" applyAlignment="1">
      <alignment horizontal="center" vertical="center" wrapText="1"/>
    </xf>
    <xf numFmtId="165" fontId="12" fillId="5" borderId="26" xfId="1" applyNumberFormat="1" applyFont="1" applyFill="1" applyBorder="1" applyAlignment="1">
      <alignment horizontal="center" vertical="center" wrapText="1"/>
    </xf>
    <xf numFmtId="0" fontId="12" fillId="5" borderId="0" xfId="0" applyFont="1" applyFill="1">
      <alignment vertical="center"/>
    </xf>
    <xf numFmtId="0" fontId="57" fillId="0" borderId="0" xfId="0" applyFont="1">
      <alignment vertical="center"/>
    </xf>
    <xf numFmtId="41" fontId="2" fillId="0" borderId="5" xfId="0" applyNumberFormat="1" applyFont="1" applyBorder="1" applyAlignment="1">
      <alignment vertical="center" wrapText="1"/>
    </xf>
    <xf numFmtId="14" fontId="12" fillId="0" borderId="0" xfId="0" applyNumberFormat="1" applyFont="1">
      <alignment vertical="center"/>
    </xf>
    <xf numFmtId="165" fontId="12" fillId="0" borderId="26" xfId="1" applyNumberFormat="1" applyFont="1" applyFill="1" applyBorder="1" applyAlignment="1">
      <alignment horizontal="center" vertical="center" wrapText="1"/>
    </xf>
    <xf numFmtId="0" fontId="12" fillId="0" borderId="12" xfId="0" applyFont="1" applyBorder="1" applyAlignment="1">
      <alignment horizontal="left" vertical="center" wrapText="1"/>
    </xf>
    <xf numFmtId="165" fontId="12" fillId="0" borderId="0" xfId="1" applyNumberFormat="1" applyFont="1" applyFill="1">
      <alignment vertical="center"/>
    </xf>
    <xf numFmtId="4" fontId="58" fillId="0" borderId="26" xfId="11" applyFont="1" applyBorder="1" applyAlignment="1">
      <alignment vertical="center"/>
      <protection locked="0"/>
    </xf>
    <xf numFmtId="0" fontId="12" fillId="0" borderId="12" xfId="0" applyFont="1" applyBorder="1" applyAlignment="1">
      <alignment horizontal="center" vertical="center" wrapText="1"/>
    </xf>
    <xf numFmtId="0" fontId="12" fillId="0" borderId="11" xfId="0" applyFont="1" applyBorder="1" applyAlignment="1">
      <alignment horizontal="center" vertical="center"/>
    </xf>
    <xf numFmtId="0" fontId="12" fillId="0" borderId="10" xfId="0" applyFont="1" applyBorder="1" applyAlignment="1">
      <alignment horizontal="left" vertical="center"/>
    </xf>
    <xf numFmtId="0" fontId="12" fillId="0" borderId="10" xfId="0" applyFont="1" applyBorder="1" applyAlignment="1">
      <alignment horizontal="left" vertical="center" wrapText="1"/>
    </xf>
    <xf numFmtId="0" fontId="12" fillId="0" borderId="10" xfId="0" applyFont="1" applyBorder="1" applyAlignment="1">
      <alignment horizontal="center" vertical="center"/>
    </xf>
    <xf numFmtId="4" fontId="58" fillId="0" borderId="10" xfId="11" applyFont="1" applyBorder="1" applyAlignment="1">
      <alignment vertical="center"/>
      <protection locked="0"/>
    </xf>
    <xf numFmtId="43" fontId="12" fillId="0" borderId="10" xfId="0" applyNumberFormat="1" applyFont="1" applyBorder="1" applyAlignment="1">
      <alignment horizontal="center" vertical="center" wrapText="1"/>
    </xf>
    <xf numFmtId="0" fontId="59" fillId="0" borderId="0" xfId="0" applyFont="1">
      <alignment vertical="center"/>
    </xf>
    <xf numFmtId="0" fontId="59" fillId="0" borderId="0" xfId="0" applyFont="1" applyAlignment="1">
      <alignment horizontal="center" vertical="center"/>
    </xf>
    <xf numFmtId="165" fontId="59" fillId="0" borderId="0" xfId="1" applyNumberFormat="1" applyFont="1" applyFill="1" applyAlignment="1">
      <alignment horizontal="center" vertical="center"/>
    </xf>
    <xf numFmtId="37" fontId="59" fillId="0" borderId="0" xfId="0" applyNumberFormat="1" applyFont="1" applyAlignment="1">
      <alignment horizontal="center" vertical="center"/>
    </xf>
    <xf numFmtId="37" fontId="59" fillId="0" borderId="0" xfId="0" applyNumberFormat="1" applyFont="1" applyAlignment="1">
      <alignment horizontal="left" vertical="center" indent="1"/>
    </xf>
    <xf numFmtId="0" fontId="59" fillId="0" borderId="0" xfId="0" applyFont="1" applyAlignment="1">
      <alignment horizontal="left" vertical="center" indent="1"/>
    </xf>
    <xf numFmtId="37" fontId="59" fillId="0" borderId="0" xfId="0" applyNumberFormat="1" applyFont="1">
      <alignment vertical="center"/>
    </xf>
    <xf numFmtId="14" fontId="59" fillId="0" borderId="0" xfId="0" applyNumberFormat="1" applyFont="1">
      <alignment vertical="center"/>
    </xf>
    <xf numFmtId="0" fontId="59" fillId="0" borderId="26" xfId="0" applyFont="1" applyBorder="1" applyAlignment="1">
      <alignment horizontal="center" vertical="center" wrapText="1"/>
    </xf>
    <xf numFmtId="0" fontId="59" fillId="0" borderId="26" xfId="0" applyFont="1" applyBorder="1" applyAlignment="1">
      <alignment horizontal="center" vertical="center"/>
    </xf>
    <xf numFmtId="0" fontId="59" fillId="3" borderId="26" xfId="0" applyFont="1" applyFill="1" applyBorder="1" applyAlignment="1">
      <alignment horizontal="center" vertical="center"/>
    </xf>
    <xf numFmtId="165" fontId="59" fillId="0" borderId="26" xfId="1" applyNumberFormat="1" applyFont="1" applyFill="1" applyBorder="1" applyAlignment="1">
      <alignment horizontal="center" vertical="center" wrapText="1"/>
    </xf>
    <xf numFmtId="0" fontId="59" fillId="0" borderId="26" xfId="0" applyFont="1" applyBorder="1" applyAlignment="1">
      <alignment horizontal="left" vertical="center"/>
    </xf>
    <xf numFmtId="49" fontId="59" fillId="3" borderId="45" xfId="0" applyNumberFormat="1" applyFont="1" applyFill="1" applyBorder="1" applyAlignment="1">
      <alignment horizontal="left" vertical="center"/>
    </xf>
    <xf numFmtId="49" fontId="59" fillId="3" borderId="45" xfId="0" applyNumberFormat="1" applyFont="1" applyFill="1" applyBorder="1" applyAlignment="1">
      <alignment horizontal="center" vertical="center"/>
    </xf>
    <xf numFmtId="165" fontId="59" fillId="0" borderId="26" xfId="1" quotePrefix="1" applyNumberFormat="1" applyFont="1" applyFill="1" applyBorder="1" applyAlignment="1">
      <alignment horizontal="center" vertical="center" wrapText="1"/>
    </xf>
    <xf numFmtId="43" fontId="59" fillId="0" borderId="26" xfId="0" applyNumberFormat="1" applyFont="1" applyBorder="1" applyAlignment="1">
      <alignment horizontal="center" vertical="center" wrapText="1"/>
    </xf>
    <xf numFmtId="165" fontId="59" fillId="0" borderId="0" xfId="1" applyNumberFormat="1" applyFont="1" applyFill="1">
      <alignment vertical="center"/>
    </xf>
    <xf numFmtId="43" fontId="59" fillId="0" borderId="0" xfId="0" applyNumberFormat="1" applyFont="1">
      <alignment vertical="center"/>
    </xf>
    <xf numFmtId="4" fontId="60" fillId="0" borderId="26" xfId="11" applyFont="1" applyBorder="1" applyAlignment="1">
      <alignment vertical="center"/>
      <protection locked="0"/>
    </xf>
    <xf numFmtId="164" fontId="59" fillId="0" borderId="0" xfId="0" applyNumberFormat="1" applyFont="1">
      <alignment vertical="center"/>
    </xf>
    <xf numFmtId="165" fontId="59" fillId="0" borderId="26" xfId="1" applyNumberFormat="1" applyFont="1" applyFill="1" applyBorder="1" applyAlignment="1">
      <alignment horizontal="right" vertical="center" wrapText="1"/>
    </xf>
    <xf numFmtId="49" fontId="59" fillId="3" borderId="46" xfId="0" applyNumberFormat="1" applyFont="1" applyFill="1" applyBorder="1" applyAlignment="1">
      <alignment horizontal="left" vertical="center"/>
    </xf>
    <xf numFmtId="49" fontId="59" fillId="3" borderId="46" xfId="0" applyNumberFormat="1" applyFont="1" applyFill="1" applyBorder="1" applyAlignment="1">
      <alignment horizontal="center" vertical="center"/>
    </xf>
    <xf numFmtId="0" fontId="59" fillId="0" borderId="10" xfId="0" applyFont="1" applyBorder="1">
      <alignment vertical="center"/>
    </xf>
    <xf numFmtId="0" fontId="59" fillId="0" borderId="10" xfId="0" applyFont="1" applyBorder="1" applyAlignment="1">
      <alignment horizontal="center" vertical="center"/>
    </xf>
    <xf numFmtId="41" fontId="59" fillId="0" borderId="10" xfId="0" applyNumberFormat="1" applyFont="1" applyBorder="1" applyAlignment="1">
      <alignment horizontal="left" vertical="center"/>
    </xf>
    <xf numFmtId="41" fontId="61" fillId="0" borderId="10" xfId="0" applyNumberFormat="1" applyFont="1" applyBorder="1" applyAlignment="1">
      <alignment horizontal="left" vertical="center"/>
    </xf>
    <xf numFmtId="165" fontId="62" fillId="0" borderId="10" xfId="0" applyNumberFormat="1" applyFont="1" applyBorder="1">
      <alignment vertical="center"/>
    </xf>
    <xf numFmtId="165" fontId="59" fillId="0" borderId="31" xfId="1" applyNumberFormat="1" applyFont="1" applyFill="1" applyBorder="1" applyAlignment="1">
      <alignment horizontal="center" vertical="center"/>
    </xf>
    <xf numFmtId="9" fontId="61" fillId="0" borderId="0" xfId="0" applyNumberFormat="1" applyFont="1">
      <alignment vertical="center"/>
    </xf>
    <xf numFmtId="0" fontId="61" fillId="0" borderId="0" xfId="0" applyFont="1">
      <alignment vertical="center"/>
    </xf>
    <xf numFmtId="43" fontId="61" fillId="0" borderId="0" xfId="0" applyNumberFormat="1" applyFont="1">
      <alignment vertical="center"/>
    </xf>
    <xf numFmtId="165" fontId="59" fillId="0" borderId="26" xfId="1" applyNumberFormat="1" applyFont="1" applyFill="1" applyBorder="1" applyAlignment="1">
      <alignment horizontal="center" vertical="center"/>
    </xf>
    <xf numFmtId="165" fontId="61" fillId="0" borderId="0" xfId="1" applyNumberFormat="1" applyFont="1" applyFill="1">
      <alignment vertical="center"/>
    </xf>
    <xf numFmtId="14" fontId="61" fillId="0" borderId="0" xfId="0" applyNumberFormat="1" applyFont="1">
      <alignment vertical="center"/>
    </xf>
    <xf numFmtId="0" fontId="59" fillId="3" borderId="26" xfId="0" applyFont="1" applyFill="1" applyBorder="1" applyAlignment="1">
      <alignment horizontal="center" vertical="center" wrapText="1"/>
    </xf>
    <xf numFmtId="178" fontId="59" fillId="3" borderId="26" xfId="0" applyNumberFormat="1" applyFont="1" applyFill="1" applyBorder="1" applyAlignment="1">
      <alignment horizontal="center" vertical="center" wrapText="1"/>
    </xf>
    <xf numFmtId="43" fontId="59" fillId="3" borderId="26" xfId="0" applyNumberFormat="1" applyFont="1" applyFill="1" applyBorder="1" applyAlignment="1">
      <alignment horizontal="center" vertical="center" wrapText="1"/>
    </xf>
    <xf numFmtId="179" fontId="59" fillId="0" borderId="0" xfId="0" applyNumberFormat="1" applyFont="1">
      <alignment vertical="center"/>
    </xf>
    <xf numFmtId="177" fontId="59" fillId="3" borderId="26" xfId="0" applyNumberFormat="1" applyFont="1" applyFill="1" applyBorder="1" applyAlignment="1">
      <alignment horizontal="center" vertical="center" wrapText="1"/>
    </xf>
    <xf numFmtId="180" fontId="59" fillId="3" borderId="26" xfId="0" applyNumberFormat="1" applyFont="1" applyFill="1" applyBorder="1" applyAlignment="1">
      <alignment horizontal="center" vertical="center" wrapText="1"/>
    </xf>
    <xf numFmtId="181" fontId="59" fillId="0" borderId="0" xfId="0" applyNumberFormat="1" applyFont="1">
      <alignment vertical="center"/>
    </xf>
    <xf numFmtId="176" fontId="59" fillId="3" borderId="26" xfId="0" applyNumberFormat="1" applyFont="1" applyFill="1" applyBorder="1" applyAlignment="1">
      <alignment horizontal="center" vertical="center" wrapText="1"/>
    </xf>
    <xf numFmtId="178" fontId="59" fillId="0" borderId="26" xfId="0" applyNumberFormat="1" applyFont="1" applyBorder="1" applyAlignment="1">
      <alignment horizontal="center" vertical="center" wrapText="1"/>
    </xf>
    <xf numFmtId="177" fontId="59" fillId="0" borderId="26" xfId="0" applyNumberFormat="1" applyFont="1" applyBorder="1" applyAlignment="1">
      <alignment horizontal="center" vertical="center" wrapText="1"/>
    </xf>
    <xf numFmtId="180" fontId="59" fillId="0" borderId="26" xfId="0" applyNumberFormat="1" applyFont="1" applyBorder="1" applyAlignment="1">
      <alignment horizontal="center" vertical="center" wrapText="1"/>
    </xf>
    <xf numFmtId="176" fontId="59" fillId="0" borderId="26" xfId="0" applyNumberFormat="1" applyFont="1" applyBorder="1" applyAlignment="1">
      <alignment horizontal="center" vertical="center" wrapText="1"/>
    </xf>
    <xf numFmtId="41" fontId="62" fillId="0" borderId="10" xfId="0" applyNumberFormat="1" applyFont="1" applyBorder="1">
      <alignment vertical="center"/>
    </xf>
    <xf numFmtId="49" fontId="20" fillId="3" borderId="45" xfId="0" applyNumberFormat="1" applyFont="1" applyFill="1" applyBorder="1" applyAlignment="1">
      <alignment horizontal="left"/>
    </xf>
    <xf numFmtId="49" fontId="20" fillId="3" borderId="46" xfId="0" applyNumberFormat="1" applyFont="1" applyFill="1" applyBorder="1" applyAlignment="1">
      <alignment horizontal="left"/>
    </xf>
    <xf numFmtId="181" fontId="62" fillId="3" borderId="10" xfId="0" applyNumberFormat="1" applyFont="1" applyFill="1" applyBorder="1" applyAlignment="1">
      <alignment horizontal="center" vertical="center"/>
    </xf>
    <xf numFmtId="165" fontId="62" fillId="3" borderId="10" xfId="0" applyNumberFormat="1" applyFont="1" applyFill="1" applyBorder="1" applyAlignment="1">
      <alignment horizontal="center" vertical="center"/>
    </xf>
    <xf numFmtId="0" fontId="14" fillId="0" borderId="25" xfId="0" applyFont="1" applyBorder="1" applyAlignment="1">
      <alignment horizontal="center" vertical="center" wrapText="1"/>
    </xf>
    <xf numFmtId="0" fontId="18" fillId="0" borderId="0" xfId="0" applyFont="1" applyAlignment="1">
      <alignment horizontal="center" vertical="center"/>
    </xf>
    <xf numFmtId="0" fontId="14" fillId="0" borderId="21" xfId="0" applyFont="1" applyBorder="1" applyAlignment="1">
      <alignment horizontal="center" vertical="center"/>
    </xf>
    <xf numFmtId="37" fontId="59" fillId="0" borderId="0" xfId="0" applyNumberFormat="1" applyFont="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12" fillId="2" borderId="26" xfId="0" applyFont="1" applyFill="1" applyBorder="1" applyAlignment="1">
      <alignment horizontal="center" vertical="center"/>
    </xf>
    <xf numFmtId="165" fontId="14" fillId="0" borderId="25" xfId="1" applyNumberFormat="1" applyFont="1" applyBorder="1" applyAlignment="1">
      <alignment horizontal="center" vertical="center" wrapText="1"/>
    </xf>
    <xf numFmtId="165" fontId="14" fillId="0" borderId="21" xfId="1" applyNumberFormat="1" applyFont="1" applyBorder="1" applyAlignment="1">
      <alignment horizontal="center" vertical="center" wrapText="1"/>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4"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12" xfId="0" applyFont="1" applyBorder="1" applyAlignment="1">
      <alignment horizontal="center" vertical="center"/>
    </xf>
    <xf numFmtId="0" fontId="14" fillId="0" borderId="10" xfId="0" applyFont="1" applyBorder="1" applyAlignment="1">
      <alignment horizontal="center" vertical="center"/>
    </xf>
    <xf numFmtId="0" fontId="14" fillId="0" borderId="15" xfId="0" applyFont="1" applyBorder="1" applyAlignment="1">
      <alignment horizontal="center" vertical="center"/>
    </xf>
    <xf numFmtId="0" fontId="14" fillId="0" borderId="7" xfId="0" applyFont="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165" fontId="14" fillId="0" borderId="30" xfId="1" applyNumberFormat="1" applyFont="1" applyBorder="1" applyAlignment="1">
      <alignment horizontal="center" vertical="center"/>
    </xf>
    <xf numFmtId="165" fontId="14" fillId="0" borderId="28" xfId="1" applyNumberFormat="1" applyFont="1" applyBorder="1" applyAlignment="1">
      <alignment horizontal="center" vertical="center"/>
    </xf>
    <xf numFmtId="165" fontId="14" fillId="0" borderId="31" xfId="1" applyNumberFormat="1" applyFont="1" applyBorder="1" applyAlignment="1">
      <alignment horizontal="center" vertical="center"/>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41" fontId="2" fillId="2" borderId="0" xfId="0" applyNumberFormat="1" applyFont="1" applyFill="1" applyAlignment="1">
      <alignment horizontal="left" vertical="center" wrapText="1"/>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5" xfId="0" applyNumberFormat="1" applyFont="1" applyFill="1" applyBorder="1" applyAlignment="1">
      <alignment horizontal="left" vertical="center" wrapText="1"/>
    </xf>
    <xf numFmtId="37" fontId="59" fillId="0" borderId="0" xfId="0" applyNumberFormat="1" applyFont="1" applyAlignment="1">
      <alignment horizontal="center" vertical="center"/>
    </xf>
    <xf numFmtId="15" fontId="59" fillId="0" borderId="0" xfId="0" applyNumberFormat="1" applyFont="1" applyAlignment="1">
      <alignment horizontal="center" vertical="center"/>
    </xf>
    <xf numFmtId="41" fontId="62" fillId="0" borderId="10" xfId="0" applyNumberFormat="1" applyFont="1" applyBorder="1" applyAlignment="1">
      <alignment horizontal="center" vertical="center"/>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2" fillId="0" borderId="0" xfId="0" applyFont="1" applyAlignment="1">
      <alignment horizontal="left"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2" fontId="39" fillId="0" borderId="40" xfId="0" applyNumberFormat="1" applyFont="1" applyBorder="1" applyAlignment="1">
      <alignment horizontal="center" vertical="center" wrapText="1"/>
    </xf>
    <xf numFmtId="172"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xf numFmtId="0" fontId="63" fillId="0" borderId="0" xfId="0" applyFont="1" applyAlignment="1">
      <alignment vertical="center" wrapText="1"/>
    </xf>
    <xf numFmtId="0" fontId="4" fillId="0" borderId="0" xfId="0" applyFont="1" applyBorder="1" applyAlignment="1">
      <alignment horizontal="center" vertical="center"/>
    </xf>
  </cellXfs>
  <cellStyles count="18">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E4D8DE82-EA2B-4AB9-81CC-C92DABE49AD9}"/>
    <cellStyle name="쉼표 [0] 2 2" xfId="16" xr:uid="{3676CC42-D0C6-45D7-B7CA-2A05C1A5E724}"/>
    <cellStyle name="쉼표 [0] 3" xfId="14" xr:uid="{770116F7-CE89-4DAD-BAA4-B97E11B586D6}"/>
    <cellStyle name="쉼표 [0] 6" xfId="5" xr:uid="{00000000-0005-0000-0000-000003000000}"/>
    <cellStyle name="쉼표 [0] 6 2" xfId="13" xr:uid="{F48AFDC6-0F29-4474-B69B-EE790F0DE15C}"/>
    <cellStyle name="쉼표 [0] 6 2 2" xfId="17" xr:uid="{9D39B988-334E-4170-8533-F91A75159765}"/>
    <cellStyle name="쉼표 [0] 6 3" xfId="15" xr:uid="{6F0C511B-0A11-4824-B738-63E524973005}"/>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9.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xdr:from>
      <xdr:col>3</xdr:col>
      <xdr:colOff>1739667</xdr:colOff>
      <xdr:row>0</xdr:row>
      <xdr:rowOff>97482</xdr:rowOff>
    </xdr:from>
    <xdr:to>
      <xdr:col>17</xdr:col>
      <xdr:colOff>373617</xdr:colOff>
      <xdr:row>3</xdr:row>
      <xdr:rowOff>53340</xdr:rowOff>
    </xdr:to>
    <xdr:sp macro="" textlink="">
      <xdr:nvSpPr>
        <xdr:cNvPr id="2" name="TextBox 1">
          <a:extLst>
            <a:ext uri="{FF2B5EF4-FFF2-40B4-BE49-F238E27FC236}">
              <a16:creationId xmlns:a16="http://schemas.microsoft.com/office/drawing/2014/main" id="{FCEC92CC-2A44-4424-A596-D22041A868E4}"/>
            </a:ext>
          </a:extLst>
        </xdr:cNvPr>
        <xdr:cNvSpPr txBox="1"/>
      </xdr:nvSpPr>
      <xdr:spPr>
        <a:xfrm>
          <a:off x="4070117" y="97482"/>
          <a:ext cx="4787100" cy="451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1507001</xdr:colOff>
      <xdr:row>1</xdr:row>
      <xdr:rowOff>287179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247789</xdr:colOff>
      <xdr:row>1</xdr:row>
      <xdr:rowOff>96258</xdr:rowOff>
    </xdr:from>
    <xdr:to>
      <xdr:col>19</xdr:col>
      <xdr:colOff>569734</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4047133" y="215321"/>
          <a:ext cx="941070" cy="285105"/>
        </a:xfrm>
        <a:prstGeom prst="rect">
          <a:avLst/>
        </a:prstGeom>
      </xdr:spPr>
    </xdr:pic>
    <xdr:clientData/>
  </xdr:twoCellAnchor>
  <xdr:oneCellAnchor>
    <xdr:from>
      <xdr:col>19</xdr:col>
      <xdr:colOff>247789</xdr:colOff>
      <xdr:row>1</xdr:row>
      <xdr:rowOff>96258</xdr:rowOff>
    </xdr:from>
    <xdr:ext cx="978419" cy="288806"/>
    <xdr:pic>
      <xdr:nvPicPr>
        <xdr:cNvPr id="4" name="Picture 2">
          <a:extLst>
            <a:ext uri="{FF2B5EF4-FFF2-40B4-BE49-F238E27FC236}">
              <a16:creationId xmlns:a16="http://schemas.microsoft.com/office/drawing/2014/main" id="{D78010E3-34FB-1449-A293-D7E0063C3DAC}"/>
            </a:ext>
          </a:extLst>
        </xdr:cNvPr>
        <xdr:cNvPicPr>
          <a:picLocks noChangeAspect="1"/>
        </xdr:cNvPicPr>
      </xdr:nvPicPr>
      <xdr:blipFill>
        <a:blip xmlns:r="http://schemas.openxmlformats.org/officeDocument/2006/relationships" r:embed="rId2"/>
        <a:stretch>
          <a:fillRect/>
        </a:stretch>
      </xdr:blipFill>
      <xdr:spPr>
        <a:xfrm>
          <a:off x="15046050" y="212828"/>
          <a:ext cx="978419" cy="28880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286544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21</xdr:col>
      <xdr:colOff>1695481</xdr:colOff>
      <xdr:row>1</xdr:row>
      <xdr:rowOff>55880</xdr:rowOff>
    </xdr:from>
    <xdr:to>
      <xdr:col>22</xdr:col>
      <xdr:colOff>511396</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20447825" y="174943"/>
          <a:ext cx="953323" cy="3021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F1A88108-FFE7-43F5-A311-88A27A3F30C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42300404-FAB0-46AD-8D37-7D96C6FD646F}"/>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38</xdr:row>
      <xdr:rowOff>38100</xdr:rowOff>
    </xdr:from>
    <xdr:to>
      <xdr:col>9</xdr:col>
      <xdr:colOff>475267</xdr:colOff>
      <xdr:row>43</xdr:row>
      <xdr:rowOff>134194</xdr:rowOff>
    </xdr:to>
    <xdr:pic>
      <xdr:nvPicPr>
        <xdr:cNvPr id="4" name="그림 4">
          <a:extLst>
            <a:ext uri="{FF2B5EF4-FFF2-40B4-BE49-F238E27FC236}">
              <a16:creationId xmlns:a16="http://schemas.microsoft.com/office/drawing/2014/main" id="{C7049E1D-21E4-4399-BE43-4201EB96F7F6}"/>
            </a:ext>
          </a:extLst>
        </xdr:cNvPr>
        <xdr:cNvPicPr>
          <a:picLocks noChangeAspect="1"/>
        </xdr:cNvPicPr>
      </xdr:nvPicPr>
      <xdr:blipFill>
        <a:blip xmlns:r="http://schemas.openxmlformats.org/officeDocument/2006/relationships" r:embed="rId3"/>
        <a:stretch>
          <a:fillRect/>
        </a:stretch>
      </xdr:blipFill>
      <xdr:spPr>
        <a:xfrm>
          <a:off x="5597525" y="9810750"/>
          <a:ext cx="1824642" cy="98509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1739667</xdr:colOff>
      <xdr:row>0</xdr:row>
      <xdr:rowOff>97482</xdr:rowOff>
    </xdr:from>
    <xdr:to>
      <xdr:col>16</xdr:col>
      <xdr:colOff>373617</xdr:colOff>
      <xdr:row>3</xdr:row>
      <xdr:rowOff>53340</xdr:rowOff>
    </xdr:to>
    <xdr:sp macro="" textlink="">
      <xdr:nvSpPr>
        <xdr:cNvPr id="2" name="TextBox 1">
          <a:extLst>
            <a:ext uri="{FF2B5EF4-FFF2-40B4-BE49-F238E27FC236}">
              <a16:creationId xmlns:a16="http://schemas.microsoft.com/office/drawing/2014/main" id="{B6F82953-854B-4401-BE1B-2F142670F9A0}"/>
            </a:ext>
          </a:extLst>
        </xdr:cNvPr>
        <xdr:cNvSpPr txBox="1"/>
      </xdr:nvSpPr>
      <xdr:spPr>
        <a:xfrm>
          <a:off x="3955817" y="97482"/>
          <a:ext cx="4945850" cy="5464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1739667</xdr:colOff>
      <xdr:row>0</xdr:row>
      <xdr:rowOff>97482</xdr:rowOff>
    </xdr:from>
    <xdr:to>
      <xdr:col>8</xdr:col>
      <xdr:colOff>373617</xdr:colOff>
      <xdr:row>3</xdr:row>
      <xdr:rowOff>53340</xdr:rowOff>
    </xdr:to>
    <xdr:sp macro="" textlink="">
      <xdr:nvSpPr>
        <xdr:cNvPr id="2" name="TextBox 1">
          <a:extLst>
            <a:ext uri="{FF2B5EF4-FFF2-40B4-BE49-F238E27FC236}">
              <a16:creationId xmlns:a16="http://schemas.microsoft.com/office/drawing/2014/main" id="{3A005E8E-D065-42D1-93E3-011CED607EB4}"/>
            </a:ext>
          </a:extLst>
        </xdr:cNvPr>
        <xdr:cNvSpPr txBox="1"/>
      </xdr:nvSpPr>
      <xdr:spPr>
        <a:xfrm>
          <a:off x="3504967" y="97482"/>
          <a:ext cx="9505150" cy="451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38</xdr:row>
      <xdr:rowOff>38100</xdr:rowOff>
    </xdr:from>
    <xdr:to>
      <xdr:col>9</xdr:col>
      <xdr:colOff>475267</xdr:colOff>
      <xdr:row>43</xdr:row>
      <xdr:rowOff>134194</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1739667</xdr:colOff>
      <xdr:row>0</xdr:row>
      <xdr:rowOff>97482</xdr:rowOff>
    </xdr:from>
    <xdr:to>
      <xdr:col>8</xdr:col>
      <xdr:colOff>373617</xdr:colOff>
      <xdr:row>3</xdr:row>
      <xdr:rowOff>53340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4073292" y="97482"/>
          <a:ext cx="5949150" cy="470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1427626</xdr:colOff>
      <xdr:row>1</xdr:row>
      <xdr:rowOff>130334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817302</xdr:colOff>
      <xdr:row>1</xdr:row>
      <xdr:rowOff>207189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45723</xdr:rowOff>
    </xdr:from>
    <xdr:to>
      <xdr:col>9</xdr:col>
      <xdr:colOff>306819</xdr:colOff>
      <xdr:row>46</xdr:row>
      <xdr:rowOff>132666</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487504"/>
          <a:ext cx="1832724" cy="93562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72</xdr:row>
      <xdr:rowOff>0</xdr:rowOff>
    </xdr:from>
    <xdr:to>
      <xdr:col>5</xdr:col>
      <xdr:colOff>0</xdr:colOff>
      <xdr:row>72</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72</xdr:row>
      <xdr:rowOff>0</xdr:rowOff>
    </xdr:from>
    <xdr:to>
      <xdr:col>5</xdr:col>
      <xdr:colOff>0</xdr:colOff>
      <xdr:row>72</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72</xdr:row>
      <xdr:rowOff>0</xdr:rowOff>
    </xdr:from>
    <xdr:to>
      <xdr:col>5</xdr:col>
      <xdr:colOff>0</xdr:colOff>
      <xdr:row>72</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50</xdr:row>
      <xdr:rowOff>0</xdr:rowOff>
    </xdr:from>
    <xdr:to>
      <xdr:col>5</xdr:col>
      <xdr:colOff>0</xdr:colOff>
      <xdr:row>50</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83B98-4E31-483B-88C8-39CD1163B22D}">
  <sheetPr>
    <tabColor rgb="FFFFC000"/>
    <pageSetUpPr fitToPage="1"/>
  </sheetPr>
  <dimension ref="A4:AJ137"/>
  <sheetViews>
    <sheetView showGridLines="0" view="pageBreakPreview" zoomScale="85" zoomScaleNormal="86" zoomScaleSheetLayoutView="85" workbookViewId="0">
      <selection activeCell="AJ34" sqref="AJ34"/>
    </sheetView>
  </sheetViews>
  <sheetFormatPr defaultColWidth="8.76953125" defaultRowHeight="15"/>
  <cols>
    <col min="1" max="1" width="5.26171875" style="378" customWidth="1"/>
    <col min="2" max="3" width="23.85546875" style="378" customWidth="1"/>
    <col min="4" max="4" width="33.2109375" style="378" customWidth="1"/>
    <col min="5" max="5" width="25.375" style="378" hidden="1" customWidth="1"/>
    <col min="6" max="6" width="8.76953125" style="379" hidden="1" customWidth="1"/>
    <col min="7" max="7" width="12.86328125" style="378" customWidth="1"/>
    <col min="8" max="8" width="12.51171875" style="378" customWidth="1"/>
    <col min="9" max="9" width="9.35546875" style="379" customWidth="1"/>
    <col min="10" max="10" width="5.9609375" style="379" customWidth="1"/>
    <col min="11" max="11" width="11.80859375" style="379" customWidth="1"/>
    <col min="12" max="12" width="2.453125" style="379" hidden="1" customWidth="1"/>
    <col min="13" max="13" width="1.63671875" style="379" hidden="1" customWidth="1"/>
    <col min="14" max="14" width="2.1015625" style="379" hidden="1" customWidth="1"/>
    <col min="15" max="15" width="2.6875" style="379" hidden="1" customWidth="1"/>
    <col min="16" max="16" width="18.9453125" style="379" hidden="1" customWidth="1"/>
    <col min="17" max="17" width="7.71484375" style="380" hidden="1" customWidth="1"/>
    <col min="18" max="18" width="8.76953125" style="378" hidden="1" customWidth="1"/>
    <col min="19" max="19" width="11.4609375" style="378" hidden="1" customWidth="1"/>
    <col min="20" max="21" width="11.4609375" style="378" customWidth="1"/>
    <col min="22" max="22" width="33.2109375" style="378" customWidth="1"/>
    <col min="23" max="23" width="7.3671875" style="378" customWidth="1"/>
    <col min="24" max="24" width="9.703125" style="378" hidden="1" customWidth="1"/>
    <col min="25" max="26" width="9.5859375" style="378" hidden="1" customWidth="1"/>
    <col min="27" max="31" width="0" style="378" hidden="1" customWidth="1"/>
    <col min="32" max="32" width="40.34375" style="378" hidden="1" customWidth="1"/>
    <col min="33" max="33" width="10.40625" style="378" bestFit="1" customWidth="1"/>
    <col min="34" max="34" width="8.76953125" style="378"/>
    <col min="35" max="35" width="11.92578125" style="378" bestFit="1" customWidth="1"/>
    <col min="36" max="16384" width="8.76953125" style="378"/>
  </cols>
  <sheetData>
    <row r="4" spans="1:36">
      <c r="AE4" s="378">
        <v>1</v>
      </c>
      <c r="AF4" s="378">
        <v>15750</v>
      </c>
    </row>
    <row r="5" spans="1:36">
      <c r="A5" s="520" t="s">
        <v>157</v>
      </c>
      <c r="B5" s="520"/>
      <c r="C5" s="434"/>
      <c r="D5" s="382" t="str">
        <f>'Commercial Invoice'!H5</f>
        <v>OM4-DE-IS-0006</v>
      </c>
      <c r="E5" s="382"/>
      <c r="F5" s="381"/>
      <c r="G5" s="383"/>
      <c r="H5" s="382" t="s">
        <v>126</v>
      </c>
      <c r="I5" s="521"/>
      <c r="J5" s="521"/>
      <c r="K5" s="521"/>
      <c r="L5" s="521"/>
      <c r="M5" s="521"/>
      <c r="N5" s="521"/>
      <c r="O5" s="521"/>
      <c r="P5" s="521"/>
      <c r="Q5" s="521"/>
      <c r="R5" s="384"/>
      <c r="S5" s="385" t="str">
        <f>'Commercial Invoice'!G6</f>
        <v>DATE:</v>
      </c>
      <c r="T5" s="385"/>
      <c r="U5" s="385"/>
      <c r="V5" s="385">
        <v>46219</v>
      </c>
      <c r="W5" s="385"/>
      <c r="AE5" s="378">
        <v>2</v>
      </c>
      <c r="AF5" s="378">
        <v>9817.5</v>
      </c>
    </row>
    <row r="6" spans="1:36" ht="8.4499999999999993" customHeight="1">
      <c r="B6" s="381"/>
      <c r="C6" s="434"/>
      <c r="D6" s="381"/>
      <c r="E6" s="381"/>
      <c r="F6" s="381"/>
      <c r="AE6" s="378">
        <v>3</v>
      </c>
      <c r="AF6" s="378">
        <v>14280</v>
      </c>
    </row>
    <row r="7" spans="1:36" ht="47.45" customHeight="1">
      <c r="A7" s="386" t="s">
        <v>27</v>
      </c>
      <c r="B7" s="387" t="s">
        <v>28</v>
      </c>
      <c r="C7" s="387" t="s">
        <v>482</v>
      </c>
      <c r="D7" s="387" t="s">
        <v>18</v>
      </c>
      <c r="E7" s="388" t="s">
        <v>445</v>
      </c>
      <c r="F7" s="388" t="s">
        <v>446</v>
      </c>
      <c r="G7" s="386" t="s">
        <v>29</v>
      </c>
      <c r="H7" s="386" t="s">
        <v>30</v>
      </c>
      <c r="I7" s="387" t="s">
        <v>20</v>
      </c>
      <c r="J7" s="387" t="s">
        <v>19</v>
      </c>
      <c r="K7" s="389" t="s">
        <v>158</v>
      </c>
      <c r="L7" s="389"/>
      <c r="M7" s="389"/>
      <c r="N7" s="389"/>
      <c r="O7" s="389"/>
      <c r="P7" s="389"/>
      <c r="Q7" s="389" t="s">
        <v>158</v>
      </c>
      <c r="R7" s="386" t="s">
        <v>21</v>
      </c>
      <c r="S7" s="386" t="s">
        <v>22</v>
      </c>
      <c r="T7" s="386" t="s">
        <v>21</v>
      </c>
      <c r="U7" s="386" t="s">
        <v>22</v>
      </c>
      <c r="V7" s="386" t="s">
        <v>381</v>
      </c>
      <c r="W7" s="386" t="s">
        <v>324</v>
      </c>
      <c r="AE7" s="378">
        <v>4</v>
      </c>
      <c r="AF7" s="378">
        <v>12495.000000000002</v>
      </c>
    </row>
    <row r="8" spans="1:36" ht="26.45" customHeight="1">
      <c r="A8" s="386">
        <v>1</v>
      </c>
      <c r="B8" s="387" t="s">
        <v>286</v>
      </c>
      <c r="C8" s="387" t="s">
        <v>483</v>
      </c>
      <c r="D8" s="390" t="s">
        <v>177</v>
      </c>
      <c r="E8" s="391" t="s">
        <v>387</v>
      </c>
      <c r="F8" s="392" t="s">
        <v>438</v>
      </c>
      <c r="G8" s="386" t="s">
        <v>281</v>
      </c>
      <c r="H8" s="386" t="s">
        <v>282</v>
      </c>
      <c r="I8" s="387">
        <v>46</v>
      </c>
      <c r="J8" s="387" t="s">
        <v>188</v>
      </c>
      <c r="K8" s="389">
        <v>606.03</v>
      </c>
      <c r="L8" s="389" t="s">
        <v>382</v>
      </c>
      <c r="M8" s="389" t="s">
        <v>383</v>
      </c>
      <c r="N8" s="393" t="s">
        <v>384</v>
      </c>
      <c r="O8" s="389" t="s">
        <v>385</v>
      </c>
      <c r="P8" s="389" t="str">
        <f>CONCATENATE(L8,I8,J8,N8,K8,O8,M8)</f>
        <v>, (46SETS=606,03kg)</v>
      </c>
      <c r="Q8" s="389">
        <v>606.03174603174602</v>
      </c>
      <c r="R8" s="394">
        <v>68.31</v>
      </c>
      <c r="S8" s="389">
        <v>3142.11</v>
      </c>
      <c r="T8" s="394">
        <v>68.31</v>
      </c>
      <c r="U8" s="394">
        <v>3142.26</v>
      </c>
      <c r="V8" s="386" t="s">
        <v>189</v>
      </c>
      <c r="W8" s="386" t="s">
        <v>330</v>
      </c>
      <c r="AI8" s="395"/>
      <c r="AJ8" s="396"/>
    </row>
    <row r="9" spans="1:36" ht="26.45" customHeight="1">
      <c r="A9" s="386">
        <v>2</v>
      </c>
      <c r="B9" s="387" t="s">
        <v>286</v>
      </c>
      <c r="C9" s="387" t="s">
        <v>483</v>
      </c>
      <c r="D9" s="390" t="s">
        <v>177</v>
      </c>
      <c r="E9" s="391" t="s">
        <v>388</v>
      </c>
      <c r="F9" s="392" t="s">
        <v>438</v>
      </c>
      <c r="G9" s="386" t="s">
        <v>281</v>
      </c>
      <c r="H9" s="386" t="s">
        <v>282</v>
      </c>
      <c r="I9" s="387">
        <v>17</v>
      </c>
      <c r="J9" s="387" t="s">
        <v>188</v>
      </c>
      <c r="K9" s="389">
        <v>223.97</v>
      </c>
      <c r="L9" s="389" t="s">
        <v>382</v>
      </c>
      <c r="M9" s="389" t="s">
        <v>383</v>
      </c>
      <c r="N9" s="393" t="s">
        <v>384</v>
      </c>
      <c r="O9" s="389" t="s">
        <v>385</v>
      </c>
      <c r="P9" s="389" t="str">
        <f t="shared" ref="P9:P40" si="0">CONCATENATE(L9,I9,J9,N9,K9,O9,M9)</f>
        <v>, (17SETS=223,97kg)</v>
      </c>
      <c r="Q9" s="389">
        <v>223.96825396825395</v>
      </c>
      <c r="R9" s="394">
        <v>68.31</v>
      </c>
      <c r="S9" s="389">
        <v>1161.22</v>
      </c>
      <c r="T9" s="394">
        <v>68.31</v>
      </c>
      <c r="U9" s="394">
        <v>1161.27</v>
      </c>
      <c r="V9" s="386" t="s">
        <v>190</v>
      </c>
      <c r="W9" s="386" t="s">
        <v>330</v>
      </c>
    </row>
    <row r="10" spans="1:36" ht="26.45" customHeight="1">
      <c r="A10" s="386">
        <v>3</v>
      </c>
      <c r="B10" s="387" t="s">
        <v>287</v>
      </c>
      <c r="C10" s="387" t="s">
        <v>483</v>
      </c>
      <c r="D10" s="390" t="s">
        <v>177</v>
      </c>
      <c r="E10" s="391" t="s">
        <v>389</v>
      </c>
      <c r="F10" s="392" t="s">
        <v>438</v>
      </c>
      <c r="G10" s="386" t="s">
        <v>281</v>
      </c>
      <c r="H10" s="386" t="s">
        <v>282</v>
      </c>
      <c r="I10" s="387">
        <v>17</v>
      </c>
      <c r="J10" s="387" t="s">
        <v>188</v>
      </c>
      <c r="K10" s="389">
        <v>672.92</v>
      </c>
      <c r="L10" s="389" t="s">
        <v>382</v>
      </c>
      <c r="M10" s="389" t="s">
        <v>383</v>
      </c>
      <c r="N10" s="393" t="s">
        <v>384</v>
      </c>
      <c r="O10" s="389" t="s">
        <v>385</v>
      </c>
      <c r="P10" s="389" t="str">
        <f t="shared" si="0"/>
        <v>, (17SETS=672,92kg)</v>
      </c>
      <c r="Q10" s="389">
        <v>672.91666666666674</v>
      </c>
      <c r="R10" s="394">
        <v>205.23</v>
      </c>
      <c r="S10" s="389">
        <v>3488.89</v>
      </c>
      <c r="T10" s="394">
        <v>205.23</v>
      </c>
      <c r="U10" s="394">
        <v>3488.91</v>
      </c>
      <c r="V10" s="386" t="s">
        <v>192</v>
      </c>
      <c r="W10" s="386" t="s">
        <v>330</v>
      </c>
    </row>
    <row r="11" spans="1:36" ht="26.45" customHeight="1">
      <c r="A11" s="386">
        <v>4</v>
      </c>
      <c r="B11" s="387" t="s">
        <v>287</v>
      </c>
      <c r="C11" s="387" t="s">
        <v>483</v>
      </c>
      <c r="D11" s="390" t="s">
        <v>177</v>
      </c>
      <c r="E11" s="391" t="s">
        <v>390</v>
      </c>
      <c r="F11" s="392" t="s">
        <v>438</v>
      </c>
      <c r="G11" s="386" t="s">
        <v>281</v>
      </c>
      <c r="H11" s="386" t="s">
        <v>282</v>
      </c>
      <c r="I11" s="387">
        <v>7</v>
      </c>
      <c r="J11" s="387" t="s">
        <v>188</v>
      </c>
      <c r="K11" s="389">
        <v>277.08</v>
      </c>
      <c r="L11" s="389" t="s">
        <v>382</v>
      </c>
      <c r="M11" s="389" t="s">
        <v>383</v>
      </c>
      <c r="N11" s="393" t="s">
        <v>384</v>
      </c>
      <c r="O11" s="389" t="s">
        <v>385</v>
      </c>
      <c r="P11" s="389" t="str">
        <f t="shared" si="0"/>
        <v>, (7SETS=277,08kg)</v>
      </c>
      <c r="Q11" s="389">
        <v>277.08333333333337</v>
      </c>
      <c r="R11" s="394">
        <v>205.23</v>
      </c>
      <c r="S11" s="389">
        <v>1436.6</v>
      </c>
      <c r="T11" s="394">
        <v>205.23</v>
      </c>
      <c r="U11" s="394">
        <v>1436.61</v>
      </c>
      <c r="V11" s="386" t="s">
        <v>193</v>
      </c>
      <c r="W11" s="386" t="s">
        <v>330</v>
      </c>
    </row>
    <row r="12" spans="1:36" ht="26.45" customHeight="1">
      <c r="A12" s="386">
        <v>5</v>
      </c>
      <c r="B12" s="387" t="s">
        <v>288</v>
      </c>
      <c r="C12" s="387" t="s">
        <v>483</v>
      </c>
      <c r="D12" s="390" t="s">
        <v>177</v>
      </c>
      <c r="E12" s="391" t="s">
        <v>391</v>
      </c>
      <c r="F12" s="392" t="s">
        <v>438</v>
      </c>
      <c r="G12" s="386" t="s">
        <v>281</v>
      </c>
      <c r="H12" s="386" t="s">
        <v>282</v>
      </c>
      <c r="I12" s="387">
        <v>4</v>
      </c>
      <c r="J12" s="387" t="s">
        <v>188</v>
      </c>
      <c r="K12" s="389">
        <v>50.2</v>
      </c>
      <c r="L12" s="389" t="s">
        <v>382</v>
      </c>
      <c r="M12" s="389" t="s">
        <v>383</v>
      </c>
      <c r="N12" s="393" t="s">
        <v>384</v>
      </c>
      <c r="O12" s="389" t="s">
        <v>385</v>
      </c>
      <c r="P12" s="389" t="str">
        <f t="shared" si="0"/>
        <v>, (4SETS=50,2kg)</v>
      </c>
      <c r="Q12" s="389">
        <v>50.196078431372548</v>
      </c>
      <c r="R12" s="394">
        <v>65.06</v>
      </c>
      <c r="S12" s="389">
        <v>260.25</v>
      </c>
      <c r="T12" s="394">
        <v>65.06</v>
      </c>
      <c r="U12" s="394">
        <v>260.24</v>
      </c>
      <c r="V12" s="386" t="s">
        <v>194</v>
      </c>
      <c r="W12" s="386" t="s">
        <v>330</v>
      </c>
    </row>
    <row r="13" spans="1:36" ht="26.45" customHeight="1">
      <c r="A13" s="386">
        <v>6</v>
      </c>
      <c r="B13" s="387" t="s">
        <v>288</v>
      </c>
      <c r="C13" s="387" t="s">
        <v>483</v>
      </c>
      <c r="D13" s="390" t="s">
        <v>177</v>
      </c>
      <c r="E13" s="391" t="s">
        <v>392</v>
      </c>
      <c r="F13" s="392" t="s">
        <v>438</v>
      </c>
      <c r="G13" s="386" t="s">
        <v>281</v>
      </c>
      <c r="H13" s="386" t="s">
        <v>282</v>
      </c>
      <c r="I13" s="387">
        <v>5</v>
      </c>
      <c r="J13" s="387" t="s">
        <v>188</v>
      </c>
      <c r="K13" s="389">
        <v>62.75</v>
      </c>
      <c r="L13" s="389" t="s">
        <v>382</v>
      </c>
      <c r="M13" s="389" t="s">
        <v>383</v>
      </c>
      <c r="N13" s="393" t="s">
        <v>384</v>
      </c>
      <c r="O13" s="389" t="s">
        <v>385</v>
      </c>
      <c r="P13" s="389" t="str">
        <f t="shared" si="0"/>
        <v>, (5SETS=62,75kg)</v>
      </c>
      <c r="Q13" s="389">
        <v>62.745098039215684</v>
      </c>
      <c r="R13" s="394">
        <v>65.06</v>
      </c>
      <c r="S13" s="389">
        <v>325.32</v>
      </c>
      <c r="T13" s="394">
        <v>65.06</v>
      </c>
      <c r="U13" s="394">
        <v>325.3</v>
      </c>
      <c r="V13" s="386" t="s">
        <v>195</v>
      </c>
      <c r="W13" s="386" t="s">
        <v>330</v>
      </c>
    </row>
    <row r="14" spans="1:36" ht="26.45" customHeight="1">
      <c r="A14" s="386">
        <v>7</v>
      </c>
      <c r="B14" s="387" t="s">
        <v>288</v>
      </c>
      <c r="C14" s="387" t="s">
        <v>483</v>
      </c>
      <c r="D14" s="390" t="s">
        <v>351</v>
      </c>
      <c r="E14" s="391" t="s">
        <v>393</v>
      </c>
      <c r="F14" s="392" t="s">
        <v>438</v>
      </c>
      <c r="G14" s="386" t="s">
        <v>281</v>
      </c>
      <c r="H14" s="386" t="s">
        <v>282</v>
      </c>
      <c r="I14" s="387">
        <v>13</v>
      </c>
      <c r="J14" s="387" t="s">
        <v>188</v>
      </c>
      <c r="K14" s="389">
        <v>163.13999999999999</v>
      </c>
      <c r="L14" s="389" t="s">
        <v>382</v>
      </c>
      <c r="M14" s="389" t="s">
        <v>383</v>
      </c>
      <c r="N14" s="393" t="s">
        <v>384</v>
      </c>
      <c r="O14" s="389" t="s">
        <v>385</v>
      </c>
      <c r="P14" s="389" t="str">
        <f t="shared" si="0"/>
        <v>, (13SETS=163,14kg)</v>
      </c>
      <c r="Q14" s="389">
        <v>163.13725490196077</v>
      </c>
      <c r="R14" s="394">
        <v>65.06</v>
      </c>
      <c r="S14" s="389">
        <v>845.82</v>
      </c>
      <c r="T14" s="394">
        <v>65.06</v>
      </c>
      <c r="U14" s="394">
        <v>845.78</v>
      </c>
      <c r="V14" s="386" t="s">
        <v>196</v>
      </c>
      <c r="W14" s="386" t="s">
        <v>330</v>
      </c>
    </row>
    <row r="15" spans="1:36" ht="26.45" customHeight="1">
      <c r="A15" s="386">
        <v>8</v>
      </c>
      <c r="B15" s="387" t="s">
        <v>288</v>
      </c>
      <c r="C15" s="387" t="s">
        <v>483</v>
      </c>
      <c r="D15" s="390" t="s">
        <v>351</v>
      </c>
      <c r="E15" s="391" t="s">
        <v>394</v>
      </c>
      <c r="F15" s="392" t="s">
        <v>438</v>
      </c>
      <c r="G15" s="386" t="s">
        <v>281</v>
      </c>
      <c r="H15" s="386" t="s">
        <v>282</v>
      </c>
      <c r="I15" s="387">
        <v>19</v>
      </c>
      <c r="J15" s="387" t="s">
        <v>188</v>
      </c>
      <c r="K15" s="389">
        <v>238.43</v>
      </c>
      <c r="L15" s="389" t="s">
        <v>382</v>
      </c>
      <c r="M15" s="389" t="s">
        <v>383</v>
      </c>
      <c r="N15" s="393" t="s">
        <v>384</v>
      </c>
      <c r="O15" s="389" t="s">
        <v>385</v>
      </c>
      <c r="P15" s="389" t="str">
        <f t="shared" si="0"/>
        <v>, (19SETS=238,43kg)</v>
      </c>
      <c r="Q15" s="389">
        <v>238.43137254901961</v>
      </c>
      <c r="R15" s="394">
        <v>65.06</v>
      </c>
      <c r="S15" s="389">
        <v>1236.2</v>
      </c>
      <c r="T15" s="394">
        <v>65.06</v>
      </c>
      <c r="U15" s="394">
        <v>1236.1400000000001</v>
      </c>
      <c r="V15" s="386" t="s">
        <v>197</v>
      </c>
      <c r="W15" s="386" t="s">
        <v>330</v>
      </c>
    </row>
    <row r="16" spans="1:36" ht="26.45" customHeight="1">
      <c r="A16" s="386">
        <v>9</v>
      </c>
      <c r="B16" s="387" t="s">
        <v>288</v>
      </c>
      <c r="C16" s="387" t="s">
        <v>483</v>
      </c>
      <c r="D16" s="390" t="s">
        <v>351</v>
      </c>
      <c r="E16" s="391" t="s">
        <v>395</v>
      </c>
      <c r="F16" s="392" t="s">
        <v>438</v>
      </c>
      <c r="G16" s="386" t="s">
        <v>281</v>
      </c>
      <c r="H16" s="386" t="s">
        <v>282</v>
      </c>
      <c r="I16" s="387">
        <v>10</v>
      </c>
      <c r="J16" s="387" t="s">
        <v>188</v>
      </c>
      <c r="K16" s="389">
        <v>125.49</v>
      </c>
      <c r="L16" s="389" t="s">
        <v>382</v>
      </c>
      <c r="M16" s="389" t="s">
        <v>383</v>
      </c>
      <c r="N16" s="393" t="s">
        <v>384</v>
      </c>
      <c r="O16" s="389" t="s">
        <v>385</v>
      </c>
      <c r="P16" s="389" t="str">
        <f t="shared" si="0"/>
        <v>, (10SETS=125,49kg)</v>
      </c>
      <c r="Q16" s="389">
        <v>125.49019607843137</v>
      </c>
      <c r="R16" s="394">
        <v>65.06</v>
      </c>
      <c r="S16" s="389">
        <v>650.63</v>
      </c>
      <c r="T16" s="422">
        <v>65.061000000000007</v>
      </c>
      <c r="U16" s="394">
        <v>650.61</v>
      </c>
      <c r="V16" s="386" t="s">
        <v>198</v>
      </c>
      <c r="W16" s="386" t="s">
        <v>330</v>
      </c>
    </row>
    <row r="17" spans="1:23" ht="26.45" customHeight="1">
      <c r="A17" s="386">
        <v>10</v>
      </c>
      <c r="B17" s="387" t="s">
        <v>289</v>
      </c>
      <c r="C17" s="387" t="s">
        <v>483</v>
      </c>
      <c r="D17" s="390" t="s">
        <v>351</v>
      </c>
      <c r="E17" s="391" t="s">
        <v>396</v>
      </c>
      <c r="F17" s="392" t="s">
        <v>438</v>
      </c>
      <c r="G17" s="386" t="s">
        <v>281</v>
      </c>
      <c r="H17" s="386" t="s">
        <v>282</v>
      </c>
      <c r="I17" s="387">
        <v>38</v>
      </c>
      <c r="J17" s="387" t="s">
        <v>188</v>
      </c>
      <c r="K17" s="389">
        <v>639.51</v>
      </c>
      <c r="L17" s="389" t="s">
        <v>382</v>
      </c>
      <c r="M17" s="389" t="s">
        <v>383</v>
      </c>
      <c r="N17" s="393" t="s">
        <v>384</v>
      </c>
      <c r="O17" s="389" t="s">
        <v>385</v>
      </c>
      <c r="P17" s="389" t="str">
        <f t="shared" si="0"/>
        <v>, (38SETS=639,51kg)</v>
      </c>
      <c r="Q17" s="389">
        <v>639.51219512195121</v>
      </c>
      <c r="R17" s="394">
        <v>87.26</v>
      </c>
      <c r="S17" s="389">
        <v>3315.7</v>
      </c>
      <c r="T17" s="394">
        <v>87.26</v>
      </c>
      <c r="U17" s="394">
        <v>3315.88</v>
      </c>
      <c r="V17" s="386" t="s">
        <v>199</v>
      </c>
      <c r="W17" s="386" t="s">
        <v>330</v>
      </c>
    </row>
    <row r="18" spans="1:23" ht="26.45" customHeight="1">
      <c r="A18" s="386">
        <v>11</v>
      </c>
      <c r="B18" s="387" t="s">
        <v>289</v>
      </c>
      <c r="C18" s="387" t="s">
        <v>483</v>
      </c>
      <c r="D18" s="390" t="s">
        <v>351</v>
      </c>
      <c r="E18" s="391" t="s">
        <v>397</v>
      </c>
      <c r="F18" s="392" t="s">
        <v>438</v>
      </c>
      <c r="G18" s="386" t="s">
        <v>281</v>
      </c>
      <c r="H18" s="386" t="s">
        <v>282</v>
      </c>
      <c r="I18" s="387">
        <v>3</v>
      </c>
      <c r="J18" s="387" t="s">
        <v>188</v>
      </c>
      <c r="K18" s="389">
        <v>50.49</v>
      </c>
      <c r="L18" s="389" t="s">
        <v>382</v>
      </c>
      <c r="M18" s="389" t="s">
        <v>383</v>
      </c>
      <c r="N18" s="393" t="s">
        <v>384</v>
      </c>
      <c r="O18" s="389" t="s">
        <v>385</v>
      </c>
      <c r="P18" s="389" t="str">
        <f t="shared" si="0"/>
        <v>, (3SETS=50,49kg)</v>
      </c>
      <c r="Q18" s="389">
        <v>50.487804878048777</v>
      </c>
      <c r="R18" s="394">
        <v>87.26</v>
      </c>
      <c r="S18" s="389">
        <v>261.77</v>
      </c>
      <c r="T18" s="394">
        <v>87</v>
      </c>
      <c r="U18" s="394">
        <v>261</v>
      </c>
      <c r="V18" s="386" t="s">
        <v>200</v>
      </c>
      <c r="W18" s="386" t="s">
        <v>330</v>
      </c>
    </row>
    <row r="19" spans="1:23" ht="26.45" customHeight="1">
      <c r="A19" s="386">
        <v>12</v>
      </c>
      <c r="B19" s="387" t="s">
        <v>290</v>
      </c>
      <c r="C19" s="387" t="s">
        <v>483</v>
      </c>
      <c r="D19" s="390" t="s">
        <v>177</v>
      </c>
      <c r="E19" s="391" t="s">
        <v>398</v>
      </c>
      <c r="F19" s="392" t="s">
        <v>438</v>
      </c>
      <c r="G19" s="386" t="s">
        <v>281</v>
      </c>
      <c r="H19" s="386" t="s">
        <v>282</v>
      </c>
      <c r="I19" s="387">
        <v>29</v>
      </c>
      <c r="J19" s="387" t="s">
        <v>188</v>
      </c>
      <c r="K19" s="389">
        <v>470</v>
      </c>
      <c r="L19" s="389" t="s">
        <v>382</v>
      </c>
      <c r="M19" s="389" t="s">
        <v>383</v>
      </c>
      <c r="N19" s="393" t="s">
        <v>384</v>
      </c>
      <c r="O19" s="389" t="s">
        <v>385</v>
      </c>
      <c r="P19" s="389" t="str">
        <f t="shared" si="0"/>
        <v>, (29SETS=470kg)</v>
      </c>
      <c r="Q19" s="389">
        <v>470</v>
      </c>
      <c r="R19" s="394">
        <v>84.03</v>
      </c>
      <c r="S19" s="389">
        <v>2436.8200000000002</v>
      </c>
      <c r="T19" s="394">
        <v>84.03</v>
      </c>
      <c r="U19" s="394">
        <v>2436.87</v>
      </c>
      <c r="V19" s="386" t="s">
        <v>201</v>
      </c>
      <c r="W19" s="386" t="s">
        <v>330</v>
      </c>
    </row>
    <row r="20" spans="1:23" ht="26.45" customHeight="1">
      <c r="A20" s="386">
        <v>13</v>
      </c>
      <c r="B20" s="387" t="s">
        <v>291</v>
      </c>
      <c r="C20" s="387" t="s">
        <v>483</v>
      </c>
      <c r="D20" s="390" t="s">
        <v>177</v>
      </c>
      <c r="E20" s="391" t="s">
        <v>399</v>
      </c>
      <c r="F20" s="392" t="s">
        <v>438</v>
      </c>
      <c r="G20" s="386" t="s">
        <v>281</v>
      </c>
      <c r="H20" s="386" t="s">
        <v>282</v>
      </c>
      <c r="I20" s="387">
        <v>6</v>
      </c>
      <c r="J20" s="387" t="s">
        <v>188</v>
      </c>
      <c r="K20" s="389">
        <v>37.89</v>
      </c>
      <c r="L20" s="389" t="s">
        <v>382</v>
      </c>
      <c r="M20" s="389" t="s">
        <v>383</v>
      </c>
      <c r="N20" s="393" t="s">
        <v>384</v>
      </c>
      <c r="O20" s="389" t="s">
        <v>385</v>
      </c>
      <c r="P20" s="389" t="str">
        <f t="shared" si="0"/>
        <v>, (6SETS=37,89kg)</v>
      </c>
      <c r="Q20" s="389">
        <v>37.89473684210526</v>
      </c>
      <c r="R20" s="394">
        <v>32.75</v>
      </c>
      <c r="S20" s="389">
        <v>196.47</v>
      </c>
      <c r="T20" s="394">
        <v>32.75</v>
      </c>
      <c r="U20" s="394">
        <v>196.5</v>
      </c>
      <c r="V20" s="386" t="s">
        <v>202</v>
      </c>
      <c r="W20" s="386" t="s">
        <v>330</v>
      </c>
    </row>
    <row r="21" spans="1:23" ht="26.45" customHeight="1">
      <c r="A21" s="386">
        <v>14</v>
      </c>
      <c r="B21" s="387" t="s">
        <v>291</v>
      </c>
      <c r="C21" s="387" t="s">
        <v>483</v>
      </c>
      <c r="D21" s="390" t="s">
        <v>177</v>
      </c>
      <c r="E21" s="391" t="s">
        <v>400</v>
      </c>
      <c r="F21" s="392" t="s">
        <v>438</v>
      </c>
      <c r="G21" s="386" t="s">
        <v>281</v>
      </c>
      <c r="H21" s="386" t="s">
        <v>282</v>
      </c>
      <c r="I21" s="387">
        <v>10</v>
      </c>
      <c r="J21" s="387" t="s">
        <v>188</v>
      </c>
      <c r="K21" s="389">
        <v>63.16</v>
      </c>
      <c r="L21" s="389" t="s">
        <v>382</v>
      </c>
      <c r="M21" s="389" t="s">
        <v>383</v>
      </c>
      <c r="N21" s="393" t="s">
        <v>384</v>
      </c>
      <c r="O21" s="389" t="s">
        <v>385</v>
      </c>
      <c r="P21" s="389" t="str">
        <f t="shared" si="0"/>
        <v>, (10SETS=63,16kg)</v>
      </c>
      <c r="Q21" s="389">
        <v>63.15789473684211</v>
      </c>
      <c r="R21" s="394">
        <v>32.75</v>
      </c>
      <c r="S21" s="389">
        <v>327.45999999999998</v>
      </c>
      <c r="T21" s="394">
        <v>32.75</v>
      </c>
      <c r="U21" s="394">
        <v>327.5</v>
      </c>
      <c r="V21" s="386" t="s">
        <v>203</v>
      </c>
      <c r="W21" s="386" t="s">
        <v>330</v>
      </c>
    </row>
    <row r="22" spans="1:23" ht="26.45" customHeight="1">
      <c r="A22" s="386">
        <v>15</v>
      </c>
      <c r="B22" s="387" t="s">
        <v>291</v>
      </c>
      <c r="C22" s="387" t="s">
        <v>483</v>
      </c>
      <c r="D22" s="390" t="s">
        <v>177</v>
      </c>
      <c r="E22" s="391" t="s">
        <v>401</v>
      </c>
      <c r="F22" s="392" t="s">
        <v>438</v>
      </c>
      <c r="G22" s="386" t="s">
        <v>281</v>
      </c>
      <c r="H22" s="386" t="s">
        <v>282</v>
      </c>
      <c r="I22" s="387">
        <v>22</v>
      </c>
      <c r="J22" s="387" t="s">
        <v>188</v>
      </c>
      <c r="K22" s="389">
        <v>138.94999999999999</v>
      </c>
      <c r="L22" s="389" t="s">
        <v>382</v>
      </c>
      <c r="M22" s="389" t="s">
        <v>383</v>
      </c>
      <c r="N22" s="393" t="s">
        <v>384</v>
      </c>
      <c r="O22" s="389" t="s">
        <v>385</v>
      </c>
      <c r="P22" s="389" t="str">
        <f t="shared" si="0"/>
        <v>, (22SETS=138,95kg)</v>
      </c>
      <c r="Q22" s="389">
        <v>138.94736842105263</v>
      </c>
      <c r="R22" s="394">
        <v>32.75</v>
      </c>
      <c r="S22" s="389">
        <v>720.4</v>
      </c>
      <c r="T22" s="394">
        <v>32.75</v>
      </c>
      <c r="U22" s="394">
        <v>720.5</v>
      </c>
      <c r="V22" s="386" t="s">
        <v>204</v>
      </c>
      <c r="W22" s="386" t="s">
        <v>330</v>
      </c>
    </row>
    <row r="23" spans="1:23" ht="26.45" customHeight="1">
      <c r="A23" s="386">
        <v>16</v>
      </c>
      <c r="B23" s="387" t="s">
        <v>292</v>
      </c>
      <c r="C23" s="387" t="s">
        <v>483</v>
      </c>
      <c r="D23" s="390" t="s">
        <v>177</v>
      </c>
      <c r="E23" s="391" t="s">
        <v>402</v>
      </c>
      <c r="F23" s="392" t="s">
        <v>438</v>
      </c>
      <c r="G23" s="386" t="s">
        <v>281</v>
      </c>
      <c r="H23" s="386" t="s">
        <v>282</v>
      </c>
      <c r="I23" s="387">
        <v>32</v>
      </c>
      <c r="J23" s="387" t="s">
        <v>188</v>
      </c>
      <c r="K23" s="389">
        <v>1580</v>
      </c>
      <c r="L23" s="389" t="s">
        <v>382</v>
      </c>
      <c r="M23" s="389" t="s">
        <v>383</v>
      </c>
      <c r="N23" s="393" t="s">
        <v>384</v>
      </c>
      <c r="O23" s="389" t="s">
        <v>385</v>
      </c>
      <c r="P23" s="389" t="str">
        <f t="shared" si="0"/>
        <v>, (32SETS=1580kg)</v>
      </c>
      <c r="Q23" s="389">
        <v>1580</v>
      </c>
      <c r="R23" s="394">
        <v>256</v>
      </c>
      <c r="S23" s="389">
        <v>8191.88</v>
      </c>
      <c r="T23" s="394">
        <v>256</v>
      </c>
      <c r="U23" s="394">
        <v>8192</v>
      </c>
      <c r="V23" s="386" t="s">
        <v>205</v>
      </c>
      <c r="W23" s="386" t="s">
        <v>330</v>
      </c>
    </row>
    <row r="24" spans="1:23" ht="26.45" customHeight="1">
      <c r="A24" s="386">
        <v>17</v>
      </c>
      <c r="B24" s="387" t="s">
        <v>293</v>
      </c>
      <c r="C24" s="387" t="s">
        <v>483</v>
      </c>
      <c r="D24" s="390" t="s">
        <v>351</v>
      </c>
      <c r="E24" s="391" t="s">
        <v>403</v>
      </c>
      <c r="F24" s="392" t="s">
        <v>438</v>
      </c>
      <c r="G24" s="386" t="s">
        <v>281</v>
      </c>
      <c r="H24" s="386" t="s">
        <v>282</v>
      </c>
      <c r="I24" s="387">
        <v>32</v>
      </c>
      <c r="J24" s="387" t="s">
        <v>188</v>
      </c>
      <c r="K24" s="389">
        <v>1080</v>
      </c>
      <c r="L24" s="389" t="s">
        <v>382</v>
      </c>
      <c r="M24" s="389" t="s">
        <v>383</v>
      </c>
      <c r="N24" s="393" t="s">
        <v>384</v>
      </c>
      <c r="O24" s="389" t="s">
        <v>385</v>
      </c>
      <c r="P24" s="389" t="str">
        <f t="shared" si="0"/>
        <v>, (32SETS=1080kg)</v>
      </c>
      <c r="Q24" s="389">
        <v>1080</v>
      </c>
      <c r="R24" s="394">
        <v>174.98</v>
      </c>
      <c r="S24" s="389">
        <v>5599.51</v>
      </c>
      <c r="T24" s="394">
        <v>174.98</v>
      </c>
      <c r="U24" s="394">
        <v>5599.36</v>
      </c>
      <c r="V24" s="386" t="s">
        <v>206</v>
      </c>
      <c r="W24" s="386" t="s">
        <v>330</v>
      </c>
    </row>
    <row r="25" spans="1:23" ht="26.45" customHeight="1">
      <c r="A25" s="386">
        <v>18</v>
      </c>
      <c r="B25" s="387" t="s">
        <v>294</v>
      </c>
      <c r="C25" s="387" t="s">
        <v>483</v>
      </c>
      <c r="D25" s="390" t="s">
        <v>177</v>
      </c>
      <c r="E25" s="391" t="s">
        <v>404</v>
      </c>
      <c r="F25" s="392" t="s">
        <v>438</v>
      </c>
      <c r="G25" s="386" t="s">
        <v>281</v>
      </c>
      <c r="H25" s="386" t="s">
        <v>282</v>
      </c>
      <c r="I25" s="387">
        <v>32</v>
      </c>
      <c r="J25" s="387" t="s">
        <v>188</v>
      </c>
      <c r="K25" s="389">
        <v>1580</v>
      </c>
      <c r="L25" s="389" t="s">
        <v>382</v>
      </c>
      <c r="M25" s="389" t="s">
        <v>383</v>
      </c>
      <c r="N25" s="393" t="s">
        <v>384</v>
      </c>
      <c r="O25" s="389" t="s">
        <v>385</v>
      </c>
      <c r="P25" s="389" t="str">
        <f t="shared" si="0"/>
        <v>, (32SETS=1580kg)</v>
      </c>
      <c r="Q25" s="389">
        <v>1580</v>
      </c>
      <c r="R25" s="394">
        <v>256</v>
      </c>
      <c r="S25" s="389">
        <v>8191.88</v>
      </c>
      <c r="T25" s="394">
        <v>256</v>
      </c>
      <c r="U25" s="394">
        <v>8192</v>
      </c>
      <c r="V25" s="386" t="s">
        <v>192</v>
      </c>
      <c r="W25" s="386" t="s">
        <v>330</v>
      </c>
    </row>
    <row r="26" spans="1:23" ht="26.45" customHeight="1">
      <c r="A26" s="386">
        <v>19</v>
      </c>
      <c r="B26" s="387" t="s">
        <v>295</v>
      </c>
      <c r="C26" s="387" t="s">
        <v>483</v>
      </c>
      <c r="D26" s="390" t="s">
        <v>177</v>
      </c>
      <c r="E26" s="391" t="s">
        <v>405</v>
      </c>
      <c r="F26" s="392" t="s">
        <v>438</v>
      </c>
      <c r="G26" s="386" t="s">
        <v>281</v>
      </c>
      <c r="H26" s="386" t="s">
        <v>282</v>
      </c>
      <c r="I26" s="387">
        <v>25</v>
      </c>
      <c r="J26" s="387" t="s">
        <v>188</v>
      </c>
      <c r="K26" s="389">
        <v>1120.69</v>
      </c>
      <c r="L26" s="389" t="s">
        <v>382</v>
      </c>
      <c r="M26" s="389" t="s">
        <v>383</v>
      </c>
      <c r="N26" s="393" t="s">
        <v>384</v>
      </c>
      <c r="O26" s="389" t="s">
        <v>385</v>
      </c>
      <c r="P26" s="389" t="str">
        <f t="shared" si="0"/>
        <v>, (25SETS=1120,69kg)</v>
      </c>
      <c r="Q26" s="389">
        <v>1120.6896551724139</v>
      </c>
      <c r="R26" s="394">
        <v>232.42</v>
      </c>
      <c r="S26" s="389">
        <v>5810.48</v>
      </c>
      <c r="T26" s="394">
        <v>232.42</v>
      </c>
      <c r="U26" s="394">
        <v>5810.5</v>
      </c>
      <c r="V26" s="386" t="s">
        <v>207</v>
      </c>
      <c r="W26" s="386" t="s">
        <v>330</v>
      </c>
    </row>
    <row r="27" spans="1:23" ht="26.45" customHeight="1">
      <c r="A27" s="386">
        <v>20</v>
      </c>
      <c r="B27" s="387" t="s">
        <v>295</v>
      </c>
      <c r="C27" s="387" t="s">
        <v>483</v>
      </c>
      <c r="D27" s="390" t="s">
        <v>177</v>
      </c>
      <c r="E27" s="391" t="s">
        <v>406</v>
      </c>
      <c r="F27" s="392" t="s">
        <v>438</v>
      </c>
      <c r="G27" s="386" t="s">
        <v>281</v>
      </c>
      <c r="H27" s="386" t="s">
        <v>282</v>
      </c>
      <c r="I27" s="387">
        <v>4</v>
      </c>
      <c r="J27" s="387" t="s">
        <v>188</v>
      </c>
      <c r="K27" s="389">
        <v>179.31</v>
      </c>
      <c r="L27" s="389" t="s">
        <v>382</v>
      </c>
      <c r="M27" s="389" t="s">
        <v>383</v>
      </c>
      <c r="N27" s="393" t="s">
        <v>384</v>
      </c>
      <c r="O27" s="389" t="s">
        <v>385</v>
      </c>
      <c r="P27" s="389" t="str">
        <f t="shared" si="0"/>
        <v>, (4SETS=179,31kg)</v>
      </c>
      <c r="Q27" s="389">
        <v>179.31034482758622</v>
      </c>
      <c r="R27" s="394">
        <v>232.42</v>
      </c>
      <c r="S27" s="389">
        <v>929.68</v>
      </c>
      <c r="T27" s="394">
        <v>232.42</v>
      </c>
      <c r="U27" s="394">
        <v>929.68</v>
      </c>
      <c r="V27" s="386" t="s">
        <v>208</v>
      </c>
      <c r="W27" s="386" t="s">
        <v>330</v>
      </c>
    </row>
    <row r="28" spans="1:23" ht="26.45" customHeight="1">
      <c r="A28" s="386">
        <v>21</v>
      </c>
      <c r="B28" s="387" t="s">
        <v>296</v>
      </c>
      <c r="C28" s="387" t="s">
        <v>483</v>
      </c>
      <c r="D28" s="390" t="s">
        <v>177</v>
      </c>
      <c r="E28" s="391" t="s">
        <v>407</v>
      </c>
      <c r="F28" s="392" t="s">
        <v>438</v>
      </c>
      <c r="G28" s="386" t="s">
        <v>281</v>
      </c>
      <c r="H28" s="386" t="s">
        <v>282</v>
      </c>
      <c r="I28" s="387">
        <v>17</v>
      </c>
      <c r="J28" s="387" t="s">
        <v>188</v>
      </c>
      <c r="K28" s="389">
        <v>595</v>
      </c>
      <c r="L28" s="389" t="s">
        <v>382</v>
      </c>
      <c r="M28" s="389" t="s">
        <v>383</v>
      </c>
      <c r="N28" s="393" t="s">
        <v>384</v>
      </c>
      <c r="O28" s="389" t="s">
        <v>385</v>
      </c>
      <c r="P28" s="389" t="str">
        <f t="shared" si="0"/>
        <v>, (17SETS=595kg)</v>
      </c>
      <c r="Q28" s="389">
        <v>595</v>
      </c>
      <c r="R28" s="394">
        <v>181.47</v>
      </c>
      <c r="S28" s="389">
        <v>3084.92</v>
      </c>
      <c r="T28" s="394">
        <v>181.47</v>
      </c>
      <c r="U28" s="394">
        <v>3084.99</v>
      </c>
      <c r="V28" s="386" t="s">
        <v>209</v>
      </c>
      <c r="W28" s="386" t="s">
        <v>330</v>
      </c>
    </row>
    <row r="29" spans="1:23" ht="26.45" customHeight="1">
      <c r="A29" s="386">
        <v>22</v>
      </c>
      <c r="B29" s="387" t="s">
        <v>296</v>
      </c>
      <c r="C29" s="387" t="s">
        <v>483</v>
      </c>
      <c r="D29" s="390" t="s">
        <v>177</v>
      </c>
      <c r="E29" s="391" t="s">
        <v>408</v>
      </c>
      <c r="F29" s="392" t="s">
        <v>438</v>
      </c>
      <c r="G29" s="386" t="s">
        <v>281</v>
      </c>
      <c r="H29" s="386" t="s">
        <v>282</v>
      </c>
      <c r="I29" s="387">
        <v>13</v>
      </c>
      <c r="J29" s="387" t="s">
        <v>188</v>
      </c>
      <c r="K29" s="389">
        <v>455</v>
      </c>
      <c r="L29" s="389" t="s">
        <v>382</v>
      </c>
      <c r="M29" s="389" t="s">
        <v>383</v>
      </c>
      <c r="N29" s="393" t="s">
        <v>384</v>
      </c>
      <c r="O29" s="389" t="s">
        <v>385</v>
      </c>
      <c r="P29" s="389" t="str">
        <f t="shared" si="0"/>
        <v>, (13SETS=455kg)</v>
      </c>
      <c r="Q29" s="389">
        <v>455</v>
      </c>
      <c r="R29" s="394">
        <v>181.47</v>
      </c>
      <c r="S29" s="389">
        <v>2359.0500000000002</v>
      </c>
      <c r="T29" s="394">
        <v>181.47</v>
      </c>
      <c r="U29" s="394">
        <v>2359.11</v>
      </c>
      <c r="V29" s="386" t="s">
        <v>210</v>
      </c>
      <c r="W29" s="386" t="s">
        <v>330</v>
      </c>
    </row>
    <row r="30" spans="1:23" ht="26.45" customHeight="1">
      <c r="A30" s="386">
        <v>23</v>
      </c>
      <c r="B30" s="387" t="s">
        <v>297</v>
      </c>
      <c r="C30" s="387" t="s">
        <v>483</v>
      </c>
      <c r="D30" s="390" t="s">
        <v>351</v>
      </c>
      <c r="E30" s="391" t="s">
        <v>409</v>
      </c>
      <c r="F30" s="392" t="s">
        <v>438</v>
      </c>
      <c r="G30" s="386" t="s">
        <v>281</v>
      </c>
      <c r="H30" s="386" t="s">
        <v>282</v>
      </c>
      <c r="I30" s="387">
        <v>34</v>
      </c>
      <c r="J30" s="387" t="s">
        <v>188</v>
      </c>
      <c r="K30" s="389">
        <v>1150</v>
      </c>
      <c r="L30" s="389" t="s">
        <v>382</v>
      </c>
      <c r="M30" s="389" t="s">
        <v>383</v>
      </c>
      <c r="N30" s="393" t="s">
        <v>384</v>
      </c>
      <c r="O30" s="389" t="s">
        <v>385</v>
      </c>
      <c r="P30" s="389" t="str">
        <f t="shared" si="0"/>
        <v>, (34SETS=1150kg)</v>
      </c>
      <c r="Q30" s="389">
        <v>1150</v>
      </c>
      <c r="R30" s="394">
        <f>ROUND(S30/I30,2)</f>
        <v>197.74</v>
      </c>
      <c r="S30" s="389">
        <v>6723.28</v>
      </c>
      <c r="T30" s="394">
        <v>197.74</v>
      </c>
      <c r="U30" s="394">
        <v>6723.16</v>
      </c>
      <c r="V30" s="386" t="s">
        <v>206</v>
      </c>
      <c r="W30" s="386" t="s">
        <v>330</v>
      </c>
    </row>
    <row r="31" spans="1:23" ht="26.45" customHeight="1">
      <c r="A31" s="386">
        <v>24</v>
      </c>
      <c r="B31" s="387" t="s">
        <v>298</v>
      </c>
      <c r="C31" s="387" t="s">
        <v>483</v>
      </c>
      <c r="D31" s="390" t="s">
        <v>351</v>
      </c>
      <c r="E31" s="391" t="s">
        <v>410</v>
      </c>
      <c r="F31" s="392" t="s">
        <v>438</v>
      </c>
      <c r="G31" s="386" t="s">
        <v>281</v>
      </c>
      <c r="H31" s="386" t="s">
        <v>282</v>
      </c>
      <c r="I31" s="387">
        <v>35</v>
      </c>
      <c r="J31" s="387" t="s">
        <v>188</v>
      </c>
      <c r="K31" s="389">
        <v>1730</v>
      </c>
      <c r="L31" s="389" t="s">
        <v>382</v>
      </c>
      <c r="M31" s="389" t="s">
        <v>383</v>
      </c>
      <c r="N31" s="393" t="s">
        <v>384</v>
      </c>
      <c r="O31" s="389" t="s">
        <v>385</v>
      </c>
      <c r="P31" s="389" t="str">
        <f t="shared" si="0"/>
        <v>, (35SETS=1730kg)</v>
      </c>
      <c r="Q31" s="389">
        <v>1730</v>
      </c>
      <c r="R31" s="394">
        <v>256.27</v>
      </c>
      <c r="S31" s="389">
        <v>8969.59</v>
      </c>
      <c r="T31" s="394">
        <v>256.27000000000004</v>
      </c>
      <c r="U31" s="394">
        <v>8969.4500000000007</v>
      </c>
      <c r="V31" s="386" t="s">
        <v>213</v>
      </c>
      <c r="W31" s="386" t="s">
        <v>330</v>
      </c>
    </row>
    <row r="32" spans="1:23" ht="26.45" customHeight="1">
      <c r="A32" s="386">
        <v>25</v>
      </c>
      <c r="B32" s="387" t="s">
        <v>299</v>
      </c>
      <c r="C32" s="387" t="s">
        <v>483</v>
      </c>
      <c r="D32" s="390" t="s">
        <v>351</v>
      </c>
      <c r="E32" s="391" t="s">
        <v>411</v>
      </c>
      <c r="F32" s="392" t="s">
        <v>438</v>
      </c>
      <c r="G32" s="386" t="s">
        <v>281</v>
      </c>
      <c r="H32" s="386" t="s">
        <v>282</v>
      </c>
      <c r="I32" s="387">
        <v>36</v>
      </c>
      <c r="J32" s="387" t="s">
        <v>188</v>
      </c>
      <c r="K32" s="389">
        <v>1780</v>
      </c>
      <c r="L32" s="389" t="s">
        <v>382</v>
      </c>
      <c r="M32" s="389" t="s">
        <v>383</v>
      </c>
      <c r="N32" s="393" t="s">
        <v>384</v>
      </c>
      <c r="O32" s="389" t="s">
        <v>385</v>
      </c>
      <c r="P32" s="389" t="str">
        <f t="shared" si="0"/>
        <v>, (36SETS=1780kg)</v>
      </c>
      <c r="Q32" s="389">
        <v>1780</v>
      </c>
      <c r="R32" s="394">
        <v>256.36</v>
      </c>
      <c r="S32" s="389">
        <v>9228.82</v>
      </c>
      <c r="T32" s="394">
        <v>256.35999999999996</v>
      </c>
      <c r="U32" s="394">
        <v>9228.9599999999991</v>
      </c>
      <c r="V32" s="386" t="s">
        <v>213</v>
      </c>
      <c r="W32" s="386" t="s">
        <v>330</v>
      </c>
    </row>
    <row r="33" spans="1:23" ht="26.45" customHeight="1">
      <c r="A33" s="386">
        <v>26</v>
      </c>
      <c r="B33" s="387" t="s">
        <v>300</v>
      </c>
      <c r="C33" s="387" t="s">
        <v>483</v>
      </c>
      <c r="D33" s="390" t="s">
        <v>351</v>
      </c>
      <c r="E33" s="391" t="s">
        <v>411</v>
      </c>
      <c r="F33" s="392" t="s">
        <v>438</v>
      </c>
      <c r="G33" s="386" t="s">
        <v>281</v>
      </c>
      <c r="H33" s="386" t="s">
        <v>282</v>
      </c>
      <c r="I33" s="387">
        <v>36</v>
      </c>
      <c r="J33" s="387" t="s">
        <v>188</v>
      </c>
      <c r="K33" s="389">
        <v>1780</v>
      </c>
      <c r="L33" s="389" t="s">
        <v>382</v>
      </c>
      <c r="M33" s="389" t="s">
        <v>383</v>
      </c>
      <c r="N33" s="393" t="s">
        <v>384</v>
      </c>
      <c r="O33" s="389" t="s">
        <v>385</v>
      </c>
      <c r="P33" s="389" t="str">
        <f t="shared" si="0"/>
        <v>, (36SETS=1780kg)</v>
      </c>
      <c r="Q33" s="389">
        <v>1780</v>
      </c>
      <c r="R33" s="394">
        <v>256.36</v>
      </c>
      <c r="S33" s="389">
        <v>9228.82</v>
      </c>
      <c r="T33" s="394">
        <v>256.35999999999996</v>
      </c>
      <c r="U33" s="394">
        <v>9228.9599999999991</v>
      </c>
      <c r="V33" s="386" t="s">
        <v>213</v>
      </c>
      <c r="W33" s="386" t="s">
        <v>330</v>
      </c>
    </row>
    <row r="34" spans="1:23" ht="26.45" customHeight="1">
      <c r="A34" s="386">
        <v>27</v>
      </c>
      <c r="B34" s="387" t="s">
        <v>301</v>
      </c>
      <c r="C34" s="387" t="s">
        <v>483</v>
      </c>
      <c r="D34" s="390" t="s">
        <v>177</v>
      </c>
      <c r="E34" s="391" t="s">
        <v>412</v>
      </c>
      <c r="F34" s="392" t="s">
        <v>438</v>
      </c>
      <c r="G34" s="386" t="s">
        <v>281</v>
      </c>
      <c r="H34" s="386" t="s">
        <v>282</v>
      </c>
      <c r="I34" s="387">
        <v>1</v>
      </c>
      <c r="J34" s="387" t="s">
        <v>214</v>
      </c>
      <c r="K34" s="389">
        <v>32.22</v>
      </c>
      <c r="L34" s="389" t="s">
        <v>382</v>
      </c>
      <c r="M34" s="389" t="s">
        <v>383</v>
      </c>
      <c r="N34" s="393" t="s">
        <v>384</v>
      </c>
      <c r="O34" s="389" t="s">
        <v>385</v>
      </c>
      <c r="P34" s="389" t="str">
        <f t="shared" si="0"/>
        <v>, (1SET=32,22kg)</v>
      </c>
      <c r="Q34" s="389">
        <v>32.222222222222221</v>
      </c>
      <c r="R34" s="394">
        <v>167.06</v>
      </c>
      <c r="S34" s="389">
        <v>167.06</v>
      </c>
      <c r="T34" s="394">
        <v>167.06</v>
      </c>
      <c r="U34" s="394">
        <v>167.06</v>
      </c>
      <c r="V34" s="386" t="s">
        <v>215</v>
      </c>
      <c r="W34" s="386" t="s">
        <v>330</v>
      </c>
    </row>
    <row r="35" spans="1:23" ht="26.45" customHeight="1">
      <c r="A35" s="386">
        <v>28</v>
      </c>
      <c r="B35" s="387" t="s">
        <v>301</v>
      </c>
      <c r="C35" s="387" t="s">
        <v>483</v>
      </c>
      <c r="D35" s="390" t="s">
        <v>177</v>
      </c>
      <c r="E35" s="391" t="s">
        <v>413</v>
      </c>
      <c r="F35" s="392" t="s">
        <v>438</v>
      </c>
      <c r="G35" s="386" t="s">
        <v>281</v>
      </c>
      <c r="H35" s="386" t="s">
        <v>282</v>
      </c>
      <c r="I35" s="387">
        <v>1</v>
      </c>
      <c r="J35" s="387" t="s">
        <v>214</v>
      </c>
      <c r="K35" s="389">
        <v>32.22</v>
      </c>
      <c r="L35" s="389" t="s">
        <v>382</v>
      </c>
      <c r="M35" s="389" t="s">
        <v>383</v>
      </c>
      <c r="N35" s="393" t="s">
        <v>384</v>
      </c>
      <c r="O35" s="389" t="s">
        <v>385</v>
      </c>
      <c r="P35" s="389" t="str">
        <f t="shared" si="0"/>
        <v>, (1SET=32,22kg)</v>
      </c>
      <c r="Q35" s="389">
        <v>32.222222222222221</v>
      </c>
      <c r="R35" s="394">
        <v>167.06</v>
      </c>
      <c r="S35" s="389">
        <v>167.06</v>
      </c>
      <c r="T35" s="394">
        <v>167.06</v>
      </c>
      <c r="U35" s="394">
        <v>167.06</v>
      </c>
      <c r="V35" s="386" t="s">
        <v>216</v>
      </c>
      <c r="W35" s="386" t="s">
        <v>330</v>
      </c>
    </row>
    <row r="36" spans="1:23" ht="26.45" customHeight="1">
      <c r="A36" s="386">
        <v>29</v>
      </c>
      <c r="B36" s="387" t="s">
        <v>301</v>
      </c>
      <c r="C36" s="387" t="s">
        <v>483</v>
      </c>
      <c r="D36" s="390" t="s">
        <v>177</v>
      </c>
      <c r="E36" s="391" t="s">
        <v>414</v>
      </c>
      <c r="F36" s="392" t="s">
        <v>438</v>
      </c>
      <c r="G36" s="386" t="s">
        <v>281</v>
      </c>
      <c r="H36" s="386" t="s">
        <v>282</v>
      </c>
      <c r="I36" s="387">
        <v>1</v>
      </c>
      <c r="J36" s="387" t="s">
        <v>214</v>
      </c>
      <c r="K36" s="389">
        <v>32.22</v>
      </c>
      <c r="L36" s="389" t="s">
        <v>382</v>
      </c>
      <c r="M36" s="389" t="s">
        <v>383</v>
      </c>
      <c r="N36" s="393" t="s">
        <v>384</v>
      </c>
      <c r="O36" s="389" t="s">
        <v>385</v>
      </c>
      <c r="P36" s="389" t="str">
        <f t="shared" si="0"/>
        <v>, (1SET=32,22kg)</v>
      </c>
      <c r="Q36" s="389">
        <v>32.222222222222221</v>
      </c>
      <c r="R36" s="394">
        <v>167.06</v>
      </c>
      <c r="S36" s="389">
        <v>167.06</v>
      </c>
      <c r="T36" s="394">
        <v>167.06</v>
      </c>
      <c r="U36" s="394">
        <v>167.06</v>
      </c>
      <c r="V36" s="386" t="s">
        <v>217</v>
      </c>
      <c r="W36" s="386" t="s">
        <v>330</v>
      </c>
    </row>
    <row r="37" spans="1:23" ht="26.45" customHeight="1">
      <c r="A37" s="386">
        <v>30</v>
      </c>
      <c r="B37" s="387" t="s">
        <v>301</v>
      </c>
      <c r="C37" s="387" t="s">
        <v>483</v>
      </c>
      <c r="D37" s="390" t="s">
        <v>177</v>
      </c>
      <c r="E37" s="391" t="s">
        <v>415</v>
      </c>
      <c r="F37" s="392" t="s">
        <v>438</v>
      </c>
      <c r="G37" s="386" t="s">
        <v>281</v>
      </c>
      <c r="H37" s="386" t="s">
        <v>282</v>
      </c>
      <c r="I37" s="387">
        <v>2</v>
      </c>
      <c r="J37" s="387" t="s">
        <v>188</v>
      </c>
      <c r="K37" s="389">
        <v>64.44</v>
      </c>
      <c r="L37" s="389" t="s">
        <v>382</v>
      </c>
      <c r="M37" s="389" t="s">
        <v>383</v>
      </c>
      <c r="N37" s="393" t="s">
        <v>384</v>
      </c>
      <c r="O37" s="389" t="s">
        <v>385</v>
      </c>
      <c r="P37" s="389" t="str">
        <f t="shared" si="0"/>
        <v>, (2SETS=64,44kg)</v>
      </c>
      <c r="Q37" s="389">
        <v>64.444444444444443</v>
      </c>
      <c r="R37" s="394">
        <v>167.07</v>
      </c>
      <c r="S37" s="389">
        <v>334.14</v>
      </c>
      <c r="T37" s="394">
        <v>167.07</v>
      </c>
      <c r="U37" s="394">
        <v>334.14</v>
      </c>
      <c r="V37" s="386" t="s">
        <v>218</v>
      </c>
      <c r="W37" s="386" t="s">
        <v>330</v>
      </c>
    </row>
    <row r="38" spans="1:23" ht="26.45" customHeight="1">
      <c r="A38" s="386">
        <v>31</v>
      </c>
      <c r="B38" s="387" t="s">
        <v>301</v>
      </c>
      <c r="C38" s="387" t="s">
        <v>483</v>
      </c>
      <c r="D38" s="390" t="s">
        <v>177</v>
      </c>
      <c r="E38" s="391" t="s">
        <v>416</v>
      </c>
      <c r="F38" s="392" t="s">
        <v>438</v>
      </c>
      <c r="G38" s="386" t="s">
        <v>281</v>
      </c>
      <c r="H38" s="386" t="s">
        <v>282</v>
      </c>
      <c r="I38" s="387">
        <v>1</v>
      </c>
      <c r="J38" s="387" t="s">
        <v>214</v>
      </c>
      <c r="K38" s="389">
        <v>32.22</v>
      </c>
      <c r="L38" s="389" t="s">
        <v>382</v>
      </c>
      <c r="M38" s="389" t="s">
        <v>383</v>
      </c>
      <c r="N38" s="393" t="s">
        <v>384</v>
      </c>
      <c r="O38" s="389" t="s">
        <v>385</v>
      </c>
      <c r="P38" s="389" t="str">
        <f t="shared" si="0"/>
        <v>, (1SET=32,22kg)</v>
      </c>
      <c r="Q38" s="389">
        <v>32.222222222222221</v>
      </c>
      <c r="R38" s="394">
        <v>167.06</v>
      </c>
      <c r="S38" s="389">
        <v>167.06</v>
      </c>
      <c r="T38" s="394">
        <v>167.06</v>
      </c>
      <c r="U38" s="394">
        <v>167.06</v>
      </c>
      <c r="V38" s="386" t="s">
        <v>219</v>
      </c>
      <c r="W38" s="386" t="s">
        <v>330</v>
      </c>
    </row>
    <row r="39" spans="1:23" ht="26.45" customHeight="1">
      <c r="A39" s="386">
        <v>32</v>
      </c>
      <c r="B39" s="387" t="s">
        <v>301</v>
      </c>
      <c r="C39" s="387" t="s">
        <v>483</v>
      </c>
      <c r="D39" s="390" t="s">
        <v>177</v>
      </c>
      <c r="E39" s="391" t="s">
        <v>417</v>
      </c>
      <c r="F39" s="392" t="s">
        <v>438</v>
      </c>
      <c r="G39" s="386" t="s">
        <v>281</v>
      </c>
      <c r="H39" s="386" t="s">
        <v>282</v>
      </c>
      <c r="I39" s="387">
        <v>1</v>
      </c>
      <c r="J39" s="387" t="s">
        <v>214</v>
      </c>
      <c r="K39" s="389">
        <v>32.22</v>
      </c>
      <c r="L39" s="389" t="s">
        <v>382</v>
      </c>
      <c r="M39" s="389" t="s">
        <v>383</v>
      </c>
      <c r="N39" s="393" t="s">
        <v>384</v>
      </c>
      <c r="O39" s="389" t="s">
        <v>385</v>
      </c>
      <c r="P39" s="389" t="str">
        <f t="shared" si="0"/>
        <v>, (1SET=32,22kg)</v>
      </c>
      <c r="Q39" s="389">
        <v>32.222222222222221</v>
      </c>
      <c r="R39" s="394">
        <v>167.06</v>
      </c>
      <c r="S39" s="389">
        <v>167.06</v>
      </c>
      <c r="T39" s="394">
        <v>167.06</v>
      </c>
      <c r="U39" s="394">
        <v>167.06</v>
      </c>
      <c r="V39" s="386" t="s">
        <v>220</v>
      </c>
      <c r="W39" s="386" t="s">
        <v>330</v>
      </c>
    </row>
    <row r="40" spans="1:23" ht="26.45" customHeight="1">
      <c r="A40" s="386">
        <v>33</v>
      </c>
      <c r="B40" s="387" t="s">
        <v>301</v>
      </c>
      <c r="C40" s="387" t="s">
        <v>483</v>
      </c>
      <c r="D40" s="390" t="s">
        <v>177</v>
      </c>
      <c r="E40" s="391" t="s">
        <v>418</v>
      </c>
      <c r="F40" s="392" t="s">
        <v>438</v>
      </c>
      <c r="G40" s="386" t="s">
        <v>281</v>
      </c>
      <c r="H40" s="386" t="s">
        <v>282</v>
      </c>
      <c r="I40" s="387">
        <v>2</v>
      </c>
      <c r="J40" s="387" t="s">
        <v>188</v>
      </c>
      <c r="K40" s="389">
        <v>64.44</v>
      </c>
      <c r="L40" s="389" t="s">
        <v>382</v>
      </c>
      <c r="M40" s="389" t="s">
        <v>383</v>
      </c>
      <c r="N40" s="393" t="s">
        <v>384</v>
      </c>
      <c r="O40" s="389" t="s">
        <v>385</v>
      </c>
      <c r="P40" s="389" t="str">
        <f t="shared" si="0"/>
        <v>, (2SETS=64,44kg)</v>
      </c>
      <c r="Q40" s="389">
        <v>64.444444444444443</v>
      </c>
      <c r="R40" s="394">
        <v>167.07</v>
      </c>
      <c r="S40" s="389">
        <v>334.13</v>
      </c>
      <c r="T40" s="394">
        <v>167.07</v>
      </c>
      <c r="U40" s="394">
        <v>334.14</v>
      </c>
      <c r="V40" s="386" t="s">
        <v>221</v>
      </c>
      <c r="W40" s="386" t="s">
        <v>330</v>
      </c>
    </row>
    <row r="41" spans="1:23" ht="26.45" customHeight="1">
      <c r="A41" s="386">
        <v>34</v>
      </c>
      <c r="B41" s="387" t="s">
        <v>302</v>
      </c>
      <c r="C41" s="387" t="s">
        <v>483</v>
      </c>
      <c r="D41" s="390" t="s">
        <v>353</v>
      </c>
      <c r="E41" s="391" t="s">
        <v>419</v>
      </c>
      <c r="F41" s="392" t="s">
        <v>439</v>
      </c>
      <c r="G41" s="386" t="s">
        <v>281</v>
      </c>
      <c r="H41" s="386" t="s">
        <v>282</v>
      </c>
      <c r="I41" s="387">
        <v>5</v>
      </c>
      <c r="J41" s="387" t="s">
        <v>188</v>
      </c>
      <c r="K41" s="397">
        <v>663.1</v>
      </c>
      <c r="L41" s="389" t="s">
        <v>382</v>
      </c>
      <c r="M41" s="389" t="s">
        <v>383</v>
      </c>
      <c r="N41" s="393" t="s">
        <v>384</v>
      </c>
      <c r="O41" s="389" t="s">
        <v>385</v>
      </c>
      <c r="P41" s="389"/>
      <c r="Q41" s="389">
        <v>175</v>
      </c>
      <c r="R41" s="394">
        <v>181.47</v>
      </c>
      <c r="S41" s="389">
        <v>907.33</v>
      </c>
      <c r="T41" s="422">
        <v>181.46600000000001</v>
      </c>
      <c r="U41" s="394">
        <v>907.33</v>
      </c>
      <c r="V41" s="386" t="s">
        <v>222</v>
      </c>
      <c r="W41" s="386" t="s">
        <v>330</v>
      </c>
    </row>
    <row r="42" spans="1:23" ht="26.45" customHeight="1">
      <c r="A42" s="386">
        <v>35</v>
      </c>
      <c r="B42" s="387" t="s">
        <v>302</v>
      </c>
      <c r="C42" s="387" t="s">
        <v>483</v>
      </c>
      <c r="D42" s="390" t="s">
        <v>355</v>
      </c>
      <c r="E42" s="391" t="s">
        <v>420</v>
      </c>
      <c r="F42" s="392" t="s">
        <v>440</v>
      </c>
      <c r="G42" s="386" t="s">
        <v>281</v>
      </c>
      <c r="H42" s="386" t="s">
        <v>282</v>
      </c>
      <c r="I42" s="387">
        <v>5</v>
      </c>
      <c r="J42" s="387" t="s">
        <v>226</v>
      </c>
      <c r="K42" s="397">
        <v>25.59</v>
      </c>
      <c r="L42" s="389" t="s">
        <v>382</v>
      </c>
      <c r="M42" s="389" t="s">
        <v>383</v>
      </c>
      <c r="N42" s="393" t="s">
        <v>384</v>
      </c>
      <c r="O42" s="389" t="s">
        <v>385</v>
      </c>
      <c r="P42" s="389"/>
      <c r="Q42" s="389">
        <v>175</v>
      </c>
      <c r="R42" s="394">
        <v>181.47</v>
      </c>
      <c r="S42" s="389">
        <v>907.33</v>
      </c>
      <c r="T42" s="422">
        <v>181.46600000000001</v>
      </c>
      <c r="U42" s="394">
        <v>907.33</v>
      </c>
      <c r="V42" s="386" t="s">
        <v>223</v>
      </c>
      <c r="W42" s="386" t="s">
        <v>330</v>
      </c>
    </row>
    <row r="43" spans="1:23" ht="26.45" customHeight="1">
      <c r="A43" s="386">
        <v>36</v>
      </c>
      <c r="B43" s="387" t="s">
        <v>302</v>
      </c>
      <c r="C43" s="387" t="s">
        <v>483</v>
      </c>
      <c r="D43" s="390" t="s">
        <v>357</v>
      </c>
      <c r="E43" s="391" t="s">
        <v>421</v>
      </c>
      <c r="F43" s="392" t="s">
        <v>441</v>
      </c>
      <c r="G43" s="386" t="s">
        <v>281</v>
      </c>
      <c r="H43" s="386" t="s">
        <v>282</v>
      </c>
      <c r="I43" s="387">
        <v>5</v>
      </c>
      <c r="J43" s="387" t="s">
        <v>226</v>
      </c>
      <c r="K43" s="397">
        <v>6.99</v>
      </c>
      <c r="L43" s="389" t="s">
        <v>382</v>
      </c>
      <c r="M43" s="389" t="s">
        <v>383</v>
      </c>
      <c r="N43" s="393" t="s">
        <v>384</v>
      </c>
      <c r="O43" s="389" t="s">
        <v>385</v>
      </c>
      <c r="P43" s="389"/>
      <c r="Q43" s="389">
        <v>175</v>
      </c>
      <c r="R43" s="394">
        <v>181.47</v>
      </c>
      <c r="S43" s="389">
        <v>907.33</v>
      </c>
      <c r="T43" s="422">
        <v>181.46600000000001</v>
      </c>
      <c r="U43" s="394">
        <v>907.33</v>
      </c>
      <c r="V43" s="386" t="s">
        <v>224</v>
      </c>
      <c r="W43" s="386" t="s">
        <v>330</v>
      </c>
    </row>
    <row r="44" spans="1:23" ht="26.45" customHeight="1">
      <c r="A44" s="386">
        <v>37</v>
      </c>
      <c r="B44" s="387" t="s">
        <v>302</v>
      </c>
      <c r="C44" s="387" t="s">
        <v>483</v>
      </c>
      <c r="D44" s="390" t="s">
        <v>358</v>
      </c>
      <c r="E44" s="391" t="s">
        <v>422</v>
      </c>
      <c r="F44" s="392" t="s">
        <v>442</v>
      </c>
      <c r="G44" s="386" t="s">
        <v>281</v>
      </c>
      <c r="H44" s="386" t="s">
        <v>282</v>
      </c>
      <c r="I44" s="387">
        <v>5</v>
      </c>
      <c r="J44" s="387" t="s">
        <v>226</v>
      </c>
      <c r="K44" s="397">
        <v>4.32</v>
      </c>
      <c r="L44" s="389" t="s">
        <v>382</v>
      </c>
      <c r="M44" s="389" t="s">
        <v>383</v>
      </c>
      <c r="N44" s="393" t="s">
        <v>384</v>
      </c>
      <c r="O44" s="389" t="s">
        <v>385</v>
      </c>
      <c r="P44" s="389"/>
      <c r="Q44" s="389">
        <v>175</v>
      </c>
      <c r="R44" s="394">
        <v>181.47</v>
      </c>
      <c r="S44" s="389">
        <v>907.33</v>
      </c>
      <c r="T44" s="422">
        <v>181.46600000000001</v>
      </c>
      <c r="U44" s="394">
        <v>907.33</v>
      </c>
      <c r="V44" s="386" t="s">
        <v>225</v>
      </c>
      <c r="W44" s="386" t="s">
        <v>330</v>
      </c>
    </row>
    <row r="45" spans="1:23" ht="26.45" customHeight="1">
      <c r="A45" s="386">
        <v>38</v>
      </c>
      <c r="B45" s="387" t="s">
        <v>303</v>
      </c>
      <c r="C45" s="387" t="s">
        <v>483</v>
      </c>
      <c r="D45" s="390" t="s">
        <v>353</v>
      </c>
      <c r="E45" s="391" t="s">
        <v>419</v>
      </c>
      <c r="F45" s="392" t="s">
        <v>439</v>
      </c>
      <c r="G45" s="386" t="s">
        <v>281</v>
      </c>
      <c r="H45" s="386" t="s">
        <v>282</v>
      </c>
      <c r="I45" s="387">
        <v>5</v>
      </c>
      <c r="J45" s="387" t="s">
        <v>188</v>
      </c>
      <c r="K45" s="397">
        <v>663.1</v>
      </c>
      <c r="L45" s="389" t="s">
        <v>382</v>
      </c>
      <c r="M45" s="389" t="s">
        <v>383</v>
      </c>
      <c r="N45" s="393" t="s">
        <v>384</v>
      </c>
      <c r="O45" s="389" t="s">
        <v>385</v>
      </c>
      <c r="P45" s="389"/>
      <c r="Q45" s="389">
        <v>175</v>
      </c>
      <c r="R45" s="394">
        <v>181.47</v>
      </c>
      <c r="S45" s="389">
        <v>907.33</v>
      </c>
      <c r="T45" s="422">
        <v>181.46600000000001</v>
      </c>
      <c r="U45" s="394">
        <v>907.33</v>
      </c>
      <c r="V45" s="386" t="s">
        <v>222</v>
      </c>
      <c r="W45" s="386" t="s">
        <v>330</v>
      </c>
    </row>
    <row r="46" spans="1:23" ht="26.45" customHeight="1">
      <c r="A46" s="386">
        <v>39</v>
      </c>
      <c r="B46" s="387" t="s">
        <v>303</v>
      </c>
      <c r="C46" s="387" t="s">
        <v>483</v>
      </c>
      <c r="D46" s="390" t="s">
        <v>355</v>
      </c>
      <c r="E46" s="391" t="s">
        <v>420</v>
      </c>
      <c r="F46" s="392" t="s">
        <v>440</v>
      </c>
      <c r="G46" s="386" t="s">
        <v>281</v>
      </c>
      <c r="H46" s="386" t="s">
        <v>282</v>
      </c>
      <c r="I46" s="387">
        <v>5</v>
      </c>
      <c r="J46" s="387" t="s">
        <v>226</v>
      </c>
      <c r="K46" s="397">
        <v>25.59</v>
      </c>
      <c r="L46" s="389" t="s">
        <v>382</v>
      </c>
      <c r="M46" s="389" t="s">
        <v>383</v>
      </c>
      <c r="N46" s="393" t="s">
        <v>384</v>
      </c>
      <c r="O46" s="389" t="s">
        <v>385</v>
      </c>
      <c r="P46" s="389"/>
      <c r="Q46" s="389">
        <v>175</v>
      </c>
      <c r="R46" s="394">
        <v>181.47</v>
      </c>
      <c r="S46" s="389">
        <v>907.33</v>
      </c>
      <c r="T46" s="422">
        <v>181.46600000000001</v>
      </c>
      <c r="U46" s="394">
        <v>907.33</v>
      </c>
      <c r="V46" s="386" t="s">
        <v>223</v>
      </c>
      <c r="W46" s="386" t="s">
        <v>330</v>
      </c>
    </row>
    <row r="47" spans="1:23" ht="26.45" customHeight="1">
      <c r="A47" s="386">
        <v>40</v>
      </c>
      <c r="B47" s="387" t="s">
        <v>303</v>
      </c>
      <c r="C47" s="387" t="s">
        <v>483</v>
      </c>
      <c r="D47" s="390" t="s">
        <v>357</v>
      </c>
      <c r="E47" s="391" t="s">
        <v>421</v>
      </c>
      <c r="F47" s="392" t="s">
        <v>441</v>
      </c>
      <c r="G47" s="386" t="s">
        <v>281</v>
      </c>
      <c r="H47" s="386" t="s">
        <v>282</v>
      </c>
      <c r="I47" s="387">
        <v>5</v>
      </c>
      <c r="J47" s="387" t="s">
        <v>226</v>
      </c>
      <c r="K47" s="397">
        <v>6.99</v>
      </c>
      <c r="L47" s="389" t="s">
        <v>382</v>
      </c>
      <c r="M47" s="389" t="s">
        <v>383</v>
      </c>
      <c r="N47" s="393" t="s">
        <v>384</v>
      </c>
      <c r="O47" s="389" t="s">
        <v>385</v>
      </c>
      <c r="P47" s="389"/>
      <c r="Q47" s="389">
        <v>175</v>
      </c>
      <c r="R47" s="394">
        <v>181.47</v>
      </c>
      <c r="S47" s="389">
        <v>907.33</v>
      </c>
      <c r="T47" s="422">
        <v>181.46600000000001</v>
      </c>
      <c r="U47" s="394">
        <v>907.33</v>
      </c>
      <c r="V47" s="386" t="s">
        <v>224</v>
      </c>
      <c r="W47" s="386" t="s">
        <v>330</v>
      </c>
    </row>
    <row r="48" spans="1:23" ht="26.45" customHeight="1">
      <c r="A48" s="386">
        <v>41</v>
      </c>
      <c r="B48" s="387" t="s">
        <v>303</v>
      </c>
      <c r="C48" s="387" t="s">
        <v>483</v>
      </c>
      <c r="D48" s="390" t="s">
        <v>358</v>
      </c>
      <c r="E48" s="391" t="s">
        <v>422</v>
      </c>
      <c r="F48" s="392" t="s">
        <v>442</v>
      </c>
      <c r="G48" s="386" t="s">
        <v>281</v>
      </c>
      <c r="H48" s="386" t="s">
        <v>282</v>
      </c>
      <c r="I48" s="387">
        <v>5</v>
      </c>
      <c r="J48" s="387" t="s">
        <v>226</v>
      </c>
      <c r="K48" s="397">
        <v>4.32</v>
      </c>
      <c r="L48" s="389" t="s">
        <v>382</v>
      </c>
      <c r="M48" s="389" t="s">
        <v>383</v>
      </c>
      <c r="N48" s="393" t="s">
        <v>384</v>
      </c>
      <c r="O48" s="389" t="s">
        <v>385</v>
      </c>
      <c r="P48" s="389"/>
      <c r="Q48" s="389">
        <v>175</v>
      </c>
      <c r="R48" s="394">
        <v>181.47</v>
      </c>
      <c r="S48" s="389">
        <v>907.33</v>
      </c>
      <c r="T48" s="422">
        <v>181.46600000000001</v>
      </c>
      <c r="U48" s="394">
        <v>907.33</v>
      </c>
      <c r="V48" s="386" t="s">
        <v>225</v>
      </c>
      <c r="W48" s="386" t="s">
        <v>330</v>
      </c>
    </row>
    <row r="49" spans="1:23" ht="26.45" customHeight="1">
      <c r="A49" s="386">
        <v>42</v>
      </c>
      <c r="B49" s="387" t="s">
        <v>304</v>
      </c>
      <c r="C49" s="387" t="s">
        <v>483</v>
      </c>
      <c r="D49" s="390" t="s">
        <v>353</v>
      </c>
      <c r="E49" s="391" t="s">
        <v>419</v>
      </c>
      <c r="F49" s="392" t="s">
        <v>439</v>
      </c>
      <c r="G49" s="386" t="s">
        <v>281</v>
      </c>
      <c r="H49" s="386" t="s">
        <v>282</v>
      </c>
      <c r="I49" s="387">
        <v>5</v>
      </c>
      <c r="J49" s="387" t="s">
        <v>188</v>
      </c>
      <c r="K49" s="397">
        <v>663.1</v>
      </c>
      <c r="L49" s="389" t="s">
        <v>382</v>
      </c>
      <c r="M49" s="389" t="s">
        <v>383</v>
      </c>
      <c r="N49" s="393" t="s">
        <v>384</v>
      </c>
      <c r="O49" s="389" t="s">
        <v>385</v>
      </c>
      <c r="P49" s="389"/>
      <c r="Q49" s="389">
        <v>175</v>
      </c>
      <c r="R49" s="394">
        <v>181.47</v>
      </c>
      <c r="S49" s="389">
        <v>907.33</v>
      </c>
      <c r="T49" s="422">
        <v>181.46600000000001</v>
      </c>
      <c r="U49" s="394">
        <v>907.33</v>
      </c>
      <c r="V49" s="386" t="s">
        <v>222</v>
      </c>
      <c r="W49" s="386" t="s">
        <v>330</v>
      </c>
    </row>
    <row r="50" spans="1:23" ht="26.45" customHeight="1">
      <c r="A50" s="386">
        <v>43</v>
      </c>
      <c r="B50" s="387" t="s">
        <v>304</v>
      </c>
      <c r="C50" s="387" t="s">
        <v>483</v>
      </c>
      <c r="D50" s="390" t="s">
        <v>355</v>
      </c>
      <c r="E50" s="391" t="s">
        <v>420</v>
      </c>
      <c r="F50" s="392" t="s">
        <v>440</v>
      </c>
      <c r="G50" s="386" t="s">
        <v>281</v>
      </c>
      <c r="H50" s="386" t="s">
        <v>282</v>
      </c>
      <c r="I50" s="387">
        <v>5</v>
      </c>
      <c r="J50" s="387" t="s">
        <v>226</v>
      </c>
      <c r="K50" s="397">
        <v>25.59</v>
      </c>
      <c r="L50" s="389" t="s">
        <v>382</v>
      </c>
      <c r="M50" s="389" t="s">
        <v>383</v>
      </c>
      <c r="N50" s="393" t="s">
        <v>384</v>
      </c>
      <c r="O50" s="389" t="s">
        <v>385</v>
      </c>
      <c r="P50" s="389"/>
      <c r="Q50" s="389">
        <v>175</v>
      </c>
      <c r="R50" s="394">
        <v>181.47</v>
      </c>
      <c r="S50" s="389">
        <v>907.33</v>
      </c>
      <c r="T50" s="422">
        <v>181.46600000000001</v>
      </c>
      <c r="U50" s="394">
        <v>907.33</v>
      </c>
      <c r="V50" s="386" t="s">
        <v>223</v>
      </c>
      <c r="W50" s="386" t="s">
        <v>330</v>
      </c>
    </row>
    <row r="51" spans="1:23" ht="26.45" customHeight="1">
      <c r="A51" s="386">
        <v>44</v>
      </c>
      <c r="B51" s="387" t="s">
        <v>304</v>
      </c>
      <c r="C51" s="387" t="s">
        <v>483</v>
      </c>
      <c r="D51" s="390" t="s">
        <v>357</v>
      </c>
      <c r="E51" s="391" t="s">
        <v>421</v>
      </c>
      <c r="F51" s="392" t="s">
        <v>441</v>
      </c>
      <c r="G51" s="386" t="s">
        <v>281</v>
      </c>
      <c r="H51" s="386" t="s">
        <v>282</v>
      </c>
      <c r="I51" s="387">
        <v>5</v>
      </c>
      <c r="J51" s="387" t="s">
        <v>226</v>
      </c>
      <c r="K51" s="397">
        <v>6.99</v>
      </c>
      <c r="L51" s="389" t="s">
        <v>382</v>
      </c>
      <c r="M51" s="389" t="s">
        <v>383</v>
      </c>
      <c r="N51" s="393" t="s">
        <v>384</v>
      </c>
      <c r="O51" s="389" t="s">
        <v>385</v>
      </c>
      <c r="P51" s="389"/>
      <c r="Q51" s="389">
        <v>175</v>
      </c>
      <c r="R51" s="394">
        <v>181.47</v>
      </c>
      <c r="S51" s="389">
        <v>907.33</v>
      </c>
      <c r="T51" s="422">
        <v>181.46600000000001</v>
      </c>
      <c r="U51" s="394">
        <v>907.33</v>
      </c>
      <c r="V51" s="386" t="s">
        <v>224</v>
      </c>
      <c r="W51" s="386" t="s">
        <v>330</v>
      </c>
    </row>
    <row r="52" spans="1:23" ht="26.45" customHeight="1">
      <c r="A52" s="386">
        <v>45</v>
      </c>
      <c r="B52" s="387" t="s">
        <v>304</v>
      </c>
      <c r="C52" s="387" t="s">
        <v>483</v>
      </c>
      <c r="D52" s="390" t="s">
        <v>358</v>
      </c>
      <c r="E52" s="391" t="s">
        <v>422</v>
      </c>
      <c r="F52" s="392" t="s">
        <v>442</v>
      </c>
      <c r="G52" s="386" t="s">
        <v>281</v>
      </c>
      <c r="H52" s="386" t="s">
        <v>282</v>
      </c>
      <c r="I52" s="387">
        <v>5</v>
      </c>
      <c r="J52" s="387" t="s">
        <v>226</v>
      </c>
      <c r="K52" s="397">
        <v>4.32</v>
      </c>
      <c r="L52" s="389" t="s">
        <v>382</v>
      </c>
      <c r="M52" s="389" t="s">
        <v>383</v>
      </c>
      <c r="N52" s="393" t="s">
        <v>384</v>
      </c>
      <c r="O52" s="389" t="s">
        <v>385</v>
      </c>
      <c r="P52" s="389"/>
      <c r="Q52" s="389">
        <v>175</v>
      </c>
      <c r="R52" s="394">
        <v>181.47</v>
      </c>
      <c r="S52" s="389">
        <v>907.33</v>
      </c>
      <c r="T52" s="422">
        <v>181.46600000000001</v>
      </c>
      <c r="U52" s="394">
        <v>907.33</v>
      </c>
      <c r="V52" s="386" t="s">
        <v>225</v>
      </c>
      <c r="W52" s="386" t="s">
        <v>330</v>
      </c>
    </row>
    <row r="53" spans="1:23" ht="26.45" customHeight="1">
      <c r="A53" s="386">
        <v>46</v>
      </c>
      <c r="B53" s="387" t="s">
        <v>305</v>
      </c>
      <c r="C53" s="387" t="s">
        <v>483</v>
      </c>
      <c r="D53" s="390" t="s">
        <v>353</v>
      </c>
      <c r="E53" s="391" t="s">
        <v>419</v>
      </c>
      <c r="F53" s="392" t="s">
        <v>439</v>
      </c>
      <c r="G53" s="386" t="s">
        <v>281</v>
      </c>
      <c r="H53" s="386" t="s">
        <v>282</v>
      </c>
      <c r="I53" s="387">
        <v>5</v>
      </c>
      <c r="J53" s="387" t="s">
        <v>188</v>
      </c>
      <c r="K53" s="397">
        <v>663.1</v>
      </c>
      <c r="L53" s="389" t="s">
        <v>382</v>
      </c>
      <c r="M53" s="389" t="s">
        <v>383</v>
      </c>
      <c r="N53" s="393" t="s">
        <v>384</v>
      </c>
      <c r="O53" s="389" t="s">
        <v>385</v>
      </c>
      <c r="P53" s="389"/>
      <c r="Q53" s="389">
        <v>175</v>
      </c>
      <c r="R53" s="394">
        <v>181.47</v>
      </c>
      <c r="S53" s="389">
        <v>907.33</v>
      </c>
      <c r="T53" s="422">
        <v>181.46600000000001</v>
      </c>
      <c r="U53" s="394">
        <v>907.33</v>
      </c>
      <c r="V53" s="386" t="s">
        <v>222</v>
      </c>
      <c r="W53" s="386" t="s">
        <v>330</v>
      </c>
    </row>
    <row r="54" spans="1:23" ht="26.45" customHeight="1">
      <c r="A54" s="386">
        <v>47</v>
      </c>
      <c r="B54" s="387" t="s">
        <v>305</v>
      </c>
      <c r="C54" s="387" t="s">
        <v>483</v>
      </c>
      <c r="D54" s="390" t="s">
        <v>355</v>
      </c>
      <c r="E54" s="391" t="s">
        <v>420</v>
      </c>
      <c r="F54" s="392" t="s">
        <v>440</v>
      </c>
      <c r="G54" s="386" t="s">
        <v>281</v>
      </c>
      <c r="H54" s="386" t="s">
        <v>282</v>
      </c>
      <c r="I54" s="387">
        <v>5</v>
      </c>
      <c r="J54" s="387" t="s">
        <v>226</v>
      </c>
      <c r="K54" s="397">
        <v>25.59</v>
      </c>
      <c r="L54" s="389" t="s">
        <v>382</v>
      </c>
      <c r="M54" s="389" t="s">
        <v>383</v>
      </c>
      <c r="N54" s="393" t="s">
        <v>384</v>
      </c>
      <c r="O54" s="389" t="s">
        <v>385</v>
      </c>
      <c r="P54" s="389"/>
      <c r="Q54" s="389">
        <v>175</v>
      </c>
      <c r="R54" s="394">
        <v>181.47</v>
      </c>
      <c r="S54" s="389">
        <v>907.33</v>
      </c>
      <c r="T54" s="422">
        <v>181.46600000000001</v>
      </c>
      <c r="U54" s="394">
        <v>907.33</v>
      </c>
      <c r="V54" s="386" t="s">
        <v>223</v>
      </c>
      <c r="W54" s="386" t="s">
        <v>330</v>
      </c>
    </row>
    <row r="55" spans="1:23" ht="26.45" customHeight="1">
      <c r="A55" s="386">
        <v>48</v>
      </c>
      <c r="B55" s="387" t="s">
        <v>305</v>
      </c>
      <c r="C55" s="387" t="s">
        <v>483</v>
      </c>
      <c r="D55" s="390" t="s">
        <v>357</v>
      </c>
      <c r="E55" s="391" t="s">
        <v>421</v>
      </c>
      <c r="F55" s="392" t="s">
        <v>441</v>
      </c>
      <c r="G55" s="386" t="s">
        <v>281</v>
      </c>
      <c r="H55" s="386" t="s">
        <v>282</v>
      </c>
      <c r="I55" s="387">
        <v>5</v>
      </c>
      <c r="J55" s="387" t="s">
        <v>226</v>
      </c>
      <c r="K55" s="397">
        <v>6.99</v>
      </c>
      <c r="L55" s="389" t="s">
        <v>382</v>
      </c>
      <c r="M55" s="389" t="s">
        <v>383</v>
      </c>
      <c r="N55" s="393" t="s">
        <v>384</v>
      </c>
      <c r="O55" s="389" t="s">
        <v>385</v>
      </c>
      <c r="P55" s="389"/>
      <c r="Q55" s="389">
        <v>175</v>
      </c>
      <c r="R55" s="394">
        <v>181.47</v>
      </c>
      <c r="S55" s="389">
        <v>907.33</v>
      </c>
      <c r="T55" s="422">
        <v>181.46600000000001</v>
      </c>
      <c r="U55" s="394">
        <v>907.33</v>
      </c>
      <c r="V55" s="386" t="s">
        <v>224</v>
      </c>
      <c r="W55" s="386" t="s">
        <v>330</v>
      </c>
    </row>
    <row r="56" spans="1:23" ht="26.45" customHeight="1">
      <c r="A56" s="386">
        <v>49</v>
      </c>
      <c r="B56" s="387" t="s">
        <v>305</v>
      </c>
      <c r="C56" s="387" t="s">
        <v>483</v>
      </c>
      <c r="D56" s="390" t="s">
        <v>358</v>
      </c>
      <c r="E56" s="391" t="s">
        <v>422</v>
      </c>
      <c r="F56" s="392" t="s">
        <v>442</v>
      </c>
      <c r="G56" s="386" t="s">
        <v>281</v>
      </c>
      <c r="H56" s="386" t="s">
        <v>282</v>
      </c>
      <c r="I56" s="387">
        <v>5</v>
      </c>
      <c r="J56" s="387" t="s">
        <v>226</v>
      </c>
      <c r="K56" s="397">
        <v>4.32</v>
      </c>
      <c r="L56" s="389" t="s">
        <v>382</v>
      </c>
      <c r="M56" s="389" t="s">
        <v>383</v>
      </c>
      <c r="N56" s="393" t="s">
        <v>384</v>
      </c>
      <c r="O56" s="389" t="s">
        <v>385</v>
      </c>
      <c r="P56" s="389"/>
      <c r="Q56" s="389">
        <v>175</v>
      </c>
      <c r="R56" s="394">
        <v>181.47</v>
      </c>
      <c r="S56" s="389">
        <v>907.33</v>
      </c>
      <c r="T56" s="422">
        <v>181.46600000000001</v>
      </c>
      <c r="U56" s="394">
        <v>907.33</v>
      </c>
      <c r="V56" s="386" t="s">
        <v>225</v>
      </c>
      <c r="W56" s="386" t="s">
        <v>330</v>
      </c>
    </row>
    <row r="57" spans="1:23" ht="26.45" customHeight="1">
      <c r="A57" s="386">
        <v>50</v>
      </c>
      <c r="B57" s="387" t="s">
        <v>306</v>
      </c>
      <c r="C57" s="387" t="s">
        <v>483</v>
      </c>
      <c r="D57" s="390" t="s">
        <v>353</v>
      </c>
      <c r="E57" s="391" t="s">
        <v>419</v>
      </c>
      <c r="F57" s="392" t="s">
        <v>439</v>
      </c>
      <c r="G57" s="386" t="s">
        <v>281</v>
      </c>
      <c r="H57" s="386" t="s">
        <v>282</v>
      </c>
      <c r="I57" s="387">
        <v>5</v>
      </c>
      <c r="J57" s="387" t="s">
        <v>188</v>
      </c>
      <c r="K57" s="397">
        <v>663.1</v>
      </c>
      <c r="L57" s="389" t="s">
        <v>382</v>
      </c>
      <c r="M57" s="389" t="s">
        <v>383</v>
      </c>
      <c r="N57" s="393" t="s">
        <v>384</v>
      </c>
      <c r="O57" s="389" t="s">
        <v>385</v>
      </c>
      <c r="P57" s="389"/>
      <c r="Q57" s="389">
        <v>175</v>
      </c>
      <c r="R57" s="394">
        <v>181.47</v>
      </c>
      <c r="S57" s="389">
        <v>907.33</v>
      </c>
      <c r="T57" s="422">
        <v>181.46600000000001</v>
      </c>
      <c r="U57" s="394">
        <v>907.33</v>
      </c>
      <c r="V57" s="386" t="s">
        <v>222</v>
      </c>
      <c r="W57" s="386" t="s">
        <v>330</v>
      </c>
    </row>
    <row r="58" spans="1:23" ht="26.45" customHeight="1">
      <c r="A58" s="386">
        <v>51</v>
      </c>
      <c r="B58" s="387" t="s">
        <v>306</v>
      </c>
      <c r="C58" s="387" t="s">
        <v>483</v>
      </c>
      <c r="D58" s="390" t="s">
        <v>355</v>
      </c>
      <c r="E58" s="391" t="s">
        <v>420</v>
      </c>
      <c r="F58" s="392" t="s">
        <v>440</v>
      </c>
      <c r="G58" s="386" t="s">
        <v>281</v>
      </c>
      <c r="H58" s="386" t="s">
        <v>282</v>
      </c>
      <c r="I58" s="387">
        <v>5</v>
      </c>
      <c r="J58" s="387" t="s">
        <v>226</v>
      </c>
      <c r="K58" s="397">
        <v>25.59</v>
      </c>
      <c r="L58" s="389" t="s">
        <v>382</v>
      </c>
      <c r="M58" s="389" t="s">
        <v>383</v>
      </c>
      <c r="N58" s="393" t="s">
        <v>384</v>
      </c>
      <c r="O58" s="389" t="s">
        <v>385</v>
      </c>
      <c r="P58" s="389"/>
      <c r="Q58" s="389">
        <v>175</v>
      </c>
      <c r="R58" s="394">
        <v>181.47</v>
      </c>
      <c r="S58" s="389">
        <v>907.33</v>
      </c>
      <c r="T58" s="422">
        <v>181.46600000000001</v>
      </c>
      <c r="U58" s="394">
        <v>907.33</v>
      </c>
      <c r="V58" s="386" t="s">
        <v>223</v>
      </c>
      <c r="W58" s="386" t="s">
        <v>330</v>
      </c>
    </row>
    <row r="59" spans="1:23" ht="26.45" customHeight="1">
      <c r="A59" s="386">
        <v>52</v>
      </c>
      <c r="B59" s="387" t="s">
        <v>306</v>
      </c>
      <c r="C59" s="387" t="s">
        <v>483</v>
      </c>
      <c r="D59" s="390" t="s">
        <v>357</v>
      </c>
      <c r="E59" s="391" t="s">
        <v>421</v>
      </c>
      <c r="F59" s="392" t="s">
        <v>441</v>
      </c>
      <c r="G59" s="386" t="s">
        <v>281</v>
      </c>
      <c r="H59" s="386" t="s">
        <v>282</v>
      </c>
      <c r="I59" s="387">
        <v>5</v>
      </c>
      <c r="J59" s="387" t="s">
        <v>226</v>
      </c>
      <c r="K59" s="397">
        <v>6.99</v>
      </c>
      <c r="L59" s="389" t="s">
        <v>382</v>
      </c>
      <c r="M59" s="389" t="s">
        <v>383</v>
      </c>
      <c r="N59" s="393" t="s">
        <v>384</v>
      </c>
      <c r="O59" s="389" t="s">
        <v>385</v>
      </c>
      <c r="P59" s="389"/>
      <c r="Q59" s="389">
        <v>175</v>
      </c>
      <c r="R59" s="394">
        <v>181.47</v>
      </c>
      <c r="S59" s="389">
        <v>907.33</v>
      </c>
      <c r="T59" s="422">
        <v>181.46600000000001</v>
      </c>
      <c r="U59" s="394">
        <v>907.33</v>
      </c>
      <c r="V59" s="386" t="s">
        <v>224</v>
      </c>
      <c r="W59" s="386" t="s">
        <v>330</v>
      </c>
    </row>
    <row r="60" spans="1:23" ht="26.45" customHeight="1">
      <c r="A60" s="386">
        <v>53</v>
      </c>
      <c r="B60" s="387" t="s">
        <v>306</v>
      </c>
      <c r="C60" s="387" t="s">
        <v>483</v>
      </c>
      <c r="D60" s="390" t="s">
        <v>358</v>
      </c>
      <c r="E60" s="391" t="s">
        <v>422</v>
      </c>
      <c r="F60" s="392" t="s">
        <v>442</v>
      </c>
      <c r="G60" s="386" t="s">
        <v>281</v>
      </c>
      <c r="H60" s="386" t="s">
        <v>282</v>
      </c>
      <c r="I60" s="387">
        <v>5</v>
      </c>
      <c r="J60" s="387" t="s">
        <v>226</v>
      </c>
      <c r="K60" s="397">
        <v>4.32</v>
      </c>
      <c r="L60" s="389" t="s">
        <v>382</v>
      </c>
      <c r="M60" s="389" t="s">
        <v>383</v>
      </c>
      <c r="N60" s="393" t="s">
        <v>384</v>
      </c>
      <c r="O60" s="389" t="s">
        <v>385</v>
      </c>
      <c r="P60" s="389"/>
      <c r="Q60" s="389">
        <v>175</v>
      </c>
      <c r="R60" s="394">
        <v>181.47</v>
      </c>
      <c r="S60" s="389">
        <v>907.33</v>
      </c>
      <c r="T60" s="422">
        <v>181.46600000000001</v>
      </c>
      <c r="U60" s="394">
        <v>907.33</v>
      </c>
      <c r="V60" s="386" t="s">
        <v>225</v>
      </c>
      <c r="W60" s="386" t="s">
        <v>330</v>
      </c>
    </row>
    <row r="61" spans="1:23" ht="26.45" customHeight="1">
      <c r="A61" s="386">
        <v>54</v>
      </c>
      <c r="B61" s="387" t="s">
        <v>307</v>
      </c>
      <c r="C61" s="387" t="s">
        <v>483</v>
      </c>
      <c r="D61" s="390" t="s">
        <v>352</v>
      </c>
      <c r="E61" s="391" t="s">
        <v>419</v>
      </c>
      <c r="F61" s="392" t="s">
        <v>439</v>
      </c>
      <c r="G61" s="386" t="s">
        <v>281</v>
      </c>
      <c r="H61" s="386" t="s">
        <v>282</v>
      </c>
      <c r="I61" s="387">
        <v>5</v>
      </c>
      <c r="J61" s="387" t="s">
        <v>188</v>
      </c>
      <c r="K61" s="397">
        <v>663.1</v>
      </c>
      <c r="L61" s="389" t="s">
        <v>382</v>
      </c>
      <c r="M61" s="389" t="s">
        <v>383</v>
      </c>
      <c r="N61" s="393" t="s">
        <v>384</v>
      </c>
      <c r="O61" s="389" t="s">
        <v>385</v>
      </c>
      <c r="P61" s="389"/>
      <c r="Q61" s="389">
        <v>175</v>
      </c>
      <c r="R61" s="394">
        <v>181.47</v>
      </c>
      <c r="S61" s="389">
        <v>907.33</v>
      </c>
      <c r="T61" s="422">
        <v>181.46600000000001</v>
      </c>
      <c r="U61" s="394">
        <v>907.33</v>
      </c>
      <c r="V61" s="386" t="s">
        <v>222</v>
      </c>
      <c r="W61" s="386" t="s">
        <v>330</v>
      </c>
    </row>
    <row r="62" spans="1:23" ht="26.45" customHeight="1">
      <c r="A62" s="386">
        <v>55</v>
      </c>
      <c r="B62" s="387" t="s">
        <v>307</v>
      </c>
      <c r="C62" s="387" t="s">
        <v>483</v>
      </c>
      <c r="D62" s="390" t="s">
        <v>354</v>
      </c>
      <c r="E62" s="391" t="s">
        <v>420</v>
      </c>
      <c r="F62" s="392" t="s">
        <v>440</v>
      </c>
      <c r="G62" s="386" t="s">
        <v>281</v>
      </c>
      <c r="H62" s="386" t="s">
        <v>282</v>
      </c>
      <c r="I62" s="387">
        <v>5</v>
      </c>
      <c r="J62" s="387" t="s">
        <v>226</v>
      </c>
      <c r="K62" s="397">
        <v>25.59</v>
      </c>
      <c r="L62" s="389" t="s">
        <v>382</v>
      </c>
      <c r="M62" s="389" t="s">
        <v>383</v>
      </c>
      <c r="N62" s="393" t="s">
        <v>384</v>
      </c>
      <c r="O62" s="389" t="s">
        <v>385</v>
      </c>
      <c r="P62" s="389"/>
      <c r="Q62" s="389">
        <v>175</v>
      </c>
      <c r="R62" s="394">
        <v>181.47</v>
      </c>
      <c r="S62" s="389">
        <v>907.33</v>
      </c>
      <c r="T62" s="422">
        <v>181.46600000000001</v>
      </c>
      <c r="U62" s="394">
        <v>907.33</v>
      </c>
      <c r="V62" s="386" t="s">
        <v>223</v>
      </c>
      <c r="W62" s="386" t="s">
        <v>330</v>
      </c>
    </row>
    <row r="63" spans="1:23" ht="26.45" customHeight="1">
      <c r="A63" s="386">
        <v>56</v>
      </c>
      <c r="B63" s="387" t="s">
        <v>307</v>
      </c>
      <c r="C63" s="387" t="s">
        <v>483</v>
      </c>
      <c r="D63" s="390" t="s">
        <v>356</v>
      </c>
      <c r="E63" s="391" t="s">
        <v>421</v>
      </c>
      <c r="F63" s="392" t="s">
        <v>441</v>
      </c>
      <c r="G63" s="386" t="s">
        <v>281</v>
      </c>
      <c r="H63" s="386" t="s">
        <v>282</v>
      </c>
      <c r="I63" s="387">
        <v>5</v>
      </c>
      <c r="J63" s="387" t="s">
        <v>226</v>
      </c>
      <c r="K63" s="397">
        <v>6.99</v>
      </c>
      <c r="L63" s="389" t="s">
        <v>382</v>
      </c>
      <c r="M63" s="389" t="s">
        <v>383</v>
      </c>
      <c r="N63" s="393" t="s">
        <v>384</v>
      </c>
      <c r="O63" s="389" t="s">
        <v>385</v>
      </c>
      <c r="P63" s="389"/>
      <c r="Q63" s="389">
        <v>175</v>
      </c>
      <c r="R63" s="394">
        <v>181.47</v>
      </c>
      <c r="S63" s="389">
        <v>907.33</v>
      </c>
      <c r="T63" s="422">
        <v>181.46600000000001</v>
      </c>
      <c r="U63" s="394">
        <v>907.33</v>
      </c>
      <c r="V63" s="386" t="s">
        <v>224</v>
      </c>
      <c r="W63" s="386" t="s">
        <v>330</v>
      </c>
    </row>
    <row r="64" spans="1:23" ht="26.45" customHeight="1">
      <c r="A64" s="386">
        <v>57</v>
      </c>
      <c r="B64" s="387" t="s">
        <v>307</v>
      </c>
      <c r="C64" s="387" t="s">
        <v>483</v>
      </c>
      <c r="D64" s="390" t="s">
        <v>233</v>
      </c>
      <c r="E64" s="391" t="s">
        <v>422</v>
      </c>
      <c r="F64" s="392" t="s">
        <v>442</v>
      </c>
      <c r="G64" s="386" t="s">
        <v>281</v>
      </c>
      <c r="H64" s="386" t="s">
        <v>282</v>
      </c>
      <c r="I64" s="387">
        <v>5</v>
      </c>
      <c r="J64" s="387" t="s">
        <v>226</v>
      </c>
      <c r="K64" s="397">
        <v>4.32</v>
      </c>
      <c r="L64" s="389" t="s">
        <v>382</v>
      </c>
      <c r="M64" s="389" t="s">
        <v>383</v>
      </c>
      <c r="N64" s="393" t="s">
        <v>384</v>
      </c>
      <c r="O64" s="389" t="s">
        <v>385</v>
      </c>
      <c r="P64" s="389"/>
      <c r="Q64" s="389">
        <v>175</v>
      </c>
      <c r="R64" s="394">
        <v>181.47</v>
      </c>
      <c r="S64" s="389">
        <v>907.33</v>
      </c>
      <c r="T64" s="422">
        <v>181.46600000000001</v>
      </c>
      <c r="U64" s="394">
        <v>907.33</v>
      </c>
      <c r="V64" s="386" t="s">
        <v>225</v>
      </c>
      <c r="W64" s="386" t="s">
        <v>330</v>
      </c>
    </row>
    <row r="65" spans="1:33" ht="26.45" customHeight="1">
      <c r="A65" s="386">
        <v>58</v>
      </c>
      <c r="B65" s="387" t="s">
        <v>308</v>
      </c>
      <c r="C65" s="387" t="s">
        <v>483</v>
      </c>
      <c r="D65" s="390" t="s">
        <v>353</v>
      </c>
      <c r="E65" s="391" t="s">
        <v>419</v>
      </c>
      <c r="F65" s="392" t="s">
        <v>439</v>
      </c>
      <c r="G65" s="386" t="s">
        <v>281</v>
      </c>
      <c r="H65" s="386" t="s">
        <v>282</v>
      </c>
      <c r="I65" s="387">
        <v>5</v>
      </c>
      <c r="J65" s="387" t="s">
        <v>188</v>
      </c>
      <c r="K65" s="397">
        <v>663.1</v>
      </c>
      <c r="L65" s="389" t="s">
        <v>382</v>
      </c>
      <c r="M65" s="389" t="s">
        <v>383</v>
      </c>
      <c r="N65" s="393" t="s">
        <v>384</v>
      </c>
      <c r="O65" s="389" t="s">
        <v>385</v>
      </c>
      <c r="P65" s="389"/>
      <c r="Q65" s="389">
        <v>175</v>
      </c>
      <c r="R65" s="394">
        <v>181.47</v>
      </c>
      <c r="S65" s="389">
        <v>907.33</v>
      </c>
      <c r="T65" s="422">
        <v>181.46600000000001</v>
      </c>
      <c r="U65" s="394">
        <v>907.33</v>
      </c>
      <c r="V65" s="386" t="s">
        <v>222</v>
      </c>
      <c r="W65" s="386" t="s">
        <v>330</v>
      </c>
    </row>
    <row r="66" spans="1:33" ht="26.45" customHeight="1">
      <c r="A66" s="386">
        <v>59</v>
      </c>
      <c r="B66" s="387" t="s">
        <v>308</v>
      </c>
      <c r="C66" s="387" t="s">
        <v>483</v>
      </c>
      <c r="D66" s="390" t="s">
        <v>355</v>
      </c>
      <c r="E66" s="391" t="s">
        <v>420</v>
      </c>
      <c r="F66" s="392" t="s">
        <v>440</v>
      </c>
      <c r="G66" s="386" t="s">
        <v>281</v>
      </c>
      <c r="H66" s="386" t="s">
        <v>282</v>
      </c>
      <c r="I66" s="387">
        <v>5</v>
      </c>
      <c r="J66" s="387" t="s">
        <v>226</v>
      </c>
      <c r="K66" s="397">
        <v>25.59</v>
      </c>
      <c r="L66" s="389" t="s">
        <v>382</v>
      </c>
      <c r="M66" s="389" t="s">
        <v>383</v>
      </c>
      <c r="N66" s="393" t="s">
        <v>384</v>
      </c>
      <c r="O66" s="389" t="s">
        <v>385</v>
      </c>
      <c r="P66" s="389"/>
      <c r="Q66" s="389">
        <v>175</v>
      </c>
      <c r="R66" s="394">
        <v>181.47</v>
      </c>
      <c r="S66" s="389">
        <v>907.33</v>
      </c>
      <c r="T66" s="422">
        <v>181.46600000000001</v>
      </c>
      <c r="U66" s="394">
        <v>907.33</v>
      </c>
      <c r="V66" s="386" t="s">
        <v>223</v>
      </c>
      <c r="W66" s="386" t="s">
        <v>330</v>
      </c>
    </row>
    <row r="67" spans="1:33" ht="26.45" customHeight="1">
      <c r="A67" s="386">
        <v>60</v>
      </c>
      <c r="B67" s="387" t="s">
        <v>308</v>
      </c>
      <c r="C67" s="387" t="s">
        <v>483</v>
      </c>
      <c r="D67" s="390" t="s">
        <v>357</v>
      </c>
      <c r="E67" s="391" t="s">
        <v>421</v>
      </c>
      <c r="F67" s="392" t="s">
        <v>441</v>
      </c>
      <c r="G67" s="386" t="s">
        <v>281</v>
      </c>
      <c r="H67" s="386" t="s">
        <v>282</v>
      </c>
      <c r="I67" s="387">
        <v>5</v>
      </c>
      <c r="J67" s="387" t="s">
        <v>226</v>
      </c>
      <c r="K67" s="397">
        <v>6.99</v>
      </c>
      <c r="L67" s="389" t="s">
        <v>382</v>
      </c>
      <c r="M67" s="389" t="s">
        <v>383</v>
      </c>
      <c r="N67" s="393" t="s">
        <v>384</v>
      </c>
      <c r="O67" s="389" t="s">
        <v>385</v>
      </c>
      <c r="P67" s="389"/>
      <c r="Q67" s="389">
        <v>175</v>
      </c>
      <c r="R67" s="394">
        <v>181.47</v>
      </c>
      <c r="S67" s="389">
        <v>907.33</v>
      </c>
      <c r="T67" s="422">
        <v>181.46600000000001</v>
      </c>
      <c r="U67" s="394">
        <v>907.33</v>
      </c>
      <c r="V67" s="386" t="s">
        <v>224</v>
      </c>
      <c r="W67" s="386" t="s">
        <v>330</v>
      </c>
    </row>
    <row r="68" spans="1:33" ht="26.45" customHeight="1">
      <c r="A68" s="386">
        <v>61</v>
      </c>
      <c r="B68" s="387" t="s">
        <v>308</v>
      </c>
      <c r="C68" s="387" t="s">
        <v>483</v>
      </c>
      <c r="D68" s="390" t="s">
        <v>358</v>
      </c>
      <c r="E68" s="391" t="s">
        <v>422</v>
      </c>
      <c r="F68" s="392" t="s">
        <v>442</v>
      </c>
      <c r="G68" s="386" t="s">
        <v>281</v>
      </c>
      <c r="H68" s="386" t="s">
        <v>282</v>
      </c>
      <c r="I68" s="387">
        <v>5</v>
      </c>
      <c r="J68" s="387" t="s">
        <v>226</v>
      </c>
      <c r="K68" s="397">
        <v>4.32</v>
      </c>
      <c r="L68" s="389" t="s">
        <v>382</v>
      </c>
      <c r="M68" s="389" t="s">
        <v>383</v>
      </c>
      <c r="N68" s="393" t="s">
        <v>384</v>
      </c>
      <c r="O68" s="389" t="s">
        <v>385</v>
      </c>
      <c r="P68" s="389"/>
      <c r="Q68" s="389">
        <v>175</v>
      </c>
      <c r="R68" s="394">
        <v>181.47</v>
      </c>
      <c r="S68" s="389">
        <v>907.33</v>
      </c>
      <c r="T68" s="422">
        <v>181.46600000000001</v>
      </c>
      <c r="U68" s="394">
        <v>907.33</v>
      </c>
      <c r="V68" s="386" t="s">
        <v>225</v>
      </c>
      <c r="W68" s="386" t="s">
        <v>330</v>
      </c>
    </row>
    <row r="69" spans="1:33" ht="26.45" customHeight="1">
      <c r="A69" s="386">
        <v>62</v>
      </c>
      <c r="B69" s="387" t="s">
        <v>309</v>
      </c>
      <c r="C69" s="387" t="s">
        <v>483</v>
      </c>
      <c r="D69" s="390" t="s">
        <v>353</v>
      </c>
      <c r="E69" s="391" t="s">
        <v>419</v>
      </c>
      <c r="F69" s="392" t="s">
        <v>439</v>
      </c>
      <c r="G69" s="386" t="s">
        <v>281</v>
      </c>
      <c r="H69" s="386" t="s">
        <v>282</v>
      </c>
      <c r="I69" s="387">
        <v>5</v>
      </c>
      <c r="J69" s="387" t="s">
        <v>188</v>
      </c>
      <c r="K69" s="397">
        <v>663.1</v>
      </c>
      <c r="L69" s="389" t="s">
        <v>382</v>
      </c>
      <c r="M69" s="389" t="s">
        <v>383</v>
      </c>
      <c r="N69" s="393" t="s">
        <v>384</v>
      </c>
      <c r="O69" s="389" t="s">
        <v>385</v>
      </c>
      <c r="P69" s="389"/>
      <c r="Q69" s="389">
        <v>175</v>
      </c>
      <c r="R69" s="394">
        <v>181.47</v>
      </c>
      <c r="S69" s="389">
        <v>907.33</v>
      </c>
      <c r="T69" s="422">
        <v>181.46600000000001</v>
      </c>
      <c r="U69" s="394">
        <v>907.33</v>
      </c>
      <c r="V69" s="386" t="s">
        <v>222</v>
      </c>
      <c r="W69" s="386" t="s">
        <v>330</v>
      </c>
    </row>
    <row r="70" spans="1:33" ht="26.45" customHeight="1">
      <c r="A70" s="386">
        <v>63</v>
      </c>
      <c r="B70" s="387" t="s">
        <v>309</v>
      </c>
      <c r="C70" s="387" t="s">
        <v>483</v>
      </c>
      <c r="D70" s="390" t="s">
        <v>355</v>
      </c>
      <c r="E70" s="391" t="s">
        <v>420</v>
      </c>
      <c r="F70" s="392" t="s">
        <v>440</v>
      </c>
      <c r="G70" s="386" t="s">
        <v>281</v>
      </c>
      <c r="H70" s="386" t="s">
        <v>282</v>
      </c>
      <c r="I70" s="387">
        <v>5</v>
      </c>
      <c r="J70" s="387" t="s">
        <v>226</v>
      </c>
      <c r="K70" s="397">
        <v>25.59</v>
      </c>
      <c r="L70" s="389" t="s">
        <v>382</v>
      </c>
      <c r="M70" s="389" t="s">
        <v>383</v>
      </c>
      <c r="N70" s="393" t="s">
        <v>384</v>
      </c>
      <c r="O70" s="389" t="s">
        <v>385</v>
      </c>
      <c r="P70" s="389"/>
      <c r="Q70" s="389">
        <v>175</v>
      </c>
      <c r="R70" s="394">
        <v>181.47</v>
      </c>
      <c r="S70" s="389">
        <v>907.33</v>
      </c>
      <c r="T70" s="422">
        <v>181.46600000000001</v>
      </c>
      <c r="U70" s="394">
        <v>907.33</v>
      </c>
      <c r="V70" s="386" t="s">
        <v>223</v>
      </c>
      <c r="W70" s="386" t="s">
        <v>330</v>
      </c>
    </row>
    <row r="71" spans="1:33" ht="26.45" customHeight="1">
      <c r="A71" s="386">
        <v>64</v>
      </c>
      <c r="B71" s="387" t="s">
        <v>309</v>
      </c>
      <c r="C71" s="387" t="s">
        <v>483</v>
      </c>
      <c r="D71" s="390" t="s">
        <v>357</v>
      </c>
      <c r="E71" s="391" t="s">
        <v>421</v>
      </c>
      <c r="F71" s="392" t="s">
        <v>441</v>
      </c>
      <c r="G71" s="386" t="s">
        <v>281</v>
      </c>
      <c r="H71" s="386" t="s">
        <v>282</v>
      </c>
      <c r="I71" s="387">
        <v>5</v>
      </c>
      <c r="J71" s="387" t="s">
        <v>226</v>
      </c>
      <c r="K71" s="397">
        <v>6.99</v>
      </c>
      <c r="L71" s="389" t="s">
        <v>382</v>
      </c>
      <c r="M71" s="389" t="s">
        <v>383</v>
      </c>
      <c r="N71" s="393" t="s">
        <v>384</v>
      </c>
      <c r="O71" s="389" t="s">
        <v>385</v>
      </c>
      <c r="P71" s="389"/>
      <c r="Q71" s="389">
        <v>175</v>
      </c>
      <c r="R71" s="394">
        <v>181.47</v>
      </c>
      <c r="S71" s="389">
        <v>907.33</v>
      </c>
      <c r="T71" s="422">
        <v>181.46600000000001</v>
      </c>
      <c r="U71" s="394">
        <v>907.33</v>
      </c>
      <c r="V71" s="386" t="s">
        <v>224</v>
      </c>
      <c r="W71" s="386" t="s">
        <v>330</v>
      </c>
    </row>
    <row r="72" spans="1:33" ht="26.45" customHeight="1">
      <c r="A72" s="386">
        <v>65</v>
      </c>
      <c r="B72" s="387" t="s">
        <v>309</v>
      </c>
      <c r="C72" s="387" t="s">
        <v>483</v>
      </c>
      <c r="D72" s="390" t="s">
        <v>358</v>
      </c>
      <c r="E72" s="391" t="s">
        <v>422</v>
      </c>
      <c r="F72" s="392" t="s">
        <v>442</v>
      </c>
      <c r="G72" s="386" t="s">
        <v>281</v>
      </c>
      <c r="H72" s="386" t="s">
        <v>282</v>
      </c>
      <c r="I72" s="387">
        <v>5</v>
      </c>
      <c r="J72" s="387" t="s">
        <v>226</v>
      </c>
      <c r="K72" s="397">
        <v>4.32</v>
      </c>
      <c r="L72" s="389" t="s">
        <v>382</v>
      </c>
      <c r="M72" s="389" t="s">
        <v>383</v>
      </c>
      <c r="N72" s="393" t="s">
        <v>384</v>
      </c>
      <c r="O72" s="389" t="s">
        <v>385</v>
      </c>
      <c r="P72" s="389"/>
      <c r="Q72" s="389">
        <v>175</v>
      </c>
      <c r="R72" s="394">
        <v>181.47</v>
      </c>
      <c r="S72" s="389">
        <v>907.33</v>
      </c>
      <c r="T72" s="422">
        <v>181.46600000000001</v>
      </c>
      <c r="U72" s="394">
        <v>907.33</v>
      </c>
      <c r="V72" s="386" t="s">
        <v>225</v>
      </c>
      <c r="W72" s="386" t="s">
        <v>330</v>
      </c>
    </row>
    <row r="73" spans="1:33" ht="26.45" customHeight="1">
      <c r="A73" s="386">
        <v>66</v>
      </c>
      <c r="B73" s="387" t="s">
        <v>310</v>
      </c>
      <c r="C73" s="387" t="s">
        <v>483</v>
      </c>
      <c r="D73" s="390" t="s">
        <v>353</v>
      </c>
      <c r="E73" s="391" t="s">
        <v>443</v>
      </c>
      <c r="F73" s="392" t="s">
        <v>439</v>
      </c>
      <c r="G73" s="386" t="s">
        <v>281</v>
      </c>
      <c r="H73" s="386" t="s">
        <v>282</v>
      </c>
      <c r="I73" s="387">
        <v>5</v>
      </c>
      <c r="J73" s="387" t="s">
        <v>188</v>
      </c>
      <c r="K73" s="397">
        <v>638.1</v>
      </c>
      <c r="L73" s="389" t="s">
        <v>382</v>
      </c>
      <c r="M73" s="389" t="s">
        <v>383</v>
      </c>
      <c r="N73" s="393" t="s">
        <v>384</v>
      </c>
      <c r="O73" s="389" t="s">
        <v>385</v>
      </c>
      <c r="P73" s="389"/>
      <c r="Q73" s="389">
        <v>168.75</v>
      </c>
      <c r="R73" s="394">
        <v>174.98</v>
      </c>
      <c r="S73" s="389">
        <v>874.92</v>
      </c>
      <c r="T73" s="422">
        <v>174.98399999999998</v>
      </c>
      <c r="U73" s="394">
        <v>874.91999999999985</v>
      </c>
      <c r="V73" s="386" t="s">
        <v>227</v>
      </c>
      <c r="W73" s="386" t="s">
        <v>330</v>
      </c>
      <c r="AG73" s="398"/>
    </row>
    <row r="74" spans="1:33" ht="26.45" customHeight="1">
      <c r="A74" s="386">
        <v>67</v>
      </c>
      <c r="B74" s="387" t="s">
        <v>310</v>
      </c>
      <c r="C74" s="387" t="s">
        <v>483</v>
      </c>
      <c r="D74" s="390" t="s">
        <v>355</v>
      </c>
      <c r="E74" s="391" t="s">
        <v>420</v>
      </c>
      <c r="F74" s="392" t="s">
        <v>440</v>
      </c>
      <c r="G74" s="386" t="s">
        <v>281</v>
      </c>
      <c r="H74" s="386" t="s">
        <v>282</v>
      </c>
      <c r="I74" s="387">
        <v>5</v>
      </c>
      <c r="J74" s="387" t="s">
        <v>226</v>
      </c>
      <c r="K74" s="397">
        <v>25.59</v>
      </c>
      <c r="L74" s="389" t="s">
        <v>382</v>
      </c>
      <c r="M74" s="389" t="s">
        <v>383</v>
      </c>
      <c r="N74" s="393" t="s">
        <v>384</v>
      </c>
      <c r="O74" s="389" t="s">
        <v>385</v>
      </c>
      <c r="P74" s="389"/>
      <c r="Q74" s="389">
        <v>168.75</v>
      </c>
      <c r="R74" s="394">
        <v>174.98</v>
      </c>
      <c r="S74" s="389">
        <v>874.92</v>
      </c>
      <c r="T74" s="422">
        <v>174.98399999999998</v>
      </c>
      <c r="U74" s="394">
        <v>874.91999999999985</v>
      </c>
      <c r="V74" s="386" t="s">
        <v>228</v>
      </c>
      <c r="W74" s="386" t="s">
        <v>330</v>
      </c>
    </row>
    <row r="75" spans="1:33" ht="26.45" customHeight="1">
      <c r="A75" s="386">
        <v>68</v>
      </c>
      <c r="B75" s="387" t="s">
        <v>310</v>
      </c>
      <c r="C75" s="387" t="s">
        <v>483</v>
      </c>
      <c r="D75" s="390" t="s">
        <v>357</v>
      </c>
      <c r="E75" s="391" t="s">
        <v>421</v>
      </c>
      <c r="F75" s="392" t="s">
        <v>441</v>
      </c>
      <c r="G75" s="386" t="s">
        <v>281</v>
      </c>
      <c r="H75" s="386" t="s">
        <v>282</v>
      </c>
      <c r="I75" s="387">
        <v>5</v>
      </c>
      <c r="J75" s="387" t="s">
        <v>226</v>
      </c>
      <c r="K75" s="397">
        <v>6.99</v>
      </c>
      <c r="L75" s="389" t="s">
        <v>382</v>
      </c>
      <c r="M75" s="389" t="s">
        <v>383</v>
      </c>
      <c r="N75" s="393" t="s">
        <v>384</v>
      </c>
      <c r="O75" s="389" t="s">
        <v>385</v>
      </c>
      <c r="P75" s="389"/>
      <c r="Q75" s="389">
        <v>168.75</v>
      </c>
      <c r="R75" s="394">
        <v>174.98</v>
      </c>
      <c r="S75" s="389">
        <v>874.92</v>
      </c>
      <c r="T75" s="422">
        <v>174.98399999999998</v>
      </c>
      <c r="U75" s="394">
        <v>874.91999999999985</v>
      </c>
      <c r="V75" s="386" t="s">
        <v>229</v>
      </c>
      <c r="W75" s="386" t="s">
        <v>330</v>
      </c>
    </row>
    <row r="76" spans="1:33" ht="26.45" customHeight="1">
      <c r="A76" s="386">
        <v>69</v>
      </c>
      <c r="B76" s="387" t="s">
        <v>310</v>
      </c>
      <c r="C76" s="387" t="s">
        <v>483</v>
      </c>
      <c r="D76" s="390" t="s">
        <v>358</v>
      </c>
      <c r="E76" s="391" t="s">
        <v>422</v>
      </c>
      <c r="F76" s="392" t="s">
        <v>442</v>
      </c>
      <c r="G76" s="386" t="s">
        <v>281</v>
      </c>
      <c r="H76" s="386" t="s">
        <v>282</v>
      </c>
      <c r="I76" s="387">
        <v>5</v>
      </c>
      <c r="J76" s="387" t="s">
        <v>226</v>
      </c>
      <c r="K76" s="397">
        <v>4.32</v>
      </c>
      <c r="L76" s="389" t="s">
        <v>382</v>
      </c>
      <c r="M76" s="389" t="s">
        <v>383</v>
      </c>
      <c r="N76" s="393" t="s">
        <v>384</v>
      </c>
      <c r="O76" s="389" t="s">
        <v>385</v>
      </c>
      <c r="P76" s="389"/>
      <c r="Q76" s="389">
        <v>168.75</v>
      </c>
      <c r="R76" s="394">
        <v>174.98</v>
      </c>
      <c r="S76" s="389">
        <v>874.92</v>
      </c>
      <c r="T76" s="422">
        <v>174.98399999999998</v>
      </c>
      <c r="U76" s="394">
        <v>874.91999999999985</v>
      </c>
      <c r="V76" s="386" t="s">
        <v>230</v>
      </c>
      <c r="W76" s="386" t="s">
        <v>330</v>
      </c>
    </row>
    <row r="77" spans="1:33" ht="26.45" customHeight="1">
      <c r="A77" s="386">
        <v>70</v>
      </c>
      <c r="B77" s="387" t="s">
        <v>311</v>
      </c>
      <c r="C77" s="387" t="s">
        <v>483</v>
      </c>
      <c r="D77" s="390" t="s">
        <v>353</v>
      </c>
      <c r="E77" s="391" t="s">
        <v>443</v>
      </c>
      <c r="F77" s="392" t="s">
        <v>439</v>
      </c>
      <c r="G77" s="386" t="s">
        <v>281</v>
      </c>
      <c r="H77" s="386" t="s">
        <v>282</v>
      </c>
      <c r="I77" s="387">
        <v>5</v>
      </c>
      <c r="J77" s="387" t="s">
        <v>188</v>
      </c>
      <c r="K77" s="397">
        <v>638.1</v>
      </c>
      <c r="L77" s="389" t="s">
        <v>382</v>
      </c>
      <c r="M77" s="389" t="s">
        <v>383</v>
      </c>
      <c r="N77" s="393" t="s">
        <v>384</v>
      </c>
      <c r="O77" s="389" t="s">
        <v>385</v>
      </c>
      <c r="P77" s="389"/>
      <c r="Q77" s="389">
        <v>168.75</v>
      </c>
      <c r="R77" s="394">
        <v>174.98</v>
      </c>
      <c r="S77" s="389">
        <v>874.92</v>
      </c>
      <c r="T77" s="422">
        <v>174.98399999999998</v>
      </c>
      <c r="U77" s="394">
        <v>874.91999999999985</v>
      </c>
      <c r="V77" s="386" t="s">
        <v>227</v>
      </c>
      <c r="W77" s="386" t="s">
        <v>330</v>
      </c>
    </row>
    <row r="78" spans="1:33" ht="26.45" customHeight="1">
      <c r="A78" s="386">
        <v>71</v>
      </c>
      <c r="B78" s="387" t="s">
        <v>311</v>
      </c>
      <c r="C78" s="387" t="s">
        <v>483</v>
      </c>
      <c r="D78" s="390" t="s">
        <v>355</v>
      </c>
      <c r="E78" s="391" t="s">
        <v>420</v>
      </c>
      <c r="F78" s="392" t="s">
        <v>440</v>
      </c>
      <c r="G78" s="386" t="s">
        <v>281</v>
      </c>
      <c r="H78" s="386" t="s">
        <v>282</v>
      </c>
      <c r="I78" s="387">
        <v>5</v>
      </c>
      <c r="J78" s="387" t="s">
        <v>226</v>
      </c>
      <c r="K78" s="397">
        <v>25.59</v>
      </c>
      <c r="L78" s="389" t="s">
        <v>382</v>
      </c>
      <c r="M78" s="389" t="s">
        <v>383</v>
      </c>
      <c r="N78" s="393" t="s">
        <v>384</v>
      </c>
      <c r="O78" s="389" t="s">
        <v>385</v>
      </c>
      <c r="P78" s="389"/>
      <c r="Q78" s="389">
        <v>168.75</v>
      </c>
      <c r="R78" s="394">
        <v>174.98</v>
      </c>
      <c r="S78" s="389">
        <v>874.92</v>
      </c>
      <c r="T78" s="422">
        <v>174.98399999999998</v>
      </c>
      <c r="U78" s="394">
        <v>874.91999999999985</v>
      </c>
      <c r="V78" s="386" t="s">
        <v>228</v>
      </c>
      <c r="W78" s="386" t="s">
        <v>330</v>
      </c>
    </row>
    <row r="79" spans="1:33" ht="26.45" customHeight="1">
      <c r="A79" s="386">
        <v>72</v>
      </c>
      <c r="B79" s="387" t="s">
        <v>311</v>
      </c>
      <c r="C79" s="387" t="s">
        <v>483</v>
      </c>
      <c r="D79" s="390" t="s">
        <v>357</v>
      </c>
      <c r="E79" s="391" t="s">
        <v>421</v>
      </c>
      <c r="F79" s="392" t="s">
        <v>441</v>
      </c>
      <c r="G79" s="386" t="s">
        <v>281</v>
      </c>
      <c r="H79" s="386" t="s">
        <v>282</v>
      </c>
      <c r="I79" s="387">
        <v>5</v>
      </c>
      <c r="J79" s="387" t="s">
        <v>226</v>
      </c>
      <c r="K79" s="397">
        <v>6.99</v>
      </c>
      <c r="L79" s="389" t="s">
        <v>382</v>
      </c>
      <c r="M79" s="389" t="s">
        <v>383</v>
      </c>
      <c r="N79" s="393" t="s">
        <v>384</v>
      </c>
      <c r="O79" s="389" t="s">
        <v>385</v>
      </c>
      <c r="P79" s="389"/>
      <c r="Q79" s="389">
        <v>168.75</v>
      </c>
      <c r="R79" s="394">
        <v>174.98</v>
      </c>
      <c r="S79" s="389">
        <v>874.92</v>
      </c>
      <c r="T79" s="422">
        <v>174.98399999999998</v>
      </c>
      <c r="U79" s="394">
        <v>874.91999999999985</v>
      </c>
      <c r="V79" s="386" t="s">
        <v>229</v>
      </c>
      <c r="W79" s="386" t="s">
        <v>330</v>
      </c>
    </row>
    <row r="80" spans="1:33" ht="26.45" customHeight="1">
      <c r="A80" s="386">
        <v>73</v>
      </c>
      <c r="B80" s="387" t="s">
        <v>311</v>
      </c>
      <c r="C80" s="387" t="s">
        <v>483</v>
      </c>
      <c r="D80" s="390" t="s">
        <v>358</v>
      </c>
      <c r="E80" s="391" t="s">
        <v>422</v>
      </c>
      <c r="F80" s="392" t="s">
        <v>442</v>
      </c>
      <c r="G80" s="386" t="s">
        <v>281</v>
      </c>
      <c r="H80" s="386" t="s">
        <v>282</v>
      </c>
      <c r="I80" s="387">
        <v>5</v>
      </c>
      <c r="J80" s="387" t="s">
        <v>226</v>
      </c>
      <c r="K80" s="397">
        <v>4.32</v>
      </c>
      <c r="L80" s="389" t="s">
        <v>382</v>
      </c>
      <c r="M80" s="389" t="s">
        <v>383</v>
      </c>
      <c r="N80" s="393" t="s">
        <v>384</v>
      </c>
      <c r="O80" s="389" t="s">
        <v>385</v>
      </c>
      <c r="P80" s="389"/>
      <c r="Q80" s="389">
        <v>168.75</v>
      </c>
      <c r="R80" s="394">
        <v>174.98</v>
      </c>
      <c r="S80" s="389">
        <v>874.92</v>
      </c>
      <c r="T80" s="422">
        <v>174.98399999999998</v>
      </c>
      <c r="U80" s="394">
        <v>874.91999999999985</v>
      </c>
      <c r="V80" s="386" t="s">
        <v>230</v>
      </c>
      <c r="W80" s="386" t="s">
        <v>330</v>
      </c>
    </row>
    <row r="81" spans="1:23" ht="26.45" customHeight="1">
      <c r="A81" s="386">
        <v>74</v>
      </c>
      <c r="B81" s="387" t="s">
        <v>312</v>
      </c>
      <c r="C81" s="387" t="s">
        <v>483</v>
      </c>
      <c r="D81" s="390" t="s">
        <v>353</v>
      </c>
      <c r="E81" s="391" t="s">
        <v>443</v>
      </c>
      <c r="F81" s="392" t="s">
        <v>439</v>
      </c>
      <c r="G81" s="386" t="s">
        <v>281</v>
      </c>
      <c r="H81" s="386" t="s">
        <v>282</v>
      </c>
      <c r="I81" s="387">
        <v>5</v>
      </c>
      <c r="J81" s="387" t="s">
        <v>188</v>
      </c>
      <c r="K81" s="397">
        <v>638.1</v>
      </c>
      <c r="L81" s="389" t="s">
        <v>382</v>
      </c>
      <c r="M81" s="389" t="s">
        <v>383</v>
      </c>
      <c r="N81" s="393" t="s">
        <v>384</v>
      </c>
      <c r="O81" s="389" t="s">
        <v>385</v>
      </c>
      <c r="P81" s="389"/>
      <c r="Q81" s="389">
        <v>168.75</v>
      </c>
      <c r="R81" s="394">
        <v>174.98</v>
      </c>
      <c r="S81" s="389">
        <v>874.92</v>
      </c>
      <c r="T81" s="422">
        <v>174.98399999999998</v>
      </c>
      <c r="U81" s="394">
        <v>874.91999999999985</v>
      </c>
      <c r="V81" s="386" t="s">
        <v>227</v>
      </c>
      <c r="W81" s="386" t="s">
        <v>330</v>
      </c>
    </row>
    <row r="82" spans="1:23" ht="26.45" customHeight="1">
      <c r="A82" s="386">
        <v>75</v>
      </c>
      <c r="B82" s="387" t="s">
        <v>312</v>
      </c>
      <c r="C82" s="387" t="s">
        <v>483</v>
      </c>
      <c r="D82" s="390" t="s">
        <v>355</v>
      </c>
      <c r="E82" s="391" t="s">
        <v>420</v>
      </c>
      <c r="F82" s="392" t="s">
        <v>440</v>
      </c>
      <c r="G82" s="386" t="s">
        <v>281</v>
      </c>
      <c r="H82" s="386" t="s">
        <v>282</v>
      </c>
      <c r="I82" s="387">
        <v>5</v>
      </c>
      <c r="J82" s="387" t="s">
        <v>226</v>
      </c>
      <c r="K82" s="397">
        <v>25.59</v>
      </c>
      <c r="L82" s="389" t="s">
        <v>382</v>
      </c>
      <c r="M82" s="389" t="s">
        <v>383</v>
      </c>
      <c r="N82" s="393" t="s">
        <v>384</v>
      </c>
      <c r="O82" s="389" t="s">
        <v>385</v>
      </c>
      <c r="P82" s="389"/>
      <c r="Q82" s="389">
        <v>168.75</v>
      </c>
      <c r="R82" s="394">
        <v>174.98</v>
      </c>
      <c r="S82" s="389">
        <v>874.92</v>
      </c>
      <c r="T82" s="422">
        <v>174.98399999999998</v>
      </c>
      <c r="U82" s="394">
        <v>874.91999999999985</v>
      </c>
      <c r="V82" s="386" t="s">
        <v>228</v>
      </c>
      <c r="W82" s="386" t="s">
        <v>330</v>
      </c>
    </row>
    <row r="83" spans="1:23" ht="26.45" customHeight="1">
      <c r="A83" s="386">
        <v>76</v>
      </c>
      <c r="B83" s="387" t="s">
        <v>312</v>
      </c>
      <c r="C83" s="387" t="s">
        <v>483</v>
      </c>
      <c r="D83" s="390" t="s">
        <v>357</v>
      </c>
      <c r="E83" s="391" t="s">
        <v>421</v>
      </c>
      <c r="F83" s="392" t="s">
        <v>441</v>
      </c>
      <c r="G83" s="386" t="s">
        <v>281</v>
      </c>
      <c r="H83" s="386" t="s">
        <v>282</v>
      </c>
      <c r="I83" s="387">
        <v>5</v>
      </c>
      <c r="J83" s="387" t="s">
        <v>226</v>
      </c>
      <c r="K83" s="397">
        <v>6.99</v>
      </c>
      <c r="L83" s="389" t="s">
        <v>382</v>
      </c>
      <c r="M83" s="389" t="s">
        <v>383</v>
      </c>
      <c r="N83" s="393" t="s">
        <v>384</v>
      </c>
      <c r="O83" s="389" t="s">
        <v>385</v>
      </c>
      <c r="P83" s="389"/>
      <c r="Q83" s="389">
        <v>168.75</v>
      </c>
      <c r="R83" s="394">
        <v>174.98</v>
      </c>
      <c r="S83" s="389">
        <v>874.92</v>
      </c>
      <c r="T83" s="422">
        <v>174.98399999999998</v>
      </c>
      <c r="U83" s="394">
        <v>874.91999999999985</v>
      </c>
      <c r="V83" s="386" t="s">
        <v>229</v>
      </c>
      <c r="W83" s="386" t="s">
        <v>330</v>
      </c>
    </row>
    <row r="84" spans="1:23" ht="26.45" customHeight="1">
      <c r="A84" s="386">
        <v>77</v>
      </c>
      <c r="B84" s="387" t="s">
        <v>312</v>
      </c>
      <c r="C84" s="387" t="s">
        <v>483</v>
      </c>
      <c r="D84" s="390" t="s">
        <v>358</v>
      </c>
      <c r="E84" s="391" t="s">
        <v>422</v>
      </c>
      <c r="F84" s="392" t="s">
        <v>442</v>
      </c>
      <c r="G84" s="386" t="s">
        <v>281</v>
      </c>
      <c r="H84" s="386" t="s">
        <v>282</v>
      </c>
      <c r="I84" s="387">
        <v>5</v>
      </c>
      <c r="J84" s="387" t="s">
        <v>226</v>
      </c>
      <c r="K84" s="397">
        <v>4.32</v>
      </c>
      <c r="L84" s="389" t="s">
        <v>382</v>
      </c>
      <c r="M84" s="389" t="s">
        <v>383</v>
      </c>
      <c r="N84" s="393" t="s">
        <v>384</v>
      </c>
      <c r="O84" s="389" t="s">
        <v>385</v>
      </c>
      <c r="P84" s="389"/>
      <c r="Q84" s="389">
        <v>168.75</v>
      </c>
      <c r="R84" s="394">
        <v>174.98</v>
      </c>
      <c r="S84" s="389">
        <v>874.92</v>
      </c>
      <c r="T84" s="422">
        <v>174.98399999999998</v>
      </c>
      <c r="U84" s="394">
        <v>874.91999999999985</v>
      </c>
      <c r="V84" s="386" t="s">
        <v>230</v>
      </c>
      <c r="W84" s="386" t="s">
        <v>330</v>
      </c>
    </row>
    <row r="85" spans="1:23" ht="26.45" customHeight="1">
      <c r="A85" s="386">
        <v>78</v>
      </c>
      <c r="B85" s="387" t="s">
        <v>313</v>
      </c>
      <c r="C85" s="387" t="s">
        <v>483</v>
      </c>
      <c r="D85" s="390" t="s">
        <v>353</v>
      </c>
      <c r="E85" s="391" t="s">
        <v>443</v>
      </c>
      <c r="F85" s="392" t="s">
        <v>439</v>
      </c>
      <c r="G85" s="386" t="s">
        <v>281</v>
      </c>
      <c r="H85" s="386" t="s">
        <v>282</v>
      </c>
      <c r="I85" s="387">
        <v>5</v>
      </c>
      <c r="J85" s="387" t="s">
        <v>188</v>
      </c>
      <c r="K85" s="397">
        <v>638.1</v>
      </c>
      <c r="L85" s="389" t="s">
        <v>382</v>
      </c>
      <c r="M85" s="389" t="s">
        <v>383</v>
      </c>
      <c r="N85" s="393" t="s">
        <v>384</v>
      </c>
      <c r="O85" s="389" t="s">
        <v>385</v>
      </c>
      <c r="P85" s="389"/>
      <c r="Q85" s="389">
        <v>168.75</v>
      </c>
      <c r="R85" s="394">
        <v>174.98</v>
      </c>
      <c r="S85" s="389">
        <v>874.92</v>
      </c>
      <c r="T85" s="422">
        <v>174.98399999999998</v>
      </c>
      <c r="U85" s="394">
        <v>874.91999999999985</v>
      </c>
      <c r="V85" s="386" t="s">
        <v>227</v>
      </c>
      <c r="W85" s="386" t="s">
        <v>330</v>
      </c>
    </row>
    <row r="86" spans="1:23" ht="26.45" customHeight="1">
      <c r="A86" s="386">
        <v>79</v>
      </c>
      <c r="B86" s="387" t="s">
        <v>313</v>
      </c>
      <c r="C86" s="387" t="s">
        <v>483</v>
      </c>
      <c r="D86" s="390" t="s">
        <v>355</v>
      </c>
      <c r="E86" s="391" t="s">
        <v>420</v>
      </c>
      <c r="F86" s="392" t="s">
        <v>440</v>
      </c>
      <c r="G86" s="386" t="s">
        <v>281</v>
      </c>
      <c r="H86" s="386" t="s">
        <v>282</v>
      </c>
      <c r="I86" s="387">
        <v>5</v>
      </c>
      <c r="J86" s="387" t="s">
        <v>226</v>
      </c>
      <c r="K86" s="397">
        <v>25.59</v>
      </c>
      <c r="L86" s="389" t="s">
        <v>382</v>
      </c>
      <c r="M86" s="389" t="s">
        <v>383</v>
      </c>
      <c r="N86" s="393" t="s">
        <v>384</v>
      </c>
      <c r="O86" s="389" t="s">
        <v>385</v>
      </c>
      <c r="P86" s="389"/>
      <c r="Q86" s="389">
        <v>168.75</v>
      </c>
      <c r="R86" s="394">
        <v>174.98</v>
      </c>
      <c r="S86" s="389">
        <v>874.92</v>
      </c>
      <c r="T86" s="422">
        <v>174.98399999999998</v>
      </c>
      <c r="U86" s="394">
        <v>874.91999999999985</v>
      </c>
      <c r="V86" s="386" t="s">
        <v>228</v>
      </c>
      <c r="W86" s="386" t="s">
        <v>330</v>
      </c>
    </row>
    <row r="87" spans="1:23" ht="26.45" customHeight="1">
      <c r="A87" s="386">
        <v>80</v>
      </c>
      <c r="B87" s="387" t="s">
        <v>313</v>
      </c>
      <c r="C87" s="387" t="s">
        <v>483</v>
      </c>
      <c r="D87" s="390" t="s">
        <v>357</v>
      </c>
      <c r="E87" s="391" t="s">
        <v>421</v>
      </c>
      <c r="F87" s="392" t="s">
        <v>441</v>
      </c>
      <c r="G87" s="386" t="s">
        <v>281</v>
      </c>
      <c r="H87" s="386" t="s">
        <v>282</v>
      </c>
      <c r="I87" s="387">
        <v>5</v>
      </c>
      <c r="J87" s="387" t="s">
        <v>226</v>
      </c>
      <c r="K87" s="397">
        <v>6.99</v>
      </c>
      <c r="L87" s="389" t="s">
        <v>382</v>
      </c>
      <c r="M87" s="389" t="s">
        <v>383</v>
      </c>
      <c r="N87" s="393" t="s">
        <v>384</v>
      </c>
      <c r="O87" s="389" t="s">
        <v>385</v>
      </c>
      <c r="P87" s="389"/>
      <c r="Q87" s="389">
        <v>168.75</v>
      </c>
      <c r="R87" s="394">
        <v>174.98</v>
      </c>
      <c r="S87" s="389">
        <v>874.92</v>
      </c>
      <c r="T87" s="422">
        <v>174.98399999999998</v>
      </c>
      <c r="U87" s="394">
        <v>874.91999999999985</v>
      </c>
      <c r="V87" s="386" t="s">
        <v>229</v>
      </c>
      <c r="W87" s="386" t="s">
        <v>330</v>
      </c>
    </row>
    <row r="88" spans="1:23" ht="26.45" customHeight="1">
      <c r="A88" s="386">
        <v>81</v>
      </c>
      <c r="B88" s="387" t="s">
        <v>313</v>
      </c>
      <c r="C88" s="387" t="s">
        <v>483</v>
      </c>
      <c r="D88" s="390" t="s">
        <v>358</v>
      </c>
      <c r="E88" s="391" t="s">
        <v>422</v>
      </c>
      <c r="F88" s="392" t="s">
        <v>442</v>
      </c>
      <c r="G88" s="386" t="s">
        <v>281</v>
      </c>
      <c r="H88" s="386" t="s">
        <v>282</v>
      </c>
      <c r="I88" s="387">
        <v>5</v>
      </c>
      <c r="J88" s="387" t="s">
        <v>226</v>
      </c>
      <c r="K88" s="397">
        <v>4.32</v>
      </c>
      <c r="L88" s="389" t="s">
        <v>382</v>
      </c>
      <c r="M88" s="389" t="s">
        <v>383</v>
      </c>
      <c r="N88" s="393" t="s">
        <v>384</v>
      </c>
      <c r="O88" s="389" t="s">
        <v>385</v>
      </c>
      <c r="P88" s="389"/>
      <c r="Q88" s="389">
        <v>168.75</v>
      </c>
      <c r="R88" s="394">
        <v>174.98</v>
      </c>
      <c r="S88" s="389">
        <v>874.92</v>
      </c>
      <c r="T88" s="422">
        <v>174.98399999999998</v>
      </c>
      <c r="U88" s="394">
        <v>874.91999999999985</v>
      </c>
      <c r="V88" s="386" t="s">
        <v>230</v>
      </c>
      <c r="W88" s="386" t="s">
        <v>330</v>
      </c>
    </row>
    <row r="89" spans="1:23" ht="26.45" customHeight="1">
      <c r="A89" s="386">
        <v>82</v>
      </c>
      <c r="B89" s="387" t="s">
        <v>314</v>
      </c>
      <c r="C89" s="387" t="s">
        <v>483</v>
      </c>
      <c r="D89" s="390" t="s">
        <v>353</v>
      </c>
      <c r="E89" s="391" t="s">
        <v>443</v>
      </c>
      <c r="F89" s="392" t="s">
        <v>439</v>
      </c>
      <c r="G89" s="386" t="s">
        <v>281</v>
      </c>
      <c r="H89" s="386" t="s">
        <v>282</v>
      </c>
      <c r="I89" s="387">
        <v>2</v>
      </c>
      <c r="J89" s="387" t="s">
        <v>188</v>
      </c>
      <c r="K89" s="397">
        <v>255.4</v>
      </c>
      <c r="L89" s="389" t="s">
        <v>382</v>
      </c>
      <c r="M89" s="389" t="s">
        <v>383</v>
      </c>
      <c r="N89" s="393" t="s">
        <v>384</v>
      </c>
      <c r="O89" s="389" t="s">
        <v>385</v>
      </c>
      <c r="P89" s="389"/>
      <c r="Q89" s="389">
        <v>67.5</v>
      </c>
      <c r="R89" s="394">
        <v>174.99</v>
      </c>
      <c r="S89" s="389">
        <v>349.97</v>
      </c>
      <c r="T89" s="422">
        <v>174.98500000000001</v>
      </c>
      <c r="U89" s="394">
        <v>349.97</v>
      </c>
      <c r="V89" s="386" t="s">
        <v>222</v>
      </c>
      <c r="W89" s="386" t="s">
        <v>330</v>
      </c>
    </row>
    <row r="90" spans="1:23" ht="26.45" customHeight="1">
      <c r="A90" s="386">
        <v>83</v>
      </c>
      <c r="B90" s="387" t="s">
        <v>314</v>
      </c>
      <c r="C90" s="387" t="s">
        <v>483</v>
      </c>
      <c r="D90" s="390" t="s">
        <v>355</v>
      </c>
      <c r="E90" s="391" t="s">
        <v>420</v>
      </c>
      <c r="F90" s="392" t="s">
        <v>440</v>
      </c>
      <c r="G90" s="386" t="s">
        <v>281</v>
      </c>
      <c r="H90" s="386" t="s">
        <v>282</v>
      </c>
      <c r="I90" s="387">
        <v>2</v>
      </c>
      <c r="J90" s="387" t="s">
        <v>226</v>
      </c>
      <c r="K90" s="397">
        <v>10.199999999999999</v>
      </c>
      <c r="L90" s="389" t="s">
        <v>382</v>
      </c>
      <c r="M90" s="389" t="s">
        <v>383</v>
      </c>
      <c r="N90" s="393" t="s">
        <v>384</v>
      </c>
      <c r="O90" s="389" t="s">
        <v>385</v>
      </c>
      <c r="P90" s="389"/>
      <c r="Q90" s="389">
        <v>67.5</v>
      </c>
      <c r="R90" s="394">
        <v>174.99</v>
      </c>
      <c r="S90" s="389">
        <v>349.97</v>
      </c>
      <c r="T90" s="422">
        <v>174.98500000000001</v>
      </c>
      <c r="U90" s="394">
        <v>349.97</v>
      </c>
      <c r="V90" s="386" t="s">
        <v>223</v>
      </c>
      <c r="W90" s="386" t="s">
        <v>330</v>
      </c>
    </row>
    <row r="91" spans="1:23" ht="26.45" customHeight="1">
      <c r="A91" s="386">
        <v>84</v>
      </c>
      <c r="B91" s="387" t="s">
        <v>314</v>
      </c>
      <c r="C91" s="387" t="s">
        <v>483</v>
      </c>
      <c r="D91" s="390" t="s">
        <v>357</v>
      </c>
      <c r="E91" s="391" t="s">
        <v>421</v>
      </c>
      <c r="F91" s="392" t="s">
        <v>441</v>
      </c>
      <c r="G91" s="386" t="s">
        <v>281</v>
      </c>
      <c r="H91" s="386" t="s">
        <v>282</v>
      </c>
      <c r="I91" s="387">
        <v>2</v>
      </c>
      <c r="J91" s="387" t="s">
        <v>226</v>
      </c>
      <c r="K91" s="397">
        <v>2.7</v>
      </c>
      <c r="L91" s="389" t="s">
        <v>382</v>
      </c>
      <c r="M91" s="389" t="s">
        <v>383</v>
      </c>
      <c r="N91" s="393" t="s">
        <v>384</v>
      </c>
      <c r="O91" s="389" t="s">
        <v>385</v>
      </c>
      <c r="P91" s="389"/>
      <c r="Q91" s="389">
        <v>67.5</v>
      </c>
      <c r="R91" s="394">
        <v>174.99</v>
      </c>
      <c r="S91" s="389">
        <v>349.97</v>
      </c>
      <c r="T91" s="422">
        <v>174.98500000000001</v>
      </c>
      <c r="U91" s="394">
        <v>349.97</v>
      </c>
      <c r="V91" s="386" t="s">
        <v>224</v>
      </c>
      <c r="W91" s="386" t="s">
        <v>330</v>
      </c>
    </row>
    <row r="92" spans="1:23" ht="26.45" customHeight="1">
      <c r="A92" s="386">
        <v>85</v>
      </c>
      <c r="B92" s="387" t="s">
        <v>314</v>
      </c>
      <c r="C92" s="387" t="s">
        <v>483</v>
      </c>
      <c r="D92" s="390" t="s">
        <v>358</v>
      </c>
      <c r="E92" s="391" t="s">
        <v>422</v>
      </c>
      <c r="F92" s="392" t="s">
        <v>442</v>
      </c>
      <c r="G92" s="386" t="s">
        <v>281</v>
      </c>
      <c r="H92" s="386" t="s">
        <v>282</v>
      </c>
      <c r="I92" s="387">
        <v>2</v>
      </c>
      <c r="J92" s="387" t="s">
        <v>226</v>
      </c>
      <c r="K92" s="397">
        <v>1.7</v>
      </c>
      <c r="L92" s="389" t="s">
        <v>382</v>
      </c>
      <c r="M92" s="389" t="s">
        <v>383</v>
      </c>
      <c r="N92" s="393" t="s">
        <v>384</v>
      </c>
      <c r="O92" s="389" t="s">
        <v>385</v>
      </c>
      <c r="P92" s="389"/>
      <c r="Q92" s="389">
        <v>67.5</v>
      </c>
      <c r="R92" s="394">
        <v>174.99</v>
      </c>
      <c r="S92" s="389">
        <v>349.97</v>
      </c>
      <c r="T92" s="422">
        <v>174.98500000000001</v>
      </c>
      <c r="U92" s="394">
        <v>349.97</v>
      </c>
      <c r="V92" s="386" t="s">
        <v>225</v>
      </c>
      <c r="W92" s="386" t="s">
        <v>330</v>
      </c>
    </row>
    <row r="93" spans="1:23" ht="26.45" customHeight="1">
      <c r="A93" s="386">
        <v>86</v>
      </c>
      <c r="B93" s="387" t="s">
        <v>314</v>
      </c>
      <c r="C93" s="387" t="s">
        <v>483</v>
      </c>
      <c r="D93" s="390" t="s">
        <v>353</v>
      </c>
      <c r="E93" s="391" t="s">
        <v>443</v>
      </c>
      <c r="F93" s="392" t="s">
        <v>439</v>
      </c>
      <c r="G93" s="386" t="s">
        <v>281</v>
      </c>
      <c r="H93" s="386" t="s">
        <v>282</v>
      </c>
      <c r="I93" s="387">
        <v>3</v>
      </c>
      <c r="J93" s="387" t="s">
        <v>188</v>
      </c>
      <c r="K93" s="397">
        <v>383.1</v>
      </c>
      <c r="L93" s="389" t="s">
        <v>382</v>
      </c>
      <c r="M93" s="389" t="s">
        <v>383</v>
      </c>
      <c r="N93" s="393" t="s">
        <v>384</v>
      </c>
      <c r="O93" s="389" t="s">
        <v>385</v>
      </c>
      <c r="P93" s="389"/>
      <c r="Q93" s="389">
        <v>101.25</v>
      </c>
      <c r="R93" s="394">
        <v>174.98</v>
      </c>
      <c r="S93" s="389">
        <v>524.95000000000005</v>
      </c>
      <c r="T93" s="422">
        <v>174.98500000000001</v>
      </c>
      <c r="U93" s="422">
        <v>524.95500000000004</v>
      </c>
      <c r="V93" s="386" t="s">
        <v>227</v>
      </c>
      <c r="W93" s="386" t="s">
        <v>330</v>
      </c>
    </row>
    <row r="94" spans="1:23" ht="26.45" customHeight="1">
      <c r="A94" s="386">
        <v>87</v>
      </c>
      <c r="B94" s="387" t="s">
        <v>314</v>
      </c>
      <c r="C94" s="387" t="s">
        <v>483</v>
      </c>
      <c r="D94" s="390" t="s">
        <v>355</v>
      </c>
      <c r="E94" s="391" t="s">
        <v>420</v>
      </c>
      <c r="F94" s="392" t="s">
        <v>440</v>
      </c>
      <c r="G94" s="386" t="s">
        <v>281</v>
      </c>
      <c r="H94" s="386" t="s">
        <v>282</v>
      </c>
      <c r="I94" s="387">
        <v>3</v>
      </c>
      <c r="J94" s="387" t="s">
        <v>226</v>
      </c>
      <c r="K94" s="397">
        <v>15.3</v>
      </c>
      <c r="L94" s="389" t="s">
        <v>382</v>
      </c>
      <c r="M94" s="389" t="s">
        <v>383</v>
      </c>
      <c r="N94" s="393" t="s">
        <v>384</v>
      </c>
      <c r="O94" s="389" t="s">
        <v>385</v>
      </c>
      <c r="P94" s="389"/>
      <c r="Q94" s="389">
        <v>101.25</v>
      </c>
      <c r="R94" s="394">
        <v>174.98</v>
      </c>
      <c r="S94" s="389">
        <v>524.95000000000005</v>
      </c>
      <c r="T94" s="422">
        <v>174.98500000000001</v>
      </c>
      <c r="U94" s="422">
        <v>524.95500000000004</v>
      </c>
      <c r="V94" s="386" t="s">
        <v>228</v>
      </c>
      <c r="W94" s="386" t="s">
        <v>330</v>
      </c>
    </row>
    <row r="95" spans="1:23" ht="26.45" customHeight="1">
      <c r="A95" s="386">
        <v>88</v>
      </c>
      <c r="B95" s="387" t="s">
        <v>314</v>
      </c>
      <c r="C95" s="387" t="s">
        <v>483</v>
      </c>
      <c r="D95" s="390" t="s">
        <v>357</v>
      </c>
      <c r="E95" s="391" t="s">
        <v>421</v>
      </c>
      <c r="F95" s="392" t="s">
        <v>441</v>
      </c>
      <c r="G95" s="386" t="s">
        <v>281</v>
      </c>
      <c r="H95" s="386" t="s">
        <v>282</v>
      </c>
      <c r="I95" s="387">
        <v>3</v>
      </c>
      <c r="J95" s="387" t="s">
        <v>226</v>
      </c>
      <c r="K95" s="397">
        <v>4.0999999999999996</v>
      </c>
      <c r="L95" s="389" t="s">
        <v>382</v>
      </c>
      <c r="M95" s="389" t="s">
        <v>383</v>
      </c>
      <c r="N95" s="393" t="s">
        <v>384</v>
      </c>
      <c r="O95" s="389" t="s">
        <v>385</v>
      </c>
      <c r="P95" s="389"/>
      <c r="Q95" s="389">
        <v>101.25</v>
      </c>
      <c r="R95" s="394">
        <v>174.98</v>
      </c>
      <c r="S95" s="389">
        <v>524.95000000000005</v>
      </c>
      <c r="T95" s="422">
        <v>174.98500000000001</v>
      </c>
      <c r="U95" s="422">
        <v>524.95500000000004</v>
      </c>
      <c r="V95" s="386" t="s">
        <v>229</v>
      </c>
      <c r="W95" s="386" t="s">
        <v>330</v>
      </c>
    </row>
    <row r="96" spans="1:23" ht="26.45" customHeight="1">
      <c r="A96" s="386">
        <v>89</v>
      </c>
      <c r="B96" s="387" t="s">
        <v>314</v>
      </c>
      <c r="C96" s="387" t="s">
        <v>483</v>
      </c>
      <c r="D96" s="390" t="s">
        <v>358</v>
      </c>
      <c r="E96" s="391" t="s">
        <v>422</v>
      </c>
      <c r="F96" s="392" t="s">
        <v>442</v>
      </c>
      <c r="G96" s="386" t="s">
        <v>281</v>
      </c>
      <c r="H96" s="386" t="s">
        <v>282</v>
      </c>
      <c r="I96" s="387">
        <v>3</v>
      </c>
      <c r="J96" s="387" t="s">
        <v>226</v>
      </c>
      <c r="K96" s="397">
        <v>2.5</v>
      </c>
      <c r="L96" s="389" t="s">
        <v>382</v>
      </c>
      <c r="M96" s="389" t="s">
        <v>383</v>
      </c>
      <c r="N96" s="393" t="s">
        <v>384</v>
      </c>
      <c r="O96" s="389" t="s">
        <v>385</v>
      </c>
      <c r="P96" s="389"/>
      <c r="Q96" s="389">
        <v>101.25</v>
      </c>
      <c r="R96" s="394">
        <v>174.98</v>
      </c>
      <c r="S96" s="389">
        <v>524.95000000000005</v>
      </c>
      <c r="T96" s="422">
        <v>174.98500000000001</v>
      </c>
      <c r="U96" s="422">
        <v>524.95500000000004</v>
      </c>
      <c r="V96" s="386" t="s">
        <v>230</v>
      </c>
      <c r="W96" s="386" t="s">
        <v>330</v>
      </c>
    </row>
    <row r="97" spans="1:34" ht="26.45" customHeight="1">
      <c r="A97" s="386">
        <v>90</v>
      </c>
      <c r="B97" s="387" t="s">
        <v>315</v>
      </c>
      <c r="C97" s="387" t="s">
        <v>483</v>
      </c>
      <c r="D97" s="390" t="s">
        <v>175</v>
      </c>
      <c r="E97" s="391" t="s">
        <v>424</v>
      </c>
      <c r="F97" s="392" t="s">
        <v>439</v>
      </c>
      <c r="G97" s="386" t="s">
        <v>281</v>
      </c>
      <c r="H97" s="386" t="s">
        <v>282</v>
      </c>
      <c r="I97" s="387">
        <v>40</v>
      </c>
      <c r="J97" s="387" t="s">
        <v>188</v>
      </c>
      <c r="K97" s="397">
        <v>434.19</v>
      </c>
      <c r="L97" s="389" t="s">
        <v>382</v>
      </c>
      <c r="M97" s="389" t="s">
        <v>383</v>
      </c>
      <c r="N97" s="393" t="s">
        <v>384</v>
      </c>
      <c r="O97" s="389" t="s">
        <v>385</v>
      </c>
      <c r="P97" s="389"/>
      <c r="Q97" s="389">
        <v>132.75</v>
      </c>
      <c r="R97" s="394">
        <v>17.21</v>
      </c>
      <c r="S97" s="389">
        <v>688.27</v>
      </c>
      <c r="T97" s="423">
        <v>17.20675</v>
      </c>
      <c r="U97" s="394">
        <v>688.27</v>
      </c>
      <c r="V97" s="386" t="s">
        <v>234</v>
      </c>
      <c r="W97" s="386" t="s">
        <v>330</v>
      </c>
    </row>
    <row r="98" spans="1:34" ht="26.45" customHeight="1">
      <c r="A98" s="386">
        <v>91</v>
      </c>
      <c r="B98" s="387" t="s">
        <v>315</v>
      </c>
      <c r="C98" s="387" t="s">
        <v>483</v>
      </c>
      <c r="D98" s="390" t="s">
        <v>231</v>
      </c>
      <c r="E98" s="391" t="s">
        <v>425</v>
      </c>
      <c r="F98" s="392" t="s">
        <v>440</v>
      </c>
      <c r="G98" s="386" t="s">
        <v>281</v>
      </c>
      <c r="H98" s="386" t="s">
        <v>282</v>
      </c>
      <c r="I98" s="387">
        <v>40</v>
      </c>
      <c r="J98" s="387" t="s">
        <v>226</v>
      </c>
      <c r="K98" s="397">
        <v>62.09</v>
      </c>
      <c r="L98" s="389" t="s">
        <v>382</v>
      </c>
      <c r="M98" s="389" t="s">
        <v>383</v>
      </c>
      <c r="N98" s="393" t="s">
        <v>384</v>
      </c>
      <c r="O98" s="389" t="s">
        <v>385</v>
      </c>
      <c r="P98" s="389"/>
      <c r="Q98" s="389">
        <v>132.75</v>
      </c>
      <c r="R98" s="394">
        <v>17.21</v>
      </c>
      <c r="S98" s="389">
        <v>688.27</v>
      </c>
      <c r="T98" s="423">
        <v>17.20675</v>
      </c>
      <c r="U98" s="394">
        <v>688.27</v>
      </c>
      <c r="V98" s="386" t="s">
        <v>235</v>
      </c>
      <c r="W98" s="386" t="s">
        <v>330</v>
      </c>
    </row>
    <row r="99" spans="1:34" ht="26.45" customHeight="1">
      <c r="A99" s="386">
        <v>92</v>
      </c>
      <c r="B99" s="387" t="s">
        <v>315</v>
      </c>
      <c r="C99" s="387" t="s">
        <v>483</v>
      </c>
      <c r="D99" s="390" t="s">
        <v>232</v>
      </c>
      <c r="E99" s="391" t="s">
        <v>426</v>
      </c>
      <c r="F99" s="392" t="s">
        <v>441</v>
      </c>
      <c r="G99" s="386" t="s">
        <v>281</v>
      </c>
      <c r="H99" s="386" t="s">
        <v>282</v>
      </c>
      <c r="I99" s="387">
        <v>40</v>
      </c>
      <c r="J99" s="387" t="s">
        <v>226</v>
      </c>
      <c r="K99" s="397">
        <v>11.16</v>
      </c>
      <c r="L99" s="389" t="s">
        <v>382</v>
      </c>
      <c r="M99" s="389" t="s">
        <v>383</v>
      </c>
      <c r="N99" s="393" t="s">
        <v>384</v>
      </c>
      <c r="O99" s="389" t="s">
        <v>385</v>
      </c>
      <c r="P99" s="389"/>
      <c r="Q99" s="389">
        <v>132.75</v>
      </c>
      <c r="R99" s="394">
        <v>17.21</v>
      </c>
      <c r="S99" s="389">
        <v>688.27</v>
      </c>
      <c r="T99" s="423">
        <v>17.20675</v>
      </c>
      <c r="U99" s="394">
        <v>688.27</v>
      </c>
      <c r="V99" s="386" t="s">
        <v>236</v>
      </c>
      <c r="W99" s="386" t="s">
        <v>330</v>
      </c>
    </row>
    <row r="100" spans="1:34" ht="26.45" customHeight="1">
      <c r="A100" s="386">
        <v>93</v>
      </c>
      <c r="B100" s="387" t="s">
        <v>315</v>
      </c>
      <c r="C100" s="387" t="s">
        <v>483</v>
      </c>
      <c r="D100" s="390" t="s">
        <v>233</v>
      </c>
      <c r="E100" s="391" t="s">
        <v>427</v>
      </c>
      <c r="F100" s="392" t="s">
        <v>442</v>
      </c>
      <c r="G100" s="386" t="s">
        <v>281</v>
      </c>
      <c r="H100" s="386" t="s">
        <v>282</v>
      </c>
      <c r="I100" s="387">
        <v>40</v>
      </c>
      <c r="J100" s="387" t="s">
        <v>226</v>
      </c>
      <c r="K100" s="397">
        <v>23.56</v>
      </c>
      <c r="L100" s="389" t="s">
        <v>382</v>
      </c>
      <c r="M100" s="389" t="s">
        <v>383</v>
      </c>
      <c r="N100" s="393" t="s">
        <v>384</v>
      </c>
      <c r="O100" s="389" t="s">
        <v>385</v>
      </c>
      <c r="P100" s="389"/>
      <c r="Q100" s="389">
        <v>132.75</v>
      </c>
      <c r="R100" s="394">
        <v>17.21</v>
      </c>
      <c r="S100" s="389">
        <v>688.27</v>
      </c>
      <c r="T100" s="423">
        <v>17.20675</v>
      </c>
      <c r="U100" s="394">
        <v>688.27</v>
      </c>
      <c r="V100" s="386" t="s">
        <v>237</v>
      </c>
      <c r="W100" s="386" t="s">
        <v>330</v>
      </c>
    </row>
    <row r="101" spans="1:34" ht="26.45" customHeight="1">
      <c r="A101" s="386">
        <v>94</v>
      </c>
      <c r="B101" s="387" t="s">
        <v>316</v>
      </c>
      <c r="C101" s="387" t="s">
        <v>483</v>
      </c>
      <c r="D101" s="390" t="s">
        <v>359</v>
      </c>
      <c r="E101" s="391" t="s">
        <v>428</v>
      </c>
      <c r="F101" s="392" t="s">
        <v>438</v>
      </c>
      <c r="G101" s="386" t="s">
        <v>281</v>
      </c>
      <c r="H101" s="386" t="s">
        <v>282</v>
      </c>
      <c r="I101" s="387">
        <v>2</v>
      </c>
      <c r="J101" s="387" t="s">
        <v>188</v>
      </c>
      <c r="K101" s="397">
        <v>23</v>
      </c>
      <c r="L101" s="389" t="s">
        <v>382</v>
      </c>
      <c r="M101" s="389" t="s">
        <v>383</v>
      </c>
      <c r="N101" s="393" t="s">
        <v>384</v>
      </c>
      <c r="O101" s="389" t="s">
        <v>385</v>
      </c>
      <c r="P101" s="389" t="str">
        <f>CONCATENATE(L101,I101,J101,N101,K101,O101)</f>
        <v>, (2SETS=23kg</v>
      </c>
      <c r="Q101" s="389">
        <v>23</v>
      </c>
      <c r="R101" s="394">
        <v>59.63</v>
      </c>
      <c r="S101" s="389">
        <v>119.25</v>
      </c>
      <c r="T101" s="422">
        <v>59.625</v>
      </c>
      <c r="U101" s="394">
        <v>119.25</v>
      </c>
      <c r="V101" s="386" t="s">
        <v>238</v>
      </c>
      <c r="W101" s="386" t="s">
        <v>330</v>
      </c>
    </row>
    <row r="102" spans="1:34" ht="26.45" customHeight="1">
      <c r="A102" s="386">
        <v>95</v>
      </c>
      <c r="B102" s="387" t="s">
        <v>317</v>
      </c>
      <c r="C102" s="387" t="s">
        <v>483</v>
      </c>
      <c r="D102" s="390" t="s">
        <v>361</v>
      </c>
      <c r="E102" s="391" t="s">
        <v>429</v>
      </c>
      <c r="F102" s="392" t="s">
        <v>439</v>
      </c>
      <c r="G102" s="386" t="s">
        <v>281</v>
      </c>
      <c r="H102" s="386" t="s">
        <v>282</v>
      </c>
      <c r="I102" s="387">
        <v>24</v>
      </c>
      <c r="J102" s="387" t="s">
        <v>188</v>
      </c>
      <c r="K102" s="397">
        <v>356.46</v>
      </c>
      <c r="L102" s="389" t="s">
        <v>382</v>
      </c>
      <c r="M102" s="389" t="s">
        <v>383</v>
      </c>
      <c r="N102" s="393" t="s">
        <v>384</v>
      </c>
      <c r="O102" s="389" t="s">
        <v>385</v>
      </c>
      <c r="P102" s="389"/>
      <c r="Q102" s="389">
        <v>105.5</v>
      </c>
      <c r="R102" s="394">
        <v>22.79</v>
      </c>
      <c r="S102" s="389">
        <v>546.99</v>
      </c>
      <c r="T102" s="423">
        <v>22.791250000000002</v>
      </c>
      <c r="U102" s="394">
        <v>546.99</v>
      </c>
      <c r="V102" s="386" t="s">
        <v>239</v>
      </c>
      <c r="W102" s="386" t="s">
        <v>330</v>
      </c>
    </row>
    <row r="103" spans="1:34" ht="26.45" customHeight="1">
      <c r="A103" s="386">
        <v>96</v>
      </c>
      <c r="B103" s="387" t="s">
        <v>317</v>
      </c>
      <c r="C103" s="387" t="s">
        <v>483</v>
      </c>
      <c r="D103" s="390" t="s">
        <v>363</v>
      </c>
      <c r="E103" s="391" t="s">
        <v>430</v>
      </c>
      <c r="F103" s="392" t="s">
        <v>440</v>
      </c>
      <c r="G103" s="386" t="s">
        <v>281</v>
      </c>
      <c r="H103" s="386" t="s">
        <v>282</v>
      </c>
      <c r="I103" s="387">
        <v>24</v>
      </c>
      <c r="J103" s="387" t="s">
        <v>226</v>
      </c>
      <c r="K103" s="397">
        <v>37.25</v>
      </c>
      <c r="L103" s="389" t="s">
        <v>382</v>
      </c>
      <c r="M103" s="389" t="s">
        <v>383</v>
      </c>
      <c r="N103" s="393" t="s">
        <v>384</v>
      </c>
      <c r="O103" s="389" t="s">
        <v>385</v>
      </c>
      <c r="P103" s="389"/>
      <c r="Q103" s="389">
        <v>105.5</v>
      </c>
      <c r="R103" s="394">
        <v>22.79</v>
      </c>
      <c r="S103" s="389">
        <v>546.99</v>
      </c>
      <c r="T103" s="423">
        <v>22.791250000000002</v>
      </c>
      <c r="U103" s="394">
        <v>546.99</v>
      </c>
      <c r="V103" s="386" t="s">
        <v>240</v>
      </c>
      <c r="W103" s="386" t="s">
        <v>330</v>
      </c>
    </row>
    <row r="104" spans="1:34" ht="26.45" customHeight="1">
      <c r="A104" s="386">
        <v>97</v>
      </c>
      <c r="B104" s="387" t="s">
        <v>317</v>
      </c>
      <c r="C104" s="387" t="s">
        <v>483</v>
      </c>
      <c r="D104" s="390" t="s">
        <v>364</v>
      </c>
      <c r="E104" s="391" t="s">
        <v>426</v>
      </c>
      <c r="F104" s="392" t="s">
        <v>441</v>
      </c>
      <c r="G104" s="386" t="s">
        <v>281</v>
      </c>
      <c r="H104" s="386" t="s">
        <v>282</v>
      </c>
      <c r="I104" s="387">
        <v>24</v>
      </c>
      <c r="J104" s="387" t="s">
        <v>226</v>
      </c>
      <c r="K104" s="397">
        <v>6.69</v>
      </c>
      <c r="L104" s="389" t="s">
        <v>382</v>
      </c>
      <c r="M104" s="389" t="s">
        <v>383</v>
      </c>
      <c r="N104" s="393" t="s">
        <v>384</v>
      </c>
      <c r="O104" s="389" t="s">
        <v>385</v>
      </c>
      <c r="P104" s="389"/>
      <c r="Q104" s="389">
        <v>105.5</v>
      </c>
      <c r="R104" s="394">
        <v>22.79</v>
      </c>
      <c r="S104" s="389">
        <v>546.99</v>
      </c>
      <c r="T104" s="423">
        <v>22.791250000000002</v>
      </c>
      <c r="U104" s="394">
        <v>546.99</v>
      </c>
      <c r="V104" s="386" t="s">
        <v>241</v>
      </c>
      <c r="W104" s="386" t="s">
        <v>330</v>
      </c>
    </row>
    <row r="105" spans="1:34" ht="26.45" customHeight="1">
      <c r="A105" s="386">
        <v>98</v>
      </c>
      <c r="B105" s="387" t="s">
        <v>317</v>
      </c>
      <c r="C105" s="387" t="s">
        <v>483</v>
      </c>
      <c r="D105" s="390" t="s">
        <v>366</v>
      </c>
      <c r="E105" s="391" t="s">
        <v>431</v>
      </c>
      <c r="F105" s="392" t="s">
        <v>442</v>
      </c>
      <c r="G105" s="386" t="s">
        <v>281</v>
      </c>
      <c r="H105" s="386" t="s">
        <v>282</v>
      </c>
      <c r="I105" s="387">
        <v>24</v>
      </c>
      <c r="J105" s="387" t="s">
        <v>226</v>
      </c>
      <c r="K105" s="397">
        <v>21.6</v>
      </c>
      <c r="L105" s="389" t="s">
        <v>382</v>
      </c>
      <c r="M105" s="389" t="s">
        <v>383</v>
      </c>
      <c r="N105" s="393" t="s">
        <v>384</v>
      </c>
      <c r="O105" s="389" t="s">
        <v>385</v>
      </c>
      <c r="P105" s="389"/>
      <c r="Q105" s="389">
        <v>105.5</v>
      </c>
      <c r="R105" s="394">
        <f>ROUND(S105/I105,2)</f>
        <v>4.5599999999999996</v>
      </c>
      <c r="S105" s="389">
        <v>109.4</v>
      </c>
      <c r="T105" s="424">
        <v>4.5583340000000003</v>
      </c>
      <c r="U105" s="394">
        <v>109.4</v>
      </c>
      <c r="V105" s="386" t="s">
        <v>242</v>
      </c>
      <c r="W105" s="386" t="s">
        <v>330</v>
      </c>
    </row>
    <row r="106" spans="1:34" ht="26.45" customHeight="1">
      <c r="A106" s="386">
        <v>99</v>
      </c>
      <c r="B106" s="387" t="s">
        <v>318</v>
      </c>
      <c r="C106" s="387" t="s">
        <v>483</v>
      </c>
      <c r="D106" s="390" t="s">
        <v>368</v>
      </c>
      <c r="E106" s="391" t="s">
        <v>432</v>
      </c>
      <c r="F106" s="392" t="s">
        <v>439</v>
      </c>
      <c r="G106" s="386" t="s">
        <v>281</v>
      </c>
      <c r="H106" s="386" t="s">
        <v>282</v>
      </c>
      <c r="I106" s="387">
        <v>11</v>
      </c>
      <c r="J106" s="387" t="s">
        <v>188</v>
      </c>
      <c r="K106" s="397">
        <v>90.02</v>
      </c>
      <c r="L106" s="389" t="s">
        <v>382</v>
      </c>
      <c r="M106" s="389" t="s">
        <v>383</v>
      </c>
      <c r="N106" s="393" t="s">
        <v>384</v>
      </c>
      <c r="O106" s="389" t="s">
        <v>385</v>
      </c>
      <c r="P106" s="389"/>
      <c r="Q106" s="389">
        <v>38.966101694915253</v>
      </c>
      <c r="R106" s="394">
        <f>ROUND(S106/I106,2)</f>
        <v>3.67</v>
      </c>
      <c r="S106" s="389">
        <v>40.409999999999997</v>
      </c>
      <c r="T106" s="424">
        <v>3.6736369999999998</v>
      </c>
      <c r="U106" s="394">
        <v>40.409999999999997</v>
      </c>
      <c r="V106" s="386" t="s">
        <v>244</v>
      </c>
      <c r="W106" s="386" t="s">
        <v>330</v>
      </c>
    </row>
    <row r="107" spans="1:34" ht="26.45" customHeight="1">
      <c r="A107" s="386">
        <v>100</v>
      </c>
      <c r="B107" s="387" t="s">
        <v>318</v>
      </c>
      <c r="C107" s="387" t="s">
        <v>483</v>
      </c>
      <c r="D107" s="390" t="s">
        <v>370</v>
      </c>
      <c r="E107" s="391" t="s">
        <v>433</v>
      </c>
      <c r="F107" s="392" t="s">
        <v>440</v>
      </c>
      <c r="G107" s="386" t="s">
        <v>281</v>
      </c>
      <c r="H107" s="386" t="s">
        <v>282</v>
      </c>
      <c r="I107" s="387">
        <v>22</v>
      </c>
      <c r="J107" s="387" t="s">
        <v>226</v>
      </c>
      <c r="K107" s="397">
        <v>26.88</v>
      </c>
      <c r="L107" s="389" t="s">
        <v>382</v>
      </c>
      <c r="M107" s="389" t="s">
        <v>383</v>
      </c>
      <c r="N107" s="393" t="s">
        <v>384</v>
      </c>
      <c r="O107" s="389" t="s">
        <v>385</v>
      </c>
      <c r="P107" s="389"/>
      <c r="Q107" s="399">
        <v>77.932203389830505</v>
      </c>
      <c r="R107" s="394">
        <f>ROUND(S107/I107,2)</f>
        <v>18.37</v>
      </c>
      <c r="S107" s="389">
        <v>404.06</v>
      </c>
      <c r="T107" s="424">
        <v>18.366364000000001</v>
      </c>
      <c r="U107" s="394">
        <v>404.06</v>
      </c>
      <c r="V107" s="389" t="s">
        <v>245</v>
      </c>
      <c r="W107" s="389" t="s">
        <v>330</v>
      </c>
    </row>
    <row r="108" spans="1:34" ht="26.45" customHeight="1">
      <c r="A108" s="386">
        <v>101</v>
      </c>
      <c r="B108" s="387" t="s">
        <v>318</v>
      </c>
      <c r="C108" s="387" t="s">
        <v>483</v>
      </c>
      <c r="D108" s="390" t="s">
        <v>233</v>
      </c>
      <c r="E108" s="391" t="s">
        <v>434</v>
      </c>
      <c r="F108" s="392" t="s">
        <v>442</v>
      </c>
      <c r="G108" s="386" t="s">
        <v>281</v>
      </c>
      <c r="H108" s="386" t="s">
        <v>282</v>
      </c>
      <c r="I108" s="387">
        <v>11</v>
      </c>
      <c r="J108" s="387" t="s">
        <v>226</v>
      </c>
      <c r="K108" s="397">
        <v>6.28</v>
      </c>
      <c r="L108" s="389" t="s">
        <v>382</v>
      </c>
      <c r="M108" s="389" t="s">
        <v>383</v>
      </c>
      <c r="N108" s="393" t="s">
        <v>384</v>
      </c>
      <c r="O108" s="389" t="s">
        <v>385</v>
      </c>
      <c r="P108" s="389"/>
      <c r="Q108" s="399">
        <v>38.966101694915253</v>
      </c>
      <c r="R108" s="394">
        <v>18.37</v>
      </c>
      <c r="S108" s="389">
        <v>202.04</v>
      </c>
      <c r="T108" s="424">
        <v>18.367273000000001</v>
      </c>
      <c r="U108" s="394">
        <v>202.04</v>
      </c>
      <c r="V108" s="389" t="s">
        <v>247</v>
      </c>
      <c r="W108" s="389" t="s">
        <v>330</v>
      </c>
    </row>
    <row r="109" spans="1:34" ht="26.45" customHeight="1">
      <c r="A109" s="386">
        <v>102</v>
      </c>
      <c r="B109" s="387" t="s">
        <v>318</v>
      </c>
      <c r="C109" s="387" t="s">
        <v>483</v>
      </c>
      <c r="D109" s="390" t="s">
        <v>177</v>
      </c>
      <c r="E109" s="391" t="s">
        <v>444</v>
      </c>
      <c r="F109" s="392" t="s">
        <v>438</v>
      </c>
      <c r="G109" s="386" t="s">
        <v>281</v>
      </c>
      <c r="H109" s="386" t="s">
        <v>282</v>
      </c>
      <c r="I109" s="387">
        <v>4</v>
      </c>
      <c r="J109" s="387" t="s">
        <v>188</v>
      </c>
      <c r="K109" s="397">
        <v>69.819999999999993</v>
      </c>
      <c r="L109" s="389" t="s">
        <v>382</v>
      </c>
      <c r="M109" s="389" t="s">
        <v>383</v>
      </c>
      <c r="N109" s="393" t="s">
        <v>384</v>
      </c>
      <c r="O109" s="389" t="s">
        <v>385</v>
      </c>
      <c r="P109" s="389" t="str">
        <f>CONCATENATE(L109,I109,J109,N109,K109,O109,M109)</f>
        <v>, (4SETS=69,82kg)</v>
      </c>
      <c r="Q109" s="399">
        <v>14.169491525423728</v>
      </c>
      <c r="R109" s="394">
        <v>18.37</v>
      </c>
      <c r="S109" s="389">
        <v>73.47</v>
      </c>
      <c r="T109" s="425">
        <v>18.3675</v>
      </c>
      <c r="U109" s="394">
        <v>73.47</v>
      </c>
      <c r="V109" s="389" t="s">
        <v>248</v>
      </c>
      <c r="W109" s="389" t="s">
        <v>330</v>
      </c>
    </row>
    <row r="110" spans="1:34" ht="26.45" customHeight="1">
      <c r="A110" s="386">
        <v>103</v>
      </c>
      <c r="B110" s="387" t="s">
        <v>318</v>
      </c>
      <c r="C110" s="387" t="s">
        <v>483</v>
      </c>
      <c r="D110" s="390" t="s">
        <v>243</v>
      </c>
      <c r="E110" s="400" t="s">
        <v>436</v>
      </c>
      <c r="F110" s="401" t="s">
        <v>441</v>
      </c>
      <c r="G110" s="386" t="s">
        <v>281</v>
      </c>
      <c r="H110" s="386" t="s">
        <v>282</v>
      </c>
      <c r="I110" s="387">
        <v>11</v>
      </c>
      <c r="J110" s="387" t="s">
        <v>226</v>
      </c>
      <c r="K110" s="397">
        <v>16</v>
      </c>
      <c r="L110" s="389" t="s">
        <v>382</v>
      </c>
      <c r="M110" s="389" t="s">
        <v>383</v>
      </c>
      <c r="N110" s="393" t="s">
        <v>384</v>
      </c>
      <c r="O110" s="389" t="s">
        <v>385</v>
      </c>
      <c r="P110" s="389"/>
      <c r="Q110" s="399">
        <v>38.966101694915253</v>
      </c>
      <c r="R110" s="394">
        <f>ROUND(S110/I110,2)</f>
        <v>3.67</v>
      </c>
      <c r="S110" s="389">
        <v>40.409999999999997</v>
      </c>
      <c r="T110" s="424">
        <v>3.6736369999999998</v>
      </c>
      <c r="U110" s="394">
        <v>40.409999999999997</v>
      </c>
      <c r="V110" s="389" t="s">
        <v>246</v>
      </c>
      <c r="W110" s="389" t="s">
        <v>330</v>
      </c>
      <c r="AH110" s="378" t="s">
        <v>372</v>
      </c>
    </row>
    <row r="111" spans="1:34" s="409" customFormat="1" ht="26.45" customHeight="1">
      <c r="A111" s="402"/>
      <c r="B111" s="402"/>
      <c r="C111" s="402"/>
      <c r="D111" s="402"/>
      <c r="E111" s="402"/>
      <c r="F111" s="403"/>
      <c r="G111" s="404"/>
      <c r="H111" s="405"/>
      <c r="I111" s="426" t="s">
        <v>142</v>
      </c>
      <c r="J111" s="426"/>
      <c r="K111" s="426"/>
      <c r="L111" s="426"/>
      <c r="M111" s="426"/>
      <c r="N111" s="426"/>
      <c r="O111" s="426"/>
      <c r="P111" s="426"/>
      <c r="Q111" s="426"/>
      <c r="R111" s="426"/>
      <c r="S111" s="406">
        <f>SUM(S8:S110)</f>
        <v>141543.19000000003</v>
      </c>
      <c r="T111" s="406"/>
      <c r="U111" s="406">
        <f>SUM(U8:U110)</f>
        <v>141543.18999999992</v>
      </c>
      <c r="V111" s="406"/>
      <c r="W111" s="406"/>
      <c r="X111" s="407" t="e">
        <f>ROUND(#REF!/SUM(#REF!),5)*#REF!</f>
        <v>#REF!</v>
      </c>
      <c r="Y111" s="408"/>
      <c r="AG111" s="410"/>
    </row>
    <row r="112" spans="1:34" s="409" customFormat="1" ht="26.45" customHeight="1">
      <c r="A112" s="378"/>
      <c r="B112" s="378"/>
      <c r="C112" s="378"/>
      <c r="D112" s="378"/>
      <c r="E112" s="378"/>
      <c r="F112" s="379"/>
      <c r="G112" s="378"/>
      <c r="H112" s="378"/>
      <c r="I112" s="379"/>
      <c r="J112" s="379"/>
      <c r="K112" s="379"/>
      <c r="L112" s="379"/>
      <c r="M112" s="379"/>
      <c r="N112" s="379"/>
      <c r="O112" s="379"/>
      <c r="P112" s="379"/>
      <c r="Q112" s="380"/>
      <c r="R112" s="378"/>
      <c r="S112" s="378"/>
      <c r="T112" s="378"/>
      <c r="U112" s="378"/>
      <c r="V112" s="378"/>
      <c r="W112" s="378"/>
      <c r="X112" s="411" t="e">
        <f>ROUND($Y$112/SUM(#REF!),5)*#REF!</f>
        <v>#REF!</v>
      </c>
      <c r="Y112" s="412">
        <v>9817.5</v>
      </c>
      <c r="AG112" s="410"/>
    </row>
    <row r="113" spans="1:33" s="409" customFormat="1" ht="26.45" customHeight="1">
      <c r="A113" s="378"/>
      <c r="B113" s="378"/>
      <c r="C113" s="378"/>
      <c r="D113" s="378"/>
      <c r="E113" s="378"/>
      <c r="F113" s="379"/>
      <c r="G113" s="378"/>
      <c r="H113" s="378"/>
      <c r="I113" s="379"/>
      <c r="J113" s="379"/>
      <c r="K113" s="379"/>
      <c r="L113" s="379"/>
      <c r="M113" s="379"/>
      <c r="N113" s="379"/>
      <c r="O113" s="379"/>
      <c r="P113" s="379"/>
      <c r="Q113" s="380"/>
      <c r="R113" s="378"/>
      <c r="S113" s="378"/>
      <c r="T113" s="378"/>
      <c r="U113" s="378"/>
      <c r="V113" s="378"/>
      <c r="W113" s="378"/>
      <c r="X113" s="411" t="e">
        <f>ROUND($Y$112/SUM(#REF!),5)*#REF!</f>
        <v>#REF!</v>
      </c>
      <c r="Z113" s="413"/>
      <c r="AG113" s="410"/>
    </row>
    <row r="114" spans="1:33" s="409" customFormat="1" ht="26.45" customHeight="1">
      <c r="A114" s="378"/>
      <c r="B114" s="378"/>
      <c r="C114" s="378"/>
      <c r="D114" s="378"/>
      <c r="E114" s="378"/>
      <c r="F114" s="379"/>
      <c r="G114" s="378"/>
      <c r="H114" s="378"/>
      <c r="I114" s="379"/>
      <c r="J114" s="379"/>
      <c r="K114" s="379"/>
      <c r="L114" s="379"/>
      <c r="M114" s="379"/>
      <c r="N114" s="379"/>
      <c r="O114" s="379"/>
      <c r="P114" s="379"/>
      <c r="Q114" s="380"/>
      <c r="R114" s="378"/>
      <c r="S114" s="395"/>
      <c r="T114" s="395"/>
      <c r="U114" s="395"/>
      <c r="V114" s="378"/>
      <c r="W114" s="378"/>
      <c r="Y114" s="412">
        <f>SUM(AF6:AF7)</f>
        <v>26775</v>
      </c>
      <c r="AG114" s="410"/>
    </row>
    <row r="115" spans="1:33" s="409" customFormat="1" ht="26.45" customHeight="1">
      <c r="A115" s="378"/>
      <c r="B115" s="378"/>
      <c r="C115" s="378"/>
      <c r="D115" s="378"/>
      <c r="E115" s="378"/>
      <c r="F115" s="379"/>
      <c r="G115" s="378"/>
      <c r="H115" s="378"/>
      <c r="I115" s="379"/>
      <c r="J115" s="379"/>
      <c r="K115" s="379"/>
      <c r="L115" s="379"/>
      <c r="M115" s="379"/>
      <c r="N115" s="379"/>
      <c r="O115" s="379"/>
      <c r="P115" s="379"/>
      <c r="Q115" s="380"/>
      <c r="R115" s="378"/>
      <c r="S115" s="378"/>
      <c r="T115" s="378"/>
      <c r="U115" s="378"/>
      <c r="V115" s="378"/>
      <c r="W115" s="378"/>
      <c r="Y115" s="412">
        <v>14280</v>
      </c>
      <c r="AG115" s="410"/>
    </row>
    <row r="116" spans="1:33" s="409" customFormat="1" ht="26.45" customHeight="1">
      <c r="A116" s="378"/>
      <c r="B116" s="378"/>
      <c r="C116" s="378"/>
      <c r="D116" s="378"/>
      <c r="E116" s="378"/>
      <c r="F116" s="379"/>
      <c r="G116" s="378"/>
      <c r="H116" s="378"/>
      <c r="I116" s="379"/>
      <c r="J116" s="379"/>
      <c r="K116" s="379"/>
      <c r="L116" s="379"/>
      <c r="M116" s="379"/>
      <c r="N116" s="379"/>
      <c r="O116" s="379"/>
      <c r="P116" s="379"/>
      <c r="Q116" s="380"/>
      <c r="R116" s="378"/>
      <c r="S116" s="378"/>
      <c r="T116" s="378"/>
      <c r="U116" s="378"/>
      <c r="V116" s="378"/>
      <c r="W116" s="378"/>
      <c r="X116" s="411" t="e">
        <f>ROUND($Y$116/SUM(#REF!),5)*#REF!</f>
        <v>#REF!</v>
      </c>
      <c r="Y116" s="412">
        <v>9817.5</v>
      </c>
      <c r="AG116" s="410"/>
    </row>
    <row r="117" spans="1:33" s="409" customFormat="1" ht="26.45" customHeight="1">
      <c r="A117" s="378"/>
      <c r="B117" s="378"/>
      <c r="C117" s="378"/>
      <c r="D117" s="378"/>
      <c r="E117" s="378"/>
      <c r="F117" s="379"/>
      <c r="G117" s="378"/>
      <c r="H117" s="378"/>
      <c r="I117" s="379"/>
      <c r="J117" s="379"/>
      <c r="K117" s="379"/>
      <c r="L117" s="379"/>
      <c r="M117" s="379"/>
      <c r="N117" s="379"/>
      <c r="O117" s="379"/>
      <c r="P117" s="379"/>
      <c r="Q117" s="380"/>
      <c r="R117" s="378"/>
      <c r="S117" s="378"/>
      <c r="T117" s="378"/>
      <c r="U117" s="378"/>
      <c r="V117" s="378"/>
      <c r="W117" s="378"/>
      <c r="X117" s="411" t="e">
        <f>ROUND($Y$116/SUM(#REF!),5)*#REF!</f>
        <v>#REF!</v>
      </c>
      <c r="Y117" s="412"/>
      <c r="AG117" s="410"/>
    </row>
    <row r="118" spans="1:33" s="409" customFormat="1" ht="26.45" customHeight="1">
      <c r="A118" s="378"/>
      <c r="B118" s="378"/>
      <c r="C118" s="378"/>
      <c r="D118" s="378"/>
      <c r="E118" s="378"/>
      <c r="F118" s="379"/>
      <c r="G118" s="378"/>
      <c r="H118" s="378"/>
      <c r="I118" s="379"/>
      <c r="J118" s="379"/>
      <c r="K118" s="379"/>
      <c r="L118" s="379"/>
      <c r="M118" s="379"/>
      <c r="N118" s="379"/>
      <c r="O118" s="379"/>
      <c r="P118" s="379"/>
      <c r="Q118" s="380"/>
      <c r="R118" s="378"/>
      <c r="S118" s="378"/>
      <c r="T118" s="378"/>
      <c r="U118" s="378"/>
      <c r="V118" s="378"/>
      <c r="W118" s="378"/>
      <c r="X118" s="411" t="e">
        <f>ROUND($Y$116/SUM(#REF!),5)*#REF!</f>
        <v>#REF!</v>
      </c>
      <c r="Y118" s="412"/>
      <c r="AG118" s="410"/>
    </row>
    <row r="119" spans="1:33" s="409" customFormat="1" ht="26.45" customHeight="1">
      <c r="A119" s="378"/>
      <c r="B119" s="378"/>
      <c r="C119" s="378"/>
      <c r="D119" s="378"/>
      <c r="E119" s="378"/>
      <c r="F119" s="379"/>
      <c r="G119" s="378"/>
      <c r="H119" s="378"/>
      <c r="I119" s="379"/>
      <c r="J119" s="379"/>
      <c r="K119" s="379"/>
      <c r="L119" s="379"/>
      <c r="M119" s="379"/>
      <c r="N119" s="379"/>
      <c r="O119" s="379"/>
      <c r="P119" s="379"/>
      <c r="Q119" s="380"/>
      <c r="R119" s="378"/>
      <c r="S119" s="378"/>
      <c r="T119" s="378"/>
      <c r="U119" s="378"/>
      <c r="V119" s="378"/>
      <c r="W119" s="378"/>
      <c r="X119" s="411" t="e">
        <f>ROUND($Y$116/SUM(#REF!),5)*#REF!</f>
        <v>#REF!</v>
      </c>
      <c r="Y119" s="412"/>
      <c r="AG119" s="410"/>
    </row>
    <row r="120" spans="1:33" s="409" customFormat="1" ht="26.45" customHeight="1">
      <c r="A120" s="378"/>
      <c r="B120" s="378"/>
      <c r="C120" s="378"/>
      <c r="D120" s="378"/>
      <c r="E120" s="378"/>
      <c r="F120" s="379"/>
      <c r="G120" s="378"/>
      <c r="H120" s="378"/>
      <c r="I120" s="379"/>
      <c r="J120" s="379"/>
      <c r="K120" s="379"/>
      <c r="L120" s="379"/>
      <c r="M120" s="379"/>
      <c r="N120" s="379"/>
      <c r="O120" s="379"/>
      <c r="P120" s="379"/>
      <c r="Q120" s="380"/>
      <c r="R120" s="378"/>
      <c r="S120" s="378"/>
      <c r="T120" s="378"/>
      <c r="U120" s="378"/>
      <c r="V120" s="378"/>
      <c r="W120" s="378"/>
      <c r="X120" s="411" t="e">
        <f>ROUND($Y$116/SUM(#REF!),5)*#REF!</f>
        <v>#REF!</v>
      </c>
      <c r="Y120" s="412"/>
      <c r="AG120" s="410"/>
    </row>
    <row r="121" spans="1:33" s="409" customFormat="1" ht="26.45" customHeight="1">
      <c r="A121" s="378"/>
      <c r="B121" s="378"/>
      <c r="C121" s="378"/>
      <c r="D121" s="378"/>
      <c r="E121" s="378"/>
      <c r="F121" s="379"/>
      <c r="G121" s="378"/>
      <c r="H121" s="378"/>
      <c r="I121" s="379"/>
      <c r="J121" s="379"/>
      <c r="K121" s="379"/>
      <c r="L121" s="379"/>
      <c r="M121" s="379"/>
      <c r="N121" s="379"/>
      <c r="O121" s="379"/>
      <c r="P121" s="379"/>
      <c r="Q121" s="380"/>
      <c r="R121" s="378"/>
      <c r="S121" s="378"/>
      <c r="T121" s="378"/>
      <c r="U121" s="378"/>
      <c r="V121" s="378"/>
      <c r="W121" s="378"/>
      <c r="X121" s="411" t="e">
        <f>ROUND($Y$116/SUM(#REF!),5)*#REF!</f>
        <v>#REF!</v>
      </c>
      <c r="Y121" s="412"/>
      <c r="AG121" s="410"/>
    </row>
    <row r="122" spans="1:33" s="409" customFormat="1" ht="26.45" customHeight="1">
      <c r="A122" s="378"/>
      <c r="B122" s="378"/>
      <c r="C122" s="378"/>
      <c r="D122" s="378"/>
      <c r="E122" s="378"/>
      <c r="F122" s="379"/>
      <c r="G122" s="378"/>
      <c r="H122" s="378"/>
      <c r="I122" s="379"/>
      <c r="J122" s="379"/>
      <c r="K122" s="379"/>
      <c r="L122" s="379"/>
      <c r="M122" s="379"/>
      <c r="N122" s="379"/>
      <c r="O122" s="379"/>
      <c r="P122" s="379"/>
      <c r="Q122" s="380"/>
      <c r="R122" s="378"/>
      <c r="S122" s="378"/>
      <c r="T122" s="378"/>
      <c r="U122" s="378"/>
      <c r="V122" s="378"/>
      <c r="W122" s="378"/>
      <c r="X122" s="411" t="e">
        <f>ROUND($Y$116/SUM(#REF!),5)*#REF!</f>
        <v>#REF!</v>
      </c>
      <c r="Y122" s="412"/>
      <c r="AG122" s="410"/>
    </row>
    <row r="123" spans="1:33" s="409" customFormat="1" ht="26.45" customHeight="1">
      <c r="A123" s="378"/>
      <c r="B123" s="378"/>
      <c r="C123" s="378"/>
      <c r="D123" s="378"/>
      <c r="E123" s="378"/>
      <c r="F123" s="379"/>
      <c r="G123" s="378"/>
      <c r="H123" s="378"/>
      <c r="I123" s="379"/>
      <c r="J123" s="379"/>
      <c r="K123" s="379"/>
      <c r="L123" s="379"/>
      <c r="M123" s="379"/>
      <c r="N123" s="379"/>
      <c r="O123" s="379"/>
      <c r="P123" s="379"/>
      <c r="Q123" s="380"/>
      <c r="R123" s="378"/>
      <c r="S123" s="378"/>
      <c r="T123" s="378"/>
      <c r="U123" s="378"/>
      <c r="V123" s="378"/>
      <c r="W123" s="378"/>
      <c r="X123" s="411" t="e">
        <f>ROUND($Y$116/SUM(#REF!),5)*#REF!</f>
        <v>#REF!</v>
      </c>
      <c r="Y123" s="412"/>
      <c r="AG123" s="410"/>
    </row>
    <row r="124" spans="1:33" s="409" customFormat="1" ht="26.45" customHeight="1">
      <c r="A124" s="378"/>
      <c r="B124" s="378"/>
      <c r="C124" s="378"/>
      <c r="D124" s="378"/>
      <c r="E124" s="378"/>
      <c r="F124" s="379"/>
      <c r="G124" s="378"/>
      <c r="H124" s="378"/>
      <c r="I124" s="379"/>
      <c r="J124" s="379"/>
      <c r="K124" s="379"/>
      <c r="L124" s="379"/>
      <c r="M124" s="379"/>
      <c r="N124" s="379"/>
      <c r="O124" s="379"/>
      <c r="P124" s="379"/>
      <c r="Q124" s="380"/>
      <c r="R124" s="378"/>
      <c r="S124" s="378"/>
      <c r="T124" s="378"/>
      <c r="U124" s="378"/>
      <c r="V124" s="378"/>
      <c r="W124" s="378"/>
      <c r="X124" s="411" t="e">
        <f>ROUND($Y$124/SUM(#REF!),5)*#REF!</f>
        <v>#REF!</v>
      </c>
      <c r="Y124" s="412">
        <v>15172.5</v>
      </c>
      <c r="AG124" s="410"/>
    </row>
    <row r="125" spans="1:33" s="409" customFormat="1" ht="26.45" customHeight="1">
      <c r="A125" s="378"/>
      <c r="B125" s="378"/>
      <c r="C125" s="378"/>
      <c r="D125" s="378"/>
      <c r="E125" s="378"/>
      <c r="F125" s="379"/>
      <c r="G125" s="378"/>
      <c r="H125" s="378"/>
      <c r="I125" s="379"/>
      <c r="J125" s="379"/>
      <c r="K125" s="379"/>
      <c r="L125" s="379"/>
      <c r="M125" s="379"/>
      <c r="N125" s="379"/>
      <c r="O125" s="379"/>
      <c r="P125" s="379"/>
      <c r="Q125" s="380"/>
      <c r="R125" s="378"/>
      <c r="S125" s="378"/>
      <c r="T125" s="378"/>
      <c r="U125" s="378"/>
      <c r="V125" s="378"/>
      <c r="W125" s="378"/>
      <c r="X125" s="411" t="e">
        <f>ROUND($Y$124/SUM(#REF!),5)*#REF!</f>
        <v>#REF!</v>
      </c>
      <c r="Y125" s="412"/>
      <c r="AA125" s="409">
        <v>122.5</v>
      </c>
      <c r="AG125" s="410"/>
    </row>
    <row r="126" spans="1:33" s="409" customFormat="1" ht="26.45" customHeight="1">
      <c r="A126" s="378"/>
      <c r="B126" s="378"/>
      <c r="C126" s="378"/>
      <c r="D126" s="378"/>
      <c r="E126" s="378"/>
      <c r="F126" s="379"/>
      <c r="G126" s="378"/>
      <c r="H126" s="378"/>
      <c r="I126" s="379"/>
      <c r="J126" s="379"/>
      <c r="K126" s="379"/>
      <c r="L126" s="379"/>
      <c r="M126" s="379"/>
      <c r="N126" s="379"/>
      <c r="O126" s="379"/>
      <c r="P126" s="379"/>
      <c r="Q126" s="380"/>
      <c r="R126" s="378"/>
      <c r="S126" s="378"/>
      <c r="T126" s="378"/>
      <c r="U126" s="378"/>
      <c r="V126" s="378"/>
      <c r="W126" s="378"/>
      <c r="X126" s="411" t="e">
        <f>ROUND($Y$124/SUM(#REF!),5)*#REF!</f>
        <v>#REF!</v>
      </c>
      <c r="Y126" s="412"/>
      <c r="AG126" s="410"/>
    </row>
    <row r="127" spans="1:33" s="409" customFormat="1" ht="26.45" customHeight="1">
      <c r="A127" s="378"/>
      <c r="B127" s="378"/>
      <c r="C127" s="378"/>
      <c r="D127" s="378"/>
      <c r="E127" s="378"/>
      <c r="F127" s="379"/>
      <c r="G127" s="378"/>
      <c r="H127" s="378"/>
      <c r="I127" s="379"/>
      <c r="J127" s="379"/>
      <c r="K127" s="379"/>
      <c r="L127" s="379"/>
      <c r="M127" s="379"/>
      <c r="N127" s="379"/>
      <c r="O127" s="379"/>
      <c r="P127" s="379"/>
      <c r="Q127" s="380"/>
      <c r="R127" s="378"/>
      <c r="S127" s="378"/>
      <c r="T127" s="378"/>
      <c r="U127" s="378"/>
      <c r="V127" s="378"/>
      <c r="W127" s="378"/>
      <c r="X127" s="411" t="e">
        <f>ROUND($Y$124/SUM(#REF!),5)*#REF!</f>
        <v>#REF!</v>
      </c>
      <c r="Y127" s="412"/>
      <c r="AG127" s="410"/>
    </row>
    <row r="128" spans="1:33" s="409" customFormat="1" ht="26.45" customHeight="1">
      <c r="A128" s="378"/>
      <c r="B128" s="378"/>
      <c r="C128" s="378"/>
      <c r="D128" s="378"/>
      <c r="E128" s="378"/>
      <c r="F128" s="379"/>
      <c r="G128" s="378"/>
      <c r="H128" s="378"/>
      <c r="I128" s="379"/>
      <c r="J128" s="379"/>
      <c r="K128" s="379"/>
      <c r="L128" s="379"/>
      <c r="M128" s="379"/>
      <c r="N128" s="379"/>
      <c r="O128" s="379"/>
      <c r="P128" s="379"/>
      <c r="Q128" s="380"/>
      <c r="R128" s="378"/>
      <c r="S128" s="378"/>
      <c r="T128" s="378"/>
      <c r="U128" s="378"/>
      <c r="V128" s="378"/>
      <c r="W128" s="378"/>
      <c r="X128" s="411" t="e">
        <f>ROUND($Y$124/SUM(#REF!),5)*#REF!</f>
        <v>#REF!</v>
      </c>
      <c r="Y128" s="412"/>
      <c r="AG128" s="410"/>
    </row>
    <row r="129" spans="1:33" s="409" customFormat="1" ht="26.45" customHeight="1">
      <c r="A129" s="378"/>
      <c r="B129" s="378"/>
      <c r="C129" s="378"/>
      <c r="D129" s="378"/>
      <c r="E129" s="378"/>
      <c r="F129" s="379"/>
      <c r="G129" s="378"/>
      <c r="H129" s="378"/>
      <c r="I129" s="379"/>
      <c r="J129" s="379"/>
      <c r="K129" s="379"/>
      <c r="L129" s="379"/>
      <c r="M129" s="379"/>
      <c r="N129" s="379"/>
      <c r="O129" s="379"/>
      <c r="P129" s="379"/>
      <c r="Q129" s="380"/>
      <c r="R129" s="378"/>
      <c r="S129" s="378"/>
      <c r="T129" s="378"/>
      <c r="U129" s="378"/>
      <c r="V129" s="378"/>
      <c r="W129" s="378"/>
      <c r="X129" s="411" t="e">
        <f>ROUND($Y$124/SUM(#REF!),5)*#REF!</f>
        <v>#REF!</v>
      </c>
      <c r="Y129" s="412"/>
      <c r="AG129" s="410"/>
    </row>
    <row r="130" spans="1:33" s="409" customFormat="1" ht="26.45" customHeight="1">
      <c r="A130" s="378"/>
      <c r="B130" s="378"/>
      <c r="C130" s="378"/>
      <c r="D130" s="378"/>
      <c r="E130" s="378"/>
      <c r="F130" s="379"/>
      <c r="G130" s="378"/>
      <c r="H130" s="378"/>
      <c r="I130" s="379"/>
      <c r="J130" s="379"/>
      <c r="K130" s="379"/>
      <c r="L130" s="379"/>
      <c r="M130" s="379"/>
      <c r="N130" s="379"/>
      <c r="O130" s="379"/>
      <c r="P130" s="379"/>
      <c r="Q130" s="380"/>
      <c r="R130" s="378"/>
      <c r="S130" s="378"/>
      <c r="T130" s="378"/>
      <c r="U130" s="378"/>
      <c r="V130" s="378"/>
      <c r="W130" s="378"/>
      <c r="X130" s="411" t="e">
        <f>ROUND($Y$130/SUM(#REF!),5)*#REF!</f>
        <v>#REF!</v>
      </c>
      <c r="Y130" s="412">
        <v>892.5</v>
      </c>
      <c r="AG130" s="410"/>
    </row>
    <row r="131" spans="1:33" s="409" customFormat="1" ht="26.45" customHeight="1">
      <c r="A131" s="378"/>
      <c r="B131" s="378"/>
      <c r="C131" s="378"/>
      <c r="D131" s="378"/>
      <c r="E131" s="378"/>
      <c r="F131" s="379"/>
      <c r="G131" s="378"/>
      <c r="H131" s="378"/>
      <c r="I131" s="379"/>
      <c r="J131" s="379"/>
      <c r="K131" s="379"/>
      <c r="L131" s="379"/>
      <c r="M131" s="379"/>
      <c r="N131" s="379"/>
      <c r="O131" s="379"/>
      <c r="P131" s="379"/>
      <c r="Q131" s="380"/>
      <c r="R131" s="378"/>
      <c r="S131" s="378"/>
      <c r="T131" s="378"/>
      <c r="U131" s="378"/>
      <c r="V131" s="378"/>
      <c r="W131" s="378"/>
      <c r="X131" s="411" t="e">
        <f>ROUND($Y$130/SUM(#REF!),5)*#REF!</f>
        <v>#REF!</v>
      </c>
      <c r="Y131" s="412"/>
      <c r="AG131" s="410"/>
    </row>
    <row r="132" spans="1:33" s="409" customFormat="1" ht="26.45" customHeight="1">
      <c r="A132" s="378"/>
      <c r="B132" s="378"/>
      <c r="C132" s="378"/>
      <c r="D132" s="378"/>
      <c r="E132" s="378"/>
      <c r="F132" s="379"/>
      <c r="G132" s="378"/>
      <c r="H132" s="378"/>
      <c r="I132" s="379"/>
      <c r="J132" s="379"/>
      <c r="K132" s="379"/>
      <c r="L132" s="379"/>
      <c r="M132" s="379"/>
      <c r="N132" s="379"/>
      <c r="O132" s="379"/>
      <c r="P132" s="379"/>
      <c r="Q132" s="380"/>
      <c r="R132" s="378"/>
      <c r="S132" s="378"/>
      <c r="T132" s="378"/>
      <c r="U132" s="378"/>
      <c r="V132" s="378"/>
      <c r="W132" s="378"/>
      <c r="X132" s="411" t="e">
        <f>ROUND($Y$130/SUM(#REF!),5)*#REF!</f>
        <v>#REF!</v>
      </c>
      <c r="Y132" s="412"/>
      <c r="AG132" s="410"/>
    </row>
    <row r="133" spans="1:33" s="409" customFormat="1" ht="26.45" customHeight="1">
      <c r="A133" s="378"/>
      <c r="B133" s="378"/>
      <c r="C133" s="378"/>
      <c r="D133" s="378"/>
      <c r="E133" s="378"/>
      <c r="F133" s="379"/>
      <c r="G133" s="378"/>
      <c r="H133" s="378"/>
      <c r="I133" s="379"/>
      <c r="J133" s="379"/>
      <c r="K133" s="379"/>
      <c r="L133" s="379"/>
      <c r="M133" s="379"/>
      <c r="N133" s="379"/>
      <c r="O133" s="379"/>
      <c r="P133" s="379"/>
      <c r="Q133" s="380"/>
      <c r="R133" s="378"/>
      <c r="S133" s="378"/>
      <c r="T133" s="378"/>
      <c r="U133" s="378"/>
      <c r="V133" s="378"/>
      <c r="W133" s="378"/>
      <c r="X133" s="411" t="e">
        <f>ROUND($Y$130/SUM(#REF!),5)*#REF!</f>
        <v>#REF!</v>
      </c>
      <c r="Y133" s="412"/>
      <c r="AG133" s="410"/>
    </row>
    <row r="134" spans="1:33" ht="14.1" customHeight="1">
      <c r="X134" s="396"/>
      <c r="Y134" s="412"/>
    </row>
    <row r="135" spans="1:33" ht="14.1" customHeight="1">
      <c r="Y135" s="412"/>
    </row>
    <row r="136" spans="1:33">
      <c r="Y136" s="412"/>
    </row>
    <row r="137" spans="1:33">
      <c r="Y137" s="412"/>
    </row>
  </sheetData>
  <mergeCells count="2">
    <mergeCell ref="A5:B5"/>
    <mergeCell ref="I5:Q5"/>
  </mergeCells>
  <phoneticPr fontId="33" type="noConversion"/>
  <printOptions horizontalCentered="1"/>
  <pageMargins left="0.25" right="0.25" top="0.5" bottom="0.5" header="0.31496062992126" footer="0.31496062992126"/>
  <pageSetup paperSize="9" scale="69"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AD58"/>
  <sheetViews>
    <sheetView showGridLines="0" tabSelected="1" view="pageBreakPreview" topLeftCell="A9" zoomScale="80" zoomScaleNormal="100" zoomScaleSheetLayoutView="80" workbookViewId="0">
      <selection activeCell="W25" sqref="W25"/>
    </sheetView>
  </sheetViews>
  <sheetFormatPr defaultColWidth="8.76953125" defaultRowHeight="18" customHeight="1"/>
  <cols>
    <col min="1" max="1" width="1.05078125" style="91" customWidth="1"/>
    <col min="2" max="2" width="3.625" style="50" customWidth="1"/>
    <col min="3" max="3" width="22.3359375" style="25" customWidth="1"/>
    <col min="4" max="4" width="38.58984375" style="105" bestFit="1" customWidth="1"/>
    <col min="5" max="5" width="10.640625" style="7" customWidth="1"/>
    <col min="6" max="6" width="5.37890625" style="103" customWidth="1"/>
    <col min="7" max="7" width="5.37890625" style="7" customWidth="1"/>
    <col min="8" max="8" width="8.30078125" style="7" customWidth="1"/>
    <col min="9" max="9" width="7.3671875" style="7" customWidth="1"/>
    <col min="10" max="10" width="8.41796875" style="7" customWidth="1"/>
    <col min="11" max="11" width="7.3671875" style="7" customWidth="1"/>
    <col min="12" max="12" width="8.30078125" style="7" customWidth="1"/>
    <col min="13" max="14" width="10.0546875" style="7" bestFit="1" customWidth="1"/>
    <col min="15" max="15" width="10.40625" style="7" customWidth="1"/>
    <col min="16" max="16" width="8.06640625" style="50" customWidth="1"/>
    <col min="17" max="17" width="8.06640625" style="106" customWidth="1"/>
    <col min="18" max="19" width="8.06640625" style="91" customWidth="1"/>
    <col min="20" max="21" width="8.53515625" style="91" bestFit="1" customWidth="1"/>
    <col min="22" max="16384" width="8.76953125" style="91"/>
  </cols>
  <sheetData>
    <row r="1" spans="2:21" ht="9" customHeight="1">
      <c r="B1" s="142"/>
      <c r="C1" s="7"/>
      <c r="D1" s="7"/>
      <c r="F1" s="7"/>
      <c r="H1" s="6"/>
      <c r="I1" s="6"/>
      <c r="J1" s="6"/>
      <c r="K1" s="133"/>
      <c r="L1" s="92"/>
      <c r="M1" s="142"/>
      <c r="N1" s="142"/>
      <c r="O1" s="142"/>
      <c r="P1" s="142"/>
      <c r="Q1" s="142"/>
    </row>
    <row r="2" spans="2:21" ht="26.1" customHeight="1">
      <c r="B2" s="143"/>
      <c r="C2" s="7"/>
      <c r="D2" s="7"/>
      <c r="F2" s="7"/>
      <c r="H2" s="6"/>
      <c r="I2" s="6"/>
      <c r="J2" s="6"/>
      <c r="K2" s="133"/>
      <c r="L2" s="92"/>
      <c r="M2" s="143"/>
      <c r="N2" s="143"/>
      <c r="O2" s="143"/>
      <c r="P2" s="143"/>
      <c r="Q2" s="143"/>
    </row>
    <row r="3" spans="2:21" ht="27.6" customHeight="1" thickBot="1">
      <c r="B3" s="143"/>
      <c r="C3" s="552" t="s">
        <v>0</v>
      </c>
      <c r="D3" s="552"/>
      <c r="E3" s="552"/>
      <c r="F3" s="552"/>
      <c r="G3" s="552"/>
      <c r="H3" s="552"/>
      <c r="I3" s="552"/>
      <c r="J3" s="6"/>
      <c r="K3" s="133"/>
      <c r="L3" s="92"/>
      <c r="M3" s="93"/>
      <c r="N3" s="143"/>
      <c r="O3" s="143"/>
      <c r="P3" s="143"/>
      <c r="Q3" s="143"/>
    </row>
    <row r="4" spans="2:21" ht="33.75" customHeight="1" thickTop="1" thickBot="1">
      <c r="B4" s="564" t="s">
        <v>37</v>
      </c>
      <c r="C4" s="565"/>
      <c r="D4" s="565"/>
      <c r="E4" s="565"/>
      <c r="F4" s="565"/>
      <c r="G4" s="565"/>
      <c r="H4" s="565"/>
      <c r="I4" s="565"/>
      <c r="J4" s="565"/>
      <c r="K4" s="565"/>
      <c r="L4" s="565"/>
      <c r="M4" s="565"/>
      <c r="N4" s="565"/>
      <c r="O4" s="565"/>
      <c r="P4" s="565"/>
      <c r="Q4" s="565"/>
      <c r="R4" s="565"/>
      <c r="S4" s="565"/>
      <c r="T4" s="566"/>
      <c r="U4" s="593"/>
    </row>
    <row r="5" spans="2:21" s="7" customFormat="1" ht="17.25" customHeight="1" thickTop="1">
      <c r="B5" s="50"/>
      <c r="C5" s="94" t="s">
        <v>38</v>
      </c>
      <c r="D5" s="172" t="str">
        <f>'Packing List (1_2)'!H5</f>
        <v>OM4-DE-IS-0006</v>
      </c>
      <c r="E5" s="50"/>
      <c r="F5" s="50"/>
      <c r="G5" s="50"/>
      <c r="H5" s="50"/>
      <c r="I5" s="50"/>
      <c r="J5" s="50"/>
      <c r="K5" s="50"/>
      <c r="L5" s="50"/>
      <c r="M5" s="50"/>
      <c r="N5" s="50"/>
      <c r="O5" s="50"/>
      <c r="P5" s="95"/>
      <c r="Q5" s="50"/>
    </row>
    <row r="6" spans="2:21" s="7" customFormat="1" ht="17.25" customHeight="1">
      <c r="B6" s="50"/>
      <c r="C6" s="94" t="s">
        <v>39</v>
      </c>
      <c r="D6" s="138">
        <f>'Packing List (1_2)'!H6</f>
        <v>46171</v>
      </c>
      <c r="E6" s="50"/>
      <c r="F6" s="50"/>
      <c r="G6" s="25" t="s">
        <v>40</v>
      </c>
      <c r="H6" s="50"/>
      <c r="I6" s="50"/>
      <c r="J6" s="50"/>
      <c r="K6" s="50"/>
      <c r="L6" s="50"/>
      <c r="M6" s="50"/>
      <c r="N6" s="50"/>
      <c r="O6" s="25" t="s">
        <v>41</v>
      </c>
      <c r="P6" s="50"/>
      <c r="Q6" s="50"/>
      <c r="R6" s="50"/>
      <c r="S6" s="50"/>
    </row>
    <row r="7" spans="2:21" s="7" customFormat="1" ht="17.25" customHeight="1">
      <c r="B7" s="50"/>
      <c r="C7" s="94" t="s">
        <v>42</v>
      </c>
      <c r="D7" s="96" t="s">
        <v>125</v>
      </c>
      <c r="E7" s="50"/>
      <c r="F7" s="50"/>
      <c r="G7" s="97" t="s">
        <v>43</v>
      </c>
      <c r="H7" s="25" t="s">
        <v>44</v>
      </c>
      <c r="I7" s="50"/>
      <c r="J7" s="50"/>
      <c r="K7" s="50"/>
      <c r="L7" s="50"/>
      <c r="M7" s="50"/>
      <c r="N7" s="50"/>
      <c r="O7" s="98"/>
      <c r="P7" s="99" t="s">
        <v>326</v>
      </c>
      <c r="Q7" s="99" t="s">
        <v>328</v>
      </c>
      <c r="R7" s="99" t="s">
        <v>180</v>
      </c>
      <c r="S7" s="99" t="s">
        <v>45</v>
      </c>
    </row>
    <row r="8" spans="2:21" s="7" customFormat="1" ht="17.25" customHeight="1">
      <c r="B8" s="50"/>
      <c r="D8" s="94"/>
      <c r="E8" s="50"/>
      <c r="F8" s="50"/>
      <c r="G8" s="97" t="s">
        <v>46</v>
      </c>
      <c r="H8" s="25" t="s">
        <v>47</v>
      </c>
      <c r="I8" s="50"/>
      <c r="J8" s="50"/>
      <c r="K8" s="50"/>
      <c r="L8" s="50"/>
      <c r="M8" s="50"/>
      <c r="N8" s="50"/>
      <c r="O8" s="99" t="s">
        <v>48</v>
      </c>
      <c r="P8" s="99" t="s">
        <v>49</v>
      </c>
      <c r="Q8" s="99" t="s">
        <v>50</v>
      </c>
      <c r="R8" s="99" t="s">
        <v>51</v>
      </c>
      <c r="S8" s="99" t="s">
        <v>52</v>
      </c>
    </row>
    <row r="9" spans="2:21" s="7" customFormat="1" ht="17.25" customHeight="1">
      <c r="B9" s="50"/>
      <c r="C9" s="94"/>
      <c r="D9" s="94"/>
      <c r="E9" s="50"/>
      <c r="F9" s="50"/>
      <c r="G9" s="97" t="s">
        <v>53</v>
      </c>
      <c r="H9" s="25" t="s">
        <v>54</v>
      </c>
      <c r="I9" s="50"/>
      <c r="J9" s="50"/>
      <c r="K9" s="50"/>
      <c r="L9" s="50"/>
      <c r="M9" s="50"/>
      <c r="N9" s="50"/>
      <c r="O9" s="99" t="s">
        <v>55</v>
      </c>
      <c r="P9" s="99" t="s">
        <v>56</v>
      </c>
      <c r="Q9" s="99" t="s">
        <v>57</v>
      </c>
      <c r="R9" s="99" t="s">
        <v>58</v>
      </c>
      <c r="S9" s="99" t="s">
        <v>59</v>
      </c>
    </row>
    <row r="10" spans="2:21" s="7" customFormat="1" ht="17.25" customHeight="1">
      <c r="B10" s="50"/>
      <c r="D10" s="94"/>
      <c r="E10" s="50"/>
      <c r="F10" s="50"/>
      <c r="G10" s="97" t="s">
        <v>60</v>
      </c>
      <c r="H10" s="25" t="s">
        <v>61</v>
      </c>
      <c r="I10" s="50"/>
      <c r="J10" s="50"/>
      <c r="K10" s="50"/>
      <c r="L10" s="50"/>
      <c r="M10" s="50"/>
      <c r="N10" s="50"/>
      <c r="O10" s="99" t="s">
        <v>62</v>
      </c>
      <c r="P10" s="99" t="s">
        <v>63</v>
      </c>
      <c r="Q10" s="99" t="s">
        <v>64</v>
      </c>
      <c r="R10" s="99" t="s">
        <v>65</v>
      </c>
      <c r="S10" s="99" t="s">
        <v>66</v>
      </c>
    </row>
    <row r="11" spans="2:21" s="7" customFormat="1" ht="17.25" customHeight="1">
      <c r="B11" s="50"/>
      <c r="D11" s="94"/>
      <c r="E11" s="50"/>
      <c r="F11" s="50"/>
      <c r="G11" s="97" t="s">
        <v>67</v>
      </c>
      <c r="H11" s="25" t="s">
        <v>68</v>
      </c>
      <c r="I11" s="50"/>
      <c r="J11" s="50"/>
      <c r="K11" s="50"/>
      <c r="L11" s="50"/>
      <c r="M11" s="50"/>
      <c r="N11" s="50"/>
      <c r="O11" s="50"/>
      <c r="P11" s="50"/>
      <c r="Q11" s="50"/>
    </row>
    <row r="12" spans="2:21" s="7" customFormat="1" ht="17.25" customHeight="1">
      <c r="B12" s="50"/>
      <c r="C12" s="94"/>
      <c r="D12" s="50"/>
      <c r="E12" s="50"/>
      <c r="F12" s="50"/>
      <c r="I12" s="50"/>
      <c r="J12" s="50"/>
      <c r="K12" s="50"/>
      <c r="L12" s="50"/>
      <c r="M12" s="50"/>
      <c r="N12" s="50"/>
      <c r="O12" s="50"/>
      <c r="P12" s="50"/>
      <c r="Q12" s="50"/>
    </row>
    <row r="13" spans="2:21" s="17" customFormat="1" ht="31.7" customHeight="1">
      <c r="B13" s="553" t="s">
        <v>27</v>
      </c>
      <c r="C13" s="555" t="s">
        <v>28</v>
      </c>
      <c r="D13" s="557" t="s">
        <v>69</v>
      </c>
      <c r="E13" s="553" t="s">
        <v>70</v>
      </c>
      <c r="F13" s="559" t="s">
        <v>71</v>
      </c>
      <c r="G13" s="560"/>
      <c r="H13" s="553" t="s">
        <v>72</v>
      </c>
      <c r="I13" s="559" t="s">
        <v>73</v>
      </c>
      <c r="J13" s="561"/>
      <c r="K13" s="561"/>
      <c r="L13" s="560"/>
      <c r="M13" s="553" t="s">
        <v>74</v>
      </c>
      <c r="N13" s="553" t="s">
        <v>75</v>
      </c>
      <c r="O13" s="553" t="s">
        <v>168</v>
      </c>
      <c r="P13" s="562" t="s">
        <v>169</v>
      </c>
      <c r="Q13" s="562" t="s">
        <v>170</v>
      </c>
      <c r="R13" s="562" t="s">
        <v>171</v>
      </c>
      <c r="S13" s="553" t="s">
        <v>77</v>
      </c>
      <c r="T13" s="553" t="s">
        <v>78</v>
      </c>
      <c r="U13" s="553" t="s">
        <v>491</v>
      </c>
    </row>
    <row r="14" spans="2:21" s="17" customFormat="1" ht="31.7" customHeight="1">
      <c r="B14" s="554"/>
      <c r="C14" s="556"/>
      <c r="D14" s="558"/>
      <c r="E14" s="554"/>
      <c r="F14" s="100" t="s">
        <v>79</v>
      </c>
      <c r="G14" s="100" t="s">
        <v>80</v>
      </c>
      <c r="H14" s="554"/>
      <c r="I14" s="101" t="s">
        <v>81</v>
      </c>
      <c r="J14" s="101" t="s">
        <v>82</v>
      </c>
      <c r="K14" s="101" t="s">
        <v>83</v>
      </c>
      <c r="L14" s="101" t="s">
        <v>84</v>
      </c>
      <c r="M14" s="554"/>
      <c r="N14" s="554"/>
      <c r="O14" s="554"/>
      <c r="P14" s="563"/>
      <c r="Q14" s="563"/>
      <c r="R14" s="563"/>
      <c r="S14" s="554"/>
      <c r="T14" s="554"/>
      <c r="U14" s="554"/>
    </row>
    <row r="15" spans="2:21" s="17" customFormat="1" ht="15.75">
      <c r="B15" s="295">
        <v>1</v>
      </c>
      <c r="C15" s="296" t="s">
        <v>286</v>
      </c>
      <c r="D15" s="33" t="s">
        <v>177</v>
      </c>
      <c r="E15" s="295" t="s">
        <v>281</v>
      </c>
      <c r="F15" s="210">
        <v>1</v>
      </c>
      <c r="G15" s="210"/>
      <c r="H15" s="304" t="s">
        <v>179</v>
      </c>
      <c r="I15" s="322">
        <v>136</v>
      </c>
      <c r="J15" s="322">
        <v>136</v>
      </c>
      <c r="K15" s="322">
        <v>117</v>
      </c>
      <c r="L15" s="342">
        <v>2.1640000000000001</v>
      </c>
      <c r="M15" s="307">
        <v>830</v>
      </c>
      <c r="N15" s="307">
        <v>990</v>
      </c>
      <c r="O15" s="298" t="s">
        <v>319</v>
      </c>
      <c r="P15" s="298" t="s">
        <v>320</v>
      </c>
      <c r="Q15" s="298" t="s">
        <v>320</v>
      </c>
      <c r="R15" s="298" t="s">
        <v>320</v>
      </c>
      <c r="S15" s="288" t="s">
        <v>321</v>
      </c>
      <c r="T15" s="306" t="s">
        <v>331</v>
      </c>
      <c r="U15" s="592" t="s">
        <v>484</v>
      </c>
    </row>
    <row r="16" spans="2:21" s="17" customFormat="1" ht="15.75">
      <c r="B16" s="295">
        <v>2</v>
      </c>
      <c r="C16" s="296" t="s">
        <v>287</v>
      </c>
      <c r="D16" s="33" t="s">
        <v>177</v>
      </c>
      <c r="E16" s="295" t="s">
        <v>281</v>
      </c>
      <c r="F16" s="210">
        <v>1</v>
      </c>
      <c r="G16" s="210"/>
      <c r="H16" s="304" t="s">
        <v>179</v>
      </c>
      <c r="I16" s="322">
        <v>136</v>
      </c>
      <c r="J16" s="322">
        <v>136</v>
      </c>
      <c r="K16" s="322">
        <v>117</v>
      </c>
      <c r="L16" s="342">
        <v>2.1640000000000001</v>
      </c>
      <c r="M16" s="307">
        <v>950</v>
      </c>
      <c r="N16" s="307">
        <v>1100</v>
      </c>
      <c r="O16" s="298" t="s">
        <v>319</v>
      </c>
      <c r="P16" s="298" t="s">
        <v>320</v>
      </c>
      <c r="Q16" s="298" t="s">
        <v>320</v>
      </c>
      <c r="R16" s="298" t="s">
        <v>320</v>
      </c>
      <c r="S16" s="288" t="s">
        <v>321</v>
      </c>
      <c r="T16" s="306" t="s">
        <v>330</v>
      </c>
      <c r="U16" s="592" t="s">
        <v>484</v>
      </c>
    </row>
    <row r="17" spans="2:21" s="17" customFormat="1" ht="15.75">
      <c r="B17" s="295">
        <v>3</v>
      </c>
      <c r="C17" s="296" t="s">
        <v>288</v>
      </c>
      <c r="D17" s="33" t="s">
        <v>185</v>
      </c>
      <c r="E17" s="295" t="s">
        <v>281</v>
      </c>
      <c r="F17" s="210">
        <v>1</v>
      </c>
      <c r="G17" s="210"/>
      <c r="H17" s="304" t="s">
        <v>179</v>
      </c>
      <c r="I17" s="322">
        <v>136</v>
      </c>
      <c r="J17" s="322">
        <v>136</v>
      </c>
      <c r="K17" s="322">
        <v>117</v>
      </c>
      <c r="L17" s="342">
        <v>2.1640000000000001</v>
      </c>
      <c r="M17" s="307">
        <v>640</v>
      </c>
      <c r="N17" s="307">
        <v>790</v>
      </c>
      <c r="O17" s="298" t="s">
        <v>319</v>
      </c>
      <c r="P17" s="298" t="s">
        <v>320</v>
      </c>
      <c r="Q17" s="298" t="s">
        <v>320</v>
      </c>
      <c r="R17" s="298" t="s">
        <v>320</v>
      </c>
      <c r="S17" s="288" t="s">
        <v>321</v>
      </c>
      <c r="T17" s="306" t="s">
        <v>330</v>
      </c>
      <c r="U17" s="592" t="s">
        <v>485</v>
      </c>
    </row>
    <row r="18" spans="2:21" s="17" customFormat="1" ht="15.75">
      <c r="B18" s="295">
        <v>4</v>
      </c>
      <c r="C18" s="296" t="s">
        <v>289</v>
      </c>
      <c r="D18" s="33" t="s">
        <v>185</v>
      </c>
      <c r="E18" s="295" t="s">
        <v>281</v>
      </c>
      <c r="F18" s="210">
        <v>1</v>
      </c>
      <c r="G18" s="210"/>
      <c r="H18" s="304" t="s">
        <v>179</v>
      </c>
      <c r="I18" s="322">
        <v>136</v>
      </c>
      <c r="J18" s="322">
        <v>136</v>
      </c>
      <c r="K18" s="322">
        <v>117</v>
      </c>
      <c r="L18" s="342">
        <v>2.1640000000000001</v>
      </c>
      <c r="M18" s="307">
        <v>690</v>
      </c>
      <c r="N18" s="307">
        <v>840</v>
      </c>
      <c r="O18" s="298" t="s">
        <v>319</v>
      </c>
      <c r="P18" s="298" t="s">
        <v>320</v>
      </c>
      <c r="Q18" s="298" t="s">
        <v>320</v>
      </c>
      <c r="R18" s="298" t="s">
        <v>320</v>
      </c>
      <c r="S18" s="288" t="s">
        <v>321</v>
      </c>
      <c r="T18" s="306" t="s">
        <v>330</v>
      </c>
      <c r="U18" s="592" t="s">
        <v>486</v>
      </c>
    </row>
    <row r="19" spans="2:21" s="17" customFormat="1" ht="15.75">
      <c r="B19" s="295">
        <v>5</v>
      </c>
      <c r="C19" s="296" t="s">
        <v>290</v>
      </c>
      <c r="D19" s="33" t="s">
        <v>177</v>
      </c>
      <c r="E19" s="295" t="s">
        <v>281</v>
      </c>
      <c r="F19" s="210">
        <v>1</v>
      </c>
      <c r="G19" s="210"/>
      <c r="H19" s="304" t="s">
        <v>179</v>
      </c>
      <c r="I19" s="322">
        <v>136</v>
      </c>
      <c r="J19" s="322">
        <v>136</v>
      </c>
      <c r="K19" s="322">
        <v>92</v>
      </c>
      <c r="L19" s="342">
        <v>1.702</v>
      </c>
      <c r="M19" s="307">
        <v>470</v>
      </c>
      <c r="N19" s="307">
        <v>620</v>
      </c>
      <c r="O19" s="298" t="s">
        <v>319</v>
      </c>
      <c r="P19" s="298" t="s">
        <v>320</v>
      </c>
      <c r="Q19" s="298" t="s">
        <v>320</v>
      </c>
      <c r="R19" s="298" t="s">
        <v>320</v>
      </c>
      <c r="S19" s="288" t="s">
        <v>321</v>
      </c>
      <c r="T19" s="306" t="s">
        <v>330</v>
      </c>
      <c r="U19" s="592" t="s">
        <v>484</v>
      </c>
    </row>
    <row r="20" spans="2:21" s="17" customFormat="1" ht="15.75">
      <c r="B20" s="295">
        <v>6</v>
      </c>
      <c r="C20" s="296" t="s">
        <v>291</v>
      </c>
      <c r="D20" s="33" t="s">
        <v>177</v>
      </c>
      <c r="E20" s="295" t="s">
        <v>281</v>
      </c>
      <c r="F20" s="210">
        <v>1</v>
      </c>
      <c r="G20" s="210"/>
      <c r="H20" s="304" t="s">
        <v>179</v>
      </c>
      <c r="I20" s="322">
        <v>157</v>
      </c>
      <c r="J20" s="322">
        <v>123</v>
      </c>
      <c r="K20" s="322">
        <v>66</v>
      </c>
      <c r="L20" s="342">
        <v>1.2749999999999999</v>
      </c>
      <c r="M20" s="307">
        <v>240</v>
      </c>
      <c r="N20" s="307">
        <v>350</v>
      </c>
      <c r="O20" s="298" t="s">
        <v>319</v>
      </c>
      <c r="P20" s="298" t="s">
        <v>320</v>
      </c>
      <c r="Q20" s="298" t="s">
        <v>320</v>
      </c>
      <c r="R20" s="298" t="s">
        <v>320</v>
      </c>
      <c r="S20" s="288" t="s">
        <v>321</v>
      </c>
      <c r="T20" s="306" t="s">
        <v>330</v>
      </c>
      <c r="U20" s="592" t="s">
        <v>485</v>
      </c>
    </row>
    <row r="21" spans="2:21" s="17" customFormat="1" ht="15.75">
      <c r="B21" s="295">
        <v>7</v>
      </c>
      <c r="C21" s="296" t="s">
        <v>292</v>
      </c>
      <c r="D21" s="33" t="s">
        <v>177</v>
      </c>
      <c r="E21" s="295" t="s">
        <v>281</v>
      </c>
      <c r="F21" s="210">
        <v>1</v>
      </c>
      <c r="G21" s="210"/>
      <c r="H21" s="304" t="s">
        <v>179</v>
      </c>
      <c r="I21" s="322">
        <v>136</v>
      </c>
      <c r="J21" s="322">
        <v>136</v>
      </c>
      <c r="K21" s="322">
        <v>142</v>
      </c>
      <c r="L21" s="342">
        <v>2.6259999999999999</v>
      </c>
      <c r="M21" s="307">
        <v>1580</v>
      </c>
      <c r="N21" s="307">
        <v>1740</v>
      </c>
      <c r="O21" s="298" t="s">
        <v>319</v>
      </c>
      <c r="P21" s="298" t="s">
        <v>320</v>
      </c>
      <c r="Q21" s="298" t="s">
        <v>320</v>
      </c>
      <c r="R21" s="298" t="s">
        <v>320</v>
      </c>
      <c r="S21" s="288" t="s">
        <v>321</v>
      </c>
      <c r="T21" s="306" t="s">
        <v>330</v>
      </c>
      <c r="U21" s="592" t="s">
        <v>484</v>
      </c>
    </row>
    <row r="22" spans="2:21" s="17" customFormat="1" ht="15.75">
      <c r="B22" s="295">
        <v>8</v>
      </c>
      <c r="C22" s="296" t="s">
        <v>293</v>
      </c>
      <c r="D22" s="33" t="s">
        <v>185</v>
      </c>
      <c r="E22" s="295" t="s">
        <v>281</v>
      </c>
      <c r="F22" s="210">
        <v>1</v>
      </c>
      <c r="G22" s="210"/>
      <c r="H22" s="304" t="s">
        <v>179</v>
      </c>
      <c r="I22" s="322">
        <v>136</v>
      </c>
      <c r="J22" s="322">
        <v>136</v>
      </c>
      <c r="K22" s="322">
        <v>142</v>
      </c>
      <c r="L22" s="342">
        <v>2.6259999999999999</v>
      </c>
      <c r="M22" s="307">
        <v>1080</v>
      </c>
      <c r="N22" s="307">
        <v>1250</v>
      </c>
      <c r="O22" s="298" t="s">
        <v>319</v>
      </c>
      <c r="P22" s="298" t="s">
        <v>320</v>
      </c>
      <c r="Q22" s="298" t="s">
        <v>320</v>
      </c>
      <c r="R22" s="298" t="s">
        <v>320</v>
      </c>
      <c r="S22" s="288" t="s">
        <v>321</v>
      </c>
      <c r="T22" s="306" t="s">
        <v>330</v>
      </c>
      <c r="U22" s="592" t="s">
        <v>486</v>
      </c>
    </row>
    <row r="23" spans="2:21" s="17" customFormat="1" ht="15.75">
      <c r="B23" s="295">
        <v>9</v>
      </c>
      <c r="C23" s="296" t="s">
        <v>294</v>
      </c>
      <c r="D23" s="33" t="s">
        <v>177</v>
      </c>
      <c r="E23" s="295" t="s">
        <v>281</v>
      </c>
      <c r="F23" s="210">
        <v>1</v>
      </c>
      <c r="G23" s="210"/>
      <c r="H23" s="304" t="s">
        <v>179</v>
      </c>
      <c r="I23" s="322">
        <v>136</v>
      </c>
      <c r="J23" s="322">
        <v>136</v>
      </c>
      <c r="K23" s="322">
        <v>142</v>
      </c>
      <c r="L23" s="342">
        <v>2.6259999999999999</v>
      </c>
      <c r="M23" s="307">
        <v>1580</v>
      </c>
      <c r="N23" s="307">
        <v>1730</v>
      </c>
      <c r="O23" s="298" t="s">
        <v>319</v>
      </c>
      <c r="P23" s="298" t="s">
        <v>320</v>
      </c>
      <c r="Q23" s="298" t="s">
        <v>320</v>
      </c>
      <c r="R23" s="298" t="s">
        <v>320</v>
      </c>
      <c r="S23" s="288" t="s">
        <v>321</v>
      </c>
      <c r="T23" s="306" t="s">
        <v>330</v>
      </c>
      <c r="U23" s="592" t="s">
        <v>484</v>
      </c>
    </row>
    <row r="24" spans="2:21" s="17" customFormat="1" ht="15.75">
      <c r="B24" s="295">
        <v>10</v>
      </c>
      <c r="C24" s="296" t="s">
        <v>295</v>
      </c>
      <c r="D24" s="33" t="s">
        <v>177</v>
      </c>
      <c r="E24" s="295" t="s">
        <v>281</v>
      </c>
      <c r="F24" s="210">
        <v>1</v>
      </c>
      <c r="G24" s="210"/>
      <c r="H24" s="304" t="s">
        <v>179</v>
      </c>
      <c r="I24" s="322">
        <v>136</v>
      </c>
      <c r="J24" s="322">
        <v>136</v>
      </c>
      <c r="K24" s="322">
        <v>142</v>
      </c>
      <c r="L24" s="342">
        <v>2.6259999999999999</v>
      </c>
      <c r="M24" s="307">
        <v>1300</v>
      </c>
      <c r="N24" s="307">
        <v>1470</v>
      </c>
      <c r="O24" s="298" t="s">
        <v>319</v>
      </c>
      <c r="P24" s="298" t="s">
        <v>320</v>
      </c>
      <c r="Q24" s="298" t="s">
        <v>320</v>
      </c>
      <c r="R24" s="298" t="s">
        <v>320</v>
      </c>
      <c r="S24" s="288" t="s">
        <v>321</v>
      </c>
      <c r="T24" s="306" t="s">
        <v>330</v>
      </c>
      <c r="U24" s="592" t="s">
        <v>484</v>
      </c>
    </row>
    <row r="25" spans="2:21" s="17" customFormat="1" ht="15.75">
      <c r="B25" s="295">
        <v>11</v>
      </c>
      <c r="C25" s="296" t="s">
        <v>296</v>
      </c>
      <c r="D25" s="33" t="s">
        <v>177</v>
      </c>
      <c r="E25" s="295" t="s">
        <v>281</v>
      </c>
      <c r="F25" s="210">
        <v>1</v>
      </c>
      <c r="G25" s="210"/>
      <c r="H25" s="304" t="s">
        <v>179</v>
      </c>
      <c r="I25" s="322">
        <v>136</v>
      </c>
      <c r="J25" s="322">
        <v>136</v>
      </c>
      <c r="K25" s="322">
        <v>142</v>
      </c>
      <c r="L25" s="342">
        <v>2.6259999999999999</v>
      </c>
      <c r="M25" s="307">
        <v>1050</v>
      </c>
      <c r="N25" s="307">
        <v>1230</v>
      </c>
      <c r="O25" s="298" t="s">
        <v>319</v>
      </c>
      <c r="P25" s="298" t="s">
        <v>320</v>
      </c>
      <c r="Q25" s="298" t="s">
        <v>320</v>
      </c>
      <c r="R25" s="298" t="s">
        <v>320</v>
      </c>
      <c r="S25" s="288" t="s">
        <v>321</v>
      </c>
      <c r="T25" s="306" t="s">
        <v>330</v>
      </c>
      <c r="U25" s="592" t="s">
        <v>484</v>
      </c>
    </row>
    <row r="26" spans="2:21" s="17" customFormat="1" ht="15.75">
      <c r="B26" s="295">
        <v>12</v>
      </c>
      <c r="C26" s="296" t="s">
        <v>297</v>
      </c>
      <c r="D26" s="33" t="s">
        <v>185</v>
      </c>
      <c r="E26" s="295" t="s">
        <v>281</v>
      </c>
      <c r="F26" s="210">
        <v>1</v>
      </c>
      <c r="G26" s="210"/>
      <c r="H26" s="304" t="s">
        <v>179</v>
      </c>
      <c r="I26" s="322">
        <v>136</v>
      </c>
      <c r="J26" s="322">
        <v>136</v>
      </c>
      <c r="K26" s="322">
        <v>158</v>
      </c>
      <c r="L26" s="342">
        <v>2.9220000000000002</v>
      </c>
      <c r="M26" s="307">
        <v>1150</v>
      </c>
      <c r="N26" s="307">
        <v>1310</v>
      </c>
      <c r="O26" s="298" t="s">
        <v>319</v>
      </c>
      <c r="P26" s="298" t="s">
        <v>320</v>
      </c>
      <c r="Q26" s="298" t="s">
        <v>320</v>
      </c>
      <c r="R26" s="298" t="s">
        <v>320</v>
      </c>
      <c r="S26" s="288" t="s">
        <v>321</v>
      </c>
      <c r="T26" s="306" t="s">
        <v>330</v>
      </c>
      <c r="U26" s="592" t="s">
        <v>484</v>
      </c>
    </row>
    <row r="27" spans="2:21" s="17" customFormat="1" ht="15.75">
      <c r="B27" s="295">
        <v>13</v>
      </c>
      <c r="C27" s="296" t="s">
        <v>298</v>
      </c>
      <c r="D27" s="33" t="s">
        <v>185</v>
      </c>
      <c r="E27" s="295" t="s">
        <v>281</v>
      </c>
      <c r="F27" s="210">
        <v>1</v>
      </c>
      <c r="G27" s="210"/>
      <c r="H27" s="304" t="s">
        <v>179</v>
      </c>
      <c r="I27" s="322">
        <v>136</v>
      </c>
      <c r="J27" s="322">
        <v>136</v>
      </c>
      <c r="K27" s="322">
        <v>158</v>
      </c>
      <c r="L27" s="342">
        <v>2.9220000000000002</v>
      </c>
      <c r="M27" s="307">
        <v>1730</v>
      </c>
      <c r="N27" s="307">
        <v>1890</v>
      </c>
      <c r="O27" s="298" t="s">
        <v>319</v>
      </c>
      <c r="P27" s="298" t="s">
        <v>320</v>
      </c>
      <c r="Q27" s="298" t="s">
        <v>320</v>
      </c>
      <c r="R27" s="298" t="s">
        <v>320</v>
      </c>
      <c r="S27" s="288" t="s">
        <v>321</v>
      </c>
      <c r="T27" s="306" t="s">
        <v>330</v>
      </c>
      <c r="U27" s="592" t="s">
        <v>484</v>
      </c>
    </row>
    <row r="28" spans="2:21" s="17" customFormat="1" ht="15.75">
      <c r="B28" s="295">
        <v>14</v>
      </c>
      <c r="C28" s="296" t="s">
        <v>299</v>
      </c>
      <c r="D28" s="33" t="s">
        <v>185</v>
      </c>
      <c r="E28" s="295" t="s">
        <v>281</v>
      </c>
      <c r="F28" s="210">
        <v>1</v>
      </c>
      <c r="G28" s="210"/>
      <c r="H28" s="304" t="s">
        <v>179</v>
      </c>
      <c r="I28" s="322">
        <v>136</v>
      </c>
      <c r="J28" s="322">
        <v>136</v>
      </c>
      <c r="K28" s="322">
        <v>158</v>
      </c>
      <c r="L28" s="342">
        <v>2.9220000000000002</v>
      </c>
      <c r="M28" s="307">
        <v>1780</v>
      </c>
      <c r="N28" s="307">
        <v>1940</v>
      </c>
      <c r="O28" s="298" t="s">
        <v>319</v>
      </c>
      <c r="P28" s="298" t="s">
        <v>320</v>
      </c>
      <c r="Q28" s="298" t="s">
        <v>320</v>
      </c>
      <c r="R28" s="298" t="s">
        <v>320</v>
      </c>
      <c r="S28" s="288" t="s">
        <v>321</v>
      </c>
      <c r="T28" s="306" t="s">
        <v>330</v>
      </c>
      <c r="U28" s="592" t="s">
        <v>484</v>
      </c>
    </row>
    <row r="29" spans="2:21" s="17" customFormat="1" ht="15.75">
      <c r="B29" s="295">
        <v>15</v>
      </c>
      <c r="C29" s="296" t="s">
        <v>300</v>
      </c>
      <c r="D29" s="33" t="s">
        <v>185</v>
      </c>
      <c r="E29" s="295" t="s">
        <v>281</v>
      </c>
      <c r="F29" s="210">
        <v>1</v>
      </c>
      <c r="G29" s="210"/>
      <c r="H29" s="304" t="s">
        <v>179</v>
      </c>
      <c r="I29" s="322">
        <v>136</v>
      </c>
      <c r="J29" s="322">
        <v>136</v>
      </c>
      <c r="K29" s="322">
        <v>158</v>
      </c>
      <c r="L29" s="342">
        <v>2.9220000000000002</v>
      </c>
      <c r="M29" s="307">
        <v>1780</v>
      </c>
      <c r="N29" s="307">
        <v>1940</v>
      </c>
      <c r="O29" s="298" t="s">
        <v>319</v>
      </c>
      <c r="P29" s="298" t="s">
        <v>320</v>
      </c>
      <c r="Q29" s="298" t="s">
        <v>320</v>
      </c>
      <c r="R29" s="298" t="s">
        <v>320</v>
      </c>
      <c r="S29" s="288" t="s">
        <v>321</v>
      </c>
      <c r="T29" s="306" t="s">
        <v>330</v>
      </c>
      <c r="U29" s="592" t="s">
        <v>484</v>
      </c>
    </row>
    <row r="30" spans="2:21" s="17" customFormat="1" ht="15.75">
      <c r="B30" s="295">
        <v>16</v>
      </c>
      <c r="C30" s="296" t="s">
        <v>301</v>
      </c>
      <c r="D30" s="33" t="s">
        <v>177</v>
      </c>
      <c r="E30" s="295" t="s">
        <v>281</v>
      </c>
      <c r="F30" s="210">
        <v>1</v>
      </c>
      <c r="G30" s="210"/>
      <c r="H30" s="304" t="s">
        <v>179</v>
      </c>
      <c r="I30" s="322">
        <v>245</v>
      </c>
      <c r="J30" s="322">
        <v>67</v>
      </c>
      <c r="K30" s="322">
        <v>65</v>
      </c>
      <c r="L30" s="342">
        <v>1.0669999999999999</v>
      </c>
      <c r="M30" s="307">
        <v>290</v>
      </c>
      <c r="N30" s="307">
        <v>370</v>
      </c>
      <c r="O30" s="298" t="s">
        <v>319</v>
      </c>
      <c r="P30" s="298" t="s">
        <v>320</v>
      </c>
      <c r="Q30" s="298" t="s">
        <v>320</v>
      </c>
      <c r="R30" s="298" t="s">
        <v>320</v>
      </c>
      <c r="S30" s="288" t="s">
        <v>321</v>
      </c>
      <c r="T30" s="306" t="s">
        <v>330</v>
      </c>
      <c r="U30" s="592" t="s">
        <v>484</v>
      </c>
    </row>
    <row r="31" spans="2:21" s="17" customFormat="1" ht="15.75">
      <c r="B31" s="295">
        <v>17</v>
      </c>
      <c r="C31" s="296" t="s">
        <v>302</v>
      </c>
      <c r="D31" s="33" t="s">
        <v>176</v>
      </c>
      <c r="E31" s="295" t="s">
        <v>281</v>
      </c>
      <c r="F31" s="210">
        <v>1</v>
      </c>
      <c r="G31" s="210"/>
      <c r="H31" s="304" t="s">
        <v>179</v>
      </c>
      <c r="I31" s="322">
        <v>245</v>
      </c>
      <c r="J31" s="322">
        <v>124</v>
      </c>
      <c r="K31" s="322">
        <v>69</v>
      </c>
      <c r="L31" s="342">
        <v>2.0960000000000001</v>
      </c>
      <c r="M31" s="307">
        <v>700</v>
      </c>
      <c r="N31" s="307">
        <v>860</v>
      </c>
      <c r="O31" s="298" t="s">
        <v>319</v>
      </c>
      <c r="P31" s="298" t="s">
        <v>320</v>
      </c>
      <c r="Q31" s="298" t="s">
        <v>320</v>
      </c>
      <c r="R31" s="298" t="s">
        <v>320</v>
      </c>
      <c r="S31" s="288" t="s">
        <v>321</v>
      </c>
      <c r="T31" s="306" t="s">
        <v>330</v>
      </c>
      <c r="U31" s="592" t="s">
        <v>485</v>
      </c>
    </row>
    <row r="32" spans="2:21" s="17" customFormat="1" ht="15.75">
      <c r="B32" s="295">
        <v>18</v>
      </c>
      <c r="C32" s="296" t="s">
        <v>303</v>
      </c>
      <c r="D32" s="33" t="s">
        <v>176</v>
      </c>
      <c r="E32" s="295" t="s">
        <v>281</v>
      </c>
      <c r="F32" s="210">
        <v>1</v>
      </c>
      <c r="G32" s="210"/>
      <c r="H32" s="304" t="s">
        <v>179</v>
      </c>
      <c r="I32" s="322">
        <v>245</v>
      </c>
      <c r="J32" s="322">
        <v>124</v>
      </c>
      <c r="K32" s="322">
        <v>69</v>
      </c>
      <c r="L32" s="342">
        <v>2.0960000000000001</v>
      </c>
      <c r="M32" s="307">
        <v>700</v>
      </c>
      <c r="N32" s="307">
        <v>860</v>
      </c>
      <c r="O32" s="298" t="s">
        <v>319</v>
      </c>
      <c r="P32" s="298" t="s">
        <v>320</v>
      </c>
      <c r="Q32" s="298" t="s">
        <v>320</v>
      </c>
      <c r="R32" s="298" t="s">
        <v>320</v>
      </c>
      <c r="S32" s="288" t="s">
        <v>321</v>
      </c>
      <c r="T32" s="306" t="s">
        <v>330</v>
      </c>
      <c r="U32" s="592" t="s">
        <v>487</v>
      </c>
    </row>
    <row r="33" spans="2:30" s="17" customFormat="1" ht="15.75">
      <c r="B33" s="295">
        <v>19</v>
      </c>
      <c r="C33" s="296" t="s">
        <v>304</v>
      </c>
      <c r="D33" s="33" t="s">
        <v>176</v>
      </c>
      <c r="E33" s="295" t="s">
        <v>281</v>
      </c>
      <c r="F33" s="210">
        <v>1</v>
      </c>
      <c r="G33" s="210"/>
      <c r="H33" s="304" t="s">
        <v>179</v>
      </c>
      <c r="I33" s="322">
        <v>245</v>
      </c>
      <c r="J33" s="322">
        <v>124</v>
      </c>
      <c r="K33" s="322">
        <v>69</v>
      </c>
      <c r="L33" s="342">
        <v>2.0960000000000001</v>
      </c>
      <c r="M33" s="307">
        <v>700</v>
      </c>
      <c r="N33" s="307">
        <v>860</v>
      </c>
      <c r="O33" s="298" t="s">
        <v>319</v>
      </c>
      <c r="P33" s="298" t="s">
        <v>320</v>
      </c>
      <c r="Q33" s="298" t="s">
        <v>320</v>
      </c>
      <c r="R33" s="298" t="s">
        <v>320</v>
      </c>
      <c r="S33" s="288" t="s">
        <v>321</v>
      </c>
      <c r="T33" s="306" t="s">
        <v>330</v>
      </c>
      <c r="U33" s="592" t="s">
        <v>485</v>
      </c>
    </row>
    <row r="34" spans="2:30" s="17" customFormat="1" ht="15.75">
      <c r="B34" s="295">
        <v>20</v>
      </c>
      <c r="C34" s="296" t="s">
        <v>305</v>
      </c>
      <c r="D34" s="33" t="s">
        <v>176</v>
      </c>
      <c r="E34" s="295" t="s">
        <v>281</v>
      </c>
      <c r="F34" s="210">
        <v>1</v>
      </c>
      <c r="G34" s="210"/>
      <c r="H34" s="304" t="s">
        <v>179</v>
      </c>
      <c r="I34" s="322">
        <v>245</v>
      </c>
      <c r="J34" s="322">
        <v>124</v>
      </c>
      <c r="K34" s="322">
        <v>69</v>
      </c>
      <c r="L34" s="342">
        <v>2.0960000000000001</v>
      </c>
      <c r="M34" s="307">
        <v>700</v>
      </c>
      <c r="N34" s="307">
        <v>860</v>
      </c>
      <c r="O34" s="298" t="s">
        <v>319</v>
      </c>
      <c r="P34" s="298" t="s">
        <v>320</v>
      </c>
      <c r="Q34" s="298" t="s">
        <v>320</v>
      </c>
      <c r="R34" s="298" t="s">
        <v>320</v>
      </c>
      <c r="S34" s="288" t="s">
        <v>321</v>
      </c>
      <c r="T34" s="306" t="s">
        <v>330</v>
      </c>
      <c r="U34" s="592" t="s">
        <v>485</v>
      </c>
    </row>
    <row r="35" spans="2:30" s="17" customFormat="1" ht="15.75">
      <c r="B35" s="295">
        <v>21</v>
      </c>
      <c r="C35" s="296" t="s">
        <v>306</v>
      </c>
      <c r="D35" s="33" t="s">
        <v>176</v>
      </c>
      <c r="E35" s="295" t="s">
        <v>281</v>
      </c>
      <c r="F35" s="210">
        <v>1</v>
      </c>
      <c r="G35" s="210"/>
      <c r="H35" s="304" t="s">
        <v>179</v>
      </c>
      <c r="I35" s="322">
        <v>245</v>
      </c>
      <c r="J35" s="322">
        <v>124</v>
      </c>
      <c r="K35" s="322">
        <v>69</v>
      </c>
      <c r="L35" s="342">
        <v>2.0960000000000001</v>
      </c>
      <c r="M35" s="307">
        <v>700</v>
      </c>
      <c r="N35" s="307">
        <v>860</v>
      </c>
      <c r="O35" s="298" t="s">
        <v>319</v>
      </c>
      <c r="P35" s="298" t="s">
        <v>320</v>
      </c>
      <c r="Q35" s="298" t="s">
        <v>320</v>
      </c>
      <c r="R35" s="298" t="s">
        <v>320</v>
      </c>
      <c r="S35" s="288" t="s">
        <v>321</v>
      </c>
      <c r="T35" s="306" t="s">
        <v>330</v>
      </c>
      <c r="U35" s="592" t="s">
        <v>485</v>
      </c>
    </row>
    <row r="36" spans="2:30" s="17" customFormat="1" ht="15.75">
      <c r="B36" s="295">
        <v>22</v>
      </c>
      <c r="C36" s="296" t="s">
        <v>307</v>
      </c>
      <c r="D36" s="33" t="s">
        <v>176</v>
      </c>
      <c r="E36" s="295" t="s">
        <v>281</v>
      </c>
      <c r="F36" s="210">
        <v>1</v>
      </c>
      <c r="G36" s="210"/>
      <c r="H36" s="304" t="s">
        <v>179</v>
      </c>
      <c r="I36" s="322">
        <v>245</v>
      </c>
      <c r="J36" s="322">
        <v>124</v>
      </c>
      <c r="K36" s="322">
        <v>69</v>
      </c>
      <c r="L36" s="342">
        <v>2.0960000000000001</v>
      </c>
      <c r="M36" s="307">
        <v>700</v>
      </c>
      <c r="N36" s="307">
        <v>860</v>
      </c>
      <c r="O36" s="298" t="s">
        <v>319</v>
      </c>
      <c r="P36" s="298" t="s">
        <v>320</v>
      </c>
      <c r="Q36" s="298" t="s">
        <v>320</v>
      </c>
      <c r="R36" s="298" t="s">
        <v>320</v>
      </c>
      <c r="S36" s="288" t="s">
        <v>321</v>
      </c>
      <c r="T36" s="306" t="s">
        <v>330</v>
      </c>
      <c r="U36" s="592" t="s">
        <v>485</v>
      </c>
    </row>
    <row r="37" spans="2:30" s="17" customFormat="1" ht="15.75">
      <c r="B37" s="295">
        <v>23</v>
      </c>
      <c r="C37" s="296" t="s">
        <v>308</v>
      </c>
      <c r="D37" s="33" t="s">
        <v>176</v>
      </c>
      <c r="E37" s="295" t="s">
        <v>281</v>
      </c>
      <c r="F37" s="210">
        <v>1</v>
      </c>
      <c r="G37" s="210"/>
      <c r="H37" s="304" t="s">
        <v>179</v>
      </c>
      <c r="I37" s="322">
        <v>245</v>
      </c>
      <c r="J37" s="322">
        <v>124</v>
      </c>
      <c r="K37" s="322">
        <v>69</v>
      </c>
      <c r="L37" s="342">
        <v>2.0960000000000001</v>
      </c>
      <c r="M37" s="307">
        <v>700</v>
      </c>
      <c r="N37" s="307">
        <v>860</v>
      </c>
      <c r="O37" s="298" t="s">
        <v>319</v>
      </c>
      <c r="P37" s="298" t="s">
        <v>320</v>
      </c>
      <c r="Q37" s="298" t="s">
        <v>320</v>
      </c>
      <c r="R37" s="298" t="s">
        <v>320</v>
      </c>
      <c r="S37" s="288" t="s">
        <v>321</v>
      </c>
      <c r="T37" s="306" t="s">
        <v>330</v>
      </c>
      <c r="U37" s="592" t="s">
        <v>485</v>
      </c>
    </row>
    <row r="38" spans="2:30" s="17" customFormat="1" ht="15.75">
      <c r="B38" s="295">
        <v>24</v>
      </c>
      <c r="C38" s="296" t="s">
        <v>309</v>
      </c>
      <c r="D38" s="33" t="s">
        <v>176</v>
      </c>
      <c r="E38" s="295" t="s">
        <v>281</v>
      </c>
      <c r="F38" s="210">
        <v>1</v>
      </c>
      <c r="G38" s="210"/>
      <c r="H38" s="304" t="s">
        <v>179</v>
      </c>
      <c r="I38" s="322">
        <v>245</v>
      </c>
      <c r="J38" s="322">
        <v>124</v>
      </c>
      <c r="K38" s="322">
        <v>69</v>
      </c>
      <c r="L38" s="342">
        <v>2.0960000000000001</v>
      </c>
      <c r="M38" s="307">
        <v>700</v>
      </c>
      <c r="N38" s="307">
        <v>860</v>
      </c>
      <c r="O38" s="298" t="s">
        <v>319</v>
      </c>
      <c r="P38" s="298" t="s">
        <v>320</v>
      </c>
      <c r="Q38" s="298" t="s">
        <v>320</v>
      </c>
      <c r="R38" s="298" t="s">
        <v>320</v>
      </c>
      <c r="S38" s="288" t="s">
        <v>321</v>
      </c>
      <c r="T38" s="306" t="s">
        <v>330</v>
      </c>
      <c r="U38" s="592" t="s">
        <v>488</v>
      </c>
    </row>
    <row r="39" spans="2:30" s="17" customFormat="1" ht="15.75">
      <c r="B39" s="295">
        <v>25</v>
      </c>
      <c r="C39" s="296" t="s">
        <v>310</v>
      </c>
      <c r="D39" s="33" t="s">
        <v>176</v>
      </c>
      <c r="E39" s="295" t="s">
        <v>281</v>
      </c>
      <c r="F39" s="210">
        <v>1</v>
      </c>
      <c r="G39" s="210"/>
      <c r="H39" s="304" t="s">
        <v>179</v>
      </c>
      <c r="I39" s="322">
        <v>245</v>
      </c>
      <c r="J39" s="322">
        <v>124</v>
      </c>
      <c r="K39" s="322">
        <v>69</v>
      </c>
      <c r="L39" s="342">
        <v>2.0960000000000001</v>
      </c>
      <c r="M39" s="307">
        <v>675</v>
      </c>
      <c r="N39" s="307">
        <v>835</v>
      </c>
      <c r="O39" s="298" t="s">
        <v>319</v>
      </c>
      <c r="P39" s="298" t="s">
        <v>320</v>
      </c>
      <c r="Q39" s="298" t="s">
        <v>320</v>
      </c>
      <c r="R39" s="298" t="s">
        <v>320</v>
      </c>
      <c r="S39" s="288" t="s">
        <v>321</v>
      </c>
      <c r="T39" s="306" t="s">
        <v>330</v>
      </c>
      <c r="U39" s="592" t="s">
        <v>487</v>
      </c>
    </row>
    <row r="40" spans="2:30" s="17" customFormat="1" ht="15.75">
      <c r="B40" s="295">
        <v>26</v>
      </c>
      <c r="C40" s="296" t="s">
        <v>311</v>
      </c>
      <c r="D40" s="33" t="s">
        <v>176</v>
      </c>
      <c r="E40" s="295" t="s">
        <v>281</v>
      </c>
      <c r="F40" s="210">
        <v>1</v>
      </c>
      <c r="G40" s="210"/>
      <c r="H40" s="304" t="s">
        <v>179</v>
      </c>
      <c r="I40" s="322">
        <v>245</v>
      </c>
      <c r="J40" s="322">
        <v>124</v>
      </c>
      <c r="K40" s="322">
        <v>69</v>
      </c>
      <c r="L40" s="342">
        <v>2.0960000000000001</v>
      </c>
      <c r="M40" s="307">
        <v>675</v>
      </c>
      <c r="N40" s="307">
        <v>835</v>
      </c>
      <c r="O40" s="298" t="s">
        <v>319</v>
      </c>
      <c r="P40" s="298" t="s">
        <v>320</v>
      </c>
      <c r="Q40" s="298" t="s">
        <v>320</v>
      </c>
      <c r="R40" s="298" t="s">
        <v>320</v>
      </c>
      <c r="S40" s="288" t="s">
        <v>321</v>
      </c>
      <c r="T40" s="306" t="s">
        <v>330</v>
      </c>
      <c r="U40" s="592" t="s">
        <v>487</v>
      </c>
    </row>
    <row r="41" spans="2:30" s="17" customFormat="1" ht="15.75">
      <c r="B41" s="295">
        <v>27</v>
      </c>
      <c r="C41" s="296" t="s">
        <v>312</v>
      </c>
      <c r="D41" s="33" t="s">
        <v>176</v>
      </c>
      <c r="E41" s="295" t="s">
        <v>281</v>
      </c>
      <c r="F41" s="210">
        <v>1</v>
      </c>
      <c r="G41" s="210"/>
      <c r="H41" s="304" t="s">
        <v>179</v>
      </c>
      <c r="I41" s="322">
        <v>245</v>
      </c>
      <c r="J41" s="322">
        <v>124</v>
      </c>
      <c r="K41" s="322">
        <v>69</v>
      </c>
      <c r="L41" s="342">
        <v>2.0960000000000001</v>
      </c>
      <c r="M41" s="307">
        <v>675</v>
      </c>
      <c r="N41" s="307">
        <v>835</v>
      </c>
      <c r="O41" s="298" t="s">
        <v>319</v>
      </c>
      <c r="P41" s="298" t="s">
        <v>320</v>
      </c>
      <c r="Q41" s="298" t="s">
        <v>320</v>
      </c>
      <c r="R41" s="298" t="s">
        <v>320</v>
      </c>
      <c r="S41" s="288" t="s">
        <v>321</v>
      </c>
      <c r="T41" s="306" t="s">
        <v>330</v>
      </c>
      <c r="U41" s="592" t="s">
        <v>487</v>
      </c>
    </row>
    <row r="42" spans="2:30" s="17" customFormat="1" ht="15.75">
      <c r="B42" s="295">
        <v>28</v>
      </c>
      <c r="C42" s="296" t="s">
        <v>313</v>
      </c>
      <c r="D42" s="33" t="s">
        <v>176</v>
      </c>
      <c r="E42" s="295" t="s">
        <v>281</v>
      </c>
      <c r="F42" s="210">
        <v>1</v>
      </c>
      <c r="G42" s="210"/>
      <c r="H42" s="304" t="s">
        <v>179</v>
      </c>
      <c r="I42" s="322">
        <v>245</v>
      </c>
      <c r="J42" s="322">
        <v>124</v>
      </c>
      <c r="K42" s="322">
        <v>69</v>
      </c>
      <c r="L42" s="342">
        <v>2.0960000000000001</v>
      </c>
      <c r="M42" s="307">
        <v>675</v>
      </c>
      <c r="N42" s="307">
        <v>835</v>
      </c>
      <c r="O42" s="298" t="s">
        <v>319</v>
      </c>
      <c r="P42" s="298" t="s">
        <v>320</v>
      </c>
      <c r="Q42" s="298" t="s">
        <v>320</v>
      </c>
      <c r="R42" s="298" t="s">
        <v>320</v>
      </c>
      <c r="S42" s="288" t="s">
        <v>321</v>
      </c>
      <c r="T42" s="306" t="s">
        <v>330</v>
      </c>
      <c r="U42" s="592" t="s">
        <v>487</v>
      </c>
      <c r="W42" s="7"/>
      <c r="X42" s="7"/>
      <c r="Y42" s="7"/>
      <c r="Z42" s="7"/>
      <c r="AA42" s="7"/>
      <c r="AB42" s="7"/>
      <c r="AC42" s="7"/>
      <c r="AD42" s="7"/>
    </row>
    <row r="43" spans="2:30" s="7" customFormat="1" ht="15.75">
      <c r="B43" s="210">
        <v>29</v>
      </c>
      <c r="C43" s="296" t="s">
        <v>314</v>
      </c>
      <c r="D43" s="297" t="s">
        <v>176</v>
      </c>
      <c r="E43" s="212" t="s">
        <v>281</v>
      </c>
      <c r="F43" s="210">
        <v>1</v>
      </c>
      <c r="G43" s="210"/>
      <c r="H43" s="304" t="s">
        <v>179</v>
      </c>
      <c r="I43" s="322">
        <v>245</v>
      </c>
      <c r="J43" s="322">
        <v>124</v>
      </c>
      <c r="K43" s="322">
        <v>69</v>
      </c>
      <c r="L43" s="342">
        <v>2.0960000000000001</v>
      </c>
      <c r="M43" s="307">
        <v>675</v>
      </c>
      <c r="N43" s="307">
        <v>835</v>
      </c>
      <c r="O43" s="288" t="s">
        <v>319</v>
      </c>
      <c r="P43" s="288" t="s">
        <v>320</v>
      </c>
      <c r="Q43" s="288" t="s">
        <v>320</v>
      </c>
      <c r="R43" s="288" t="s">
        <v>320</v>
      </c>
      <c r="S43" s="288" t="s">
        <v>321</v>
      </c>
      <c r="T43" s="306" t="s">
        <v>330</v>
      </c>
      <c r="U43" s="592" t="s">
        <v>485</v>
      </c>
    </row>
    <row r="44" spans="2:30" s="7" customFormat="1" ht="15.75">
      <c r="B44" s="210">
        <v>30</v>
      </c>
      <c r="C44" s="296" t="s">
        <v>315</v>
      </c>
      <c r="D44" s="297" t="s">
        <v>175</v>
      </c>
      <c r="E44" s="212" t="s">
        <v>281</v>
      </c>
      <c r="F44" s="210">
        <v>1</v>
      </c>
      <c r="G44" s="210"/>
      <c r="H44" s="304" t="s">
        <v>179</v>
      </c>
      <c r="I44" s="322">
        <v>140</v>
      </c>
      <c r="J44" s="322">
        <v>140</v>
      </c>
      <c r="K44" s="322">
        <v>113</v>
      </c>
      <c r="L44" s="342">
        <v>2.2149999999999999</v>
      </c>
      <c r="M44" s="307">
        <v>531</v>
      </c>
      <c r="N44" s="307">
        <v>660</v>
      </c>
      <c r="O44" s="288" t="s">
        <v>319</v>
      </c>
      <c r="P44" s="288" t="s">
        <v>320</v>
      </c>
      <c r="Q44" s="288" t="s">
        <v>320</v>
      </c>
      <c r="R44" s="288" t="s">
        <v>320</v>
      </c>
      <c r="S44" s="288" t="s">
        <v>321</v>
      </c>
      <c r="T44" s="306" t="s">
        <v>330</v>
      </c>
      <c r="U44" s="592" t="s">
        <v>487</v>
      </c>
    </row>
    <row r="45" spans="2:30" s="7" customFormat="1" ht="15.75">
      <c r="B45" s="210">
        <v>31</v>
      </c>
      <c r="C45" s="296" t="s">
        <v>316</v>
      </c>
      <c r="D45" s="297" t="s">
        <v>177</v>
      </c>
      <c r="E45" s="212" t="s">
        <v>281</v>
      </c>
      <c r="F45" s="210">
        <v>1</v>
      </c>
      <c r="G45" s="210"/>
      <c r="H45" s="304" t="s">
        <v>179</v>
      </c>
      <c r="I45" s="322">
        <v>287</v>
      </c>
      <c r="J45" s="322">
        <v>40</v>
      </c>
      <c r="K45" s="322">
        <v>46</v>
      </c>
      <c r="L45" s="342">
        <v>0.52800000000000002</v>
      </c>
      <c r="M45" s="307">
        <v>23</v>
      </c>
      <c r="N45" s="307">
        <v>100</v>
      </c>
      <c r="O45" s="288" t="s">
        <v>319</v>
      </c>
      <c r="P45" s="288" t="s">
        <v>320</v>
      </c>
      <c r="Q45" s="288" t="s">
        <v>320</v>
      </c>
      <c r="R45" s="288" t="s">
        <v>320</v>
      </c>
      <c r="S45" s="288" t="s">
        <v>321</v>
      </c>
      <c r="T45" s="306" t="s">
        <v>330</v>
      </c>
      <c r="U45" s="592" t="s">
        <v>489</v>
      </c>
    </row>
    <row r="46" spans="2:30" s="7" customFormat="1" ht="15.75">
      <c r="B46" s="210">
        <v>32</v>
      </c>
      <c r="C46" s="296" t="s">
        <v>317</v>
      </c>
      <c r="D46" s="297" t="s">
        <v>371</v>
      </c>
      <c r="E46" s="212" t="s">
        <v>281</v>
      </c>
      <c r="F46" s="210">
        <v>1</v>
      </c>
      <c r="G46" s="210"/>
      <c r="H46" s="304" t="s">
        <v>179</v>
      </c>
      <c r="I46" s="322">
        <v>140</v>
      </c>
      <c r="J46" s="322">
        <v>140</v>
      </c>
      <c r="K46" s="322">
        <v>113</v>
      </c>
      <c r="L46" s="342">
        <v>2.2149999999999999</v>
      </c>
      <c r="M46" s="307">
        <v>422</v>
      </c>
      <c r="N46" s="307">
        <v>550</v>
      </c>
      <c r="O46" s="288" t="s">
        <v>319</v>
      </c>
      <c r="P46" s="288" t="s">
        <v>320</v>
      </c>
      <c r="Q46" s="288" t="s">
        <v>320</v>
      </c>
      <c r="R46" s="288" t="s">
        <v>320</v>
      </c>
      <c r="S46" s="288" t="s">
        <v>321</v>
      </c>
      <c r="T46" s="306" t="s">
        <v>330</v>
      </c>
      <c r="U46" s="592" t="s">
        <v>487</v>
      </c>
    </row>
    <row r="47" spans="2:30" s="7" customFormat="1" ht="15.75">
      <c r="B47" s="210">
        <v>33</v>
      </c>
      <c r="C47" s="296" t="s">
        <v>318</v>
      </c>
      <c r="D47" s="297" t="s">
        <v>187</v>
      </c>
      <c r="E47" s="212" t="s">
        <v>281</v>
      </c>
      <c r="F47" s="210">
        <v>1</v>
      </c>
      <c r="G47" s="210"/>
      <c r="H47" s="304" t="s">
        <v>179</v>
      </c>
      <c r="I47" s="322">
        <v>140</v>
      </c>
      <c r="J47" s="322">
        <v>140</v>
      </c>
      <c r="K47" s="322">
        <v>113</v>
      </c>
      <c r="L47" s="342">
        <v>2.2149999999999999</v>
      </c>
      <c r="M47" s="307">
        <v>209</v>
      </c>
      <c r="N47" s="307">
        <v>340</v>
      </c>
      <c r="O47" s="288" t="s">
        <v>319</v>
      </c>
      <c r="P47" s="288" t="s">
        <v>320</v>
      </c>
      <c r="Q47" s="288" t="s">
        <v>320</v>
      </c>
      <c r="R47" s="288" t="s">
        <v>320</v>
      </c>
      <c r="S47" s="288" t="s">
        <v>321</v>
      </c>
      <c r="T47" s="306" t="s">
        <v>330</v>
      </c>
      <c r="U47" s="592" t="s">
        <v>490</v>
      </c>
      <c r="W47" s="91"/>
      <c r="X47" s="91"/>
      <c r="Y47" s="91"/>
      <c r="Z47" s="91"/>
      <c r="AA47" s="91"/>
      <c r="AB47" s="91"/>
      <c r="AC47" s="91"/>
      <c r="AD47" s="91"/>
    </row>
    <row r="48" spans="2:30" ht="18.75" customHeight="1">
      <c r="B48" s="559" t="s">
        <v>85</v>
      </c>
      <c r="C48" s="561"/>
      <c r="D48" s="561"/>
      <c r="E48" s="561"/>
      <c r="F48" s="561"/>
      <c r="G48" s="561"/>
      <c r="H48" s="561"/>
      <c r="I48" s="561"/>
      <c r="J48" s="561"/>
      <c r="K48" s="560"/>
      <c r="L48" s="343">
        <f>SUM(L15:L47)</f>
        <v>71.939000000000064</v>
      </c>
      <c r="M48" s="284">
        <f>SUM(M15:M47)</f>
        <v>27300</v>
      </c>
      <c r="N48" s="284">
        <f>SUM(N15:N47)</f>
        <v>32265</v>
      </c>
      <c r="O48" s="99"/>
      <c r="P48" s="99"/>
      <c r="Q48" s="99"/>
    </row>
    <row r="49" spans="4:17" ht="18" customHeight="1">
      <c r="D49" s="102"/>
      <c r="Q49" s="104"/>
    </row>
    <row r="50" spans="4:17" ht="18" customHeight="1">
      <c r="D50" s="102"/>
      <c r="Q50" s="104"/>
    </row>
    <row r="51" spans="4:17" ht="18" customHeight="1">
      <c r="D51" s="102"/>
      <c r="Q51" s="104"/>
    </row>
    <row r="52" spans="4:17" ht="18" customHeight="1">
      <c r="D52" s="102"/>
      <c r="Q52" s="104"/>
    </row>
    <row r="53" spans="4:17" ht="18" customHeight="1">
      <c r="D53" s="102"/>
      <c r="Q53" s="104"/>
    </row>
    <row r="54" spans="4:17" ht="18" customHeight="1">
      <c r="D54" s="102"/>
      <c r="Q54" s="104"/>
    </row>
    <row r="55" spans="4:17" ht="18" customHeight="1">
      <c r="D55" s="102"/>
      <c r="Q55" s="104"/>
    </row>
    <row r="56" spans="4:17" ht="18" customHeight="1">
      <c r="D56" s="102"/>
      <c r="Q56" s="104"/>
    </row>
    <row r="57" spans="4:17" ht="18" customHeight="1">
      <c r="D57" s="102"/>
      <c r="Q57" s="104"/>
    </row>
    <row r="58" spans="4:17" ht="18" customHeight="1">
      <c r="D58" s="102"/>
      <c r="Q58" s="104"/>
    </row>
  </sheetData>
  <mergeCells count="19">
    <mergeCell ref="U13:U14"/>
    <mergeCell ref="R13:R14"/>
    <mergeCell ref="S13:S14"/>
    <mergeCell ref="T13:T14"/>
    <mergeCell ref="B4:T4"/>
    <mergeCell ref="B48:K48"/>
    <mergeCell ref="M13:M14"/>
    <mergeCell ref="N13:N14"/>
    <mergeCell ref="O13:O14"/>
    <mergeCell ref="P13:P14"/>
    <mergeCell ref="Q13:Q14"/>
    <mergeCell ref="C3:I3"/>
    <mergeCell ref="B13:B14"/>
    <mergeCell ref="C13:C14"/>
    <mergeCell ref="D13:D14"/>
    <mergeCell ref="E13:E14"/>
    <mergeCell ref="F13:G13"/>
    <mergeCell ref="H13:H14"/>
    <mergeCell ref="I13:L13"/>
  </mergeCells>
  <phoneticPr fontId="33" type="noConversion"/>
  <printOptions horizontalCentered="1"/>
  <pageMargins left="0.70866141732283472" right="0.70866141732283472" top="0.74803149606299213" bottom="0.74803149606299213" header="0.31496062992125984" footer="0.31496062992125984"/>
  <pageSetup paperSize="9" scale="57" fitToHeight="0" orientation="landscape" r:id="rId1"/>
  <headerFooter alignWithMargins="0">
    <oddFooter>&amp;C&amp;P/&amp;N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P151"/>
  <sheetViews>
    <sheetView showGridLines="0" view="pageBreakPreview" zoomScale="80" zoomScaleNormal="100" zoomScaleSheetLayoutView="80" workbookViewId="0">
      <selection activeCell="D15" sqref="D15"/>
    </sheetView>
  </sheetViews>
  <sheetFormatPr defaultColWidth="8.76953125" defaultRowHeight="18" customHeight="1"/>
  <cols>
    <col min="1" max="1" width="1.05078125" style="110" customWidth="1"/>
    <col min="2" max="2" width="4.55859375" style="62" customWidth="1"/>
    <col min="3" max="3" width="23.03515625" style="116" customWidth="1"/>
    <col min="4" max="4" width="21.515625" style="62" customWidth="1"/>
    <col min="5" max="6" width="29.1171875" style="121" customWidth="1"/>
    <col min="7" max="7" width="11.4609375" style="62" bestFit="1" customWidth="1"/>
    <col min="8" max="8" width="10.9921875" style="121" bestFit="1" customWidth="1"/>
    <col min="9" max="9" width="11.109375" style="57" customWidth="1"/>
    <col min="10" max="10" width="5.37890625" style="64" customWidth="1"/>
    <col min="11" max="11" width="5.37890625" style="57" customWidth="1"/>
    <col min="12" max="18" width="9.703125" style="327" customWidth="1"/>
    <col min="19" max="19" width="8.53515625" style="57" customWidth="1"/>
    <col min="20" max="20" width="10.0546875" style="62" customWidth="1"/>
    <col min="21" max="21" width="7.015625" style="62" bestFit="1" customWidth="1"/>
    <col min="22" max="22" width="28.06640625" style="62" customWidth="1"/>
    <col min="23" max="23" width="7.3671875" style="122" bestFit="1" customWidth="1"/>
    <col min="24" max="24" width="1.05078125" style="108" customWidth="1"/>
    <col min="25" max="31" width="8.76953125" style="109" customWidth="1"/>
    <col min="32" max="37" width="8.76953125" style="110" customWidth="1"/>
    <col min="38" max="42" width="8.76953125" style="109"/>
    <col min="43" max="16384" width="8.76953125" style="110"/>
  </cols>
  <sheetData>
    <row r="1" spans="2:42" ht="9" customHeight="1">
      <c r="B1" s="443"/>
      <c r="C1" s="443"/>
      <c r="D1" s="443"/>
      <c r="E1" s="443"/>
      <c r="F1" s="443"/>
      <c r="G1" s="443"/>
      <c r="H1" s="443"/>
      <c r="I1" s="443"/>
      <c r="J1" s="443"/>
      <c r="K1" s="443"/>
      <c r="L1" s="443"/>
      <c r="M1" s="443"/>
      <c r="N1" s="443"/>
      <c r="O1" s="443"/>
      <c r="P1" s="443"/>
      <c r="Q1" s="443"/>
      <c r="R1" s="443"/>
      <c r="S1" s="443"/>
      <c r="T1" s="443"/>
      <c r="U1" s="443"/>
      <c r="V1" s="443"/>
      <c r="W1" s="443"/>
    </row>
    <row r="2" spans="2:42" ht="26.1" customHeight="1">
      <c r="B2" s="107"/>
      <c r="C2" s="57"/>
      <c r="D2" s="432"/>
      <c r="E2" s="57"/>
      <c r="F2" s="57"/>
      <c r="G2" s="110"/>
      <c r="H2" s="57"/>
      <c r="J2" s="57"/>
      <c r="K2" s="111"/>
      <c r="L2" s="312"/>
      <c r="M2" s="312"/>
      <c r="N2" s="313"/>
      <c r="O2" s="314"/>
      <c r="P2" s="315"/>
      <c r="Q2" s="315"/>
      <c r="R2" s="315"/>
      <c r="S2" s="107"/>
      <c r="T2" s="107"/>
      <c r="U2" s="110"/>
      <c r="V2" s="109"/>
      <c r="W2" s="110"/>
      <c r="X2" s="110"/>
      <c r="Y2" s="110"/>
      <c r="Z2" s="110"/>
      <c r="AA2" s="110"/>
      <c r="AB2" s="110"/>
      <c r="AC2" s="110"/>
      <c r="AD2" s="110"/>
      <c r="AE2" s="110"/>
      <c r="AL2" s="110"/>
      <c r="AM2" s="110"/>
      <c r="AN2" s="110"/>
      <c r="AO2" s="110"/>
      <c r="AP2" s="110"/>
    </row>
    <row r="3" spans="2:42" ht="27.6" customHeight="1" thickBot="1">
      <c r="B3" s="107"/>
      <c r="C3" s="444" t="s">
        <v>0</v>
      </c>
      <c r="D3" s="444"/>
      <c r="E3" s="444"/>
      <c r="F3" s="444"/>
      <c r="G3" s="444"/>
      <c r="H3" s="444"/>
      <c r="I3" s="444"/>
      <c r="J3" s="444"/>
      <c r="K3" s="444"/>
      <c r="L3" s="444"/>
      <c r="M3" s="312"/>
      <c r="N3" s="313"/>
      <c r="O3" s="314"/>
      <c r="P3" s="316"/>
      <c r="Q3" s="315"/>
      <c r="R3" s="315"/>
      <c r="S3" s="107"/>
      <c r="T3" s="107"/>
      <c r="U3" s="110"/>
      <c r="V3" s="109"/>
      <c r="W3" s="110"/>
      <c r="X3" s="110"/>
      <c r="Y3" s="110"/>
      <c r="Z3" s="110"/>
      <c r="AA3" s="110"/>
      <c r="AB3" s="110"/>
      <c r="AC3" s="110"/>
      <c r="AD3" s="110"/>
      <c r="AE3" s="110"/>
      <c r="AL3" s="110"/>
      <c r="AM3" s="110"/>
      <c r="AN3" s="110"/>
      <c r="AO3" s="110"/>
      <c r="AP3" s="110"/>
    </row>
    <row r="4" spans="2:42" ht="33.75" customHeight="1" thickTop="1" thickBot="1">
      <c r="B4" s="445" t="s">
        <v>86</v>
      </c>
      <c r="C4" s="446"/>
      <c r="D4" s="446"/>
      <c r="E4" s="446"/>
      <c r="F4" s="446"/>
      <c r="G4" s="446"/>
      <c r="H4" s="446"/>
      <c r="I4" s="446"/>
      <c r="J4" s="446"/>
      <c r="K4" s="446"/>
      <c r="L4" s="446"/>
      <c r="M4" s="446"/>
      <c r="N4" s="446"/>
      <c r="O4" s="446"/>
      <c r="P4" s="446"/>
      <c r="Q4" s="446"/>
      <c r="R4" s="446"/>
      <c r="S4" s="446"/>
      <c r="T4" s="446"/>
      <c r="U4" s="446"/>
      <c r="V4" s="446"/>
      <c r="W4" s="447"/>
    </row>
    <row r="5" spans="2:42" s="57" customFormat="1" ht="17.25" customHeight="1" thickTop="1">
      <c r="B5" s="62"/>
      <c r="C5" s="112" t="s">
        <v>87</v>
      </c>
      <c r="D5" s="62"/>
      <c r="E5" s="173" t="str">
        <f>'PL(2_2)'!D5</f>
        <v>OM4-DE-IS-0006</v>
      </c>
      <c r="G5" s="114"/>
      <c r="I5" s="62"/>
      <c r="J5" s="113"/>
      <c r="K5" s="62"/>
      <c r="L5" s="312"/>
      <c r="M5" s="312"/>
      <c r="N5" s="312"/>
      <c r="O5" s="312"/>
      <c r="P5" s="312"/>
      <c r="Q5" s="312"/>
      <c r="R5" s="312"/>
      <c r="S5" s="62"/>
      <c r="T5" s="114"/>
      <c r="U5" s="62"/>
      <c r="V5" s="62"/>
      <c r="W5" s="62"/>
      <c r="X5" s="115"/>
      <c r="AL5" s="62"/>
      <c r="AM5" s="62"/>
      <c r="AN5" s="62"/>
      <c r="AO5" s="62"/>
      <c r="AP5" s="62"/>
    </row>
    <row r="6" spans="2:42" s="57" customFormat="1" ht="17.25" customHeight="1">
      <c r="B6" s="62"/>
      <c r="C6" s="223" t="s">
        <v>39</v>
      </c>
      <c r="D6" s="62"/>
      <c r="E6" s="224">
        <f>'PL(2_2)'!D6</f>
        <v>46171</v>
      </c>
      <c r="G6" s="62"/>
      <c r="I6" s="62"/>
      <c r="J6" s="62"/>
      <c r="K6" s="116" t="s">
        <v>40</v>
      </c>
      <c r="L6" s="312"/>
      <c r="M6" s="312"/>
      <c r="N6" s="312"/>
      <c r="O6" s="312"/>
      <c r="P6" s="317" t="s">
        <v>332</v>
      </c>
      <c r="Q6" s="312"/>
      <c r="R6" s="312"/>
      <c r="S6" s="62"/>
      <c r="T6" s="62"/>
      <c r="U6" s="62"/>
      <c r="V6" s="62"/>
      <c r="W6" s="62"/>
      <c r="X6" s="115"/>
      <c r="AL6" s="62"/>
      <c r="AM6" s="62"/>
      <c r="AN6" s="62"/>
      <c r="AO6" s="62"/>
      <c r="AP6" s="62"/>
    </row>
    <row r="7" spans="2:42" s="57" customFormat="1" ht="17.25" customHeight="1">
      <c r="B7" s="62"/>
      <c r="C7" s="223" t="s">
        <v>42</v>
      </c>
      <c r="D7" s="62"/>
      <c r="E7" s="225" t="str">
        <f>'PL(2_2)'!D7</f>
        <v>O MON IV THERMAL POWER PLANT</v>
      </c>
      <c r="G7" s="62"/>
      <c r="I7" s="62"/>
      <c r="J7" s="62"/>
      <c r="K7" s="59" t="s">
        <v>43</v>
      </c>
      <c r="L7" s="317" t="s">
        <v>44</v>
      </c>
      <c r="M7" s="312"/>
      <c r="N7" s="312"/>
      <c r="O7" s="312"/>
      <c r="P7" s="318"/>
      <c r="Q7" s="319" t="s">
        <v>325</v>
      </c>
      <c r="R7" s="319" t="s">
        <v>327</v>
      </c>
      <c r="S7" s="63" t="s">
        <v>329</v>
      </c>
      <c r="T7" s="63" t="s">
        <v>333</v>
      </c>
      <c r="U7" s="62"/>
      <c r="V7" s="62"/>
      <c r="W7" s="62"/>
      <c r="X7" s="115"/>
      <c r="Y7" s="62"/>
      <c r="Z7" s="62"/>
      <c r="AA7" s="62"/>
      <c r="AB7" s="62"/>
      <c r="AC7" s="62"/>
      <c r="AD7" s="62"/>
      <c r="AE7" s="62"/>
      <c r="AL7" s="62"/>
      <c r="AM7" s="62"/>
      <c r="AN7" s="62"/>
      <c r="AO7" s="62"/>
      <c r="AP7" s="62"/>
    </row>
    <row r="8" spans="2:42" s="57" customFormat="1" ht="17.25" customHeight="1">
      <c r="B8" s="62"/>
      <c r="C8" s="223" t="s">
        <v>88</v>
      </c>
      <c r="D8" s="62"/>
      <c r="E8" s="116"/>
      <c r="F8" s="112"/>
      <c r="G8" s="62"/>
      <c r="I8" s="62"/>
      <c r="J8" s="62"/>
      <c r="K8" s="59" t="s">
        <v>46</v>
      </c>
      <c r="L8" s="317" t="s">
        <v>47</v>
      </c>
      <c r="M8" s="312"/>
      <c r="N8" s="312"/>
      <c r="O8" s="312"/>
      <c r="P8" s="319" t="s">
        <v>334</v>
      </c>
      <c r="Q8" s="319" t="s">
        <v>335</v>
      </c>
      <c r="R8" s="319" t="s">
        <v>336</v>
      </c>
      <c r="S8" s="63" t="s">
        <v>337</v>
      </c>
      <c r="T8" s="63" t="s">
        <v>52</v>
      </c>
      <c r="U8" s="62"/>
      <c r="V8" s="62"/>
      <c r="W8" s="62"/>
      <c r="X8" s="115"/>
      <c r="Y8" s="62"/>
      <c r="Z8" s="62"/>
      <c r="AA8" s="62"/>
      <c r="AB8" s="62"/>
      <c r="AC8" s="62"/>
      <c r="AD8" s="62"/>
      <c r="AE8" s="62"/>
      <c r="AL8" s="62"/>
      <c r="AM8" s="62"/>
      <c r="AN8" s="62"/>
      <c r="AO8" s="62"/>
      <c r="AP8" s="62"/>
    </row>
    <row r="9" spans="2:42" s="57" customFormat="1" ht="17.25" customHeight="1">
      <c r="B9" s="62"/>
      <c r="C9" s="226"/>
      <c r="D9" s="62"/>
      <c r="E9" s="116"/>
      <c r="F9" s="112"/>
      <c r="G9" s="62"/>
      <c r="H9" s="112"/>
      <c r="I9" s="62"/>
      <c r="J9" s="62"/>
      <c r="K9" s="59" t="s">
        <v>53</v>
      </c>
      <c r="L9" s="317" t="s">
        <v>54</v>
      </c>
      <c r="M9" s="312"/>
      <c r="N9" s="312"/>
      <c r="O9" s="312"/>
      <c r="P9" s="319" t="s">
        <v>338</v>
      </c>
      <c r="Q9" s="319" t="s">
        <v>339</v>
      </c>
      <c r="R9" s="319" t="s">
        <v>340</v>
      </c>
      <c r="S9" s="63" t="s">
        <v>330</v>
      </c>
      <c r="T9" s="63" t="s">
        <v>52</v>
      </c>
      <c r="U9" s="62"/>
      <c r="V9" s="62"/>
      <c r="W9" s="62"/>
      <c r="X9" s="115"/>
      <c r="Y9" s="62"/>
      <c r="Z9" s="62"/>
      <c r="AA9" s="62"/>
      <c r="AB9" s="62"/>
      <c r="AC9" s="62"/>
      <c r="AD9" s="62"/>
      <c r="AE9" s="62"/>
      <c r="AL9" s="62"/>
      <c r="AM9" s="62"/>
      <c r="AN9" s="62"/>
      <c r="AO9" s="62"/>
      <c r="AP9" s="62"/>
    </row>
    <row r="10" spans="2:42" s="57" customFormat="1" ht="17.25" customHeight="1">
      <c r="B10" s="62"/>
      <c r="C10" s="223"/>
      <c r="D10" s="62"/>
      <c r="E10" s="116"/>
      <c r="F10" s="112"/>
      <c r="G10" s="62"/>
      <c r="H10" s="112"/>
      <c r="I10" s="62"/>
      <c r="J10" s="62"/>
      <c r="K10" s="59" t="s">
        <v>60</v>
      </c>
      <c r="L10" s="317" t="s">
        <v>61</v>
      </c>
      <c r="M10" s="312"/>
      <c r="N10" s="312"/>
      <c r="O10" s="312"/>
      <c r="P10" s="319" t="s">
        <v>341</v>
      </c>
      <c r="Q10" s="319" t="s">
        <v>342</v>
      </c>
      <c r="R10" s="319" t="s">
        <v>343</v>
      </c>
      <c r="S10" s="63" t="s">
        <v>344</v>
      </c>
      <c r="T10" s="63" t="s">
        <v>345</v>
      </c>
      <c r="U10" s="62"/>
      <c r="V10" s="62"/>
      <c r="W10" s="62"/>
      <c r="X10" s="115"/>
      <c r="Y10" s="62"/>
      <c r="Z10" s="62"/>
      <c r="AA10" s="62"/>
      <c r="AB10" s="62"/>
      <c r="AC10" s="62"/>
      <c r="AD10" s="62"/>
      <c r="AE10" s="62"/>
      <c r="AL10" s="62"/>
      <c r="AM10" s="62"/>
      <c r="AN10" s="62"/>
      <c r="AO10" s="62"/>
      <c r="AP10" s="62"/>
    </row>
    <row r="11" spans="2:42" s="57" customFormat="1" ht="17.25" customHeight="1">
      <c r="B11" s="62"/>
      <c r="C11" s="112"/>
      <c r="D11" s="62"/>
      <c r="E11" s="116"/>
      <c r="F11" s="112"/>
      <c r="G11" s="62"/>
      <c r="H11" s="112"/>
      <c r="I11" s="62"/>
      <c r="J11" s="62"/>
      <c r="K11" s="59" t="s">
        <v>67</v>
      </c>
      <c r="L11" s="317" t="s">
        <v>68</v>
      </c>
      <c r="M11" s="312"/>
      <c r="N11" s="312"/>
      <c r="O11" s="312"/>
      <c r="P11" s="312"/>
      <c r="Q11" s="312"/>
      <c r="R11" s="312"/>
      <c r="S11" s="62"/>
      <c r="T11" s="62"/>
      <c r="U11" s="62"/>
      <c r="V11" s="62"/>
      <c r="W11" s="62"/>
      <c r="X11" s="115"/>
      <c r="Y11" s="62"/>
      <c r="Z11" s="62"/>
      <c r="AA11" s="62"/>
      <c r="AB11" s="62"/>
      <c r="AC11" s="62"/>
      <c r="AD11" s="62"/>
      <c r="AE11" s="62"/>
      <c r="AL11" s="62"/>
      <c r="AM11" s="62"/>
      <c r="AN11" s="62"/>
      <c r="AO11" s="62"/>
      <c r="AP11" s="62"/>
    </row>
    <row r="12" spans="2:42" s="57" customFormat="1" ht="17.25" customHeight="1">
      <c r="B12" s="62"/>
      <c r="C12" s="112"/>
      <c r="D12" s="62"/>
      <c r="E12" s="62"/>
      <c r="F12" s="62"/>
      <c r="G12" s="62"/>
      <c r="H12" s="62"/>
      <c r="I12" s="62"/>
      <c r="J12" s="62"/>
      <c r="K12" s="62"/>
      <c r="L12" s="312"/>
      <c r="M12" s="312"/>
      <c r="N12" s="312"/>
      <c r="O12" s="312"/>
      <c r="P12" s="312"/>
      <c r="Q12" s="312"/>
      <c r="R12" s="312"/>
      <c r="S12" s="62"/>
      <c r="T12" s="62"/>
      <c r="U12" s="62"/>
      <c r="V12" s="62"/>
      <c r="W12" s="62"/>
      <c r="X12" s="115"/>
      <c r="Y12" s="62"/>
      <c r="Z12" s="62"/>
      <c r="AA12" s="62"/>
      <c r="AB12" s="62"/>
      <c r="AC12" s="62"/>
      <c r="AD12" s="62"/>
      <c r="AE12" s="62"/>
      <c r="AL12" s="62"/>
      <c r="AM12" s="62"/>
      <c r="AN12" s="62"/>
      <c r="AO12" s="62"/>
      <c r="AP12" s="62"/>
    </row>
    <row r="13" spans="2:42" s="119" customFormat="1" ht="20.25" customHeight="1">
      <c r="B13" s="441" t="s">
        <v>27</v>
      </c>
      <c r="C13" s="449" t="s">
        <v>28</v>
      </c>
      <c r="D13" s="431"/>
      <c r="E13" s="450" t="s">
        <v>69</v>
      </c>
      <c r="F13" s="451"/>
      <c r="G13" s="441" t="s">
        <v>89</v>
      </c>
      <c r="H13" s="449" t="s">
        <v>123</v>
      </c>
      <c r="I13" s="441" t="s">
        <v>70</v>
      </c>
      <c r="J13" s="454" t="s">
        <v>71</v>
      </c>
      <c r="K13" s="455"/>
      <c r="L13" s="439" t="s">
        <v>72</v>
      </c>
      <c r="M13" s="456" t="s">
        <v>73</v>
      </c>
      <c r="N13" s="457"/>
      <c r="O13" s="457"/>
      <c r="P13" s="458"/>
      <c r="Q13" s="439" t="s">
        <v>74</v>
      </c>
      <c r="R13" s="439" t="s">
        <v>75</v>
      </c>
      <c r="S13" s="441" t="s">
        <v>76</v>
      </c>
      <c r="T13" s="441" t="s">
        <v>77</v>
      </c>
      <c r="U13" s="450" t="s">
        <v>90</v>
      </c>
      <c r="V13" s="449" t="s">
        <v>322</v>
      </c>
      <c r="W13" s="441" t="s">
        <v>78</v>
      </c>
      <c r="X13" s="117"/>
      <c r="Y13" s="118"/>
      <c r="Z13" s="118"/>
      <c r="AA13" s="118"/>
      <c r="AB13" s="118"/>
      <c r="AC13" s="118"/>
      <c r="AD13" s="118"/>
      <c r="AE13" s="118"/>
      <c r="AL13" s="118"/>
      <c r="AM13" s="118"/>
      <c r="AN13" s="118"/>
      <c r="AO13" s="118"/>
      <c r="AP13" s="118"/>
    </row>
    <row r="14" spans="2:42" s="119" customFormat="1" ht="28.5" customHeight="1">
      <c r="B14" s="448"/>
      <c r="C14" s="448"/>
      <c r="D14" s="433" t="s">
        <v>482</v>
      </c>
      <c r="E14" s="452"/>
      <c r="F14" s="453"/>
      <c r="G14" s="442"/>
      <c r="H14" s="448"/>
      <c r="I14" s="442"/>
      <c r="J14" s="120" t="s">
        <v>79</v>
      </c>
      <c r="K14" s="120" t="s">
        <v>80</v>
      </c>
      <c r="L14" s="440"/>
      <c r="M14" s="320" t="s">
        <v>81</v>
      </c>
      <c r="N14" s="320" t="s">
        <v>82</v>
      </c>
      <c r="O14" s="320" t="s">
        <v>83</v>
      </c>
      <c r="P14" s="347" t="s">
        <v>84</v>
      </c>
      <c r="Q14" s="440"/>
      <c r="R14" s="440"/>
      <c r="S14" s="442"/>
      <c r="T14" s="442"/>
      <c r="U14" s="452"/>
      <c r="V14" s="448"/>
      <c r="W14" s="442"/>
      <c r="Y14" s="118"/>
      <c r="Z14" s="118"/>
      <c r="AA14" s="118"/>
      <c r="AB14" s="118"/>
      <c r="AC14" s="118"/>
      <c r="AD14" s="118"/>
      <c r="AE14" s="118"/>
      <c r="AL14" s="118"/>
      <c r="AM14" s="118"/>
      <c r="AN14" s="118"/>
      <c r="AO14" s="118"/>
      <c r="AP14" s="118"/>
    </row>
    <row r="15" spans="2:42" s="119" customFormat="1" ht="16.5">
      <c r="B15" s="295">
        <v>1</v>
      </c>
      <c r="C15" s="296" t="s">
        <v>286</v>
      </c>
      <c r="D15" s="295"/>
      <c r="E15" s="300" t="s">
        <v>177</v>
      </c>
      <c r="F15" s="289"/>
      <c r="G15" s="305" t="s">
        <v>182</v>
      </c>
      <c r="H15" s="211" t="s">
        <v>178</v>
      </c>
      <c r="I15" s="295" t="s">
        <v>281</v>
      </c>
      <c r="J15" s="210">
        <v>46</v>
      </c>
      <c r="K15" s="304" t="s">
        <v>188</v>
      </c>
      <c r="L15" s="321"/>
      <c r="M15" s="322"/>
      <c r="N15" s="322"/>
      <c r="O15" s="322"/>
      <c r="P15" s="342"/>
      <c r="Q15" s="307">
        <v>606.03174603174602</v>
      </c>
      <c r="R15" s="307"/>
      <c r="S15" s="212"/>
      <c r="T15" s="212"/>
      <c r="U15" s="311"/>
      <c r="V15" s="311" t="s">
        <v>189</v>
      </c>
      <c r="W15" s="212" t="s">
        <v>330</v>
      </c>
      <c r="Y15" s="118"/>
      <c r="Z15" s="118"/>
      <c r="AA15" s="118"/>
      <c r="AB15" s="118"/>
      <c r="AC15" s="118"/>
      <c r="AD15" s="118"/>
      <c r="AE15" s="118"/>
      <c r="AL15" s="118"/>
      <c r="AM15" s="118"/>
      <c r="AN15" s="118"/>
      <c r="AO15" s="118"/>
      <c r="AP15" s="118"/>
    </row>
    <row r="16" spans="2:42" s="119" customFormat="1" ht="16.5">
      <c r="B16" s="295">
        <v>2</v>
      </c>
      <c r="C16" s="296" t="s">
        <v>286</v>
      </c>
      <c r="D16" s="295"/>
      <c r="E16" s="300" t="s">
        <v>177</v>
      </c>
      <c r="F16" s="289"/>
      <c r="G16" s="305" t="s">
        <v>182</v>
      </c>
      <c r="H16" s="211" t="s">
        <v>178</v>
      </c>
      <c r="I16" s="295" t="s">
        <v>281</v>
      </c>
      <c r="J16" s="210">
        <v>17</v>
      </c>
      <c r="K16" s="304" t="s">
        <v>188</v>
      </c>
      <c r="L16" s="321"/>
      <c r="M16" s="322"/>
      <c r="N16" s="322"/>
      <c r="O16" s="322"/>
      <c r="P16" s="342"/>
      <c r="Q16" s="307">
        <v>223.96825396825395</v>
      </c>
      <c r="R16" s="307"/>
      <c r="S16" s="212"/>
      <c r="T16" s="212"/>
      <c r="U16" s="311"/>
      <c r="V16" s="311" t="s">
        <v>190</v>
      </c>
      <c r="W16" s="212" t="s">
        <v>330</v>
      </c>
      <c r="Y16" s="118"/>
      <c r="Z16" s="118"/>
      <c r="AA16" s="118"/>
      <c r="AB16" s="118"/>
      <c r="AC16" s="118"/>
      <c r="AD16" s="118"/>
      <c r="AE16" s="118"/>
      <c r="AL16" s="118"/>
      <c r="AM16" s="118"/>
      <c r="AN16" s="118"/>
      <c r="AO16" s="118"/>
      <c r="AP16" s="118"/>
    </row>
    <row r="17" spans="2:42" s="309" customFormat="1" ht="14.25">
      <c r="B17" s="435" t="s">
        <v>191</v>
      </c>
      <c r="C17" s="436"/>
      <c r="D17" s="436"/>
      <c r="E17" s="436"/>
      <c r="F17" s="436"/>
      <c r="G17" s="436"/>
      <c r="H17" s="436"/>
      <c r="I17" s="436"/>
      <c r="J17" s="436"/>
      <c r="K17" s="437"/>
      <c r="L17" s="323" t="s">
        <v>179</v>
      </c>
      <c r="M17" s="324">
        <v>136</v>
      </c>
      <c r="N17" s="324">
        <v>136</v>
      </c>
      <c r="O17" s="324">
        <v>117</v>
      </c>
      <c r="P17" s="348">
        <v>2.1640000000000001</v>
      </c>
      <c r="Q17" s="325">
        <v>830</v>
      </c>
      <c r="R17" s="325">
        <v>990</v>
      </c>
      <c r="S17" s="285" t="s">
        <v>323</v>
      </c>
      <c r="T17" s="285" t="s">
        <v>280</v>
      </c>
      <c r="U17" s="286"/>
      <c r="V17" s="286"/>
      <c r="W17" s="285"/>
      <c r="Y17" s="310"/>
      <c r="Z17" s="310">
        <f>Q17/63</f>
        <v>13.174603174603174</v>
      </c>
      <c r="AA17" s="310"/>
      <c r="AB17" s="310"/>
      <c r="AC17" s="310"/>
      <c r="AD17" s="310"/>
      <c r="AE17" s="310"/>
      <c r="AL17" s="310"/>
      <c r="AM17" s="310"/>
      <c r="AN17" s="310"/>
      <c r="AO17" s="310"/>
      <c r="AP17" s="310"/>
    </row>
    <row r="18" spans="2:42" s="119" customFormat="1" ht="16.5">
      <c r="B18" s="295">
        <v>3</v>
      </c>
      <c r="C18" s="296" t="s">
        <v>287</v>
      </c>
      <c r="D18" s="295"/>
      <c r="E18" s="300" t="s">
        <v>177</v>
      </c>
      <c r="F18" s="289"/>
      <c r="G18" s="305" t="s">
        <v>182</v>
      </c>
      <c r="H18" s="211" t="s">
        <v>178</v>
      </c>
      <c r="I18" s="295" t="s">
        <v>281</v>
      </c>
      <c r="J18" s="210">
        <v>17</v>
      </c>
      <c r="K18" s="304" t="s">
        <v>188</v>
      </c>
      <c r="L18" s="321"/>
      <c r="M18" s="322"/>
      <c r="N18" s="322"/>
      <c r="O18" s="322"/>
      <c r="P18" s="342"/>
      <c r="Q18" s="307">
        <v>672.91666666666674</v>
      </c>
      <c r="R18" s="307"/>
      <c r="S18" s="212"/>
      <c r="T18" s="212"/>
      <c r="U18" s="311"/>
      <c r="V18" s="311" t="s">
        <v>192</v>
      </c>
      <c r="W18" s="212" t="s">
        <v>330</v>
      </c>
      <c r="Y18" s="118"/>
      <c r="Z18" s="118"/>
      <c r="AA18" s="118"/>
      <c r="AB18" s="118"/>
      <c r="AC18" s="118"/>
      <c r="AD18" s="118"/>
      <c r="AE18" s="118"/>
      <c r="AL18" s="118"/>
      <c r="AM18" s="118"/>
      <c r="AN18" s="118"/>
      <c r="AO18" s="118"/>
      <c r="AP18" s="118"/>
    </row>
    <row r="19" spans="2:42" s="119" customFormat="1" ht="16.5">
      <c r="B19" s="295">
        <v>4</v>
      </c>
      <c r="C19" s="296" t="s">
        <v>287</v>
      </c>
      <c r="D19" s="295"/>
      <c r="E19" s="300" t="s">
        <v>177</v>
      </c>
      <c r="F19" s="289"/>
      <c r="G19" s="305" t="s">
        <v>182</v>
      </c>
      <c r="H19" s="211" t="s">
        <v>178</v>
      </c>
      <c r="I19" s="295" t="s">
        <v>281</v>
      </c>
      <c r="J19" s="210">
        <v>7</v>
      </c>
      <c r="K19" s="304" t="s">
        <v>188</v>
      </c>
      <c r="L19" s="321"/>
      <c r="M19" s="322"/>
      <c r="N19" s="322"/>
      <c r="O19" s="322"/>
      <c r="P19" s="342"/>
      <c r="Q19" s="307">
        <v>277.08333333333337</v>
      </c>
      <c r="R19" s="307"/>
      <c r="S19" s="212"/>
      <c r="T19" s="212"/>
      <c r="U19" s="311"/>
      <c r="V19" s="311" t="s">
        <v>193</v>
      </c>
      <c r="W19" s="212" t="s">
        <v>330</v>
      </c>
      <c r="Y19" s="118"/>
      <c r="Z19" s="118"/>
      <c r="AA19" s="118"/>
      <c r="AB19" s="118"/>
      <c r="AC19" s="118"/>
      <c r="AD19" s="118"/>
      <c r="AE19" s="118"/>
      <c r="AL19" s="118"/>
      <c r="AM19" s="118"/>
      <c r="AN19" s="118"/>
      <c r="AO19" s="118"/>
      <c r="AP19" s="118"/>
    </row>
    <row r="20" spans="2:42" s="309" customFormat="1" ht="14.25">
      <c r="B20" s="435" t="s">
        <v>191</v>
      </c>
      <c r="C20" s="436"/>
      <c r="D20" s="436"/>
      <c r="E20" s="436"/>
      <c r="F20" s="436"/>
      <c r="G20" s="436"/>
      <c r="H20" s="436"/>
      <c r="I20" s="436"/>
      <c r="J20" s="436"/>
      <c r="K20" s="437"/>
      <c r="L20" s="323" t="s">
        <v>179</v>
      </c>
      <c r="M20" s="324">
        <v>136</v>
      </c>
      <c r="N20" s="324">
        <v>136</v>
      </c>
      <c r="O20" s="324">
        <v>117</v>
      </c>
      <c r="P20" s="348">
        <v>2.1640000000000001</v>
      </c>
      <c r="Q20" s="325">
        <v>950</v>
      </c>
      <c r="R20" s="325">
        <v>1100</v>
      </c>
      <c r="S20" s="285" t="s">
        <v>323</v>
      </c>
      <c r="T20" s="285" t="s">
        <v>280</v>
      </c>
      <c r="U20" s="286"/>
      <c r="V20" s="286"/>
      <c r="W20" s="285"/>
      <c r="Y20" s="310"/>
      <c r="Z20" s="310">
        <f>Q20/24</f>
        <v>39.583333333333336</v>
      </c>
      <c r="AA20" s="310"/>
      <c r="AB20" s="310"/>
      <c r="AC20" s="310"/>
      <c r="AD20" s="310"/>
      <c r="AE20" s="310"/>
      <c r="AL20" s="310"/>
      <c r="AM20" s="310"/>
      <c r="AN20" s="310"/>
      <c r="AO20" s="310"/>
      <c r="AP20" s="310"/>
    </row>
    <row r="21" spans="2:42" s="119" customFormat="1" ht="16.5">
      <c r="B21" s="295">
        <v>5</v>
      </c>
      <c r="C21" s="296" t="s">
        <v>288</v>
      </c>
      <c r="D21" s="295"/>
      <c r="E21" s="300" t="s">
        <v>177</v>
      </c>
      <c r="F21" s="289"/>
      <c r="G21" s="305" t="s">
        <v>182</v>
      </c>
      <c r="H21" s="211" t="s">
        <v>178</v>
      </c>
      <c r="I21" s="295" t="s">
        <v>281</v>
      </c>
      <c r="J21" s="210">
        <v>4</v>
      </c>
      <c r="K21" s="304" t="s">
        <v>188</v>
      </c>
      <c r="L21" s="321"/>
      <c r="M21" s="322"/>
      <c r="N21" s="322"/>
      <c r="O21" s="322"/>
      <c r="P21" s="342"/>
      <c r="Q21" s="307">
        <v>50.196078431372548</v>
      </c>
      <c r="R21" s="307"/>
      <c r="S21" s="212"/>
      <c r="T21" s="212"/>
      <c r="U21" s="311"/>
      <c r="V21" s="311" t="s">
        <v>194</v>
      </c>
      <c r="W21" s="212" t="s">
        <v>330</v>
      </c>
      <c r="Y21" s="118"/>
      <c r="Z21" s="118"/>
      <c r="AA21" s="118"/>
      <c r="AB21" s="118"/>
      <c r="AC21" s="118"/>
      <c r="AD21" s="118"/>
      <c r="AE21" s="118"/>
      <c r="AL21" s="118"/>
      <c r="AM21" s="118"/>
      <c r="AN21" s="118"/>
      <c r="AO21" s="118"/>
      <c r="AP21" s="118"/>
    </row>
    <row r="22" spans="2:42" s="119" customFormat="1" ht="16.5">
      <c r="B22" s="295">
        <v>6</v>
      </c>
      <c r="C22" s="296" t="s">
        <v>288</v>
      </c>
      <c r="D22" s="295"/>
      <c r="E22" s="300" t="s">
        <v>177</v>
      </c>
      <c r="F22" s="289"/>
      <c r="G22" s="305" t="s">
        <v>182</v>
      </c>
      <c r="H22" s="211" t="s">
        <v>178</v>
      </c>
      <c r="I22" s="295" t="s">
        <v>281</v>
      </c>
      <c r="J22" s="210">
        <v>5</v>
      </c>
      <c r="K22" s="304" t="s">
        <v>188</v>
      </c>
      <c r="L22" s="321"/>
      <c r="M22" s="322"/>
      <c r="N22" s="322"/>
      <c r="O22" s="322"/>
      <c r="P22" s="342"/>
      <c r="Q22" s="307">
        <v>62.745098039215684</v>
      </c>
      <c r="R22" s="307"/>
      <c r="S22" s="212"/>
      <c r="T22" s="212"/>
      <c r="U22" s="311"/>
      <c r="V22" s="311" t="s">
        <v>195</v>
      </c>
      <c r="W22" s="212" t="s">
        <v>330</v>
      </c>
      <c r="Y22" s="118"/>
      <c r="Z22" s="118"/>
      <c r="AA22" s="118"/>
      <c r="AB22" s="118"/>
      <c r="AC22" s="118"/>
      <c r="AD22" s="118"/>
      <c r="AE22" s="118"/>
      <c r="AL22" s="118"/>
      <c r="AM22" s="118"/>
      <c r="AN22" s="118"/>
      <c r="AO22" s="118"/>
      <c r="AP22" s="118"/>
    </row>
    <row r="23" spans="2:42" s="119" customFormat="1" ht="16.5">
      <c r="B23" s="295">
        <v>7</v>
      </c>
      <c r="C23" s="296" t="s">
        <v>288</v>
      </c>
      <c r="D23" s="295"/>
      <c r="E23" s="300" t="s">
        <v>350</v>
      </c>
      <c r="F23" s="289"/>
      <c r="G23" s="305" t="s">
        <v>182</v>
      </c>
      <c r="H23" s="211" t="s">
        <v>178</v>
      </c>
      <c r="I23" s="295" t="s">
        <v>281</v>
      </c>
      <c r="J23" s="210">
        <v>13</v>
      </c>
      <c r="K23" s="304" t="s">
        <v>188</v>
      </c>
      <c r="L23" s="321"/>
      <c r="M23" s="322"/>
      <c r="N23" s="322"/>
      <c r="O23" s="322"/>
      <c r="P23" s="342"/>
      <c r="Q23" s="307">
        <v>163.13725490196077</v>
      </c>
      <c r="R23" s="307"/>
      <c r="S23" s="212"/>
      <c r="T23" s="212"/>
      <c r="U23" s="311"/>
      <c r="V23" s="311" t="s">
        <v>196</v>
      </c>
      <c r="W23" s="212" t="s">
        <v>330</v>
      </c>
      <c r="Y23" s="118"/>
      <c r="Z23" s="118"/>
      <c r="AA23" s="118"/>
      <c r="AB23" s="118"/>
      <c r="AC23" s="118"/>
      <c r="AD23" s="118"/>
      <c r="AE23" s="118"/>
      <c r="AL23" s="118"/>
      <c r="AM23" s="118"/>
      <c r="AN23" s="118"/>
      <c r="AO23" s="118"/>
      <c r="AP23" s="118"/>
    </row>
    <row r="24" spans="2:42" s="119" customFormat="1" ht="16.5">
      <c r="B24" s="295">
        <v>8</v>
      </c>
      <c r="C24" s="296" t="s">
        <v>288</v>
      </c>
      <c r="D24" s="295"/>
      <c r="E24" s="300" t="s">
        <v>350</v>
      </c>
      <c r="F24" s="289"/>
      <c r="G24" s="305" t="s">
        <v>182</v>
      </c>
      <c r="H24" s="211" t="s">
        <v>178</v>
      </c>
      <c r="I24" s="295" t="s">
        <v>281</v>
      </c>
      <c r="J24" s="210">
        <v>19</v>
      </c>
      <c r="K24" s="304" t="s">
        <v>188</v>
      </c>
      <c r="L24" s="321"/>
      <c r="M24" s="322"/>
      <c r="N24" s="322"/>
      <c r="O24" s="322"/>
      <c r="P24" s="342"/>
      <c r="Q24" s="307">
        <v>238.43137254901961</v>
      </c>
      <c r="R24" s="307"/>
      <c r="S24" s="212"/>
      <c r="T24" s="212"/>
      <c r="U24" s="311"/>
      <c r="V24" s="311" t="s">
        <v>197</v>
      </c>
      <c r="W24" s="212" t="s">
        <v>330</v>
      </c>
      <c r="Y24" s="118"/>
      <c r="Z24" s="118"/>
      <c r="AA24" s="118"/>
      <c r="AB24" s="118"/>
      <c r="AC24" s="118"/>
      <c r="AD24" s="118"/>
      <c r="AE24" s="118"/>
      <c r="AL24" s="118"/>
      <c r="AM24" s="118"/>
      <c r="AN24" s="118"/>
      <c r="AO24" s="118"/>
      <c r="AP24" s="118"/>
    </row>
    <row r="25" spans="2:42" s="119" customFormat="1" ht="16.5">
      <c r="B25" s="295">
        <v>9</v>
      </c>
      <c r="C25" s="296" t="s">
        <v>288</v>
      </c>
      <c r="D25" s="295"/>
      <c r="E25" s="300" t="s">
        <v>350</v>
      </c>
      <c r="F25" s="289"/>
      <c r="G25" s="305" t="s">
        <v>182</v>
      </c>
      <c r="H25" s="211" t="s">
        <v>178</v>
      </c>
      <c r="I25" s="295" t="s">
        <v>281</v>
      </c>
      <c r="J25" s="210">
        <v>10</v>
      </c>
      <c r="K25" s="304" t="s">
        <v>188</v>
      </c>
      <c r="L25" s="321"/>
      <c r="M25" s="322"/>
      <c r="N25" s="322"/>
      <c r="O25" s="322"/>
      <c r="P25" s="342"/>
      <c r="Q25" s="307">
        <v>125.49019607843137</v>
      </c>
      <c r="R25" s="307"/>
      <c r="S25" s="212"/>
      <c r="T25" s="212"/>
      <c r="U25" s="311"/>
      <c r="V25" s="311" t="s">
        <v>198</v>
      </c>
      <c r="W25" s="212" t="s">
        <v>330</v>
      </c>
      <c r="Y25" s="118"/>
      <c r="Z25" s="118"/>
      <c r="AA25" s="118"/>
      <c r="AB25" s="118"/>
      <c r="AC25" s="118"/>
      <c r="AD25" s="118"/>
      <c r="AE25" s="118"/>
      <c r="AL25" s="118"/>
      <c r="AM25" s="118"/>
      <c r="AN25" s="118"/>
      <c r="AO25" s="118"/>
      <c r="AP25" s="118"/>
    </row>
    <row r="26" spans="2:42" s="309" customFormat="1" ht="14.25">
      <c r="B26" s="435" t="s">
        <v>191</v>
      </c>
      <c r="C26" s="436"/>
      <c r="D26" s="436"/>
      <c r="E26" s="436"/>
      <c r="F26" s="436"/>
      <c r="G26" s="436"/>
      <c r="H26" s="436"/>
      <c r="I26" s="436"/>
      <c r="J26" s="436"/>
      <c r="K26" s="437"/>
      <c r="L26" s="323" t="s">
        <v>179</v>
      </c>
      <c r="M26" s="324">
        <v>136</v>
      </c>
      <c r="N26" s="324">
        <v>136</v>
      </c>
      <c r="O26" s="324">
        <v>117</v>
      </c>
      <c r="P26" s="348">
        <v>2.1640000000000001</v>
      </c>
      <c r="Q26" s="325">
        <v>640</v>
      </c>
      <c r="R26" s="325">
        <v>790</v>
      </c>
      <c r="S26" s="285" t="s">
        <v>323</v>
      </c>
      <c r="T26" s="285" t="s">
        <v>280</v>
      </c>
      <c r="U26" s="286"/>
      <c r="V26" s="286"/>
      <c r="W26" s="285"/>
      <c r="Y26" s="310"/>
      <c r="Z26" s="310">
        <f>Q26/51</f>
        <v>12.549019607843137</v>
      </c>
      <c r="AA26" s="310"/>
      <c r="AB26" s="310"/>
      <c r="AC26" s="310"/>
      <c r="AD26" s="310"/>
      <c r="AE26" s="310"/>
      <c r="AL26" s="310"/>
      <c r="AM26" s="310"/>
      <c r="AN26" s="310"/>
      <c r="AO26" s="310"/>
      <c r="AP26" s="310"/>
    </row>
    <row r="27" spans="2:42" s="119" customFormat="1" ht="16.5">
      <c r="B27" s="295">
        <v>10</v>
      </c>
      <c r="C27" s="296" t="s">
        <v>289</v>
      </c>
      <c r="D27" s="295"/>
      <c r="E27" s="300" t="s">
        <v>350</v>
      </c>
      <c r="F27" s="289"/>
      <c r="G27" s="305" t="s">
        <v>182</v>
      </c>
      <c r="H27" s="211" t="s">
        <v>178</v>
      </c>
      <c r="I27" s="295" t="s">
        <v>281</v>
      </c>
      <c r="J27" s="210">
        <v>38</v>
      </c>
      <c r="K27" s="304" t="s">
        <v>188</v>
      </c>
      <c r="L27" s="321"/>
      <c r="M27" s="322"/>
      <c r="N27" s="322"/>
      <c r="O27" s="322"/>
      <c r="P27" s="342"/>
      <c r="Q27" s="307">
        <v>639.51219512195121</v>
      </c>
      <c r="R27" s="307"/>
      <c r="S27" s="212"/>
      <c r="T27" s="212"/>
      <c r="U27" s="311"/>
      <c r="V27" s="311" t="s">
        <v>199</v>
      </c>
      <c r="W27" s="212" t="s">
        <v>330</v>
      </c>
      <c r="Y27" s="118"/>
      <c r="Z27" s="118"/>
      <c r="AA27" s="118"/>
      <c r="AB27" s="118"/>
      <c r="AC27" s="118"/>
      <c r="AD27" s="118"/>
      <c r="AE27" s="118"/>
      <c r="AL27" s="118"/>
      <c r="AM27" s="118"/>
      <c r="AN27" s="118"/>
      <c r="AO27" s="118"/>
      <c r="AP27" s="118"/>
    </row>
    <row r="28" spans="2:42" s="119" customFormat="1" ht="16.5">
      <c r="B28" s="295">
        <v>11</v>
      </c>
      <c r="C28" s="296" t="s">
        <v>289</v>
      </c>
      <c r="D28" s="295"/>
      <c r="E28" s="300" t="s">
        <v>350</v>
      </c>
      <c r="F28" s="289"/>
      <c r="G28" s="305" t="s">
        <v>182</v>
      </c>
      <c r="H28" s="211" t="s">
        <v>178</v>
      </c>
      <c r="I28" s="295" t="s">
        <v>281</v>
      </c>
      <c r="J28" s="210">
        <v>3</v>
      </c>
      <c r="K28" s="304" t="s">
        <v>188</v>
      </c>
      <c r="L28" s="321"/>
      <c r="M28" s="322"/>
      <c r="N28" s="322"/>
      <c r="O28" s="322"/>
      <c r="P28" s="342"/>
      <c r="Q28" s="307">
        <v>50.487804878048777</v>
      </c>
      <c r="R28" s="307"/>
      <c r="S28" s="212"/>
      <c r="T28" s="212"/>
      <c r="U28" s="311"/>
      <c r="V28" s="311" t="s">
        <v>200</v>
      </c>
      <c r="W28" s="212" t="s">
        <v>330</v>
      </c>
      <c r="Y28" s="118"/>
      <c r="Z28" s="118"/>
      <c r="AA28" s="118"/>
      <c r="AB28" s="118"/>
      <c r="AC28" s="118"/>
      <c r="AD28" s="118"/>
      <c r="AE28" s="118"/>
      <c r="AL28" s="118"/>
      <c r="AM28" s="118"/>
      <c r="AN28" s="118"/>
      <c r="AO28" s="118"/>
      <c r="AP28" s="118"/>
    </row>
    <row r="29" spans="2:42" s="309" customFormat="1" ht="14.25">
      <c r="B29" s="435" t="s">
        <v>191</v>
      </c>
      <c r="C29" s="436"/>
      <c r="D29" s="436"/>
      <c r="E29" s="436"/>
      <c r="F29" s="436"/>
      <c r="G29" s="436"/>
      <c r="H29" s="436"/>
      <c r="I29" s="436"/>
      <c r="J29" s="436"/>
      <c r="K29" s="437"/>
      <c r="L29" s="323" t="s">
        <v>179</v>
      </c>
      <c r="M29" s="324">
        <v>136</v>
      </c>
      <c r="N29" s="324">
        <v>136</v>
      </c>
      <c r="O29" s="324">
        <v>117</v>
      </c>
      <c r="P29" s="348">
        <v>2.1640000000000001</v>
      </c>
      <c r="Q29" s="325">
        <v>690</v>
      </c>
      <c r="R29" s="325">
        <v>840</v>
      </c>
      <c r="S29" s="285" t="s">
        <v>323</v>
      </c>
      <c r="T29" s="285" t="s">
        <v>280</v>
      </c>
      <c r="U29" s="286"/>
      <c r="V29" s="286"/>
      <c r="W29" s="285"/>
      <c r="Y29" s="310"/>
      <c r="Z29" s="310">
        <f>Q29/41</f>
        <v>16.829268292682926</v>
      </c>
      <c r="AA29" s="310"/>
      <c r="AB29" s="310"/>
      <c r="AC29" s="310"/>
      <c r="AD29" s="310"/>
      <c r="AE29" s="310"/>
      <c r="AL29" s="310"/>
      <c r="AM29" s="310"/>
      <c r="AN29" s="310"/>
      <c r="AO29" s="310"/>
      <c r="AP29" s="310"/>
    </row>
    <row r="30" spans="2:42" s="119" customFormat="1" ht="16.5">
      <c r="B30" s="295">
        <v>12</v>
      </c>
      <c r="C30" s="296" t="s">
        <v>290</v>
      </c>
      <c r="D30" s="295"/>
      <c r="E30" s="300" t="s">
        <v>177</v>
      </c>
      <c r="F30" s="289"/>
      <c r="G30" s="305" t="s">
        <v>182</v>
      </c>
      <c r="H30" s="211" t="s">
        <v>178</v>
      </c>
      <c r="I30" s="295" t="s">
        <v>281</v>
      </c>
      <c r="J30" s="210">
        <v>29</v>
      </c>
      <c r="K30" s="304" t="s">
        <v>188</v>
      </c>
      <c r="L30" s="321"/>
      <c r="M30" s="322"/>
      <c r="N30" s="322"/>
      <c r="O30" s="322"/>
      <c r="P30" s="342"/>
      <c r="Q30" s="307">
        <v>470</v>
      </c>
      <c r="R30" s="326"/>
      <c r="S30" s="212"/>
      <c r="T30" s="311"/>
      <c r="U30" s="311"/>
      <c r="V30" s="311" t="s">
        <v>201</v>
      </c>
      <c r="W30" s="212" t="s">
        <v>330</v>
      </c>
      <c r="Y30" s="118"/>
      <c r="Z30" s="118"/>
      <c r="AA30" s="118"/>
      <c r="AB30" s="118"/>
      <c r="AC30" s="118"/>
      <c r="AD30" s="118"/>
      <c r="AE30" s="118"/>
      <c r="AL30" s="118"/>
      <c r="AM30" s="118"/>
      <c r="AN30" s="118"/>
      <c r="AO30" s="118"/>
      <c r="AP30" s="118"/>
    </row>
    <row r="31" spans="2:42" s="309" customFormat="1" ht="14.25">
      <c r="B31" s="435" t="s">
        <v>191</v>
      </c>
      <c r="C31" s="436"/>
      <c r="D31" s="436"/>
      <c r="E31" s="436"/>
      <c r="F31" s="436"/>
      <c r="G31" s="436"/>
      <c r="H31" s="436"/>
      <c r="I31" s="436"/>
      <c r="J31" s="436"/>
      <c r="K31" s="437"/>
      <c r="L31" s="323" t="s">
        <v>179</v>
      </c>
      <c r="M31" s="324">
        <v>136</v>
      </c>
      <c r="N31" s="324">
        <v>136</v>
      </c>
      <c r="O31" s="324">
        <v>92</v>
      </c>
      <c r="P31" s="348">
        <v>1.702</v>
      </c>
      <c r="Q31" s="325">
        <v>470</v>
      </c>
      <c r="R31" s="325">
        <v>620</v>
      </c>
      <c r="S31" s="285" t="s">
        <v>323</v>
      </c>
      <c r="T31" s="285" t="s">
        <v>280</v>
      </c>
      <c r="U31" s="286"/>
      <c r="V31" s="286"/>
      <c r="W31" s="285"/>
      <c r="Y31" s="310"/>
      <c r="Z31" s="310"/>
      <c r="AA31" s="310"/>
      <c r="AB31" s="310"/>
      <c r="AC31" s="310"/>
      <c r="AD31" s="310"/>
      <c r="AE31" s="310"/>
      <c r="AL31" s="310"/>
      <c r="AM31" s="310"/>
      <c r="AN31" s="310"/>
      <c r="AO31" s="310"/>
      <c r="AP31" s="310"/>
    </row>
    <row r="32" spans="2:42" s="119" customFormat="1" ht="16.5">
      <c r="B32" s="295">
        <v>13</v>
      </c>
      <c r="C32" s="296" t="s">
        <v>291</v>
      </c>
      <c r="D32" s="295"/>
      <c r="E32" s="300" t="s">
        <v>177</v>
      </c>
      <c r="F32" s="289"/>
      <c r="G32" s="305" t="s">
        <v>182</v>
      </c>
      <c r="H32" s="211" t="s">
        <v>178</v>
      </c>
      <c r="I32" s="295" t="s">
        <v>281</v>
      </c>
      <c r="J32" s="210">
        <v>6</v>
      </c>
      <c r="K32" s="304" t="s">
        <v>188</v>
      </c>
      <c r="L32" s="321"/>
      <c r="M32" s="322"/>
      <c r="N32" s="322"/>
      <c r="O32" s="322"/>
      <c r="P32" s="342"/>
      <c r="Q32" s="307">
        <v>37.89473684210526</v>
      </c>
      <c r="R32" s="307"/>
      <c r="S32" s="212"/>
      <c r="T32" s="311"/>
      <c r="U32" s="311"/>
      <c r="V32" s="311" t="s">
        <v>202</v>
      </c>
      <c r="W32" s="212" t="s">
        <v>330</v>
      </c>
      <c r="Y32" s="118"/>
      <c r="Z32" s="118"/>
      <c r="AA32" s="118"/>
      <c r="AB32" s="118"/>
      <c r="AC32" s="118"/>
      <c r="AD32" s="118"/>
      <c r="AE32" s="118"/>
      <c r="AL32" s="118"/>
      <c r="AM32" s="118"/>
      <c r="AN32" s="118"/>
      <c r="AO32" s="118"/>
      <c r="AP32" s="118"/>
    </row>
    <row r="33" spans="2:42" s="119" customFormat="1" ht="16.5">
      <c r="B33" s="295">
        <v>14</v>
      </c>
      <c r="C33" s="296" t="s">
        <v>291</v>
      </c>
      <c r="D33" s="295"/>
      <c r="E33" s="300" t="s">
        <v>177</v>
      </c>
      <c r="F33" s="289"/>
      <c r="G33" s="305" t="s">
        <v>182</v>
      </c>
      <c r="H33" s="211" t="s">
        <v>178</v>
      </c>
      <c r="I33" s="295" t="s">
        <v>281</v>
      </c>
      <c r="J33" s="210">
        <v>10</v>
      </c>
      <c r="K33" s="304" t="s">
        <v>188</v>
      </c>
      <c r="L33" s="321"/>
      <c r="M33" s="322"/>
      <c r="N33" s="322"/>
      <c r="O33" s="322"/>
      <c r="P33" s="342"/>
      <c r="Q33" s="307">
        <v>63.15789473684211</v>
      </c>
      <c r="R33" s="307"/>
      <c r="S33" s="212"/>
      <c r="T33" s="311"/>
      <c r="U33" s="311"/>
      <c r="V33" s="311" t="s">
        <v>203</v>
      </c>
      <c r="W33" s="212" t="s">
        <v>330</v>
      </c>
      <c r="Y33" s="118"/>
      <c r="Z33" s="118"/>
      <c r="AA33" s="118"/>
      <c r="AB33" s="118"/>
      <c r="AC33" s="118"/>
      <c r="AD33" s="118"/>
      <c r="AE33" s="118"/>
      <c r="AL33" s="118"/>
      <c r="AM33" s="118"/>
      <c r="AN33" s="118"/>
      <c r="AO33" s="118"/>
      <c r="AP33" s="118"/>
    </row>
    <row r="34" spans="2:42" s="119" customFormat="1" ht="16.5">
      <c r="B34" s="295">
        <v>15</v>
      </c>
      <c r="C34" s="296" t="s">
        <v>291</v>
      </c>
      <c r="D34" s="295"/>
      <c r="E34" s="300" t="s">
        <v>177</v>
      </c>
      <c r="F34" s="289"/>
      <c r="G34" s="305" t="s">
        <v>182</v>
      </c>
      <c r="H34" s="211" t="s">
        <v>178</v>
      </c>
      <c r="I34" s="295" t="s">
        <v>281</v>
      </c>
      <c r="J34" s="210">
        <v>22</v>
      </c>
      <c r="K34" s="304" t="s">
        <v>188</v>
      </c>
      <c r="L34" s="321"/>
      <c r="M34" s="322"/>
      <c r="N34" s="322"/>
      <c r="O34" s="322"/>
      <c r="P34" s="342"/>
      <c r="Q34" s="307">
        <v>138.94736842105263</v>
      </c>
      <c r="R34" s="307"/>
      <c r="S34" s="212"/>
      <c r="T34" s="311"/>
      <c r="U34" s="311"/>
      <c r="V34" s="311" t="s">
        <v>204</v>
      </c>
      <c r="W34" s="212" t="s">
        <v>330</v>
      </c>
      <c r="Y34" s="118"/>
      <c r="Z34" s="118"/>
      <c r="AA34" s="118"/>
      <c r="AB34" s="118"/>
      <c r="AC34" s="118"/>
      <c r="AD34" s="118"/>
      <c r="AE34" s="118"/>
      <c r="AL34" s="118"/>
      <c r="AM34" s="118"/>
      <c r="AN34" s="118"/>
      <c r="AO34" s="118"/>
      <c r="AP34" s="118"/>
    </row>
    <row r="35" spans="2:42" s="309" customFormat="1" ht="14.25">
      <c r="B35" s="435" t="s">
        <v>191</v>
      </c>
      <c r="C35" s="436"/>
      <c r="D35" s="436"/>
      <c r="E35" s="436"/>
      <c r="F35" s="436"/>
      <c r="G35" s="436"/>
      <c r="H35" s="436"/>
      <c r="I35" s="436"/>
      <c r="J35" s="436"/>
      <c r="K35" s="437"/>
      <c r="L35" s="323" t="s">
        <v>179</v>
      </c>
      <c r="M35" s="324">
        <v>157</v>
      </c>
      <c r="N35" s="324">
        <v>123</v>
      </c>
      <c r="O35" s="324">
        <v>66</v>
      </c>
      <c r="P35" s="348">
        <v>1.2749999999999999</v>
      </c>
      <c r="Q35" s="325">
        <v>240</v>
      </c>
      <c r="R35" s="325">
        <v>350</v>
      </c>
      <c r="S35" s="285" t="s">
        <v>323</v>
      </c>
      <c r="T35" s="285" t="s">
        <v>280</v>
      </c>
      <c r="U35" s="286"/>
      <c r="V35" s="286"/>
      <c r="W35" s="285"/>
      <c r="Y35" s="310"/>
      <c r="Z35" s="310">
        <f>Q35/38</f>
        <v>6.3157894736842106</v>
      </c>
      <c r="AA35" s="310"/>
      <c r="AB35" s="310"/>
      <c r="AC35" s="310"/>
      <c r="AD35" s="310"/>
      <c r="AE35" s="310"/>
      <c r="AL35" s="310"/>
      <c r="AM35" s="310"/>
      <c r="AN35" s="310"/>
      <c r="AO35" s="310"/>
      <c r="AP35" s="310"/>
    </row>
    <row r="36" spans="2:42" s="119" customFormat="1" ht="16.5">
      <c r="B36" s="295">
        <v>16</v>
      </c>
      <c r="C36" s="296" t="s">
        <v>292</v>
      </c>
      <c r="D36" s="295"/>
      <c r="E36" s="300" t="s">
        <v>177</v>
      </c>
      <c r="F36" s="289"/>
      <c r="G36" s="305" t="s">
        <v>182</v>
      </c>
      <c r="H36" s="211" t="s">
        <v>178</v>
      </c>
      <c r="I36" s="295" t="s">
        <v>281</v>
      </c>
      <c r="J36" s="210">
        <v>32</v>
      </c>
      <c r="K36" s="304" t="s">
        <v>188</v>
      </c>
      <c r="L36" s="321"/>
      <c r="M36" s="322"/>
      <c r="N36" s="322"/>
      <c r="O36" s="322"/>
      <c r="P36" s="342"/>
      <c r="Q36" s="307">
        <v>1580</v>
      </c>
      <c r="R36" s="307"/>
      <c r="S36" s="212"/>
      <c r="T36" s="311"/>
      <c r="U36" s="311"/>
      <c r="V36" s="311" t="s">
        <v>205</v>
      </c>
      <c r="W36" s="212" t="s">
        <v>330</v>
      </c>
      <c r="Y36" s="118"/>
      <c r="Z36" s="118"/>
      <c r="AA36" s="118"/>
      <c r="AB36" s="118"/>
      <c r="AC36" s="118"/>
      <c r="AD36" s="118"/>
      <c r="AE36" s="118"/>
      <c r="AL36" s="118"/>
      <c r="AM36" s="118"/>
      <c r="AN36" s="118"/>
      <c r="AO36" s="118"/>
      <c r="AP36" s="118"/>
    </row>
    <row r="37" spans="2:42" s="309" customFormat="1" ht="14.25">
      <c r="B37" s="435" t="s">
        <v>191</v>
      </c>
      <c r="C37" s="436"/>
      <c r="D37" s="436"/>
      <c r="E37" s="436"/>
      <c r="F37" s="436"/>
      <c r="G37" s="436"/>
      <c r="H37" s="436"/>
      <c r="I37" s="436"/>
      <c r="J37" s="436"/>
      <c r="K37" s="437"/>
      <c r="L37" s="323" t="s">
        <v>179</v>
      </c>
      <c r="M37" s="324">
        <v>136</v>
      </c>
      <c r="N37" s="324">
        <v>136</v>
      </c>
      <c r="O37" s="324">
        <v>142</v>
      </c>
      <c r="P37" s="348">
        <v>2.6259999999999999</v>
      </c>
      <c r="Q37" s="325">
        <v>1580</v>
      </c>
      <c r="R37" s="325">
        <v>1740</v>
      </c>
      <c r="S37" s="285" t="s">
        <v>323</v>
      </c>
      <c r="T37" s="285" t="s">
        <v>280</v>
      </c>
      <c r="U37" s="286"/>
      <c r="V37" s="286"/>
      <c r="W37" s="285"/>
      <c r="Y37" s="310"/>
      <c r="Z37" s="310"/>
      <c r="AA37" s="310"/>
      <c r="AB37" s="310"/>
      <c r="AC37" s="310"/>
      <c r="AD37" s="310"/>
      <c r="AE37" s="310"/>
      <c r="AL37" s="310"/>
      <c r="AM37" s="310"/>
      <c r="AN37" s="310"/>
      <c r="AO37" s="310"/>
      <c r="AP37" s="310"/>
    </row>
    <row r="38" spans="2:42" s="119" customFormat="1" ht="16.5">
      <c r="B38" s="295">
        <v>17</v>
      </c>
      <c r="C38" s="296" t="s">
        <v>293</v>
      </c>
      <c r="D38" s="295"/>
      <c r="E38" s="300" t="s">
        <v>350</v>
      </c>
      <c r="F38" s="289"/>
      <c r="G38" s="305" t="s">
        <v>182</v>
      </c>
      <c r="H38" s="211" t="s">
        <v>178</v>
      </c>
      <c r="I38" s="295" t="s">
        <v>281</v>
      </c>
      <c r="J38" s="210">
        <v>32</v>
      </c>
      <c r="K38" s="304" t="s">
        <v>188</v>
      </c>
      <c r="L38" s="321"/>
      <c r="M38" s="322"/>
      <c r="N38" s="322"/>
      <c r="O38" s="322"/>
      <c r="P38" s="342"/>
      <c r="Q38" s="307">
        <v>1080</v>
      </c>
      <c r="R38" s="307"/>
      <c r="S38" s="212"/>
      <c r="T38" s="311"/>
      <c r="U38" s="311"/>
      <c r="V38" s="311" t="s">
        <v>206</v>
      </c>
      <c r="W38" s="212" t="s">
        <v>330</v>
      </c>
      <c r="Y38" s="118"/>
      <c r="Z38" s="118"/>
      <c r="AA38" s="118"/>
      <c r="AB38" s="118"/>
      <c r="AC38" s="118"/>
      <c r="AD38" s="118"/>
      <c r="AE38" s="118"/>
      <c r="AL38" s="118"/>
      <c r="AM38" s="118"/>
      <c r="AN38" s="118"/>
      <c r="AO38" s="118"/>
      <c r="AP38" s="118"/>
    </row>
    <row r="39" spans="2:42" s="309" customFormat="1" ht="14.25">
      <c r="B39" s="435" t="s">
        <v>191</v>
      </c>
      <c r="C39" s="436"/>
      <c r="D39" s="436"/>
      <c r="E39" s="436"/>
      <c r="F39" s="436"/>
      <c r="G39" s="436"/>
      <c r="H39" s="436"/>
      <c r="I39" s="436"/>
      <c r="J39" s="436"/>
      <c r="K39" s="437"/>
      <c r="L39" s="323" t="s">
        <v>179</v>
      </c>
      <c r="M39" s="324">
        <v>136</v>
      </c>
      <c r="N39" s="324">
        <v>136</v>
      </c>
      <c r="O39" s="324">
        <v>142</v>
      </c>
      <c r="P39" s="348">
        <v>2.6259999999999999</v>
      </c>
      <c r="Q39" s="325">
        <v>1080</v>
      </c>
      <c r="R39" s="325">
        <v>1250</v>
      </c>
      <c r="S39" s="285" t="s">
        <v>323</v>
      </c>
      <c r="T39" s="285" t="s">
        <v>280</v>
      </c>
      <c r="U39" s="286"/>
      <c r="V39" s="286"/>
      <c r="W39" s="285"/>
      <c r="Y39" s="310"/>
      <c r="Z39" s="310"/>
      <c r="AA39" s="310"/>
      <c r="AB39" s="310"/>
      <c r="AC39" s="310"/>
      <c r="AD39" s="310"/>
      <c r="AE39" s="310"/>
      <c r="AL39" s="310"/>
      <c r="AM39" s="310"/>
      <c r="AN39" s="310"/>
      <c r="AO39" s="310"/>
      <c r="AP39" s="310"/>
    </row>
    <row r="40" spans="2:42" s="119" customFormat="1" ht="16.5">
      <c r="B40" s="295">
        <v>18</v>
      </c>
      <c r="C40" s="296" t="s">
        <v>294</v>
      </c>
      <c r="D40" s="295"/>
      <c r="E40" s="300" t="s">
        <v>177</v>
      </c>
      <c r="F40" s="289"/>
      <c r="G40" s="305" t="s">
        <v>182</v>
      </c>
      <c r="H40" s="211" t="s">
        <v>178</v>
      </c>
      <c r="I40" s="295" t="s">
        <v>281</v>
      </c>
      <c r="J40" s="210">
        <v>32</v>
      </c>
      <c r="K40" s="304" t="s">
        <v>188</v>
      </c>
      <c r="L40" s="321"/>
      <c r="M40" s="322"/>
      <c r="N40" s="322"/>
      <c r="O40" s="322"/>
      <c r="P40" s="342"/>
      <c r="Q40" s="307">
        <v>1580</v>
      </c>
      <c r="R40" s="307"/>
      <c r="S40" s="212"/>
      <c r="T40" s="311"/>
      <c r="U40" s="311"/>
      <c r="V40" s="311" t="s">
        <v>192</v>
      </c>
      <c r="W40" s="212" t="s">
        <v>330</v>
      </c>
      <c r="Y40" s="118"/>
      <c r="Z40" s="118"/>
      <c r="AA40" s="118"/>
      <c r="AB40" s="118"/>
      <c r="AC40" s="118"/>
      <c r="AD40" s="118"/>
      <c r="AE40" s="118"/>
      <c r="AL40" s="118"/>
      <c r="AM40" s="118"/>
      <c r="AN40" s="118"/>
      <c r="AO40" s="118"/>
      <c r="AP40" s="118"/>
    </row>
    <row r="41" spans="2:42" s="309" customFormat="1" ht="14.25">
      <c r="B41" s="435" t="s">
        <v>191</v>
      </c>
      <c r="C41" s="436"/>
      <c r="D41" s="436"/>
      <c r="E41" s="436"/>
      <c r="F41" s="436"/>
      <c r="G41" s="436"/>
      <c r="H41" s="436"/>
      <c r="I41" s="436"/>
      <c r="J41" s="436"/>
      <c r="K41" s="437"/>
      <c r="L41" s="323" t="s">
        <v>179</v>
      </c>
      <c r="M41" s="324">
        <v>136</v>
      </c>
      <c r="N41" s="324">
        <v>136</v>
      </c>
      <c r="O41" s="324">
        <v>142</v>
      </c>
      <c r="P41" s="348">
        <v>2.6259999999999999</v>
      </c>
      <c r="Q41" s="325">
        <v>1580</v>
      </c>
      <c r="R41" s="325">
        <v>1730</v>
      </c>
      <c r="S41" s="285" t="s">
        <v>323</v>
      </c>
      <c r="T41" s="285" t="s">
        <v>280</v>
      </c>
      <c r="U41" s="286"/>
      <c r="V41" s="286"/>
      <c r="W41" s="285"/>
      <c r="Y41" s="310"/>
      <c r="Z41" s="310"/>
      <c r="AA41" s="310"/>
      <c r="AB41" s="310"/>
      <c r="AC41" s="310"/>
      <c r="AD41" s="310"/>
      <c r="AE41" s="310"/>
      <c r="AL41" s="310"/>
      <c r="AM41" s="310"/>
      <c r="AN41" s="310"/>
      <c r="AO41" s="310"/>
      <c r="AP41" s="310"/>
    </row>
    <row r="42" spans="2:42" s="119" customFormat="1" ht="16.5">
      <c r="B42" s="295">
        <v>19</v>
      </c>
      <c r="C42" s="296" t="s">
        <v>295</v>
      </c>
      <c r="D42" s="295"/>
      <c r="E42" s="300" t="s">
        <v>177</v>
      </c>
      <c r="F42" s="289"/>
      <c r="G42" s="305" t="s">
        <v>182</v>
      </c>
      <c r="H42" s="211" t="s">
        <v>178</v>
      </c>
      <c r="I42" s="295" t="s">
        <v>281</v>
      </c>
      <c r="J42" s="210">
        <v>25</v>
      </c>
      <c r="K42" s="304" t="s">
        <v>188</v>
      </c>
      <c r="L42" s="321"/>
      <c r="M42" s="322"/>
      <c r="N42" s="322"/>
      <c r="O42" s="322"/>
      <c r="P42" s="342"/>
      <c r="Q42" s="307">
        <v>1120.6896551724139</v>
      </c>
      <c r="R42" s="307"/>
      <c r="S42" s="212"/>
      <c r="T42" s="212"/>
      <c r="U42" s="311"/>
      <c r="V42" s="311" t="s">
        <v>207</v>
      </c>
      <c r="W42" s="212" t="s">
        <v>330</v>
      </c>
      <c r="Y42" s="118"/>
      <c r="Z42" s="118"/>
      <c r="AA42" s="118"/>
      <c r="AB42" s="118"/>
      <c r="AC42" s="118"/>
      <c r="AD42" s="118"/>
      <c r="AE42" s="118"/>
      <c r="AL42" s="118"/>
      <c r="AM42" s="118"/>
      <c r="AN42" s="118"/>
      <c r="AO42" s="118"/>
      <c r="AP42" s="118"/>
    </row>
    <row r="43" spans="2:42" s="119" customFormat="1" ht="16.5">
      <c r="B43" s="295">
        <v>20</v>
      </c>
      <c r="C43" s="296" t="s">
        <v>295</v>
      </c>
      <c r="D43" s="295"/>
      <c r="E43" s="300" t="s">
        <v>177</v>
      </c>
      <c r="F43" s="289"/>
      <c r="G43" s="305" t="s">
        <v>182</v>
      </c>
      <c r="H43" s="211" t="s">
        <v>178</v>
      </c>
      <c r="I43" s="295" t="s">
        <v>281</v>
      </c>
      <c r="J43" s="210">
        <v>4</v>
      </c>
      <c r="K43" s="304" t="s">
        <v>188</v>
      </c>
      <c r="L43" s="321"/>
      <c r="M43" s="322"/>
      <c r="N43" s="322"/>
      <c r="O43" s="322"/>
      <c r="P43" s="342"/>
      <c r="Q43" s="307">
        <v>179.31034482758622</v>
      </c>
      <c r="R43" s="307"/>
      <c r="S43" s="212"/>
      <c r="T43" s="212"/>
      <c r="U43" s="311"/>
      <c r="V43" s="311" t="s">
        <v>208</v>
      </c>
      <c r="W43" s="212" t="s">
        <v>330</v>
      </c>
      <c r="Y43" s="118"/>
      <c r="Z43" s="118"/>
      <c r="AA43" s="118"/>
      <c r="AB43" s="118"/>
      <c r="AC43" s="118"/>
      <c r="AD43" s="118"/>
      <c r="AE43" s="118"/>
      <c r="AL43" s="118"/>
      <c r="AM43" s="118"/>
      <c r="AN43" s="118"/>
      <c r="AO43" s="118"/>
      <c r="AP43" s="118"/>
    </row>
    <row r="44" spans="2:42" s="309" customFormat="1" ht="14.25">
      <c r="B44" s="435" t="s">
        <v>191</v>
      </c>
      <c r="C44" s="436"/>
      <c r="D44" s="436"/>
      <c r="E44" s="436"/>
      <c r="F44" s="436"/>
      <c r="G44" s="436"/>
      <c r="H44" s="436"/>
      <c r="I44" s="436"/>
      <c r="J44" s="436"/>
      <c r="K44" s="437"/>
      <c r="L44" s="323" t="s">
        <v>179</v>
      </c>
      <c r="M44" s="324">
        <v>136</v>
      </c>
      <c r="N44" s="324">
        <v>136</v>
      </c>
      <c r="O44" s="324">
        <v>142</v>
      </c>
      <c r="P44" s="348">
        <v>2.6259999999999999</v>
      </c>
      <c r="Q44" s="325">
        <v>1300</v>
      </c>
      <c r="R44" s="325">
        <v>1470</v>
      </c>
      <c r="S44" s="285" t="s">
        <v>323</v>
      </c>
      <c r="T44" s="285" t="s">
        <v>280</v>
      </c>
      <c r="U44" s="286"/>
      <c r="V44" s="286"/>
      <c r="W44" s="285"/>
      <c r="Y44" s="310"/>
      <c r="Z44" s="310">
        <f>Q44/29</f>
        <v>44.827586206896555</v>
      </c>
      <c r="AA44" s="310"/>
      <c r="AB44" s="310"/>
      <c r="AC44" s="310"/>
      <c r="AD44" s="310"/>
      <c r="AE44" s="310"/>
      <c r="AL44" s="310"/>
      <c r="AM44" s="310"/>
      <c r="AN44" s="310"/>
      <c r="AO44" s="310"/>
      <c r="AP44" s="310"/>
    </row>
    <row r="45" spans="2:42" s="119" customFormat="1" ht="16.5">
      <c r="B45" s="295">
        <v>21</v>
      </c>
      <c r="C45" s="296" t="s">
        <v>296</v>
      </c>
      <c r="D45" s="295"/>
      <c r="E45" s="300" t="s">
        <v>177</v>
      </c>
      <c r="F45" s="289"/>
      <c r="G45" s="305" t="s">
        <v>182</v>
      </c>
      <c r="H45" s="211" t="s">
        <v>178</v>
      </c>
      <c r="I45" s="295" t="s">
        <v>281</v>
      </c>
      <c r="J45" s="210">
        <v>17</v>
      </c>
      <c r="K45" s="304" t="s">
        <v>188</v>
      </c>
      <c r="L45" s="321"/>
      <c r="M45" s="322"/>
      <c r="N45" s="322"/>
      <c r="O45" s="322"/>
      <c r="P45" s="342"/>
      <c r="Q45" s="307">
        <v>595</v>
      </c>
      <c r="R45" s="307"/>
      <c r="S45" s="212"/>
      <c r="T45" s="212"/>
      <c r="U45" s="311"/>
      <c r="V45" s="311" t="s">
        <v>209</v>
      </c>
      <c r="W45" s="212" t="s">
        <v>330</v>
      </c>
      <c r="Y45" s="118"/>
      <c r="Z45" s="118"/>
      <c r="AA45" s="118"/>
      <c r="AB45" s="118"/>
      <c r="AC45" s="118"/>
      <c r="AD45" s="118"/>
      <c r="AE45" s="118"/>
      <c r="AL45" s="118"/>
      <c r="AM45" s="118"/>
      <c r="AN45" s="118"/>
      <c r="AO45" s="118"/>
      <c r="AP45" s="118"/>
    </row>
    <row r="46" spans="2:42" s="119" customFormat="1" ht="16.5">
      <c r="B46" s="295">
        <v>22</v>
      </c>
      <c r="C46" s="296" t="s">
        <v>296</v>
      </c>
      <c r="D46" s="295"/>
      <c r="E46" s="300" t="s">
        <v>177</v>
      </c>
      <c r="F46" s="289"/>
      <c r="G46" s="305" t="s">
        <v>182</v>
      </c>
      <c r="H46" s="211" t="s">
        <v>178</v>
      </c>
      <c r="I46" s="295" t="s">
        <v>281</v>
      </c>
      <c r="J46" s="210">
        <v>13</v>
      </c>
      <c r="K46" s="304" t="s">
        <v>188</v>
      </c>
      <c r="L46" s="321"/>
      <c r="M46" s="322"/>
      <c r="N46" s="322"/>
      <c r="O46" s="322"/>
      <c r="P46" s="342"/>
      <c r="Q46" s="307">
        <v>455</v>
      </c>
      <c r="R46" s="307"/>
      <c r="S46" s="212"/>
      <c r="T46" s="212"/>
      <c r="U46" s="311"/>
      <c r="V46" s="311" t="s">
        <v>210</v>
      </c>
      <c r="W46" s="212" t="s">
        <v>330</v>
      </c>
      <c r="Y46" s="118"/>
      <c r="Z46" s="118"/>
      <c r="AA46" s="118"/>
      <c r="AB46" s="118"/>
      <c r="AC46" s="118"/>
      <c r="AD46" s="118"/>
      <c r="AE46" s="118"/>
      <c r="AL46" s="118"/>
      <c r="AM46" s="118"/>
      <c r="AN46" s="118"/>
      <c r="AO46" s="118"/>
      <c r="AP46" s="118"/>
    </row>
    <row r="47" spans="2:42" s="309" customFormat="1" ht="14.25">
      <c r="B47" s="435" t="s">
        <v>191</v>
      </c>
      <c r="C47" s="436"/>
      <c r="D47" s="436"/>
      <c r="E47" s="436"/>
      <c r="F47" s="436"/>
      <c r="G47" s="436"/>
      <c r="H47" s="436"/>
      <c r="I47" s="436"/>
      <c r="J47" s="436"/>
      <c r="K47" s="437"/>
      <c r="L47" s="323" t="s">
        <v>179</v>
      </c>
      <c r="M47" s="324">
        <v>136</v>
      </c>
      <c r="N47" s="324">
        <v>136</v>
      </c>
      <c r="O47" s="324">
        <v>142</v>
      </c>
      <c r="P47" s="348">
        <v>2.6259999999999999</v>
      </c>
      <c r="Q47" s="325">
        <v>1050</v>
      </c>
      <c r="R47" s="325">
        <v>1230</v>
      </c>
      <c r="S47" s="285" t="s">
        <v>323</v>
      </c>
      <c r="T47" s="285" t="s">
        <v>280</v>
      </c>
      <c r="U47" s="286"/>
      <c r="V47" s="286"/>
      <c r="W47" s="285"/>
      <c r="Y47" s="310"/>
      <c r="Z47" s="310">
        <f>Q47/30</f>
        <v>35</v>
      </c>
      <c r="AA47" s="310"/>
      <c r="AB47" s="310"/>
      <c r="AC47" s="310"/>
      <c r="AD47" s="310"/>
      <c r="AE47" s="310"/>
      <c r="AL47" s="310"/>
      <c r="AM47" s="310"/>
      <c r="AN47" s="310"/>
      <c r="AO47" s="310"/>
      <c r="AP47" s="310"/>
    </row>
    <row r="48" spans="2:42" s="119" customFormat="1" ht="16.5">
      <c r="B48" s="295">
        <v>23</v>
      </c>
      <c r="C48" s="296" t="s">
        <v>297</v>
      </c>
      <c r="D48" s="295"/>
      <c r="E48" s="300" t="s">
        <v>350</v>
      </c>
      <c r="F48" s="289"/>
      <c r="G48" s="305" t="s">
        <v>211</v>
      </c>
      <c r="H48" s="211" t="s">
        <v>212</v>
      </c>
      <c r="I48" s="295" t="s">
        <v>281</v>
      </c>
      <c r="J48" s="210">
        <v>34</v>
      </c>
      <c r="K48" s="304" t="s">
        <v>188</v>
      </c>
      <c r="L48" s="321"/>
      <c r="M48" s="322"/>
      <c r="N48" s="322"/>
      <c r="O48" s="322"/>
      <c r="P48" s="342"/>
      <c r="Q48" s="307">
        <v>1150</v>
      </c>
      <c r="R48" s="307"/>
      <c r="S48" s="212"/>
      <c r="T48" s="311"/>
      <c r="U48" s="311"/>
      <c r="V48" s="311" t="s">
        <v>206</v>
      </c>
      <c r="W48" s="212" t="s">
        <v>330</v>
      </c>
      <c r="Y48" s="118"/>
      <c r="Z48" s="118"/>
      <c r="AA48" s="118"/>
      <c r="AB48" s="118"/>
      <c r="AC48" s="118"/>
      <c r="AD48" s="118"/>
      <c r="AE48" s="118"/>
      <c r="AL48" s="118"/>
      <c r="AM48" s="118"/>
      <c r="AN48" s="118"/>
      <c r="AO48" s="118"/>
      <c r="AP48" s="118"/>
    </row>
    <row r="49" spans="2:42" s="309" customFormat="1" ht="14.25">
      <c r="B49" s="435" t="s">
        <v>191</v>
      </c>
      <c r="C49" s="436"/>
      <c r="D49" s="436"/>
      <c r="E49" s="436"/>
      <c r="F49" s="436"/>
      <c r="G49" s="436"/>
      <c r="H49" s="436"/>
      <c r="I49" s="436"/>
      <c r="J49" s="436"/>
      <c r="K49" s="437"/>
      <c r="L49" s="323" t="s">
        <v>179</v>
      </c>
      <c r="M49" s="324">
        <v>136</v>
      </c>
      <c r="N49" s="324">
        <v>136</v>
      </c>
      <c r="O49" s="324">
        <v>158</v>
      </c>
      <c r="P49" s="348">
        <v>2.9220000000000002</v>
      </c>
      <c r="Q49" s="325">
        <v>1150</v>
      </c>
      <c r="R49" s="325">
        <v>1310</v>
      </c>
      <c r="S49" s="285" t="s">
        <v>323</v>
      </c>
      <c r="T49" s="285" t="s">
        <v>280</v>
      </c>
      <c r="U49" s="286"/>
      <c r="V49" s="286"/>
      <c r="W49" s="285"/>
      <c r="Y49" s="310"/>
      <c r="Z49" s="310"/>
      <c r="AA49" s="310"/>
      <c r="AB49" s="310"/>
      <c r="AC49" s="310"/>
      <c r="AD49" s="310"/>
      <c r="AE49" s="310"/>
      <c r="AL49" s="310"/>
      <c r="AM49" s="310"/>
      <c r="AN49" s="310"/>
      <c r="AO49" s="310"/>
      <c r="AP49" s="310"/>
    </row>
    <row r="50" spans="2:42" s="119" customFormat="1" ht="16.5">
      <c r="B50" s="295">
        <v>24</v>
      </c>
      <c r="C50" s="296" t="s">
        <v>298</v>
      </c>
      <c r="D50" s="295"/>
      <c r="E50" s="300" t="s">
        <v>350</v>
      </c>
      <c r="F50" s="289"/>
      <c r="G50" s="305" t="s">
        <v>211</v>
      </c>
      <c r="H50" s="211" t="s">
        <v>212</v>
      </c>
      <c r="I50" s="295" t="s">
        <v>281</v>
      </c>
      <c r="J50" s="210">
        <v>35</v>
      </c>
      <c r="K50" s="304" t="s">
        <v>188</v>
      </c>
      <c r="L50" s="321"/>
      <c r="M50" s="322"/>
      <c r="N50" s="322"/>
      <c r="O50" s="322"/>
      <c r="P50" s="342"/>
      <c r="Q50" s="307">
        <v>1730</v>
      </c>
      <c r="R50" s="307"/>
      <c r="S50" s="212"/>
      <c r="T50" s="311"/>
      <c r="U50" s="311"/>
      <c r="V50" s="311" t="s">
        <v>213</v>
      </c>
      <c r="W50" s="212" t="s">
        <v>330</v>
      </c>
      <c r="Y50" s="118"/>
      <c r="Z50" s="118"/>
      <c r="AA50" s="118"/>
      <c r="AB50" s="118"/>
      <c r="AC50" s="118"/>
      <c r="AD50" s="118"/>
      <c r="AE50" s="118"/>
      <c r="AL50" s="118"/>
      <c r="AM50" s="118"/>
      <c r="AN50" s="118"/>
      <c r="AO50" s="118"/>
      <c r="AP50" s="118"/>
    </row>
    <row r="51" spans="2:42" s="309" customFormat="1" ht="14.25">
      <c r="B51" s="435" t="s">
        <v>191</v>
      </c>
      <c r="C51" s="436"/>
      <c r="D51" s="436"/>
      <c r="E51" s="436"/>
      <c r="F51" s="436"/>
      <c r="G51" s="436"/>
      <c r="H51" s="436"/>
      <c r="I51" s="436"/>
      <c r="J51" s="436"/>
      <c r="K51" s="437"/>
      <c r="L51" s="323" t="s">
        <v>179</v>
      </c>
      <c r="M51" s="324">
        <v>136</v>
      </c>
      <c r="N51" s="324">
        <v>136</v>
      </c>
      <c r="O51" s="324">
        <v>158</v>
      </c>
      <c r="P51" s="348">
        <v>2.9220000000000002</v>
      </c>
      <c r="Q51" s="325">
        <v>1730</v>
      </c>
      <c r="R51" s="325">
        <v>1890</v>
      </c>
      <c r="S51" s="285" t="s">
        <v>323</v>
      </c>
      <c r="T51" s="285" t="s">
        <v>280</v>
      </c>
      <c r="U51" s="286"/>
      <c r="V51" s="286"/>
      <c r="W51" s="285"/>
      <c r="Y51" s="310"/>
      <c r="Z51" s="310"/>
      <c r="AA51" s="310"/>
      <c r="AB51" s="310"/>
      <c r="AC51" s="310"/>
      <c r="AD51" s="310"/>
      <c r="AE51" s="310"/>
      <c r="AL51" s="310"/>
      <c r="AM51" s="310"/>
      <c r="AN51" s="310"/>
      <c r="AO51" s="310"/>
      <c r="AP51" s="310"/>
    </row>
    <row r="52" spans="2:42" s="119" customFormat="1" ht="16.5">
      <c r="B52" s="295">
        <v>25</v>
      </c>
      <c r="C52" s="296" t="s">
        <v>299</v>
      </c>
      <c r="D52" s="295"/>
      <c r="E52" s="300" t="s">
        <v>350</v>
      </c>
      <c r="F52" s="289"/>
      <c r="G52" s="305" t="s">
        <v>211</v>
      </c>
      <c r="H52" s="211" t="s">
        <v>212</v>
      </c>
      <c r="I52" s="295" t="s">
        <v>281</v>
      </c>
      <c r="J52" s="210">
        <v>36</v>
      </c>
      <c r="K52" s="304" t="s">
        <v>188</v>
      </c>
      <c r="L52" s="321"/>
      <c r="M52" s="322"/>
      <c r="N52" s="322"/>
      <c r="O52" s="322"/>
      <c r="P52" s="342"/>
      <c r="Q52" s="307">
        <v>1780</v>
      </c>
      <c r="R52" s="307"/>
      <c r="S52" s="212"/>
      <c r="T52" s="311"/>
      <c r="U52" s="311"/>
      <c r="V52" s="311" t="s">
        <v>213</v>
      </c>
      <c r="W52" s="212" t="s">
        <v>330</v>
      </c>
      <c r="Y52" s="118"/>
      <c r="Z52" s="118"/>
      <c r="AA52" s="118"/>
      <c r="AB52" s="118"/>
      <c r="AC52" s="118"/>
      <c r="AD52" s="118"/>
      <c r="AE52" s="118"/>
      <c r="AL52" s="118"/>
      <c r="AM52" s="118"/>
      <c r="AN52" s="118"/>
      <c r="AO52" s="118"/>
      <c r="AP52" s="118"/>
    </row>
    <row r="53" spans="2:42" s="309" customFormat="1" ht="14.25">
      <c r="B53" s="435" t="s">
        <v>191</v>
      </c>
      <c r="C53" s="436"/>
      <c r="D53" s="436"/>
      <c r="E53" s="436"/>
      <c r="F53" s="436"/>
      <c r="G53" s="436"/>
      <c r="H53" s="436"/>
      <c r="I53" s="436"/>
      <c r="J53" s="436"/>
      <c r="K53" s="437"/>
      <c r="L53" s="323" t="s">
        <v>179</v>
      </c>
      <c r="M53" s="324">
        <v>136</v>
      </c>
      <c r="N53" s="324">
        <v>136</v>
      </c>
      <c r="O53" s="324">
        <v>158</v>
      </c>
      <c r="P53" s="348">
        <v>2.9220000000000002</v>
      </c>
      <c r="Q53" s="325">
        <v>1780</v>
      </c>
      <c r="R53" s="325">
        <v>1940</v>
      </c>
      <c r="S53" s="285" t="s">
        <v>323</v>
      </c>
      <c r="T53" s="285" t="s">
        <v>280</v>
      </c>
      <c r="U53" s="286"/>
      <c r="V53" s="286"/>
      <c r="W53" s="285"/>
      <c r="Y53" s="310"/>
      <c r="Z53" s="310"/>
      <c r="AA53" s="310"/>
      <c r="AB53" s="310"/>
      <c r="AC53" s="310"/>
      <c r="AD53" s="310"/>
      <c r="AE53" s="310"/>
      <c r="AL53" s="310"/>
      <c r="AM53" s="310"/>
      <c r="AN53" s="310"/>
      <c r="AO53" s="310"/>
      <c r="AP53" s="310"/>
    </row>
    <row r="54" spans="2:42" s="119" customFormat="1" ht="16.5">
      <c r="B54" s="295">
        <v>26</v>
      </c>
      <c r="C54" s="296" t="s">
        <v>300</v>
      </c>
      <c r="D54" s="295"/>
      <c r="E54" s="300" t="s">
        <v>350</v>
      </c>
      <c r="F54" s="289"/>
      <c r="G54" s="305" t="s">
        <v>211</v>
      </c>
      <c r="H54" s="211" t="s">
        <v>212</v>
      </c>
      <c r="I54" s="295" t="s">
        <v>281</v>
      </c>
      <c r="J54" s="210">
        <v>36</v>
      </c>
      <c r="K54" s="304" t="s">
        <v>188</v>
      </c>
      <c r="L54" s="321"/>
      <c r="M54" s="322"/>
      <c r="N54" s="322"/>
      <c r="O54" s="322"/>
      <c r="P54" s="342"/>
      <c r="Q54" s="307">
        <v>1780</v>
      </c>
      <c r="R54" s="307"/>
      <c r="S54" s="212"/>
      <c r="T54" s="311"/>
      <c r="U54" s="311"/>
      <c r="V54" s="311" t="s">
        <v>213</v>
      </c>
      <c r="W54" s="212" t="s">
        <v>330</v>
      </c>
      <c r="Y54" s="118"/>
      <c r="Z54" s="118"/>
      <c r="AA54" s="118"/>
      <c r="AB54" s="118"/>
      <c r="AC54" s="118"/>
      <c r="AD54" s="118"/>
      <c r="AE54" s="118"/>
      <c r="AL54" s="118"/>
      <c r="AM54" s="118"/>
      <c r="AN54" s="118"/>
      <c r="AO54" s="118"/>
      <c r="AP54" s="118"/>
    </row>
    <row r="55" spans="2:42" s="309" customFormat="1" ht="14.25">
      <c r="B55" s="435" t="s">
        <v>191</v>
      </c>
      <c r="C55" s="436"/>
      <c r="D55" s="436"/>
      <c r="E55" s="436"/>
      <c r="F55" s="436"/>
      <c r="G55" s="436"/>
      <c r="H55" s="436"/>
      <c r="I55" s="436"/>
      <c r="J55" s="436"/>
      <c r="K55" s="437"/>
      <c r="L55" s="323" t="s">
        <v>179</v>
      </c>
      <c r="M55" s="324">
        <v>136</v>
      </c>
      <c r="N55" s="324">
        <v>136</v>
      </c>
      <c r="O55" s="324">
        <v>158</v>
      </c>
      <c r="P55" s="348">
        <v>2.9220000000000002</v>
      </c>
      <c r="Q55" s="325">
        <v>1780</v>
      </c>
      <c r="R55" s="325">
        <v>1940</v>
      </c>
      <c r="S55" s="285" t="s">
        <v>323</v>
      </c>
      <c r="T55" s="285" t="s">
        <v>280</v>
      </c>
      <c r="U55" s="286"/>
      <c r="V55" s="286"/>
      <c r="W55" s="285"/>
      <c r="Y55" s="310"/>
      <c r="Z55" s="310"/>
      <c r="AA55" s="310"/>
      <c r="AB55" s="310"/>
      <c r="AC55" s="310"/>
      <c r="AD55" s="310"/>
      <c r="AE55" s="310"/>
      <c r="AL55" s="310"/>
      <c r="AM55" s="310"/>
      <c r="AN55" s="310"/>
      <c r="AO55" s="310"/>
      <c r="AP55" s="310"/>
    </row>
    <row r="56" spans="2:42" s="119" customFormat="1" ht="16.5">
      <c r="B56" s="295">
        <v>27</v>
      </c>
      <c r="C56" s="296" t="s">
        <v>301</v>
      </c>
      <c r="D56" s="295"/>
      <c r="E56" s="300" t="s">
        <v>177</v>
      </c>
      <c r="F56" s="289"/>
      <c r="G56" s="305" t="s">
        <v>182</v>
      </c>
      <c r="H56" s="211" t="s">
        <v>178</v>
      </c>
      <c r="I56" s="295" t="s">
        <v>281</v>
      </c>
      <c r="J56" s="210">
        <v>1</v>
      </c>
      <c r="K56" s="304" t="s">
        <v>214</v>
      </c>
      <c r="L56" s="321"/>
      <c r="M56" s="322"/>
      <c r="N56" s="322"/>
      <c r="O56" s="322"/>
      <c r="P56" s="342"/>
      <c r="Q56" s="307">
        <v>32.222222222222221</v>
      </c>
      <c r="R56" s="307"/>
      <c r="S56" s="212"/>
      <c r="T56" s="311"/>
      <c r="U56" s="311"/>
      <c r="V56" s="311" t="s">
        <v>215</v>
      </c>
      <c r="W56" s="212" t="s">
        <v>330</v>
      </c>
      <c r="Y56" s="118"/>
      <c r="Z56" s="118"/>
      <c r="AA56" s="118"/>
      <c r="AB56" s="118"/>
      <c r="AC56" s="118"/>
      <c r="AD56" s="118"/>
      <c r="AE56" s="118"/>
      <c r="AL56" s="118"/>
      <c r="AM56" s="118"/>
      <c r="AN56" s="118"/>
      <c r="AO56" s="118"/>
      <c r="AP56" s="118"/>
    </row>
    <row r="57" spans="2:42" s="119" customFormat="1" ht="16.5">
      <c r="B57" s="295">
        <v>28</v>
      </c>
      <c r="C57" s="296" t="s">
        <v>301</v>
      </c>
      <c r="D57" s="295"/>
      <c r="E57" s="300" t="s">
        <v>177</v>
      </c>
      <c r="F57" s="289"/>
      <c r="G57" s="305" t="s">
        <v>182</v>
      </c>
      <c r="H57" s="211" t="s">
        <v>178</v>
      </c>
      <c r="I57" s="295" t="s">
        <v>281</v>
      </c>
      <c r="J57" s="210">
        <v>1</v>
      </c>
      <c r="K57" s="304" t="s">
        <v>214</v>
      </c>
      <c r="L57" s="321"/>
      <c r="M57" s="322"/>
      <c r="N57" s="322"/>
      <c r="O57" s="322"/>
      <c r="P57" s="342"/>
      <c r="Q57" s="307">
        <v>32.222222222222221</v>
      </c>
      <c r="R57" s="307"/>
      <c r="S57" s="212"/>
      <c r="T57" s="311"/>
      <c r="U57" s="311"/>
      <c r="V57" s="311" t="s">
        <v>216</v>
      </c>
      <c r="W57" s="212" t="s">
        <v>330</v>
      </c>
      <c r="Y57" s="118"/>
      <c r="Z57" s="118"/>
      <c r="AA57" s="118"/>
      <c r="AB57" s="118"/>
      <c r="AC57" s="118"/>
      <c r="AD57" s="118"/>
      <c r="AE57" s="118"/>
      <c r="AL57" s="118"/>
      <c r="AM57" s="118"/>
      <c r="AN57" s="118"/>
      <c r="AO57" s="118"/>
      <c r="AP57" s="118"/>
    </row>
    <row r="58" spans="2:42" s="119" customFormat="1" ht="16.5">
      <c r="B58" s="295">
        <v>29</v>
      </c>
      <c r="C58" s="296" t="s">
        <v>301</v>
      </c>
      <c r="D58" s="295"/>
      <c r="E58" s="300" t="s">
        <v>177</v>
      </c>
      <c r="F58" s="289"/>
      <c r="G58" s="305" t="s">
        <v>182</v>
      </c>
      <c r="H58" s="211" t="s">
        <v>178</v>
      </c>
      <c r="I58" s="295" t="s">
        <v>281</v>
      </c>
      <c r="J58" s="210">
        <v>1</v>
      </c>
      <c r="K58" s="304" t="s">
        <v>214</v>
      </c>
      <c r="L58" s="321"/>
      <c r="M58" s="322"/>
      <c r="N58" s="322"/>
      <c r="O58" s="322"/>
      <c r="P58" s="342"/>
      <c r="Q58" s="307">
        <v>32.222222222222221</v>
      </c>
      <c r="R58" s="307"/>
      <c r="S58" s="212"/>
      <c r="T58" s="311"/>
      <c r="U58" s="311"/>
      <c r="V58" s="311" t="s">
        <v>217</v>
      </c>
      <c r="W58" s="212" t="s">
        <v>330</v>
      </c>
      <c r="Y58" s="118"/>
      <c r="Z58" s="118"/>
      <c r="AA58" s="118"/>
      <c r="AB58" s="118"/>
      <c r="AC58" s="118"/>
      <c r="AD58" s="118"/>
      <c r="AE58" s="118"/>
      <c r="AL58" s="118"/>
      <c r="AM58" s="118"/>
      <c r="AN58" s="118"/>
      <c r="AO58" s="118"/>
      <c r="AP58" s="118"/>
    </row>
    <row r="59" spans="2:42" s="119" customFormat="1" ht="16.5">
      <c r="B59" s="295">
        <v>30</v>
      </c>
      <c r="C59" s="296" t="s">
        <v>301</v>
      </c>
      <c r="D59" s="295"/>
      <c r="E59" s="300" t="s">
        <v>177</v>
      </c>
      <c r="F59" s="289"/>
      <c r="G59" s="305" t="s">
        <v>182</v>
      </c>
      <c r="H59" s="211" t="s">
        <v>178</v>
      </c>
      <c r="I59" s="295" t="s">
        <v>281</v>
      </c>
      <c r="J59" s="210">
        <v>2</v>
      </c>
      <c r="K59" s="304" t="s">
        <v>188</v>
      </c>
      <c r="L59" s="321"/>
      <c r="M59" s="322"/>
      <c r="N59" s="322"/>
      <c r="O59" s="322"/>
      <c r="P59" s="342"/>
      <c r="Q59" s="307">
        <v>64.444444444444443</v>
      </c>
      <c r="R59" s="307"/>
      <c r="S59" s="212"/>
      <c r="T59" s="311"/>
      <c r="U59" s="311"/>
      <c r="V59" s="311" t="s">
        <v>218</v>
      </c>
      <c r="W59" s="212" t="s">
        <v>330</v>
      </c>
      <c r="Y59" s="118"/>
      <c r="Z59" s="118"/>
      <c r="AA59" s="118"/>
      <c r="AB59" s="118"/>
      <c r="AC59" s="118"/>
      <c r="AD59" s="118"/>
      <c r="AE59" s="118"/>
      <c r="AL59" s="118"/>
      <c r="AM59" s="118"/>
      <c r="AN59" s="118"/>
      <c r="AO59" s="118"/>
      <c r="AP59" s="118"/>
    </row>
    <row r="60" spans="2:42" s="119" customFormat="1" ht="16.5">
      <c r="B60" s="295">
        <v>31</v>
      </c>
      <c r="C60" s="296" t="s">
        <v>301</v>
      </c>
      <c r="D60" s="295"/>
      <c r="E60" s="300" t="s">
        <v>177</v>
      </c>
      <c r="F60" s="289"/>
      <c r="G60" s="305" t="s">
        <v>182</v>
      </c>
      <c r="H60" s="211" t="s">
        <v>178</v>
      </c>
      <c r="I60" s="295" t="s">
        <v>281</v>
      </c>
      <c r="J60" s="210">
        <v>1</v>
      </c>
      <c r="K60" s="304" t="s">
        <v>214</v>
      </c>
      <c r="L60" s="321"/>
      <c r="M60" s="322"/>
      <c r="N60" s="322"/>
      <c r="O60" s="322"/>
      <c r="P60" s="342"/>
      <c r="Q60" s="307">
        <v>32.222222222222221</v>
      </c>
      <c r="R60" s="307"/>
      <c r="S60" s="212"/>
      <c r="T60" s="311"/>
      <c r="U60" s="311"/>
      <c r="V60" s="311" t="s">
        <v>219</v>
      </c>
      <c r="W60" s="212" t="s">
        <v>330</v>
      </c>
      <c r="Y60" s="118"/>
      <c r="Z60" s="118"/>
      <c r="AA60" s="118"/>
      <c r="AB60" s="118"/>
      <c r="AC60" s="118"/>
      <c r="AD60" s="118"/>
      <c r="AE60" s="118"/>
      <c r="AL60" s="118"/>
      <c r="AM60" s="118"/>
      <c r="AN60" s="118"/>
      <c r="AO60" s="118"/>
      <c r="AP60" s="118"/>
    </row>
    <row r="61" spans="2:42" s="119" customFormat="1" ht="16.5">
      <c r="B61" s="295">
        <v>32</v>
      </c>
      <c r="C61" s="296" t="s">
        <v>301</v>
      </c>
      <c r="D61" s="295"/>
      <c r="E61" s="300" t="s">
        <v>177</v>
      </c>
      <c r="F61" s="289"/>
      <c r="G61" s="305" t="s">
        <v>182</v>
      </c>
      <c r="H61" s="211" t="s">
        <v>178</v>
      </c>
      <c r="I61" s="295" t="s">
        <v>281</v>
      </c>
      <c r="J61" s="210">
        <v>1</v>
      </c>
      <c r="K61" s="304" t="s">
        <v>214</v>
      </c>
      <c r="L61" s="321"/>
      <c r="M61" s="322"/>
      <c r="N61" s="322"/>
      <c r="O61" s="322"/>
      <c r="P61" s="342"/>
      <c r="Q61" s="307">
        <v>32.222222222222221</v>
      </c>
      <c r="R61" s="307"/>
      <c r="S61" s="212"/>
      <c r="T61" s="311"/>
      <c r="U61" s="311"/>
      <c r="V61" s="311" t="s">
        <v>220</v>
      </c>
      <c r="W61" s="212" t="s">
        <v>330</v>
      </c>
      <c r="Y61" s="118"/>
      <c r="Z61" s="118"/>
      <c r="AA61" s="118"/>
      <c r="AB61" s="118"/>
      <c r="AC61" s="118"/>
      <c r="AD61" s="118"/>
      <c r="AE61" s="118"/>
      <c r="AL61" s="118"/>
      <c r="AM61" s="118"/>
      <c r="AN61" s="118"/>
      <c r="AO61" s="118"/>
      <c r="AP61" s="118"/>
    </row>
    <row r="62" spans="2:42" s="119" customFormat="1" ht="16.5">
      <c r="B62" s="295">
        <v>33</v>
      </c>
      <c r="C62" s="296" t="s">
        <v>301</v>
      </c>
      <c r="D62" s="295"/>
      <c r="E62" s="300" t="s">
        <v>177</v>
      </c>
      <c r="F62" s="289"/>
      <c r="G62" s="305" t="s">
        <v>182</v>
      </c>
      <c r="H62" s="211" t="s">
        <v>178</v>
      </c>
      <c r="I62" s="295" t="s">
        <v>281</v>
      </c>
      <c r="J62" s="210">
        <v>2</v>
      </c>
      <c r="K62" s="304" t="s">
        <v>188</v>
      </c>
      <c r="L62" s="321"/>
      <c r="M62" s="322"/>
      <c r="N62" s="322"/>
      <c r="O62" s="322"/>
      <c r="P62" s="342"/>
      <c r="Q62" s="307">
        <v>64.444444444444443</v>
      </c>
      <c r="R62" s="307"/>
      <c r="S62" s="212"/>
      <c r="T62" s="311"/>
      <c r="U62" s="311"/>
      <c r="V62" s="311" t="s">
        <v>221</v>
      </c>
      <c r="W62" s="212" t="s">
        <v>330</v>
      </c>
      <c r="Y62" s="118"/>
      <c r="Z62" s="118"/>
      <c r="AA62" s="118"/>
      <c r="AB62" s="118"/>
      <c r="AC62" s="118"/>
      <c r="AD62" s="118"/>
      <c r="AE62" s="118"/>
      <c r="AL62" s="118"/>
      <c r="AM62" s="118"/>
      <c r="AN62" s="118"/>
      <c r="AO62" s="118"/>
      <c r="AP62" s="118"/>
    </row>
    <row r="63" spans="2:42" s="309" customFormat="1" ht="14.25">
      <c r="B63" s="435" t="s">
        <v>191</v>
      </c>
      <c r="C63" s="436"/>
      <c r="D63" s="436"/>
      <c r="E63" s="436"/>
      <c r="F63" s="436"/>
      <c r="G63" s="436"/>
      <c r="H63" s="436"/>
      <c r="I63" s="436"/>
      <c r="J63" s="436"/>
      <c r="K63" s="437"/>
      <c r="L63" s="323" t="s">
        <v>179</v>
      </c>
      <c r="M63" s="324">
        <v>245</v>
      </c>
      <c r="N63" s="324">
        <v>67</v>
      </c>
      <c r="O63" s="324">
        <v>65</v>
      </c>
      <c r="P63" s="348">
        <v>1.0669999999999999</v>
      </c>
      <c r="Q63" s="325">
        <v>290</v>
      </c>
      <c r="R63" s="325">
        <v>370</v>
      </c>
      <c r="S63" s="285" t="s">
        <v>323</v>
      </c>
      <c r="T63" s="285" t="s">
        <v>280</v>
      </c>
      <c r="U63" s="286"/>
      <c r="V63" s="286"/>
      <c r="W63" s="285"/>
      <c r="Y63" s="310"/>
      <c r="Z63" s="310">
        <f>Q63/9</f>
        <v>32.222222222222221</v>
      </c>
      <c r="AA63" s="310"/>
      <c r="AB63" s="310"/>
      <c r="AC63" s="310"/>
      <c r="AD63" s="310"/>
      <c r="AE63" s="310"/>
      <c r="AL63" s="310"/>
      <c r="AM63" s="310"/>
      <c r="AN63" s="310"/>
      <c r="AO63" s="310"/>
      <c r="AP63" s="310"/>
    </row>
    <row r="64" spans="2:42" s="119" customFormat="1" ht="16.5">
      <c r="B64" s="295">
        <v>34</v>
      </c>
      <c r="C64" s="296" t="s">
        <v>302</v>
      </c>
      <c r="D64" s="295"/>
      <c r="E64" s="300" t="s">
        <v>352</v>
      </c>
      <c r="F64" s="289"/>
      <c r="G64" s="305" t="s">
        <v>182</v>
      </c>
      <c r="H64" s="211" t="s">
        <v>178</v>
      </c>
      <c r="I64" s="295" t="s">
        <v>281</v>
      </c>
      <c r="J64" s="210">
        <v>5</v>
      </c>
      <c r="K64" s="304" t="s">
        <v>188</v>
      </c>
      <c r="L64" s="321"/>
      <c r="M64" s="322"/>
      <c r="N64" s="322"/>
      <c r="O64" s="322"/>
      <c r="P64" s="342"/>
      <c r="Q64" s="307">
        <v>175</v>
      </c>
      <c r="R64" s="307"/>
      <c r="S64" s="212"/>
      <c r="T64" s="311"/>
      <c r="U64" s="311"/>
      <c r="V64" s="311" t="s">
        <v>222</v>
      </c>
      <c r="W64" s="212" t="s">
        <v>330</v>
      </c>
      <c r="Y64" s="118"/>
      <c r="Z64" s="118"/>
      <c r="AA64" s="118"/>
      <c r="AB64" s="118"/>
      <c r="AC64" s="118"/>
      <c r="AD64" s="118"/>
      <c r="AE64" s="118"/>
      <c r="AL64" s="118"/>
      <c r="AM64" s="118"/>
      <c r="AN64" s="118"/>
      <c r="AO64" s="118"/>
      <c r="AP64" s="118"/>
    </row>
    <row r="65" spans="2:42" s="119" customFormat="1" ht="16.5">
      <c r="B65" s="295">
        <v>35</v>
      </c>
      <c r="C65" s="296" t="s">
        <v>302</v>
      </c>
      <c r="D65" s="295"/>
      <c r="E65" s="300" t="s">
        <v>354</v>
      </c>
      <c r="F65" s="289"/>
      <c r="G65" s="305" t="s">
        <v>182</v>
      </c>
      <c r="H65" s="211" t="s">
        <v>178</v>
      </c>
      <c r="I65" s="295" t="s">
        <v>281</v>
      </c>
      <c r="J65" s="210">
        <v>5</v>
      </c>
      <c r="K65" s="304" t="s">
        <v>226</v>
      </c>
      <c r="L65" s="321"/>
      <c r="M65" s="322"/>
      <c r="N65" s="322"/>
      <c r="O65" s="322"/>
      <c r="P65" s="342"/>
      <c r="Q65" s="307">
        <v>175</v>
      </c>
      <c r="R65" s="307"/>
      <c r="S65" s="212"/>
      <c r="T65" s="311"/>
      <c r="U65" s="311"/>
      <c r="V65" s="311" t="s">
        <v>223</v>
      </c>
      <c r="W65" s="212" t="s">
        <v>330</v>
      </c>
      <c r="Y65" s="118"/>
      <c r="Z65" s="118"/>
      <c r="AA65" s="118"/>
      <c r="AB65" s="118"/>
      <c r="AC65" s="118"/>
      <c r="AD65" s="118"/>
      <c r="AE65" s="118"/>
      <c r="AL65" s="118"/>
      <c r="AM65" s="118"/>
      <c r="AN65" s="118"/>
      <c r="AO65" s="118"/>
      <c r="AP65" s="118"/>
    </row>
    <row r="66" spans="2:42" s="119" customFormat="1" ht="16.5">
      <c r="B66" s="295">
        <v>36</v>
      </c>
      <c r="C66" s="296" t="s">
        <v>302</v>
      </c>
      <c r="D66" s="295"/>
      <c r="E66" s="227" t="s">
        <v>356</v>
      </c>
      <c r="F66" s="289"/>
      <c r="G66" s="305" t="s">
        <v>182</v>
      </c>
      <c r="H66" s="211" t="s">
        <v>178</v>
      </c>
      <c r="I66" s="295" t="s">
        <v>281</v>
      </c>
      <c r="J66" s="210">
        <v>5</v>
      </c>
      <c r="K66" s="304" t="s">
        <v>226</v>
      </c>
      <c r="L66" s="321"/>
      <c r="M66" s="322"/>
      <c r="N66" s="322"/>
      <c r="O66" s="322"/>
      <c r="P66" s="342"/>
      <c r="Q66" s="307">
        <v>175</v>
      </c>
      <c r="R66" s="307"/>
      <c r="S66" s="212"/>
      <c r="T66" s="311"/>
      <c r="U66" s="311"/>
      <c r="V66" s="311" t="s">
        <v>224</v>
      </c>
      <c r="W66" s="212" t="s">
        <v>330</v>
      </c>
      <c r="Y66" s="118"/>
      <c r="Z66" s="118"/>
      <c r="AA66" s="118"/>
      <c r="AB66" s="118"/>
      <c r="AC66" s="118"/>
      <c r="AD66" s="118"/>
      <c r="AE66" s="118"/>
      <c r="AL66" s="118"/>
      <c r="AM66" s="118"/>
      <c r="AN66" s="118"/>
      <c r="AO66" s="118"/>
      <c r="AP66" s="118"/>
    </row>
    <row r="67" spans="2:42" s="119" customFormat="1" ht="16.5">
      <c r="B67" s="295">
        <v>37</v>
      </c>
      <c r="C67" s="296" t="s">
        <v>302</v>
      </c>
      <c r="D67" s="295"/>
      <c r="E67" s="227" t="s">
        <v>233</v>
      </c>
      <c r="F67" s="289"/>
      <c r="G67" s="305" t="s">
        <v>182</v>
      </c>
      <c r="H67" s="211" t="s">
        <v>178</v>
      </c>
      <c r="I67" s="295" t="s">
        <v>281</v>
      </c>
      <c r="J67" s="210">
        <v>5</v>
      </c>
      <c r="K67" s="304" t="s">
        <v>226</v>
      </c>
      <c r="L67" s="321"/>
      <c r="M67" s="322"/>
      <c r="N67" s="322"/>
      <c r="O67" s="322"/>
      <c r="P67" s="342"/>
      <c r="Q67" s="307">
        <v>175</v>
      </c>
      <c r="R67" s="307"/>
      <c r="S67" s="212"/>
      <c r="T67" s="311"/>
      <c r="U67" s="311"/>
      <c r="V67" s="311" t="s">
        <v>225</v>
      </c>
      <c r="W67" s="212" t="s">
        <v>330</v>
      </c>
      <c r="Y67" s="118"/>
      <c r="Z67" s="118"/>
      <c r="AA67" s="118"/>
      <c r="AB67" s="118"/>
      <c r="AC67" s="118"/>
      <c r="AD67" s="118"/>
      <c r="AE67" s="118"/>
      <c r="AL67" s="118"/>
      <c r="AM67" s="118"/>
      <c r="AN67" s="118"/>
      <c r="AO67" s="118"/>
      <c r="AP67" s="118"/>
    </row>
    <row r="68" spans="2:42" s="309" customFormat="1" ht="14.25">
      <c r="B68" s="435" t="s">
        <v>191</v>
      </c>
      <c r="C68" s="436"/>
      <c r="D68" s="436"/>
      <c r="E68" s="436"/>
      <c r="F68" s="436"/>
      <c r="G68" s="436"/>
      <c r="H68" s="436"/>
      <c r="I68" s="436"/>
      <c r="J68" s="436"/>
      <c r="K68" s="437"/>
      <c r="L68" s="323" t="s">
        <v>179</v>
      </c>
      <c r="M68" s="324">
        <v>245</v>
      </c>
      <c r="N68" s="324">
        <v>124</v>
      </c>
      <c r="O68" s="324">
        <v>69</v>
      </c>
      <c r="P68" s="348">
        <v>2.0960000000000001</v>
      </c>
      <c r="Q68" s="325">
        <v>700</v>
      </c>
      <c r="R68" s="325">
        <v>860</v>
      </c>
      <c r="S68" s="285" t="s">
        <v>323</v>
      </c>
      <c r="T68" s="285" t="s">
        <v>280</v>
      </c>
      <c r="U68" s="286"/>
      <c r="V68" s="286"/>
      <c r="W68" s="285"/>
      <c r="Y68" s="310"/>
      <c r="Z68" s="310">
        <f>Q68/20</f>
        <v>35</v>
      </c>
      <c r="AA68" s="310"/>
      <c r="AB68" s="310"/>
      <c r="AC68" s="310"/>
      <c r="AD68" s="310"/>
      <c r="AE68" s="310"/>
      <c r="AL68" s="310"/>
      <c r="AM68" s="310"/>
      <c r="AN68" s="310"/>
      <c r="AO68" s="310"/>
      <c r="AP68" s="310"/>
    </row>
    <row r="69" spans="2:42" s="119" customFormat="1" ht="16.5">
      <c r="B69" s="295">
        <v>38</v>
      </c>
      <c r="C69" s="296" t="s">
        <v>303</v>
      </c>
      <c r="D69" s="295"/>
      <c r="E69" s="336" t="s">
        <v>353</v>
      </c>
      <c r="F69" s="289"/>
      <c r="G69" s="305" t="s">
        <v>182</v>
      </c>
      <c r="H69" s="211" t="s">
        <v>178</v>
      </c>
      <c r="I69" s="295" t="s">
        <v>281</v>
      </c>
      <c r="J69" s="210">
        <v>5</v>
      </c>
      <c r="K69" s="304" t="s">
        <v>188</v>
      </c>
      <c r="L69" s="321"/>
      <c r="M69" s="322"/>
      <c r="N69" s="322"/>
      <c r="O69" s="322"/>
      <c r="P69" s="342"/>
      <c r="Q69" s="307">
        <v>175</v>
      </c>
      <c r="R69" s="307"/>
      <c r="S69" s="212"/>
      <c r="T69" s="311"/>
      <c r="U69" s="311"/>
      <c r="V69" s="311" t="s">
        <v>222</v>
      </c>
      <c r="W69" s="212" t="s">
        <v>330</v>
      </c>
      <c r="Y69" s="118"/>
      <c r="Z69" s="118"/>
      <c r="AA69" s="118"/>
      <c r="AB69" s="118"/>
      <c r="AC69" s="118"/>
      <c r="AD69" s="118"/>
      <c r="AE69" s="118"/>
      <c r="AL69" s="118"/>
      <c r="AM69" s="118"/>
      <c r="AN69" s="118"/>
      <c r="AO69" s="118"/>
      <c r="AP69" s="118"/>
    </row>
    <row r="70" spans="2:42" s="119" customFormat="1" ht="16.5">
      <c r="B70" s="295">
        <v>39</v>
      </c>
      <c r="C70" s="296" t="s">
        <v>303</v>
      </c>
      <c r="D70" s="295"/>
      <c r="E70" s="336" t="s">
        <v>355</v>
      </c>
      <c r="F70" s="289"/>
      <c r="G70" s="305" t="s">
        <v>182</v>
      </c>
      <c r="H70" s="211" t="s">
        <v>178</v>
      </c>
      <c r="I70" s="295" t="s">
        <v>281</v>
      </c>
      <c r="J70" s="210">
        <v>5</v>
      </c>
      <c r="K70" s="304" t="s">
        <v>226</v>
      </c>
      <c r="L70" s="321"/>
      <c r="M70" s="322"/>
      <c r="N70" s="322"/>
      <c r="O70" s="322"/>
      <c r="P70" s="342"/>
      <c r="Q70" s="307">
        <v>175</v>
      </c>
      <c r="R70" s="307"/>
      <c r="S70" s="212"/>
      <c r="T70" s="311"/>
      <c r="U70" s="311"/>
      <c r="V70" s="311" t="s">
        <v>223</v>
      </c>
      <c r="W70" s="212" t="s">
        <v>330</v>
      </c>
      <c r="Y70" s="118"/>
      <c r="Z70" s="118"/>
      <c r="AA70" s="118"/>
      <c r="AB70" s="118"/>
      <c r="AC70" s="118"/>
      <c r="AD70" s="118"/>
      <c r="AE70" s="118"/>
      <c r="AL70" s="118"/>
      <c r="AM70" s="118"/>
      <c r="AN70" s="118"/>
      <c r="AO70" s="118"/>
      <c r="AP70" s="118"/>
    </row>
    <row r="71" spans="2:42" s="119" customFormat="1" ht="16.5">
      <c r="B71" s="295">
        <v>40</v>
      </c>
      <c r="C71" s="296" t="s">
        <v>303</v>
      </c>
      <c r="D71" s="295"/>
      <c r="E71" s="336" t="s">
        <v>357</v>
      </c>
      <c r="F71" s="289"/>
      <c r="G71" s="305" t="s">
        <v>182</v>
      </c>
      <c r="H71" s="211" t="s">
        <v>178</v>
      </c>
      <c r="I71" s="295" t="s">
        <v>281</v>
      </c>
      <c r="J71" s="210">
        <v>5</v>
      </c>
      <c r="K71" s="304" t="s">
        <v>226</v>
      </c>
      <c r="L71" s="321"/>
      <c r="M71" s="322"/>
      <c r="N71" s="322"/>
      <c r="O71" s="322"/>
      <c r="P71" s="342"/>
      <c r="Q71" s="307">
        <v>175</v>
      </c>
      <c r="R71" s="307"/>
      <c r="S71" s="212"/>
      <c r="T71" s="311"/>
      <c r="U71" s="311"/>
      <c r="V71" s="311" t="s">
        <v>224</v>
      </c>
      <c r="W71" s="212" t="s">
        <v>330</v>
      </c>
      <c r="Y71" s="118"/>
      <c r="Z71" s="118"/>
      <c r="AA71" s="118"/>
      <c r="AB71" s="118"/>
      <c r="AC71" s="118"/>
      <c r="AD71" s="118"/>
      <c r="AE71" s="118"/>
      <c r="AL71" s="118"/>
      <c r="AM71" s="118"/>
      <c r="AN71" s="118"/>
      <c r="AO71" s="118"/>
      <c r="AP71" s="118"/>
    </row>
    <row r="72" spans="2:42" s="119" customFormat="1" ht="16.5">
      <c r="B72" s="295">
        <v>41</v>
      </c>
      <c r="C72" s="296" t="s">
        <v>303</v>
      </c>
      <c r="D72" s="295"/>
      <c r="E72" s="336" t="s">
        <v>358</v>
      </c>
      <c r="F72" s="289"/>
      <c r="G72" s="305" t="s">
        <v>182</v>
      </c>
      <c r="H72" s="211" t="s">
        <v>178</v>
      </c>
      <c r="I72" s="295" t="s">
        <v>281</v>
      </c>
      <c r="J72" s="210">
        <v>5</v>
      </c>
      <c r="K72" s="304" t="s">
        <v>226</v>
      </c>
      <c r="L72" s="321"/>
      <c r="M72" s="322"/>
      <c r="N72" s="322"/>
      <c r="O72" s="322"/>
      <c r="P72" s="342"/>
      <c r="Q72" s="307">
        <v>175</v>
      </c>
      <c r="R72" s="307"/>
      <c r="S72" s="212"/>
      <c r="T72" s="311"/>
      <c r="U72" s="311"/>
      <c r="V72" s="311" t="s">
        <v>225</v>
      </c>
      <c r="W72" s="212" t="s">
        <v>330</v>
      </c>
      <c r="Y72" s="118"/>
      <c r="Z72" s="118"/>
      <c r="AA72" s="118"/>
      <c r="AB72" s="118"/>
      <c r="AC72" s="118"/>
      <c r="AD72" s="118"/>
      <c r="AE72" s="118"/>
      <c r="AL72" s="118"/>
      <c r="AM72" s="118"/>
      <c r="AN72" s="118"/>
      <c r="AO72" s="118"/>
      <c r="AP72" s="118"/>
    </row>
    <row r="73" spans="2:42" s="309" customFormat="1" ht="14.25">
      <c r="B73" s="435" t="s">
        <v>191</v>
      </c>
      <c r="C73" s="436"/>
      <c r="D73" s="436"/>
      <c r="E73" s="436"/>
      <c r="F73" s="436"/>
      <c r="G73" s="436"/>
      <c r="H73" s="436"/>
      <c r="I73" s="436"/>
      <c r="J73" s="436"/>
      <c r="K73" s="437"/>
      <c r="L73" s="323" t="s">
        <v>179</v>
      </c>
      <c r="M73" s="324">
        <v>245</v>
      </c>
      <c r="N73" s="324">
        <v>124</v>
      </c>
      <c r="O73" s="324">
        <v>69</v>
      </c>
      <c r="P73" s="348">
        <v>2.0960000000000001</v>
      </c>
      <c r="Q73" s="325">
        <v>700</v>
      </c>
      <c r="R73" s="325">
        <v>860</v>
      </c>
      <c r="S73" s="285" t="s">
        <v>323</v>
      </c>
      <c r="T73" s="285" t="s">
        <v>280</v>
      </c>
      <c r="U73" s="286"/>
      <c r="V73" s="286"/>
      <c r="W73" s="285"/>
      <c r="Y73" s="310"/>
      <c r="Z73" s="310">
        <f>Q73/20</f>
        <v>35</v>
      </c>
      <c r="AA73" s="310"/>
      <c r="AB73" s="310"/>
      <c r="AC73" s="310"/>
      <c r="AD73" s="310"/>
      <c r="AE73" s="310"/>
      <c r="AL73" s="310"/>
      <c r="AM73" s="310"/>
      <c r="AN73" s="310"/>
      <c r="AO73" s="310"/>
      <c r="AP73" s="310"/>
    </row>
    <row r="74" spans="2:42" s="119" customFormat="1" ht="16.5">
      <c r="B74" s="295">
        <v>42</v>
      </c>
      <c r="C74" s="296" t="s">
        <v>304</v>
      </c>
      <c r="D74" s="295"/>
      <c r="E74" s="300" t="s">
        <v>352</v>
      </c>
      <c r="F74" s="289"/>
      <c r="G74" s="305" t="s">
        <v>182</v>
      </c>
      <c r="H74" s="211" t="s">
        <v>178</v>
      </c>
      <c r="I74" s="295" t="s">
        <v>281</v>
      </c>
      <c r="J74" s="210">
        <v>5</v>
      </c>
      <c r="K74" s="304" t="s">
        <v>188</v>
      </c>
      <c r="L74" s="321"/>
      <c r="M74" s="322"/>
      <c r="N74" s="322"/>
      <c r="O74" s="322"/>
      <c r="P74" s="342"/>
      <c r="Q74" s="307">
        <v>175</v>
      </c>
      <c r="R74" s="307"/>
      <c r="S74" s="212"/>
      <c r="T74" s="311"/>
      <c r="U74" s="311"/>
      <c r="V74" s="311" t="s">
        <v>222</v>
      </c>
      <c r="W74" s="212" t="s">
        <v>330</v>
      </c>
      <c r="Y74" s="118"/>
      <c r="Z74" s="118"/>
      <c r="AA74" s="118"/>
      <c r="AB74" s="118"/>
      <c r="AC74" s="118"/>
      <c r="AD74" s="118"/>
      <c r="AE74" s="118"/>
      <c r="AL74" s="118"/>
      <c r="AM74" s="118"/>
      <c r="AN74" s="118"/>
      <c r="AO74" s="118"/>
      <c r="AP74" s="118"/>
    </row>
    <row r="75" spans="2:42" s="119" customFormat="1" ht="16.5">
      <c r="B75" s="295">
        <v>43</v>
      </c>
      <c r="C75" s="296" t="s">
        <v>304</v>
      </c>
      <c r="D75" s="295"/>
      <c r="E75" s="300" t="s">
        <v>354</v>
      </c>
      <c r="F75" s="289"/>
      <c r="G75" s="305" t="s">
        <v>182</v>
      </c>
      <c r="H75" s="211" t="s">
        <v>178</v>
      </c>
      <c r="I75" s="295" t="s">
        <v>281</v>
      </c>
      <c r="J75" s="210">
        <v>5</v>
      </c>
      <c r="K75" s="304" t="s">
        <v>226</v>
      </c>
      <c r="L75" s="321"/>
      <c r="M75" s="322"/>
      <c r="N75" s="322"/>
      <c r="O75" s="322"/>
      <c r="P75" s="342"/>
      <c r="Q75" s="307">
        <v>175</v>
      </c>
      <c r="R75" s="307"/>
      <c r="S75" s="212"/>
      <c r="T75" s="311"/>
      <c r="U75" s="311"/>
      <c r="V75" s="311" t="s">
        <v>223</v>
      </c>
      <c r="W75" s="212" t="s">
        <v>330</v>
      </c>
      <c r="Y75" s="118"/>
      <c r="Z75" s="118"/>
      <c r="AA75" s="118"/>
      <c r="AB75" s="118"/>
      <c r="AC75" s="118"/>
      <c r="AD75" s="118"/>
      <c r="AE75" s="118"/>
      <c r="AL75" s="118"/>
      <c r="AM75" s="118"/>
      <c r="AN75" s="118"/>
      <c r="AO75" s="118"/>
      <c r="AP75" s="118"/>
    </row>
    <row r="76" spans="2:42" s="119" customFormat="1" ht="16.5">
      <c r="B76" s="295">
        <v>44</v>
      </c>
      <c r="C76" s="296" t="s">
        <v>304</v>
      </c>
      <c r="D76" s="295"/>
      <c r="E76" s="227" t="s">
        <v>356</v>
      </c>
      <c r="F76" s="289"/>
      <c r="G76" s="305" t="s">
        <v>182</v>
      </c>
      <c r="H76" s="211" t="s">
        <v>178</v>
      </c>
      <c r="I76" s="295" t="s">
        <v>281</v>
      </c>
      <c r="J76" s="210">
        <v>5</v>
      </c>
      <c r="K76" s="304" t="s">
        <v>226</v>
      </c>
      <c r="L76" s="321"/>
      <c r="M76" s="322"/>
      <c r="N76" s="322"/>
      <c r="O76" s="322"/>
      <c r="P76" s="342"/>
      <c r="Q76" s="307">
        <v>175</v>
      </c>
      <c r="R76" s="307"/>
      <c r="S76" s="212"/>
      <c r="T76" s="311"/>
      <c r="U76" s="311"/>
      <c r="V76" s="311" t="s">
        <v>224</v>
      </c>
      <c r="W76" s="212" t="s">
        <v>330</v>
      </c>
      <c r="Y76" s="118"/>
      <c r="Z76" s="118"/>
      <c r="AA76" s="118"/>
      <c r="AB76" s="118"/>
      <c r="AC76" s="118"/>
      <c r="AD76" s="118"/>
      <c r="AE76" s="118"/>
      <c r="AL76" s="118"/>
      <c r="AM76" s="118"/>
      <c r="AN76" s="118"/>
      <c r="AO76" s="118"/>
      <c r="AP76" s="118"/>
    </row>
    <row r="77" spans="2:42" s="119" customFormat="1" ht="16.5">
      <c r="B77" s="295">
        <v>45</v>
      </c>
      <c r="C77" s="296" t="s">
        <v>304</v>
      </c>
      <c r="D77" s="295"/>
      <c r="E77" s="227" t="s">
        <v>233</v>
      </c>
      <c r="F77" s="289"/>
      <c r="G77" s="305" t="s">
        <v>182</v>
      </c>
      <c r="H77" s="211" t="s">
        <v>178</v>
      </c>
      <c r="I77" s="295" t="s">
        <v>281</v>
      </c>
      <c r="J77" s="210">
        <v>5</v>
      </c>
      <c r="K77" s="304" t="s">
        <v>226</v>
      </c>
      <c r="L77" s="321"/>
      <c r="M77" s="322"/>
      <c r="N77" s="322"/>
      <c r="O77" s="322"/>
      <c r="P77" s="342"/>
      <c r="Q77" s="307">
        <v>175</v>
      </c>
      <c r="R77" s="307"/>
      <c r="S77" s="212"/>
      <c r="T77" s="311"/>
      <c r="U77" s="311"/>
      <c r="V77" s="311" t="s">
        <v>225</v>
      </c>
      <c r="W77" s="212" t="s">
        <v>330</v>
      </c>
      <c r="Y77" s="118"/>
      <c r="Z77" s="118"/>
      <c r="AA77" s="118"/>
      <c r="AB77" s="118"/>
      <c r="AC77" s="118"/>
      <c r="AD77" s="118"/>
      <c r="AE77" s="118"/>
      <c r="AL77" s="118"/>
      <c r="AM77" s="118"/>
      <c r="AN77" s="118"/>
      <c r="AO77" s="118"/>
      <c r="AP77" s="118"/>
    </row>
    <row r="78" spans="2:42" s="309" customFormat="1" ht="14.25">
      <c r="B78" s="435" t="s">
        <v>191</v>
      </c>
      <c r="C78" s="436"/>
      <c r="D78" s="436"/>
      <c r="E78" s="436"/>
      <c r="F78" s="436"/>
      <c r="G78" s="436"/>
      <c r="H78" s="436"/>
      <c r="I78" s="436"/>
      <c r="J78" s="436"/>
      <c r="K78" s="437"/>
      <c r="L78" s="323" t="s">
        <v>179</v>
      </c>
      <c r="M78" s="324">
        <v>245</v>
      </c>
      <c r="N78" s="324">
        <v>124</v>
      </c>
      <c r="O78" s="324">
        <v>69</v>
      </c>
      <c r="P78" s="348">
        <v>2.0960000000000001</v>
      </c>
      <c r="Q78" s="325">
        <v>700</v>
      </c>
      <c r="R78" s="325">
        <v>860</v>
      </c>
      <c r="S78" s="285" t="s">
        <v>323</v>
      </c>
      <c r="T78" s="285" t="s">
        <v>280</v>
      </c>
      <c r="U78" s="286"/>
      <c r="V78" s="286"/>
      <c r="W78" s="285"/>
      <c r="Y78" s="310"/>
      <c r="Z78" s="310">
        <f>Q78/20</f>
        <v>35</v>
      </c>
      <c r="AA78" s="310"/>
      <c r="AB78" s="310"/>
      <c r="AC78" s="310"/>
      <c r="AD78" s="310"/>
      <c r="AE78" s="310"/>
      <c r="AL78" s="310"/>
      <c r="AM78" s="310"/>
      <c r="AN78" s="310"/>
      <c r="AO78" s="310"/>
      <c r="AP78" s="310"/>
    </row>
    <row r="79" spans="2:42" s="119" customFormat="1" ht="16.5">
      <c r="B79" s="295">
        <v>46</v>
      </c>
      <c r="C79" s="296" t="s">
        <v>305</v>
      </c>
      <c r="D79" s="295"/>
      <c r="E79" s="300" t="s">
        <v>352</v>
      </c>
      <c r="F79" s="289"/>
      <c r="G79" s="305" t="s">
        <v>182</v>
      </c>
      <c r="H79" s="211" t="s">
        <v>178</v>
      </c>
      <c r="I79" s="295" t="s">
        <v>281</v>
      </c>
      <c r="J79" s="210">
        <v>5</v>
      </c>
      <c r="K79" s="304" t="s">
        <v>188</v>
      </c>
      <c r="L79" s="321"/>
      <c r="M79" s="322"/>
      <c r="N79" s="322"/>
      <c r="O79" s="322"/>
      <c r="P79" s="342"/>
      <c r="Q79" s="307">
        <v>175</v>
      </c>
      <c r="R79" s="307"/>
      <c r="S79" s="212"/>
      <c r="T79" s="311"/>
      <c r="U79" s="311"/>
      <c r="V79" s="311" t="s">
        <v>222</v>
      </c>
      <c r="W79" s="212" t="s">
        <v>330</v>
      </c>
      <c r="Y79" s="118"/>
      <c r="Z79" s="118"/>
      <c r="AA79" s="118"/>
      <c r="AB79" s="118"/>
      <c r="AC79" s="118"/>
      <c r="AD79" s="118"/>
      <c r="AE79" s="118"/>
      <c r="AL79" s="118"/>
      <c r="AM79" s="118"/>
      <c r="AN79" s="118"/>
      <c r="AO79" s="118"/>
      <c r="AP79" s="118"/>
    </row>
    <row r="80" spans="2:42" s="119" customFormat="1" ht="16.5">
      <c r="B80" s="295">
        <v>47</v>
      </c>
      <c r="C80" s="296" t="s">
        <v>305</v>
      </c>
      <c r="D80" s="295"/>
      <c r="E80" s="300" t="s">
        <v>354</v>
      </c>
      <c r="F80" s="289"/>
      <c r="G80" s="305" t="s">
        <v>182</v>
      </c>
      <c r="H80" s="211" t="s">
        <v>178</v>
      </c>
      <c r="I80" s="295" t="s">
        <v>281</v>
      </c>
      <c r="J80" s="210">
        <v>5</v>
      </c>
      <c r="K80" s="304" t="s">
        <v>226</v>
      </c>
      <c r="L80" s="321"/>
      <c r="M80" s="322"/>
      <c r="N80" s="322"/>
      <c r="O80" s="322"/>
      <c r="P80" s="342"/>
      <c r="Q80" s="307">
        <v>175</v>
      </c>
      <c r="R80" s="307"/>
      <c r="S80" s="212"/>
      <c r="T80" s="311"/>
      <c r="U80" s="311"/>
      <c r="V80" s="311" t="s">
        <v>223</v>
      </c>
      <c r="W80" s="212" t="s">
        <v>330</v>
      </c>
      <c r="Y80" s="118"/>
      <c r="Z80" s="118"/>
      <c r="AA80" s="118"/>
      <c r="AB80" s="118"/>
      <c r="AC80" s="118"/>
      <c r="AD80" s="118"/>
      <c r="AE80" s="118"/>
      <c r="AL80" s="118"/>
      <c r="AM80" s="118"/>
      <c r="AN80" s="118"/>
      <c r="AO80" s="118"/>
      <c r="AP80" s="118"/>
    </row>
    <row r="81" spans="2:42" s="119" customFormat="1" ht="16.5">
      <c r="B81" s="295">
        <v>48</v>
      </c>
      <c r="C81" s="296" t="s">
        <v>305</v>
      </c>
      <c r="D81" s="295"/>
      <c r="E81" s="227" t="s">
        <v>356</v>
      </c>
      <c r="F81" s="289"/>
      <c r="G81" s="305" t="s">
        <v>182</v>
      </c>
      <c r="H81" s="211" t="s">
        <v>178</v>
      </c>
      <c r="I81" s="295" t="s">
        <v>281</v>
      </c>
      <c r="J81" s="210">
        <v>5</v>
      </c>
      <c r="K81" s="304" t="s">
        <v>226</v>
      </c>
      <c r="L81" s="321"/>
      <c r="M81" s="322"/>
      <c r="N81" s="322"/>
      <c r="O81" s="322"/>
      <c r="P81" s="342"/>
      <c r="Q81" s="307">
        <v>175</v>
      </c>
      <c r="R81" s="307"/>
      <c r="S81" s="212"/>
      <c r="T81" s="311"/>
      <c r="U81" s="311"/>
      <c r="V81" s="311" t="s">
        <v>224</v>
      </c>
      <c r="W81" s="212" t="s">
        <v>330</v>
      </c>
      <c r="Y81" s="118"/>
      <c r="Z81" s="118"/>
      <c r="AA81" s="118"/>
      <c r="AB81" s="118"/>
      <c r="AC81" s="118"/>
      <c r="AD81" s="118"/>
      <c r="AE81" s="118"/>
      <c r="AL81" s="118"/>
      <c r="AM81" s="118"/>
      <c r="AN81" s="118"/>
      <c r="AO81" s="118"/>
      <c r="AP81" s="118"/>
    </row>
    <row r="82" spans="2:42" s="119" customFormat="1" ht="16.5">
      <c r="B82" s="295">
        <v>49</v>
      </c>
      <c r="C82" s="296" t="s">
        <v>305</v>
      </c>
      <c r="D82" s="295"/>
      <c r="E82" s="227" t="s">
        <v>233</v>
      </c>
      <c r="F82" s="289"/>
      <c r="G82" s="305" t="s">
        <v>182</v>
      </c>
      <c r="H82" s="211" t="s">
        <v>178</v>
      </c>
      <c r="I82" s="295" t="s">
        <v>281</v>
      </c>
      <c r="J82" s="210">
        <v>5</v>
      </c>
      <c r="K82" s="304" t="s">
        <v>226</v>
      </c>
      <c r="L82" s="321"/>
      <c r="M82" s="322"/>
      <c r="N82" s="322"/>
      <c r="O82" s="322"/>
      <c r="P82" s="342"/>
      <c r="Q82" s="307">
        <v>175</v>
      </c>
      <c r="R82" s="307"/>
      <c r="S82" s="212"/>
      <c r="T82" s="311"/>
      <c r="U82" s="311"/>
      <c r="V82" s="311" t="s">
        <v>225</v>
      </c>
      <c r="W82" s="212" t="s">
        <v>330</v>
      </c>
      <c r="Y82" s="118"/>
      <c r="Z82" s="118"/>
      <c r="AA82" s="118"/>
      <c r="AB82" s="118"/>
      <c r="AC82" s="118"/>
      <c r="AD82" s="118"/>
      <c r="AE82" s="118"/>
      <c r="AL82" s="118"/>
      <c r="AM82" s="118"/>
      <c r="AN82" s="118"/>
      <c r="AO82" s="118"/>
      <c r="AP82" s="118"/>
    </row>
    <row r="83" spans="2:42" s="309" customFormat="1" ht="14.25">
      <c r="B83" s="435" t="s">
        <v>191</v>
      </c>
      <c r="C83" s="436"/>
      <c r="D83" s="436"/>
      <c r="E83" s="436"/>
      <c r="F83" s="436"/>
      <c r="G83" s="436"/>
      <c r="H83" s="436"/>
      <c r="I83" s="436"/>
      <c r="J83" s="436"/>
      <c r="K83" s="437"/>
      <c r="L83" s="323" t="s">
        <v>179</v>
      </c>
      <c r="M83" s="324">
        <v>245</v>
      </c>
      <c r="N83" s="324">
        <v>124</v>
      </c>
      <c r="O83" s="324">
        <v>69</v>
      </c>
      <c r="P83" s="348">
        <v>2.0960000000000001</v>
      </c>
      <c r="Q83" s="325">
        <v>700</v>
      </c>
      <c r="R83" s="325">
        <v>860</v>
      </c>
      <c r="S83" s="285" t="s">
        <v>323</v>
      </c>
      <c r="T83" s="285" t="s">
        <v>280</v>
      </c>
      <c r="U83" s="286"/>
      <c r="V83" s="286"/>
      <c r="W83" s="285"/>
      <c r="Y83" s="310"/>
      <c r="Z83" s="310">
        <f>Q83/20</f>
        <v>35</v>
      </c>
      <c r="AA83" s="310"/>
      <c r="AB83" s="310"/>
      <c r="AC83" s="310"/>
      <c r="AD83" s="310"/>
      <c r="AE83" s="310"/>
      <c r="AL83" s="310"/>
      <c r="AM83" s="310"/>
      <c r="AN83" s="310"/>
      <c r="AO83" s="310"/>
      <c r="AP83" s="310"/>
    </row>
    <row r="84" spans="2:42" s="119" customFormat="1" ht="16.5">
      <c r="B84" s="295">
        <v>50</v>
      </c>
      <c r="C84" s="296" t="s">
        <v>306</v>
      </c>
      <c r="D84" s="295"/>
      <c r="E84" s="300" t="s">
        <v>352</v>
      </c>
      <c r="F84" s="289"/>
      <c r="G84" s="305" t="s">
        <v>182</v>
      </c>
      <c r="H84" s="211" t="s">
        <v>178</v>
      </c>
      <c r="I84" s="295" t="s">
        <v>281</v>
      </c>
      <c r="J84" s="210">
        <v>5</v>
      </c>
      <c r="K84" s="304" t="s">
        <v>188</v>
      </c>
      <c r="L84" s="321"/>
      <c r="M84" s="322"/>
      <c r="N84" s="322"/>
      <c r="O84" s="322"/>
      <c r="P84" s="342"/>
      <c r="Q84" s="307">
        <v>175</v>
      </c>
      <c r="R84" s="307"/>
      <c r="S84" s="212"/>
      <c r="T84" s="311"/>
      <c r="U84" s="311"/>
      <c r="V84" s="311" t="s">
        <v>222</v>
      </c>
      <c r="W84" s="212" t="s">
        <v>330</v>
      </c>
      <c r="Y84" s="118"/>
      <c r="Z84" s="118"/>
      <c r="AA84" s="118"/>
      <c r="AB84" s="118"/>
      <c r="AC84" s="118"/>
      <c r="AD84" s="118"/>
      <c r="AE84" s="118"/>
      <c r="AL84" s="118"/>
      <c r="AM84" s="118"/>
      <c r="AN84" s="118"/>
      <c r="AO84" s="118"/>
      <c r="AP84" s="118"/>
    </row>
    <row r="85" spans="2:42" s="119" customFormat="1" ht="16.5">
      <c r="B85" s="295">
        <v>51</v>
      </c>
      <c r="C85" s="296" t="s">
        <v>306</v>
      </c>
      <c r="D85" s="295"/>
      <c r="E85" s="300" t="s">
        <v>354</v>
      </c>
      <c r="F85" s="289"/>
      <c r="G85" s="305" t="s">
        <v>182</v>
      </c>
      <c r="H85" s="211" t="s">
        <v>178</v>
      </c>
      <c r="I85" s="295" t="s">
        <v>281</v>
      </c>
      <c r="J85" s="210">
        <v>5</v>
      </c>
      <c r="K85" s="304" t="s">
        <v>226</v>
      </c>
      <c r="L85" s="321"/>
      <c r="M85" s="322"/>
      <c r="N85" s="322"/>
      <c r="O85" s="322"/>
      <c r="P85" s="342"/>
      <c r="Q85" s="307">
        <v>175</v>
      </c>
      <c r="R85" s="307"/>
      <c r="S85" s="212"/>
      <c r="T85" s="311"/>
      <c r="U85" s="311"/>
      <c r="V85" s="311" t="s">
        <v>223</v>
      </c>
      <c r="W85" s="212" t="s">
        <v>330</v>
      </c>
      <c r="Y85" s="118"/>
      <c r="Z85" s="118"/>
      <c r="AA85" s="118"/>
      <c r="AB85" s="118"/>
      <c r="AC85" s="118"/>
      <c r="AD85" s="118"/>
      <c r="AE85" s="118"/>
      <c r="AL85" s="118"/>
      <c r="AM85" s="118"/>
      <c r="AN85" s="118"/>
      <c r="AO85" s="118"/>
      <c r="AP85" s="118"/>
    </row>
    <row r="86" spans="2:42" s="119" customFormat="1" ht="16.5">
      <c r="B86" s="295">
        <v>52</v>
      </c>
      <c r="C86" s="296" t="s">
        <v>306</v>
      </c>
      <c r="D86" s="295"/>
      <c r="E86" s="227" t="s">
        <v>356</v>
      </c>
      <c r="F86" s="289"/>
      <c r="G86" s="305" t="s">
        <v>182</v>
      </c>
      <c r="H86" s="211" t="s">
        <v>178</v>
      </c>
      <c r="I86" s="295" t="s">
        <v>281</v>
      </c>
      <c r="J86" s="210">
        <v>5</v>
      </c>
      <c r="K86" s="304" t="s">
        <v>226</v>
      </c>
      <c r="L86" s="321"/>
      <c r="M86" s="322"/>
      <c r="N86" s="322"/>
      <c r="O86" s="322"/>
      <c r="P86" s="342"/>
      <c r="Q86" s="307">
        <v>175</v>
      </c>
      <c r="R86" s="307"/>
      <c r="S86" s="212"/>
      <c r="T86" s="311"/>
      <c r="U86" s="311"/>
      <c r="V86" s="311" t="s">
        <v>224</v>
      </c>
      <c r="W86" s="212" t="s">
        <v>330</v>
      </c>
      <c r="Y86" s="118"/>
      <c r="Z86" s="118"/>
      <c r="AA86" s="118"/>
      <c r="AB86" s="118"/>
      <c r="AC86" s="118"/>
      <c r="AD86" s="118"/>
      <c r="AE86" s="118"/>
      <c r="AL86" s="118"/>
      <c r="AM86" s="118"/>
      <c r="AN86" s="118"/>
      <c r="AO86" s="118"/>
      <c r="AP86" s="118"/>
    </row>
    <row r="87" spans="2:42" s="119" customFormat="1" ht="16.5">
      <c r="B87" s="295">
        <v>53</v>
      </c>
      <c r="C87" s="296" t="s">
        <v>306</v>
      </c>
      <c r="D87" s="295"/>
      <c r="E87" s="227" t="s">
        <v>233</v>
      </c>
      <c r="F87" s="289"/>
      <c r="G87" s="305" t="s">
        <v>182</v>
      </c>
      <c r="H87" s="211" t="s">
        <v>178</v>
      </c>
      <c r="I87" s="295" t="s">
        <v>281</v>
      </c>
      <c r="J87" s="210">
        <v>5</v>
      </c>
      <c r="K87" s="304" t="s">
        <v>226</v>
      </c>
      <c r="L87" s="321"/>
      <c r="M87" s="322"/>
      <c r="N87" s="322"/>
      <c r="O87" s="322"/>
      <c r="P87" s="342"/>
      <c r="Q87" s="307">
        <v>175</v>
      </c>
      <c r="R87" s="307"/>
      <c r="S87" s="212"/>
      <c r="T87" s="311"/>
      <c r="U87" s="311"/>
      <c r="V87" s="311" t="s">
        <v>225</v>
      </c>
      <c r="W87" s="212" t="s">
        <v>330</v>
      </c>
      <c r="Y87" s="118"/>
      <c r="Z87" s="118"/>
      <c r="AA87" s="118"/>
      <c r="AB87" s="118"/>
      <c r="AC87" s="118"/>
      <c r="AD87" s="118"/>
      <c r="AE87" s="118"/>
      <c r="AL87" s="118"/>
      <c r="AM87" s="118"/>
      <c r="AN87" s="118"/>
      <c r="AO87" s="118"/>
      <c r="AP87" s="118"/>
    </row>
    <row r="88" spans="2:42" s="309" customFormat="1" ht="14.25">
      <c r="B88" s="435" t="s">
        <v>191</v>
      </c>
      <c r="C88" s="436"/>
      <c r="D88" s="436"/>
      <c r="E88" s="436"/>
      <c r="F88" s="436"/>
      <c r="G88" s="436"/>
      <c r="H88" s="436"/>
      <c r="I88" s="436"/>
      <c r="J88" s="436"/>
      <c r="K88" s="437"/>
      <c r="L88" s="323" t="s">
        <v>179</v>
      </c>
      <c r="M88" s="324">
        <v>245</v>
      </c>
      <c r="N88" s="324">
        <v>124</v>
      </c>
      <c r="O88" s="324">
        <v>69</v>
      </c>
      <c r="P88" s="348">
        <v>2.0960000000000001</v>
      </c>
      <c r="Q88" s="325">
        <v>700</v>
      </c>
      <c r="R88" s="325">
        <v>860</v>
      </c>
      <c r="S88" s="285" t="s">
        <v>323</v>
      </c>
      <c r="T88" s="285" t="s">
        <v>280</v>
      </c>
      <c r="U88" s="286"/>
      <c r="V88" s="286"/>
      <c r="W88" s="285"/>
      <c r="Y88" s="310"/>
      <c r="Z88" s="310">
        <f>Q88/20</f>
        <v>35</v>
      </c>
      <c r="AA88" s="310"/>
      <c r="AB88" s="310"/>
      <c r="AC88" s="310"/>
      <c r="AD88" s="310"/>
      <c r="AE88" s="310"/>
      <c r="AL88" s="310"/>
      <c r="AM88" s="310"/>
      <c r="AN88" s="310"/>
      <c r="AO88" s="310"/>
      <c r="AP88" s="310"/>
    </row>
    <row r="89" spans="2:42" s="119" customFormat="1" ht="16.5">
      <c r="B89" s="295">
        <v>54</v>
      </c>
      <c r="C89" s="296" t="s">
        <v>307</v>
      </c>
      <c r="D89" s="295"/>
      <c r="E89" s="300" t="s">
        <v>352</v>
      </c>
      <c r="F89" s="289"/>
      <c r="G89" s="305" t="s">
        <v>182</v>
      </c>
      <c r="H89" s="211" t="s">
        <v>178</v>
      </c>
      <c r="I89" s="295" t="s">
        <v>281</v>
      </c>
      <c r="J89" s="210">
        <v>5</v>
      </c>
      <c r="K89" s="304" t="s">
        <v>188</v>
      </c>
      <c r="L89" s="321"/>
      <c r="M89" s="322"/>
      <c r="N89" s="322"/>
      <c r="O89" s="322"/>
      <c r="P89" s="342"/>
      <c r="Q89" s="307">
        <v>175</v>
      </c>
      <c r="R89" s="307"/>
      <c r="S89" s="212"/>
      <c r="T89" s="311"/>
      <c r="U89" s="311"/>
      <c r="V89" s="311" t="s">
        <v>222</v>
      </c>
      <c r="W89" s="212" t="s">
        <v>330</v>
      </c>
      <c r="Y89" s="118"/>
      <c r="Z89" s="118"/>
      <c r="AA89" s="118"/>
      <c r="AB89" s="118"/>
      <c r="AC89" s="118"/>
      <c r="AD89" s="118"/>
      <c r="AE89" s="118"/>
      <c r="AL89" s="118"/>
      <c r="AM89" s="118"/>
      <c r="AN89" s="118"/>
      <c r="AO89" s="118"/>
      <c r="AP89" s="118"/>
    </row>
    <row r="90" spans="2:42" s="119" customFormat="1" ht="16.5">
      <c r="B90" s="295">
        <v>55</v>
      </c>
      <c r="C90" s="296" t="s">
        <v>307</v>
      </c>
      <c r="D90" s="295"/>
      <c r="E90" s="300" t="s">
        <v>354</v>
      </c>
      <c r="F90" s="289"/>
      <c r="G90" s="305" t="s">
        <v>182</v>
      </c>
      <c r="H90" s="211" t="s">
        <v>178</v>
      </c>
      <c r="I90" s="295" t="s">
        <v>281</v>
      </c>
      <c r="J90" s="210">
        <v>5</v>
      </c>
      <c r="K90" s="304" t="s">
        <v>226</v>
      </c>
      <c r="L90" s="321"/>
      <c r="M90" s="322"/>
      <c r="N90" s="322"/>
      <c r="O90" s="322"/>
      <c r="P90" s="342"/>
      <c r="Q90" s="307">
        <v>175</v>
      </c>
      <c r="R90" s="307"/>
      <c r="S90" s="212"/>
      <c r="T90" s="311"/>
      <c r="U90" s="311"/>
      <c r="V90" s="311" t="s">
        <v>223</v>
      </c>
      <c r="W90" s="212" t="s">
        <v>330</v>
      </c>
      <c r="Y90" s="118"/>
      <c r="Z90" s="118"/>
      <c r="AA90" s="118"/>
      <c r="AB90" s="118"/>
      <c r="AC90" s="118"/>
      <c r="AD90" s="118"/>
      <c r="AE90" s="118"/>
      <c r="AL90" s="118"/>
      <c r="AM90" s="118"/>
      <c r="AN90" s="118"/>
      <c r="AO90" s="118"/>
      <c r="AP90" s="118"/>
    </row>
    <row r="91" spans="2:42" s="119" customFormat="1" ht="16.5">
      <c r="B91" s="295">
        <v>56</v>
      </c>
      <c r="C91" s="296" t="s">
        <v>307</v>
      </c>
      <c r="D91" s="295"/>
      <c r="E91" s="227" t="s">
        <v>356</v>
      </c>
      <c r="F91" s="289"/>
      <c r="G91" s="305" t="s">
        <v>182</v>
      </c>
      <c r="H91" s="211" t="s">
        <v>178</v>
      </c>
      <c r="I91" s="295" t="s">
        <v>281</v>
      </c>
      <c r="J91" s="210">
        <v>5</v>
      </c>
      <c r="K91" s="304" t="s">
        <v>226</v>
      </c>
      <c r="L91" s="321"/>
      <c r="M91" s="322"/>
      <c r="N91" s="322"/>
      <c r="O91" s="322"/>
      <c r="P91" s="342"/>
      <c r="Q91" s="307">
        <v>175</v>
      </c>
      <c r="R91" s="307"/>
      <c r="S91" s="212"/>
      <c r="T91" s="311"/>
      <c r="U91" s="311"/>
      <c r="V91" s="311" t="s">
        <v>224</v>
      </c>
      <c r="W91" s="212" t="s">
        <v>330</v>
      </c>
      <c r="Y91" s="118"/>
      <c r="Z91" s="118"/>
      <c r="AA91" s="118"/>
      <c r="AB91" s="118"/>
      <c r="AC91" s="118"/>
      <c r="AD91" s="118"/>
      <c r="AE91" s="118"/>
      <c r="AL91" s="118"/>
      <c r="AM91" s="118"/>
      <c r="AN91" s="118"/>
      <c r="AO91" s="118"/>
      <c r="AP91" s="118"/>
    </row>
    <row r="92" spans="2:42" s="119" customFormat="1" ht="16.5">
      <c r="B92" s="295">
        <v>57</v>
      </c>
      <c r="C92" s="296" t="s">
        <v>307</v>
      </c>
      <c r="D92" s="295"/>
      <c r="E92" s="227" t="s">
        <v>233</v>
      </c>
      <c r="F92" s="289"/>
      <c r="G92" s="305" t="s">
        <v>182</v>
      </c>
      <c r="H92" s="211" t="s">
        <v>178</v>
      </c>
      <c r="I92" s="295" t="s">
        <v>281</v>
      </c>
      <c r="J92" s="210">
        <v>5</v>
      </c>
      <c r="K92" s="304" t="s">
        <v>226</v>
      </c>
      <c r="L92" s="321"/>
      <c r="M92" s="322"/>
      <c r="N92" s="322"/>
      <c r="O92" s="322"/>
      <c r="P92" s="342"/>
      <c r="Q92" s="307">
        <v>175</v>
      </c>
      <c r="R92" s="307"/>
      <c r="S92" s="212"/>
      <c r="T92" s="311"/>
      <c r="U92" s="311"/>
      <c r="V92" s="311" t="s">
        <v>225</v>
      </c>
      <c r="W92" s="212" t="s">
        <v>330</v>
      </c>
      <c r="Y92" s="118"/>
      <c r="Z92" s="118"/>
      <c r="AA92" s="118"/>
      <c r="AB92" s="118"/>
      <c r="AC92" s="118"/>
      <c r="AD92" s="118"/>
      <c r="AE92" s="118"/>
      <c r="AL92" s="118"/>
      <c r="AM92" s="118"/>
      <c r="AN92" s="118"/>
      <c r="AO92" s="118"/>
      <c r="AP92" s="118"/>
    </row>
    <row r="93" spans="2:42" s="309" customFormat="1" ht="14.25">
      <c r="B93" s="435" t="s">
        <v>191</v>
      </c>
      <c r="C93" s="436"/>
      <c r="D93" s="436"/>
      <c r="E93" s="436"/>
      <c r="F93" s="436"/>
      <c r="G93" s="436"/>
      <c r="H93" s="436"/>
      <c r="I93" s="436"/>
      <c r="J93" s="436"/>
      <c r="K93" s="437"/>
      <c r="L93" s="323" t="s">
        <v>179</v>
      </c>
      <c r="M93" s="324">
        <v>245</v>
      </c>
      <c r="N93" s="324">
        <v>124</v>
      </c>
      <c r="O93" s="324">
        <v>69</v>
      </c>
      <c r="P93" s="348">
        <v>2.0960000000000001</v>
      </c>
      <c r="Q93" s="325">
        <v>700</v>
      </c>
      <c r="R93" s="325">
        <v>860</v>
      </c>
      <c r="S93" s="285" t="s">
        <v>323</v>
      </c>
      <c r="T93" s="285" t="s">
        <v>280</v>
      </c>
      <c r="U93" s="286"/>
      <c r="V93" s="286"/>
      <c r="W93" s="285"/>
      <c r="Y93" s="310"/>
      <c r="Z93" s="310">
        <f>Q93/20</f>
        <v>35</v>
      </c>
      <c r="AA93" s="310"/>
      <c r="AB93" s="310"/>
      <c r="AC93" s="310"/>
      <c r="AD93" s="310"/>
      <c r="AE93" s="310"/>
      <c r="AL93" s="310"/>
      <c r="AM93" s="310"/>
      <c r="AN93" s="310"/>
      <c r="AO93" s="310"/>
      <c r="AP93" s="310"/>
    </row>
    <row r="94" spans="2:42" s="119" customFormat="1" ht="16.5">
      <c r="B94" s="295">
        <v>58</v>
      </c>
      <c r="C94" s="296" t="s">
        <v>308</v>
      </c>
      <c r="D94" s="295"/>
      <c r="E94" s="300" t="s">
        <v>352</v>
      </c>
      <c r="F94" s="289"/>
      <c r="G94" s="305" t="s">
        <v>182</v>
      </c>
      <c r="H94" s="211" t="s">
        <v>178</v>
      </c>
      <c r="I94" s="295" t="s">
        <v>281</v>
      </c>
      <c r="J94" s="210">
        <v>5</v>
      </c>
      <c r="K94" s="304" t="s">
        <v>188</v>
      </c>
      <c r="L94" s="321"/>
      <c r="M94" s="322"/>
      <c r="N94" s="322"/>
      <c r="O94" s="322"/>
      <c r="P94" s="342"/>
      <c r="Q94" s="307">
        <v>175</v>
      </c>
      <c r="R94" s="307"/>
      <c r="S94" s="212"/>
      <c r="T94" s="311"/>
      <c r="U94" s="311"/>
      <c r="V94" s="311" t="s">
        <v>222</v>
      </c>
      <c r="W94" s="212" t="s">
        <v>330</v>
      </c>
      <c r="Y94" s="118"/>
      <c r="Z94" s="118"/>
      <c r="AA94" s="118"/>
      <c r="AB94" s="118"/>
      <c r="AC94" s="118"/>
      <c r="AD94" s="118"/>
      <c r="AE94" s="118"/>
      <c r="AL94" s="118"/>
      <c r="AM94" s="118"/>
      <c r="AN94" s="118"/>
      <c r="AO94" s="118"/>
      <c r="AP94" s="118"/>
    </row>
    <row r="95" spans="2:42" s="119" customFormat="1" ht="16.5">
      <c r="B95" s="295">
        <v>59</v>
      </c>
      <c r="C95" s="296" t="s">
        <v>308</v>
      </c>
      <c r="D95" s="295"/>
      <c r="E95" s="300" t="s">
        <v>354</v>
      </c>
      <c r="F95" s="289"/>
      <c r="G95" s="305" t="s">
        <v>182</v>
      </c>
      <c r="H95" s="211" t="s">
        <v>178</v>
      </c>
      <c r="I95" s="295" t="s">
        <v>281</v>
      </c>
      <c r="J95" s="210">
        <v>5</v>
      </c>
      <c r="K95" s="304" t="s">
        <v>226</v>
      </c>
      <c r="L95" s="321"/>
      <c r="M95" s="322"/>
      <c r="N95" s="322"/>
      <c r="O95" s="322"/>
      <c r="P95" s="342"/>
      <c r="Q95" s="307">
        <v>175</v>
      </c>
      <c r="R95" s="307"/>
      <c r="S95" s="212"/>
      <c r="T95" s="311"/>
      <c r="U95" s="311"/>
      <c r="V95" s="311" t="s">
        <v>223</v>
      </c>
      <c r="W95" s="212" t="s">
        <v>330</v>
      </c>
      <c r="Y95" s="118"/>
      <c r="Z95" s="118"/>
      <c r="AA95" s="118"/>
      <c r="AB95" s="118"/>
      <c r="AC95" s="118"/>
      <c r="AD95" s="118"/>
      <c r="AE95" s="118"/>
      <c r="AL95" s="118"/>
      <c r="AM95" s="118"/>
      <c r="AN95" s="118"/>
      <c r="AO95" s="118"/>
      <c r="AP95" s="118"/>
    </row>
    <row r="96" spans="2:42" s="119" customFormat="1" ht="16.5">
      <c r="B96" s="295">
        <v>60</v>
      </c>
      <c r="C96" s="296" t="s">
        <v>308</v>
      </c>
      <c r="D96" s="295"/>
      <c r="E96" s="227" t="s">
        <v>356</v>
      </c>
      <c r="F96" s="289"/>
      <c r="G96" s="305" t="s">
        <v>182</v>
      </c>
      <c r="H96" s="211" t="s">
        <v>178</v>
      </c>
      <c r="I96" s="295" t="s">
        <v>281</v>
      </c>
      <c r="J96" s="210">
        <v>5</v>
      </c>
      <c r="K96" s="304" t="s">
        <v>226</v>
      </c>
      <c r="L96" s="321"/>
      <c r="M96" s="322"/>
      <c r="N96" s="322"/>
      <c r="O96" s="322"/>
      <c r="P96" s="342"/>
      <c r="Q96" s="307">
        <v>175</v>
      </c>
      <c r="R96" s="307"/>
      <c r="S96" s="212"/>
      <c r="T96" s="311"/>
      <c r="U96" s="311"/>
      <c r="V96" s="311" t="s">
        <v>224</v>
      </c>
      <c r="W96" s="212" t="s">
        <v>330</v>
      </c>
      <c r="Y96" s="118"/>
      <c r="Z96" s="118"/>
      <c r="AA96" s="118"/>
      <c r="AB96" s="118"/>
      <c r="AC96" s="118"/>
      <c r="AD96" s="118"/>
      <c r="AE96" s="118"/>
      <c r="AL96" s="118"/>
      <c r="AM96" s="118"/>
      <c r="AN96" s="118"/>
      <c r="AO96" s="118"/>
      <c r="AP96" s="118"/>
    </row>
    <row r="97" spans="2:42" s="119" customFormat="1" ht="16.5">
      <c r="B97" s="295">
        <v>61</v>
      </c>
      <c r="C97" s="296" t="s">
        <v>308</v>
      </c>
      <c r="D97" s="295"/>
      <c r="E97" s="227" t="s">
        <v>233</v>
      </c>
      <c r="F97" s="289"/>
      <c r="G97" s="305" t="s">
        <v>182</v>
      </c>
      <c r="H97" s="211" t="s">
        <v>178</v>
      </c>
      <c r="I97" s="295" t="s">
        <v>281</v>
      </c>
      <c r="J97" s="210">
        <v>5</v>
      </c>
      <c r="K97" s="304" t="s">
        <v>226</v>
      </c>
      <c r="L97" s="321"/>
      <c r="M97" s="322"/>
      <c r="N97" s="322"/>
      <c r="O97" s="322"/>
      <c r="P97" s="342"/>
      <c r="Q97" s="307">
        <v>175</v>
      </c>
      <c r="R97" s="307"/>
      <c r="S97" s="212"/>
      <c r="T97" s="311"/>
      <c r="U97" s="311"/>
      <c r="V97" s="311" t="s">
        <v>225</v>
      </c>
      <c r="W97" s="212" t="s">
        <v>330</v>
      </c>
      <c r="Y97" s="118"/>
      <c r="Z97" s="118"/>
      <c r="AA97" s="118"/>
      <c r="AB97" s="118"/>
      <c r="AC97" s="118"/>
      <c r="AD97" s="118"/>
      <c r="AE97" s="118"/>
      <c r="AL97" s="118"/>
      <c r="AM97" s="118"/>
      <c r="AN97" s="118"/>
      <c r="AO97" s="118"/>
      <c r="AP97" s="118"/>
    </row>
    <row r="98" spans="2:42" s="309" customFormat="1" ht="14.25">
      <c r="B98" s="435" t="s">
        <v>191</v>
      </c>
      <c r="C98" s="436"/>
      <c r="D98" s="436"/>
      <c r="E98" s="436"/>
      <c r="F98" s="436"/>
      <c r="G98" s="436"/>
      <c r="H98" s="436"/>
      <c r="I98" s="436"/>
      <c r="J98" s="436"/>
      <c r="K98" s="437"/>
      <c r="L98" s="323" t="s">
        <v>179</v>
      </c>
      <c r="M98" s="324">
        <v>245</v>
      </c>
      <c r="N98" s="324">
        <v>124</v>
      </c>
      <c r="O98" s="324">
        <v>69</v>
      </c>
      <c r="P98" s="348">
        <v>2.0960000000000001</v>
      </c>
      <c r="Q98" s="325">
        <v>700</v>
      </c>
      <c r="R98" s="325">
        <v>860</v>
      </c>
      <c r="S98" s="285" t="s">
        <v>323</v>
      </c>
      <c r="T98" s="285" t="s">
        <v>280</v>
      </c>
      <c r="U98" s="286"/>
      <c r="V98" s="286"/>
      <c r="W98" s="285"/>
      <c r="Y98" s="310"/>
      <c r="Z98" s="310">
        <f>Q98/20</f>
        <v>35</v>
      </c>
      <c r="AA98" s="310"/>
      <c r="AB98" s="310"/>
      <c r="AC98" s="310"/>
      <c r="AD98" s="310"/>
      <c r="AE98" s="310"/>
      <c r="AL98" s="310"/>
      <c r="AM98" s="310"/>
      <c r="AN98" s="310"/>
      <c r="AO98" s="310"/>
      <c r="AP98" s="310"/>
    </row>
    <row r="99" spans="2:42" s="119" customFormat="1" ht="16.5">
      <c r="B99" s="295">
        <v>62</v>
      </c>
      <c r="C99" s="296" t="s">
        <v>309</v>
      </c>
      <c r="D99" s="295"/>
      <c r="E99" s="300" t="s">
        <v>352</v>
      </c>
      <c r="F99" s="289"/>
      <c r="G99" s="305" t="s">
        <v>182</v>
      </c>
      <c r="H99" s="211" t="s">
        <v>178</v>
      </c>
      <c r="I99" s="295" t="s">
        <v>281</v>
      </c>
      <c r="J99" s="210">
        <v>5</v>
      </c>
      <c r="K99" s="304" t="s">
        <v>188</v>
      </c>
      <c r="L99" s="321"/>
      <c r="M99" s="322"/>
      <c r="N99" s="322"/>
      <c r="O99" s="322"/>
      <c r="P99" s="342"/>
      <c r="Q99" s="307">
        <v>175</v>
      </c>
      <c r="R99" s="307"/>
      <c r="S99" s="212"/>
      <c r="T99" s="311"/>
      <c r="U99" s="311"/>
      <c r="V99" s="311" t="s">
        <v>222</v>
      </c>
      <c r="W99" s="212" t="s">
        <v>330</v>
      </c>
      <c r="Y99" s="118"/>
      <c r="Z99" s="118"/>
      <c r="AA99" s="118"/>
      <c r="AB99" s="118"/>
      <c r="AC99" s="118"/>
      <c r="AD99" s="118"/>
      <c r="AE99" s="118"/>
      <c r="AL99" s="118"/>
      <c r="AM99" s="118"/>
      <c r="AN99" s="118"/>
      <c r="AO99" s="118"/>
      <c r="AP99" s="118"/>
    </row>
    <row r="100" spans="2:42" s="119" customFormat="1" ht="16.5">
      <c r="B100" s="295">
        <v>63</v>
      </c>
      <c r="C100" s="296" t="s">
        <v>309</v>
      </c>
      <c r="D100" s="295"/>
      <c r="E100" s="300" t="s">
        <v>354</v>
      </c>
      <c r="F100" s="289"/>
      <c r="G100" s="305" t="s">
        <v>182</v>
      </c>
      <c r="H100" s="211" t="s">
        <v>178</v>
      </c>
      <c r="I100" s="295" t="s">
        <v>281</v>
      </c>
      <c r="J100" s="210">
        <v>5</v>
      </c>
      <c r="K100" s="304" t="s">
        <v>226</v>
      </c>
      <c r="L100" s="321"/>
      <c r="M100" s="322"/>
      <c r="N100" s="322"/>
      <c r="O100" s="322"/>
      <c r="P100" s="342"/>
      <c r="Q100" s="307">
        <v>175</v>
      </c>
      <c r="R100" s="307"/>
      <c r="S100" s="212"/>
      <c r="T100" s="311"/>
      <c r="U100" s="311"/>
      <c r="V100" s="311" t="s">
        <v>223</v>
      </c>
      <c r="W100" s="212" t="s">
        <v>330</v>
      </c>
      <c r="Y100" s="118"/>
      <c r="Z100" s="118"/>
      <c r="AA100" s="118"/>
      <c r="AB100" s="118"/>
      <c r="AC100" s="118"/>
      <c r="AD100" s="118"/>
      <c r="AE100" s="118"/>
      <c r="AL100" s="118"/>
      <c r="AM100" s="118"/>
      <c r="AN100" s="118"/>
      <c r="AO100" s="118"/>
      <c r="AP100" s="118"/>
    </row>
    <row r="101" spans="2:42" s="119" customFormat="1" ht="16.5">
      <c r="B101" s="295">
        <v>64</v>
      </c>
      <c r="C101" s="296" t="s">
        <v>309</v>
      </c>
      <c r="D101" s="295"/>
      <c r="E101" s="227" t="s">
        <v>356</v>
      </c>
      <c r="F101" s="289"/>
      <c r="G101" s="305" t="s">
        <v>182</v>
      </c>
      <c r="H101" s="211" t="s">
        <v>178</v>
      </c>
      <c r="I101" s="295" t="s">
        <v>281</v>
      </c>
      <c r="J101" s="210">
        <v>5</v>
      </c>
      <c r="K101" s="304" t="s">
        <v>226</v>
      </c>
      <c r="L101" s="321"/>
      <c r="M101" s="322"/>
      <c r="N101" s="322"/>
      <c r="O101" s="322"/>
      <c r="P101" s="342"/>
      <c r="Q101" s="307">
        <v>175</v>
      </c>
      <c r="R101" s="307"/>
      <c r="S101" s="212"/>
      <c r="T101" s="311"/>
      <c r="U101" s="311"/>
      <c r="V101" s="311" t="s">
        <v>224</v>
      </c>
      <c r="W101" s="212" t="s">
        <v>330</v>
      </c>
      <c r="Y101" s="118"/>
      <c r="Z101" s="118"/>
      <c r="AA101" s="118"/>
      <c r="AB101" s="118"/>
      <c r="AC101" s="118"/>
      <c r="AD101" s="118"/>
      <c r="AE101" s="118"/>
      <c r="AL101" s="118"/>
      <c r="AM101" s="118"/>
      <c r="AN101" s="118"/>
      <c r="AO101" s="118"/>
      <c r="AP101" s="118"/>
    </row>
    <row r="102" spans="2:42" s="119" customFormat="1" ht="16.5">
      <c r="B102" s="295">
        <v>65</v>
      </c>
      <c r="C102" s="296" t="s">
        <v>309</v>
      </c>
      <c r="D102" s="295"/>
      <c r="E102" s="227" t="s">
        <v>233</v>
      </c>
      <c r="F102" s="289"/>
      <c r="G102" s="305" t="s">
        <v>182</v>
      </c>
      <c r="H102" s="211" t="s">
        <v>178</v>
      </c>
      <c r="I102" s="295" t="s">
        <v>281</v>
      </c>
      <c r="J102" s="210">
        <v>5</v>
      </c>
      <c r="K102" s="304" t="s">
        <v>226</v>
      </c>
      <c r="L102" s="321"/>
      <c r="M102" s="322"/>
      <c r="N102" s="322"/>
      <c r="O102" s="322"/>
      <c r="P102" s="342"/>
      <c r="Q102" s="307">
        <v>175</v>
      </c>
      <c r="R102" s="307"/>
      <c r="S102" s="212"/>
      <c r="T102" s="311"/>
      <c r="U102" s="311"/>
      <c r="V102" s="311" t="s">
        <v>225</v>
      </c>
      <c r="W102" s="212" t="s">
        <v>330</v>
      </c>
      <c r="Y102" s="118"/>
      <c r="Z102" s="118"/>
      <c r="AA102" s="118"/>
      <c r="AB102" s="118"/>
      <c r="AC102" s="118"/>
      <c r="AD102" s="118"/>
      <c r="AE102" s="118"/>
      <c r="AL102" s="118"/>
      <c r="AM102" s="118"/>
      <c r="AN102" s="118"/>
      <c r="AO102" s="118"/>
      <c r="AP102" s="118"/>
    </row>
    <row r="103" spans="2:42" s="309" customFormat="1" ht="14.25">
      <c r="B103" s="435" t="s">
        <v>191</v>
      </c>
      <c r="C103" s="436"/>
      <c r="D103" s="436"/>
      <c r="E103" s="436"/>
      <c r="F103" s="436"/>
      <c r="G103" s="436"/>
      <c r="H103" s="436"/>
      <c r="I103" s="436"/>
      <c r="J103" s="436"/>
      <c r="K103" s="437"/>
      <c r="L103" s="323" t="s">
        <v>179</v>
      </c>
      <c r="M103" s="324">
        <v>245</v>
      </c>
      <c r="N103" s="324">
        <v>124</v>
      </c>
      <c r="O103" s="324">
        <v>69</v>
      </c>
      <c r="P103" s="348">
        <v>2.0960000000000001</v>
      </c>
      <c r="Q103" s="325">
        <v>700</v>
      </c>
      <c r="R103" s="325">
        <v>860</v>
      </c>
      <c r="S103" s="285" t="s">
        <v>323</v>
      </c>
      <c r="T103" s="285" t="s">
        <v>280</v>
      </c>
      <c r="U103" s="286"/>
      <c r="V103" s="286"/>
      <c r="W103" s="285"/>
      <c r="Y103" s="310"/>
      <c r="Z103" s="310">
        <f>Q103/20</f>
        <v>35</v>
      </c>
      <c r="AA103" s="310"/>
      <c r="AB103" s="310"/>
      <c r="AC103" s="310"/>
      <c r="AD103" s="310"/>
      <c r="AE103" s="310"/>
      <c r="AL103" s="310"/>
      <c r="AM103" s="310"/>
      <c r="AN103" s="310"/>
      <c r="AO103" s="310"/>
      <c r="AP103" s="310"/>
    </row>
    <row r="104" spans="2:42" s="119" customFormat="1" ht="16.5">
      <c r="B104" s="295">
        <v>66</v>
      </c>
      <c r="C104" s="296" t="s">
        <v>310</v>
      </c>
      <c r="D104" s="295"/>
      <c r="E104" s="300" t="s">
        <v>352</v>
      </c>
      <c r="F104" s="289"/>
      <c r="G104" s="305" t="s">
        <v>182</v>
      </c>
      <c r="H104" s="211" t="s">
        <v>178</v>
      </c>
      <c r="I104" s="295" t="s">
        <v>281</v>
      </c>
      <c r="J104" s="210">
        <v>5</v>
      </c>
      <c r="K104" s="304" t="s">
        <v>188</v>
      </c>
      <c r="L104" s="321"/>
      <c r="M104" s="322"/>
      <c r="N104" s="322"/>
      <c r="O104" s="322"/>
      <c r="P104" s="342"/>
      <c r="Q104" s="307">
        <v>168.75</v>
      </c>
      <c r="R104" s="307"/>
      <c r="S104" s="212"/>
      <c r="T104" s="311"/>
      <c r="U104" s="311"/>
      <c r="V104" s="311" t="s">
        <v>227</v>
      </c>
      <c r="W104" s="212" t="s">
        <v>330</v>
      </c>
      <c r="Y104" s="118"/>
      <c r="Z104" s="118"/>
      <c r="AA104" s="118"/>
      <c r="AB104" s="118"/>
      <c r="AC104" s="118"/>
      <c r="AD104" s="118"/>
      <c r="AE104" s="118"/>
      <c r="AL104" s="118"/>
      <c r="AM104" s="118"/>
      <c r="AN104" s="118"/>
      <c r="AO104" s="118"/>
      <c r="AP104" s="118"/>
    </row>
    <row r="105" spans="2:42" s="119" customFormat="1" ht="16.5">
      <c r="B105" s="295">
        <v>67</v>
      </c>
      <c r="C105" s="296" t="s">
        <v>310</v>
      </c>
      <c r="D105" s="295"/>
      <c r="E105" s="300" t="s">
        <v>354</v>
      </c>
      <c r="F105" s="289"/>
      <c r="G105" s="305" t="s">
        <v>182</v>
      </c>
      <c r="H105" s="211" t="s">
        <v>178</v>
      </c>
      <c r="I105" s="295" t="s">
        <v>281</v>
      </c>
      <c r="J105" s="210">
        <v>5</v>
      </c>
      <c r="K105" s="304" t="s">
        <v>226</v>
      </c>
      <c r="L105" s="321"/>
      <c r="M105" s="322"/>
      <c r="N105" s="322"/>
      <c r="O105" s="322"/>
      <c r="P105" s="342"/>
      <c r="Q105" s="307">
        <v>168.75</v>
      </c>
      <c r="R105" s="307"/>
      <c r="S105" s="212"/>
      <c r="T105" s="311"/>
      <c r="U105" s="311"/>
      <c r="V105" s="311" t="s">
        <v>228</v>
      </c>
      <c r="W105" s="212" t="s">
        <v>330</v>
      </c>
      <c r="Y105" s="118"/>
      <c r="Z105" s="118"/>
      <c r="AA105" s="118"/>
      <c r="AB105" s="118"/>
      <c r="AC105" s="118"/>
      <c r="AD105" s="118"/>
      <c r="AE105" s="118"/>
      <c r="AL105" s="118"/>
      <c r="AM105" s="118"/>
      <c r="AN105" s="118"/>
      <c r="AO105" s="118"/>
      <c r="AP105" s="118"/>
    </row>
    <row r="106" spans="2:42" s="119" customFormat="1" ht="16.5">
      <c r="B106" s="295">
        <v>68</v>
      </c>
      <c r="C106" s="296" t="s">
        <v>310</v>
      </c>
      <c r="D106" s="295"/>
      <c r="E106" s="227" t="s">
        <v>356</v>
      </c>
      <c r="F106" s="289"/>
      <c r="G106" s="305" t="s">
        <v>182</v>
      </c>
      <c r="H106" s="211" t="s">
        <v>178</v>
      </c>
      <c r="I106" s="295" t="s">
        <v>281</v>
      </c>
      <c r="J106" s="210">
        <v>5</v>
      </c>
      <c r="K106" s="304" t="s">
        <v>226</v>
      </c>
      <c r="L106" s="321"/>
      <c r="M106" s="322"/>
      <c r="N106" s="322"/>
      <c r="O106" s="322"/>
      <c r="P106" s="342"/>
      <c r="Q106" s="307">
        <v>168.75</v>
      </c>
      <c r="R106" s="307"/>
      <c r="S106" s="212"/>
      <c r="T106" s="311"/>
      <c r="U106" s="311"/>
      <c r="V106" s="311" t="s">
        <v>229</v>
      </c>
      <c r="W106" s="212" t="s">
        <v>330</v>
      </c>
      <c r="Y106" s="118"/>
      <c r="Z106" s="118"/>
      <c r="AA106" s="118"/>
      <c r="AB106" s="118"/>
      <c r="AC106" s="118"/>
      <c r="AD106" s="118"/>
      <c r="AE106" s="118"/>
      <c r="AL106" s="118"/>
      <c r="AM106" s="118"/>
      <c r="AN106" s="118"/>
      <c r="AO106" s="118"/>
      <c r="AP106" s="118"/>
    </row>
    <row r="107" spans="2:42" s="119" customFormat="1" ht="16.5">
      <c r="B107" s="295">
        <v>69</v>
      </c>
      <c r="C107" s="296" t="s">
        <v>310</v>
      </c>
      <c r="D107" s="295"/>
      <c r="E107" s="227" t="s">
        <v>233</v>
      </c>
      <c r="F107" s="289"/>
      <c r="G107" s="305" t="s">
        <v>182</v>
      </c>
      <c r="H107" s="211" t="s">
        <v>178</v>
      </c>
      <c r="I107" s="295" t="s">
        <v>281</v>
      </c>
      <c r="J107" s="210">
        <v>5</v>
      </c>
      <c r="K107" s="304" t="s">
        <v>226</v>
      </c>
      <c r="L107" s="321"/>
      <c r="M107" s="322"/>
      <c r="N107" s="322"/>
      <c r="O107" s="322"/>
      <c r="P107" s="342"/>
      <c r="Q107" s="307">
        <v>168.75</v>
      </c>
      <c r="R107" s="307"/>
      <c r="S107" s="212"/>
      <c r="T107" s="311"/>
      <c r="U107" s="311"/>
      <c r="V107" s="311" t="s">
        <v>230</v>
      </c>
      <c r="W107" s="212" t="s">
        <v>330</v>
      </c>
      <c r="Y107" s="118"/>
      <c r="Z107" s="118"/>
      <c r="AA107" s="118"/>
      <c r="AB107" s="118"/>
      <c r="AC107" s="118"/>
      <c r="AD107" s="118"/>
      <c r="AE107" s="118"/>
      <c r="AL107" s="118"/>
      <c r="AM107" s="118"/>
      <c r="AN107" s="118"/>
      <c r="AO107" s="118"/>
      <c r="AP107" s="118"/>
    </row>
    <row r="108" spans="2:42" s="309" customFormat="1" ht="14.25">
      <c r="B108" s="435" t="s">
        <v>191</v>
      </c>
      <c r="C108" s="436"/>
      <c r="D108" s="436"/>
      <c r="E108" s="436"/>
      <c r="F108" s="436"/>
      <c r="G108" s="436"/>
      <c r="H108" s="436"/>
      <c r="I108" s="436"/>
      <c r="J108" s="436"/>
      <c r="K108" s="437"/>
      <c r="L108" s="323" t="s">
        <v>179</v>
      </c>
      <c r="M108" s="324">
        <v>245</v>
      </c>
      <c r="N108" s="324">
        <v>124</v>
      </c>
      <c r="O108" s="324">
        <v>69</v>
      </c>
      <c r="P108" s="348">
        <v>2.0960000000000001</v>
      </c>
      <c r="Q108" s="325">
        <v>675</v>
      </c>
      <c r="R108" s="325">
        <v>835</v>
      </c>
      <c r="S108" s="285" t="s">
        <v>323</v>
      </c>
      <c r="T108" s="285" t="s">
        <v>280</v>
      </c>
      <c r="U108" s="286"/>
      <c r="V108" s="286"/>
      <c r="W108" s="285"/>
      <c r="Y108" s="310"/>
      <c r="Z108" s="310">
        <f>Q108/20</f>
        <v>33.75</v>
      </c>
      <c r="AA108" s="310"/>
      <c r="AB108" s="310"/>
      <c r="AC108" s="310"/>
      <c r="AD108" s="310"/>
      <c r="AE108" s="310"/>
      <c r="AL108" s="310"/>
      <c r="AM108" s="310"/>
      <c r="AN108" s="310"/>
      <c r="AO108" s="310"/>
      <c r="AP108" s="310"/>
    </row>
    <row r="109" spans="2:42" s="119" customFormat="1" ht="16.5">
      <c r="B109" s="295">
        <v>70</v>
      </c>
      <c r="C109" s="296" t="s">
        <v>311</v>
      </c>
      <c r="D109" s="295"/>
      <c r="E109" s="300" t="s">
        <v>352</v>
      </c>
      <c r="F109" s="289"/>
      <c r="G109" s="305" t="s">
        <v>182</v>
      </c>
      <c r="H109" s="211" t="s">
        <v>178</v>
      </c>
      <c r="I109" s="295" t="s">
        <v>281</v>
      </c>
      <c r="J109" s="210">
        <v>5</v>
      </c>
      <c r="K109" s="304" t="s">
        <v>188</v>
      </c>
      <c r="L109" s="321"/>
      <c r="M109" s="322"/>
      <c r="N109" s="322"/>
      <c r="O109" s="322"/>
      <c r="P109" s="342"/>
      <c r="Q109" s="307">
        <v>168.75</v>
      </c>
      <c r="R109" s="307"/>
      <c r="S109" s="212"/>
      <c r="T109" s="311"/>
      <c r="U109" s="311"/>
      <c r="V109" s="311" t="s">
        <v>227</v>
      </c>
      <c r="W109" s="212" t="s">
        <v>330</v>
      </c>
      <c r="Y109" s="118"/>
      <c r="Z109" s="118"/>
      <c r="AA109" s="118"/>
      <c r="AB109" s="118"/>
      <c r="AC109" s="118"/>
      <c r="AD109" s="118"/>
      <c r="AE109" s="118"/>
      <c r="AL109" s="118"/>
      <c r="AM109" s="118"/>
      <c r="AN109" s="118"/>
      <c r="AO109" s="118"/>
      <c r="AP109" s="118"/>
    </row>
    <row r="110" spans="2:42" s="119" customFormat="1" ht="16.5">
      <c r="B110" s="295">
        <v>71</v>
      </c>
      <c r="C110" s="296" t="s">
        <v>311</v>
      </c>
      <c r="D110" s="295"/>
      <c r="E110" s="300" t="s">
        <v>354</v>
      </c>
      <c r="F110" s="289"/>
      <c r="G110" s="305" t="s">
        <v>182</v>
      </c>
      <c r="H110" s="211" t="s">
        <v>178</v>
      </c>
      <c r="I110" s="295" t="s">
        <v>281</v>
      </c>
      <c r="J110" s="210">
        <v>5</v>
      </c>
      <c r="K110" s="304" t="s">
        <v>226</v>
      </c>
      <c r="L110" s="321"/>
      <c r="M110" s="322"/>
      <c r="N110" s="322"/>
      <c r="O110" s="322"/>
      <c r="P110" s="342"/>
      <c r="Q110" s="307">
        <v>168.75</v>
      </c>
      <c r="R110" s="307"/>
      <c r="S110" s="212"/>
      <c r="T110" s="311"/>
      <c r="U110" s="311"/>
      <c r="V110" s="311" t="s">
        <v>228</v>
      </c>
      <c r="W110" s="212" t="s">
        <v>330</v>
      </c>
      <c r="Y110" s="118"/>
      <c r="Z110" s="118"/>
      <c r="AA110" s="118"/>
      <c r="AB110" s="118"/>
      <c r="AC110" s="118"/>
      <c r="AD110" s="118"/>
      <c r="AE110" s="118"/>
      <c r="AL110" s="118"/>
      <c r="AM110" s="118"/>
      <c r="AN110" s="118"/>
      <c r="AO110" s="118"/>
      <c r="AP110" s="118"/>
    </row>
    <row r="111" spans="2:42" s="119" customFormat="1" ht="16.5">
      <c r="B111" s="295">
        <v>72</v>
      </c>
      <c r="C111" s="296" t="s">
        <v>311</v>
      </c>
      <c r="D111" s="295"/>
      <c r="E111" s="227" t="s">
        <v>356</v>
      </c>
      <c r="F111" s="289"/>
      <c r="G111" s="305" t="s">
        <v>182</v>
      </c>
      <c r="H111" s="211" t="s">
        <v>178</v>
      </c>
      <c r="I111" s="295" t="s">
        <v>281</v>
      </c>
      <c r="J111" s="210">
        <v>5</v>
      </c>
      <c r="K111" s="304" t="s">
        <v>226</v>
      </c>
      <c r="L111" s="321"/>
      <c r="M111" s="322"/>
      <c r="N111" s="322"/>
      <c r="O111" s="322"/>
      <c r="P111" s="342"/>
      <c r="Q111" s="307">
        <v>168.75</v>
      </c>
      <c r="R111" s="307"/>
      <c r="S111" s="212"/>
      <c r="T111" s="311"/>
      <c r="U111" s="311"/>
      <c r="V111" s="311" t="s">
        <v>229</v>
      </c>
      <c r="W111" s="212" t="s">
        <v>330</v>
      </c>
      <c r="Y111" s="118"/>
      <c r="Z111" s="118"/>
      <c r="AA111" s="118"/>
      <c r="AB111" s="118"/>
      <c r="AC111" s="118"/>
      <c r="AD111" s="118"/>
      <c r="AE111" s="118"/>
      <c r="AL111" s="118"/>
      <c r="AM111" s="118"/>
      <c r="AN111" s="118"/>
      <c r="AO111" s="118"/>
      <c r="AP111" s="118"/>
    </row>
    <row r="112" spans="2:42" s="119" customFormat="1" ht="16.5">
      <c r="B112" s="295">
        <v>73</v>
      </c>
      <c r="C112" s="296" t="s">
        <v>311</v>
      </c>
      <c r="D112" s="295"/>
      <c r="E112" s="227" t="s">
        <v>233</v>
      </c>
      <c r="F112" s="289"/>
      <c r="G112" s="305" t="s">
        <v>182</v>
      </c>
      <c r="H112" s="211" t="s">
        <v>178</v>
      </c>
      <c r="I112" s="295" t="s">
        <v>281</v>
      </c>
      <c r="J112" s="210">
        <v>5</v>
      </c>
      <c r="K112" s="304" t="s">
        <v>226</v>
      </c>
      <c r="L112" s="321"/>
      <c r="M112" s="322"/>
      <c r="N112" s="322"/>
      <c r="O112" s="322"/>
      <c r="P112" s="342"/>
      <c r="Q112" s="307">
        <v>168.75</v>
      </c>
      <c r="R112" s="307"/>
      <c r="S112" s="212"/>
      <c r="T112" s="311"/>
      <c r="U112" s="311"/>
      <c r="V112" s="311" t="s">
        <v>230</v>
      </c>
      <c r="W112" s="212" t="s">
        <v>330</v>
      </c>
      <c r="Y112" s="118"/>
      <c r="Z112" s="118"/>
      <c r="AA112" s="118"/>
      <c r="AB112" s="118"/>
      <c r="AC112" s="118"/>
      <c r="AD112" s="118"/>
      <c r="AE112" s="118"/>
      <c r="AL112" s="118"/>
      <c r="AM112" s="118"/>
      <c r="AN112" s="118"/>
      <c r="AO112" s="118"/>
      <c r="AP112" s="118"/>
    </row>
    <row r="113" spans="2:42" s="309" customFormat="1" ht="14.25">
      <c r="B113" s="435" t="s">
        <v>191</v>
      </c>
      <c r="C113" s="436"/>
      <c r="D113" s="436"/>
      <c r="E113" s="436"/>
      <c r="F113" s="436"/>
      <c r="G113" s="436"/>
      <c r="H113" s="436"/>
      <c r="I113" s="436"/>
      <c r="J113" s="436"/>
      <c r="K113" s="437"/>
      <c r="L113" s="323" t="s">
        <v>179</v>
      </c>
      <c r="M113" s="324">
        <v>245</v>
      </c>
      <c r="N113" s="324">
        <v>124</v>
      </c>
      <c r="O113" s="324">
        <v>69</v>
      </c>
      <c r="P113" s="348">
        <v>2.0960000000000001</v>
      </c>
      <c r="Q113" s="325">
        <v>675</v>
      </c>
      <c r="R113" s="325">
        <v>835</v>
      </c>
      <c r="S113" s="285" t="s">
        <v>323</v>
      </c>
      <c r="T113" s="285" t="s">
        <v>280</v>
      </c>
      <c r="U113" s="286"/>
      <c r="V113" s="286"/>
      <c r="W113" s="285"/>
      <c r="Y113" s="310"/>
      <c r="Z113" s="310">
        <f>Q113/20</f>
        <v>33.75</v>
      </c>
      <c r="AA113" s="310"/>
      <c r="AB113" s="310"/>
      <c r="AC113" s="310"/>
      <c r="AD113" s="310"/>
      <c r="AE113" s="310"/>
      <c r="AL113" s="310"/>
      <c r="AM113" s="310"/>
      <c r="AN113" s="310"/>
      <c r="AO113" s="310"/>
      <c r="AP113" s="310"/>
    </row>
    <row r="114" spans="2:42" s="119" customFormat="1" ht="16.5">
      <c r="B114" s="295">
        <v>74</v>
      </c>
      <c r="C114" s="296" t="s">
        <v>312</v>
      </c>
      <c r="D114" s="295"/>
      <c r="E114" s="300" t="s">
        <v>352</v>
      </c>
      <c r="F114" s="289"/>
      <c r="G114" s="305" t="s">
        <v>182</v>
      </c>
      <c r="H114" s="211" t="s">
        <v>178</v>
      </c>
      <c r="I114" s="295" t="s">
        <v>281</v>
      </c>
      <c r="J114" s="210">
        <v>5</v>
      </c>
      <c r="K114" s="304" t="s">
        <v>188</v>
      </c>
      <c r="L114" s="321"/>
      <c r="M114" s="322"/>
      <c r="N114" s="322"/>
      <c r="O114" s="322"/>
      <c r="P114" s="342"/>
      <c r="Q114" s="307">
        <v>168.75</v>
      </c>
      <c r="R114" s="307"/>
      <c r="S114" s="212"/>
      <c r="T114" s="311"/>
      <c r="U114" s="311"/>
      <c r="V114" s="311" t="s">
        <v>227</v>
      </c>
      <c r="W114" s="212" t="s">
        <v>330</v>
      </c>
      <c r="Y114" s="118"/>
      <c r="Z114" s="118"/>
      <c r="AA114" s="118"/>
      <c r="AB114" s="118"/>
      <c r="AC114" s="118"/>
      <c r="AD114" s="118"/>
      <c r="AE114" s="118"/>
      <c r="AL114" s="118"/>
      <c r="AM114" s="118"/>
      <c r="AN114" s="118"/>
      <c r="AO114" s="118"/>
      <c r="AP114" s="118"/>
    </row>
    <row r="115" spans="2:42" s="119" customFormat="1" ht="16.5">
      <c r="B115" s="295">
        <v>75</v>
      </c>
      <c r="C115" s="296" t="s">
        <v>312</v>
      </c>
      <c r="D115" s="295"/>
      <c r="E115" s="300" t="s">
        <v>354</v>
      </c>
      <c r="F115" s="289"/>
      <c r="G115" s="305" t="s">
        <v>182</v>
      </c>
      <c r="H115" s="211" t="s">
        <v>178</v>
      </c>
      <c r="I115" s="295" t="s">
        <v>281</v>
      </c>
      <c r="J115" s="210">
        <v>5</v>
      </c>
      <c r="K115" s="304" t="s">
        <v>226</v>
      </c>
      <c r="L115" s="321"/>
      <c r="M115" s="322"/>
      <c r="N115" s="322"/>
      <c r="O115" s="322"/>
      <c r="P115" s="342"/>
      <c r="Q115" s="307">
        <v>168.75</v>
      </c>
      <c r="R115" s="307"/>
      <c r="S115" s="212"/>
      <c r="T115" s="311"/>
      <c r="U115" s="311"/>
      <c r="V115" s="311" t="s">
        <v>228</v>
      </c>
      <c r="W115" s="212" t="s">
        <v>330</v>
      </c>
      <c r="Y115" s="118"/>
      <c r="Z115" s="118"/>
      <c r="AA115" s="118"/>
      <c r="AB115" s="118"/>
      <c r="AC115" s="118"/>
      <c r="AD115" s="118"/>
      <c r="AE115" s="118"/>
      <c r="AL115" s="118"/>
      <c r="AM115" s="118"/>
      <c r="AN115" s="118"/>
      <c r="AO115" s="118"/>
      <c r="AP115" s="118"/>
    </row>
    <row r="116" spans="2:42" s="119" customFormat="1" ht="16.5">
      <c r="B116" s="295">
        <v>76</v>
      </c>
      <c r="C116" s="296" t="s">
        <v>312</v>
      </c>
      <c r="D116" s="295"/>
      <c r="E116" s="227" t="s">
        <v>356</v>
      </c>
      <c r="F116" s="289"/>
      <c r="G116" s="305" t="s">
        <v>182</v>
      </c>
      <c r="H116" s="211" t="s">
        <v>178</v>
      </c>
      <c r="I116" s="295" t="s">
        <v>281</v>
      </c>
      <c r="J116" s="210">
        <v>5</v>
      </c>
      <c r="K116" s="304" t="s">
        <v>226</v>
      </c>
      <c r="L116" s="321"/>
      <c r="M116" s="322"/>
      <c r="N116" s="322"/>
      <c r="O116" s="322"/>
      <c r="P116" s="342"/>
      <c r="Q116" s="307">
        <v>168.75</v>
      </c>
      <c r="R116" s="307"/>
      <c r="S116" s="212"/>
      <c r="T116" s="311"/>
      <c r="U116" s="311"/>
      <c r="V116" s="311" t="s">
        <v>229</v>
      </c>
      <c r="W116" s="212" t="s">
        <v>330</v>
      </c>
      <c r="Y116" s="118"/>
      <c r="Z116" s="118"/>
      <c r="AA116" s="118"/>
      <c r="AB116" s="118"/>
      <c r="AC116" s="118"/>
      <c r="AD116" s="118"/>
      <c r="AE116" s="118"/>
      <c r="AL116" s="118"/>
      <c r="AM116" s="118"/>
      <c r="AN116" s="118"/>
      <c r="AO116" s="118"/>
      <c r="AP116" s="118"/>
    </row>
    <row r="117" spans="2:42" s="119" customFormat="1" ht="16.5">
      <c r="B117" s="295">
        <v>77</v>
      </c>
      <c r="C117" s="296" t="s">
        <v>312</v>
      </c>
      <c r="D117" s="295"/>
      <c r="E117" s="227" t="s">
        <v>233</v>
      </c>
      <c r="F117" s="289"/>
      <c r="G117" s="305" t="s">
        <v>182</v>
      </c>
      <c r="H117" s="211" t="s">
        <v>178</v>
      </c>
      <c r="I117" s="295" t="s">
        <v>281</v>
      </c>
      <c r="J117" s="210">
        <v>5</v>
      </c>
      <c r="K117" s="304" t="s">
        <v>226</v>
      </c>
      <c r="L117" s="321"/>
      <c r="M117" s="322"/>
      <c r="N117" s="322"/>
      <c r="O117" s="322"/>
      <c r="P117" s="342"/>
      <c r="Q117" s="307">
        <v>168.75</v>
      </c>
      <c r="R117" s="307"/>
      <c r="S117" s="212"/>
      <c r="T117" s="311"/>
      <c r="U117" s="311"/>
      <c r="V117" s="311" t="s">
        <v>230</v>
      </c>
      <c r="W117" s="212" t="s">
        <v>330</v>
      </c>
      <c r="Y117" s="118"/>
      <c r="Z117" s="118"/>
      <c r="AA117" s="118"/>
      <c r="AB117" s="118"/>
      <c r="AC117" s="118"/>
      <c r="AD117" s="118"/>
      <c r="AE117" s="118"/>
      <c r="AL117" s="118"/>
      <c r="AM117" s="118"/>
      <c r="AN117" s="118"/>
      <c r="AO117" s="118"/>
      <c r="AP117" s="118"/>
    </row>
    <row r="118" spans="2:42" s="309" customFormat="1" ht="14.25">
      <c r="B118" s="435" t="s">
        <v>191</v>
      </c>
      <c r="C118" s="436"/>
      <c r="D118" s="436"/>
      <c r="E118" s="436"/>
      <c r="F118" s="436"/>
      <c r="G118" s="436"/>
      <c r="H118" s="436"/>
      <c r="I118" s="436"/>
      <c r="J118" s="436"/>
      <c r="K118" s="437"/>
      <c r="L118" s="323" t="s">
        <v>179</v>
      </c>
      <c r="M118" s="324">
        <v>245</v>
      </c>
      <c r="N118" s="324">
        <v>124</v>
      </c>
      <c r="O118" s="324">
        <v>69</v>
      </c>
      <c r="P118" s="348">
        <v>2.0960000000000001</v>
      </c>
      <c r="Q118" s="325">
        <v>675</v>
      </c>
      <c r="R118" s="325">
        <v>835</v>
      </c>
      <c r="S118" s="285" t="s">
        <v>323</v>
      </c>
      <c r="T118" s="285" t="s">
        <v>280</v>
      </c>
      <c r="U118" s="286"/>
      <c r="V118" s="286"/>
      <c r="W118" s="285"/>
      <c r="Y118" s="310"/>
      <c r="Z118" s="310">
        <f>Q118/20</f>
        <v>33.75</v>
      </c>
      <c r="AA118" s="310"/>
      <c r="AB118" s="310"/>
      <c r="AC118" s="310"/>
      <c r="AD118" s="310"/>
      <c r="AE118" s="310"/>
      <c r="AL118" s="310"/>
      <c r="AM118" s="310"/>
      <c r="AN118" s="310"/>
      <c r="AO118" s="310"/>
      <c r="AP118" s="310"/>
    </row>
    <row r="119" spans="2:42" s="119" customFormat="1" ht="16.5">
      <c r="B119" s="295">
        <v>78</v>
      </c>
      <c r="C119" s="296" t="s">
        <v>313</v>
      </c>
      <c r="D119" s="295"/>
      <c r="E119" s="300" t="s">
        <v>352</v>
      </c>
      <c r="F119" s="289"/>
      <c r="G119" s="305" t="s">
        <v>182</v>
      </c>
      <c r="H119" s="211" t="s">
        <v>178</v>
      </c>
      <c r="I119" s="295" t="s">
        <v>281</v>
      </c>
      <c r="J119" s="210">
        <v>5</v>
      </c>
      <c r="K119" s="304" t="s">
        <v>188</v>
      </c>
      <c r="L119" s="321"/>
      <c r="M119" s="322"/>
      <c r="N119" s="322"/>
      <c r="O119" s="322"/>
      <c r="P119" s="342"/>
      <c r="Q119" s="307">
        <v>168.75</v>
      </c>
      <c r="R119" s="307"/>
      <c r="S119" s="212"/>
      <c r="T119" s="311"/>
      <c r="U119" s="311"/>
      <c r="V119" s="311" t="s">
        <v>227</v>
      </c>
      <c r="W119" s="212" t="s">
        <v>330</v>
      </c>
      <c r="Y119" s="118"/>
      <c r="Z119" s="118"/>
      <c r="AA119" s="118"/>
      <c r="AB119" s="118"/>
      <c r="AC119" s="118"/>
      <c r="AD119" s="118"/>
      <c r="AE119" s="118"/>
      <c r="AL119" s="118"/>
      <c r="AM119" s="118"/>
      <c r="AN119" s="118"/>
      <c r="AO119" s="118"/>
      <c r="AP119" s="118"/>
    </row>
    <row r="120" spans="2:42" s="119" customFormat="1" ht="16.5">
      <c r="B120" s="295">
        <v>79</v>
      </c>
      <c r="C120" s="296" t="s">
        <v>313</v>
      </c>
      <c r="D120" s="295"/>
      <c r="E120" s="300" t="s">
        <v>354</v>
      </c>
      <c r="F120" s="289"/>
      <c r="G120" s="305" t="s">
        <v>182</v>
      </c>
      <c r="H120" s="211" t="s">
        <v>178</v>
      </c>
      <c r="I120" s="295" t="s">
        <v>281</v>
      </c>
      <c r="J120" s="210">
        <v>5</v>
      </c>
      <c r="K120" s="304" t="s">
        <v>226</v>
      </c>
      <c r="L120" s="321"/>
      <c r="M120" s="322"/>
      <c r="N120" s="322"/>
      <c r="O120" s="322"/>
      <c r="P120" s="342"/>
      <c r="Q120" s="307">
        <v>168.75</v>
      </c>
      <c r="R120" s="307"/>
      <c r="S120" s="212"/>
      <c r="T120" s="311"/>
      <c r="U120" s="311"/>
      <c r="V120" s="311" t="s">
        <v>228</v>
      </c>
      <c r="W120" s="212" t="s">
        <v>330</v>
      </c>
      <c r="Y120" s="118"/>
      <c r="Z120" s="118"/>
      <c r="AA120" s="118"/>
      <c r="AB120" s="118"/>
      <c r="AC120" s="118"/>
      <c r="AD120" s="118"/>
      <c r="AE120" s="118"/>
      <c r="AL120" s="118"/>
      <c r="AM120" s="118"/>
      <c r="AN120" s="118"/>
      <c r="AO120" s="118"/>
      <c r="AP120" s="118"/>
    </row>
    <row r="121" spans="2:42" s="119" customFormat="1" ht="16.5">
      <c r="B121" s="295">
        <v>80</v>
      </c>
      <c r="C121" s="296" t="s">
        <v>313</v>
      </c>
      <c r="D121" s="295"/>
      <c r="E121" s="227" t="s">
        <v>356</v>
      </c>
      <c r="F121" s="289"/>
      <c r="G121" s="305" t="s">
        <v>182</v>
      </c>
      <c r="H121" s="211" t="s">
        <v>178</v>
      </c>
      <c r="I121" s="295" t="s">
        <v>281</v>
      </c>
      <c r="J121" s="210">
        <v>5</v>
      </c>
      <c r="K121" s="304" t="s">
        <v>226</v>
      </c>
      <c r="L121" s="321"/>
      <c r="M121" s="322"/>
      <c r="N121" s="322"/>
      <c r="O121" s="322"/>
      <c r="P121" s="342"/>
      <c r="Q121" s="307">
        <v>168.75</v>
      </c>
      <c r="R121" s="307"/>
      <c r="S121" s="212"/>
      <c r="T121" s="311"/>
      <c r="U121" s="311"/>
      <c r="V121" s="311" t="s">
        <v>229</v>
      </c>
      <c r="W121" s="212" t="s">
        <v>330</v>
      </c>
      <c r="Y121" s="118"/>
      <c r="Z121" s="118"/>
      <c r="AA121" s="118"/>
      <c r="AB121" s="118"/>
      <c r="AC121" s="118"/>
      <c r="AD121" s="118"/>
      <c r="AE121" s="118"/>
      <c r="AL121" s="118"/>
      <c r="AM121" s="118"/>
      <c r="AN121" s="118"/>
      <c r="AO121" s="118"/>
      <c r="AP121" s="118"/>
    </row>
    <row r="122" spans="2:42" s="119" customFormat="1" ht="16.5">
      <c r="B122" s="295">
        <v>81</v>
      </c>
      <c r="C122" s="296" t="s">
        <v>313</v>
      </c>
      <c r="D122" s="295"/>
      <c r="E122" s="227" t="s">
        <v>233</v>
      </c>
      <c r="F122" s="289"/>
      <c r="G122" s="305" t="s">
        <v>182</v>
      </c>
      <c r="H122" s="211" t="s">
        <v>178</v>
      </c>
      <c r="I122" s="295" t="s">
        <v>281</v>
      </c>
      <c r="J122" s="210">
        <v>5</v>
      </c>
      <c r="K122" s="304" t="s">
        <v>226</v>
      </c>
      <c r="L122" s="321"/>
      <c r="M122" s="322"/>
      <c r="N122" s="322"/>
      <c r="O122" s="322"/>
      <c r="P122" s="342"/>
      <c r="Q122" s="307">
        <v>168.75</v>
      </c>
      <c r="R122" s="307"/>
      <c r="S122" s="212"/>
      <c r="T122" s="311"/>
      <c r="U122" s="311"/>
      <c r="V122" s="311" t="s">
        <v>230</v>
      </c>
      <c r="W122" s="212" t="s">
        <v>330</v>
      </c>
      <c r="Y122" s="118"/>
      <c r="Z122" s="118"/>
      <c r="AA122" s="118"/>
      <c r="AB122" s="118"/>
      <c r="AC122" s="118"/>
      <c r="AD122" s="118"/>
      <c r="AE122" s="118"/>
      <c r="AL122" s="118"/>
      <c r="AM122" s="118"/>
      <c r="AN122" s="118"/>
      <c r="AO122" s="118"/>
      <c r="AP122" s="118"/>
    </row>
    <row r="123" spans="2:42" s="309" customFormat="1" ht="14.25">
      <c r="B123" s="435" t="s">
        <v>191</v>
      </c>
      <c r="C123" s="436"/>
      <c r="D123" s="436"/>
      <c r="E123" s="436"/>
      <c r="F123" s="436"/>
      <c r="G123" s="436"/>
      <c r="H123" s="436"/>
      <c r="I123" s="436"/>
      <c r="J123" s="436"/>
      <c r="K123" s="437"/>
      <c r="L123" s="323" t="s">
        <v>179</v>
      </c>
      <c r="M123" s="324">
        <v>245</v>
      </c>
      <c r="N123" s="324">
        <v>124</v>
      </c>
      <c r="O123" s="324">
        <v>69</v>
      </c>
      <c r="P123" s="348">
        <v>2.0960000000000001</v>
      </c>
      <c r="Q123" s="325">
        <v>675</v>
      </c>
      <c r="R123" s="325">
        <v>835</v>
      </c>
      <c r="S123" s="285" t="s">
        <v>323</v>
      </c>
      <c r="T123" s="285" t="s">
        <v>280</v>
      </c>
      <c r="U123" s="286"/>
      <c r="V123" s="286"/>
      <c r="W123" s="285"/>
      <c r="Y123" s="310"/>
      <c r="Z123" s="310">
        <f>Q123/20</f>
        <v>33.75</v>
      </c>
      <c r="AA123" s="310"/>
      <c r="AB123" s="310"/>
      <c r="AC123" s="310"/>
      <c r="AD123" s="310"/>
      <c r="AE123" s="310"/>
      <c r="AL123" s="310"/>
      <c r="AM123" s="310"/>
      <c r="AN123" s="310"/>
      <c r="AO123" s="310"/>
      <c r="AP123" s="310"/>
    </row>
    <row r="124" spans="2:42" s="119" customFormat="1" ht="16.5">
      <c r="B124" s="295">
        <v>82</v>
      </c>
      <c r="C124" s="296" t="s">
        <v>314</v>
      </c>
      <c r="D124" s="295"/>
      <c r="E124" s="227" t="s">
        <v>352</v>
      </c>
      <c r="F124" s="299"/>
      <c r="G124" s="305" t="s">
        <v>182</v>
      </c>
      <c r="H124" s="211" t="s">
        <v>178</v>
      </c>
      <c r="I124" s="295" t="s">
        <v>281</v>
      </c>
      <c r="J124" s="210">
        <v>2</v>
      </c>
      <c r="K124" s="304" t="s">
        <v>188</v>
      </c>
      <c r="L124" s="321"/>
      <c r="M124" s="322"/>
      <c r="N124" s="322"/>
      <c r="O124" s="322"/>
      <c r="P124" s="342"/>
      <c r="Q124" s="307">
        <v>67.5</v>
      </c>
      <c r="R124" s="307"/>
      <c r="S124" s="212"/>
      <c r="T124" s="311"/>
      <c r="U124" s="311"/>
      <c r="V124" s="311" t="s">
        <v>222</v>
      </c>
      <c r="W124" s="212" t="s">
        <v>330</v>
      </c>
      <c r="Y124" s="118"/>
      <c r="Z124" s="118"/>
      <c r="AA124" s="118"/>
      <c r="AB124" s="118"/>
      <c r="AC124" s="118"/>
      <c r="AD124" s="118"/>
      <c r="AE124" s="118"/>
      <c r="AL124" s="118"/>
      <c r="AM124" s="118"/>
      <c r="AN124" s="118"/>
      <c r="AO124" s="118"/>
      <c r="AP124" s="118"/>
    </row>
    <row r="125" spans="2:42" s="119" customFormat="1" ht="16.5">
      <c r="B125" s="295">
        <v>83</v>
      </c>
      <c r="C125" s="296" t="s">
        <v>314</v>
      </c>
      <c r="D125" s="295"/>
      <c r="E125" s="300" t="s">
        <v>354</v>
      </c>
      <c r="F125" s="289"/>
      <c r="G125" s="305" t="s">
        <v>182</v>
      </c>
      <c r="H125" s="211" t="s">
        <v>178</v>
      </c>
      <c r="I125" s="295" t="s">
        <v>281</v>
      </c>
      <c r="J125" s="210">
        <v>2</v>
      </c>
      <c r="K125" s="304" t="s">
        <v>226</v>
      </c>
      <c r="L125" s="321"/>
      <c r="M125" s="322"/>
      <c r="N125" s="322"/>
      <c r="O125" s="322"/>
      <c r="P125" s="342"/>
      <c r="Q125" s="307">
        <v>67.5</v>
      </c>
      <c r="R125" s="307"/>
      <c r="S125" s="212"/>
      <c r="T125" s="311"/>
      <c r="U125" s="311"/>
      <c r="V125" s="311" t="s">
        <v>223</v>
      </c>
      <c r="W125" s="212" t="s">
        <v>330</v>
      </c>
      <c r="Y125" s="118"/>
      <c r="Z125" s="118"/>
      <c r="AA125" s="118"/>
      <c r="AB125" s="118"/>
      <c r="AC125" s="118"/>
      <c r="AD125" s="118"/>
      <c r="AE125" s="118"/>
      <c r="AL125" s="118"/>
      <c r="AM125" s="118"/>
      <c r="AN125" s="118"/>
      <c r="AO125" s="118"/>
      <c r="AP125" s="118"/>
    </row>
    <row r="126" spans="2:42" s="119" customFormat="1" ht="16.5">
      <c r="B126" s="295">
        <v>84</v>
      </c>
      <c r="C126" s="296" t="s">
        <v>314</v>
      </c>
      <c r="D126" s="295"/>
      <c r="E126" s="300" t="s">
        <v>356</v>
      </c>
      <c r="F126" s="289"/>
      <c r="G126" s="305" t="s">
        <v>182</v>
      </c>
      <c r="H126" s="211" t="s">
        <v>178</v>
      </c>
      <c r="I126" s="295" t="s">
        <v>281</v>
      </c>
      <c r="J126" s="210">
        <v>2</v>
      </c>
      <c r="K126" s="304" t="s">
        <v>226</v>
      </c>
      <c r="L126" s="321"/>
      <c r="M126" s="322"/>
      <c r="N126" s="322"/>
      <c r="O126" s="322"/>
      <c r="P126" s="342"/>
      <c r="Q126" s="307">
        <v>67.5</v>
      </c>
      <c r="R126" s="307"/>
      <c r="S126" s="212"/>
      <c r="T126" s="311"/>
      <c r="U126" s="311"/>
      <c r="V126" s="311" t="s">
        <v>224</v>
      </c>
      <c r="W126" s="212" t="s">
        <v>330</v>
      </c>
      <c r="Y126" s="118"/>
      <c r="Z126" s="118"/>
      <c r="AA126" s="118"/>
      <c r="AB126" s="118"/>
      <c r="AC126" s="118"/>
      <c r="AD126" s="118"/>
      <c r="AE126" s="118"/>
      <c r="AL126" s="118"/>
      <c r="AM126" s="118"/>
      <c r="AN126" s="118"/>
      <c r="AO126" s="118"/>
      <c r="AP126" s="118"/>
    </row>
    <row r="127" spans="2:42" s="119" customFormat="1" ht="16.5">
      <c r="B127" s="295">
        <v>85</v>
      </c>
      <c r="C127" s="296" t="s">
        <v>314</v>
      </c>
      <c r="D127" s="295"/>
      <c r="E127" s="300" t="s">
        <v>233</v>
      </c>
      <c r="F127" s="289"/>
      <c r="G127" s="305" t="s">
        <v>182</v>
      </c>
      <c r="H127" s="211" t="s">
        <v>178</v>
      </c>
      <c r="I127" s="295" t="s">
        <v>281</v>
      </c>
      <c r="J127" s="210">
        <v>2</v>
      </c>
      <c r="K127" s="304" t="s">
        <v>226</v>
      </c>
      <c r="L127" s="321"/>
      <c r="M127" s="322"/>
      <c r="N127" s="322"/>
      <c r="O127" s="322"/>
      <c r="P127" s="342"/>
      <c r="Q127" s="307">
        <v>67.5</v>
      </c>
      <c r="R127" s="307"/>
      <c r="S127" s="212"/>
      <c r="T127" s="311"/>
      <c r="U127" s="311"/>
      <c r="V127" s="311" t="s">
        <v>225</v>
      </c>
      <c r="W127" s="212" t="s">
        <v>330</v>
      </c>
      <c r="Y127" s="118"/>
      <c r="Z127" s="118"/>
      <c r="AA127" s="118"/>
      <c r="AB127" s="118"/>
      <c r="AC127" s="118"/>
      <c r="AD127" s="118"/>
      <c r="AE127" s="118"/>
      <c r="AL127" s="118"/>
      <c r="AM127" s="118"/>
      <c r="AN127" s="118"/>
      <c r="AO127" s="118"/>
      <c r="AP127" s="118"/>
    </row>
    <row r="128" spans="2:42" s="119" customFormat="1" ht="16.5">
      <c r="B128" s="295">
        <v>86</v>
      </c>
      <c r="C128" s="296" t="s">
        <v>314</v>
      </c>
      <c r="D128" s="295"/>
      <c r="E128" s="300" t="s">
        <v>352</v>
      </c>
      <c r="F128" s="289"/>
      <c r="G128" s="305" t="s">
        <v>182</v>
      </c>
      <c r="H128" s="211" t="s">
        <v>178</v>
      </c>
      <c r="I128" s="295" t="s">
        <v>281</v>
      </c>
      <c r="J128" s="210">
        <v>3</v>
      </c>
      <c r="K128" s="304" t="s">
        <v>188</v>
      </c>
      <c r="L128" s="321"/>
      <c r="M128" s="322"/>
      <c r="N128" s="322"/>
      <c r="O128" s="322"/>
      <c r="P128" s="342"/>
      <c r="Q128" s="307">
        <v>101.25</v>
      </c>
      <c r="R128" s="307"/>
      <c r="S128" s="212"/>
      <c r="T128" s="311"/>
      <c r="U128" s="311"/>
      <c r="V128" s="311" t="s">
        <v>227</v>
      </c>
      <c r="W128" s="212" t="s">
        <v>330</v>
      </c>
      <c r="Y128" s="118"/>
      <c r="Z128" s="118"/>
      <c r="AA128" s="118"/>
      <c r="AB128" s="118"/>
      <c r="AC128" s="118"/>
      <c r="AD128" s="118"/>
      <c r="AE128" s="118"/>
      <c r="AL128" s="118"/>
      <c r="AM128" s="118"/>
      <c r="AN128" s="118"/>
      <c r="AO128" s="118"/>
      <c r="AP128" s="118"/>
    </row>
    <row r="129" spans="2:42" s="119" customFormat="1" ht="16.5">
      <c r="B129" s="295">
        <v>87</v>
      </c>
      <c r="C129" s="296" t="s">
        <v>314</v>
      </c>
      <c r="D129" s="295"/>
      <c r="E129" s="300" t="s">
        <v>354</v>
      </c>
      <c r="F129" s="289"/>
      <c r="G129" s="305" t="s">
        <v>182</v>
      </c>
      <c r="H129" s="211" t="s">
        <v>178</v>
      </c>
      <c r="I129" s="295" t="s">
        <v>281</v>
      </c>
      <c r="J129" s="210">
        <v>3</v>
      </c>
      <c r="K129" s="304" t="s">
        <v>226</v>
      </c>
      <c r="L129" s="321"/>
      <c r="M129" s="322"/>
      <c r="N129" s="322"/>
      <c r="O129" s="322"/>
      <c r="P129" s="342"/>
      <c r="Q129" s="307">
        <v>101.25</v>
      </c>
      <c r="R129" s="307"/>
      <c r="S129" s="212"/>
      <c r="T129" s="311"/>
      <c r="U129" s="311"/>
      <c r="V129" s="311" t="s">
        <v>228</v>
      </c>
      <c r="W129" s="212" t="s">
        <v>330</v>
      </c>
      <c r="Y129" s="118"/>
      <c r="Z129" s="118"/>
      <c r="AA129" s="118"/>
      <c r="AB129" s="118"/>
      <c r="AC129" s="118"/>
      <c r="AD129" s="118"/>
      <c r="AE129" s="118"/>
      <c r="AL129" s="118"/>
      <c r="AM129" s="118"/>
      <c r="AN129" s="118"/>
      <c r="AO129" s="118"/>
      <c r="AP129" s="118"/>
    </row>
    <row r="130" spans="2:42" s="119" customFormat="1" ht="16.5">
      <c r="B130" s="295">
        <v>88</v>
      </c>
      <c r="C130" s="296" t="s">
        <v>314</v>
      </c>
      <c r="D130" s="295"/>
      <c r="E130" s="300" t="s">
        <v>356</v>
      </c>
      <c r="F130" s="289"/>
      <c r="G130" s="305" t="s">
        <v>182</v>
      </c>
      <c r="H130" s="211" t="s">
        <v>178</v>
      </c>
      <c r="I130" s="295" t="s">
        <v>281</v>
      </c>
      <c r="J130" s="210">
        <v>3</v>
      </c>
      <c r="K130" s="304" t="s">
        <v>226</v>
      </c>
      <c r="L130" s="321"/>
      <c r="M130" s="322"/>
      <c r="N130" s="322"/>
      <c r="O130" s="322"/>
      <c r="P130" s="342"/>
      <c r="Q130" s="307">
        <v>101.25</v>
      </c>
      <c r="R130" s="307"/>
      <c r="S130" s="212"/>
      <c r="T130" s="311"/>
      <c r="U130" s="311"/>
      <c r="V130" s="311" t="s">
        <v>229</v>
      </c>
      <c r="W130" s="212" t="s">
        <v>330</v>
      </c>
      <c r="Y130" s="118"/>
      <c r="Z130" s="118"/>
      <c r="AA130" s="118"/>
      <c r="AB130" s="118"/>
      <c r="AC130" s="118"/>
      <c r="AD130" s="118"/>
      <c r="AE130" s="118"/>
      <c r="AL130" s="118"/>
      <c r="AM130" s="118"/>
      <c r="AN130" s="118"/>
      <c r="AO130" s="118"/>
      <c r="AP130" s="118"/>
    </row>
    <row r="131" spans="2:42" s="119" customFormat="1" ht="16.5">
      <c r="B131" s="295">
        <v>89</v>
      </c>
      <c r="C131" s="296" t="s">
        <v>314</v>
      </c>
      <c r="D131" s="295"/>
      <c r="E131" s="300" t="s">
        <v>233</v>
      </c>
      <c r="F131" s="289"/>
      <c r="G131" s="305" t="s">
        <v>182</v>
      </c>
      <c r="H131" s="211" t="s">
        <v>178</v>
      </c>
      <c r="I131" s="295" t="s">
        <v>281</v>
      </c>
      <c r="J131" s="210">
        <v>3</v>
      </c>
      <c r="K131" s="304" t="s">
        <v>226</v>
      </c>
      <c r="L131" s="321"/>
      <c r="M131" s="322"/>
      <c r="N131" s="322"/>
      <c r="O131" s="322"/>
      <c r="P131" s="342"/>
      <c r="Q131" s="307">
        <v>101.25</v>
      </c>
      <c r="R131" s="307"/>
      <c r="S131" s="212"/>
      <c r="T131" s="311"/>
      <c r="U131" s="311"/>
      <c r="V131" s="311" t="s">
        <v>230</v>
      </c>
      <c r="W131" s="212" t="s">
        <v>330</v>
      </c>
      <c r="Y131" s="118"/>
      <c r="Z131" s="118"/>
      <c r="AA131" s="118"/>
      <c r="AB131" s="118"/>
      <c r="AC131" s="118"/>
      <c r="AD131" s="118"/>
      <c r="AE131" s="118"/>
      <c r="AL131" s="118"/>
      <c r="AM131" s="118"/>
      <c r="AN131" s="118"/>
      <c r="AO131" s="118"/>
      <c r="AP131" s="118"/>
    </row>
    <row r="132" spans="2:42" s="309" customFormat="1" ht="14.25">
      <c r="B132" s="435" t="s">
        <v>191</v>
      </c>
      <c r="C132" s="436"/>
      <c r="D132" s="436"/>
      <c r="E132" s="436"/>
      <c r="F132" s="436"/>
      <c r="G132" s="436"/>
      <c r="H132" s="436"/>
      <c r="I132" s="436"/>
      <c r="J132" s="436"/>
      <c r="K132" s="437"/>
      <c r="L132" s="323" t="s">
        <v>179</v>
      </c>
      <c r="M132" s="324">
        <v>245</v>
      </c>
      <c r="N132" s="324">
        <v>124</v>
      </c>
      <c r="O132" s="324">
        <v>69</v>
      </c>
      <c r="P132" s="348">
        <v>2.0960000000000001</v>
      </c>
      <c r="Q132" s="325">
        <v>675</v>
      </c>
      <c r="R132" s="325">
        <v>835</v>
      </c>
      <c r="S132" s="285" t="s">
        <v>323</v>
      </c>
      <c r="T132" s="285" t="s">
        <v>280</v>
      </c>
      <c r="U132" s="286"/>
      <c r="V132" s="286"/>
      <c r="W132" s="285"/>
      <c r="Y132" s="310"/>
      <c r="Z132" s="310">
        <f>Q132/20</f>
        <v>33.75</v>
      </c>
      <c r="AA132" s="310"/>
      <c r="AB132" s="310"/>
      <c r="AC132" s="310"/>
      <c r="AD132" s="310"/>
      <c r="AE132" s="310"/>
      <c r="AL132" s="310"/>
      <c r="AM132" s="310"/>
      <c r="AN132" s="310"/>
      <c r="AO132" s="310"/>
      <c r="AP132" s="310"/>
    </row>
    <row r="133" spans="2:42" s="119" customFormat="1" ht="16.5">
      <c r="B133" s="295">
        <v>90</v>
      </c>
      <c r="C133" s="296" t="s">
        <v>315</v>
      </c>
      <c r="D133" s="295"/>
      <c r="E133" s="300" t="s">
        <v>175</v>
      </c>
      <c r="F133" s="289"/>
      <c r="G133" s="305" t="s">
        <v>182</v>
      </c>
      <c r="H133" s="211" t="s">
        <v>178</v>
      </c>
      <c r="I133" s="295" t="s">
        <v>281</v>
      </c>
      <c r="J133" s="210">
        <v>40</v>
      </c>
      <c r="K133" s="304" t="s">
        <v>188</v>
      </c>
      <c r="L133" s="321"/>
      <c r="M133" s="322"/>
      <c r="N133" s="322"/>
      <c r="O133" s="322"/>
      <c r="P133" s="342"/>
      <c r="Q133" s="307">
        <v>132.75</v>
      </c>
      <c r="R133" s="307"/>
      <c r="S133" s="212"/>
      <c r="T133" s="311"/>
      <c r="U133" s="311"/>
      <c r="V133" s="311" t="s">
        <v>234</v>
      </c>
      <c r="W133" s="212" t="s">
        <v>330</v>
      </c>
      <c r="Y133" s="118"/>
      <c r="Z133" s="118"/>
      <c r="AA133" s="118"/>
      <c r="AB133" s="118"/>
      <c r="AC133" s="118"/>
      <c r="AD133" s="118"/>
      <c r="AE133" s="118"/>
      <c r="AL133" s="118"/>
      <c r="AM133" s="118"/>
      <c r="AN133" s="118"/>
      <c r="AO133" s="118"/>
      <c r="AP133" s="118"/>
    </row>
    <row r="134" spans="2:42" s="119" customFormat="1" ht="16.5">
      <c r="B134" s="295">
        <v>91</v>
      </c>
      <c r="C134" s="296" t="s">
        <v>315</v>
      </c>
      <c r="D134" s="295"/>
      <c r="E134" s="300" t="s">
        <v>231</v>
      </c>
      <c r="F134" s="289"/>
      <c r="G134" s="305" t="s">
        <v>182</v>
      </c>
      <c r="H134" s="211" t="s">
        <v>178</v>
      </c>
      <c r="I134" s="295" t="s">
        <v>281</v>
      </c>
      <c r="J134" s="210">
        <v>40</v>
      </c>
      <c r="K134" s="304" t="s">
        <v>226</v>
      </c>
      <c r="L134" s="321"/>
      <c r="M134" s="322"/>
      <c r="N134" s="322"/>
      <c r="O134" s="322"/>
      <c r="P134" s="342"/>
      <c r="Q134" s="307">
        <v>132.75</v>
      </c>
      <c r="R134" s="307"/>
      <c r="S134" s="212"/>
      <c r="T134" s="311"/>
      <c r="U134" s="311"/>
      <c r="V134" s="311" t="s">
        <v>235</v>
      </c>
      <c r="W134" s="212" t="s">
        <v>330</v>
      </c>
      <c r="Y134" s="118"/>
      <c r="Z134" s="118"/>
      <c r="AA134" s="118"/>
      <c r="AB134" s="118"/>
      <c r="AC134" s="118"/>
      <c r="AD134" s="118"/>
      <c r="AE134" s="118"/>
      <c r="AL134" s="118"/>
      <c r="AM134" s="118"/>
      <c r="AN134" s="118"/>
      <c r="AO134" s="118"/>
      <c r="AP134" s="118"/>
    </row>
    <row r="135" spans="2:42" s="119" customFormat="1" ht="16.5">
      <c r="B135" s="295">
        <v>92</v>
      </c>
      <c r="C135" s="296" t="s">
        <v>315</v>
      </c>
      <c r="D135" s="295"/>
      <c r="E135" s="227" t="s">
        <v>232</v>
      </c>
      <c r="F135" s="289"/>
      <c r="G135" s="305" t="s">
        <v>182</v>
      </c>
      <c r="H135" s="211" t="s">
        <v>178</v>
      </c>
      <c r="I135" s="295" t="s">
        <v>281</v>
      </c>
      <c r="J135" s="210">
        <v>40</v>
      </c>
      <c r="K135" s="304" t="s">
        <v>226</v>
      </c>
      <c r="L135" s="321"/>
      <c r="M135" s="322"/>
      <c r="N135" s="322"/>
      <c r="O135" s="322"/>
      <c r="P135" s="342"/>
      <c r="Q135" s="307">
        <v>132.75</v>
      </c>
      <c r="R135" s="307"/>
      <c r="S135" s="212"/>
      <c r="T135" s="311"/>
      <c r="U135" s="311"/>
      <c r="V135" s="311" t="s">
        <v>236</v>
      </c>
      <c r="W135" s="212" t="s">
        <v>330</v>
      </c>
      <c r="Y135" s="118"/>
      <c r="Z135" s="118"/>
      <c r="AA135" s="118"/>
      <c r="AB135" s="118"/>
      <c r="AC135" s="118"/>
      <c r="AD135" s="118"/>
      <c r="AE135" s="118"/>
      <c r="AL135" s="118"/>
      <c r="AM135" s="118"/>
      <c r="AN135" s="118"/>
      <c r="AO135" s="118"/>
      <c r="AP135" s="118"/>
    </row>
    <row r="136" spans="2:42" s="119" customFormat="1" ht="16.5">
      <c r="B136" s="295">
        <v>93</v>
      </c>
      <c r="C136" s="296" t="s">
        <v>315</v>
      </c>
      <c r="D136" s="295"/>
      <c r="E136" s="227" t="s">
        <v>233</v>
      </c>
      <c r="F136" s="289"/>
      <c r="G136" s="305" t="s">
        <v>182</v>
      </c>
      <c r="H136" s="211" t="s">
        <v>178</v>
      </c>
      <c r="I136" s="295" t="s">
        <v>281</v>
      </c>
      <c r="J136" s="210">
        <v>40</v>
      </c>
      <c r="K136" s="304" t="s">
        <v>226</v>
      </c>
      <c r="L136" s="321"/>
      <c r="M136" s="322"/>
      <c r="N136" s="322"/>
      <c r="O136" s="322"/>
      <c r="P136" s="342"/>
      <c r="Q136" s="307">
        <v>132.75</v>
      </c>
      <c r="R136" s="307"/>
      <c r="S136" s="212"/>
      <c r="T136" s="311"/>
      <c r="U136" s="311"/>
      <c r="V136" s="311" t="s">
        <v>237</v>
      </c>
      <c r="W136" s="212" t="s">
        <v>330</v>
      </c>
      <c r="Y136" s="118"/>
      <c r="Z136" s="118"/>
      <c r="AA136" s="118"/>
      <c r="AB136" s="118"/>
      <c r="AC136" s="118"/>
      <c r="AD136" s="118"/>
      <c r="AE136" s="118"/>
      <c r="AL136" s="118"/>
      <c r="AM136" s="118"/>
      <c r="AN136" s="118"/>
      <c r="AO136" s="118"/>
      <c r="AP136" s="118"/>
    </row>
    <row r="137" spans="2:42" s="309" customFormat="1" ht="14.25">
      <c r="B137" s="435" t="s">
        <v>191</v>
      </c>
      <c r="C137" s="436"/>
      <c r="D137" s="436"/>
      <c r="E137" s="436"/>
      <c r="F137" s="436"/>
      <c r="G137" s="436"/>
      <c r="H137" s="436"/>
      <c r="I137" s="436"/>
      <c r="J137" s="436"/>
      <c r="K137" s="437"/>
      <c r="L137" s="323" t="s">
        <v>179</v>
      </c>
      <c r="M137" s="324">
        <v>140</v>
      </c>
      <c r="N137" s="324">
        <v>140</v>
      </c>
      <c r="O137" s="324">
        <v>113</v>
      </c>
      <c r="P137" s="348">
        <v>2.2149999999999999</v>
      </c>
      <c r="Q137" s="325">
        <v>531</v>
      </c>
      <c r="R137" s="325">
        <v>660</v>
      </c>
      <c r="S137" s="285" t="s">
        <v>323</v>
      </c>
      <c r="T137" s="285" t="s">
        <v>280</v>
      </c>
      <c r="U137" s="286"/>
      <c r="V137" s="286"/>
      <c r="W137" s="285"/>
      <c r="Y137" s="310"/>
      <c r="Z137" s="310">
        <f>Q137/160</f>
        <v>3.3187500000000001</v>
      </c>
      <c r="AA137" s="310"/>
      <c r="AB137" s="310"/>
      <c r="AC137" s="310"/>
      <c r="AD137" s="310"/>
      <c r="AE137" s="310"/>
      <c r="AL137" s="310"/>
      <c r="AM137" s="310"/>
      <c r="AN137" s="310"/>
      <c r="AO137" s="310"/>
      <c r="AP137" s="310"/>
    </row>
    <row r="138" spans="2:42" s="119" customFormat="1" ht="16.5">
      <c r="B138" s="295">
        <v>94</v>
      </c>
      <c r="C138" s="296" t="s">
        <v>316</v>
      </c>
      <c r="D138" s="295"/>
      <c r="E138" s="300" t="s">
        <v>177</v>
      </c>
      <c r="F138" s="289"/>
      <c r="G138" s="305" t="s">
        <v>211</v>
      </c>
      <c r="H138" s="211" t="s">
        <v>212</v>
      </c>
      <c r="I138" s="295" t="s">
        <v>281</v>
      </c>
      <c r="J138" s="210">
        <v>2</v>
      </c>
      <c r="K138" s="304" t="s">
        <v>188</v>
      </c>
      <c r="L138" s="321"/>
      <c r="M138" s="322"/>
      <c r="N138" s="322"/>
      <c r="O138" s="322"/>
      <c r="P138" s="342"/>
      <c r="Q138" s="307">
        <v>23</v>
      </c>
      <c r="R138" s="307"/>
      <c r="S138" s="212"/>
      <c r="T138" s="311"/>
      <c r="U138" s="311"/>
      <c r="V138" s="311" t="s">
        <v>238</v>
      </c>
      <c r="W138" s="212" t="s">
        <v>330</v>
      </c>
      <c r="Y138" s="118"/>
      <c r="Z138" s="118"/>
      <c r="AA138" s="118"/>
      <c r="AB138" s="118"/>
      <c r="AC138" s="118"/>
      <c r="AD138" s="118"/>
      <c r="AE138" s="118"/>
      <c r="AL138" s="118"/>
      <c r="AM138" s="118"/>
      <c r="AN138" s="118"/>
      <c r="AO138" s="118"/>
      <c r="AP138" s="118"/>
    </row>
    <row r="139" spans="2:42" s="309" customFormat="1" ht="14.25">
      <c r="B139" s="435" t="s">
        <v>191</v>
      </c>
      <c r="C139" s="436"/>
      <c r="D139" s="436"/>
      <c r="E139" s="436"/>
      <c r="F139" s="436"/>
      <c r="G139" s="436"/>
      <c r="H139" s="436"/>
      <c r="I139" s="436"/>
      <c r="J139" s="436"/>
      <c r="K139" s="437"/>
      <c r="L139" s="323" t="s">
        <v>179</v>
      </c>
      <c r="M139" s="324">
        <v>287</v>
      </c>
      <c r="N139" s="324">
        <v>40</v>
      </c>
      <c r="O139" s="324">
        <v>46</v>
      </c>
      <c r="P139" s="348">
        <v>0.52800000000000002</v>
      </c>
      <c r="Q139" s="325">
        <v>23</v>
      </c>
      <c r="R139" s="325">
        <v>100</v>
      </c>
      <c r="S139" s="285" t="s">
        <v>323</v>
      </c>
      <c r="T139" s="285" t="s">
        <v>280</v>
      </c>
      <c r="U139" s="286"/>
      <c r="V139" s="286"/>
      <c r="W139" s="285"/>
      <c r="Y139" s="310"/>
      <c r="Z139" s="310"/>
      <c r="AA139" s="310"/>
      <c r="AB139" s="310"/>
      <c r="AC139" s="310"/>
      <c r="AD139" s="310"/>
      <c r="AE139" s="310"/>
      <c r="AL139" s="310"/>
      <c r="AM139" s="310"/>
      <c r="AN139" s="310"/>
      <c r="AO139" s="310"/>
      <c r="AP139" s="310"/>
    </row>
    <row r="140" spans="2:42" s="119" customFormat="1" ht="16.5">
      <c r="B140" s="295">
        <v>95</v>
      </c>
      <c r="C140" s="296" t="s">
        <v>317</v>
      </c>
      <c r="D140" s="295"/>
      <c r="E140" s="300" t="s">
        <v>360</v>
      </c>
      <c r="F140" s="289"/>
      <c r="G140" s="305" t="s">
        <v>182</v>
      </c>
      <c r="H140" s="211" t="s">
        <v>178</v>
      </c>
      <c r="I140" s="295" t="s">
        <v>281</v>
      </c>
      <c r="J140" s="210">
        <v>24</v>
      </c>
      <c r="K140" s="304" t="s">
        <v>188</v>
      </c>
      <c r="L140" s="321"/>
      <c r="M140" s="322"/>
      <c r="N140" s="322"/>
      <c r="O140" s="322"/>
      <c r="P140" s="342"/>
      <c r="Q140" s="307">
        <v>105.5</v>
      </c>
      <c r="R140" s="307"/>
      <c r="S140" s="212"/>
      <c r="T140" s="311"/>
      <c r="U140" s="311"/>
      <c r="V140" s="311" t="s">
        <v>239</v>
      </c>
      <c r="W140" s="212" t="s">
        <v>330</v>
      </c>
      <c r="Y140" s="118"/>
      <c r="Z140" s="118"/>
      <c r="AA140" s="118"/>
      <c r="AB140" s="118"/>
      <c r="AC140" s="118"/>
      <c r="AD140" s="118"/>
      <c r="AE140" s="118"/>
      <c r="AL140" s="118"/>
      <c r="AM140" s="118"/>
      <c r="AN140" s="118"/>
      <c r="AO140" s="118"/>
      <c r="AP140" s="118"/>
    </row>
    <row r="141" spans="2:42" s="119" customFormat="1" ht="16.5">
      <c r="B141" s="295">
        <v>96</v>
      </c>
      <c r="C141" s="296" t="s">
        <v>317</v>
      </c>
      <c r="D141" s="295"/>
      <c r="E141" s="300" t="s">
        <v>362</v>
      </c>
      <c r="F141" s="289"/>
      <c r="G141" s="305" t="s">
        <v>182</v>
      </c>
      <c r="H141" s="211" t="s">
        <v>178</v>
      </c>
      <c r="I141" s="295" t="s">
        <v>281</v>
      </c>
      <c r="J141" s="210">
        <v>24</v>
      </c>
      <c r="K141" s="304" t="s">
        <v>226</v>
      </c>
      <c r="L141" s="321"/>
      <c r="M141" s="322"/>
      <c r="N141" s="322"/>
      <c r="O141" s="322"/>
      <c r="P141" s="342"/>
      <c r="Q141" s="307">
        <v>105.5</v>
      </c>
      <c r="R141" s="307"/>
      <c r="S141" s="212"/>
      <c r="T141" s="311"/>
      <c r="U141" s="311"/>
      <c r="V141" s="311" t="s">
        <v>240</v>
      </c>
      <c r="W141" s="212" t="s">
        <v>330</v>
      </c>
      <c r="Y141" s="118"/>
      <c r="Z141" s="118"/>
      <c r="AA141" s="118"/>
      <c r="AB141" s="118"/>
      <c r="AC141" s="118"/>
      <c r="AD141" s="118"/>
      <c r="AE141" s="118"/>
      <c r="AL141" s="118"/>
      <c r="AM141" s="118"/>
      <c r="AN141" s="118"/>
      <c r="AO141" s="118"/>
      <c r="AP141" s="118"/>
    </row>
    <row r="142" spans="2:42" s="119" customFormat="1" ht="16.5">
      <c r="B142" s="295">
        <v>97</v>
      </c>
      <c r="C142" s="296" t="s">
        <v>317</v>
      </c>
      <c r="D142" s="295"/>
      <c r="E142" s="227" t="s">
        <v>232</v>
      </c>
      <c r="F142" s="289"/>
      <c r="G142" s="305" t="s">
        <v>182</v>
      </c>
      <c r="H142" s="211" t="s">
        <v>178</v>
      </c>
      <c r="I142" s="295" t="s">
        <v>281</v>
      </c>
      <c r="J142" s="210">
        <v>24</v>
      </c>
      <c r="K142" s="304" t="s">
        <v>226</v>
      </c>
      <c r="L142" s="321"/>
      <c r="M142" s="322"/>
      <c r="N142" s="322"/>
      <c r="O142" s="322"/>
      <c r="P142" s="342"/>
      <c r="Q142" s="307">
        <v>105.5</v>
      </c>
      <c r="R142" s="307"/>
      <c r="S142" s="212"/>
      <c r="T142" s="311"/>
      <c r="U142" s="311"/>
      <c r="V142" s="311" t="s">
        <v>241</v>
      </c>
      <c r="W142" s="212" t="s">
        <v>330</v>
      </c>
      <c r="Y142" s="118"/>
      <c r="Z142" s="118"/>
      <c r="AA142" s="118"/>
      <c r="AB142" s="118"/>
      <c r="AC142" s="118"/>
      <c r="AD142" s="118"/>
      <c r="AE142" s="118"/>
      <c r="AL142" s="118"/>
      <c r="AM142" s="118"/>
      <c r="AN142" s="118"/>
      <c r="AO142" s="118"/>
      <c r="AP142" s="118"/>
    </row>
    <row r="143" spans="2:42" s="119" customFormat="1" ht="16.5">
      <c r="B143" s="295">
        <v>98</v>
      </c>
      <c r="C143" s="296" t="s">
        <v>317</v>
      </c>
      <c r="D143" s="295"/>
      <c r="E143" s="227" t="s">
        <v>365</v>
      </c>
      <c r="F143" s="289"/>
      <c r="G143" s="305" t="s">
        <v>182</v>
      </c>
      <c r="H143" s="211" t="s">
        <v>178</v>
      </c>
      <c r="I143" s="295" t="s">
        <v>281</v>
      </c>
      <c r="J143" s="210">
        <v>24</v>
      </c>
      <c r="K143" s="304" t="s">
        <v>226</v>
      </c>
      <c r="L143" s="321"/>
      <c r="M143" s="322"/>
      <c r="N143" s="322"/>
      <c r="O143" s="322"/>
      <c r="P143" s="342"/>
      <c r="Q143" s="307">
        <v>105.5</v>
      </c>
      <c r="R143" s="307"/>
      <c r="S143" s="212"/>
      <c r="T143" s="311"/>
      <c r="U143" s="311"/>
      <c r="V143" s="311" t="s">
        <v>242</v>
      </c>
      <c r="W143" s="212" t="s">
        <v>330</v>
      </c>
      <c r="Y143" s="118"/>
      <c r="Z143" s="118"/>
      <c r="AA143" s="118"/>
      <c r="AB143" s="118"/>
      <c r="AC143" s="118"/>
      <c r="AD143" s="118"/>
      <c r="AE143" s="118"/>
      <c r="AL143" s="118"/>
      <c r="AM143" s="118"/>
      <c r="AN143" s="118"/>
      <c r="AO143" s="118"/>
      <c r="AP143" s="118"/>
    </row>
    <row r="144" spans="2:42" s="309" customFormat="1" ht="14.25">
      <c r="B144" s="435" t="s">
        <v>191</v>
      </c>
      <c r="C144" s="436"/>
      <c r="D144" s="436"/>
      <c r="E144" s="436"/>
      <c r="F144" s="436"/>
      <c r="G144" s="436"/>
      <c r="H144" s="436"/>
      <c r="I144" s="436"/>
      <c r="J144" s="436"/>
      <c r="K144" s="437"/>
      <c r="L144" s="323" t="s">
        <v>179</v>
      </c>
      <c r="M144" s="324">
        <v>140</v>
      </c>
      <c r="N144" s="324">
        <v>140</v>
      </c>
      <c r="O144" s="324">
        <v>113</v>
      </c>
      <c r="P144" s="348">
        <v>2.2149999999999999</v>
      </c>
      <c r="Q144" s="325">
        <v>422</v>
      </c>
      <c r="R144" s="325">
        <v>550</v>
      </c>
      <c r="S144" s="285" t="s">
        <v>323</v>
      </c>
      <c r="T144" s="285" t="s">
        <v>280</v>
      </c>
      <c r="U144" s="286"/>
      <c r="V144" s="286"/>
      <c r="W144" s="285"/>
      <c r="Y144" s="310"/>
      <c r="Z144" s="310">
        <f>Q144/96</f>
        <v>4.395833333333333</v>
      </c>
      <c r="AA144" s="310"/>
      <c r="AB144" s="310"/>
      <c r="AC144" s="310"/>
      <c r="AD144" s="310"/>
      <c r="AE144" s="310"/>
      <c r="AL144" s="310"/>
      <c r="AM144" s="310"/>
      <c r="AN144" s="310"/>
      <c r="AO144" s="310"/>
      <c r="AP144" s="310"/>
    </row>
    <row r="145" spans="2:42" s="119" customFormat="1" ht="16.5">
      <c r="B145" s="295">
        <v>99</v>
      </c>
      <c r="C145" s="296" t="s">
        <v>318</v>
      </c>
      <c r="D145" s="295"/>
      <c r="E145" s="227" t="s">
        <v>367</v>
      </c>
      <c r="F145" s="289"/>
      <c r="G145" s="305" t="s">
        <v>182</v>
      </c>
      <c r="H145" s="211" t="s">
        <v>178</v>
      </c>
      <c r="I145" s="295" t="s">
        <v>281</v>
      </c>
      <c r="J145" s="210">
        <v>11</v>
      </c>
      <c r="K145" s="304" t="s">
        <v>188</v>
      </c>
      <c r="L145" s="321"/>
      <c r="M145" s="322"/>
      <c r="N145" s="322"/>
      <c r="O145" s="322"/>
      <c r="P145" s="342"/>
      <c r="Q145" s="307">
        <v>38.966101694915253</v>
      </c>
      <c r="R145" s="307"/>
      <c r="S145" s="212"/>
      <c r="T145" s="311"/>
      <c r="U145" s="311"/>
      <c r="V145" s="311" t="s">
        <v>244</v>
      </c>
      <c r="W145" s="212" t="s">
        <v>330</v>
      </c>
      <c r="Y145" s="118"/>
      <c r="Z145" s="118"/>
      <c r="AA145" s="118"/>
      <c r="AB145" s="118"/>
      <c r="AC145" s="118"/>
      <c r="AD145" s="118"/>
      <c r="AE145" s="118"/>
      <c r="AL145" s="118"/>
      <c r="AM145" s="118"/>
      <c r="AN145" s="118"/>
      <c r="AO145" s="118"/>
      <c r="AP145" s="118"/>
    </row>
    <row r="146" spans="2:42" s="119" customFormat="1" ht="16.5">
      <c r="B146" s="295">
        <v>100</v>
      </c>
      <c r="C146" s="296" t="s">
        <v>318</v>
      </c>
      <c r="D146" s="295"/>
      <c r="E146" s="227" t="s">
        <v>369</v>
      </c>
      <c r="F146" s="289"/>
      <c r="G146" s="305" t="s">
        <v>182</v>
      </c>
      <c r="H146" s="211" t="s">
        <v>178</v>
      </c>
      <c r="I146" s="295" t="s">
        <v>281</v>
      </c>
      <c r="J146" s="210">
        <v>22</v>
      </c>
      <c r="K146" s="304" t="s">
        <v>226</v>
      </c>
      <c r="L146" s="321"/>
      <c r="M146" s="322"/>
      <c r="N146" s="322"/>
      <c r="O146" s="322"/>
      <c r="P146" s="342"/>
      <c r="Q146" s="307">
        <v>77.932203389830505</v>
      </c>
      <c r="R146" s="307"/>
      <c r="S146" s="212"/>
      <c r="T146" s="311"/>
      <c r="U146" s="311"/>
      <c r="V146" s="311" t="s">
        <v>245</v>
      </c>
      <c r="W146" s="212" t="s">
        <v>330</v>
      </c>
      <c r="Y146" s="118"/>
      <c r="Z146" s="118"/>
      <c r="AA146" s="118"/>
      <c r="AB146" s="118"/>
      <c r="AC146" s="118"/>
      <c r="AD146" s="118"/>
      <c r="AE146" s="118"/>
      <c r="AL146" s="118"/>
      <c r="AM146" s="118"/>
      <c r="AN146" s="118"/>
      <c r="AO146" s="118"/>
      <c r="AP146" s="118"/>
    </row>
    <row r="147" spans="2:42" s="119" customFormat="1" ht="16.5">
      <c r="B147" s="295">
        <v>101</v>
      </c>
      <c r="C147" s="296" t="s">
        <v>318</v>
      </c>
      <c r="D147" s="295"/>
      <c r="E147" s="227" t="s">
        <v>243</v>
      </c>
      <c r="F147" s="299"/>
      <c r="G147" s="305" t="s">
        <v>182</v>
      </c>
      <c r="H147" s="211" t="s">
        <v>178</v>
      </c>
      <c r="I147" s="295" t="s">
        <v>281</v>
      </c>
      <c r="J147" s="210">
        <v>11</v>
      </c>
      <c r="K147" s="304" t="s">
        <v>226</v>
      </c>
      <c r="L147" s="321"/>
      <c r="M147" s="322"/>
      <c r="N147" s="322"/>
      <c r="O147" s="322"/>
      <c r="P147" s="342"/>
      <c r="Q147" s="307">
        <v>38.966101694915253</v>
      </c>
      <c r="R147" s="307"/>
      <c r="S147" s="212"/>
      <c r="T147" s="311"/>
      <c r="U147" s="311"/>
      <c r="V147" s="311" t="s">
        <v>246</v>
      </c>
      <c r="W147" s="212" t="s">
        <v>330</v>
      </c>
      <c r="Y147" s="118"/>
      <c r="Z147" s="118"/>
      <c r="AA147" s="118"/>
      <c r="AB147" s="118"/>
      <c r="AC147" s="118"/>
      <c r="AD147" s="118"/>
      <c r="AE147" s="118"/>
      <c r="AL147" s="118"/>
      <c r="AM147" s="118"/>
      <c r="AN147" s="118"/>
      <c r="AO147" s="118"/>
      <c r="AP147" s="118"/>
    </row>
    <row r="148" spans="2:42" s="119" customFormat="1" ht="16.5">
      <c r="B148" s="295">
        <v>102</v>
      </c>
      <c r="C148" s="296" t="s">
        <v>318</v>
      </c>
      <c r="D148" s="295"/>
      <c r="E148" s="227" t="s">
        <v>233</v>
      </c>
      <c r="F148" s="299"/>
      <c r="G148" s="305" t="s">
        <v>182</v>
      </c>
      <c r="H148" s="211" t="s">
        <v>178</v>
      </c>
      <c r="I148" s="295" t="s">
        <v>281</v>
      </c>
      <c r="J148" s="210">
        <v>11</v>
      </c>
      <c r="K148" s="304" t="s">
        <v>226</v>
      </c>
      <c r="L148" s="321"/>
      <c r="M148" s="322"/>
      <c r="N148" s="322"/>
      <c r="O148" s="322"/>
      <c r="P148" s="342"/>
      <c r="Q148" s="307">
        <v>38.966101694915253</v>
      </c>
      <c r="R148" s="307"/>
      <c r="S148" s="212"/>
      <c r="T148" s="311"/>
      <c r="U148" s="311"/>
      <c r="V148" s="311" t="s">
        <v>247</v>
      </c>
      <c r="W148" s="212" t="s">
        <v>330</v>
      </c>
      <c r="Y148" s="118"/>
      <c r="Z148" s="118"/>
      <c r="AA148" s="118"/>
      <c r="AB148" s="118"/>
      <c r="AC148" s="118"/>
      <c r="AD148" s="118"/>
      <c r="AE148" s="118"/>
      <c r="AL148" s="118"/>
      <c r="AM148" s="118"/>
      <c r="AN148" s="118"/>
      <c r="AO148" s="118"/>
      <c r="AP148" s="118"/>
    </row>
    <row r="149" spans="2:42" s="119" customFormat="1" ht="16.5">
      <c r="B149" s="295">
        <v>103</v>
      </c>
      <c r="C149" s="296" t="s">
        <v>318</v>
      </c>
      <c r="D149" s="295"/>
      <c r="E149" s="227" t="s">
        <v>177</v>
      </c>
      <c r="F149" s="299"/>
      <c r="G149" s="305" t="s">
        <v>182</v>
      </c>
      <c r="H149" s="211" t="s">
        <v>178</v>
      </c>
      <c r="I149" s="295" t="s">
        <v>281</v>
      </c>
      <c r="J149" s="210">
        <v>4</v>
      </c>
      <c r="K149" s="304" t="s">
        <v>188</v>
      </c>
      <c r="L149" s="321"/>
      <c r="M149" s="322"/>
      <c r="N149" s="322"/>
      <c r="O149" s="322"/>
      <c r="P149" s="342"/>
      <c r="Q149" s="307">
        <v>14.169491525423728</v>
      </c>
      <c r="R149" s="307"/>
      <c r="S149" s="212"/>
      <c r="T149" s="311"/>
      <c r="U149" s="311"/>
      <c r="V149" s="311" t="s">
        <v>248</v>
      </c>
      <c r="W149" s="212" t="s">
        <v>330</v>
      </c>
      <c r="Y149" s="118"/>
      <c r="Z149" s="118"/>
      <c r="AA149" s="118"/>
      <c r="AB149" s="118"/>
      <c r="AC149" s="118"/>
      <c r="AD149" s="118"/>
      <c r="AE149" s="118"/>
      <c r="AL149" s="118"/>
      <c r="AM149" s="118"/>
      <c r="AN149" s="118"/>
      <c r="AO149" s="118"/>
      <c r="AP149" s="118"/>
    </row>
    <row r="150" spans="2:42" s="309" customFormat="1" ht="14.25">
      <c r="B150" s="435" t="s">
        <v>191</v>
      </c>
      <c r="C150" s="436"/>
      <c r="D150" s="436"/>
      <c r="E150" s="436"/>
      <c r="F150" s="436"/>
      <c r="G150" s="436"/>
      <c r="H150" s="436"/>
      <c r="I150" s="436"/>
      <c r="J150" s="436"/>
      <c r="K150" s="437"/>
      <c r="L150" s="323" t="s">
        <v>179</v>
      </c>
      <c r="M150" s="324">
        <v>140</v>
      </c>
      <c r="N150" s="324">
        <v>140</v>
      </c>
      <c r="O150" s="324">
        <v>113</v>
      </c>
      <c r="P150" s="348">
        <v>2.2149999999999999</v>
      </c>
      <c r="Q150" s="325">
        <v>209</v>
      </c>
      <c r="R150" s="325">
        <v>340</v>
      </c>
      <c r="S150" s="285" t="s">
        <v>323</v>
      </c>
      <c r="T150" s="285" t="s">
        <v>280</v>
      </c>
      <c r="U150" s="286"/>
      <c r="V150" s="286"/>
      <c r="W150" s="285"/>
      <c r="Y150" s="310"/>
      <c r="Z150" s="310">
        <f>Q150/59</f>
        <v>3.5423728813559321</v>
      </c>
      <c r="AA150" s="310"/>
      <c r="AB150" s="310"/>
      <c r="AC150" s="310"/>
      <c r="AD150" s="310"/>
      <c r="AE150" s="310"/>
      <c r="AL150" s="310"/>
      <c r="AM150" s="310"/>
      <c r="AN150" s="310"/>
      <c r="AO150" s="310"/>
      <c r="AP150" s="310"/>
    </row>
    <row r="151" spans="2:42" s="57" customFormat="1" ht="32.25" customHeight="1">
      <c r="B151" s="438" t="s">
        <v>91</v>
      </c>
      <c r="C151" s="438"/>
      <c r="D151" s="438"/>
      <c r="E151" s="438"/>
      <c r="F151" s="438"/>
      <c r="G151" s="438"/>
      <c r="H151" s="438"/>
      <c r="I151" s="438"/>
      <c r="J151" s="438"/>
      <c r="K151" s="438"/>
      <c r="L151" s="283"/>
      <c r="M151" s="283"/>
      <c r="N151" s="283"/>
      <c r="O151" s="283"/>
      <c r="P151" s="349">
        <f>SUM(P16:P150)</f>
        <v>71.939000000000064</v>
      </c>
      <c r="Q151" s="283">
        <f>Q150+Q144+Q139+Q137+Q132+Q123+Q118+Q113+Q108+Q103+Q98+Q93+Q88+Q83+Q78+Q73+Q68+Q63+Q55+Q53+Q51+Q49+Q47+Q44+Q41+Q39+Q37+Q35+Q31+Q29+Q26+Q20+Q17</f>
        <v>27300</v>
      </c>
      <c r="R151" s="283">
        <f>SUM(R15:R150)</f>
        <v>32265</v>
      </c>
      <c r="S151" s="209"/>
      <c r="T151" s="209"/>
      <c r="U151" s="209"/>
      <c r="V151" s="209"/>
      <c r="W151" s="209"/>
      <c r="X151" s="115"/>
      <c r="Y151" s="62"/>
      <c r="Z151" s="62"/>
      <c r="AA151" s="62"/>
      <c r="AB151" s="62"/>
      <c r="AC151" s="62"/>
      <c r="AD151" s="62"/>
      <c r="AE151" s="62"/>
      <c r="AL151" s="62"/>
      <c r="AM151" s="62"/>
      <c r="AN151" s="62"/>
      <c r="AO151" s="62"/>
      <c r="AP151" s="62"/>
    </row>
  </sheetData>
  <autoFilter ref="B14:AP151" xr:uid="{00000000-0001-0000-0500-000000000000}">
    <filterColumn colId="3" showButton="0"/>
  </autoFilter>
  <mergeCells count="53">
    <mergeCell ref="B1:W1"/>
    <mergeCell ref="C3:L3"/>
    <mergeCell ref="B4:W4"/>
    <mergeCell ref="B13:B14"/>
    <mergeCell ref="C13:C14"/>
    <mergeCell ref="E13:F14"/>
    <mergeCell ref="I13:I14"/>
    <mergeCell ref="J13:K13"/>
    <mergeCell ref="L13:L14"/>
    <mergeCell ref="M13:P13"/>
    <mergeCell ref="W13:W14"/>
    <mergeCell ref="T13:T14"/>
    <mergeCell ref="U13:U14"/>
    <mergeCell ref="H13:H14"/>
    <mergeCell ref="G13:G14"/>
    <mergeCell ref="V13:V14"/>
    <mergeCell ref="B151:K151"/>
    <mergeCell ref="Q13:Q14"/>
    <mergeCell ref="R13:R14"/>
    <mergeCell ref="S13:S14"/>
    <mergeCell ref="B17:K17"/>
    <mergeCell ref="B20:K20"/>
    <mergeCell ref="B26:K26"/>
    <mergeCell ref="B29:K29"/>
    <mergeCell ref="B31:K31"/>
    <mergeCell ref="B35:K35"/>
    <mergeCell ref="B37:K37"/>
    <mergeCell ref="B39:K39"/>
    <mergeCell ref="B41:K41"/>
    <mergeCell ref="B44:K44"/>
    <mergeCell ref="B47:K47"/>
    <mergeCell ref="B49:K49"/>
    <mergeCell ref="B51:K51"/>
    <mergeCell ref="B53:K53"/>
    <mergeCell ref="B55:K55"/>
    <mergeCell ref="B63:K63"/>
    <mergeCell ref="B68:K68"/>
    <mergeCell ref="B73:K73"/>
    <mergeCell ref="B78:K78"/>
    <mergeCell ref="B83:K83"/>
    <mergeCell ref="B88:K88"/>
    <mergeCell ref="B93:K93"/>
    <mergeCell ref="B98:K98"/>
    <mergeCell ref="B103:K103"/>
    <mergeCell ref="B108:K108"/>
    <mergeCell ref="B113:K113"/>
    <mergeCell ref="B139:K139"/>
    <mergeCell ref="B144:K144"/>
    <mergeCell ref="B150:K150"/>
    <mergeCell ref="B118:K118"/>
    <mergeCell ref="B123:K123"/>
    <mergeCell ref="B132:K132"/>
    <mergeCell ref="B137:K137"/>
  </mergeCells>
  <phoneticPr fontId="33" type="noConversion"/>
  <conditionalFormatting sqref="E69:E72">
    <cfRule type="duplicateValues" dxfId="1" priority="1"/>
  </conditionalFormatting>
  <printOptions horizontalCentered="1"/>
  <pageMargins left="0.23622047244094491" right="0.23622047244094491" top="0.47244094488188981" bottom="0.51181102362204722" header="0.31496062992125984" footer="0.31496062992125984"/>
  <pageSetup paperSize="9" scale="47" fitToHeight="0" orientation="landscape" r:id="rId1"/>
  <headerFooter alignWithMargins="0">
    <oddFooter>&amp;C&amp;P/&amp;N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A9D40-93CA-4DE3-ABBB-29689EC67453}">
  <sheetPr>
    <tabColor rgb="FFFFC000"/>
    <pageSetUpPr fitToPage="1"/>
  </sheetPr>
  <dimension ref="A1:O46"/>
  <sheetViews>
    <sheetView showGridLines="0" view="pageBreakPreview" topLeftCell="H1" zoomScale="80" zoomScaleNormal="100" zoomScaleSheetLayoutView="80" workbookViewId="0">
      <selection activeCell="A30" sqref="A30:G33"/>
    </sheetView>
  </sheetViews>
  <sheetFormatPr defaultColWidth="9.5859375" defaultRowHeight="17.25" customHeight="1"/>
  <cols>
    <col min="1" max="1" width="1.51953125" style="7" customWidth="1"/>
    <col min="2" max="2" width="27.36328125" style="7" customWidth="1"/>
    <col min="3" max="3" width="1.8710937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2.39453125" style="56" bestFit="1" customWidth="1"/>
    <col min="12" max="12" width="7.71484375" style="6" customWidth="1"/>
    <col min="13" max="13" width="10.875" style="7" bestFit="1" customWidth="1"/>
    <col min="14" max="14" width="12.39453125" style="7" bestFit="1" customWidth="1"/>
    <col min="15" max="15" width="10.875" style="7" bestFit="1" customWidth="1"/>
    <col min="16" max="16384" width="9.5859375" style="7"/>
  </cols>
  <sheetData>
    <row r="1" spans="1:14" ht="21.95" customHeight="1">
      <c r="A1" s="1"/>
      <c r="B1" s="2"/>
      <c r="C1" s="2"/>
      <c r="D1" s="2"/>
      <c r="E1" s="2"/>
      <c r="F1" s="2"/>
      <c r="G1" s="3"/>
      <c r="H1" s="3"/>
      <c r="I1" s="3"/>
      <c r="J1" s="4"/>
      <c r="K1" s="5"/>
    </row>
    <row r="2" spans="1:14" ht="21.95" customHeight="1">
      <c r="A2" s="8"/>
      <c r="J2" s="133"/>
      <c r="K2" s="9"/>
    </row>
    <row r="3" spans="1:14" ht="20.45" customHeight="1">
      <c r="A3" s="10"/>
      <c r="B3" s="482"/>
      <c r="C3" s="483"/>
      <c r="D3" s="483"/>
      <c r="E3" s="483"/>
      <c r="F3" s="134"/>
      <c r="G3" s="135"/>
      <c r="H3" s="482"/>
      <c r="I3" s="483"/>
      <c r="J3" s="483"/>
      <c r="K3" s="484"/>
    </row>
    <row r="4" spans="1:14" s="13" customFormat="1" ht="24.75" customHeight="1">
      <c r="A4" s="485" t="s">
        <v>1</v>
      </c>
      <c r="B4" s="486"/>
      <c r="C4" s="486"/>
      <c r="D4" s="486"/>
      <c r="E4" s="486"/>
      <c r="F4" s="486"/>
      <c r="G4" s="486"/>
      <c r="H4" s="486"/>
      <c r="I4" s="486"/>
      <c r="J4" s="486"/>
      <c r="K4" s="487"/>
      <c r="L4" s="11"/>
    </row>
    <row r="5" spans="1:14" s="13" customFormat="1" ht="15.95" customHeight="1">
      <c r="A5" s="182" t="s">
        <v>2</v>
      </c>
      <c r="B5" s="183"/>
      <c r="C5" s="183"/>
      <c r="D5" s="183"/>
      <c r="E5" s="184"/>
      <c r="F5" s="185"/>
      <c r="G5" s="186" t="s">
        <v>139</v>
      </c>
      <c r="H5" s="292" t="s">
        <v>181</v>
      </c>
      <c r="I5" s="292"/>
      <c r="J5" s="292"/>
      <c r="K5" s="187"/>
      <c r="L5" s="15"/>
      <c r="M5" s="364"/>
    </row>
    <row r="6" spans="1:14" s="13" customFormat="1" ht="14.45" customHeight="1">
      <c r="A6" s="188"/>
      <c r="B6" s="488" t="s">
        <v>377</v>
      </c>
      <c r="C6" s="489"/>
      <c r="D6" s="489"/>
      <c r="E6" s="489"/>
      <c r="F6" s="490"/>
      <c r="G6" s="189" t="s">
        <v>3</v>
      </c>
      <c r="H6" s="253">
        <v>46219</v>
      </c>
      <c r="I6" s="293"/>
      <c r="J6" s="294"/>
      <c r="K6" s="190"/>
      <c r="L6" s="15"/>
    </row>
    <row r="7" spans="1:14" ht="15.6" customHeight="1">
      <c r="A7" s="191"/>
      <c r="B7" s="489"/>
      <c r="C7" s="489"/>
      <c r="D7" s="489"/>
      <c r="E7" s="489"/>
      <c r="F7" s="490"/>
      <c r="G7" s="192" t="s">
        <v>4</v>
      </c>
      <c r="H7" s="193" t="s">
        <v>113</v>
      </c>
      <c r="I7" s="193"/>
      <c r="J7" s="193"/>
      <c r="K7" s="194"/>
    </row>
    <row r="8" spans="1:14" ht="16.5" customHeight="1">
      <c r="A8" s="191"/>
      <c r="B8" s="491"/>
      <c r="C8" s="491"/>
      <c r="D8" s="491"/>
      <c r="E8" s="491"/>
      <c r="F8" s="492"/>
      <c r="G8" s="189" t="s">
        <v>3</v>
      </c>
      <c r="H8" s="253">
        <v>45814</v>
      </c>
      <c r="I8" s="195"/>
      <c r="J8" s="195"/>
      <c r="K8" s="190"/>
    </row>
    <row r="9" spans="1:14" ht="24.95" customHeight="1" thickBot="1">
      <c r="A9" s="196" t="s">
        <v>6</v>
      </c>
      <c r="B9" s="193"/>
      <c r="C9" s="193"/>
      <c r="D9" s="193"/>
      <c r="E9" s="193"/>
      <c r="F9" s="197"/>
      <c r="G9" s="493" t="s">
        <v>7</v>
      </c>
      <c r="H9" s="494"/>
      <c r="I9" s="494"/>
      <c r="J9" s="494"/>
      <c r="K9" s="495"/>
    </row>
    <row r="10" spans="1:14" ht="14.1" customHeight="1">
      <c r="A10" s="191"/>
      <c r="B10" s="496" t="s">
        <v>154</v>
      </c>
      <c r="C10" s="497"/>
      <c r="D10" s="497"/>
      <c r="E10" s="497"/>
      <c r="F10" s="498"/>
      <c r="G10" s="501" t="s">
        <v>125</v>
      </c>
      <c r="H10" s="502"/>
      <c r="I10" s="502"/>
      <c r="J10" s="502"/>
      <c r="K10" s="503"/>
    </row>
    <row r="11" spans="1:14" ht="14.1" customHeight="1">
      <c r="A11" s="191"/>
      <c r="B11" s="497"/>
      <c r="C11" s="497"/>
      <c r="D11" s="497"/>
      <c r="E11" s="497"/>
      <c r="F11" s="498"/>
      <c r="G11" s="504"/>
      <c r="H11" s="505"/>
      <c r="I11" s="505"/>
      <c r="J11" s="505"/>
      <c r="K11" s="506"/>
    </row>
    <row r="12" spans="1:14" ht="28.35" customHeight="1" thickBot="1">
      <c r="A12" s="198"/>
      <c r="B12" s="499"/>
      <c r="C12" s="499"/>
      <c r="D12" s="499"/>
      <c r="E12" s="499"/>
      <c r="F12" s="500"/>
      <c r="G12" s="507"/>
      <c r="H12" s="508"/>
      <c r="I12" s="508"/>
      <c r="J12" s="508"/>
      <c r="K12" s="509"/>
    </row>
    <row r="13" spans="1:14" ht="14.1" customHeight="1">
      <c r="A13" s="199" t="s">
        <v>9</v>
      </c>
      <c r="B13" s="200"/>
      <c r="C13" s="201"/>
      <c r="D13" s="201"/>
      <c r="E13" s="201"/>
      <c r="F13" s="201"/>
      <c r="G13" s="202"/>
      <c r="H13" s="201"/>
      <c r="I13" s="201"/>
      <c r="J13" s="203"/>
      <c r="K13" s="204"/>
    </row>
    <row r="14" spans="1:14" ht="14.1" customHeight="1">
      <c r="A14" s="191"/>
      <c r="B14" s="510" t="s">
        <v>378</v>
      </c>
      <c r="C14" s="511"/>
      <c r="D14" s="511"/>
      <c r="E14" s="511"/>
      <c r="F14" s="512"/>
      <c r="G14" s="202"/>
      <c r="H14" s="515"/>
      <c r="I14" s="515"/>
      <c r="J14" s="515"/>
      <c r="K14" s="516"/>
    </row>
    <row r="15" spans="1:14" ht="14.1" customHeight="1">
      <c r="A15" s="191"/>
      <c r="B15" s="511"/>
      <c r="C15" s="511"/>
      <c r="D15" s="511"/>
      <c r="E15" s="511"/>
      <c r="F15" s="512"/>
      <c r="G15" s="302" t="s">
        <v>140</v>
      </c>
      <c r="H15" s="517" t="s">
        <v>181</v>
      </c>
      <c r="I15" s="517"/>
      <c r="J15" s="517"/>
      <c r="K15" s="518"/>
      <c r="N15" s="25"/>
    </row>
    <row r="16" spans="1:14" ht="12.75">
      <c r="A16" s="191"/>
      <c r="B16" s="511"/>
      <c r="C16" s="511"/>
      <c r="D16" s="511"/>
      <c r="E16" s="511"/>
      <c r="F16" s="512"/>
      <c r="G16" s="202"/>
      <c r="H16" s="517"/>
      <c r="I16" s="517"/>
      <c r="J16" s="517"/>
      <c r="K16" s="518"/>
    </row>
    <row r="17" spans="1:15" ht="94.5" customHeight="1">
      <c r="A17" s="191"/>
      <c r="B17" s="513"/>
      <c r="C17" s="513"/>
      <c r="D17" s="513"/>
      <c r="E17" s="513"/>
      <c r="F17" s="514"/>
      <c r="G17" s="202" t="s">
        <v>141</v>
      </c>
      <c r="H17" s="465" t="s">
        <v>374</v>
      </c>
      <c r="I17" s="465"/>
      <c r="J17" s="465"/>
      <c r="K17" s="519"/>
    </row>
    <row r="18" spans="1:15" ht="18.600000000000001" customHeight="1">
      <c r="A18" s="20" t="s">
        <v>150</v>
      </c>
      <c r="B18" s="26"/>
      <c r="C18" s="18" t="s">
        <v>12</v>
      </c>
      <c r="D18" s="19"/>
      <c r="E18" s="19"/>
      <c r="F18" s="21"/>
      <c r="G18" s="24"/>
      <c r="H18" s="480"/>
      <c r="I18" s="480"/>
      <c r="J18" s="480"/>
      <c r="K18" s="481"/>
    </row>
    <row r="19" spans="1:15" s="6" customFormat="1" ht="11.45" customHeight="1">
      <c r="A19" s="22"/>
      <c r="B19" s="273" t="s">
        <v>373</v>
      </c>
      <c r="C19" s="27"/>
      <c r="D19" s="466">
        <v>46222</v>
      </c>
      <c r="E19" s="466"/>
      <c r="F19" s="467"/>
      <c r="G19" s="24" t="s">
        <v>108</v>
      </c>
      <c r="H19" s="480" t="s">
        <v>109</v>
      </c>
      <c r="I19" s="480"/>
      <c r="J19" s="480"/>
      <c r="K19" s="481"/>
      <c r="M19" s="7"/>
      <c r="N19" s="7"/>
      <c r="O19" s="7"/>
    </row>
    <row r="20" spans="1:15" s="6" customFormat="1" ht="18.600000000000001" customHeight="1">
      <c r="A20" s="20" t="s">
        <v>13</v>
      </c>
      <c r="B20" s="19"/>
      <c r="C20" s="18" t="s">
        <v>14</v>
      </c>
      <c r="D20" s="19"/>
      <c r="E20" s="19"/>
      <c r="F20" s="21"/>
      <c r="G20" s="202" t="s">
        <v>153</v>
      </c>
      <c r="H20" s="465" t="s">
        <v>183</v>
      </c>
      <c r="I20" s="465"/>
      <c r="J20" s="465"/>
      <c r="K20" s="365"/>
      <c r="M20" s="7"/>
      <c r="N20" s="7"/>
      <c r="O20" s="7"/>
    </row>
    <row r="21" spans="1:15" s="6" customFormat="1" ht="12.95" customHeight="1">
      <c r="A21" s="8"/>
      <c r="B21" s="201" t="s">
        <v>173</v>
      </c>
      <c r="C21" s="462" t="s">
        <v>386</v>
      </c>
      <c r="D21" s="463"/>
      <c r="E21" s="463"/>
      <c r="F21" s="464"/>
      <c r="H21" s="133"/>
      <c r="K21" s="9"/>
      <c r="M21" s="7"/>
      <c r="N21" s="7"/>
      <c r="O21" s="7"/>
    </row>
    <row r="22" spans="1:15" s="6" customFormat="1" ht="18.600000000000001" customHeight="1">
      <c r="A22" s="20" t="s">
        <v>151</v>
      </c>
      <c r="B22" s="26"/>
      <c r="C22" s="18" t="s">
        <v>152</v>
      </c>
      <c r="D22" s="19"/>
      <c r="E22" s="19"/>
      <c r="F22" s="21"/>
      <c r="G22" s="24"/>
      <c r="H22" s="133"/>
      <c r="K22" s="9"/>
      <c r="M22" s="7"/>
      <c r="N22" s="7"/>
      <c r="O22" s="7"/>
    </row>
    <row r="23" spans="1:15" s="6" customFormat="1" ht="14.1" customHeight="1">
      <c r="A23" s="22"/>
      <c r="B23" s="273" t="s">
        <v>376</v>
      </c>
      <c r="C23" s="274"/>
      <c r="D23" s="466">
        <v>46222</v>
      </c>
      <c r="E23" s="466"/>
      <c r="F23" s="467"/>
      <c r="G23" s="24"/>
      <c r="K23" s="9"/>
      <c r="M23" s="7"/>
      <c r="N23" s="7"/>
      <c r="O23" s="7"/>
    </row>
    <row r="24" spans="1:15" s="6" customFormat="1" ht="19.350000000000001" customHeight="1">
      <c r="A24" s="20" t="s">
        <v>17</v>
      </c>
      <c r="B24" s="19"/>
      <c r="C24" s="19"/>
      <c r="D24" s="19"/>
      <c r="E24" s="19"/>
      <c r="F24" s="19"/>
      <c r="G24" s="29" t="s">
        <v>347</v>
      </c>
      <c r="H24" s="30"/>
      <c r="I24" s="31"/>
      <c r="J24" s="30"/>
      <c r="K24" s="32"/>
      <c r="M24" s="7"/>
      <c r="N24" s="7"/>
      <c r="O24" s="7"/>
    </row>
    <row r="25" spans="1:15" s="6" customFormat="1" ht="12.75">
      <c r="A25" s="8"/>
      <c r="B25" s="17" t="s">
        <v>8</v>
      </c>
      <c r="C25" s="7"/>
      <c r="D25" s="7"/>
      <c r="E25" s="7"/>
      <c r="F25" s="7"/>
      <c r="G25" s="345" t="s">
        <v>348</v>
      </c>
      <c r="K25" s="9"/>
      <c r="M25" s="7"/>
      <c r="N25" s="7"/>
      <c r="O25" s="7"/>
    </row>
    <row r="26" spans="1:15" s="6" customFormat="1" ht="12.75">
      <c r="A26" s="8"/>
      <c r="B26" s="468" t="s">
        <v>149</v>
      </c>
      <c r="C26" s="468"/>
      <c r="D26" s="468"/>
      <c r="E26" s="468"/>
      <c r="F26" s="469"/>
      <c r="G26" s="345" t="s">
        <v>349</v>
      </c>
      <c r="K26" s="9"/>
      <c r="M26" s="7"/>
      <c r="N26" s="7"/>
      <c r="O26" s="7"/>
    </row>
    <row r="27" spans="1:15" s="6" customFormat="1" ht="14.45" customHeight="1">
      <c r="A27" s="22"/>
      <c r="B27" s="470"/>
      <c r="C27" s="470"/>
      <c r="D27" s="470"/>
      <c r="E27" s="470"/>
      <c r="F27" s="471"/>
      <c r="G27" s="346" t="s">
        <v>375</v>
      </c>
      <c r="H27" s="34"/>
      <c r="I27" s="34"/>
      <c r="J27" s="34"/>
      <c r="K27" s="35"/>
      <c r="M27" s="7"/>
      <c r="N27" s="7"/>
      <c r="O27" s="7"/>
    </row>
    <row r="28" spans="1:15" ht="45" customHeight="1">
      <c r="A28" s="472" t="s">
        <v>18</v>
      </c>
      <c r="B28" s="460"/>
      <c r="C28" s="460"/>
      <c r="D28" s="460"/>
      <c r="E28" s="460"/>
      <c r="F28" s="460"/>
      <c r="G28" s="473"/>
      <c r="H28" s="36" t="s">
        <v>19</v>
      </c>
      <c r="I28" s="36" t="s">
        <v>20</v>
      </c>
      <c r="J28" s="37" t="s">
        <v>21</v>
      </c>
      <c r="K28" s="38" t="s">
        <v>22</v>
      </c>
    </row>
    <row r="29" spans="1:15" ht="36" customHeight="1">
      <c r="A29" s="23"/>
      <c r="B29" s="474" t="s">
        <v>162</v>
      </c>
      <c r="C29" s="474"/>
      <c r="D29" s="474"/>
      <c r="E29" s="474"/>
      <c r="F29" s="474"/>
      <c r="G29" s="475"/>
      <c r="H29" s="39"/>
      <c r="I29" s="39"/>
      <c r="J29" s="39"/>
      <c r="K29" s="40"/>
      <c r="N29" s="255"/>
      <c r="O29" s="254"/>
    </row>
    <row r="30" spans="1:15" ht="15" customHeight="1">
      <c r="A30" s="476" t="s">
        <v>285</v>
      </c>
      <c r="B30" s="477"/>
      <c r="C30" s="477"/>
      <c r="D30" s="477"/>
      <c r="E30" s="477"/>
      <c r="F30" s="477"/>
      <c r="G30" s="478"/>
      <c r="H30" s="206"/>
      <c r="I30" s="259"/>
      <c r="J30" s="207"/>
      <c r="K30" s="207"/>
      <c r="M30" s="254"/>
      <c r="N30" s="328"/>
      <c r="O30" s="328"/>
    </row>
    <row r="31" spans="1:15" ht="15" customHeight="1">
      <c r="A31" s="479"/>
      <c r="B31" s="477"/>
      <c r="C31" s="477"/>
      <c r="D31" s="477"/>
      <c r="E31" s="477"/>
      <c r="F31" s="477"/>
      <c r="G31" s="478"/>
      <c r="H31" s="206" t="s">
        <v>380</v>
      </c>
      <c r="I31" s="259" t="s">
        <v>379</v>
      </c>
      <c r="J31" s="207"/>
      <c r="K31" s="207">
        <v>141543.19000000003</v>
      </c>
      <c r="M31" s="254"/>
      <c r="N31" s="328"/>
      <c r="O31" s="328"/>
    </row>
    <row r="32" spans="1:15" ht="15" customHeight="1">
      <c r="A32" s="479"/>
      <c r="B32" s="477"/>
      <c r="C32" s="477"/>
      <c r="D32" s="477"/>
      <c r="E32" s="477"/>
      <c r="F32" s="477"/>
      <c r="G32" s="478"/>
      <c r="H32" s="206"/>
      <c r="I32" s="259"/>
      <c r="J32" s="207"/>
      <c r="K32" s="207"/>
      <c r="M32" s="254"/>
      <c r="N32" s="328"/>
      <c r="O32" s="328"/>
    </row>
    <row r="33" spans="1:15" ht="15" customHeight="1">
      <c r="A33" s="479"/>
      <c r="B33" s="477"/>
      <c r="C33" s="477"/>
      <c r="D33" s="477"/>
      <c r="E33" s="477"/>
      <c r="F33" s="477"/>
      <c r="G33" s="478"/>
      <c r="H33" s="206"/>
      <c r="I33" s="259"/>
      <c r="J33" s="207"/>
      <c r="K33" s="207"/>
      <c r="M33" s="254"/>
      <c r="N33" s="328"/>
      <c r="O33" s="328"/>
    </row>
    <row r="34" spans="1:15" ht="18" customHeight="1">
      <c r="A34" s="23"/>
      <c r="B34" s="201" t="s">
        <v>156</v>
      </c>
      <c r="C34" s="201"/>
      <c r="D34" s="201"/>
      <c r="E34" s="201"/>
      <c r="F34" s="201"/>
      <c r="G34" s="205"/>
      <c r="H34" s="206"/>
      <c r="I34" s="206"/>
      <c r="J34" s="207"/>
      <c r="K34" s="207"/>
      <c r="M34" s="254"/>
    </row>
    <row r="35" spans="1:15" ht="18" customHeight="1">
      <c r="A35" s="23"/>
      <c r="B35" s="201"/>
      <c r="C35" s="201"/>
      <c r="D35" s="201"/>
      <c r="E35" s="201"/>
      <c r="F35" s="201"/>
      <c r="G35" s="205"/>
      <c r="H35" s="206"/>
      <c r="I35" s="206"/>
      <c r="J35" s="207"/>
      <c r="K35" s="207"/>
      <c r="M35" s="254"/>
      <c r="N35" s="329"/>
    </row>
    <row r="36" spans="1:15" ht="18" customHeight="1">
      <c r="A36" s="41"/>
      <c r="B36" s="42"/>
      <c r="C36" s="42"/>
      <c r="D36" s="42"/>
      <c r="E36" s="42"/>
      <c r="F36" s="42"/>
      <c r="G36" s="43"/>
      <c r="H36" s="44"/>
      <c r="I36" s="44"/>
      <c r="J36" s="44"/>
      <c r="K36" s="45"/>
      <c r="N36" s="254"/>
    </row>
    <row r="37" spans="1:15" ht="14.1" customHeight="1">
      <c r="A37" s="20"/>
      <c r="B37" s="459" t="s">
        <v>25</v>
      </c>
      <c r="C37" s="459"/>
      <c r="D37" s="459"/>
      <c r="E37" s="459"/>
      <c r="F37" s="459"/>
      <c r="G37" s="459"/>
      <c r="H37" s="46"/>
      <c r="I37" s="31"/>
      <c r="J37" s="31"/>
      <c r="K37" s="47">
        <f>SUM(K30:K36)</f>
        <v>141543.19000000003</v>
      </c>
      <c r="M37" s="254"/>
    </row>
    <row r="38" spans="1:15" ht="14.1" customHeight="1">
      <c r="A38" s="41"/>
      <c r="B38" s="460"/>
      <c r="C38" s="460"/>
      <c r="D38" s="460"/>
      <c r="E38" s="460"/>
      <c r="F38" s="460"/>
      <c r="G38" s="460"/>
      <c r="H38" s="48"/>
      <c r="I38" s="48"/>
      <c r="J38" s="48"/>
      <c r="K38" s="49"/>
    </row>
    <row r="39" spans="1:15" ht="14.1" customHeight="1">
      <c r="A39" s="23"/>
      <c r="K39" s="9"/>
    </row>
    <row r="40" spans="1:15" ht="14.1" customHeight="1">
      <c r="A40" s="23"/>
      <c r="K40" s="9"/>
    </row>
    <row r="41" spans="1:15" ht="14.1" customHeight="1">
      <c r="A41" s="8"/>
      <c r="K41" s="9"/>
    </row>
    <row r="42" spans="1:15" ht="14.1" customHeight="1">
      <c r="A42" s="8"/>
      <c r="K42" s="9"/>
    </row>
    <row r="43" spans="1:15" ht="14.1" customHeight="1">
      <c r="A43" s="8"/>
      <c r="K43" s="9"/>
    </row>
    <row r="44" spans="1:15" ht="14.1" customHeight="1">
      <c r="A44" s="8"/>
      <c r="G44" s="50" t="s">
        <v>26</v>
      </c>
      <c r="H44" s="34"/>
      <c r="I44" s="34"/>
      <c r="J44" s="34"/>
      <c r="K44" s="9"/>
    </row>
    <row r="45" spans="1:15" ht="14.1" customHeight="1">
      <c r="A45" s="8"/>
      <c r="H45" s="461" t="s">
        <v>167</v>
      </c>
      <c r="I45" s="461"/>
      <c r="J45" s="461"/>
      <c r="K45" s="9"/>
    </row>
    <row r="46" spans="1:15" ht="14.1" customHeight="1" thickBot="1">
      <c r="A46" s="90"/>
      <c r="B46" s="52"/>
      <c r="C46" s="52"/>
      <c r="D46" s="52"/>
      <c r="E46" s="52"/>
      <c r="F46" s="52"/>
      <c r="G46" s="53"/>
      <c r="H46" s="54"/>
      <c r="I46" s="54"/>
      <c r="J46" s="54"/>
      <c r="K46" s="136"/>
    </row>
  </sheetData>
  <sheetProtection selectLockedCells="1" selectUnlockedCells="1"/>
  <mergeCells count="23">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 ref="B37:G38"/>
    <mergeCell ref="H45:J45"/>
    <mergeCell ref="C21:F21"/>
    <mergeCell ref="H20:J20"/>
    <mergeCell ref="D23:F23"/>
    <mergeCell ref="B26:F27"/>
    <mergeCell ref="A28:G28"/>
    <mergeCell ref="B29:G29"/>
    <mergeCell ref="A30:G33"/>
  </mergeCells>
  <printOptions horizontalCentered="1" verticalCentered="1"/>
  <pageMargins left="0.25" right="0.25" top="0.25" bottom="0.25" header="0.31496062992126" footer="0.31496062992126"/>
  <pageSetup paperSize="9" scale="75"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FDFB-77C6-4EDB-B59B-FD6A8C85942F}">
  <sheetPr>
    <tabColor rgb="FFFFC000"/>
    <pageSetUpPr fitToPage="1"/>
  </sheetPr>
  <dimension ref="A4:AI137"/>
  <sheetViews>
    <sheetView showGridLines="0" view="pageBreakPreview" topLeftCell="A35" zoomScale="71" zoomScaleNormal="86" zoomScaleSheetLayoutView="71" workbookViewId="0">
      <selection activeCell="U11" sqref="U11"/>
    </sheetView>
  </sheetViews>
  <sheetFormatPr defaultColWidth="8.76953125" defaultRowHeight="15"/>
  <cols>
    <col min="1" max="1" width="5.26171875" style="378" customWidth="1"/>
    <col min="2" max="2" width="23.85546875" style="378" customWidth="1"/>
    <col min="3" max="3" width="32.859375" style="378" customWidth="1"/>
    <col min="4" max="4" width="17.19140625" style="378" customWidth="1"/>
    <col min="5" max="5" width="8.76953125" style="379" bestFit="1" customWidth="1"/>
    <col min="6" max="6" width="12.86328125" style="378" customWidth="1"/>
    <col min="7" max="7" width="12.51171875" style="378" customWidth="1"/>
    <col min="8" max="8" width="9.35546875" style="379" customWidth="1"/>
    <col min="9" max="9" width="5.37890625" style="379" customWidth="1"/>
    <col min="10" max="10" width="9.703125" style="379" customWidth="1"/>
    <col min="11" max="11" width="2.453125" style="379" hidden="1" customWidth="1"/>
    <col min="12" max="12" width="1.63671875" style="379" hidden="1" customWidth="1"/>
    <col min="13" max="13" width="2.1015625" style="379" hidden="1" customWidth="1"/>
    <col min="14" max="14" width="2.6875" style="379" hidden="1" customWidth="1"/>
    <col min="15" max="15" width="18.9453125" style="379" hidden="1" customWidth="1"/>
    <col min="16" max="16" width="7.71484375" style="380" hidden="1" customWidth="1"/>
    <col min="17" max="17" width="8.76953125" style="378" customWidth="1"/>
    <col min="18" max="18" width="13.21484375" style="420" customWidth="1"/>
    <col min="19" max="19" width="13.21484375" style="378" customWidth="1"/>
    <col min="20" max="20" width="11.4609375" style="378" hidden="1" customWidth="1"/>
    <col min="21" max="21" width="33.2109375" style="378" customWidth="1"/>
    <col min="22" max="22" width="7.3671875" style="378" customWidth="1"/>
    <col min="23" max="23" width="9.703125" style="378" hidden="1" customWidth="1"/>
    <col min="24" max="25" width="9.5859375" style="378" hidden="1" customWidth="1"/>
    <col min="26" max="30" width="0" style="378" hidden="1" customWidth="1"/>
    <col min="31" max="31" width="40.34375" style="378" hidden="1" customWidth="1"/>
    <col min="32" max="32" width="10.40625" style="378" bestFit="1" customWidth="1"/>
    <col min="33" max="33" width="8.76953125" style="378"/>
    <col min="34" max="34" width="11.92578125" style="378" bestFit="1" customWidth="1"/>
    <col min="35" max="16384" width="8.76953125" style="378"/>
  </cols>
  <sheetData>
    <row r="4" spans="1:35">
      <c r="AD4" s="378">
        <v>1</v>
      </c>
      <c r="AE4" s="378">
        <v>15750</v>
      </c>
    </row>
    <row r="5" spans="1:35">
      <c r="A5" s="520" t="s">
        <v>157</v>
      </c>
      <c r="B5" s="520"/>
      <c r="C5" s="382" t="str">
        <f>'Commercial Invoice'!H5</f>
        <v>OM4-DE-IS-0006</v>
      </c>
      <c r="D5" s="382"/>
      <c r="E5" s="381"/>
      <c r="F5" s="383"/>
      <c r="G5" s="382" t="s">
        <v>126</v>
      </c>
      <c r="H5" s="521"/>
      <c r="I5" s="521"/>
      <c r="J5" s="521"/>
      <c r="K5" s="521"/>
      <c r="L5" s="521"/>
      <c r="M5" s="521"/>
      <c r="N5" s="521"/>
      <c r="O5" s="521"/>
      <c r="P5" s="521"/>
      <c r="Q5" s="384"/>
      <c r="S5" s="384"/>
      <c r="T5" s="385" t="str">
        <f>'Commercial Invoice'!G6</f>
        <v>DATE:</v>
      </c>
      <c r="U5" s="385">
        <v>46219</v>
      </c>
      <c r="V5" s="385"/>
      <c r="AD5" s="378">
        <v>2</v>
      </c>
      <c r="AE5" s="378">
        <v>9817.5</v>
      </c>
    </row>
    <row r="6" spans="1:35" ht="8.4499999999999993" customHeight="1">
      <c r="B6" s="381"/>
      <c r="C6" s="381"/>
      <c r="D6" s="381"/>
      <c r="E6" s="381"/>
      <c r="AD6" s="378">
        <v>3</v>
      </c>
      <c r="AE6" s="378">
        <v>14280</v>
      </c>
    </row>
    <row r="7" spans="1:35" ht="47.45" customHeight="1">
      <c r="A7" s="386" t="s">
        <v>27</v>
      </c>
      <c r="B7" s="387" t="s">
        <v>28</v>
      </c>
      <c r="C7" s="387" t="s">
        <v>18</v>
      </c>
      <c r="D7" s="388" t="s">
        <v>445</v>
      </c>
      <c r="E7" s="388" t="s">
        <v>446</v>
      </c>
      <c r="F7" s="386" t="s">
        <v>29</v>
      </c>
      <c r="G7" s="386" t="s">
        <v>30</v>
      </c>
      <c r="H7" s="387" t="s">
        <v>20</v>
      </c>
      <c r="I7" s="387" t="s">
        <v>19</v>
      </c>
      <c r="J7" s="389" t="s">
        <v>158</v>
      </c>
      <c r="K7" s="389"/>
      <c r="L7" s="389"/>
      <c r="M7" s="389"/>
      <c r="N7" s="389"/>
      <c r="O7" s="389"/>
      <c r="P7" s="389" t="s">
        <v>158</v>
      </c>
      <c r="Q7" s="386" t="s">
        <v>21</v>
      </c>
      <c r="R7" s="414" t="s">
        <v>21</v>
      </c>
      <c r="S7" s="414" t="s">
        <v>22</v>
      </c>
      <c r="T7" s="386" t="s">
        <v>22</v>
      </c>
      <c r="U7" s="386" t="s">
        <v>381</v>
      </c>
      <c r="V7" s="386" t="s">
        <v>324</v>
      </c>
      <c r="AD7" s="378">
        <v>4</v>
      </c>
      <c r="AE7" s="378">
        <v>12495.000000000002</v>
      </c>
    </row>
    <row r="8" spans="1:35" ht="26.45" customHeight="1">
      <c r="A8" s="386">
        <v>1</v>
      </c>
      <c r="B8" s="387" t="s">
        <v>286</v>
      </c>
      <c r="C8" s="390" t="s">
        <v>177</v>
      </c>
      <c r="D8" s="427" t="s">
        <v>447</v>
      </c>
      <c r="E8" s="427" t="s">
        <v>438</v>
      </c>
      <c r="F8" s="386" t="s">
        <v>281</v>
      </c>
      <c r="G8" s="386" t="s">
        <v>282</v>
      </c>
      <c r="H8" s="387">
        <v>46</v>
      </c>
      <c r="I8" s="387" t="s">
        <v>188</v>
      </c>
      <c r="J8" s="389">
        <v>606.03</v>
      </c>
      <c r="K8" s="389" t="s">
        <v>382</v>
      </c>
      <c r="L8" s="389" t="s">
        <v>383</v>
      </c>
      <c r="M8" s="393" t="s">
        <v>384</v>
      </c>
      <c r="N8" s="389" t="s">
        <v>385</v>
      </c>
      <c r="O8" s="389" t="str">
        <f>CONCATENATE(K8,H8,I8,M8,J8,N8,L8)</f>
        <v>, (46SETS=606,03kg)</v>
      </c>
      <c r="P8" s="389">
        <v>606.03174603174602</v>
      </c>
      <c r="Q8" s="394">
        <v>68.31</v>
      </c>
      <c r="R8" s="416">
        <v>68.31</v>
      </c>
      <c r="S8" s="416">
        <v>3142.26</v>
      </c>
      <c r="T8" s="389">
        <v>3142.11</v>
      </c>
      <c r="U8" s="386" t="s">
        <v>189</v>
      </c>
      <c r="V8" s="386" t="s">
        <v>330</v>
      </c>
      <c r="AH8" s="395"/>
      <c r="AI8" s="396"/>
    </row>
    <row r="9" spans="1:35" ht="26.45" customHeight="1">
      <c r="A9" s="386">
        <v>2</v>
      </c>
      <c r="B9" s="387" t="s">
        <v>286</v>
      </c>
      <c r="C9" s="390" t="s">
        <v>177</v>
      </c>
      <c r="D9" s="427" t="s">
        <v>448</v>
      </c>
      <c r="E9" s="427" t="s">
        <v>438</v>
      </c>
      <c r="F9" s="386" t="s">
        <v>281</v>
      </c>
      <c r="G9" s="386" t="s">
        <v>282</v>
      </c>
      <c r="H9" s="387">
        <v>17</v>
      </c>
      <c r="I9" s="387" t="s">
        <v>188</v>
      </c>
      <c r="J9" s="389">
        <v>223.97</v>
      </c>
      <c r="K9" s="389" t="s">
        <v>382</v>
      </c>
      <c r="L9" s="389" t="s">
        <v>383</v>
      </c>
      <c r="M9" s="393" t="s">
        <v>384</v>
      </c>
      <c r="N9" s="389" t="s">
        <v>385</v>
      </c>
      <c r="O9" s="389" t="str">
        <f t="shared" ref="O9:O40" si="0">CONCATENATE(K9,H9,I9,M9,J9,N9,L9)</f>
        <v>, (17SETS=223,97kg)</v>
      </c>
      <c r="P9" s="389">
        <v>223.96825396825395</v>
      </c>
      <c r="Q9" s="394">
        <v>68.31</v>
      </c>
      <c r="R9" s="416">
        <v>68.31</v>
      </c>
      <c r="S9" s="416">
        <v>1161.27</v>
      </c>
      <c r="T9" s="389">
        <v>1161.22</v>
      </c>
      <c r="U9" s="386" t="s">
        <v>190</v>
      </c>
      <c r="V9" s="386" t="s">
        <v>330</v>
      </c>
    </row>
    <row r="10" spans="1:35" ht="26.45" customHeight="1">
      <c r="A10" s="386">
        <v>3</v>
      </c>
      <c r="B10" s="387" t="s">
        <v>287</v>
      </c>
      <c r="C10" s="390" t="s">
        <v>177</v>
      </c>
      <c r="D10" s="427" t="s">
        <v>449</v>
      </c>
      <c r="E10" s="427" t="s">
        <v>438</v>
      </c>
      <c r="F10" s="386" t="s">
        <v>281</v>
      </c>
      <c r="G10" s="386" t="s">
        <v>282</v>
      </c>
      <c r="H10" s="387">
        <v>17</v>
      </c>
      <c r="I10" s="387" t="s">
        <v>188</v>
      </c>
      <c r="J10" s="389">
        <v>672.92</v>
      </c>
      <c r="K10" s="389" t="s">
        <v>382</v>
      </c>
      <c r="L10" s="389" t="s">
        <v>383</v>
      </c>
      <c r="M10" s="393" t="s">
        <v>384</v>
      </c>
      <c r="N10" s="389" t="s">
        <v>385</v>
      </c>
      <c r="O10" s="389" t="str">
        <f t="shared" si="0"/>
        <v>, (17SETS=672,92kg)</v>
      </c>
      <c r="P10" s="389">
        <v>672.91666666666674</v>
      </c>
      <c r="Q10" s="394">
        <v>205.23</v>
      </c>
      <c r="R10" s="416">
        <v>205.23</v>
      </c>
      <c r="S10" s="416">
        <v>3488.91</v>
      </c>
      <c r="T10" s="389">
        <v>3488.89</v>
      </c>
      <c r="U10" s="386" t="s">
        <v>192</v>
      </c>
      <c r="V10" s="386" t="s">
        <v>330</v>
      </c>
    </row>
    <row r="11" spans="1:35" ht="26.45" customHeight="1">
      <c r="A11" s="386">
        <v>4</v>
      </c>
      <c r="B11" s="387" t="s">
        <v>287</v>
      </c>
      <c r="C11" s="390" t="s">
        <v>177</v>
      </c>
      <c r="D11" s="427" t="s">
        <v>450</v>
      </c>
      <c r="E11" s="427" t="s">
        <v>438</v>
      </c>
      <c r="F11" s="386" t="s">
        <v>281</v>
      </c>
      <c r="G11" s="386" t="s">
        <v>282</v>
      </c>
      <c r="H11" s="387">
        <v>7</v>
      </c>
      <c r="I11" s="387" t="s">
        <v>188</v>
      </c>
      <c r="J11" s="389">
        <v>277.08</v>
      </c>
      <c r="K11" s="389" t="s">
        <v>382</v>
      </c>
      <c r="L11" s="389" t="s">
        <v>383</v>
      </c>
      <c r="M11" s="393" t="s">
        <v>384</v>
      </c>
      <c r="N11" s="389" t="s">
        <v>385</v>
      </c>
      <c r="O11" s="389" t="str">
        <f t="shared" si="0"/>
        <v>, (7SETS=277,08kg)</v>
      </c>
      <c r="P11" s="389">
        <v>277.08333333333337</v>
      </c>
      <c r="Q11" s="394">
        <v>205.23</v>
      </c>
      <c r="R11" s="416">
        <v>205.23</v>
      </c>
      <c r="S11" s="416">
        <v>1436.61</v>
      </c>
      <c r="T11" s="389">
        <v>1436.6</v>
      </c>
      <c r="U11" s="386" t="s">
        <v>193</v>
      </c>
      <c r="V11" s="386" t="s">
        <v>330</v>
      </c>
    </row>
    <row r="12" spans="1:35" ht="26.45" customHeight="1">
      <c r="A12" s="386">
        <v>5</v>
      </c>
      <c r="B12" s="387" t="s">
        <v>288</v>
      </c>
      <c r="C12" s="390" t="s">
        <v>177</v>
      </c>
      <c r="D12" s="427" t="s">
        <v>451</v>
      </c>
      <c r="E12" s="427" t="s">
        <v>438</v>
      </c>
      <c r="F12" s="386" t="s">
        <v>281</v>
      </c>
      <c r="G12" s="386" t="s">
        <v>282</v>
      </c>
      <c r="H12" s="387">
        <v>4</v>
      </c>
      <c r="I12" s="387" t="s">
        <v>188</v>
      </c>
      <c r="J12" s="389">
        <v>50.2</v>
      </c>
      <c r="K12" s="389" t="s">
        <v>382</v>
      </c>
      <c r="L12" s="389" t="s">
        <v>383</v>
      </c>
      <c r="M12" s="393" t="s">
        <v>384</v>
      </c>
      <c r="N12" s="389" t="s">
        <v>385</v>
      </c>
      <c r="O12" s="389" t="str">
        <f t="shared" si="0"/>
        <v>, (4SETS=50,2kg)</v>
      </c>
      <c r="P12" s="389">
        <v>50.196078431372548</v>
      </c>
      <c r="Q12" s="394">
        <v>65.06</v>
      </c>
      <c r="R12" s="416">
        <v>65.06</v>
      </c>
      <c r="S12" s="416">
        <v>260.24</v>
      </c>
      <c r="T12" s="389">
        <v>260.25</v>
      </c>
      <c r="U12" s="386" t="s">
        <v>194</v>
      </c>
      <c r="V12" s="386" t="s">
        <v>330</v>
      </c>
    </row>
    <row r="13" spans="1:35" ht="26.45" customHeight="1">
      <c r="A13" s="386">
        <v>6</v>
      </c>
      <c r="B13" s="387" t="s">
        <v>288</v>
      </c>
      <c r="C13" s="390" t="s">
        <v>177</v>
      </c>
      <c r="D13" s="427" t="s">
        <v>452</v>
      </c>
      <c r="E13" s="427" t="s">
        <v>438</v>
      </c>
      <c r="F13" s="386" t="s">
        <v>281</v>
      </c>
      <c r="G13" s="386" t="s">
        <v>282</v>
      </c>
      <c r="H13" s="387">
        <v>5</v>
      </c>
      <c r="I13" s="387" t="s">
        <v>188</v>
      </c>
      <c r="J13" s="389">
        <v>62.75</v>
      </c>
      <c r="K13" s="389" t="s">
        <v>382</v>
      </c>
      <c r="L13" s="389" t="s">
        <v>383</v>
      </c>
      <c r="M13" s="393" t="s">
        <v>384</v>
      </c>
      <c r="N13" s="389" t="s">
        <v>385</v>
      </c>
      <c r="O13" s="389" t="str">
        <f t="shared" si="0"/>
        <v>, (5SETS=62,75kg)</v>
      </c>
      <c r="P13" s="389">
        <v>62.745098039215684</v>
      </c>
      <c r="Q13" s="394">
        <v>65.06</v>
      </c>
      <c r="R13" s="416">
        <v>65.06</v>
      </c>
      <c r="S13" s="416">
        <v>325.3</v>
      </c>
      <c r="T13" s="389">
        <v>325.32</v>
      </c>
      <c r="U13" s="386" t="s">
        <v>195</v>
      </c>
      <c r="V13" s="386" t="s">
        <v>330</v>
      </c>
    </row>
    <row r="14" spans="1:35" ht="26.45" customHeight="1">
      <c r="A14" s="386">
        <v>7</v>
      </c>
      <c r="B14" s="387" t="s">
        <v>288</v>
      </c>
      <c r="C14" s="390" t="s">
        <v>351</v>
      </c>
      <c r="D14" s="427" t="s">
        <v>453</v>
      </c>
      <c r="E14" s="427" t="s">
        <v>438</v>
      </c>
      <c r="F14" s="386" t="s">
        <v>281</v>
      </c>
      <c r="G14" s="386" t="s">
        <v>282</v>
      </c>
      <c r="H14" s="387">
        <v>13</v>
      </c>
      <c r="I14" s="387" t="s">
        <v>188</v>
      </c>
      <c r="J14" s="389">
        <v>163.13999999999999</v>
      </c>
      <c r="K14" s="389" t="s">
        <v>382</v>
      </c>
      <c r="L14" s="389" t="s">
        <v>383</v>
      </c>
      <c r="M14" s="393" t="s">
        <v>384</v>
      </c>
      <c r="N14" s="389" t="s">
        <v>385</v>
      </c>
      <c r="O14" s="389" t="str">
        <f t="shared" si="0"/>
        <v>, (13SETS=163,14kg)</v>
      </c>
      <c r="P14" s="389">
        <v>163.13725490196077</v>
      </c>
      <c r="Q14" s="394">
        <v>65.06</v>
      </c>
      <c r="R14" s="416">
        <v>65.06</v>
      </c>
      <c r="S14" s="416">
        <v>845.78</v>
      </c>
      <c r="T14" s="389">
        <v>845.82</v>
      </c>
      <c r="U14" s="386" t="s">
        <v>196</v>
      </c>
      <c r="V14" s="386" t="s">
        <v>330</v>
      </c>
    </row>
    <row r="15" spans="1:35" ht="26.45" customHeight="1">
      <c r="A15" s="386">
        <v>8</v>
      </c>
      <c r="B15" s="387" t="s">
        <v>288</v>
      </c>
      <c r="C15" s="390" t="s">
        <v>351</v>
      </c>
      <c r="D15" s="427" t="s">
        <v>454</v>
      </c>
      <c r="E15" s="427" t="s">
        <v>438</v>
      </c>
      <c r="F15" s="386" t="s">
        <v>281</v>
      </c>
      <c r="G15" s="386" t="s">
        <v>282</v>
      </c>
      <c r="H15" s="387">
        <v>19</v>
      </c>
      <c r="I15" s="387" t="s">
        <v>188</v>
      </c>
      <c r="J15" s="389">
        <v>238.43</v>
      </c>
      <c r="K15" s="389" t="s">
        <v>382</v>
      </c>
      <c r="L15" s="389" t="s">
        <v>383</v>
      </c>
      <c r="M15" s="393" t="s">
        <v>384</v>
      </c>
      <c r="N15" s="389" t="s">
        <v>385</v>
      </c>
      <c r="O15" s="389" t="str">
        <f t="shared" si="0"/>
        <v>, (19SETS=238,43kg)</v>
      </c>
      <c r="P15" s="389">
        <v>238.43137254901961</v>
      </c>
      <c r="Q15" s="394">
        <v>65.06</v>
      </c>
      <c r="R15" s="416">
        <v>65.06</v>
      </c>
      <c r="S15" s="416">
        <v>1236.1400000000001</v>
      </c>
      <c r="T15" s="389">
        <v>1236.2</v>
      </c>
      <c r="U15" s="386" t="s">
        <v>197</v>
      </c>
      <c r="V15" s="386" t="s">
        <v>330</v>
      </c>
    </row>
    <row r="16" spans="1:35" ht="26.45" customHeight="1">
      <c r="A16" s="386">
        <v>9</v>
      </c>
      <c r="B16" s="387" t="s">
        <v>288</v>
      </c>
      <c r="C16" s="390" t="s">
        <v>351</v>
      </c>
      <c r="D16" s="427" t="s">
        <v>455</v>
      </c>
      <c r="E16" s="427" t="s">
        <v>438</v>
      </c>
      <c r="F16" s="386" t="s">
        <v>281</v>
      </c>
      <c r="G16" s="386" t="s">
        <v>282</v>
      </c>
      <c r="H16" s="387">
        <v>10</v>
      </c>
      <c r="I16" s="387" t="s">
        <v>188</v>
      </c>
      <c r="J16" s="389">
        <v>125.49</v>
      </c>
      <c r="K16" s="389" t="s">
        <v>382</v>
      </c>
      <c r="L16" s="389" t="s">
        <v>383</v>
      </c>
      <c r="M16" s="393" t="s">
        <v>384</v>
      </c>
      <c r="N16" s="389" t="s">
        <v>385</v>
      </c>
      <c r="O16" s="389" t="str">
        <f t="shared" si="0"/>
        <v>, (10SETS=125,49kg)</v>
      </c>
      <c r="P16" s="389">
        <v>125.49019607843137</v>
      </c>
      <c r="Q16" s="394">
        <v>65.06</v>
      </c>
      <c r="R16" s="415">
        <v>65.061000000000007</v>
      </c>
      <c r="S16" s="416">
        <v>650.61</v>
      </c>
      <c r="T16" s="389">
        <v>650.63</v>
      </c>
      <c r="U16" s="386" t="s">
        <v>198</v>
      </c>
      <c r="V16" s="386" t="s">
        <v>330</v>
      </c>
    </row>
    <row r="17" spans="1:22" ht="26.45" customHeight="1">
      <c r="A17" s="386">
        <v>10</v>
      </c>
      <c r="B17" s="387" t="s">
        <v>289</v>
      </c>
      <c r="C17" s="390" t="s">
        <v>351</v>
      </c>
      <c r="D17" s="427" t="s">
        <v>456</v>
      </c>
      <c r="E17" s="427" t="s">
        <v>438</v>
      </c>
      <c r="F17" s="386" t="s">
        <v>281</v>
      </c>
      <c r="G17" s="386" t="s">
        <v>282</v>
      </c>
      <c r="H17" s="387">
        <v>38</v>
      </c>
      <c r="I17" s="387" t="s">
        <v>188</v>
      </c>
      <c r="J17" s="389">
        <v>639.51</v>
      </c>
      <c r="K17" s="389" t="s">
        <v>382</v>
      </c>
      <c r="L17" s="389" t="s">
        <v>383</v>
      </c>
      <c r="M17" s="393" t="s">
        <v>384</v>
      </c>
      <c r="N17" s="389" t="s">
        <v>385</v>
      </c>
      <c r="O17" s="389" t="str">
        <f t="shared" si="0"/>
        <v>, (38SETS=639,51kg)</v>
      </c>
      <c r="P17" s="389">
        <v>639.51219512195121</v>
      </c>
      <c r="Q17" s="394">
        <v>87.26</v>
      </c>
      <c r="R17" s="416">
        <v>87.26</v>
      </c>
      <c r="S17" s="416">
        <v>3315.88</v>
      </c>
      <c r="T17" s="389">
        <v>3315.7</v>
      </c>
      <c r="U17" s="386" t="s">
        <v>199</v>
      </c>
      <c r="V17" s="386" t="s">
        <v>330</v>
      </c>
    </row>
    <row r="18" spans="1:22" ht="26.45" customHeight="1">
      <c r="A18" s="386">
        <v>11</v>
      </c>
      <c r="B18" s="387" t="s">
        <v>289</v>
      </c>
      <c r="C18" s="390" t="s">
        <v>351</v>
      </c>
      <c r="D18" s="427" t="s">
        <v>457</v>
      </c>
      <c r="E18" s="427" t="s">
        <v>438</v>
      </c>
      <c r="F18" s="386" t="s">
        <v>281</v>
      </c>
      <c r="G18" s="386" t="s">
        <v>282</v>
      </c>
      <c r="H18" s="387">
        <v>3</v>
      </c>
      <c r="I18" s="387" t="s">
        <v>188</v>
      </c>
      <c r="J18" s="389">
        <v>50.49</v>
      </c>
      <c r="K18" s="389" t="s">
        <v>382</v>
      </c>
      <c r="L18" s="389" t="s">
        <v>383</v>
      </c>
      <c r="M18" s="393" t="s">
        <v>384</v>
      </c>
      <c r="N18" s="389" t="s">
        <v>385</v>
      </c>
      <c r="O18" s="389" t="str">
        <f t="shared" si="0"/>
        <v>, (3SETS=50,49kg)</v>
      </c>
      <c r="P18" s="389">
        <v>50.487804878048777</v>
      </c>
      <c r="Q18" s="394">
        <v>87.26</v>
      </c>
      <c r="R18" s="416">
        <v>87</v>
      </c>
      <c r="S18" s="416">
        <v>261</v>
      </c>
      <c r="T18" s="389">
        <v>261.77</v>
      </c>
      <c r="U18" s="386" t="s">
        <v>200</v>
      </c>
      <c r="V18" s="386" t="s">
        <v>330</v>
      </c>
    </row>
    <row r="19" spans="1:22" ht="26.45" customHeight="1">
      <c r="A19" s="386">
        <v>12</v>
      </c>
      <c r="B19" s="387" t="s">
        <v>290</v>
      </c>
      <c r="C19" s="390" t="s">
        <v>177</v>
      </c>
      <c r="D19" s="427" t="s">
        <v>458</v>
      </c>
      <c r="E19" s="427" t="s">
        <v>438</v>
      </c>
      <c r="F19" s="386" t="s">
        <v>281</v>
      </c>
      <c r="G19" s="386" t="s">
        <v>282</v>
      </c>
      <c r="H19" s="387">
        <v>29</v>
      </c>
      <c r="I19" s="387" t="s">
        <v>188</v>
      </c>
      <c r="J19" s="389">
        <v>470</v>
      </c>
      <c r="K19" s="389" t="s">
        <v>382</v>
      </c>
      <c r="L19" s="389" t="s">
        <v>383</v>
      </c>
      <c r="M19" s="393" t="s">
        <v>384</v>
      </c>
      <c r="N19" s="389" t="s">
        <v>385</v>
      </c>
      <c r="O19" s="389" t="str">
        <f t="shared" si="0"/>
        <v>, (29SETS=470kg)</v>
      </c>
      <c r="P19" s="389">
        <v>470</v>
      </c>
      <c r="Q19" s="394">
        <v>84.03</v>
      </c>
      <c r="R19" s="416">
        <v>84.03</v>
      </c>
      <c r="S19" s="416">
        <v>2436.87</v>
      </c>
      <c r="T19" s="389">
        <v>2436.8200000000002</v>
      </c>
      <c r="U19" s="386" t="s">
        <v>201</v>
      </c>
      <c r="V19" s="386" t="s">
        <v>330</v>
      </c>
    </row>
    <row r="20" spans="1:22" ht="26.45" customHeight="1">
      <c r="A20" s="386">
        <v>13</v>
      </c>
      <c r="B20" s="387" t="s">
        <v>291</v>
      </c>
      <c r="C20" s="390" t="s">
        <v>177</v>
      </c>
      <c r="D20" s="427" t="s">
        <v>459</v>
      </c>
      <c r="E20" s="427" t="s">
        <v>438</v>
      </c>
      <c r="F20" s="386" t="s">
        <v>281</v>
      </c>
      <c r="G20" s="386" t="s">
        <v>282</v>
      </c>
      <c r="H20" s="387">
        <v>6</v>
      </c>
      <c r="I20" s="387" t="s">
        <v>188</v>
      </c>
      <c r="J20" s="389">
        <v>37.89</v>
      </c>
      <c r="K20" s="389" t="s">
        <v>382</v>
      </c>
      <c r="L20" s="389" t="s">
        <v>383</v>
      </c>
      <c r="M20" s="393" t="s">
        <v>384</v>
      </c>
      <c r="N20" s="389" t="s">
        <v>385</v>
      </c>
      <c r="O20" s="389" t="str">
        <f t="shared" si="0"/>
        <v>, (6SETS=37,89kg)</v>
      </c>
      <c r="P20" s="389">
        <v>37.89473684210526</v>
      </c>
      <c r="Q20" s="394">
        <v>32.75</v>
      </c>
      <c r="R20" s="416">
        <v>32.75</v>
      </c>
      <c r="S20" s="416">
        <v>196.5</v>
      </c>
      <c r="T20" s="389">
        <v>196.47</v>
      </c>
      <c r="U20" s="386" t="s">
        <v>202</v>
      </c>
      <c r="V20" s="386" t="s">
        <v>330</v>
      </c>
    </row>
    <row r="21" spans="1:22" ht="26.45" customHeight="1">
      <c r="A21" s="386">
        <v>14</v>
      </c>
      <c r="B21" s="387" t="s">
        <v>291</v>
      </c>
      <c r="C21" s="390" t="s">
        <v>177</v>
      </c>
      <c r="D21" s="427" t="s">
        <v>460</v>
      </c>
      <c r="E21" s="427" t="s">
        <v>438</v>
      </c>
      <c r="F21" s="386" t="s">
        <v>281</v>
      </c>
      <c r="G21" s="386" t="s">
        <v>282</v>
      </c>
      <c r="H21" s="387">
        <v>10</v>
      </c>
      <c r="I21" s="387" t="s">
        <v>188</v>
      </c>
      <c r="J21" s="389">
        <v>63.16</v>
      </c>
      <c r="K21" s="389" t="s">
        <v>382</v>
      </c>
      <c r="L21" s="389" t="s">
        <v>383</v>
      </c>
      <c r="M21" s="393" t="s">
        <v>384</v>
      </c>
      <c r="N21" s="389" t="s">
        <v>385</v>
      </c>
      <c r="O21" s="389" t="str">
        <f t="shared" si="0"/>
        <v>, (10SETS=63,16kg)</v>
      </c>
      <c r="P21" s="389">
        <v>63.15789473684211</v>
      </c>
      <c r="Q21" s="394">
        <v>32.75</v>
      </c>
      <c r="R21" s="416">
        <v>32.75</v>
      </c>
      <c r="S21" s="416">
        <v>327.5</v>
      </c>
      <c r="T21" s="389">
        <v>327.45999999999998</v>
      </c>
      <c r="U21" s="386" t="s">
        <v>203</v>
      </c>
      <c r="V21" s="386" t="s">
        <v>330</v>
      </c>
    </row>
    <row r="22" spans="1:22" ht="26.45" customHeight="1">
      <c r="A22" s="386">
        <v>15</v>
      </c>
      <c r="B22" s="387" t="s">
        <v>291</v>
      </c>
      <c r="C22" s="390" t="s">
        <v>177</v>
      </c>
      <c r="D22" s="427" t="s">
        <v>461</v>
      </c>
      <c r="E22" s="427" t="s">
        <v>438</v>
      </c>
      <c r="F22" s="386" t="s">
        <v>281</v>
      </c>
      <c r="G22" s="386" t="s">
        <v>282</v>
      </c>
      <c r="H22" s="387">
        <v>22</v>
      </c>
      <c r="I22" s="387" t="s">
        <v>188</v>
      </c>
      <c r="J22" s="389">
        <v>138.94999999999999</v>
      </c>
      <c r="K22" s="389" t="s">
        <v>382</v>
      </c>
      <c r="L22" s="389" t="s">
        <v>383</v>
      </c>
      <c r="M22" s="393" t="s">
        <v>384</v>
      </c>
      <c r="N22" s="389" t="s">
        <v>385</v>
      </c>
      <c r="O22" s="389" t="str">
        <f t="shared" si="0"/>
        <v>, (22SETS=138,95kg)</v>
      </c>
      <c r="P22" s="389">
        <v>138.94736842105263</v>
      </c>
      <c r="Q22" s="394">
        <v>32.75</v>
      </c>
      <c r="R22" s="416">
        <v>32.75</v>
      </c>
      <c r="S22" s="416">
        <v>720.5</v>
      </c>
      <c r="T22" s="389">
        <v>720.4</v>
      </c>
      <c r="U22" s="386" t="s">
        <v>204</v>
      </c>
      <c r="V22" s="386" t="s">
        <v>330</v>
      </c>
    </row>
    <row r="23" spans="1:22" ht="26.45" customHeight="1">
      <c r="A23" s="386">
        <v>16</v>
      </c>
      <c r="B23" s="387" t="s">
        <v>292</v>
      </c>
      <c r="C23" s="390" t="s">
        <v>177</v>
      </c>
      <c r="D23" s="427" t="s">
        <v>462</v>
      </c>
      <c r="E23" s="427" t="s">
        <v>438</v>
      </c>
      <c r="F23" s="386" t="s">
        <v>281</v>
      </c>
      <c r="G23" s="386" t="s">
        <v>282</v>
      </c>
      <c r="H23" s="387">
        <v>32</v>
      </c>
      <c r="I23" s="387" t="s">
        <v>188</v>
      </c>
      <c r="J23" s="389">
        <v>1580</v>
      </c>
      <c r="K23" s="389" t="s">
        <v>382</v>
      </c>
      <c r="L23" s="389" t="s">
        <v>383</v>
      </c>
      <c r="M23" s="393" t="s">
        <v>384</v>
      </c>
      <c r="N23" s="389" t="s">
        <v>385</v>
      </c>
      <c r="O23" s="389" t="str">
        <f t="shared" si="0"/>
        <v>, (32SETS=1580kg)</v>
      </c>
      <c r="P23" s="389">
        <v>1580</v>
      </c>
      <c r="Q23" s="394">
        <v>256</v>
      </c>
      <c r="R23" s="416">
        <v>256</v>
      </c>
      <c r="S23" s="416">
        <v>8192</v>
      </c>
      <c r="T23" s="389">
        <v>8191.88</v>
      </c>
      <c r="U23" s="386" t="s">
        <v>205</v>
      </c>
      <c r="V23" s="386" t="s">
        <v>330</v>
      </c>
    </row>
    <row r="24" spans="1:22" ht="26.45" customHeight="1">
      <c r="A24" s="386">
        <v>17</v>
      </c>
      <c r="B24" s="387" t="s">
        <v>293</v>
      </c>
      <c r="C24" s="390" t="s">
        <v>351</v>
      </c>
      <c r="D24" s="427" t="s">
        <v>463</v>
      </c>
      <c r="E24" s="427" t="s">
        <v>438</v>
      </c>
      <c r="F24" s="386" t="s">
        <v>281</v>
      </c>
      <c r="G24" s="386" t="s">
        <v>282</v>
      </c>
      <c r="H24" s="387">
        <v>32</v>
      </c>
      <c r="I24" s="387" t="s">
        <v>188</v>
      </c>
      <c r="J24" s="389">
        <v>1080</v>
      </c>
      <c r="K24" s="389" t="s">
        <v>382</v>
      </c>
      <c r="L24" s="389" t="s">
        <v>383</v>
      </c>
      <c r="M24" s="393" t="s">
        <v>384</v>
      </c>
      <c r="N24" s="389" t="s">
        <v>385</v>
      </c>
      <c r="O24" s="389" t="str">
        <f t="shared" si="0"/>
        <v>, (32SETS=1080kg)</v>
      </c>
      <c r="P24" s="389">
        <v>1080</v>
      </c>
      <c r="Q24" s="394">
        <v>174.98</v>
      </c>
      <c r="R24" s="416">
        <v>174.98</v>
      </c>
      <c r="S24" s="416">
        <v>5599.36</v>
      </c>
      <c r="T24" s="389">
        <v>5599.51</v>
      </c>
      <c r="U24" s="386" t="s">
        <v>206</v>
      </c>
      <c r="V24" s="386" t="s">
        <v>330</v>
      </c>
    </row>
    <row r="25" spans="1:22" ht="26.45" customHeight="1">
      <c r="A25" s="386">
        <v>18</v>
      </c>
      <c r="B25" s="387" t="s">
        <v>294</v>
      </c>
      <c r="C25" s="390" t="s">
        <v>177</v>
      </c>
      <c r="D25" s="427" t="s">
        <v>449</v>
      </c>
      <c r="E25" s="427" t="s">
        <v>438</v>
      </c>
      <c r="F25" s="386" t="s">
        <v>281</v>
      </c>
      <c r="G25" s="386" t="s">
        <v>282</v>
      </c>
      <c r="H25" s="387">
        <v>32</v>
      </c>
      <c r="I25" s="387" t="s">
        <v>188</v>
      </c>
      <c r="J25" s="389">
        <v>1580</v>
      </c>
      <c r="K25" s="389" t="s">
        <v>382</v>
      </c>
      <c r="L25" s="389" t="s">
        <v>383</v>
      </c>
      <c r="M25" s="393" t="s">
        <v>384</v>
      </c>
      <c r="N25" s="389" t="s">
        <v>385</v>
      </c>
      <c r="O25" s="389" t="str">
        <f t="shared" si="0"/>
        <v>, (32SETS=1580kg)</v>
      </c>
      <c r="P25" s="389">
        <v>1580</v>
      </c>
      <c r="Q25" s="394">
        <v>256</v>
      </c>
      <c r="R25" s="416">
        <v>256</v>
      </c>
      <c r="S25" s="416">
        <v>8192</v>
      </c>
      <c r="T25" s="389">
        <v>8191.88</v>
      </c>
      <c r="U25" s="386" t="s">
        <v>192</v>
      </c>
      <c r="V25" s="386" t="s">
        <v>330</v>
      </c>
    </row>
    <row r="26" spans="1:22" ht="26.45" customHeight="1">
      <c r="A26" s="386">
        <v>19</v>
      </c>
      <c r="B26" s="387" t="s">
        <v>295</v>
      </c>
      <c r="C26" s="390" t="s">
        <v>177</v>
      </c>
      <c r="D26" s="427" t="s">
        <v>464</v>
      </c>
      <c r="E26" s="427" t="s">
        <v>438</v>
      </c>
      <c r="F26" s="386" t="s">
        <v>281</v>
      </c>
      <c r="G26" s="386" t="s">
        <v>282</v>
      </c>
      <c r="H26" s="387">
        <v>25</v>
      </c>
      <c r="I26" s="387" t="s">
        <v>188</v>
      </c>
      <c r="J26" s="389">
        <v>1120.69</v>
      </c>
      <c r="K26" s="389" t="s">
        <v>382</v>
      </c>
      <c r="L26" s="389" t="s">
        <v>383</v>
      </c>
      <c r="M26" s="393" t="s">
        <v>384</v>
      </c>
      <c r="N26" s="389" t="s">
        <v>385</v>
      </c>
      <c r="O26" s="389" t="str">
        <f t="shared" si="0"/>
        <v>, (25SETS=1120,69kg)</v>
      </c>
      <c r="P26" s="389">
        <v>1120.6896551724139</v>
      </c>
      <c r="Q26" s="394">
        <v>232.42</v>
      </c>
      <c r="R26" s="416">
        <v>232.42</v>
      </c>
      <c r="S26" s="416">
        <v>5810.5</v>
      </c>
      <c r="T26" s="389">
        <v>5810.48</v>
      </c>
      <c r="U26" s="386" t="s">
        <v>207</v>
      </c>
      <c r="V26" s="386" t="s">
        <v>330</v>
      </c>
    </row>
    <row r="27" spans="1:22" ht="26.45" customHeight="1">
      <c r="A27" s="386">
        <v>20</v>
      </c>
      <c r="B27" s="387" t="s">
        <v>295</v>
      </c>
      <c r="C27" s="390" t="s">
        <v>177</v>
      </c>
      <c r="D27" s="427" t="s">
        <v>465</v>
      </c>
      <c r="E27" s="427" t="s">
        <v>438</v>
      </c>
      <c r="F27" s="386" t="s">
        <v>281</v>
      </c>
      <c r="G27" s="386" t="s">
        <v>282</v>
      </c>
      <c r="H27" s="387">
        <v>4</v>
      </c>
      <c r="I27" s="387" t="s">
        <v>188</v>
      </c>
      <c r="J27" s="389">
        <v>179.31</v>
      </c>
      <c r="K27" s="389" t="s">
        <v>382</v>
      </c>
      <c r="L27" s="389" t="s">
        <v>383</v>
      </c>
      <c r="M27" s="393" t="s">
        <v>384</v>
      </c>
      <c r="N27" s="389" t="s">
        <v>385</v>
      </c>
      <c r="O27" s="389" t="str">
        <f t="shared" si="0"/>
        <v>, (4SETS=179,31kg)</v>
      </c>
      <c r="P27" s="389">
        <v>179.31034482758622</v>
      </c>
      <c r="Q27" s="394">
        <v>232.42</v>
      </c>
      <c r="R27" s="416">
        <v>232.42</v>
      </c>
      <c r="S27" s="416">
        <v>929.68</v>
      </c>
      <c r="T27" s="389">
        <v>929.68</v>
      </c>
      <c r="U27" s="386" t="s">
        <v>208</v>
      </c>
      <c r="V27" s="386" t="s">
        <v>330</v>
      </c>
    </row>
    <row r="28" spans="1:22" ht="26.45" customHeight="1">
      <c r="A28" s="386">
        <v>21</v>
      </c>
      <c r="B28" s="387" t="s">
        <v>296</v>
      </c>
      <c r="C28" s="390" t="s">
        <v>177</v>
      </c>
      <c r="D28" s="427" t="s">
        <v>466</v>
      </c>
      <c r="E28" s="427" t="s">
        <v>438</v>
      </c>
      <c r="F28" s="386" t="s">
        <v>281</v>
      </c>
      <c r="G28" s="386" t="s">
        <v>282</v>
      </c>
      <c r="H28" s="387">
        <v>17</v>
      </c>
      <c r="I28" s="387" t="s">
        <v>188</v>
      </c>
      <c r="J28" s="389">
        <v>595</v>
      </c>
      <c r="K28" s="389" t="s">
        <v>382</v>
      </c>
      <c r="L28" s="389" t="s">
        <v>383</v>
      </c>
      <c r="M28" s="393" t="s">
        <v>384</v>
      </c>
      <c r="N28" s="389" t="s">
        <v>385</v>
      </c>
      <c r="O28" s="389" t="str">
        <f t="shared" si="0"/>
        <v>, (17SETS=595kg)</v>
      </c>
      <c r="P28" s="389">
        <v>595</v>
      </c>
      <c r="Q28" s="394">
        <v>181.47</v>
      </c>
      <c r="R28" s="416">
        <v>181.47</v>
      </c>
      <c r="S28" s="416">
        <v>3084.99</v>
      </c>
      <c r="T28" s="389">
        <v>3084.92</v>
      </c>
      <c r="U28" s="386" t="s">
        <v>209</v>
      </c>
      <c r="V28" s="386" t="s">
        <v>330</v>
      </c>
    </row>
    <row r="29" spans="1:22" ht="26.45" customHeight="1">
      <c r="A29" s="386">
        <v>22</v>
      </c>
      <c r="B29" s="387" t="s">
        <v>296</v>
      </c>
      <c r="C29" s="390" t="s">
        <v>177</v>
      </c>
      <c r="D29" s="427" t="s">
        <v>467</v>
      </c>
      <c r="E29" s="427" t="s">
        <v>438</v>
      </c>
      <c r="F29" s="386" t="s">
        <v>281</v>
      </c>
      <c r="G29" s="386" t="s">
        <v>282</v>
      </c>
      <c r="H29" s="387">
        <v>13</v>
      </c>
      <c r="I29" s="387" t="s">
        <v>188</v>
      </c>
      <c r="J29" s="389">
        <v>455</v>
      </c>
      <c r="K29" s="389" t="s">
        <v>382</v>
      </c>
      <c r="L29" s="389" t="s">
        <v>383</v>
      </c>
      <c r="M29" s="393" t="s">
        <v>384</v>
      </c>
      <c r="N29" s="389" t="s">
        <v>385</v>
      </c>
      <c r="O29" s="389" t="str">
        <f t="shared" si="0"/>
        <v>, (13SETS=455kg)</v>
      </c>
      <c r="P29" s="389">
        <v>455</v>
      </c>
      <c r="Q29" s="394">
        <v>181.47</v>
      </c>
      <c r="R29" s="416">
        <v>181.47</v>
      </c>
      <c r="S29" s="416">
        <v>2359.11</v>
      </c>
      <c r="T29" s="389">
        <v>2359.0500000000002</v>
      </c>
      <c r="U29" s="386" t="s">
        <v>210</v>
      </c>
      <c r="V29" s="386" t="s">
        <v>330</v>
      </c>
    </row>
    <row r="30" spans="1:22" ht="26.45" customHeight="1">
      <c r="A30" s="386">
        <v>23</v>
      </c>
      <c r="B30" s="387" t="s">
        <v>297</v>
      </c>
      <c r="C30" s="390" t="s">
        <v>351</v>
      </c>
      <c r="D30" s="427" t="s">
        <v>463</v>
      </c>
      <c r="E30" s="427" t="s">
        <v>438</v>
      </c>
      <c r="F30" s="386" t="s">
        <v>281</v>
      </c>
      <c r="G30" s="386" t="s">
        <v>282</v>
      </c>
      <c r="H30" s="387">
        <v>34</v>
      </c>
      <c r="I30" s="387" t="s">
        <v>188</v>
      </c>
      <c r="J30" s="389">
        <v>1150</v>
      </c>
      <c r="K30" s="389" t="s">
        <v>382</v>
      </c>
      <c r="L30" s="389" t="s">
        <v>383</v>
      </c>
      <c r="M30" s="393" t="s">
        <v>384</v>
      </c>
      <c r="N30" s="389" t="s">
        <v>385</v>
      </c>
      <c r="O30" s="389" t="str">
        <f t="shared" si="0"/>
        <v>, (34SETS=1150kg)</v>
      </c>
      <c r="P30" s="389">
        <v>1150</v>
      </c>
      <c r="Q30" s="394">
        <f>ROUND(T30/H30,2)</f>
        <v>197.74</v>
      </c>
      <c r="R30" s="416">
        <v>197.74</v>
      </c>
      <c r="S30" s="416">
        <v>6723.16</v>
      </c>
      <c r="T30" s="389">
        <v>6723.28</v>
      </c>
      <c r="U30" s="386" t="s">
        <v>206</v>
      </c>
      <c r="V30" s="386" t="s">
        <v>330</v>
      </c>
    </row>
    <row r="31" spans="1:22" ht="26.45" customHeight="1">
      <c r="A31" s="386">
        <v>24</v>
      </c>
      <c r="B31" s="387" t="s">
        <v>298</v>
      </c>
      <c r="C31" s="390" t="s">
        <v>351</v>
      </c>
      <c r="D31" s="427" t="s">
        <v>468</v>
      </c>
      <c r="E31" s="427" t="s">
        <v>438</v>
      </c>
      <c r="F31" s="386" t="s">
        <v>281</v>
      </c>
      <c r="G31" s="386" t="s">
        <v>282</v>
      </c>
      <c r="H31" s="387">
        <v>35</v>
      </c>
      <c r="I31" s="387" t="s">
        <v>188</v>
      </c>
      <c r="J31" s="389">
        <v>1730</v>
      </c>
      <c r="K31" s="389" t="s">
        <v>382</v>
      </c>
      <c r="L31" s="389" t="s">
        <v>383</v>
      </c>
      <c r="M31" s="393" t="s">
        <v>384</v>
      </c>
      <c r="N31" s="389" t="s">
        <v>385</v>
      </c>
      <c r="O31" s="389" t="str">
        <f t="shared" si="0"/>
        <v>, (35SETS=1730kg)</v>
      </c>
      <c r="P31" s="389">
        <v>1730</v>
      </c>
      <c r="Q31" s="394">
        <v>256.27</v>
      </c>
      <c r="R31" s="416">
        <v>256.27000000000004</v>
      </c>
      <c r="S31" s="416">
        <v>8969.4500000000007</v>
      </c>
      <c r="T31" s="389">
        <v>8969.59</v>
      </c>
      <c r="U31" s="386" t="s">
        <v>213</v>
      </c>
      <c r="V31" s="386" t="s">
        <v>330</v>
      </c>
    </row>
    <row r="32" spans="1:22" ht="26.45" customHeight="1">
      <c r="A32" s="386">
        <v>25</v>
      </c>
      <c r="B32" s="387" t="s">
        <v>299</v>
      </c>
      <c r="C32" s="390" t="s">
        <v>351</v>
      </c>
      <c r="D32" s="427" t="s">
        <v>468</v>
      </c>
      <c r="E32" s="427" t="s">
        <v>438</v>
      </c>
      <c r="F32" s="386" t="s">
        <v>281</v>
      </c>
      <c r="G32" s="386" t="s">
        <v>282</v>
      </c>
      <c r="H32" s="387">
        <v>36</v>
      </c>
      <c r="I32" s="387" t="s">
        <v>188</v>
      </c>
      <c r="J32" s="389">
        <v>1780</v>
      </c>
      <c r="K32" s="389" t="s">
        <v>382</v>
      </c>
      <c r="L32" s="389" t="s">
        <v>383</v>
      </c>
      <c r="M32" s="393" t="s">
        <v>384</v>
      </c>
      <c r="N32" s="389" t="s">
        <v>385</v>
      </c>
      <c r="O32" s="389" t="str">
        <f t="shared" si="0"/>
        <v>, (36SETS=1780kg)</v>
      </c>
      <c r="P32" s="389">
        <v>1780</v>
      </c>
      <c r="Q32" s="394">
        <v>256.36</v>
      </c>
      <c r="R32" s="416">
        <v>256.35999999999996</v>
      </c>
      <c r="S32" s="416">
        <v>9228.9599999999991</v>
      </c>
      <c r="T32" s="389">
        <v>9228.82</v>
      </c>
      <c r="U32" s="386" t="s">
        <v>213</v>
      </c>
      <c r="V32" s="386" t="s">
        <v>330</v>
      </c>
    </row>
    <row r="33" spans="1:22" ht="26.45" customHeight="1">
      <c r="A33" s="386">
        <v>26</v>
      </c>
      <c r="B33" s="387" t="s">
        <v>300</v>
      </c>
      <c r="C33" s="390" t="s">
        <v>351</v>
      </c>
      <c r="D33" s="427" t="s">
        <v>468</v>
      </c>
      <c r="E33" s="427" t="s">
        <v>438</v>
      </c>
      <c r="F33" s="386" t="s">
        <v>281</v>
      </c>
      <c r="G33" s="386" t="s">
        <v>282</v>
      </c>
      <c r="H33" s="387">
        <v>36</v>
      </c>
      <c r="I33" s="387" t="s">
        <v>188</v>
      </c>
      <c r="J33" s="389">
        <v>1780</v>
      </c>
      <c r="K33" s="389" t="s">
        <v>382</v>
      </c>
      <c r="L33" s="389" t="s">
        <v>383</v>
      </c>
      <c r="M33" s="393" t="s">
        <v>384</v>
      </c>
      <c r="N33" s="389" t="s">
        <v>385</v>
      </c>
      <c r="O33" s="389" t="str">
        <f t="shared" si="0"/>
        <v>, (36SETS=1780kg)</v>
      </c>
      <c r="P33" s="389">
        <v>1780</v>
      </c>
      <c r="Q33" s="394">
        <v>256.36</v>
      </c>
      <c r="R33" s="416">
        <v>256.35999999999996</v>
      </c>
      <c r="S33" s="416">
        <v>9228.9599999999991</v>
      </c>
      <c r="T33" s="389">
        <v>9228.82</v>
      </c>
      <c r="U33" s="386" t="s">
        <v>213</v>
      </c>
      <c r="V33" s="386" t="s">
        <v>330</v>
      </c>
    </row>
    <row r="34" spans="1:22" ht="26.45" customHeight="1">
      <c r="A34" s="386">
        <v>27</v>
      </c>
      <c r="B34" s="387" t="s">
        <v>301</v>
      </c>
      <c r="C34" s="390" t="s">
        <v>177</v>
      </c>
      <c r="D34" s="427" t="s">
        <v>469</v>
      </c>
      <c r="E34" s="427" t="s">
        <v>438</v>
      </c>
      <c r="F34" s="386" t="s">
        <v>281</v>
      </c>
      <c r="G34" s="386" t="s">
        <v>282</v>
      </c>
      <c r="H34" s="387">
        <v>1</v>
      </c>
      <c r="I34" s="387" t="s">
        <v>214</v>
      </c>
      <c r="J34" s="389">
        <v>32.22</v>
      </c>
      <c r="K34" s="389" t="s">
        <v>382</v>
      </c>
      <c r="L34" s="389" t="s">
        <v>383</v>
      </c>
      <c r="M34" s="393" t="s">
        <v>384</v>
      </c>
      <c r="N34" s="389" t="s">
        <v>385</v>
      </c>
      <c r="O34" s="389" t="str">
        <f t="shared" si="0"/>
        <v>, (1SET=32,22kg)</v>
      </c>
      <c r="P34" s="389">
        <v>32.222222222222221</v>
      </c>
      <c r="Q34" s="394">
        <v>167.06</v>
      </c>
      <c r="R34" s="416">
        <v>167.06</v>
      </c>
      <c r="S34" s="416">
        <v>167.06</v>
      </c>
      <c r="T34" s="389">
        <v>167.06</v>
      </c>
      <c r="U34" s="386" t="s">
        <v>215</v>
      </c>
      <c r="V34" s="386" t="s">
        <v>330</v>
      </c>
    </row>
    <row r="35" spans="1:22" ht="26.45" customHeight="1">
      <c r="A35" s="386">
        <v>28</v>
      </c>
      <c r="B35" s="387" t="s">
        <v>301</v>
      </c>
      <c r="C35" s="390" t="s">
        <v>177</v>
      </c>
      <c r="D35" s="427" t="s">
        <v>470</v>
      </c>
      <c r="E35" s="427" t="s">
        <v>438</v>
      </c>
      <c r="F35" s="386" t="s">
        <v>281</v>
      </c>
      <c r="G35" s="386" t="s">
        <v>282</v>
      </c>
      <c r="H35" s="387">
        <v>1</v>
      </c>
      <c r="I35" s="387" t="s">
        <v>214</v>
      </c>
      <c r="J35" s="389">
        <v>32.22</v>
      </c>
      <c r="K35" s="389" t="s">
        <v>382</v>
      </c>
      <c r="L35" s="389" t="s">
        <v>383</v>
      </c>
      <c r="M35" s="393" t="s">
        <v>384</v>
      </c>
      <c r="N35" s="389" t="s">
        <v>385</v>
      </c>
      <c r="O35" s="389" t="str">
        <f t="shared" si="0"/>
        <v>, (1SET=32,22kg)</v>
      </c>
      <c r="P35" s="389">
        <v>32.222222222222221</v>
      </c>
      <c r="Q35" s="394">
        <v>167.06</v>
      </c>
      <c r="R35" s="416">
        <v>167.06</v>
      </c>
      <c r="S35" s="416">
        <v>167.06</v>
      </c>
      <c r="T35" s="389">
        <v>167.06</v>
      </c>
      <c r="U35" s="386" t="s">
        <v>216</v>
      </c>
      <c r="V35" s="386" t="s">
        <v>330</v>
      </c>
    </row>
    <row r="36" spans="1:22" ht="26.45" customHeight="1">
      <c r="A36" s="386">
        <v>29</v>
      </c>
      <c r="B36" s="387" t="s">
        <v>301</v>
      </c>
      <c r="C36" s="390" t="s">
        <v>177</v>
      </c>
      <c r="D36" s="427" t="s">
        <v>471</v>
      </c>
      <c r="E36" s="427" t="s">
        <v>438</v>
      </c>
      <c r="F36" s="386" t="s">
        <v>281</v>
      </c>
      <c r="G36" s="386" t="s">
        <v>282</v>
      </c>
      <c r="H36" s="387">
        <v>1</v>
      </c>
      <c r="I36" s="387" t="s">
        <v>214</v>
      </c>
      <c r="J36" s="389">
        <v>32.22</v>
      </c>
      <c r="K36" s="389" t="s">
        <v>382</v>
      </c>
      <c r="L36" s="389" t="s">
        <v>383</v>
      </c>
      <c r="M36" s="393" t="s">
        <v>384</v>
      </c>
      <c r="N36" s="389" t="s">
        <v>385</v>
      </c>
      <c r="O36" s="389" t="str">
        <f t="shared" si="0"/>
        <v>, (1SET=32,22kg)</v>
      </c>
      <c r="P36" s="389">
        <v>32.222222222222221</v>
      </c>
      <c r="Q36" s="394">
        <v>167.06</v>
      </c>
      <c r="R36" s="416">
        <v>167.06</v>
      </c>
      <c r="S36" s="416">
        <v>167.06</v>
      </c>
      <c r="T36" s="389">
        <v>167.06</v>
      </c>
      <c r="U36" s="386" t="s">
        <v>217</v>
      </c>
      <c r="V36" s="386" t="s">
        <v>330</v>
      </c>
    </row>
    <row r="37" spans="1:22" ht="26.45" customHeight="1">
      <c r="A37" s="386">
        <v>30</v>
      </c>
      <c r="B37" s="387" t="s">
        <v>301</v>
      </c>
      <c r="C37" s="390" t="s">
        <v>177</v>
      </c>
      <c r="D37" s="427" t="s">
        <v>472</v>
      </c>
      <c r="E37" s="427" t="s">
        <v>438</v>
      </c>
      <c r="F37" s="386" t="s">
        <v>281</v>
      </c>
      <c r="G37" s="386" t="s">
        <v>282</v>
      </c>
      <c r="H37" s="387">
        <v>2</v>
      </c>
      <c r="I37" s="387" t="s">
        <v>188</v>
      </c>
      <c r="J37" s="389">
        <v>64.44</v>
      </c>
      <c r="K37" s="389" t="s">
        <v>382</v>
      </c>
      <c r="L37" s="389" t="s">
        <v>383</v>
      </c>
      <c r="M37" s="393" t="s">
        <v>384</v>
      </c>
      <c r="N37" s="389" t="s">
        <v>385</v>
      </c>
      <c r="O37" s="389" t="str">
        <f t="shared" si="0"/>
        <v>, (2SETS=64,44kg)</v>
      </c>
      <c r="P37" s="389">
        <v>64.444444444444443</v>
      </c>
      <c r="Q37" s="394">
        <v>167.07</v>
      </c>
      <c r="R37" s="416">
        <v>167.07</v>
      </c>
      <c r="S37" s="416">
        <v>334.14</v>
      </c>
      <c r="T37" s="389">
        <v>334.14</v>
      </c>
      <c r="U37" s="386" t="s">
        <v>218</v>
      </c>
      <c r="V37" s="386" t="s">
        <v>330</v>
      </c>
    </row>
    <row r="38" spans="1:22" ht="26.45" customHeight="1">
      <c r="A38" s="386">
        <v>31</v>
      </c>
      <c r="B38" s="387" t="s">
        <v>301</v>
      </c>
      <c r="C38" s="390" t="s">
        <v>177</v>
      </c>
      <c r="D38" s="427" t="s">
        <v>473</v>
      </c>
      <c r="E38" s="427" t="s">
        <v>438</v>
      </c>
      <c r="F38" s="386" t="s">
        <v>281</v>
      </c>
      <c r="G38" s="386" t="s">
        <v>282</v>
      </c>
      <c r="H38" s="387">
        <v>1</v>
      </c>
      <c r="I38" s="387" t="s">
        <v>214</v>
      </c>
      <c r="J38" s="389">
        <v>32.22</v>
      </c>
      <c r="K38" s="389" t="s">
        <v>382</v>
      </c>
      <c r="L38" s="389" t="s">
        <v>383</v>
      </c>
      <c r="M38" s="393" t="s">
        <v>384</v>
      </c>
      <c r="N38" s="389" t="s">
        <v>385</v>
      </c>
      <c r="O38" s="389" t="str">
        <f t="shared" si="0"/>
        <v>, (1SET=32,22kg)</v>
      </c>
      <c r="P38" s="389">
        <v>32.222222222222221</v>
      </c>
      <c r="Q38" s="394">
        <v>167.06</v>
      </c>
      <c r="R38" s="416">
        <v>167.06</v>
      </c>
      <c r="S38" s="416">
        <v>167.06</v>
      </c>
      <c r="T38" s="389">
        <v>167.06</v>
      </c>
      <c r="U38" s="386" t="s">
        <v>219</v>
      </c>
      <c r="V38" s="386" t="s">
        <v>330</v>
      </c>
    </row>
    <row r="39" spans="1:22" ht="26.45" customHeight="1">
      <c r="A39" s="386">
        <v>32</v>
      </c>
      <c r="B39" s="387" t="s">
        <v>301</v>
      </c>
      <c r="C39" s="390" t="s">
        <v>177</v>
      </c>
      <c r="D39" s="427" t="s">
        <v>474</v>
      </c>
      <c r="E39" s="427" t="s">
        <v>438</v>
      </c>
      <c r="F39" s="386" t="s">
        <v>281</v>
      </c>
      <c r="G39" s="386" t="s">
        <v>282</v>
      </c>
      <c r="H39" s="387">
        <v>1</v>
      </c>
      <c r="I39" s="387" t="s">
        <v>214</v>
      </c>
      <c r="J39" s="389">
        <v>32.22</v>
      </c>
      <c r="K39" s="389" t="s">
        <v>382</v>
      </c>
      <c r="L39" s="389" t="s">
        <v>383</v>
      </c>
      <c r="M39" s="393" t="s">
        <v>384</v>
      </c>
      <c r="N39" s="389" t="s">
        <v>385</v>
      </c>
      <c r="O39" s="389" t="str">
        <f t="shared" si="0"/>
        <v>, (1SET=32,22kg)</v>
      </c>
      <c r="P39" s="389">
        <v>32.222222222222221</v>
      </c>
      <c r="Q39" s="394">
        <v>167.06</v>
      </c>
      <c r="R39" s="416">
        <v>167.06</v>
      </c>
      <c r="S39" s="416">
        <v>167.06</v>
      </c>
      <c r="T39" s="389">
        <v>167.06</v>
      </c>
      <c r="U39" s="386" t="s">
        <v>220</v>
      </c>
      <c r="V39" s="386" t="s">
        <v>330</v>
      </c>
    </row>
    <row r="40" spans="1:22" ht="26.45" customHeight="1">
      <c r="A40" s="386">
        <v>33</v>
      </c>
      <c r="B40" s="387" t="s">
        <v>301</v>
      </c>
      <c r="C40" s="390" t="s">
        <v>177</v>
      </c>
      <c r="D40" s="427" t="s">
        <v>475</v>
      </c>
      <c r="E40" s="427" t="s">
        <v>438</v>
      </c>
      <c r="F40" s="386" t="s">
        <v>281</v>
      </c>
      <c r="G40" s="386" t="s">
        <v>282</v>
      </c>
      <c r="H40" s="387">
        <v>2</v>
      </c>
      <c r="I40" s="387" t="s">
        <v>188</v>
      </c>
      <c r="J40" s="389">
        <v>64.44</v>
      </c>
      <c r="K40" s="389" t="s">
        <v>382</v>
      </c>
      <c r="L40" s="389" t="s">
        <v>383</v>
      </c>
      <c r="M40" s="393" t="s">
        <v>384</v>
      </c>
      <c r="N40" s="389" t="s">
        <v>385</v>
      </c>
      <c r="O40" s="389" t="str">
        <f t="shared" si="0"/>
        <v>, (2SETS=64,44kg)</v>
      </c>
      <c r="P40" s="389">
        <v>64.444444444444443</v>
      </c>
      <c r="Q40" s="394">
        <v>167.07</v>
      </c>
      <c r="R40" s="416">
        <v>167.07</v>
      </c>
      <c r="S40" s="416">
        <v>334.14</v>
      </c>
      <c r="T40" s="389">
        <v>334.13</v>
      </c>
      <c r="U40" s="386" t="s">
        <v>221</v>
      </c>
      <c r="V40" s="386" t="s">
        <v>330</v>
      </c>
    </row>
    <row r="41" spans="1:22" ht="26.45" customHeight="1">
      <c r="A41" s="386">
        <v>34</v>
      </c>
      <c r="B41" s="387" t="s">
        <v>302</v>
      </c>
      <c r="C41" s="390" t="s">
        <v>353</v>
      </c>
      <c r="D41" s="427" t="s">
        <v>419</v>
      </c>
      <c r="E41" s="427" t="s">
        <v>439</v>
      </c>
      <c r="F41" s="386" t="s">
        <v>281</v>
      </c>
      <c r="G41" s="386" t="s">
        <v>282</v>
      </c>
      <c r="H41" s="387">
        <v>5</v>
      </c>
      <c r="I41" s="387" t="s">
        <v>188</v>
      </c>
      <c r="J41" s="397">
        <v>663.1</v>
      </c>
      <c r="K41" s="389" t="s">
        <v>382</v>
      </c>
      <c r="L41" s="389" t="s">
        <v>383</v>
      </c>
      <c r="M41" s="393" t="s">
        <v>384</v>
      </c>
      <c r="N41" s="389" t="s">
        <v>385</v>
      </c>
      <c r="O41" s="389"/>
      <c r="P41" s="389">
        <v>175</v>
      </c>
      <c r="Q41" s="394">
        <v>181.47</v>
      </c>
      <c r="R41" s="415">
        <v>181.46600000000001</v>
      </c>
      <c r="S41" s="416">
        <v>907.33</v>
      </c>
      <c r="T41" s="389">
        <v>907.33</v>
      </c>
      <c r="U41" s="386" t="s">
        <v>222</v>
      </c>
      <c r="V41" s="386" t="s">
        <v>330</v>
      </c>
    </row>
    <row r="42" spans="1:22" ht="26.45" customHeight="1">
      <c r="A42" s="386">
        <v>35</v>
      </c>
      <c r="B42" s="387" t="s">
        <v>302</v>
      </c>
      <c r="C42" s="390" t="s">
        <v>355</v>
      </c>
      <c r="D42" s="427" t="s">
        <v>420</v>
      </c>
      <c r="E42" s="427" t="s">
        <v>440</v>
      </c>
      <c r="F42" s="386" t="s">
        <v>281</v>
      </c>
      <c r="G42" s="386" t="s">
        <v>282</v>
      </c>
      <c r="H42" s="387">
        <v>5</v>
      </c>
      <c r="I42" s="387" t="s">
        <v>226</v>
      </c>
      <c r="J42" s="397">
        <v>25.59</v>
      </c>
      <c r="K42" s="389" t="s">
        <v>382</v>
      </c>
      <c r="L42" s="389" t="s">
        <v>383</v>
      </c>
      <c r="M42" s="393" t="s">
        <v>384</v>
      </c>
      <c r="N42" s="389" t="s">
        <v>385</v>
      </c>
      <c r="O42" s="389"/>
      <c r="P42" s="389">
        <v>175</v>
      </c>
      <c r="Q42" s="394">
        <v>181.47</v>
      </c>
      <c r="R42" s="415">
        <v>181.46600000000001</v>
      </c>
      <c r="S42" s="416">
        <v>907.33</v>
      </c>
      <c r="T42" s="389">
        <v>907.33</v>
      </c>
      <c r="U42" s="386" t="s">
        <v>223</v>
      </c>
      <c r="V42" s="386" t="s">
        <v>330</v>
      </c>
    </row>
    <row r="43" spans="1:22" ht="26.45" customHeight="1">
      <c r="A43" s="386">
        <v>36</v>
      </c>
      <c r="B43" s="387" t="s">
        <v>302</v>
      </c>
      <c r="C43" s="390" t="s">
        <v>357</v>
      </c>
      <c r="D43" s="427" t="s">
        <v>421</v>
      </c>
      <c r="E43" s="427" t="s">
        <v>441</v>
      </c>
      <c r="F43" s="386" t="s">
        <v>281</v>
      </c>
      <c r="G43" s="386" t="s">
        <v>282</v>
      </c>
      <c r="H43" s="387">
        <v>5</v>
      </c>
      <c r="I43" s="387" t="s">
        <v>226</v>
      </c>
      <c r="J43" s="397">
        <v>6.99</v>
      </c>
      <c r="K43" s="389" t="s">
        <v>382</v>
      </c>
      <c r="L43" s="389" t="s">
        <v>383</v>
      </c>
      <c r="M43" s="393" t="s">
        <v>384</v>
      </c>
      <c r="N43" s="389" t="s">
        <v>385</v>
      </c>
      <c r="O43" s="389"/>
      <c r="P43" s="389">
        <v>175</v>
      </c>
      <c r="Q43" s="394">
        <v>181.47</v>
      </c>
      <c r="R43" s="415">
        <v>181.46600000000001</v>
      </c>
      <c r="S43" s="416">
        <v>907.33</v>
      </c>
      <c r="T43" s="389">
        <v>907.33</v>
      </c>
      <c r="U43" s="386" t="s">
        <v>224</v>
      </c>
      <c r="V43" s="386" t="s">
        <v>330</v>
      </c>
    </row>
    <row r="44" spans="1:22" ht="26.45" customHeight="1">
      <c r="A44" s="386">
        <v>37</v>
      </c>
      <c r="B44" s="387" t="s">
        <v>302</v>
      </c>
      <c r="C44" s="390" t="s">
        <v>358</v>
      </c>
      <c r="D44" s="427" t="s">
        <v>422</v>
      </c>
      <c r="E44" s="427" t="s">
        <v>442</v>
      </c>
      <c r="F44" s="386" t="s">
        <v>281</v>
      </c>
      <c r="G44" s="386" t="s">
        <v>282</v>
      </c>
      <c r="H44" s="387">
        <v>5</v>
      </c>
      <c r="I44" s="387" t="s">
        <v>226</v>
      </c>
      <c r="J44" s="397">
        <v>4.32</v>
      </c>
      <c r="K44" s="389" t="s">
        <v>382</v>
      </c>
      <c r="L44" s="389" t="s">
        <v>383</v>
      </c>
      <c r="M44" s="393" t="s">
        <v>384</v>
      </c>
      <c r="N44" s="389" t="s">
        <v>385</v>
      </c>
      <c r="O44" s="389"/>
      <c r="P44" s="389">
        <v>175</v>
      </c>
      <c r="Q44" s="394">
        <v>181.47</v>
      </c>
      <c r="R44" s="415">
        <v>181.46600000000001</v>
      </c>
      <c r="S44" s="416">
        <v>907.33</v>
      </c>
      <c r="T44" s="389">
        <v>907.33</v>
      </c>
      <c r="U44" s="386" t="s">
        <v>225</v>
      </c>
      <c r="V44" s="386" t="s">
        <v>330</v>
      </c>
    </row>
    <row r="45" spans="1:22" ht="26.45" customHeight="1">
      <c r="A45" s="386">
        <v>38</v>
      </c>
      <c r="B45" s="387" t="s">
        <v>303</v>
      </c>
      <c r="C45" s="390" t="s">
        <v>353</v>
      </c>
      <c r="D45" s="427" t="s">
        <v>419</v>
      </c>
      <c r="E45" s="427" t="s">
        <v>439</v>
      </c>
      <c r="F45" s="386" t="s">
        <v>281</v>
      </c>
      <c r="G45" s="386" t="s">
        <v>282</v>
      </c>
      <c r="H45" s="387">
        <v>5</v>
      </c>
      <c r="I45" s="387" t="s">
        <v>188</v>
      </c>
      <c r="J45" s="397">
        <v>663.1</v>
      </c>
      <c r="K45" s="389" t="s">
        <v>382</v>
      </c>
      <c r="L45" s="389" t="s">
        <v>383</v>
      </c>
      <c r="M45" s="393" t="s">
        <v>384</v>
      </c>
      <c r="N45" s="389" t="s">
        <v>385</v>
      </c>
      <c r="O45" s="389"/>
      <c r="P45" s="389">
        <v>175</v>
      </c>
      <c r="Q45" s="394">
        <v>181.47</v>
      </c>
      <c r="R45" s="415">
        <v>181.46600000000001</v>
      </c>
      <c r="S45" s="416">
        <v>907.33</v>
      </c>
      <c r="T45" s="389">
        <v>907.33</v>
      </c>
      <c r="U45" s="386" t="s">
        <v>222</v>
      </c>
      <c r="V45" s="386" t="s">
        <v>330</v>
      </c>
    </row>
    <row r="46" spans="1:22" ht="26.45" customHeight="1">
      <c r="A46" s="386">
        <v>39</v>
      </c>
      <c r="B46" s="387" t="s">
        <v>303</v>
      </c>
      <c r="C46" s="390" t="s">
        <v>355</v>
      </c>
      <c r="D46" s="427" t="s">
        <v>420</v>
      </c>
      <c r="E46" s="427" t="s">
        <v>440</v>
      </c>
      <c r="F46" s="386" t="s">
        <v>281</v>
      </c>
      <c r="G46" s="386" t="s">
        <v>282</v>
      </c>
      <c r="H46" s="387">
        <v>5</v>
      </c>
      <c r="I46" s="387" t="s">
        <v>226</v>
      </c>
      <c r="J46" s="397">
        <v>25.59</v>
      </c>
      <c r="K46" s="389" t="s">
        <v>382</v>
      </c>
      <c r="L46" s="389" t="s">
        <v>383</v>
      </c>
      <c r="M46" s="393" t="s">
        <v>384</v>
      </c>
      <c r="N46" s="389" t="s">
        <v>385</v>
      </c>
      <c r="O46" s="389"/>
      <c r="P46" s="389">
        <v>175</v>
      </c>
      <c r="Q46" s="394">
        <v>181.47</v>
      </c>
      <c r="R46" s="415">
        <v>181.46600000000001</v>
      </c>
      <c r="S46" s="416">
        <v>907.33</v>
      </c>
      <c r="T46" s="389">
        <v>907.33</v>
      </c>
      <c r="U46" s="386" t="s">
        <v>223</v>
      </c>
      <c r="V46" s="386" t="s">
        <v>330</v>
      </c>
    </row>
    <row r="47" spans="1:22" ht="26.45" customHeight="1">
      <c r="A47" s="386">
        <v>40</v>
      </c>
      <c r="B47" s="387" t="s">
        <v>303</v>
      </c>
      <c r="C47" s="390" t="s">
        <v>357</v>
      </c>
      <c r="D47" s="427" t="s">
        <v>421</v>
      </c>
      <c r="E47" s="427" t="s">
        <v>441</v>
      </c>
      <c r="F47" s="386" t="s">
        <v>281</v>
      </c>
      <c r="G47" s="386" t="s">
        <v>282</v>
      </c>
      <c r="H47" s="387">
        <v>5</v>
      </c>
      <c r="I47" s="387" t="s">
        <v>226</v>
      </c>
      <c r="J47" s="397">
        <v>6.99</v>
      </c>
      <c r="K47" s="389" t="s">
        <v>382</v>
      </c>
      <c r="L47" s="389" t="s">
        <v>383</v>
      </c>
      <c r="M47" s="393" t="s">
        <v>384</v>
      </c>
      <c r="N47" s="389" t="s">
        <v>385</v>
      </c>
      <c r="O47" s="389"/>
      <c r="P47" s="389">
        <v>175</v>
      </c>
      <c r="Q47" s="394">
        <v>181.47</v>
      </c>
      <c r="R47" s="415">
        <v>181.46600000000001</v>
      </c>
      <c r="S47" s="416">
        <v>907.33</v>
      </c>
      <c r="T47" s="389">
        <v>907.33</v>
      </c>
      <c r="U47" s="386" t="s">
        <v>224</v>
      </c>
      <c r="V47" s="386" t="s">
        <v>330</v>
      </c>
    </row>
    <row r="48" spans="1:22" ht="26.45" customHeight="1">
      <c r="A48" s="386">
        <v>41</v>
      </c>
      <c r="B48" s="387" t="s">
        <v>303</v>
      </c>
      <c r="C48" s="390" t="s">
        <v>358</v>
      </c>
      <c r="D48" s="427" t="s">
        <v>422</v>
      </c>
      <c r="E48" s="427" t="s">
        <v>442</v>
      </c>
      <c r="F48" s="386" t="s">
        <v>281</v>
      </c>
      <c r="G48" s="386" t="s">
        <v>282</v>
      </c>
      <c r="H48" s="387">
        <v>5</v>
      </c>
      <c r="I48" s="387" t="s">
        <v>226</v>
      </c>
      <c r="J48" s="397">
        <v>4.32</v>
      </c>
      <c r="K48" s="389" t="s">
        <v>382</v>
      </c>
      <c r="L48" s="389" t="s">
        <v>383</v>
      </c>
      <c r="M48" s="393" t="s">
        <v>384</v>
      </c>
      <c r="N48" s="389" t="s">
        <v>385</v>
      </c>
      <c r="O48" s="389"/>
      <c r="P48" s="389">
        <v>175</v>
      </c>
      <c r="Q48" s="394">
        <v>181.47</v>
      </c>
      <c r="R48" s="415">
        <v>181.46600000000001</v>
      </c>
      <c r="S48" s="416">
        <v>907.33</v>
      </c>
      <c r="T48" s="389">
        <v>907.33</v>
      </c>
      <c r="U48" s="386" t="s">
        <v>225</v>
      </c>
      <c r="V48" s="386" t="s">
        <v>330</v>
      </c>
    </row>
    <row r="49" spans="1:22" ht="26.45" customHeight="1">
      <c r="A49" s="386">
        <v>42</v>
      </c>
      <c r="B49" s="387" t="s">
        <v>304</v>
      </c>
      <c r="C49" s="390" t="s">
        <v>353</v>
      </c>
      <c r="D49" s="427" t="s">
        <v>419</v>
      </c>
      <c r="E49" s="427" t="s">
        <v>439</v>
      </c>
      <c r="F49" s="386" t="s">
        <v>281</v>
      </c>
      <c r="G49" s="386" t="s">
        <v>282</v>
      </c>
      <c r="H49" s="387">
        <v>5</v>
      </c>
      <c r="I49" s="387" t="s">
        <v>188</v>
      </c>
      <c r="J49" s="397">
        <v>663.1</v>
      </c>
      <c r="K49" s="389" t="s">
        <v>382</v>
      </c>
      <c r="L49" s="389" t="s">
        <v>383</v>
      </c>
      <c r="M49" s="393" t="s">
        <v>384</v>
      </c>
      <c r="N49" s="389" t="s">
        <v>385</v>
      </c>
      <c r="O49" s="389"/>
      <c r="P49" s="389">
        <v>175</v>
      </c>
      <c r="Q49" s="394">
        <v>181.47</v>
      </c>
      <c r="R49" s="415">
        <v>181.46600000000001</v>
      </c>
      <c r="S49" s="416">
        <v>907.33</v>
      </c>
      <c r="T49" s="389">
        <v>907.33</v>
      </c>
      <c r="U49" s="386" t="s">
        <v>222</v>
      </c>
      <c r="V49" s="386" t="s">
        <v>330</v>
      </c>
    </row>
    <row r="50" spans="1:22" ht="26.45" customHeight="1">
      <c r="A50" s="386">
        <v>43</v>
      </c>
      <c r="B50" s="387" t="s">
        <v>304</v>
      </c>
      <c r="C50" s="390" t="s">
        <v>355</v>
      </c>
      <c r="D50" s="427" t="s">
        <v>420</v>
      </c>
      <c r="E50" s="427" t="s">
        <v>440</v>
      </c>
      <c r="F50" s="386" t="s">
        <v>281</v>
      </c>
      <c r="G50" s="386" t="s">
        <v>282</v>
      </c>
      <c r="H50" s="387">
        <v>5</v>
      </c>
      <c r="I50" s="387" t="s">
        <v>226</v>
      </c>
      <c r="J50" s="397">
        <v>25.59</v>
      </c>
      <c r="K50" s="389" t="s">
        <v>382</v>
      </c>
      <c r="L50" s="389" t="s">
        <v>383</v>
      </c>
      <c r="M50" s="393" t="s">
        <v>384</v>
      </c>
      <c r="N50" s="389" t="s">
        <v>385</v>
      </c>
      <c r="O50" s="389"/>
      <c r="P50" s="389">
        <v>175</v>
      </c>
      <c r="Q50" s="394">
        <v>181.47</v>
      </c>
      <c r="R50" s="415">
        <v>181.46600000000001</v>
      </c>
      <c r="S50" s="416">
        <v>907.33</v>
      </c>
      <c r="T50" s="389">
        <v>907.33</v>
      </c>
      <c r="U50" s="386" t="s">
        <v>223</v>
      </c>
      <c r="V50" s="386" t="s">
        <v>330</v>
      </c>
    </row>
    <row r="51" spans="1:22" ht="26.45" customHeight="1">
      <c r="A51" s="386">
        <v>44</v>
      </c>
      <c r="B51" s="387" t="s">
        <v>304</v>
      </c>
      <c r="C51" s="390" t="s">
        <v>357</v>
      </c>
      <c r="D51" s="427" t="s">
        <v>421</v>
      </c>
      <c r="E51" s="427" t="s">
        <v>441</v>
      </c>
      <c r="F51" s="386" t="s">
        <v>281</v>
      </c>
      <c r="G51" s="386" t="s">
        <v>282</v>
      </c>
      <c r="H51" s="387">
        <v>5</v>
      </c>
      <c r="I51" s="387" t="s">
        <v>226</v>
      </c>
      <c r="J51" s="397">
        <v>6.99</v>
      </c>
      <c r="K51" s="389" t="s">
        <v>382</v>
      </c>
      <c r="L51" s="389" t="s">
        <v>383</v>
      </c>
      <c r="M51" s="393" t="s">
        <v>384</v>
      </c>
      <c r="N51" s="389" t="s">
        <v>385</v>
      </c>
      <c r="O51" s="389"/>
      <c r="P51" s="389">
        <v>175</v>
      </c>
      <c r="Q51" s="394">
        <v>181.47</v>
      </c>
      <c r="R51" s="415">
        <v>181.46600000000001</v>
      </c>
      <c r="S51" s="416">
        <v>907.33</v>
      </c>
      <c r="T51" s="389">
        <v>907.33</v>
      </c>
      <c r="U51" s="386" t="s">
        <v>224</v>
      </c>
      <c r="V51" s="386" t="s">
        <v>330</v>
      </c>
    </row>
    <row r="52" spans="1:22" ht="26.45" customHeight="1">
      <c r="A52" s="386">
        <v>45</v>
      </c>
      <c r="B52" s="387" t="s">
        <v>304</v>
      </c>
      <c r="C52" s="390" t="s">
        <v>358</v>
      </c>
      <c r="D52" s="427" t="s">
        <v>422</v>
      </c>
      <c r="E52" s="427" t="s">
        <v>442</v>
      </c>
      <c r="F52" s="386" t="s">
        <v>281</v>
      </c>
      <c r="G52" s="386" t="s">
        <v>282</v>
      </c>
      <c r="H52" s="387">
        <v>5</v>
      </c>
      <c r="I52" s="387" t="s">
        <v>226</v>
      </c>
      <c r="J52" s="397">
        <v>4.32</v>
      </c>
      <c r="K52" s="389" t="s">
        <v>382</v>
      </c>
      <c r="L52" s="389" t="s">
        <v>383</v>
      </c>
      <c r="M52" s="393" t="s">
        <v>384</v>
      </c>
      <c r="N52" s="389" t="s">
        <v>385</v>
      </c>
      <c r="O52" s="389"/>
      <c r="P52" s="389">
        <v>175</v>
      </c>
      <c r="Q52" s="394">
        <v>181.47</v>
      </c>
      <c r="R52" s="415">
        <v>181.46600000000001</v>
      </c>
      <c r="S52" s="416">
        <v>907.33</v>
      </c>
      <c r="T52" s="389">
        <v>907.33</v>
      </c>
      <c r="U52" s="386" t="s">
        <v>225</v>
      </c>
      <c r="V52" s="386" t="s">
        <v>330</v>
      </c>
    </row>
    <row r="53" spans="1:22" ht="26.45" customHeight="1">
      <c r="A53" s="386">
        <v>46</v>
      </c>
      <c r="B53" s="387" t="s">
        <v>305</v>
      </c>
      <c r="C53" s="390" t="s">
        <v>353</v>
      </c>
      <c r="D53" s="427" t="s">
        <v>419</v>
      </c>
      <c r="E53" s="427" t="s">
        <v>439</v>
      </c>
      <c r="F53" s="386" t="s">
        <v>281</v>
      </c>
      <c r="G53" s="386" t="s">
        <v>282</v>
      </c>
      <c r="H53" s="387">
        <v>5</v>
      </c>
      <c r="I53" s="387" t="s">
        <v>188</v>
      </c>
      <c r="J53" s="397">
        <v>663.1</v>
      </c>
      <c r="K53" s="389" t="s">
        <v>382</v>
      </c>
      <c r="L53" s="389" t="s">
        <v>383</v>
      </c>
      <c r="M53" s="393" t="s">
        <v>384</v>
      </c>
      <c r="N53" s="389" t="s">
        <v>385</v>
      </c>
      <c r="O53" s="389"/>
      <c r="P53" s="389">
        <v>175</v>
      </c>
      <c r="Q53" s="394">
        <v>181.47</v>
      </c>
      <c r="R53" s="415">
        <v>181.46600000000001</v>
      </c>
      <c r="S53" s="416">
        <v>907.33</v>
      </c>
      <c r="T53" s="389">
        <v>907.33</v>
      </c>
      <c r="U53" s="386" t="s">
        <v>222</v>
      </c>
      <c r="V53" s="386" t="s">
        <v>330</v>
      </c>
    </row>
    <row r="54" spans="1:22" ht="26.45" customHeight="1">
      <c r="A54" s="386">
        <v>47</v>
      </c>
      <c r="B54" s="387" t="s">
        <v>305</v>
      </c>
      <c r="C54" s="390" t="s">
        <v>355</v>
      </c>
      <c r="D54" s="427" t="s">
        <v>420</v>
      </c>
      <c r="E54" s="427" t="s">
        <v>440</v>
      </c>
      <c r="F54" s="386" t="s">
        <v>281</v>
      </c>
      <c r="G54" s="386" t="s">
        <v>282</v>
      </c>
      <c r="H54" s="387">
        <v>5</v>
      </c>
      <c r="I54" s="387" t="s">
        <v>226</v>
      </c>
      <c r="J54" s="397">
        <v>25.59</v>
      </c>
      <c r="K54" s="389" t="s">
        <v>382</v>
      </c>
      <c r="L54" s="389" t="s">
        <v>383</v>
      </c>
      <c r="M54" s="393" t="s">
        <v>384</v>
      </c>
      <c r="N54" s="389" t="s">
        <v>385</v>
      </c>
      <c r="O54" s="389"/>
      <c r="P54" s="389">
        <v>175</v>
      </c>
      <c r="Q54" s="394">
        <v>181.47</v>
      </c>
      <c r="R54" s="415">
        <v>181.46600000000001</v>
      </c>
      <c r="S54" s="416">
        <v>907.33</v>
      </c>
      <c r="T54" s="389">
        <v>907.33</v>
      </c>
      <c r="U54" s="386" t="s">
        <v>223</v>
      </c>
      <c r="V54" s="386" t="s">
        <v>330</v>
      </c>
    </row>
    <row r="55" spans="1:22" ht="26.45" customHeight="1">
      <c r="A55" s="386">
        <v>48</v>
      </c>
      <c r="B55" s="387" t="s">
        <v>305</v>
      </c>
      <c r="C55" s="390" t="s">
        <v>357</v>
      </c>
      <c r="D55" s="427" t="s">
        <v>421</v>
      </c>
      <c r="E55" s="427" t="s">
        <v>441</v>
      </c>
      <c r="F55" s="386" t="s">
        <v>281</v>
      </c>
      <c r="G55" s="386" t="s">
        <v>282</v>
      </c>
      <c r="H55" s="387">
        <v>5</v>
      </c>
      <c r="I55" s="387" t="s">
        <v>226</v>
      </c>
      <c r="J55" s="397">
        <v>6.99</v>
      </c>
      <c r="K55" s="389" t="s">
        <v>382</v>
      </c>
      <c r="L55" s="389" t="s">
        <v>383</v>
      </c>
      <c r="M55" s="393" t="s">
        <v>384</v>
      </c>
      <c r="N55" s="389" t="s">
        <v>385</v>
      </c>
      <c r="O55" s="389"/>
      <c r="P55" s="389">
        <v>175</v>
      </c>
      <c r="Q55" s="394">
        <v>181.47</v>
      </c>
      <c r="R55" s="415">
        <v>181.46600000000001</v>
      </c>
      <c r="S55" s="416">
        <v>907.33</v>
      </c>
      <c r="T55" s="389">
        <v>907.33</v>
      </c>
      <c r="U55" s="386" t="s">
        <v>224</v>
      </c>
      <c r="V55" s="386" t="s">
        <v>330</v>
      </c>
    </row>
    <row r="56" spans="1:22" ht="26.45" customHeight="1">
      <c r="A56" s="386">
        <v>49</v>
      </c>
      <c r="B56" s="387" t="s">
        <v>305</v>
      </c>
      <c r="C56" s="390" t="s">
        <v>358</v>
      </c>
      <c r="D56" s="427" t="s">
        <v>422</v>
      </c>
      <c r="E56" s="427" t="s">
        <v>442</v>
      </c>
      <c r="F56" s="386" t="s">
        <v>281</v>
      </c>
      <c r="G56" s="386" t="s">
        <v>282</v>
      </c>
      <c r="H56" s="387">
        <v>5</v>
      </c>
      <c r="I56" s="387" t="s">
        <v>226</v>
      </c>
      <c r="J56" s="397">
        <v>4.32</v>
      </c>
      <c r="K56" s="389" t="s">
        <v>382</v>
      </c>
      <c r="L56" s="389" t="s">
        <v>383</v>
      </c>
      <c r="M56" s="393" t="s">
        <v>384</v>
      </c>
      <c r="N56" s="389" t="s">
        <v>385</v>
      </c>
      <c r="O56" s="389"/>
      <c r="P56" s="389">
        <v>175</v>
      </c>
      <c r="Q56" s="394">
        <v>181.47</v>
      </c>
      <c r="R56" s="415">
        <v>181.46600000000001</v>
      </c>
      <c r="S56" s="416">
        <v>907.33</v>
      </c>
      <c r="T56" s="389">
        <v>907.33</v>
      </c>
      <c r="U56" s="386" t="s">
        <v>225</v>
      </c>
      <c r="V56" s="386" t="s">
        <v>330</v>
      </c>
    </row>
    <row r="57" spans="1:22" ht="26.45" customHeight="1">
      <c r="A57" s="386">
        <v>50</v>
      </c>
      <c r="B57" s="387" t="s">
        <v>306</v>
      </c>
      <c r="C57" s="390" t="s">
        <v>353</v>
      </c>
      <c r="D57" s="427" t="s">
        <v>419</v>
      </c>
      <c r="E57" s="427" t="s">
        <v>439</v>
      </c>
      <c r="F57" s="386" t="s">
        <v>281</v>
      </c>
      <c r="G57" s="386" t="s">
        <v>282</v>
      </c>
      <c r="H57" s="387">
        <v>5</v>
      </c>
      <c r="I57" s="387" t="s">
        <v>188</v>
      </c>
      <c r="J57" s="397">
        <v>663.1</v>
      </c>
      <c r="K57" s="389" t="s">
        <v>382</v>
      </c>
      <c r="L57" s="389" t="s">
        <v>383</v>
      </c>
      <c r="M57" s="393" t="s">
        <v>384</v>
      </c>
      <c r="N57" s="389" t="s">
        <v>385</v>
      </c>
      <c r="O57" s="389"/>
      <c r="P57" s="389">
        <v>175</v>
      </c>
      <c r="Q57" s="394">
        <v>181.47</v>
      </c>
      <c r="R57" s="415">
        <v>181.46600000000001</v>
      </c>
      <c r="S57" s="416">
        <v>907.33</v>
      </c>
      <c r="T57" s="389">
        <v>907.33</v>
      </c>
      <c r="U57" s="386" t="s">
        <v>222</v>
      </c>
      <c r="V57" s="386" t="s">
        <v>330</v>
      </c>
    </row>
    <row r="58" spans="1:22" ht="26.45" customHeight="1">
      <c r="A58" s="386">
        <v>51</v>
      </c>
      <c r="B58" s="387" t="s">
        <v>306</v>
      </c>
      <c r="C58" s="390" t="s">
        <v>355</v>
      </c>
      <c r="D58" s="427" t="s">
        <v>420</v>
      </c>
      <c r="E58" s="427" t="s">
        <v>440</v>
      </c>
      <c r="F58" s="386" t="s">
        <v>281</v>
      </c>
      <c r="G58" s="386" t="s">
        <v>282</v>
      </c>
      <c r="H58" s="387">
        <v>5</v>
      </c>
      <c r="I58" s="387" t="s">
        <v>226</v>
      </c>
      <c r="J58" s="397">
        <v>25.59</v>
      </c>
      <c r="K58" s="389" t="s">
        <v>382</v>
      </c>
      <c r="L58" s="389" t="s">
        <v>383</v>
      </c>
      <c r="M58" s="393" t="s">
        <v>384</v>
      </c>
      <c r="N58" s="389" t="s">
        <v>385</v>
      </c>
      <c r="O58" s="389"/>
      <c r="P58" s="389">
        <v>175</v>
      </c>
      <c r="Q58" s="394">
        <v>181.47</v>
      </c>
      <c r="R58" s="415">
        <v>181.46600000000001</v>
      </c>
      <c r="S58" s="416">
        <v>907.33</v>
      </c>
      <c r="T58" s="389">
        <v>907.33</v>
      </c>
      <c r="U58" s="386" t="s">
        <v>223</v>
      </c>
      <c r="V58" s="386" t="s">
        <v>330</v>
      </c>
    </row>
    <row r="59" spans="1:22" ht="26.45" customHeight="1">
      <c r="A59" s="386">
        <v>52</v>
      </c>
      <c r="B59" s="387" t="s">
        <v>306</v>
      </c>
      <c r="C59" s="390" t="s">
        <v>357</v>
      </c>
      <c r="D59" s="427" t="s">
        <v>421</v>
      </c>
      <c r="E59" s="427" t="s">
        <v>441</v>
      </c>
      <c r="F59" s="386" t="s">
        <v>281</v>
      </c>
      <c r="G59" s="386" t="s">
        <v>282</v>
      </c>
      <c r="H59" s="387">
        <v>5</v>
      </c>
      <c r="I59" s="387" t="s">
        <v>226</v>
      </c>
      <c r="J59" s="397">
        <v>6.99</v>
      </c>
      <c r="K59" s="389" t="s">
        <v>382</v>
      </c>
      <c r="L59" s="389" t="s">
        <v>383</v>
      </c>
      <c r="M59" s="393" t="s">
        <v>384</v>
      </c>
      <c r="N59" s="389" t="s">
        <v>385</v>
      </c>
      <c r="O59" s="389"/>
      <c r="P59" s="389">
        <v>175</v>
      </c>
      <c r="Q59" s="394">
        <v>181.47</v>
      </c>
      <c r="R59" s="415">
        <v>181.46600000000001</v>
      </c>
      <c r="S59" s="416">
        <v>907.33</v>
      </c>
      <c r="T59" s="389">
        <v>907.33</v>
      </c>
      <c r="U59" s="386" t="s">
        <v>224</v>
      </c>
      <c r="V59" s="386" t="s">
        <v>330</v>
      </c>
    </row>
    <row r="60" spans="1:22" ht="26.45" customHeight="1">
      <c r="A60" s="386">
        <v>53</v>
      </c>
      <c r="B60" s="387" t="s">
        <v>306</v>
      </c>
      <c r="C60" s="390" t="s">
        <v>358</v>
      </c>
      <c r="D60" s="427" t="s">
        <v>422</v>
      </c>
      <c r="E60" s="427" t="s">
        <v>442</v>
      </c>
      <c r="F60" s="386" t="s">
        <v>281</v>
      </c>
      <c r="G60" s="386" t="s">
        <v>282</v>
      </c>
      <c r="H60" s="387">
        <v>5</v>
      </c>
      <c r="I60" s="387" t="s">
        <v>226</v>
      </c>
      <c r="J60" s="397">
        <v>4.32</v>
      </c>
      <c r="K60" s="389" t="s">
        <v>382</v>
      </c>
      <c r="L60" s="389" t="s">
        <v>383</v>
      </c>
      <c r="M60" s="393" t="s">
        <v>384</v>
      </c>
      <c r="N60" s="389" t="s">
        <v>385</v>
      </c>
      <c r="O60" s="389"/>
      <c r="P60" s="389">
        <v>175</v>
      </c>
      <c r="Q60" s="394">
        <v>181.47</v>
      </c>
      <c r="R60" s="415">
        <v>181.46600000000001</v>
      </c>
      <c r="S60" s="416">
        <v>907.33</v>
      </c>
      <c r="T60" s="389">
        <v>907.33</v>
      </c>
      <c r="U60" s="386" t="s">
        <v>225</v>
      </c>
      <c r="V60" s="386" t="s">
        <v>330</v>
      </c>
    </row>
    <row r="61" spans="1:22" ht="26.45" customHeight="1">
      <c r="A61" s="386">
        <v>54</v>
      </c>
      <c r="B61" s="387" t="s">
        <v>307</v>
      </c>
      <c r="C61" s="390" t="s">
        <v>352</v>
      </c>
      <c r="D61" s="427" t="s">
        <v>419</v>
      </c>
      <c r="E61" s="427" t="s">
        <v>439</v>
      </c>
      <c r="F61" s="386" t="s">
        <v>281</v>
      </c>
      <c r="G61" s="386" t="s">
        <v>282</v>
      </c>
      <c r="H61" s="387">
        <v>5</v>
      </c>
      <c r="I61" s="387" t="s">
        <v>188</v>
      </c>
      <c r="J61" s="397">
        <v>663.1</v>
      </c>
      <c r="K61" s="389" t="s">
        <v>382</v>
      </c>
      <c r="L61" s="389" t="s">
        <v>383</v>
      </c>
      <c r="M61" s="393" t="s">
        <v>384</v>
      </c>
      <c r="N61" s="389" t="s">
        <v>385</v>
      </c>
      <c r="O61" s="389"/>
      <c r="P61" s="389">
        <v>175</v>
      </c>
      <c r="Q61" s="394">
        <v>181.47</v>
      </c>
      <c r="R61" s="415">
        <v>181.46600000000001</v>
      </c>
      <c r="S61" s="416">
        <v>907.33</v>
      </c>
      <c r="T61" s="389">
        <v>907.33</v>
      </c>
      <c r="U61" s="386" t="s">
        <v>222</v>
      </c>
      <c r="V61" s="386" t="s">
        <v>330</v>
      </c>
    </row>
    <row r="62" spans="1:22" ht="26.45" customHeight="1">
      <c r="A62" s="386">
        <v>55</v>
      </c>
      <c r="B62" s="387" t="s">
        <v>307</v>
      </c>
      <c r="C62" s="390" t="s">
        <v>354</v>
      </c>
      <c r="D62" s="427" t="s">
        <v>420</v>
      </c>
      <c r="E62" s="427" t="s">
        <v>440</v>
      </c>
      <c r="F62" s="386" t="s">
        <v>281</v>
      </c>
      <c r="G62" s="386" t="s">
        <v>282</v>
      </c>
      <c r="H62" s="387">
        <v>5</v>
      </c>
      <c r="I62" s="387" t="s">
        <v>226</v>
      </c>
      <c r="J62" s="397">
        <v>25.59</v>
      </c>
      <c r="K62" s="389" t="s">
        <v>382</v>
      </c>
      <c r="L62" s="389" t="s">
        <v>383</v>
      </c>
      <c r="M62" s="393" t="s">
        <v>384</v>
      </c>
      <c r="N62" s="389" t="s">
        <v>385</v>
      </c>
      <c r="O62" s="389"/>
      <c r="P62" s="389">
        <v>175</v>
      </c>
      <c r="Q62" s="394">
        <v>181.47</v>
      </c>
      <c r="R62" s="415">
        <v>181.46600000000001</v>
      </c>
      <c r="S62" s="416">
        <v>907.33</v>
      </c>
      <c r="T62" s="389">
        <v>907.33</v>
      </c>
      <c r="U62" s="386" t="s">
        <v>223</v>
      </c>
      <c r="V62" s="386" t="s">
        <v>330</v>
      </c>
    </row>
    <row r="63" spans="1:22" ht="26.45" customHeight="1">
      <c r="A63" s="386">
        <v>56</v>
      </c>
      <c r="B63" s="387" t="s">
        <v>307</v>
      </c>
      <c r="C63" s="390" t="s">
        <v>356</v>
      </c>
      <c r="D63" s="427" t="s">
        <v>421</v>
      </c>
      <c r="E63" s="427" t="s">
        <v>441</v>
      </c>
      <c r="F63" s="386" t="s">
        <v>281</v>
      </c>
      <c r="G63" s="386" t="s">
        <v>282</v>
      </c>
      <c r="H63" s="387">
        <v>5</v>
      </c>
      <c r="I63" s="387" t="s">
        <v>226</v>
      </c>
      <c r="J63" s="397">
        <v>6.99</v>
      </c>
      <c r="K63" s="389" t="s">
        <v>382</v>
      </c>
      <c r="L63" s="389" t="s">
        <v>383</v>
      </c>
      <c r="M63" s="393" t="s">
        <v>384</v>
      </c>
      <c r="N63" s="389" t="s">
        <v>385</v>
      </c>
      <c r="O63" s="389"/>
      <c r="P63" s="389">
        <v>175</v>
      </c>
      <c r="Q63" s="394">
        <v>181.47</v>
      </c>
      <c r="R63" s="415">
        <v>181.46600000000001</v>
      </c>
      <c r="S63" s="416">
        <v>907.33</v>
      </c>
      <c r="T63" s="389">
        <v>907.33</v>
      </c>
      <c r="U63" s="386" t="s">
        <v>224</v>
      </c>
      <c r="V63" s="386" t="s">
        <v>330</v>
      </c>
    </row>
    <row r="64" spans="1:22" ht="26.45" customHeight="1">
      <c r="A64" s="386">
        <v>57</v>
      </c>
      <c r="B64" s="387" t="s">
        <v>307</v>
      </c>
      <c r="C64" s="390" t="s">
        <v>233</v>
      </c>
      <c r="D64" s="427" t="s">
        <v>422</v>
      </c>
      <c r="E64" s="427" t="s">
        <v>442</v>
      </c>
      <c r="F64" s="386" t="s">
        <v>281</v>
      </c>
      <c r="G64" s="386" t="s">
        <v>282</v>
      </c>
      <c r="H64" s="387">
        <v>5</v>
      </c>
      <c r="I64" s="387" t="s">
        <v>226</v>
      </c>
      <c r="J64" s="397">
        <v>4.32</v>
      </c>
      <c r="K64" s="389" t="s">
        <v>382</v>
      </c>
      <c r="L64" s="389" t="s">
        <v>383</v>
      </c>
      <c r="M64" s="393" t="s">
        <v>384</v>
      </c>
      <c r="N64" s="389" t="s">
        <v>385</v>
      </c>
      <c r="O64" s="389"/>
      <c r="P64" s="389">
        <v>175</v>
      </c>
      <c r="Q64" s="394">
        <v>181.47</v>
      </c>
      <c r="R64" s="415">
        <v>181.46600000000001</v>
      </c>
      <c r="S64" s="416">
        <v>907.33</v>
      </c>
      <c r="T64" s="389">
        <v>907.33</v>
      </c>
      <c r="U64" s="386" t="s">
        <v>225</v>
      </c>
      <c r="V64" s="386" t="s">
        <v>330</v>
      </c>
    </row>
    <row r="65" spans="1:32" ht="26.45" customHeight="1">
      <c r="A65" s="386">
        <v>58</v>
      </c>
      <c r="B65" s="387" t="s">
        <v>308</v>
      </c>
      <c r="C65" s="390" t="s">
        <v>353</v>
      </c>
      <c r="D65" s="427" t="s">
        <v>419</v>
      </c>
      <c r="E65" s="427" t="s">
        <v>439</v>
      </c>
      <c r="F65" s="386" t="s">
        <v>281</v>
      </c>
      <c r="G65" s="386" t="s">
        <v>282</v>
      </c>
      <c r="H65" s="387">
        <v>5</v>
      </c>
      <c r="I65" s="387" t="s">
        <v>188</v>
      </c>
      <c r="J65" s="397">
        <v>663.1</v>
      </c>
      <c r="K65" s="389" t="s">
        <v>382</v>
      </c>
      <c r="L65" s="389" t="s">
        <v>383</v>
      </c>
      <c r="M65" s="393" t="s">
        <v>384</v>
      </c>
      <c r="N65" s="389" t="s">
        <v>385</v>
      </c>
      <c r="O65" s="389"/>
      <c r="P65" s="389">
        <v>175</v>
      </c>
      <c r="Q65" s="394">
        <v>181.47</v>
      </c>
      <c r="R65" s="415">
        <v>181.46600000000001</v>
      </c>
      <c r="S65" s="416">
        <v>907.33</v>
      </c>
      <c r="T65" s="389">
        <v>907.33</v>
      </c>
      <c r="U65" s="386" t="s">
        <v>222</v>
      </c>
      <c r="V65" s="386" t="s">
        <v>330</v>
      </c>
    </row>
    <row r="66" spans="1:32" ht="26.45" customHeight="1">
      <c r="A66" s="386">
        <v>59</v>
      </c>
      <c r="B66" s="387" t="s">
        <v>308</v>
      </c>
      <c r="C66" s="390" t="s">
        <v>355</v>
      </c>
      <c r="D66" s="427" t="s">
        <v>420</v>
      </c>
      <c r="E66" s="427" t="s">
        <v>440</v>
      </c>
      <c r="F66" s="386" t="s">
        <v>281</v>
      </c>
      <c r="G66" s="386" t="s">
        <v>282</v>
      </c>
      <c r="H66" s="387">
        <v>5</v>
      </c>
      <c r="I66" s="387" t="s">
        <v>226</v>
      </c>
      <c r="J66" s="397">
        <v>25.59</v>
      </c>
      <c r="K66" s="389" t="s">
        <v>382</v>
      </c>
      <c r="L66" s="389" t="s">
        <v>383</v>
      </c>
      <c r="M66" s="393" t="s">
        <v>384</v>
      </c>
      <c r="N66" s="389" t="s">
        <v>385</v>
      </c>
      <c r="O66" s="389"/>
      <c r="P66" s="389">
        <v>175</v>
      </c>
      <c r="Q66" s="394">
        <v>181.47</v>
      </c>
      <c r="R66" s="415">
        <v>181.46600000000001</v>
      </c>
      <c r="S66" s="416">
        <v>907.33</v>
      </c>
      <c r="T66" s="389">
        <v>907.33</v>
      </c>
      <c r="U66" s="386" t="s">
        <v>223</v>
      </c>
      <c r="V66" s="386" t="s">
        <v>330</v>
      </c>
    </row>
    <row r="67" spans="1:32" ht="26.45" customHeight="1">
      <c r="A67" s="386">
        <v>60</v>
      </c>
      <c r="B67" s="387" t="s">
        <v>308</v>
      </c>
      <c r="C67" s="390" t="s">
        <v>357</v>
      </c>
      <c r="D67" s="427" t="s">
        <v>421</v>
      </c>
      <c r="E67" s="427" t="s">
        <v>441</v>
      </c>
      <c r="F67" s="386" t="s">
        <v>281</v>
      </c>
      <c r="G67" s="386" t="s">
        <v>282</v>
      </c>
      <c r="H67" s="387">
        <v>5</v>
      </c>
      <c r="I67" s="387" t="s">
        <v>226</v>
      </c>
      <c r="J67" s="397">
        <v>6.99</v>
      </c>
      <c r="K67" s="389" t="s">
        <v>382</v>
      </c>
      <c r="L67" s="389" t="s">
        <v>383</v>
      </c>
      <c r="M67" s="393" t="s">
        <v>384</v>
      </c>
      <c r="N67" s="389" t="s">
        <v>385</v>
      </c>
      <c r="O67" s="389"/>
      <c r="P67" s="389">
        <v>175</v>
      </c>
      <c r="Q67" s="394">
        <v>181.47</v>
      </c>
      <c r="R67" s="415">
        <v>181.46600000000001</v>
      </c>
      <c r="S67" s="416">
        <v>907.33</v>
      </c>
      <c r="T67" s="389">
        <v>907.33</v>
      </c>
      <c r="U67" s="386" t="s">
        <v>224</v>
      </c>
      <c r="V67" s="386" t="s">
        <v>330</v>
      </c>
    </row>
    <row r="68" spans="1:32" ht="26.45" customHeight="1">
      <c r="A68" s="386">
        <v>61</v>
      </c>
      <c r="B68" s="387" t="s">
        <v>308</v>
      </c>
      <c r="C68" s="390" t="s">
        <v>358</v>
      </c>
      <c r="D68" s="427" t="s">
        <v>422</v>
      </c>
      <c r="E68" s="427" t="s">
        <v>442</v>
      </c>
      <c r="F68" s="386" t="s">
        <v>281</v>
      </c>
      <c r="G68" s="386" t="s">
        <v>282</v>
      </c>
      <c r="H68" s="387">
        <v>5</v>
      </c>
      <c r="I68" s="387" t="s">
        <v>226</v>
      </c>
      <c r="J68" s="397">
        <v>4.32</v>
      </c>
      <c r="K68" s="389" t="s">
        <v>382</v>
      </c>
      <c r="L68" s="389" t="s">
        <v>383</v>
      </c>
      <c r="M68" s="393" t="s">
        <v>384</v>
      </c>
      <c r="N68" s="389" t="s">
        <v>385</v>
      </c>
      <c r="O68" s="389"/>
      <c r="P68" s="389">
        <v>175</v>
      </c>
      <c r="Q68" s="394">
        <v>181.47</v>
      </c>
      <c r="R68" s="415">
        <v>181.46600000000001</v>
      </c>
      <c r="S68" s="416">
        <v>907.33</v>
      </c>
      <c r="T68" s="389">
        <v>907.33</v>
      </c>
      <c r="U68" s="386" t="s">
        <v>225</v>
      </c>
      <c r="V68" s="386" t="s">
        <v>330</v>
      </c>
    </row>
    <row r="69" spans="1:32" ht="26.45" customHeight="1">
      <c r="A69" s="386">
        <v>62</v>
      </c>
      <c r="B69" s="387" t="s">
        <v>309</v>
      </c>
      <c r="C69" s="390" t="s">
        <v>353</v>
      </c>
      <c r="D69" s="427" t="s">
        <v>419</v>
      </c>
      <c r="E69" s="427" t="s">
        <v>439</v>
      </c>
      <c r="F69" s="386" t="s">
        <v>281</v>
      </c>
      <c r="G69" s="386" t="s">
        <v>282</v>
      </c>
      <c r="H69" s="387">
        <v>5</v>
      </c>
      <c r="I69" s="387" t="s">
        <v>188</v>
      </c>
      <c r="J69" s="397">
        <v>663.1</v>
      </c>
      <c r="K69" s="389" t="s">
        <v>382</v>
      </c>
      <c r="L69" s="389" t="s">
        <v>383</v>
      </c>
      <c r="M69" s="393" t="s">
        <v>384</v>
      </c>
      <c r="N69" s="389" t="s">
        <v>385</v>
      </c>
      <c r="O69" s="389"/>
      <c r="P69" s="389">
        <v>175</v>
      </c>
      <c r="Q69" s="394">
        <v>181.47</v>
      </c>
      <c r="R69" s="415">
        <v>181.46600000000001</v>
      </c>
      <c r="S69" s="416">
        <v>907.33</v>
      </c>
      <c r="T69" s="389">
        <v>907.33</v>
      </c>
      <c r="U69" s="386" t="s">
        <v>222</v>
      </c>
      <c r="V69" s="386" t="s">
        <v>330</v>
      </c>
    </row>
    <row r="70" spans="1:32" ht="26.45" customHeight="1">
      <c r="A70" s="386">
        <v>63</v>
      </c>
      <c r="B70" s="387" t="s">
        <v>309</v>
      </c>
      <c r="C70" s="390" t="s">
        <v>355</v>
      </c>
      <c r="D70" s="427" t="s">
        <v>420</v>
      </c>
      <c r="E70" s="427" t="s">
        <v>440</v>
      </c>
      <c r="F70" s="386" t="s">
        <v>281</v>
      </c>
      <c r="G70" s="386" t="s">
        <v>282</v>
      </c>
      <c r="H70" s="387">
        <v>5</v>
      </c>
      <c r="I70" s="387" t="s">
        <v>226</v>
      </c>
      <c r="J70" s="397">
        <v>25.59</v>
      </c>
      <c r="K70" s="389" t="s">
        <v>382</v>
      </c>
      <c r="L70" s="389" t="s">
        <v>383</v>
      </c>
      <c r="M70" s="393" t="s">
        <v>384</v>
      </c>
      <c r="N70" s="389" t="s">
        <v>385</v>
      </c>
      <c r="O70" s="389"/>
      <c r="P70" s="389">
        <v>175</v>
      </c>
      <c r="Q70" s="394">
        <v>181.47</v>
      </c>
      <c r="R70" s="415">
        <v>181.46600000000001</v>
      </c>
      <c r="S70" s="416">
        <v>907.33</v>
      </c>
      <c r="T70" s="389">
        <v>907.33</v>
      </c>
      <c r="U70" s="386" t="s">
        <v>223</v>
      </c>
      <c r="V70" s="386" t="s">
        <v>330</v>
      </c>
    </row>
    <row r="71" spans="1:32" ht="26.45" customHeight="1">
      <c r="A71" s="386">
        <v>64</v>
      </c>
      <c r="B71" s="387" t="s">
        <v>309</v>
      </c>
      <c r="C71" s="390" t="s">
        <v>357</v>
      </c>
      <c r="D71" s="427" t="s">
        <v>421</v>
      </c>
      <c r="E71" s="427" t="s">
        <v>441</v>
      </c>
      <c r="F71" s="386" t="s">
        <v>281</v>
      </c>
      <c r="G71" s="386" t="s">
        <v>282</v>
      </c>
      <c r="H71" s="387">
        <v>5</v>
      </c>
      <c r="I71" s="387" t="s">
        <v>226</v>
      </c>
      <c r="J71" s="397">
        <v>6.99</v>
      </c>
      <c r="K71" s="389" t="s">
        <v>382</v>
      </c>
      <c r="L71" s="389" t="s">
        <v>383</v>
      </c>
      <c r="M71" s="393" t="s">
        <v>384</v>
      </c>
      <c r="N71" s="389" t="s">
        <v>385</v>
      </c>
      <c r="O71" s="389"/>
      <c r="P71" s="389">
        <v>175</v>
      </c>
      <c r="Q71" s="394">
        <v>181.47</v>
      </c>
      <c r="R71" s="415">
        <v>181.46600000000001</v>
      </c>
      <c r="S71" s="416">
        <v>907.33</v>
      </c>
      <c r="T71" s="389">
        <v>907.33</v>
      </c>
      <c r="U71" s="386" t="s">
        <v>224</v>
      </c>
      <c r="V71" s="386" t="s">
        <v>330</v>
      </c>
    </row>
    <row r="72" spans="1:32" ht="26.45" customHeight="1">
      <c r="A72" s="386">
        <v>65</v>
      </c>
      <c r="B72" s="387" t="s">
        <v>309</v>
      </c>
      <c r="C72" s="390" t="s">
        <v>358</v>
      </c>
      <c r="D72" s="427" t="s">
        <v>422</v>
      </c>
      <c r="E72" s="427" t="s">
        <v>442</v>
      </c>
      <c r="F72" s="386" t="s">
        <v>281</v>
      </c>
      <c r="G72" s="386" t="s">
        <v>282</v>
      </c>
      <c r="H72" s="387">
        <v>5</v>
      </c>
      <c r="I72" s="387" t="s">
        <v>226</v>
      </c>
      <c r="J72" s="397">
        <v>4.32</v>
      </c>
      <c r="K72" s="389" t="s">
        <v>382</v>
      </c>
      <c r="L72" s="389" t="s">
        <v>383</v>
      </c>
      <c r="M72" s="393" t="s">
        <v>384</v>
      </c>
      <c r="N72" s="389" t="s">
        <v>385</v>
      </c>
      <c r="O72" s="389"/>
      <c r="P72" s="389">
        <v>175</v>
      </c>
      <c r="Q72" s="394">
        <v>181.47</v>
      </c>
      <c r="R72" s="415">
        <v>181.46600000000001</v>
      </c>
      <c r="S72" s="416">
        <v>907.33</v>
      </c>
      <c r="T72" s="389">
        <v>907.33</v>
      </c>
      <c r="U72" s="386" t="s">
        <v>225</v>
      </c>
      <c r="V72" s="386" t="s">
        <v>330</v>
      </c>
    </row>
    <row r="73" spans="1:32" ht="26.45" customHeight="1">
      <c r="A73" s="386">
        <v>66</v>
      </c>
      <c r="B73" s="387" t="s">
        <v>310</v>
      </c>
      <c r="C73" s="390" t="s">
        <v>353</v>
      </c>
      <c r="D73" s="427" t="s">
        <v>443</v>
      </c>
      <c r="E73" s="427" t="s">
        <v>439</v>
      </c>
      <c r="F73" s="386" t="s">
        <v>281</v>
      </c>
      <c r="G73" s="386" t="s">
        <v>282</v>
      </c>
      <c r="H73" s="387">
        <v>5</v>
      </c>
      <c r="I73" s="387" t="s">
        <v>188</v>
      </c>
      <c r="J73" s="397">
        <v>638.1</v>
      </c>
      <c r="K73" s="389" t="s">
        <v>382</v>
      </c>
      <c r="L73" s="389" t="s">
        <v>383</v>
      </c>
      <c r="M73" s="393" t="s">
        <v>384</v>
      </c>
      <c r="N73" s="389" t="s">
        <v>385</v>
      </c>
      <c r="O73" s="389"/>
      <c r="P73" s="389">
        <v>168.75</v>
      </c>
      <c r="Q73" s="394">
        <v>174.98</v>
      </c>
      <c r="R73" s="415">
        <v>174.98399999999998</v>
      </c>
      <c r="S73" s="416">
        <v>874.91999999999985</v>
      </c>
      <c r="T73" s="389">
        <v>874.92</v>
      </c>
      <c r="U73" s="386" t="s">
        <v>227</v>
      </c>
      <c r="V73" s="386" t="s">
        <v>330</v>
      </c>
      <c r="AF73" s="398"/>
    </row>
    <row r="74" spans="1:32" ht="26.45" customHeight="1">
      <c r="A74" s="386">
        <v>67</v>
      </c>
      <c r="B74" s="387" t="s">
        <v>310</v>
      </c>
      <c r="C74" s="390" t="s">
        <v>355</v>
      </c>
      <c r="D74" s="427" t="s">
        <v>420</v>
      </c>
      <c r="E74" s="427" t="s">
        <v>440</v>
      </c>
      <c r="F74" s="386" t="s">
        <v>281</v>
      </c>
      <c r="G74" s="386" t="s">
        <v>282</v>
      </c>
      <c r="H74" s="387">
        <v>5</v>
      </c>
      <c r="I74" s="387" t="s">
        <v>226</v>
      </c>
      <c r="J74" s="397">
        <v>25.59</v>
      </c>
      <c r="K74" s="389" t="s">
        <v>382</v>
      </c>
      <c r="L74" s="389" t="s">
        <v>383</v>
      </c>
      <c r="M74" s="393" t="s">
        <v>384</v>
      </c>
      <c r="N74" s="389" t="s">
        <v>385</v>
      </c>
      <c r="O74" s="389"/>
      <c r="P74" s="389">
        <v>168.75</v>
      </c>
      <c r="Q74" s="394">
        <v>174.98</v>
      </c>
      <c r="R74" s="415">
        <v>174.98399999999998</v>
      </c>
      <c r="S74" s="416">
        <v>874.91999999999985</v>
      </c>
      <c r="T74" s="389">
        <v>874.92</v>
      </c>
      <c r="U74" s="386" t="s">
        <v>228</v>
      </c>
      <c r="V74" s="386" t="s">
        <v>330</v>
      </c>
    </row>
    <row r="75" spans="1:32" ht="26.45" customHeight="1">
      <c r="A75" s="386">
        <v>68</v>
      </c>
      <c r="B75" s="387" t="s">
        <v>310</v>
      </c>
      <c r="C75" s="390" t="s">
        <v>357</v>
      </c>
      <c r="D75" s="427" t="s">
        <v>421</v>
      </c>
      <c r="E75" s="427" t="s">
        <v>441</v>
      </c>
      <c r="F75" s="386" t="s">
        <v>281</v>
      </c>
      <c r="G75" s="386" t="s">
        <v>282</v>
      </c>
      <c r="H75" s="387">
        <v>5</v>
      </c>
      <c r="I75" s="387" t="s">
        <v>226</v>
      </c>
      <c r="J75" s="397">
        <v>6.99</v>
      </c>
      <c r="K75" s="389" t="s">
        <v>382</v>
      </c>
      <c r="L75" s="389" t="s">
        <v>383</v>
      </c>
      <c r="M75" s="393" t="s">
        <v>384</v>
      </c>
      <c r="N75" s="389" t="s">
        <v>385</v>
      </c>
      <c r="O75" s="389"/>
      <c r="P75" s="389">
        <v>168.75</v>
      </c>
      <c r="Q75" s="394">
        <v>174.98</v>
      </c>
      <c r="R75" s="415">
        <v>174.98399999999998</v>
      </c>
      <c r="S75" s="416">
        <v>874.91999999999985</v>
      </c>
      <c r="T75" s="389">
        <v>874.92</v>
      </c>
      <c r="U75" s="386" t="s">
        <v>229</v>
      </c>
      <c r="V75" s="386" t="s">
        <v>330</v>
      </c>
    </row>
    <row r="76" spans="1:32" ht="26.45" customHeight="1">
      <c r="A76" s="386">
        <v>69</v>
      </c>
      <c r="B76" s="387" t="s">
        <v>310</v>
      </c>
      <c r="C76" s="390" t="s">
        <v>358</v>
      </c>
      <c r="D76" s="427" t="s">
        <v>422</v>
      </c>
      <c r="E76" s="427" t="s">
        <v>442</v>
      </c>
      <c r="F76" s="386" t="s">
        <v>281</v>
      </c>
      <c r="G76" s="386" t="s">
        <v>282</v>
      </c>
      <c r="H76" s="387">
        <v>5</v>
      </c>
      <c r="I76" s="387" t="s">
        <v>226</v>
      </c>
      <c r="J76" s="397">
        <v>4.32</v>
      </c>
      <c r="K76" s="389" t="s">
        <v>382</v>
      </c>
      <c r="L76" s="389" t="s">
        <v>383</v>
      </c>
      <c r="M76" s="393" t="s">
        <v>384</v>
      </c>
      <c r="N76" s="389" t="s">
        <v>385</v>
      </c>
      <c r="O76" s="389"/>
      <c r="P76" s="389">
        <v>168.75</v>
      </c>
      <c r="Q76" s="394">
        <v>174.98</v>
      </c>
      <c r="R76" s="415">
        <v>174.98399999999998</v>
      </c>
      <c r="S76" s="416">
        <v>874.91999999999985</v>
      </c>
      <c r="T76" s="389">
        <v>874.92</v>
      </c>
      <c r="U76" s="386" t="s">
        <v>230</v>
      </c>
      <c r="V76" s="386" t="s">
        <v>330</v>
      </c>
    </row>
    <row r="77" spans="1:32" ht="26.45" customHeight="1">
      <c r="A77" s="386">
        <v>70</v>
      </c>
      <c r="B77" s="387" t="s">
        <v>311</v>
      </c>
      <c r="C77" s="390" t="s">
        <v>353</v>
      </c>
      <c r="D77" s="427" t="s">
        <v>443</v>
      </c>
      <c r="E77" s="427" t="s">
        <v>439</v>
      </c>
      <c r="F77" s="386" t="s">
        <v>281</v>
      </c>
      <c r="G77" s="386" t="s">
        <v>282</v>
      </c>
      <c r="H77" s="387">
        <v>5</v>
      </c>
      <c r="I77" s="387" t="s">
        <v>188</v>
      </c>
      <c r="J77" s="397">
        <v>638.1</v>
      </c>
      <c r="K77" s="389" t="s">
        <v>382</v>
      </c>
      <c r="L77" s="389" t="s">
        <v>383</v>
      </c>
      <c r="M77" s="393" t="s">
        <v>384</v>
      </c>
      <c r="N77" s="389" t="s">
        <v>385</v>
      </c>
      <c r="O77" s="389"/>
      <c r="P77" s="389">
        <v>168.75</v>
      </c>
      <c r="Q77" s="394">
        <v>174.98</v>
      </c>
      <c r="R77" s="415">
        <v>174.98399999999998</v>
      </c>
      <c r="S77" s="416">
        <v>874.91999999999985</v>
      </c>
      <c r="T77" s="389">
        <v>874.92</v>
      </c>
      <c r="U77" s="386" t="s">
        <v>227</v>
      </c>
      <c r="V77" s="386" t="s">
        <v>330</v>
      </c>
    </row>
    <row r="78" spans="1:32" ht="26.45" customHeight="1">
      <c r="A78" s="386">
        <v>71</v>
      </c>
      <c r="B78" s="387" t="s">
        <v>311</v>
      </c>
      <c r="C78" s="390" t="s">
        <v>355</v>
      </c>
      <c r="D78" s="427" t="s">
        <v>420</v>
      </c>
      <c r="E78" s="427" t="s">
        <v>440</v>
      </c>
      <c r="F78" s="386" t="s">
        <v>281</v>
      </c>
      <c r="G78" s="386" t="s">
        <v>282</v>
      </c>
      <c r="H78" s="387">
        <v>5</v>
      </c>
      <c r="I78" s="387" t="s">
        <v>226</v>
      </c>
      <c r="J78" s="397">
        <v>25.59</v>
      </c>
      <c r="K78" s="389" t="s">
        <v>382</v>
      </c>
      <c r="L78" s="389" t="s">
        <v>383</v>
      </c>
      <c r="M78" s="393" t="s">
        <v>384</v>
      </c>
      <c r="N78" s="389" t="s">
        <v>385</v>
      </c>
      <c r="O78" s="389"/>
      <c r="P78" s="389">
        <v>168.75</v>
      </c>
      <c r="Q78" s="394">
        <v>174.98</v>
      </c>
      <c r="R78" s="415">
        <v>174.98399999999998</v>
      </c>
      <c r="S78" s="416">
        <v>874.91999999999985</v>
      </c>
      <c r="T78" s="389">
        <v>874.92</v>
      </c>
      <c r="U78" s="386" t="s">
        <v>228</v>
      </c>
      <c r="V78" s="386" t="s">
        <v>330</v>
      </c>
    </row>
    <row r="79" spans="1:32" ht="26.45" customHeight="1">
      <c r="A79" s="386">
        <v>72</v>
      </c>
      <c r="B79" s="387" t="s">
        <v>311</v>
      </c>
      <c r="C79" s="390" t="s">
        <v>357</v>
      </c>
      <c r="D79" s="427" t="s">
        <v>421</v>
      </c>
      <c r="E79" s="427" t="s">
        <v>441</v>
      </c>
      <c r="F79" s="386" t="s">
        <v>281</v>
      </c>
      <c r="G79" s="386" t="s">
        <v>282</v>
      </c>
      <c r="H79" s="387">
        <v>5</v>
      </c>
      <c r="I79" s="387" t="s">
        <v>226</v>
      </c>
      <c r="J79" s="397">
        <v>6.99</v>
      </c>
      <c r="K79" s="389" t="s">
        <v>382</v>
      </c>
      <c r="L79" s="389" t="s">
        <v>383</v>
      </c>
      <c r="M79" s="393" t="s">
        <v>384</v>
      </c>
      <c r="N79" s="389" t="s">
        <v>385</v>
      </c>
      <c r="O79" s="389"/>
      <c r="P79" s="389">
        <v>168.75</v>
      </c>
      <c r="Q79" s="394">
        <v>174.98</v>
      </c>
      <c r="R79" s="415">
        <v>174.98399999999998</v>
      </c>
      <c r="S79" s="416">
        <v>874.91999999999985</v>
      </c>
      <c r="T79" s="389">
        <v>874.92</v>
      </c>
      <c r="U79" s="386" t="s">
        <v>229</v>
      </c>
      <c r="V79" s="386" t="s">
        <v>330</v>
      </c>
    </row>
    <row r="80" spans="1:32" ht="26.45" customHeight="1">
      <c r="A80" s="386">
        <v>73</v>
      </c>
      <c r="B80" s="387" t="s">
        <v>311</v>
      </c>
      <c r="C80" s="390" t="s">
        <v>358</v>
      </c>
      <c r="D80" s="427" t="s">
        <v>422</v>
      </c>
      <c r="E80" s="427" t="s">
        <v>442</v>
      </c>
      <c r="F80" s="386" t="s">
        <v>281</v>
      </c>
      <c r="G80" s="386" t="s">
        <v>282</v>
      </c>
      <c r="H80" s="387">
        <v>5</v>
      </c>
      <c r="I80" s="387" t="s">
        <v>226</v>
      </c>
      <c r="J80" s="397">
        <v>4.32</v>
      </c>
      <c r="K80" s="389" t="s">
        <v>382</v>
      </c>
      <c r="L80" s="389" t="s">
        <v>383</v>
      </c>
      <c r="M80" s="393" t="s">
        <v>384</v>
      </c>
      <c r="N80" s="389" t="s">
        <v>385</v>
      </c>
      <c r="O80" s="389"/>
      <c r="P80" s="389">
        <v>168.75</v>
      </c>
      <c r="Q80" s="394">
        <v>174.98</v>
      </c>
      <c r="R80" s="415">
        <v>174.98399999999998</v>
      </c>
      <c r="S80" s="416">
        <v>874.91999999999985</v>
      </c>
      <c r="T80" s="389">
        <v>874.92</v>
      </c>
      <c r="U80" s="386" t="s">
        <v>230</v>
      </c>
      <c r="V80" s="386" t="s">
        <v>330</v>
      </c>
    </row>
    <row r="81" spans="1:22" ht="26.45" customHeight="1">
      <c r="A81" s="386">
        <v>74</v>
      </c>
      <c r="B81" s="387" t="s">
        <v>312</v>
      </c>
      <c r="C81" s="390" t="s">
        <v>353</v>
      </c>
      <c r="D81" s="427" t="s">
        <v>443</v>
      </c>
      <c r="E81" s="427" t="s">
        <v>439</v>
      </c>
      <c r="F81" s="386" t="s">
        <v>281</v>
      </c>
      <c r="G81" s="386" t="s">
        <v>282</v>
      </c>
      <c r="H81" s="387">
        <v>5</v>
      </c>
      <c r="I81" s="387" t="s">
        <v>188</v>
      </c>
      <c r="J81" s="397">
        <v>638.1</v>
      </c>
      <c r="K81" s="389" t="s">
        <v>382</v>
      </c>
      <c r="L81" s="389" t="s">
        <v>383</v>
      </c>
      <c r="M81" s="393" t="s">
        <v>384</v>
      </c>
      <c r="N81" s="389" t="s">
        <v>385</v>
      </c>
      <c r="O81" s="389"/>
      <c r="P81" s="389">
        <v>168.75</v>
      </c>
      <c r="Q81" s="394">
        <v>174.98</v>
      </c>
      <c r="R81" s="415">
        <v>174.98399999999998</v>
      </c>
      <c r="S81" s="416">
        <v>874.91999999999985</v>
      </c>
      <c r="T81" s="389">
        <v>874.92</v>
      </c>
      <c r="U81" s="386" t="s">
        <v>227</v>
      </c>
      <c r="V81" s="386" t="s">
        <v>330</v>
      </c>
    </row>
    <row r="82" spans="1:22" ht="26.45" customHeight="1">
      <c r="A82" s="386">
        <v>75</v>
      </c>
      <c r="B82" s="387" t="s">
        <v>312</v>
      </c>
      <c r="C82" s="390" t="s">
        <v>355</v>
      </c>
      <c r="D82" s="427" t="s">
        <v>420</v>
      </c>
      <c r="E82" s="427" t="s">
        <v>440</v>
      </c>
      <c r="F82" s="386" t="s">
        <v>281</v>
      </c>
      <c r="G82" s="386" t="s">
        <v>282</v>
      </c>
      <c r="H82" s="387">
        <v>5</v>
      </c>
      <c r="I82" s="387" t="s">
        <v>226</v>
      </c>
      <c r="J82" s="397">
        <v>25.59</v>
      </c>
      <c r="K82" s="389" t="s">
        <v>382</v>
      </c>
      <c r="L82" s="389" t="s">
        <v>383</v>
      </c>
      <c r="M82" s="393" t="s">
        <v>384</v>
      </c>
      <c r="N82" s="389" t="s">
        <v>385</v>
      </c>
      <c r="O82" s="389"/>
      <c r="P82" s="389">
        <v>168.75</v>
      </c>
      <c r="Q82" s="394">
        <v>174.98</v>
      </c>
      <c r="R82" s="415">
        <v>174.98399999999998</v>
      </c>
      <c r="S82" s="416">
        <v>874.91999999999985</v>
      </c>
      <c r="T82" s="389">
        <v>874.92</v>
      </c>
      <c r="U82" s="386" t="s">
        <v>228</v>
      </c>
      <c r="V82" s="386" t="s">
        <v>330</v>
      </c>
    </row>
    <row r="83" spans="1:22" ht="26.45" customHeight="1">
      <c r="A83" s="386">
        <v>76</v>
      </c>
      <c r="B83" s="387" t="s">
        <v>312</v>
      </c>
      <c r="C83" s="390" t="s">
        <v>357</v>
      </c>
      <c r="D83" s="427" t="s">
        <v>421</v>
      </c>
      <c r="E83" s="427" t="s">
        <v>441</v>
      </c>
      <c r="F83" s="386" t="s">
        <v>281</v>
      </c>
      <c r="G83" s="386" t="s">
        <v>282</v>
      </c>
      <c r="H83" s="387">
        <v>5</v>
      </c>
      <c r="I83" s="387" t="s">
        <v>226</v>
      </c>
      <c r="J83" s="397">
        <v>6.99</v>
      </c>
      <c r="K83" s="389" t="s">
        <v>382</v>
      </c>
      <c r="L83" s="389" t="s">
        <v>383</v>
      </c>
      <c r="M83" s="393" t="s">
        <v>384</v>
      </c>
      <c r="N83" s="389" t="s">
        <v>385</v>
      </c>
      <c r="O83" s="389"/>
      <c r="P83" s="389">
        <v>168.75</v>
      </c>
      <c r="Q83" s="394">
        <v>174.98</v>
      </c>
      <c r="R83" s="415">
        <v>174.98399999999998</v>
      </c>
      <c r="S83" s="416">
        <v>874.91999999999985</v>
      </c>
      <c r="T83" s="389">
        <v>874.92</v>
      </c>
      <c r="U83" s="386" t="s">
        <v>229</v>
      </c>
      <c r="V83" s="386" t="s">
        <v>330</v>
      </c>
    </row>
    <row r="84" spans="1:22" ht="26.45" customHeight="1">
      <c r="A84" s="386">
        <v>77</v>
      </c>
      <c r="B84" s="387" t="s">
        <v>312</v>
      </c>
      <c r="C84" s="390" t="s">
        <v>358</v>
      </c>
      <c r="D84" s="427" t="s">
        <v>422</v>
      </c>
      <c r="E84" s="427" t="s">
        <v>442</v>
      </c>
      <c r="F84" s="386" t="s">
        <v>281</v>
      </c>
      <c r="G84" s="386" t="s">
        <v>282</v>
      </c>
      <c r="H84" s="387">
        <v>5</v>
      </c>
      <c r="I84" s="387" t="s">
        <v>226</v>
      </c>
      <c r="J84" s="397">
        <v>4.32</v>
      </c>
      <c r="K84" s="389" t="s">
        <v>382</v>
      </c>
      <c r="L84" s="389" t="s">
        <v>383</v>
      </c>
      <c r="M84" s="393" t="s">
        <v>384</v>
      </c>
      <c r="N84" s="389" t="s">
        <v>385</v>
      </c>
      <c r="O84" s="389"/>
      <c r="P84" s="389">
        <v>168.75</v>
      </c>
      <c r="Q84" s="394">
        <v>174.98</v>
      </c>
      <c r="R84" s="415">
        <v>174.98399999999998</v>
      </c>
      <c r="S84" s="416">
        <v>874.91999999999985</v>
      </c>
      <c r="T84" s="389">
        <v>874.92</v>
      </c>
      <c r="U84" s="386" t="s">
        <v>230</v>
      </c>
      <c r="V84" s="386" t="s">
        <v>330</v>
      </c>
    </row>
    <row r="85" spans="1:22" ht="26.45" customHeight="1">
      <c r="A85" s="386">
        <v>78</v>
      </c>
      <c r="B85" s="387" t="s">
        <v>313</v>
      </c>
      <c r="C85" s="390" t="s">
        <v>353</v>
      </c>
      <c r="D85" s="427" t="s">
        <v>443</v>
      </c>
      <c r="E85" s="427" t="s">
        <v>439</v>
      </c>
      <c r="F85" s="386" t="s">
        <v>281</v>
      </c>
      <c r="G85" s="386" t="s">
        <v>282</v>
      </c>
      <c r="H85" s="387">
        <v>5</v>
      </c>
      <c r="I85" s="387" t="s">
        <v>188</v>
      </c>
      <c r="J85" s="397">
        <v>638.1</v>
      </c>
      <c r="K85" s="389" t="s">
        <v>382</v>
      </c>
      <c r="L85" s="389" t="s">
        <v>383</v>
      </c>
      <c r="M85" s="393" t="s">
        <v>384</v>
      </c>
      <c r="N85" s="389" t="s">
        <v>385</v>
      </c>
      <c r="O85" s="389"/>
      <c r="P85" s="389">
        <v>168.75</v>
      </c>
      <c r="Q85" s="394">
        <v>174.98</v>
      </c>
      <c r="R85" s="415">
        <v>174.98399999999998</v>
      </c>
      <c r="S85" s="416">
        <v>874.91999999999985</v>
      </c>
      <c r="T85" s="389">
        <v>874.92</v>
      </c>
      <c r="U85" s="386" t="s">
        <v>227</v>
      </c>
      <c r="V85" s="386" t="s">
        <v>330</v>
      </c>
    </row>
    <row r="86" spans="1:22" ht="26.45" customHeight="1">
      <c r="A86" s="386">
        <v>79</v>
      </c>
      <c r="B86" s="387" t="s">
        <v>313</v>
      </c>
      <c r="C86" s="390" t="s">
        <v>355</v>
      </c>
      <c r="D86" s="427" t="s">
        <v>420</v>
      </c>
      <c r="E86" s="427" t="s">
        <v>440</v>
      </c>
      <c r="F86" s="386" t="s">
        <v>281</v>
      </c>
      <c r="G86" s="386" t="s">
        <v>282</v>
      </c>
      <c r="H86" s="387">
        <v>5</v>
      </c>
      <c r="I86" s="387" t="s">
        <v>226</v>
      </c>
      <c r="J86" s="397">
        <v>25.59</v>
      </c>
      <c r="K86" s="389" t="s">
        <v>382</v>
      </c>
      <c r="L86" s="389" t="s">
        <v>383</v>
      </c>
      <c r="M86" s="393" t="s">
        <v>384</v>
      </c>
      <c r="N86" s="389" t="s">
        <v>385</v>
      </c>
      <c r="O86" s="389"/>
      <c r="P86" s="389">
        <v>168.75</v>
      </c>
      <c r="Q86" s="394">
        <v>174.98</v>
      </c>
      <c r="R86" s="415">
        <v>174.98399999999998</v>
      </c>
      <c r="S86" s="416">
        <v>874.91999999999985</v>
      </c>
      <c r="T86" s="389">
        <v>874.92</v>
      </c>
      <c r="U86" s="386" t="s">
        <v>228</v>
      </c>
      <c r="V86" s="386" t="s">
        <v>330</v>
      </c>
    </row>
    <row r="87" spans="1:22" ht="26.45" customHeight="1">
      <c r="A87" s="386">
        <v>80</v>
      </c>
      <c r="B87" s="387" t="s">
        <v>313</v>
      </c>
      <c r="C87" s="390" t="s">
        <v>357</v>
      </c>
      <c r="D87" s="427" t="s">
        <v>421</v>
      </c>
      <c r="E87" s="427" t="s">
        <v>441</v>
      </c>
      <c r="F87" s="386" t="s">
        <v>281</v>
      </c>
      <c r="G87" s="386" t="s">
        <v>282</v>
      </c>
      <c r="H87" s="387">
        <v>5</v>
      </c>
      <c r="I87" s="387" t="s">
        <v>226</v>
      </c>
      <c r="J87" s="397">
        <v>6.99</v>
      </c>
      <c r="K87" s="389" t="s">
        <v>382</v>
      </c>
      <c r="L87" s="389" t="s">
        <v>383</v>
      </c>
      <c r="M87" s="393" t="s">
        <v>384</v>
      </c>
      <c r="N87" s="389" t="s">
        <v>385</v>
      </c>
      <c r="O87" s="389"/>
      <c r="P87" s="389">
        <v>168.75</v>
      </c>
      <c r="Q87" s="394">
        <v>174.98</v>
      </c>
      <c r="R87" s="415">
        <v>174.98399999999998</v>
      </c>
      <c r="S87" s="416">
        <v>874.91999999999985</v>
      </c>
      <c r="T87" s="389">
        <v>874.92</v>
      </c>
      <c r="U87" s="386" t="s">
        <v>229</v>
      </c>
      <c r="V87" s="386" t="s">
        <v>330</v>
      </c>
    </row>
    <row r="88" spans="1:22" ht="26.45" customHeight="1">
      <c r="A88" s="386">
        <v>81</v>
      </c>
      <c r="B88" s="387" t="s">
        <v>313</v>
      </c>
      <c r="C88" s="390" t="s">
        <v>358</v>
      </c>
      <c r="D88" s="427" t="s">
        <v>422</v>
      </c>
      <c r="E88" s="427" t="s">
        <v>442</v>
      </c>
      <c r="F88" s="386" t="s">
        <v>281</v>
      </c>
      <c r="G88" s="386" t="s">
        <v>282</v>
      </c>
      <c r="H88" s="387">
        <v>5</v>
      </c>
      <c r="I88" s="387" t="s">
        <v>226</v>
      </c>
      <c r="J88" s="397">
        <v>4.32</v>
      </c>
      <c r="K88" s="389" t="s">
        <v>382</v>
      </c>
      <c r="L88" s="389" t="s">
        <v>383</v>
      </c>
      <c r="M88" s="393" t="s">
        <v>384</v>
      </c>
      <c r="N88" s="389" t="s">
        <v>385</v>
      </c>
      <c r="O88" s="389"/>
      <c r="P88" s="389">
        <v>168.75</v>
      </c>
      <c r="Q88" s="394">
        <v>174.98</v>
      </c>
      <c r="R88" s="415">
        <v>174.98399999999998</v>
      </c>
      <c r="S88" s="416">
        <v>874.91999999999985</v>
      </c>
      <c r="T88" s="389">
        <v>874.92</v>
      </c>
      <c r="U88" s="386" t="s">
        <v>230</v>
      </c>
      <c r="V88" s="386" t="s">
        <v>330</v>
      </c>
    </row>
    <row r="89" spans="1:22" ht="26.45" customHeight="1">
      <c r="A89" s="386">
        <v>82</v>
      </c>
      <c r="B89" s="387" t="s">
        <v>314</v>
      </c>
      <c r="C89" s="390" t="s">
        <v>353</v>
      </c>
      <c r="D89" s="427" t="s">
        <v>443</v>
      </c>
      <c r="E89" s="427" t="s">
        <v>439</v>
      </c>
      <c r="F89" s="386" t="s">
        <v>281</v>
      </c>
      <c r="G89" s="386" t="s">
        <v>282</v>
      </c>
      <c r="H89" s="387">
        <v>2</v>
      </c>
      <c r="I89" s="387" t="s">
        <v>188</v>
      </c>
      <c r="J89" s="397">
        <v>255.4</v>
      </c>
      <c r="K89" s="389" t="s">
        <v>382</v>
      </c>
      <c r="L89" s="389" t="s">
        <v>383</v>
      </c>
      <c r="M89" s="393" t="s">
        <v>384</v>
      </c>
      <c r="N89" s="389" t="s">
        <v>385</v>
      </c>
      <c r="O89" s="389"/>
      <c r="P89" s="389">
        <v>67.5</v>
      </c>
      <c r="Q89" s="394">
        <v>174.99</v>
      </c>
      <c r="R89" s="415">
        <v>174.98500000000001</v>
      </c>
      <c r="S89" s="416">
        <v>349.97</v>
      </c>
      <c r="T89" s="389">
        <v>349.97</v>
      </c>
      <c r="U89" s="386" t="s">
        <v>222</v>
      </c>
      <c r="V89" s="386" t="s">
        <v>330</v>
      </c>
    </row>
    <row r="90" spans="1:22" ht="26.45" customHeight="1">
      <c r="A90" s="386">
        <v>83</v>
      </c>
      <c r="B90" s="387" t="s">
        <v>314</v>
      </c>
      <c r="C90" s="390" t="s">
        <v>355</v>
      </c>
      <c r="D90" s="427" t="s">
        <v>420</v>
      </c>
      <c r="E90" s="427" t="s">
        <v>440</v>
      </c>
      <c r="F90" s="386" t="s">
        <v>281</v>
      </c>
      <c r="G90" s="386" t="s">
        <v>282</v>
      </c>
      <c r="H90" s="387">
        <v>2</v>
      </c>
      <c r="I90" s="387" t="s">
        <v>226</v>
      </c>
      <c r="J90" s="397">
        <v>10.199999999999999</v>
      </c>
      <c r="K90" s="389" t="s">
        <v>382</v>
      </c>
      <c r="L90" s="389" t="s">
        <v>383</v>
      </c>
      <c r="M90" s="393" t="s">
        <v>384</v>
      </c>
      <c r="N90" s="389" t="s">
        <v>385</v>
      </c>
      <c r="O90" s="389"/>
      <c r="P90" s="389">
        <v>67.5</v>
      </c>
      <c r="Q90" s="394">
        <v>174.99</v>
      </c>
      <c r="R90" s="415">
        <v>174.98500000000001</v>
      </c>
      <c r="S90" s="416">
        <v>349.97</v>
      </c>
      <c r="T90" s="389">
        <v>349.97</v>
      </c>
      <c r="U90" s="386" t="s">
        <v>223</v>
      </c>
      <c r="V90" s="386" t="s">
        <v>330</v>
      </c>
    </row>
    <row r="91" spans="1:22" ht="26.45" customHeight="1">
      <c r="A91" s="386">
        <v>84</v>
      </c>
      <c r="B91" s="387" t="s">
        <v>314</v>
      </c>
      <c r="C91" s="390" t="s">
        <v>357</v>
      </c>
      <c r="D91" s="427" t="s">
        <v>421</v>
      </c>
      <c r="E91" s="427" t="s">
        <v>441</v>
      </c>
      <c r="F91" s="386" t="s">
        <v>281</v>
      </c>
      <c r="G91" s="386" t="s">
        <v>282</v>
      </c>
      <c r="H91" s="387">
        <v>2</v>
      </c>
      <c r="I91" s="387" t="s">
        <v>226</v>
      </c>
      <c r="J91" s="397">
        <v>2.7</v>
      </c>
      <c r="K91" s="389" t="s">
        <v>382</v>
      </c>
      <c r="L91" s="389" t="s">
        <v>383</v>
      </c>
      <c r="M91" s="393" t="s">
        <v>384</v>
      </c>
      <c r="N91" s="389" t="s">
        <v>385</v>
      </c>
      <c r="O91" s="389"/>
      <c r="P91" s="389">
        <v>67.5</v>
      </c>
      <c r="Q91" s="394">
        <v>174.99</v>
      </c>
      <c r="R91" s="415">
        <v>174.98500000000001</v>
      </c>
      <c r="S91" s="416">
        <v>349.97</v>
      </c>
      <c r="T91" s="389">
        <v>349.97</v>
      </c>
      <c r="U91" s="386" t="s">
        <v>224</v>
      </c>
      <c r="V91" s="386" t="s">
        <v>330</v>
      </c>
    </row>
    <row r="92" spans="1:22" ht="26.45" customHeight="1">
      <c r="A92" s="386">
        <v>85</v>
      </c>
      <c r="B92" s="387" t="s">
        <v>314</v>
      </c>
      <c r="C92" s="390" t="s">
        <v>358</v>
      </c>
      <c r="D92" s="427" t="s">
        <v>422</v>
      </c>
      <c r="E92" s="427" t="s">
        <v>442</v>
      </c>
      <c r="F92" s="386" t="s">
        <v>281</v>
      </c>
      <c r="G92" s="386" t="s">
        <v>282</v>
      </c>
      <c r="H92" s="387">
        <v>2</v>
      </c>
      <c r="I92" s="387" t="s">
        <v>226</v>
      </c>
      <c r="J92" s="397">
        <v>1.7</v>
      </c>
      <c r="K92" s="389" t="s">
        <v>382</v>
      </c>
      <c r="L92" s="389" t="s">
        <v>383</v>
      </c>
      <c r="M92" s="393" t="s">
        <v>384</v>
      </c>
      <c r="N92" s="389" t="s">
        <v>385</v>
      </c>
      <c r="O92" s="389"/>
      <c r="P92" s="389">
        <v>67.5</v>
      </c>
      <c r="Q92" s="394">
        <v>174.99</v>
      </c>
      <c r="R92" s="415">
        <v>174.98500000000001</v>
      </c>
      <c r="S92" s="416">
        <v>349.97</v>
      </c>
      <c r="T92" s="389">
        <v>349.97</v>
      </c>
      <c r="U92" s="386" t="s">
        <v>225</v>
      </c>
      <c r="V92" s="386" t="s">
        <v>330</v>
      </c>
    </row>
    <row r="93" spans="1:22" ht="26.45" customHeight="1">
      <c r="A93" s="386">
        <v>86</v>
      </c>
      <c r="B93" s="387" t="s">
        <v>314</v>
      </c>
      <c r="C93" s="390" t="s">
        <v>353</v>
      </c>
      <c r="D93" s="427" t="s">
        <v>443</v>
      </c>
      <c r="E93" s="427" t="s">
        <v>439</v>
      </c>
      <c r="F93" s="386" t="s">
        <v>281</v>
      </c>
      <c r="G93" s="386" t="s">
        <v>282</v>
      </c>
      <c r="H93" s="387">
        <v>3</v>
      </c>
      <c r="I93" s="387" t="s">
        <v>188</v>
      </c>
      <c r="J93" s="397">
        <v>383.1</v>
      </c>
      <c r="K93" s="389" t="s">
        <v>382</v>
      </c>
      <c r="L93" s="389" t="s">
        <v>383</v>
      </c>
      <c r="M93" s="393" t="s">
        <v>384</v>
      </c>
      <c r="N93" s="389" t="s">
        <v>385</v>
      </c>
      <c r="O93" s="389"/>
      <c r="P93" s="389">
        <v>101.25</v>
      </c>
      <c r="Q93" s="394">
        <v>174.98</v>
      </c>
      <c r="R93" s="415">
        <v>174.98500000000001</v>
      </c>
      <c r="S93" s="415">
        <v>524.95500000000004</v>
      </c>
      <c r="T93" s="389">
        <v>524.95000000000005</v>
      </c>
      <c r="U93" s="386" t="s">
        <v>227</v>
      </c>
      <c r="V93" s="386" t="s">
        <v>330</v>
      </c>
    </row>
    <row r="94" spans="1:22" ht="26.45" customHeight="1">
      <c r="A94" s="386">
        <v>87</v>
      </c>
      <c r="B94" s="387" t="s">
        <v>314</v>
      </c>
      <c r="C94" s="390" t="s">
        <v>355</v>
      </c>
      <c r="D94" s="427" t="s">
        <v>420</v>
      </c>
      <c r="E94" s="427" t="s">
        <v>440</v>
      </c>
      <c r="F94" s="386" t="s">
        <v>281</v>
      </c>
      <c r="G94" s="386" t="s">
        <v>282</v>
      </c>
      <c r="H94" s="387">
        <v>3</v>
      </c>
      <c r="I94" s="387" t="s">
        <v>226</v>
      </c>
      <c r="J94" s="397">
        <v>15.3</v>
      </c>
      <c r="K94" s="389" t="s">
        <v>382</v>
      </c>
      <c r="L94" s="389" t="s">
        <v>383</v>
      </c>
      <c r="M94" s="393" t="s">
        <v>384</v>
      </c>
      <c r="N94" s="389" t="s">
        <v>385</v>
      </c>
      <c r="O94" s="389"/>
      <c r="P94" s="389">
        <v>101.25</v>
      </c>
      <c r="Q94" s="394">
        <v>174.98</v>
      </c>
      <c r="R94" s="415">
        <v>174.98500000000001</v>
      </c>
      <c r="S94" s="415">
        <v>524.95500000000004</v>
      </c>
      <c r="T94" s="389">
        <v>524.95000000000005</v>
      </c>
      <c r="U94" s="386" t="s">
        <v>228</v>
      </c>
      <c r="V94" s="386" t="s">
        <v>330</v>
      </c>
    </row>
    <row r="95" spans="1:22" ht="26.45" customHeight="1">
      <c r="A95" s="386">
        <v>88</v>
      </c>
      <c r="B95" s="387" t="s">
        <v>314</v>
      </c>
      <c r="C95" s="390" t="s">
        <v>357</v>
      </c>
      <c r="D95" s="427" t="s">
        <v>421</v>
      </c>
      <c r="E95" s="427" t="s">
        <v>441</v>
      </c>
      <c r="F95" s="386" t="s">
        <v>281</v>
      </c>
      <c r="G95" s="386" t="s">
        <v>282</v>
      </c>
      <c r="H95" s="387">
        <v>3</v>
      </c>
      <c r="I95" s="387" t="s">
        <v>226</v>
      </c>
      <c r="J95" s="397">
        <v>4.0999999999999996</v>
      </c>
      <c r="K95" s="389" t="s">
        <v>382</v>
      </c>
      <c r="L95" s="389" t="s">
        <v>383</v>
      </c>
      <c r="M95" s="393" t="s">
        <v>384</v>
      </c>
      <c r="N95" s="389" t="s">
        <v>385</v>
      </c>
      <c r="O95" s="389"/>
      <c r="P95" s="389">
        <v>101.25</v>
      </c>
      <c r="Q95" s="394">
        <v>174.98</v>
      </c>
      <c r="R95" s="415">
        <v>174.98500000000001</v>
      </c>
      <c r="S95" s="415">
        <v>524.95500000000004</v>
      </c>
      <c r="T95" s="389">
        <v>524.95000000000005</v>
      </c>
      <c r="U95" s="386" t="s">
        <v>229</v>
      </c>
      <c r="V95" s="386" t="s">
        <v>330</v>
      </c>
    </row>
    <row r="96" spans="1:22" ht="26.45" customHeight="1">
      <c r="A96" s="386">
        <v>89</v>
      </c>
      <c r="B96" s="387" t="s">
        <v>314</v>
      </c>
      <c r="C96" s="390" t="s">
        <v>358</v>
      </c>
      <c r="D96" s="427" t="s">
        <v>422</v>
      </c>
      <c r="E96" s="427" t="s">
        <v>442</v>
      </c>
      <c r="F96" s="386" t="s">
        <v>281</v>
      </c>
      <c r="G96" s="386" t="s">
        <v>282</v>
      </c>
      <c r="H96" s="387">
        <v>3</v>
      </c>
      <c r="I96" s="387" t="s">
        <v>226</v>
      </c>
      <c r="J96" s="397">
        <v>2.5</v>
      </c>
      <c r="K96" s="389" t="s">
        <v>382</v>
      </c>
      <c r="L96" s="389" t="s">
        <v>383</v>
      </c>
      <c r="M96" s="393" t="s">
        <v>384</v>
      </c>
      <c r="N96" s="389" t="s">
        <v>385</v>
      </c>
      <c r="O96" s="389"/>
      <c r="P96" s="389">
        <v>101.25</v>
      </c>
      <c r="Q96" s="394">
        <v>174.98</v>
      </c>
      <c r="R96" s="415">
        <v>174.98500000000001</v>
      </c>
      <c r="S96" s="415">
        <v>524.95500000000004</v>
      </c>
      <c r="T96" s="389">
        <v>524.95000000000005</v>
      </c>
      <c r="U96" s="386" t="s">
        <v>230</v>
      </c>
      <c r="V96" s="386" t="s">
        <v>330</v>
      </c>
    </row>
    <row r="97" spans="1:33" ht="26.45" customHeight="1">
      <c r="A97" s="386">
        <v>90</v>
      </c>
      <c r="B97" s="387" t="s">
        <v>315</v>
      </c>
      <c r="C97" s="390" t="s">
        <v>175</v>
      </c>
      <c r="D97" s="427" t="s">
        <v>476</v>
      </c>
      <c r="E97" s="427" t="s">
        <v>439</v>
      </c>
      <c r="F97" s="386" t="s">
        <v>281</v>
      </c>
      <c r="G97" s="386" t="s">
        <v>282</v>
      </c>
      <c r="H97" s="387">
        <v>40</v>
      </c>
      <c r="I97" s="387" t="s">
        <v>188</v>
      </c>
      <c r="J97" s="397">
        <v>434.19</v>
      </c>
      <c r="K97" s="389" t="s">
        <v>382</v>
      </c>
      <c r="L97" s="389" t="s">
        <v>383</v>
      </c>
      <c r="M97" s="393" t="s">
        <v>384</v>
      </c>
      <c r="N97" s="389" t="s">
        <v>385</v>
      </c>
      <c r="O97" s="389"/>
      <c r="P97" s="389">
        <v>132.75</v>
      </c>
      <c r="Q97" s="394">
        <v>17.21</v>
      </c>
      <c r="R97" s="418">
        <v>17.20675</v>
      </c>
      <c r="S97" s="416">
        <v>688.27</v>
      </c>
      <c r="T97" s="389">
        <v>688.27</v>
      </c>
      <c r="U97" s="386" t="s">
        <v>234</v>
      </c>
      <c r="V97" s="386" t="s">
        <v>330</v>
      </c>
    </row>
    <row r="98" spans="1:33" ht="26.45" customHeight="1">
      <c r="A98" s="386">
        <v>91</v>
      </c>
      <c r="B98" s="387" t="s">
        <v>315</v>
      </c>
      <c r="C98" s="390" t="s">
        <v>231</v>
      </c>
      <c r="D98" s="427" t="s">
        <v>425</v>
      </c>
      <c r="E98" s="427" t="s">
        <v>440</v>
      </c>
      <c r="F98" s="386" t="s">
        <v>281</v>
      </c>
      <c r="G98" s="386" t="s">
        <v>282</v>
      </c>
      <c r="H98" s="387">
        <v>40</v>
      </c>
      <c r="I98" s="387" t="s">
        <v>226</v>
      </c>
      <c r="J98" s="397">
        <v>62.09</v>
      </c>
      <c r="K98" s="389" t="s">
        <v>382</v>
      </c>
      <c r="L98" s="389" t="s">
        <v>383</v>
      </c>
      <c r="M98" s="393" t="s">
        <v>384</v>
      </c>
      <c r="N98" s="389" t="s">
        <v>385</v>
      </c>
      <c r="O98" s="389"/>
      <c r="P98" s="389">
        <v>132.75</v>
      </c>
      <c r="Q98" s="394">
        <v>17.21</v>
      </c>
      <c r="R98" s="418">
        <v>17.20675</v>
      </c>
      <c r="S98" s="416">
        <v>688.27</v>
      </c>
      <c r="T98" s="389">
        <v>688.27</v>
      </c>
      <c r="U98" s="386" t="s">
        <v>235</v>
      </c>
      <c r="V98" s="386" t="s">
        <v>330</v>
      </c>
    </row>
    <row r="99" spans="1:33" ht="26.45" customHeight="1">
      <c r="A99" s="386">
        <v>92</v>
      </c>
      <c r="B99" s="387" t="s">
        <v>315</v>
      </c>
      <c r="C99" s="390" t="s">
        <v>232</v>
      </c>
      <c r="D99" s="427" t="s">
        <v>426</v>
      </c>
      <c r="E99" s="427" t="s">
        <v>441</v>
      </c>
      <c r="F99" s="386" t="s">
        <v>281</v>
      </c>
      <c r="G99" s="386" t="s">
        <v>282</v>
      </c>
      <c r="H99" s="387">
        <v>40</v>
      </c>
      <c r="I99" s="387" t="s">
        <v>226</v>
      </c>
      <c r="J99" s="397">
        <v>11.16</v>
      </c>
      <c r="K99" s="389" t="s">
        <v>382</v>
      </c>
      <c r="L99" s="389" t="s">
        <v>383</v>
      </c>
      <c r="M99" s="393" t="s">
        <v>384</v>
      </c>
      <c r="N99" s="389" t="s">
        <v>385</v>
      </c>
      <c r="O99" s="389"/>
      <c r="P99" s="389">
        <v>132.75</v>
      </c>
      <c r="Q99" s="394">
        <v>17.21</v>
      </c>
      <c r="R99" s="418">
        <v>17.20675</v>
      </c>
      <c r="S99" s="416">
        <v>688.27</v>
      </c>
      <c r="T99" s="389">
        <v>688.27</v>
      </c>
      <c r="U99" s="386" t="s">
        <v>236</v>
      </c>
      <c r="V99" s="386" t="s">
        <v>330</v>
      </c>
    </row>
    <row r="100" spans="1:33" ht="26.45" customHeight="1">
      <c r="A100" s="386">
        <v>93</v>
      </c>
      <c r="B100" s="387" t="s">
        <v>315</v>
      </c>
      <c r="C100" s="390" t="s">
        <v>233</v>
      </c>
      <c r="D100" s="427" t="s">
        <v>427</v>
      </c>
      <c r="E100" s="427" t="s">
        <v>442</v>
      </c>
      <c r="F100" s="386" t="s">
        <v>281</v>
      </c>
      <c r="G100" s="386" t="s">
        <v>282</v>
      </c>
      <c r="H100" s="387">
        <v>40</v>
      </c>
      <c r="I100" s="387" t="s">
        <v>226</v>
      </c>
      <c r="J100" s="397">
        <v>23.56</v>
      </c>
      <c r="K100" s="389" t="s">
        <v>382</v>
      </c>
      <c r="L100" s="389" t="s">
        <v>383</v>
      </c>
      <c r="M100" s="393" t="s">
        <v>384</v>
      </c>
      <c r="N100" s="389" t="s">
        <v>385</v>
      </c>
      <c r="O100" s="389"/>
      <c r="P100" s="389">
        <v>132.75</v>
      </c>
      <c r="Q100" s="394">
        <v>17.21</v>
      </c>
      <c r="R100" s="418">
        <v>17.20675</v>
      </c>
      <c r="S100" s="416">
        <v>688.27</v>
      </c>
      <c r="T100" s="389">
        <v>688.27</v>
      </c>
      <c r="U100" s="386" t="s">
        <v>237</v>
      </c>
      <c r="V100" s="386" t="s">
        <v>330</v>
      </c>
    </row>
    <row r="101" spans="1:33" ht="26.45" customHeight="1">
      <c r="A101" s="386">
        <v>94</v>
      </c>
      <c r="B101" s="387" t="s">
        <v>316</v>
      </c>
      <c r="C101" s="390" t="s">
        <v>359</v>
      </c>
      <c r="D101" s="427" t="s">
        <v>477</v>
      </c>
      <c r="E101" s="427" t="s">
        <v>438</v>
      </c>
      <c r="F101" s="386" t="s">
        <v>281</v>
      </c>
      <c r="G101" s="386" t="s">
        <v>282</v>
      </c>
      <c r="H101" s="387">
        <v>2</v>
      </c>
      <c r="I101" s="387" t="s">
        <v>188</v>
      </c>
      <c r="J101" s="397">
        <v>23</v>
      </c>
      <c r="K101" s="389" t="s">
        <v>382</v>
      </c>
      <c r="L101" s="389" t="s">
        <v>383</v>
      </c>
      <c r="M101" s="393" t="s">
        <v>384</v>
      </c>
      <c r="N101" s="389" t="s">
        <v>385</v>
      </c>
      <c r="O101" s="389" t="str">
        <f>CONCATENATE(K101,H101,I101,M101,J101,N101)</f>
        <v>, (2SETS=23kg</v>
      </c>
      <c r="P101" s="389">
        <v>23</v>
      </c>
      <c r="Q101" s="394">
        <v>59.63</v>
      </c>
      <c r="R101" s="415">
        <v>59.625</v>
      </c>
      <c r="S101" s="416">
        <v>119.25</v>
      </c>
      <c r="T101" s="389">
        <v>119.25</v>
      </c>
      <c r="U101" s="386" t="s">
        <v>238</v>
      </c>
      <c r="V101" s="386" t="s">
        <v>330</v>
      </c>
    </row>
    <row r="102" spans="1:33" ht="26.45" customHeight="1">
      <c r="A102" s="386">
        <v>95</v>
      </c>
      <c r="B102" s="387" t="s">
        <v>317</v>
      </c>
      <c r="C102" s="390" t="s">
        <v>361</v>
      </c>
      <c r="D102" s="427" t="s">
        <v>478</v>
      </c>
      <c r="E102" s="427" t="s">
        <v>439</v>
      </c>
      <c r="F102" s="386" t="s">
        <v>281</v>
      </c>
      <c r="G102" s="386" t="s">
        <v>282</v>
      </c>
      <c r="H102" s="387">
        <v>24</v>
      </c>
      <c r="I102" s="387" t="s">
        <v>188</v>
      </c>
      <c r="J102" s="397">
        <v>356.46</v>
      </c>
      <c r="K102" s="389" t="s">
        <v>382</v>
      </c>
      <c r="L102" s="389" t="s">
        <v>383</v>
      </c>
      <c r="M102" s="393" t="s">
        <v>384</v>
      </c>
      <c r="N102" s="389" t="s">
        <v>385</v>
      </c>
      <c r="O102" s="389"/>
      <c r="P102" s="389">
        <v>105.5</v>
      </c>
      <c r="Q102" s="394">
        <v>22.79</v>
      </c>
      <c r="R102" s="418">
        <v>22.791250000000002</v>
      </c>
      <c r="S102" s="416">
        <v>546.99</v>
      </c>
      <c r="T102" s="389">
        <v>546.99</v>
      </c>
      <c r="U102" s="386" t="s">
        <v>239</v>
      </c>
      <c r="V102" s="386" t="s">
        <v>330</v>
      </c>
    </row>
    <row r="103" spans="1:33" ht="26.45" customHeight="1">
      <c r="A103" s="386">
        <v>96</v>
      </c>
      <c r="B103" s="387" t="s">
        <v>317</v>
      </c>
      <c r="C103" s="390" t="s">
        <v>363</v>
      </c>
      <c r="D103" s="427" t="s">
        <v>430</v>
      </c>
      <c r="E103" s="427" t="s">
        <v>440</v>
      </c>
      <c r="F103" s="386" t="s">
        <v>281</v>
      </c>
      <c r="G103" s="386" t="s">
        <v>282</v>
      </c>
      <c r="H103" s="387">
        <v>24</v>
      </c>
      <c r="I103" s="387" t="s">
        <v>226</v>
      </c>
      <c r="J103" s="397">
        <v>37.25</v>
      </c>
      <c r="K103" s="389" t="s">
        <v>382</v>
      </c>
      <c r="L103" s="389" t="s">
        <v>383</v>
      </c>
      <c r="M103" s="393" t="s">
        <v>384</v>
      </c>
      <c r="N103" s="389" t="s">
        <v>385</v>
      </c>
      <c r="O103" s="389"/>
      <c r="P103" s="389">
        <v>105.5</v>
      </c>
      <c r="Q103" s="394">
        <v>22.79</v>
      </c>
      <c r="R103" s="418">
        <v>22.791250000000002</v>
      </c>
      <c r="S103" s="416">
        <v>546.99</v>
      </c>
      <c r="T103" s="389">
        <v>546.99</v>
      </c>
      <c r="U103" s="386" t="s">
        <v>240</v>
      </c>
      <c r="V103" s="386" t="s">
        <v>330</v>
      </c>
    </row>
    <row r="104" spans="1:33" ht="26.45" customHeight="1">
      <c r="A104" s="386">
        <v>97</v>
      </c>
      <c r="B104" s="387" t="s">
        <v>317</v>
      </c>
      <c r="C104" s="390" t="s">
        <v>364</v>
      </c>
      <c r="D104" s="427" t="s">
        <v>426</v>
      </c>
      <c r="E104" s="427" t="s">
        <v>441</v>
      </c>
      <c r="F104" s="386" t="s">
        <v>281</v>
      </c>
      <c r="G104" s="386" t="s">
        <v>282</v>
      </c>
      <c r="H104" s="387">
        <v>24</v>
      </c>
      <c r="I104" s="387" t="s">
        <v>226</v>
      </c>
      <c r="J104" s="397">
        <v>6.69</v>
      </c>
      <c r="K104" s="389" t="s">
        <v>382</v>
      </c>
      <c r="L104" s="389" t="s">
        <v>383</v>
      </c>
      <c r="M104" s="393" t="s">
        <v>384</v>
      </c>
      <c r="N104" s="389" t="s">
        <v>385</v>
      </c>
      <c r="O104" s="389"/>
      <c r="P104" s="389">
        <v>105.5</v>
      </c>
      <c r="Q104" s="394">
        <v>22.79</v>
      </c>
      <c r="R104" s="418">
        <v>22.791250000000002</v>
      </c>
      <c r="S104" s="416">
        <v>546.99</v>
      </c>
      <c r="T104" s="389">
        <v>546.99</v>
      </c>
      <c r="U104" s="386" t="s">
        <v>241</v>
      </c>
      <c r="V104" s="386" t="s">
        <v>330</v>
      </c>
    </row>
    <row r="105" spans="1:33" ht="26.45" customHeight="1">
      <c r="A105" s="386">
        <v>98</v>
      </c>
      <c r="B105" s="387" t="s">
        <v>317</v>
      </c>
      <c r="C105" s="390" t="s">
        <v>366</v>
      </c>
      <c r="D105" s="427" t="s">
        <v>479</v>
      </c>
      <c r="E105" s="427" t="s">
        <v>442</v>
      </c>
      <c r="F105" s="386" t="s">
        <v>281</v>
      </c>
      <c r="G105" s="386" t="s">
        <v>282</v>
      </c>
      <c r="H105" s="387">
        <v>24</v>
      </c>
      <c r="I105" s="387" t="s">
        <v>226</v>
      </c>
      <c r="J105" s="397">
        <v>21.6</v>
      </c>
      <c r="K105" s="389" t="s">
        <v>382</v>
      </c>
      <c r="L105" s="389" t="s">
        <v>383</v>
      </c>
      <c r="M105" s="393" t="s">
        <v>384</v>
      </c>
      <c r="N105" s="389" t="s">
        <v>385</v>
      </c>
      <c r="O105" s="389"/>
      <c r="P105" s="389">
        <v>105.5</v>
      </c>
      <c r="Q105" s="394">
        <f>ROUND(T105/H105,2)</f>
        <v>4.5599999999999996</v>
      </c>
      <c r="R105" s="419">
        <v>4.5583340000000003</v>
      </c>
      <c r="S105" s="416">
        <v>109.4</v>
      </c>
      <c r="T105" s="389">
        <v>109.4</v>
      </c>
      <c r="U105" s="386" t="s">
        <v>242</v>
      </c>
      <c r="V105" s="386" t="s">
        <v>330</v>
      </c>
    </row>
    <row r="106" spans="1:33" ht="26.45" customHeight="1">
      <c r="A106" s="386">
        <v>99</v>
      </c>
      <c r="B106" s="387" t="s">
        <v>318</v>
      </c>
      <c r="C106" s="390" t="s">
        <v>368</v>
      </c>
      <c r="D106" s="427" t="s">
        <v>480</v>
      </c>
      <c r="E106" s="427" t="s">
        <v>439</v>
      </c>
      <c r="F106" s="386" t="s">
        <v>281</v>
      </c>
      <c r="G106" s="386" t="s">
        <v>282</v>
      </c>
      <c r="H106" s="387">
        <v>11</v>
      </c>
      <c r="I106" s="387" t="s">
        <v>188</v>
      </c>
      <c r="J106" s="397">
        <v>90.02</v>
      </c>
      <c r="K106" s="389" t="s">
        <v>382</v>
      </c>
      <c r="L106" s="389" t="s">
        <v>383</v>
      </c>
      <c r="M106" s="393" t="s">
        <v>384</v>
      </c>
      <c r="N106" s="389" t="s">
        <v>385</v>
      </c>
      <c r="O106" s="389"/>
      <c r="P106" s="389">
        <v>38.966101694915253</v>
      </c>
      <c r="Q106" s="394">
        <f>ROUND(T106/H106,2)</f>
        <v>3.67</v>
      </c>
      <c r="R106" s="419">
        <v>3.6736369999999998</v>
      </c>
      <c r="S106" s="416">
        <v>40.409999999999997</v>
      </c>
      <c r="T106" s="389">
        <v>40.409999999999997</v>
      </c>
      <c r="U106" s="386" t="s">
        <v>244</v>
      </c>
      <c r="V106" s="386" t="s">
        <v>330</v>
      </c>
    </row>
    <row r="107" spans="1:33" ht="26.45" customHeight="1">
      <c r="A107" s="386">
        <v>100</v>
      </c>
      <c r="B107" s="387" t="s">
        <v>318</v>
      </c>
      <c r="C107" s="390" t="s">
        <v>370</v>
      </c>
      <c r="D107" s="427" t="s">
        <v>433</v>
      </c>
      <c r="E107" s="427" t="s">
        <v>440</v>
      </c>
      <c r="F107" s="386" t="s">
        <v>281</v>
      </c>
      <c r="G107" s="386" t="s">
        <v>282</v>
      </c>
      <c r="H107" s="387">
        <v>22</v>
      </c>
      <c r="I107" s="387" t="s">
        <v>226</v>
      </c>
      <c r="J107" s="397">
        <v>26.88</v>
      </c>
      <c r="K107" s="389" t="s">
        <v>382</v>
      </c>
      <c r="L107" s="389" t="s">
        <v>383</v>
      </c>
      <c r="M107" s="393" t="s">
        <v>384</v>
      </c>
      <c r="N107" s="389" t="s">
        <v>385</v>
      </c>
      <c r="O107" s="389"/>
      <c r="P107" s="399">
        <v>77.932203389830505</v>
      </c>
      <c r="Q107" s="394">
        <f>ROUND(T107/H107,2)</f>
        <v>18.37</v>
      </c>
      <c r="R107" s="419">
        <v>18.366364000000001</v>
      </c>
      <c r="S107" s="416">
        <v>404.06</v>
      </c>
      <c r="T107" s="389">
        <v>404.06</v>
      </c>
      <c r="U107" s="389" t="s">
        <v>245</v>
      </c>
      <c r="V107" s="389" t="s">
        <v>330</v>
      </c>
    </row>
    <row r="108" spans="1:33" ht="26.45" customHeight="1">
      <c r="A108" s="386">
        <v>101</v>
      </c>
      <c r="B108" s="387" t="s">
        <v>318</v>
      </c>
      <c r="C108" s="390" t="s">
        <v>233</v>
      </c>
      <c r="D108" s="427" t="s">
        <v>434</v>
      </c>
      <c r="E108" s="427" t="s">
        <v>442</v>
      </c>
      <c r="F108" s="386" t="s">
        <v>281</v>
      </c>
      <c r="G108" s="386" t="s">
        <v>282</v>
      </c>
      <c r="H108" s="387">
        <v>11</v>
      </c>
      <c r="I108" s="387" t="s">
        <v>226</v>
      </c>
      <c r="J108" s="397">
        <v>6.28</v>
      </c>
      <c r="K108" s="389" t="s">
        <v>382</v>
      </c>
      <c r="L108" s="389" t="s">
        <v>383</v>
      </c>
      <c r="M108" s="393" t="s">
        <v>384</v>
      </c>
      <c r="N108" s="389" t="s">
        <v>385</v>
      </c>
      <c r="O108" s="389"/>
      <c r="P108" s="399">
        <v>38.966101694915253</v>
      </c>
      <c r="Q108" s="394">
        <v>18.37</v>
      </c>
      <c r="R108" s="419">
        <v>18.367273000000001</v>
      </c>
      <c r="S108" s="416">
        <v>202.04</v>
      </c>
      <c r="T108" s="389">
        <v>202.04</v>
      </c>
      <c r="U108" s="389" t="s">
        <v>247</v>
      </c>
      <c r="V108" s="389" t="s">
        <v>330</v>
      </c>
    </row>
    <row r="109" spans="1:33" ht="26.45" customHeight="1">
      <c r="A109" s="386">
        <v>102</v>
      </c>
      <c r="B109" s="387" t="s">
        <v>318</v>
      </c>
      <c r="C109" s="390" t="s">
        <v>177</v>
      </c>
      <c r="D109" s="427" t="s">
        <v>481</v>
      </c>
      <c r="E109" s="427" t="s">
        <v>438</v>
      </c>
      <c r="F109" s="386" t="s">
        <v>281</v>
      </c>
      <c r="G109" s="386" t="s">
        <v>282</v>
      </c>
      <c r="H109" s="387">
        <v>4</v>
      </c>
      <c r="I109" s="387" t="s">
        <v>188</v>
      </c>
      <c r="J109" s="397">
        <v>69.819999999999993</v>
      </c>
      <c r="K109" s="389" t="s">
        <v>382</v>
      </c>
      <c r="L109" s="389" t="s">
        <v>383</v>
      </c>
      <c r="M109" s="393" t="s">
        <v>384</v>
      </c>
      <c r="N109" s="389" t="s">
        <v>385</v>
      </c>
      <c r="O109" s="389" t="str">
        <f>CONCATENATE(K109,H109,I109,M109,J109,N109,L109)</f>
        <v>, (4SETS=69,82kg)</v>
      </c>
      <c r="P109" s="399">
        <v>14.169491525423728</v>
      </c>
      <c r="Q109" s="394">
        <v>18.37</v>
      </c>
      <c r="R109" s="421">
        <v>18.3675</v>
      </c>
      <c r="S109" s="416">
        <v>73.47</v>
      </c>
      <c r="T109" s="389">
        <v>73.47</v>
      </c>
      <c r="U109" s="389" t="s">
        <v>248</v>
      </c>
      <c r="V109" s="389" t="s">
        <v>330</v>
      </c>
    </row>
    <row r="110" spans="1:33" ht="26.45" customHeight="1">
      <c r="A110" s="386">
        <v>103</v>
      </c>
      <c r="B110" s="387" t="s">
        <v>318</v>
      </c>
      <c r="C110" s="390" t="s">
        <v>243</v>
      </c>
      <c r="D110" s="428" t="s">
        <v>436</v>
      </c>
      <c r="E110" s="428" t="s">
        <v>441</v>
      </c>
      <c r="F110" s="386" t="s">
        <v>281</v>
      </c>
      <c r="G110" s="386" t="s">
        <v>282</v>
      </c>
      <c r="H110" s="387">
        <v>11</v>
      </c>
      <c r="I110" s="387" t="s">
        <v>226</v>
      </c>
      <c r="J110" s="397">
        <v>16</v>
      </c>
      <c r="K110" s="389" t="s">
        <v>382</v>
      </c>
      <c r="L110" s="389" t="s">
        <v>383</v>
      </c>
      <c r="M110" s="393" t="s">
        <v>384</v>
      </c>
      <c r="N110" s="389" t="s">
        <v>385</v>
      </c>
      <c r="O110" s="389"/>
      <c r="P110" s="399">
        <v>38.966101694915253</v>
      </c>
      <c r="Q110" s="394">
        <f>ROUND(T110/H110,2)</f>
        <v>3.67</v>
      </c>
      <c r="R110" s="419">
        <v>3.6736369999999998</v>
      </c>
      <c r="S110" s="416">
        <v>40.409999999999997</v>
      </c>
      <c r="T110" s="389">
        <v>40.409999999999997</v>
      </c>
      <c r="U110" s="389" t="s">
        <v>246</v>
      </c>
      <c r="V110" s="389" t="s">
        <v>330</v>
      </c>
      <c r="AG110" s="378" t="s">
        <v>372</v>
      </c>
    </row>
    <row r="111" spans="1:33" s="409" customFormat="1" ht="26.45" customHeight="1">
      <c r="A111" s="402"/>
      <c r="B111" s="402"/>
      <c r="C111" s="402"/>
      <c r="D111" s="402"/>
      <c r="E111" s="403"/>
      <c r="F111" s="404"/>
      <c r="G111" s="405"/>
      <c r="H111" s="522" t="s">
        <v>142</v>
      </c>
      <c r="I111" s="522"/>
      <c r="J111" s="522"/>
      <c r="K111" s="522"/>
      <c r="L111" s="522"/>
      <c r="M111" s="522"/>
      <c r="N111" s="522"/>
      <c r="O111" s="522"/>
      <c r="P111" s="522"/>
      <c r="Q111" s="522"/>
      <c r="R111" s="429"/>
      <c r="S111" s="430">
        <f>SUM(S8:S110)</f>
        <v>141543.18999999992</v>
      </c>
      <c r="T111" s="406">
        <f>SUM(T8:T110)</f>
        <v>141543.19000000003</v>
      </c>
      <c r="U111" s="406"/>
      <c r="V111" s="406"/>
      <c r="W111" s="407" t="e">
        <f>ROUND(#REF!/SUM(#REF!),5)*#REF!</f>
        <v>#REF!</v>
      </c>
      <c r="X111" s="408"/>
      <c r="AF111" s="410"/>
    </row>
    <row r="112" spans="1:33" s="409" customFormat="1" ht="26.45" customHeight="1">
      <c r="A112" s="378"/>
      <c r="B112" s="378"/>
      <c r="C112" s="378"/>
      <c r="D112" s="378"/>
      <c r="E112" s="379"/>
      <c r="F112" s="378"/>
      <c r="G112" s="378"/>
      <c r="H112" s="379"/>
      <c r="I112" s="379"/>
      <c r="J112" s="379"/>
      <c r="K112" s="379"/>
      <c r="L112" s="379"/>
      <c r="M112" s="379"/>
      <c r="N112" s="379"/>
      <c r="O112" s="379"/>
      <c r="P112" s="380"/>
      <c r="Q112" s="378"/>
      <c r="R112" s="420"/>
      <c r="S112" s="378"/>
      <c r="T112" s="378"/>
      <c r="U112" s="378"/>
      <c r="V112" s="378"/>
      <c r="W112" s="411" t="e">
        <f>ROUND($X$112/SUM(#REF!),5)*#REF!</f>
        <v>#REF!</v>
      </c>
      <c r="X112" s="412">
        <v>9817.5</v>
      </c>
      <c r="AF112" s="410"/>
    </row>
    <row r="113" spans="1:32" s="409" customFormat="1" ht="26.45" customHeight="1">
      <c r="A113" s="378"/>
      <c r="B113" s="378"/>
      <c r="C113" s="378"/>
      <c r="D113" s="378"/>
      <c r="E113" s="379"/>
      <c r="F113" s="378"/>
      <c r="G113" s="378"/>
      <c r="H113" s="379"/>
      <c r="I113" s="379"/>
      <c r="J113" s="379"/>
      <c r="K113" s="379"/>
      <c r="L113" s="379"/>
      <c r="M113" s="379"/>
      <c r="N113" s="379"/>
      <c r="O113" s="379"/>
      <c r="P113" s="380"/>
      <c r="Q113" s="378"/>
      <c r="R113" s="420"/>
      <c r="S113" s="378"/>
      <c r="T113" s="378"/>
      <c r="U113" s="378"/>
      <c r="V113" s="378"/>
      <c r="W113" s="411" t="e">
        <f>ROUND($X$112/SUM(#REF!),5)*#REF!</f>
        <v>#REF!</v>
      </c>
      <c r="Y113" s="413"/>
      <c r="AF113" s="410"/>
    </row>
    <row r="114" spans="1:32" s="409" customFormat="1" ht="26.45" customHeight="1">
      <c r="A114" s="378"/>
      <c r="B114" s="378"/>
      <c r="C114" s="378"/>
      <c r="D114" s="378"/>
      <c r="E114" s="379"/>
      <c r="F114" s="378"/>
      <c r="G114" s="378"/>
      <c r="H114" s="379"/>
      <c r="I114" s="379"/>
      <c r="J114" s="379"/>
      <c r="K114" s="379"/>
      <c r="L114" s="379"/>
      <c r="M114" s="379"/>
      <c r="N114" s="379"/>
      <c r="O114" s="379"/>
      <c r="P114" s="380"/>
      <c r="Q114" s="378"/>
      <c r="R114" s="420"/>
      <c r="S114" s="378"/>
      <c r="T114" s="395">
        <f>S111-T111</f>
        <v>0</v>
      </c>
      <c r="U114" s="378"/>
      <c r="V114" s="378"/>
      <c r="X114" s="412">
        <f>SUM(AE6:AE7)</f>
        <v>26775</v>
      </c>
      <c r="AF114" s="410"/>
    </row>
    <row r="115" spans="1:32" s="409" customFormat="1" ht="26.45" customHeight="1">
      <c r="A115" s="378"/>
      <c r="B115" s="378"/>
      <c r="C115" s="378"/>
      <c r="D115" s="378"/>
      <c r="E115" s="379"/>
      <c r="F115" s="378"/>
      <c r="G115" s="378"/>
      <c r="H115" s="379"/>
      <c r="I115" s="379"/>
      <c r="J115" s="379"/>
      <c r="K115" s="379"/>
      <c r="L115" s="379"/>
      <c r="M115" s="379"/>
      <c r="N115" s="379"/>
      <c r="O115" s="379"/>
      <c r="P115" s="380"/>
      <c r="Q115" s="378"/>
      <c r="R115" s="420"/>
      <c r="S115" s="378"/>
      <c r="T115" s="378"/>
      <c r="U115" s="378"/>
      <c r="V115" s="378"/>
      <c r="X115" s="412">
        <v>14280</v>
      </c>
      <c r="AF115" s="410"/>
    </row>
    <row r="116" spans="1:32" s="409" customFormat="1" ht="26.45" customHeight="1">
      <c r="A116" s="378"/>
      <c r="B116" s="378"/>
      <c r="C116" s="378"/>
      <c r="D116" s="378"/>
      <c r="E116" s="379"/>
      <c r="F116" s="378"/>
      <c r="G116" s="378"/>
      <c r="H116" s="379"/>
      <c r="I116" s="379"/>
      <c r="J116" s="379"/>
      <c r="K116" s="379"/>
      <c r="L116" s="379"/>
      <c r="M116" s="379"/>
      <c r="N116" s="379"/>
      <c r="O116" s="379"/>
      <c r="P116" s="380"/>
      <c r="Q116" s="378"/>
      <c r="R116" s="420"/>
      <c r="S116" s="378"/>
      <c r="T116" s="417"/>
      <c r="U116" s="378"/>
      <c r="V116" s="378"/>
      <c r="W116" s="411" t="e">
        <f>ROUND($X$116/SUM(#REF!),5)*#REF!</f>
        <v>#REF!</v>
      </c>
      <c r="X116" s="412">
        <v>9817.5</v>
      </c>
      <c r="AF116" s="410"/>
    </row>
    <row r="117" spans="1:32" s="409" customFormat="1" ht="26.45" customHeight="1">
      <c r="A117" s="378"/>
      <c r="B117" s="378"/>
      <c r="C117" s="378"/>
      <c r="D117" s="378"/>
      <c r="E117" s="379"/>
      <c r="F117" s="378"/>
      <c r="G117" s="378"/>
      <c r="H117" s="379"/>
      <c r="I117" s="379"/>
      <c r="J117" s="379"/>
      <c r="K117" s="379"/>
      <c r="L117" s="379"/>
      <c r="M117" s="379"/>
      <c r="N117" s="379"/>
      <c r="O117" s="379"/>
      <c r="P117" s="380"/>
      <c r="Q117" s="378"/>
      <c r="R117" s="420"/>
      <c r="S117" s="378"/>
      <c r="T117" s="378"/>
      <c r="U117" s="378"/>
      <c r="V117" s="378"/>
      <c r="W117" s="411" t="e">
        <f>ROUND($X$116/SUM(#REF!),5)*#REF!</f>
        <v>#REF!</v>
      </c>
      <c r="X117" s="412"/>
      <c r="AF117" s="410"/>
    </row>
    <row r="118" spans="1:32" s="409" customFormat="1" ht="26.45" customHeight="1">
      <c r="A118" s="378"/>
      <c r="B118" s="378"/>
      <c r="C118" s="378"/>
      <c r="D118" s="378"/>
      <c r="E118" s="379"/>
      <c r="F118" s="378"/>
      <c r="G118" s="378"/>
      <c r="H118" s="379"/>
      <c r="I118" s="379"/>
      <c r="J118" s="379"/>
      <c r="K118" s="379"/>
      <c r="L118" s="379"/>
      <c r="M118" s="379"/>
      <c r="N118" s="379"/>
      <c r="O118" s="379"/>
      <c r="P118" s="380"/>
      <c r="Q118" s="378"/>
      <c r="R118" s="420"/>
      <c r="S118" s="378"/>
      <c r="T118" s="378"/>
      <c r="U118" s="378"/>
      <c r="V118" s="378"/>
      <c r="W118" s="411" t="e">
        <f>ROUND($X$116/SUM(#REF!),5)*#REF!</f>
        <v>#REF!</v>
      </c>
      <c r="X118" s="412"/>
      <c r="AF118" s="410"/>
    </row>
    <row r="119" spans="1:32" s="409" customFormat="1" ht="26.45" customHeight="1">
      <c r="A119" s="378"/>
      <c r="B119" s="378"/>
      <c r="C119" s="378"/>
      <c r="D119" s="378"/>
      <c r="E119" s="379"/>
      <c r="F119" s="378"/>
      <c r="G119" s="378"/>
      <c r="H119" s="379"/>
      <c r="I119" s="379"/>
      <c r="J119" s="379"/>
      <c r="K119" s="379"/>
      <c r="L119" s="379"/>
      <c r="M119" s="379"/>
      <c r="N119" s="379"/>
      <c r="O119" s="379"/>
      <c r="P119" s="380"/>
      <c r="Q119" s="378"/>
      <c r="R119" s="420"/>
      <c r="S119" s="378"/>
      <c r="T119" s="378"/>
      <c r="U119" s="378"/>
      <c r="V119" s="378"/>
      <c r="W119" s="411" t="e">
        <f>ROUND($X$116/SUM(#REF!),5)*#REF!</f>
        <v>#REF!</v>
      </c>
      <c r="X119" s="412"/>
      <c r="AF119" s="410"/>
    </row>
    <row r="120" spans="1:32" s="409" customFormat="1" ht="26.45" customHeight="1">
      <c r="A120" s="378"/>
      <c r="B120" s="378"/>
      <c r="C120" s="378"/>
      <c r="D120" s="378"/>
      <c r="E120" s="379"/>
      <c r="F120" s="378"/>
      <c r="G120" s="378"/>
      <c r="H120" s="379"/>
      <c r="I120" s="379"/>
      <c r="J120" s="379"/>
      <c r="K120" s="379"/>
      <c r="L120" s="379"/>
      <c r="M120" s="379"/>
      <c r="N120" s="379"/>
      <c r="O120" s="379"/>
      <c r="P120" s="380"/>
      <c r="Q120" s="378"/>
      <c r="R120" s="420"/>
      <c r="S120" s="378"/>
      <c r="T120" s="378"/>
      <c r="U120" s="378"/>
      <c r="V120" s="378"/>
      <c r="W120" s="411" t="e">
        <f>ROUND($X$116/SUM(#REF!),5)*#REF!</f>
        <v>#REF!</v>
      </c>
      <c r="X120" s="412"/>
      <c r="AF120" s="410"/>
    </row>
    <row r="121" spans="1:32" s="409" customFormat="1" ht="26.45" customHeight="1">
      <c r="A121" s="378"/>
      <c r="B121" s="378"/>
      <c r="C121" s="378"/>
      <c r="D121" s="378"/>
      <c r="E121" s="379"/>
      <c r="F121" s="378"/>
      <c r="G121" s="378"/>
      <c r="H121" s="379"/>
      <c r="I121" s="379"/>
      <c r="J121" s="379"/>
      <c r="K121" s="379"/>
      <c r="L121" s="379"/>
      <c r="M121" s="379"/>
      <c r="N121" s="379"/>
      <c r="O121" s="379"/>
      <c r="P121" s="380"/>
      <c r="Q121" s="378"/>
      <c r="R121" s="420"/>
      <c r="S121" s="378"/>
      <c r="T121" s="378"/>
      <c r="U121" s="378"/>
      <c r="V121" s="378"/>
      <c r="W121" s="411" t="e">
        <f>ROUND($X$116/SUM(#REF!),5)*#REF!</f>
        <v>#REF!</v>
      </c>
      <c r="X121" s="412"/>
      <c r="AF121" s="410"/>
    </row>
    <row r="122" spans="1:32" s="409" customFormat="1" ht="26.45" customHeight="1">
      <c r="A122" s="378"/>
      <c r="B122" s="378"/>
      <c r="C122" s="378"/>
      <c r="D122" s="378"/>
      <c r="E122" s="379"/>
      <c r="F122" s="378"/>
      <c r="G122" s="378"/>
      <c r="H122" s="379"/>
      <c r="I122" s="379"/>
      <c r="J122" s="379"/>
      <c r="K122" s="379"/>
      <c r="L122" s="379"/>
      <c r="M122" s="379"/>
      <c r="N122" s="379"/>
      <c r="O122" s="379"/>
      <c r="P122" s="380"/>
      <c r="Q122" s="378"/>
      <c r="R122" s="420"/>
      <c r="S122" s="378"/>
      <c r="T122" s="378"/>
      <c r="U122" s="378"/>
      <c r="V122" s="378"/>
      <c r="W122" s="411" t="e">
        <f>ROUND($X$116/SUM(#REF!),5)*#REF!</f>
        <v>#REF!</v>
      </c>
      <c r="X122" s="412"/>
      <c r="AF122" s="410"/>
    </row>
    <row r="123" spans="1:32" s="409" customFormat="1" ht="26.45" customHeight="1">
      <c r="A123" s="378"/>
      <c r="B123" s="378"/>
      <c r="C123" s="378"/>
      <c r="D123" s="378"/>
      <c r="E123" s="379"/>
      <c r="F123" s="378"/>
      <c r="G123" s="378"/>
      <c r="H123" s="379"/>
      <c r="I123" s="379"/>
      <c r="J123" s="379"/>
      <c r="K123" s="379"/>
      <c r="L123" s="379"/>
      <c r="M123" s="379"/>
      <c r="N123" s="379"/>
      <c r="O123" s="379"/>
      <c r="P123" s="380"/>
      <c r="Q123" s="378"/>
      <c r="R123" s="420"/>
      <c r="S123" s="378"/>
      <c r="T123" s="378"/>
      <c r="U123" s="378"/>
      <c r="V123" s="378"/>
      <c r="W123" s="411" t="e">
        <f>ROUND($X$116/SUM(#REF!),5)*#REF!</f>
        <v>#REF!</v>
      </c>
      <c r="X123" s="412"/>
      <c r="AF123" s="410"/>
    </row>
    <row r="124" spans="1:32" s="409" customFormat="1" ht="26.45" customHeight="1">
      <c r="A124" s="378"/>
      <c r="B124" s="378"/>
      <c r="C124" s="378"/>
      <c r="D124" s="378"/>
      <c r="E124" s="379"/>
      <c r="F124" s="378"/>
      <c r="G124" s="378"/>
      <c r="H124" s="379"/>
      <c r="I124" s="379"/>
      <c r="J124" s="379"/>
      <c r="K124" s="379"/>
      <c r="L124" s="379"/>
      <c r="M124" s="379"/>
      <c r="N124" s="379"/>
      <c r="O124" s="379"/>
      <c r="P124" s="380"/>
      <c r="Q124" s="378"/>
      <c r="R124" s="420"/>
      <c r="S124" s="378"/>
      <c r="T124" s="378"/>
      <c r="U124" s="378"/>
      <c r="V124" s="378"/>
      <c r="W124" s="411" t="e">
        <f>ROUND($X$124/SUM(#REF!),5)*#REF!</f>
        <v>#REF!</v>
      </c>
      <c r="X124" s="412">
        <v>15172.5</v>
      </c>
      <c r="AF124" s="410"/>
    </row>
    <row r="125" spans="1:32" s="409" customFormat="1" ht="26.45" customHeight="1">
      <c r="A125" s="378"/>
      <c r="B125" s="378"/>
      <c r="C125" s="378"/>
      <c r="D125" s="378"/>
      <c r="E125" s="379"/>
      <c r="F125" s="378"/>
      <c r="G125" s="378"/>
      <c r="H125" s="379"/>
      <c r="I125" s="379"/>
      <c r="J125" s="379"/>
      <c r="K125" s="379"/>
      <c r="L125" s="379"/>
      <c r="M125" s="379"/>
      <c r="N125" s="379"/>
      <c r="O125" s="379"/>
      <c r="P125" s="380"/>
      <c r="Q125" s="378"/>
      <c r="R125" s="420"/>
      <c r="S125" s="378"/>
      <c r="T125" s="378"/>
      <c r="U125" s="378"/>
      <c r="V125" s="378"/>
      <c r="W125" s="411" t="e">
        <f>ROUND($X$124/SUM(#REF!),5)*#REF!</f>
        <v>#REF!</v>
      </c>
      <c r="X125" s="412"/>
      <c r="Z125" s="409">
        <v>122.5</v>
      </c>
      <c r="AF125" s="410"/>
    </row>
    <row r="126" spans="1:32" s="409" customFormat="1" ht="26.45" customHeight="1">
      <c r="A126" s="378"/>
      <c r="B126" s="378"/>
      <c r="C126" s="378"/>
      <c r="D126" s="378"/>
      <c r="E126" s="379"/>
      <c r="F126" s="378"/>
      <c r="G126" s="378"/>
      <c r="H126" s="379"/>
      <c r="I126" s="379"/>
      <c r="J126" s="379"/>
      <c r="K126" s="379"/>
      <c r="L126" s="379"/>
      <c r="M126" s="379"/>
      <c r="N126" s="379"/>
      <c r="O126" s="379"/>
      <c r="P126" s="380"/>
      <c r="Q126" s="378"/>
      <c r="R126" s="420"/>
      <c r="S126" s="378"/>
      <c r="T126" s="378"/>
      <c r="U126" s="378"/>
      <c r="V126" s="378"/>
      <c r="W126" s="411" t="e">
        <f>ROUND($X$124/SUM(#REF!),5)*#REF!</f>
        <v>#REF!</v>
      </c>
      <c r="X126" s="412"/>
      <c r="AF126" s="410"/>
    </row>
    <row r="127" spans="1:32" s="409" customFormat="1" ht="26.45" customHeight="1">
      <c r="A127" s="378"/>
      <c r="B127" s="378"/>
      <c r="C127" s="378"/>
      <c r="D127" s="378"/>
      <c r="E127" s="379"/>
      <c r="F127" s="378"/>
      <c r="G127" s="378"/>
      <c r="H127" s="379"/>
      <c r="I127" s="379"/>
      <c r="J127" s="379"/>
      <c r="K127" s="379"/>
      <c r="L127" s="379"/>
      <c r="M127" s="379"/>
      <c r="N127" s="379"/>
      <c r="O127" s="379"/>
      <c r="P127" s="380"/>
      <c r="Q127" s="378"/>
      <c r="R127" s="420"/>
      <c r="S127" s="378"/>
      <c r="T127" s="378"/>
      <c r="U127" s="378"/>
      <c r="V127" s="378"/>
      <c r="W127" s="411" t="e">
        <f>ROUND($X$124/SUM(#REF!),5)*#REF!</f>
        <v>#REF!</v>
      </c>
      <c r="X127" s="412"/>
      <c r="AF127" s="410"/>
    </row>
    <row r="128" spans="1:32" s="409" customFormat="1" ht="26.45" customHeight="1">
      <c r="A128" s="378"/>
      <c r="B128" s="378"/>
      <c r="C128" s="378"/>
      <c r="D128" s="378"/>
      <c r="E128" s="379"/>
      <c r="F128" s="378"/>
      <c r="G128" s="378"/>
      <c r="H128" s="379"/>
      <c r="I128" s="379"/>
      <c r="J128" s="379"/>
      <c r="K128" s="379"/>
      <c r="L128" s="379"/>
      <c r="M128" s="379"/>
      <c r="N128" s="379"/>
      <c r="O128" s="379"/>
      <c r="P128" s="380"/>
      <c r="Q128" s="378"/>
      <c r="R128" s="420"/>
      <c r="S128" s="378"/>
      <c r="T128" s="378"/>
      <c r="U128" s="378"/>
      <c r="V128" s="378"/>
      <c r="W128" s="411" t="e">
        <f>ROUND($X$124/SUM(#REF!),5)*#REF!</f>
        <v>#REF!</v>
      </c>
      <c r="X128" s="412"/>
      <c r="AF128" s="410"/>
    </row>
    <row r="129" spans="1:32" s="409" customFormat="1" ht="26.45" customHeight="1">
      <c r="A129" s="378"/>
      <c r="B129" s="378"/>
      <c r="C129" s="378"/>
      <c r="D129" s="378"/>
      <c r="E129" s="379"/>
      <c r="F129" s="378"/>
      <c r="G129" s="378"/>
      <c r="H129" s="379"/>
      <c r="I129" s="379"/>
      <c r="J129" s="379"/>
      <c r="K129" s="379"/>
      <c r="L129" s="379"/>
      <c r="M129" s="379"/>
      <c r="N129" s="379"/>
      <c r="O129" s="379"/>
      <c r="P129" s="380"/>
      <c r="Q129" s="378"/>
      <c r="R129" s="420"/>
      <c r="S129" s="378"/>
      <c r="T129" s="378"/>
      <c r="U129" s="378"/>
      <c r="V129" s="378"/>
      <c r="W129" s="411" t="e">
        <f>ROUND($X$124/SUM(#REF!),5)*#REF!</f>
        <v>#REF!</v>
      </c>
      <c r="X129" s="412"/>
      <c r="AF129" s="410"/>
    </row>
    <row r="130" spans="1:32" s="409" customFormat="1" ht="26.45" customHeight="1">
      <c r="A130" s="378"/>
      <c r="B130" s="378"/>
      <c r="C130" s="378"/>
      <c r="D130" s="378"/>
      <c r="E130" s="379"/>
      <c r="F130" s="378"/>
      <c r="G130" s="378"/>
      <c r="H130" s="379"/>
      <c r="I130" s="379"/>
      <c r="J130" s="379"/>
      <c r="K130" s="379"/>
      <c r="L130" s="379"/>
      <c r="M130" s="379"/>
      <c r="N130" s="379"/>
      <c r="O130" s="379"/>
      <c r="P130" s="380"/>
      <c r="Q130" s="378"/>
      <c r="R130" s="420"/>
      <c r="S130" s="378"/>
      <c r="T130" s="378"/>
      <c r="U130" s="378"/>
      <c r="V130" s="378"/>
      <c r="W130" s="411" t="e">
        <f>ROUND($X$130/SUM(#REF!),5)*#REF!</f>
        <v>#REF!</v>
      </c>
      <c r="X130" s="412">
        <v>892.5</v>
      </c>
      <c r="AF130" s="410"/>
    </row>
    <row r="131" spans="1:32" s="409" customFormat="1" ht="26.45" customHeight="1">
      <c r="A131" s="378"/>
      <c r="B131" s="378"/>
      <c r="C131" s="378"/>
      <c r="D131" s="378"/>
      <c r="E131" s="379"/>
      <c r="F131" s="378"/>
      <c r="G131" s="378"/>
      <c r="H131" s="379"/>
      <c r="I131" s="379"/>
      <c r="J131" s="379"/>
      <c r="K131" s="379"/>
      <c r="L131" s="379"/>
      <c r="M131" s="379"/>
      <c r="N131" s="379"/>
      <c r="O131" s="379"/>
      <c r="P131" s="380"/>
      <c r="Q131" s="378"/>
      <c r="R131" s="420"/>
      <c r="S131" s="378"/>
      <c r="T131" s="378"/>
      <c r="U131" s="378"/>
      <c r="V131" s="378"/>
      <c r="W131" s="411" t="e">
        <f>ROUND($X$130/SUM(#REF!),5)*#REF!</f>
        <v>#REF!</v>
      </c>
      <c r="X131" s="412"/>
      <c r="AF131" s="410"/>
    </row>
    <row r="132" spans="1:32" s="409" customFormat="1" ht="26.45" customHeight="1">
      <c r="A132" s="378"/>
      <c r="B132" s="378"/>
      <c r="C132" s="378"/>
      <c r="D132" s="378"/>
      <c r="E132" s="379"/>
      <c r="F132" s="378"/>
      <c r="G132" s="378"/>
      <c r="H132" s="379"/>
      <c r="I132" s="379"/>
      <c r="J132" s="379"/>
      <c r="K132" s="379"/>
      <c r="L132" s="379"/>
      <c r="M132" s="379"/>
      <c r="N132" s="379"/>
      <c r="O132" s="379"/>
      <c r="P132" s="380"/>
      <c r="Q132" s="378"/>
      <c r="R132" s="420"/>
      <c r="S132" s="378"/>
      <c r="T132" s="378"/>
      <c r="U132" s="378"/>
      <c r="V132" s="378"/>
      <c r="W132" s="411" t="e">
        <f>ROUND($X$130/SUM(#REF!),5)*#REF!</f>
        <v>#REF!</v>
      </c>
      <c r="X132" s="412"/>
      <c r="AF132" s="410"/>
    </row>
    <row r="133" spans="1:32" s="409" customFormat="1" ht="26.45" customHeight="1">
      <c r="A133" s="378"/>
      <c r="B133" s="378"/>
      <c r="C133" s="378"/>
      <c r="D133" s="378"/>
      <c r="E133" s="379"/>
      <c r="F133" s="378"/>
      <c r="G133" s="378"/>
      <c r="H133" s="379"/>
      <c r="I133" s="379"/>
      <c r="J133" s="379"/>
      <c r="K133" s="379"/>
      <c r="L133" s="379"/>
      <c r="M133" s="379"/>
      <c r="N133" s="379"/>
      <c r="O133" s="379"/>
      <c r="P133" s="380"/>
      <c r="Q133" s="378"/>
      <c r="R133" s="420"/>
      <c r="S133" s="378"/>
      <c r="T133" s="378"/>
      <c r="U133" s="378"/>
      <c r="V133" s="378"/>
      <c r="W133" s="411" t="e">
        <f>ROUND($X$130/SUM(#REF!),5)*#REF!</f>
        <v>#REF!</v>
      </c>
      <c r="X133" s="412"/>
      <c r="AF133" s="410"/>
    </row>
    <row r="134" spans="1:32" ht="14.1" customHeight="1">
      <c r="W134" s="396"/>
      <c r="X134" s="412"/>
    </row>
    <row r="135" spans="1:32" ht="14.1" customHeight="1">
      <c r="X135" s="412"/>
    </row>
    <row r="136" spans="1:32">
      <c r="X136" s="412"/>
    </row>
    <row r="137" spans="1:32">
      <c r="X137" s="412"/>
    </row>
  </sheetData>
  <mergeCells count="3">
    <mergeCell ref="A5:B5"/>
    <mergeCell ref="H5:P5"/>
    <mergeCell ref="H111:Q111"/>
  </mergeCells>
  <printOptions horizontalCentered="1"/>
  <pageMargins left="0.25" right="0.25" top="0.5" bottom="0.5" header="0.31496062992126" footer="0.31496062992126"/>
  <pageSetup paperSize="9" scale="58"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2C44E-018E-4C40-9BA1-7B3CBC8ADC45}">
  <sheetPr>
    <tabColor rgb="FFFFC000"/>
    <pageSetUpPr fitToPage="1"/>
  </sheetPr>
  <dimension ref="A5:L137"/>
  <sheetViews>
    <sheetView showGridLines="0" topLeftCell="A18" zoomScale="86" zoomScaleNormal="86" zoomScaleSheetLayoutView="85" workbookViewId="0">
      <selection activeCell="C10" sqref="C10"/>
    </sheetView>
  </sheetViews>
  <sheetFormatPr defaultColWidth="8.76953125" defaultRowHeight="14.25"/>
  <cols>
    <col min="1" max="1" width="4.08984375" style="57" customWidth="1"/>
    <col min="2" max="2" width="18.9453125" style="57" customWidth="1"/>
    <col min="3" max="3" width="29" style="57" customWidth="1"/>
    <col min="4" max="4" width="55.78125" style="57" customWidth="1"/>
    <col min="5" max="5" width="7.71484375" style="57" bestFit="1" customWidth="1"/>
    <col min="6" max="6" width="8.65234375" style="62" customWidth="1"/>
    <col min="7" max="7" width="5.37890625" style="62" customWidth="1"/>
    <col min="8" max="8" width="14.6171875" style="62" bestFit="1" customWidth="1"/>
    <col min="9" max="9" width="8.76953125" style="57" customWidth="1"/>
    <col min="10" max="10" width="9.9375" style="57" customWidth="1"/>
    <col min="11" max="11" width="11.92578125" style="57" bestFit="1" customWidth="1"/>
    <col min="12" max="16384" width="8.76953125" style="57"/>
  </cols>
  <sheetData>
    <row r="5" spans="1:12">
      <c r="A5" s="523" t="s">
        <v>157</v>
      </c>
      <c r="B5" s="523"/>
      <c r="C5" s="58" t="str">
        <f>'Commercial Invoice'!H5</f>
        <v>OM4-DE-IS-0006</v>
      </c>
      <c r="D5" s="58"/>
      <c r="E5" s="58"/>
      <c r="F5" s="524"/>
      <c r="G5" s="524"/>
      <c r="H5" s="524"/>
      <c r="I5" s="60"/>
      <c r="J5" s="366" t="str">
        <f>'Commercial Invoice'!G6</f>
        <v>DATE:</v>
      </c>
    </row>
    <row r="6" spans="1:12">
      <c r="B6" s="61"/>
      <c r="C6" s="61"/>
      <c r="D6" s="61"/>
      <c r="E6" s="61"/>
    </row>
    <row r="7" spans="1:12" ht="47.25" customHeight="1">
      <c r="A7" s="260" t="s">
        <v>27</v>
      </c>
      <c r="B7" s="261" t="s">
        <v>28</v>
      </c>
      <c r="C7" s="262" t="s">
        <v>18</v>
      </c>
      <c r="D7" s="262"/>
      <c r="E7" s="262"/>
      <c r="F7" s="63" t="s">
        <v>20</v>
      </c>
      <c r="G7" s="63" t="s">
        <v>19</v>
      </c>
      <c r="H7" s="367" t="s">
        <v>158</v>
      </c>
      <c r="I7" s="263" t="s">
        <v>21</v>
      </c>
      <c r="J7" s="263" t="s">
        <v>22</v>
      </c>
    </row>
    <row r="8" spans="1:12" ht="37.5">
      <c r="A8" s="260">
        <v>1</v>
      </c>
      <c r="B8" s="261" t="s">
        <v>286</v>
      </c>
      <c r="C8" s="336" t="s">
        <v>177</v>
      </c>
      <c r="D8" s="368" t="s">
        <v>387</v>
      </c>
      <c r="E8" s="336">
        <v>73089099</v>
      </c>
      <c r="F8" s="63">
        <v>46</v>
      </c>
      <c r="G8" s="63" t="s">
        <v>214</v>
      </c>
      <c r="H8" s="367">
        <v>606.03</v>
      </c>
      <c r="I8" s="344">
        <v>68.31</v>
      </c>
      <c r="J8" s="367">
        <v>3142.11</v>
      </c>
      <c r="K8" s="369"/>
      <c r="L8" s="65"/>
    </row>
    <row r="9" spans="1:12" ht="37.5">
      <c r="A9" s="260">
        <v>2</v>
      </c>
      <c r="B9" s="261" t="s">
        <v>286</v>
      </c>
      <c r="C9" s="336" t="s">
        <v>177</v>
      </c>
      <c r="D9" s="368" t="s">
        <v>388</v>
      </c>
      <c r="E9" s="336">
        <v>73089099</v>
      </c>
      <c r="F9" s="63">
        <v>17</v>
      </c>
      <c r="G9" s="63" t="s">
        <v>214</v>
      </c>
      <c r="H9" s="367">
        <v>223.97</v>
      </c>
      <c r="I9" s="344">
        <v>68.31</v>
      </c>
      <c r="J9" s="367">
        <v>1161.22</v>
      </c>
    </row>
    <row r="10" spans="1:12" ht="37.5">
      <c r="A10" s="260">
        <v>3</v>
      </c>
      <c r="B10" s="261" t="s">
        <v>287</v>
      </c>
      <c r="C10" s="336" t="s">
        <v>177</v>
      </c>
      <c r="D10" s="368" t="s">
        <v>389</v>
      </c>
      <c r="E10" s="336">
        <v>73089099</v>
      </c>
      <c r="F10" s="63">
        <v>17</v>
      </c>
      <c r="G10" s="63" t="s">
        <v>214</v>
      </c>
      <c r="H10" s="367">
        <v>672.92</v>
      </c>
      <c r="I10" s="344">
        <v>205.23</v>
      </c>
      <c r="J10" s="367">
        <v>3488.89</v>
      </c>
    </row>
    <row r="11" spans="1:12" ht="37.5">
      <c r="A11" s="260">
        <v>4</v>
      </c>
      <c r="B11" s="261" t="s">
        <v>287</v>
      </c>
      <c r="C11" s="336" t="s">
        <v>177</v>
      </c>
      <c r="D11" s="368" t="s">
        <v>390</v>
      </c>
      <c r="E11" s="336">
        <v>73089099</v>
      </c>
      <c r="F11" s="63">
        <v>7</v>
      </c>
      <c r="G11" s="63" t="s">
        <v>214</v>
      </c>
      <c r="H11" s="367">
        <v>277.08</v>
      </c>
      <c r="I11" s="344">
        <v>205.23</v>
      </c>
      <c r="J11" s="367">
        <v>1436.6</v>
      </c>
    </row>
    <row r="12" spans="1:12" ht="37.5">
      <c r="A12" s="260">
        <v>5</v>
      </c>
      <c r="B12" s="261" t="s">
        <v>288</v>
      </c>
      <c r="C12" s="336" t="s">
        <v>177</v>
      </c>
      <c r="D12" s="368" t="s">
        <v>391</v>
      </c>
      <c r="E12" s="336">
        <v>73089099</v>
      </c>
      <c r="F12" s="63">
        <v>4</v>
      </c>
      <c r="G12" s="63" t="s">
        <v>214</v>
      </c>
      <c r="H12" s="367">
        <v>50.2</v>
      </c>
      <c r="I12" s="344">
        <v>65.06</v>
      </c>
      <c r="J12" s="367">
        <v>260.25</v>
      </c>
    </row>
    <row r="13" spans="1:12" ht="37.5">
      <c r="A13" s="260">
        <v>6</v>
      </c>
      <c r="B13" s="261" t="s">
        <v>288</v>
      </c>
      <c r="C13" s="336" t="s">
        <v>177</v>
      </c>
      <c r="D13" s="368" t="s">
        <v>392</v>
      </c>
      <c r="E13" s="336">
        <v>73089099</v>
      </c>
      <c r="F13" s="63">
        <v>5</v>
      </c>
      <c r="G13" s="63" t="s">
        <v>214</v>
      </c>
      <c r="H13" s="367">
        <v>62.75</v>
      </c>
      <c r="I13" s="344">
        <v>65.06</v>
      </c>
      <c r="J13" s="367">
        <v>325.32</v>
      </c>
    </row>
    <row r="14" spans="1:12" ht="37.5">
      <c r="A14" s="260">
        <v>7</v>
      </c>
      <c r="B14" s="261" t="s">
        <v>288</v>
      </c>
      <c r="C14" s="336" t="s">
        <v>351</v>
      </c>
      <c r="D14" s="368" t="s">
        <v>393</v>
      </c>
      <c r="E14" s="336">
        <v>73089099</v>
      </c>
      <c r="F14" s="63">
        <v>13</v>
      </c>
      <c r="G14" s="63" t="s">
        <v>214</v>
      </c>
      <c r="H14" s="367">
        <v>163.13999999999999</v>
      </c>
      <c r="I14" s="344">
        <v>65.06</v>
      </c>
      <c r="J14" s="367">
        <v>845.82</v>
      </c>
    </row>
    <row r="15" spans="1:12" ht="37.5">
      <c r="A15" s="260">
        <v>8</v>
      </c>
      <c r="B15" s="261" t="s">
        <v>288</v>
      </c>
      <c r="C15" s="336" t="s">
        <v>351</v>
      </c>
      <c r="D15" s="368" t="s">
        <v>394</v>
      </c>
      <c r="E15" s="336">
        <v>73089099</v>
      </c>
      <c r="F15" s="63">
        <v>19</v>
      </c>
      <c r="G15" s="63" t="s">
        <v>214</v>
      </c>
      <c r="H15" s="367">
        <v>238.43</v>
      </c>
      <c r="I15" s="344">
        <v>65.06</v>
      </c>
      <c r="J15" s="367">
        <v>1236.2</v>
      </c>
    </row>
    <row r="16" spans="1:12" ht="37.5">
      <c r="A16" s="260">
        <v>9</v>
      </c>
      <c r="B16" s="261" t="s">
        <v>288</v>
      </c>
      <c r="C16" s="336" t="s">
        <v>351</v>
      </c>
      <c r="D16" s="368" t="s">
        <v>395</v>
      </c>
      <c r="E16" s="336">
        <v>73089099</v>
      </c>
      <c r="F16" s="63">
        <v>10</v>
      </c>
      <c r="G16" s="63" t="s">
        <v>214</v>
      </c>
      <c r="H16" s="367">
        <v>125.49</v>
      </c>
      <c r="I16" s="344">
        <v>65.06</v>
      </c>
      <c r="J16" s="367">
        <v>650.63</v>
      </c>
    </row>
    <row r="17" spans="1:10" ht="37.5">
      <c r="A17" s="260">
        <v>10</v>
      </c>
      <c r="B17" s="261" t="s">
        <v>289</v>
      </c>
      <c r="C17" s="336" t="s">
        <v>351</v>
      </c>
      <c r="D17" s="368" t="s">
        <v>396</v>
      </c>
      <c r="E17" s="336">
        <v>73089099</v>
      </c>
      <c r="F17" s="63">
        <v>38</v>
      </c>
      <c r="G17" s="63" t="s">
        <v>214</v>
      </c>
      <c r="H17" s="367">
        <v>639.51</v>
      </c>
      <c r="I17" s="344">
        <v>87.26</v>
      </c>
      <c r="J17" s="367">
        <v>3315.7</v>
      </c>
    </row>
    <row r="18" spans="1:10" ht="37.5">
      <c r="A18" s="260">
        <v>11</v>
      </c>
      <c r="B18" s="261" t="s">
        <v>289</v>
      </c>
      <c r="C18" s="336" t="s">
        <v>351</v>
      </c>
      <c r="D18" s="368" t="s">
        <v>397</v>
      </c>
      <c r="E18" s="336">
        <v>73089099</v>
      </c>
      <c r="F18" s="63">
        <v>3</v>
      </c>
      <c r="G18" s="63" t="s">
        <v>214</v>
      </c>
      <c r="H18" s="367">
        <v>50.49</v>
      </c>
      <c r="I18" s="344">
        <v>87.26</v>
      </c>
      <c r="J18" s="367">
        <v>261.77</v>
      </c>
    </row>
    <row r="19" spans="1:10" ht="37.5">
      <c r="A19" s="260">
        <v>12</v>
      </c>
      <c r="B19" s="261" t="s">
        <v>290</v>
      </c>
      <c r="C19" s="336" t="s">
        <v>177</v>
      </c>
      <c r="D19" s="368" t="s">
        <v>398</v>
      </c>
      <c r="E19" s="336">
        <v>73089099</v>
      </c>
      <c r="F19" s="63">
        <v>29</v>
      </c>
      <c r="G19" s="63" t="s">
        <v>214</v>
      </c>
      <c r="H19" s="367">
        <v>470</v>
      </c>
      <c r="I19" s="344">
        <v>84.03</v>
      </c>
      <c r="J19" s="367">
        <v>2436.8200000000002</v>
      </c>
    </row>
    <row r="20" spans="1:10" ht="37.5">
      <c r="A20" s="260">
        <v>13</v>
      </c>
      <c r="B20" s="261" t="s">
        <v>291</v>
      </c>
      <c r="C20" s="336" t="s">
        <v>177</v>
      </c>
      <c r="D20" s="368" t="s">
        <v>399</v>
      </c>
      <c r="E20" s="336">
        <v>73089099</v>
      </c>
      <c r="F20" s="63">
        <v>6</v>
      </c>
      <c r="G20" s="63" t="s">
        <v>214</v>
      </c>
      <c r="H20" s="367">
        <v>37.89</v>
      </c>
      <c r="I20" s="344">
        <v>32.75</v>
      </c>
      <c r="J20" s="367">
        <v>196.47</v>
      </c>
    </row>
    <row r="21" spans="1:10" ht="37.5">
      <c r="A21" s="260">
        <v>14</v>
      </c>
      <c r="B21" s="261" t="s">
        <v>291</v>
      </c>
      <c r="C21" s="336" t="s">
        <v>177</v>
      </c>
      <c r="D21" s="368" t="s">
        <v>400</v>
      </c>
      <c r="E21" s="336">
        <v>73089099</v>
      </c>
      <c r="F21" s="63">
        <v>10</v>
      </c>
      <c r="G21" s="63" t="s">
        <v>214</v>
      </c>
      <c r="H21" s="367">
        <v>63.16</v>
      </c>
      <c r="I21" s="344">
        <v>32.75</v>
      </c>
      <c r="J21" s="367">
        <v>327.45999999999998</v>
      </c>
    </row>
    <row r="22" spans="1:10" ht="37.5">
      <c r="A22" s="260">
        <v>15</v>
      </c>
      <c r="B22" s="261" t="s">
        <v>291</v>
      </c>
      <c r="C22" s="336" t="s">
        <v>177</v>
      </c>
      <c r="D22" s="368" t="s">
        <v>401</v>
      </c>
      <c r="E22" s="336">
        <v>73089099</v>
      </c>
      <c r="F22" s="63">
        <v>22</v>
      </c>
      <c r="G22" s="63" t="s">
        <v>214</v>
      </c>
      <c r="H22" s="367">
        <v>138.94999999999999</v>
      </c>
      <c r="I22" s="344">
        <v>32.75</v>
      </c>
      <c r="J22" s="367">
        <v>720.4</v>
      </c>
    </row>
    <row r="23" spans="1:10" ht="37.5">
      <c r="A23" s="260">
        <v>16</v>
      </c>
      <c r="B23" s="261" t="s">
        <v>292</v>
      </c>
      <c r="C23" s="336" t="s">
        <v>177</v>
      </c>
      <c r="D23" s="368" t="s">
        <v>402</v>
      </c>
      <c r="E23" s="336">
        <v>73089099</v>
      </c>
      <c r="F23" s="63">
        <v>32</v>
      </c>
      <c r="G23" s="63" t="s">
        <v>214</v>
      </c>
      <c r="H23" s="367">
        <v>1580</v>
      </c>
      <c r="I23" s="344">
        <v>256</v>
      </c>
      <c r="J23" s="367">
        <v>8191.88</v>
      </c>
    </row>
    <row r="24" spans="1:10" ht="37.5">
      <c r="A24" s="260">
        <v>17</v>
      </c>
      <c r="B24" s="261" t="s">
        <v>293</v>
      </c>
      <c r="C24" s="336" t="s">
        <v>351</v>
      </c>
      <c r="D24" s="368" t="s">
        <v>403</v>
      </c>
      <c r="E24" s="336">
        <v>73089099</v>
      </c>
      <c r="F24" s="63">
        <v>32</v>
      </c>
      <c r="G24" s="63" t="s">
        <v>214</v>
      </c>
      <c r="H24" s="367">
        <v>1080</v>
      </c>
      <c r="I24" s="344">
        <v>174.98</v>
      </c>
      <c r="J24" s="367">
        <v>5599.51</v>
      </c>
    </row>
    <row r="25" spans="1:10" ht="37.5">
      <c r="A25" s="260">
        <v>18</v>
      </c>
      <c r="B25" s="261" t="s">
        <v>294</v>
      </c>
      <c r="C25" s="336" t="s">
        <v>177</v>
      </c>
      <c r="D25" s="368" t="s">
        <v>404</v>
      </c>
      <c r="E25" s="336">
        <v>73089099</v>
      </c>
      <c r="F25" s="63">
        <v>32</v>
      </c>
      <c r="G25" s="63" t="s">
        <v>214</v>
      </c>
      <c r="H25" s="367">
        <v>1580</v>
      </c>
      <c r="I25" s="344">
        <v>256</v>
      </c>
      <c r="J25" s="367">
        <v>8191.88</v>
      </c>
    </row>
    <row r="26" spans="1:10" ht="37.5">
      <c r="A26" s="260">
        <v>19</v>
      </c>
      <c r="B26" s="261" t="s">
        <v>295</v>
      </c>
      <c r="C26" s="336" t="s">
        <v>177</v>
      </c>
      <c r="D26" s="368" t="s">
        <v>405</v>
      </c>
      <c r="E26" s="336">
        <v>73089099</v>
      </c>
      <c r="F26" s="63">
        <v>25</v>
      </c>
      <c r="G26" s="63" t="s">
        <v>214</v>
      </c>
      <c r="H26" s="367">
        <v>1120.69</v>
      </c>
      <c r="I26" s="344">
        <v>232.42</v>
      </c>
      <c r="J26" s="367">
        <v>5810.48</v>
      </c>
    </row>
    <row r="27" spans="1:10" ht="37.5">
      <c r="A27" s="260">
        <v>20</v>
      </c>
      <c r="B27" s="261" t="s">
        <v>295</v>
      </c>
      <c r="C27" s="336" t="s">
        <v>177</v>
      </c>
      <c r="D27" s="368" t="s">
        <v>406</v>
      </c>
      <c r="E27" s="336">
        <v>73089099</v>
      </c>
      <c r="F27" s="63">
        <v>4</v>
      </c>
      <c r="G27" s="63" t="s">
        <v>214</v>
      </c>
      <c r="H27" s="367">
        <v>179.31</v>
      </c>
      <c r="I27" s="344">
        <v>232.42</v>
      </c>
      <c r="J27" s="367">
        <v>929.68</v>
      </c>
    </row>
    <row r="28" spans="1:10" ht="37.5">
      <c r="A28" s="260">
        <v>21</v>
      </c>
      <c r="B28" s="261" t="s">
        <v>296</v>
      </c>
      <c r="C28" s="336" t="s">
        <v>177</v>
      </c>
      <c r="D28" s="368" t="s">
        <v>407</v>
      </c>
      <c r="E28" s="336">
        <v>73089099</v>
      </c>
      <c r="F28" s="63">
        <v>17</v>
      </c>
      <c r="G28" s="63" t="s">
        <v>214</v>
      </c>
      <c r="H28" s="367">
        <v>595</v>
      </c>
      <c r="I28" s="344">
        <v>181.47</v>
      </c>
      <c r="J28" s="367">
        <v>3084.92</v>
      </c>
    </row>
    <row r="29" spans="1:10" ht="37.5">
      <c r="A29" s="260">
        <v>22</v>
      </c>
      <c r="B29" s="261" t="s">
        <v>296</v>
      </c>
      <c r="C29" s="336" t="s">
        <v>177</v>
      </c>
      <c r="D29" s="368" t="s">
        <v>408</v>
      </c>
      <c r="E29" s="336">
        <v>73089099</v>
      </c>
      <c r="F29" s="63">
        <v>13</v>
      </c>
      <c r="G29" s="63" t="s">
        <v>214</v>
      </c>
      <c r="H29" s="367">
        <v>455</v>
      </c>
      <c r="I29" s="344">
        <v>181.47</v>
      </c>
      <c r="J29" s="367">
        <v>2359.0500000000002</v>
      </c>
    </row>
    <row r="30" spans="1:10" ht="37.5">
      <c r="A30" s="260">
        <v>23</v>
      </c>
      <c r="B30" s="261" t="s">
        <v>297</v>
      </c>
      <c r="C30" s="336" t="s">
        <v>351</v>
      </c>
      <c r="D30" s="368" t="s">
        <v>409</v>
      </c>
      <c r="E30" s="336">
        <v>73089099</v>
      </c>
      <c r="F30" s="63">
        <v>34</v>
      </c>
      <c r="G30" s="63" t="s">
        <v>214</v>
      </c>
      <c r="H30" s="367">
        <v>1150</v>
      </c>
      <c r="I30" s="344">
        <v>197.74</v>
      </c>
      <c r="J30" s="367">
        <v>6723.28</v>
      </c>
    </row>
    <row r="31" spans="1:10" ht="37.5">
      <c r="A31" s="260">
        <v>24</v>
      </c>
      <c r="B31" s="261" t="s">
        <v>298</v>
      </c>
      <c r="C31" s="336" t="s">
        <v>351</v>
      </c>
      <c r="D31" s="368" t="s">
        <v>410</v>
      </c>
      <c r="E31" s="336">
        <v>73089099</v>
      </c>
      <c r="F31" s="63">
        <v>35</v>
      </c>
      <c r="G31" s="63" t="s">
        <v>214</v>
      </c>
      <c r="H31" s="367">
        <v>1730</v>
      </c>
      <c r="I31" s="344">
        <v>256.27</v>
      </c>
      <c r="J31" s="367">
        <v>8969.59</v>
      </c>
    </row>
    <row r="32" spans="1:10" ht="37.5">
      <c r="A32" s="260">
        <v>25</v>
      </c>
      <c r="B32" s="261" t="s">
        <v>299</v>
      </c>
      <c r="C32" s="336" t="s">
        <v>351</v>
      </c>
      <c r="D32" s="368" t="s">
        <v>411</v>
      </c>
      <c r="E32" s="336">
        <v>73089099</v>
      </c>
      <c r="F32" s="63">
        <v>36</v>
      </c>
      <c r="G32" s="63" t="s">
        <v>214</v>
      </c>
      <c r="H32" s="367">
        <v>1780</v>
      </c>
      <c r="I32" s="344">
        <v>256.36</v>
      </c>
      <c r="J32" s="367">
        <v>9228.82</v>
      </c>
    </row>
    <row r="33" spans="1:10" ht="37.5">
      <c r="A33" s="260">
        <v>26</v>
      </c>
      <c r="B33" s="261" t="s">
        <v>300</v>
      </c>
      <c r="C33" s="336" t="s">
        <v>351</v>
      </c>
      <c r="D33" s="368" t="s">
        <v>411</v>
      </c>
      <c r="E33" s="336">
        <v>73089099</v>
      </c>
      <c r="F33" s="63">
        <v>36</v>
      </c>
      <c r="G33" s="63" t="s">
        <v>214</v>
      </c>
      <c r="H33" s="367">
        <v>1780</v>
      </c>
      <c r="I33" s="344">
        <v>256.36</v>
      </c>
      <c r="J33" s="367">
        <v>9228.82</v>
      </c>
    </row>
    <row r="34" spans="1:10" ht="37.5">
      <c r="A34" s="260">
        <v>27</v>
      </c>
      <c r="B34" s="261" t="s">
        <v>301</v>
      </c>
      <c r="C34" s="336" t="s">
        <v>177</v>
      </c>
      <c r="D34" s="368" t="s">
        <v>412</v>
      </c>
      <c r="E34" s="336">
        <v>73089099</v>
      </c>
      <c r="F34" s="63">
        <v>1</v>
      </c>
      <c r="G34" s="63" t="s">
        <v>214</v>
      </c>
      <c r="H34" s="367">
        <v>32.22</v>
      </c>
      <c r="I34" s="344">
        <v>167.06</v>
      </c>
      <c r="J34" s="367">
        <v>167.06</v>
      </c>
    </row>
    <row r="35" spans="1:10" ht="37.5">
      <c r="A35" s="260">
        <v>28</v>
      </c>
      <c r="B35" s="261" t="s">
        <v>301</v>
      </c>
      <c r="C35" s="336" t="s">
        <v>177</v>
      </c>
      <c r="D35" s="368" t="s">
        <v>413</v>
      </c>
      <c r="E35" s="336">
        <v>73089099</v>
      </c>
      <c r="F35" s="63">
        <v>1</v>
      </c>
      <c r="G35" s="63" t="s">
        <v>214</v>
      </c>
      <c r="H35" s="367">
        <v>32.22</v>
      </c>
      <c r="I35" s="344">
        <v>167.06</v>
      </c>
      <c r="J35" s="367">
        <v>167.06</v>
      </c>
    </row>
    <row r="36" spans="1:10" ht="37.5">
      <c r="A36" s="63">
        <v>29</v>
      </c>
      <c r="B36" s="261" t="s">
        <v>301</v>
      </c>
      <c r="C36" s="336" t="s">
        <v>177</v>
      </c>
      <c r="D36" s="368" t="s">
        <v>414</v>
      </c>
      <c r="E36" s="336">
        <v>73089099</v>
      </c>
      <c r="F36" s="63">
        <v>1</v>
      </c>
      <c r="G36" s="63" t="s">
        <v>214</v>
      </c>
      <c r="H36" s="367">
        <v>32.22</v>
      </c>
      <c r="I36" s="344">
        <v>167.06</v>
      </c>
      <c r="J36" s="367">
        <v>167.06</v>
      </c>
    </row>
    <row r="37" spans="1:10" ht="37.5">
      <c r="A37" s="63">
        <v>30</v>
      </c>
      <c r="B37" s="261" t="s">
        <v>301</v>
      </c>
      <c r="C37" s="336" t="s">
        <v>177</v>
      </c>
      <c r="D37" s="368" t="s">
        <v>415</v>
      </c>
      <c r="E37" s="336">
        <v>73089099</v>
      </c>
      <c r="F37" s="63">
        <v>2</v>
      </c>
      <c r="G37" s="63" t="s">
        <v>214</v>
      </c>
      <c r="H37" s="367">
        <v>64.44</v>
      </c>
      <c r="I37" s="344">
        <v>167.07</v>
      </c>
      <c r="J37" s="367">
        <v>334.14</v>
      </c>
    </row>
    <row r="38" spans="1:10" ht="37.5">
      <c r="A38" s="63">
        <v>31</v>
      </c>
      <c r="B38" s="261" t="s">
        <v>301</v>
      </c>
      <c r="C38" s="336" t="s">
        <v>177</v>
      </c>
      <c r="D38" s="368" t="s">
        <v>416</v>
      </c>
      <c r="E38" s="336">
        <v>73089099</v>
      </c>
      <c r="F38" s="63">
        <v>1</v>
      </c>
      <c r="G38" s="63" t="s">
        <v>214</v>
      </c>
      <c r="H38" s="367">
        <v>32.22</v>
      </c>
      <c r="I38" s="344">
        <v>167.06</v>
      </c>
      <c r="J38" s="367">
        <v>167.06</v>
      </c>
    </row>
    <row r="39" spans="1:10" ht="37.5">
      <c r="A39" s="63">
        <v>32</v>
      </c>
      <c r="B39" s="261" t="s">
        <v>301</v>
      </c>
      <c r="C39" s="336" t="s">
        <v>177</v>
      </c>
      <c r="D39" s="368" t="s">
        <v>417</v>
      </c>
      <c r="E39" s="336">
        <v>73089099</v>
      </c>
      <c r="F39" s="63">
        <v>1</v>
      </c>
      <c r="G39" s="63" t="s">
        <v>214</v>
      </c>
      <c r="H39" s="367">
        <v>32.22</v>
      </c>
      <c r="I39" s="344">
        <v>167.06</v>
      </c>
      <c r="J39" s="367">
        <v>167.06</v>
      </c>
    </row>
    <row r="40" spans="1:10" ht="37.5">
      <c r="A40" s="63">
        <v>33</v>
      </c>
      <c r="B40" s="261" t="s">
        <v>301</v>
      </c>
      <c r="C40" s="336" t="s">
        <v>177</v>
      </c>
      <c r="D40" s="368" t="s">
        <v>418</v>
      </c>
      <c r="E40" s="336">
        <v>73089099</v>
      </c>
      <c r="F40" s="63">
        <v>2</v>
      </c>
      <c r="G40" s="63" t="s">
        <v>214</v>
      </c>
      <c r="H40" s="367">
        <v>64.44</v>
      </c>
      <c r="I40" s="344">
        <v>167.07</v>
      </c>
      <c r="J40" s="367">
        <v>334.13</v>
      </c>
    </row>
    <row r="41" spans="1:10" ht="37.5">
      <c r="A41" s="260">
        <v>34</v>
      </c>
      <c r="B41" s="261" t="s">
        <v>302</v>
      </c>
      <c r="C41" s="336" t="s">
        <v>353</v>
      </c>
      <c r="D41" s="368" t="s">
        <v>419</v>
      </c>
      <c r="E41" s="336">
        <v>73181590</v>
      </c>
      <c r="F41" s="63">
        <v>5</v>
      </c>
      <c r="G41" s="63" t="s">
        <v>214</v>
      </c>
      <c r="H41" s="370">
        <v>663.1</v>
      </c>
      <c r="I41" s="344">
        <v>181.47</v>
      </c>
      <c r="J41" s="367">
        <v>907.33</v>
      </c>
    </row>
    <row r="42" spans="1:10" ht="25.5">
      <c r="A42" s="260">
        <v>35</v>
      </c>
      <c r="B42" s="261" t="s">
        <v>302</v>
      </c>
      <c r="C42" s="336" t="s">
        <v>355</v>
      </c>
      <c r="D42" s="368" t="s">
        <v>420</v>
      </c>
      <c r="E42" s="336">
        <v>73181690</v>
      </c>
      <c r="F42" s="63">
        <v>5</v>
      </c>
      <c r="G42" s="63" t="s">
        <v>437</v>
      </c>
      <c r="H42" s="370">
        <v>25.59</v>
      </c>
      <c r="I42" s="344">
        <v>181.47</v>
      </c>
      <c r="J42" s="367">
        <v>907.33</v>
      </c>
    </row>
    <row r="43" spans="1:10" ht="25.5">
      <c r="A43" s="260">
        <v>36</v>
      </c>
      <c r="B43" s="261" t="s">
        <v>302</v>
      </c>
      <c r="C43" s="336" t="s">
        <v>357</v>
      </c>
      <c r="D43" s="368" t="s">
        <v>421</v>
      </c>
      <c r="E43" s="336">
        <v>73182200</v>
      </c>
      <c r="F43" s="63">
        <v>5</v>
      </c>
      <c r="G43" s="63" t="s">
        <v>437</v>
      </c>
      <c r="H43" s="370">
        <v>6.99</v>
      </c>
      <c r="I43" s="344">
        <v>181.47</v>
      </c>
      <c r="J43" s="367">
        <v>907.33</v>
      </c>
    </row>
    <row r="44" spans="1:10" ht="25.5">
      <c r="A44" s="260">
        <v>37</v>
      </c>
      <c r="B44" s="261" t="s">
        <v>302</v>
      </c>
      <c r="C44" s="336" t="s">
        <v>358</v>
      </c>
      <c r="D44" s="368" t="s">
        <v>422</v>
      </c>
      <c r="E44" s="336">
        <v>73269099</v>
      </c>
      <c r="F44" s="63">
        <v>5</v>
      </c>
      <c r="G44" s="63" t="s">
        <v>437</v>
      </c>
      <c r="H44" s="370">
        <v>4.32</v>
      </c>
      <c r="I44" s="344">
        <v>181.47</v>
      </c>
      <c r="J44" s="367">
        <v>907.33</v>
      </c>
    </row>
    <row r="45" spans="1:10" ht="37.5">
      <c r="A45" s="260">
        <v>38</v>
      </c>
      <c r="B45" s="261" t="s">
        <v>303</v>
      </c>
      <c r="C45" s="336" t="s">
        <v>353</v>
      </c>
      <c r="D45" s="368" t="s">
        <v>419</v>
      </c>
      <c r="E45" s="336">
        <v>73181590</v>
      </c>
      <c r="F45" s="63">
        <v>5</v>
      </c>
      <c r="G45" s="63" t="s">
        <v>214</v>
      </c>
      <c r="H45" s="370">
        <v>663.1</v>
      </c>
      <c r="I45" s="344">
        <v>181.47</v>
      </c>
      <c r="J45" s="367">
        <v>907.33</v>
      </c>
    </row>
    <row r="46" spans="1:10" ht="25.5">
      <c r="A46" s="260">
        <v>39</v>
      </c>
      <c r="B46" s="261" t="s">
        <v>303</v>
      </c>
      <c r="C46" s="336" t="s">
        <v>355</v>
      </c>
      <c r="D46" s="368" t="s">
        <v>420</v>
      </c>
      <c r="E46" s="336">
        <v>73181690</v>
      </c>
      <c r="F46" s="63">
        <v>5</v>
      </c>
      <c r="G46" s="63" t="s">
        <v>437</v>
      </c>
      <c r="H46" s="370">
        <v>25.59</v>
      </c>
      <c r="I46" s="344">
        <v>181.47</v>
      </c>
      <c r="J46" s="367">
        <v>907.33</v>
      </c>
    </row>
    <row r="47" spans="1:10" ht="25.5">
      <c r="A47" s="260">
        <v>40</v>
      </c>
      <c r="B47" s="261" t="s">
        <v>303</v>
      </c>
      <c r="C47" s="336" t="s">
        <v>357</v>
      </c>
      <c r="D47" s="368" t="s">
        <v>421</v>
      </c>
      <c r="E47" s="336">
        <v>73182200</v>
      </c>
      <c r="F47" s="63">
        <v>5</v>
      </c>
      <c r="G47" s="63" t="s">
        <v>437</v>
      </c>
      <c r="H47" s="370">
        <v>6.99</v>
      </c>
      <c r="I47" s="344">
        <v>181.47</v>
      </c>
      <c r="J47" s="367">
        <v>907.33</v>
      </c>
    </row>
    <row r="48" spans="1:10" ht="25.5">
      <c r="A48" s="260">
        <v>41</v>
      </c>
      <c r="B48" s="261" t="s">
        <v>303</v>
      </c>
      <c r="C48" s="336" t="s">
        <v>358</v>
      </c>
      <c r="D48" s="368" t="s">
        <v>422</v>
      </c>
      <c r="E48" s="336">
        <v>73269099</v>
      </c>
      <c r="F48" s="63">
        <v>5</v>
      </c>
      <c r="G48" s="63" t="s">
        <v>437</v>
      </c>
      <c r="H48" s="370">
        <v>4.32</v>
      </c>
      <c r="I48" s="344">
        <v>181.47</v>
      </c>
      <c r="J48" s="367">
        <v>907.33</v>
      </c>
    </row>
    <row r="49" spans="1:10" ht="37.5">
      <c r="A49" s="260">
        <v>42</v>
      </c>
      <c r="B49" s="261" t="s">
        <v>304</v>
      </c>
      <c r="C49" s="336" t="s">
        <v>353</v>
      </c>
      <c r="D49" s="368" t="s">
        <v>419</v>
      </c>
      <c r="E49" s="336">
        <v>73181590</v>
      </c>
      <c r="F49" s="63">
        <v>5</v>
      </c>
      <c r="G49" s="63" t="s">
        <v>214</v>
      </c>
      <c r="H49" s="370">
        <v>663.1</v>
      </c>
      <c r="I49" s="344">
        <v>181.47</v>
      </c>
      <c r="J49" s="367">
        <v>907.33</v>
      </c>
    </row>
    <row r="50" spans="1:10" ht="25.5">
      <c r="A50" s="260">
        <v>43</v>
      </c>
      <c r="B50" s="261" t="s">
        <v>304</v>
      </c>
      <c r="C50" s="336" t="s">
        <v>355</v>
      </c>
      <c r="D50" s="368" t="s">
        <v>420</v>
      </c>
      <c r="E50" s="336">
        <v>73181690</v>
      </c>
      <c r="F50" s="63">
        <v>5</v>
      </c>
      <c r="G50" s="63" t="s">
        <v>437</v>
      </c>
      <c r="H50" s="370">
        <v>25.59</v>
      </c>
      <c r="I50" s="344">
        <v>181.47</v>
      </c>
      <c r="J50" s="367">
        <v>907.33</v>
      </c>
    </row>
    <row r="51" spans="1:10" ht="25.5">
      <c r="A51" s="260">
        <v>44</v>
      </c>
      <c r="B51" s="261" t="s">
        <v>304</v>
      </c>
      <c r="C51" s="336" t="s">
        <v>357</v>
      </c>
      <c r="D51" s="368" t="s">
        <v>421</v>
      </c>
      <c r="E51" s="336">
        <v>73182200</v>
      </c>
      <c r="F51" s="63">
        <v>5</v>
      </c>
      <c r="G51" s="63" t="s">
        <v>437</v>
      </c>
      <c r="H51" s="370">
        <v>6.99</v>
      </c>
      <c r="I51" s="344">
        <v>181.47</v>
      </c>
      <c r="J51" s="367">
        <v>907.33</v>
      </c>
    </row>
    <row r="52" spans="1:10" ht="25.5">
      <c r="A52" s="260">
        <v>45</v>
      </c>
      <c r="B52" s="261" t="s">
        <v>304</v>
      </c>
      <c r="C52" s="336" t="s">
        <v>358</v>
      </c>
      <c r="D52" s="368" t="s">
        <v>422</v>
      </c>
      <c r="E52" s="336">
        <v>73269099</v>
      </c>
      <c r="F52" s="63">
        <v>5</v>
      </c>
      <c r="G52" s="63" t="s">
        <v>437</v>
      </c>
      <c r="H52" s="370">
        <v>4.32</v>
      </c>
      <c r="I52" s="344">
        <v>181.47</v>
      </c>
      <c r="J52" s="367">
        <v>907.33</v>
      </c>
    </row>
    <row r="53" spans="1:10" ht="37.5">
      <c r="A53" s="260">
        <v>46</v>
      </c>
      <c r="B53" s="261" t="s">
        <v>305</v>
      </c>
      <c r="C53" s="336" t="s">
        <v>353</v>
      </c>
      <c r="D53" s="368" t="s">
        <v>419</v>
      </c>
      <c r="E53" s="336">
        <v>73181590</v>
      </c>
      <c r="F53" s="63">
        <v>5</v>
      </c>
      <c r="G53" s="63" t="s">
        <v>214</v>
      </c>
      <c r="H53" s="370">
        <v>663.1</v>
      </c>
      <c r="I53" s="344">
        <v>181.47</v>
      </c>
      <c r="J53" s="367">
        <v>907.33</v>
      </c>
    </row>
    <row r="54" spans="1:10" ht="25.5">
      <c r="A54" s="260">
        <v>47</v>
      </c>
      <c r="B54" s="261" t="s">
        <v>305</v>
      </c>
      <c r="C54" s="336" t="s">
        <v>355</v>
      </c>
      <c r="D54" s="368" t="s">
        <v>420</v>
      </c>
      <c r="E54" s="336">
        <v>73181690</v>
      </c>
      <c r="F54" s="63">
        <v>5</v>
      </c>
      <c r="G54" s="63" t="s">
        <v>437</v>
      </c>
      <c r="H54" s="370">
        <v>25.59</v>
      </c>
      <c r="I54" s="344">
        <v>181.47</v>
      </c>
      <c r="J54" s="367">
        <v>907.33</v>
      </c>
    </row>
    <row r="55" spans="1:10" ht="25.5">
      <c r="A55" s="260">
        <v>48</v>
      </c>
      <c r="B55" s="261" t="s">
        <v>305</v>
      </c>
      <c r="C55" s="336" t="s">
        <v>357</v>
      </c>
      <c r="D55" s="368" t="s">
        <v>421</v>
      </c>
      <c r="E55" s="336">
        <v>73182200</v>
      </c>
      <c r="F55" s="63">
        <v>5</v>
      </c>
      <c r="G55" s="63" t="s">
        <v>437</v>
      </c>
      <c r="H55" s="370">
        <v>6.99</v>
      </c>
      <c r="I55" s="344">
        <v>181.47</v>
      </c>
      <c r="J55" s="367">
        <v>907.33</v>
      </c>
    </row>
    <row r="56" spans="1:10" ht="25.5">
      <c r="A56" s="260">
        <v>49</v>
      </c>
      <c r="B56" s="261" t="s">
        <v>305</v>
      </c>
      <c r="C56" s="336" t="s">
        <v>358</v>
      </c>
      <c r="D56" s="368" t="s">
        <v>422</v>
      </c>
      <c r="E56" s="336">
        <v>73269099</v>
      </c>
      <c r="F56" s="63">
        <v>5</v>
      </c>
      <c r="G56" s="63" t="s">
        <v>437</v>
      </c>
      <c r="H56" s="370">
        <v>4.32</v>
      </c>
      <c r="I56" s="344">
        <v>181.47</v>
      </c>
      <c r="J56" s="367">
        <v>907.33</v>
      </c>
    </row>
    <row r="57" spans="1:10" ht="37.5">
      <c r="A57" s="260">
        <v>50</v>
      </c>
      <c r="B57" s="261" t="s">
        <v>306</v>
      </c>
      <c r="C57" s="336" t="s">
        <v>353</v>
      </c>
      <c r="D57" s="368" t="s">
        <v>419</v>
      </c>
      <c r="E57" s="336">
        <v>73181590</v>
      </c>
      <c r="F57" s="63">
        <v>5</v>
      </c>
      <c r="G57" s="63" t="s">
        <v>214</v>
      </c>
      <c r="H57" s="370">
        <v>663.1</v>
      </c>
      <c r="I57" s="344">
        <v>181.47</v>
      </c>
      <c r="J57" s="367">
        <v>907.33</v>
      </c>
    </row>
    <row r="58" spans="1:10" ht="25.5">
      <c r="A58" s="260">
        <v>51</v>
      </c>
      <c r="B58" s="261" t="s">
        <v>306</v>
      </c>
      <c r="C58" s="336" t="s">
        <v>355</v>
      </c>
      <c r="D58" s="368" t="s">
        <v>420</v>
      </c>
      <c r="E58" s="336">
        <v>73181690</v>
      </c>
      <c r="F58" s="63">
        <v>5</v>
      </c>
      <c r="G58" s="63" t="s">
        <v>437</v>
      </c>
      <c r="H58" s="370">
        <v>25.59</v>
      </c>
      <c r="I58" s="344">
        <v>181.47</v>
      </c>
      <c r="J58" s="367">
        <v>907.33</v>
      </c>
    </row>
    <row r="59" spans="1:10" ht="25.5">
      <c r="A59" s="260">
        <v>52</v>
      </c>
      <c r="B59" s="261" t="s">
        <v>306</v>
      </c>
      <c r="C59" s="336" t="s">
        <v>357</v>
      </c>
      <c r="D59" s="368" t="s">
        <v>421</v>
      </c>
      <c r="E59" s="336">
        <v>73182200</v>
      </c>
      <c r="F59" s="63">
        <v>5</v>
      </c>
      <c r="G59" s="63" t="s">
        <v>437</v>
      </c>
      <c r="H59" s="370">
        <v>6.99</v>
      </c>
      <c r="I59" s="344">
        <v>181.47</v>
      </c>
      <c r="J59" s="367">
        <v>907.33</v>
      </c>
    </row>
    <row r="60" spans="1:10" ht="25.5">
      <c r="A60" s="260">
        <v>53</v>
      </c>
      <c r="B60" s="261" t="s">
        <v>306</v>
      </c>
      <c r="C60" s="336" t="s">
        <v>358</v>
      </c>
      <c r="D60" s="368" t="s">
        <v>422</v>
      </c>
      <c r="E60" s="336">
        <v>73269099</v>
      </c>
      <c r="F60" s="63">
        <v>5</v>
      </c>
      <c r="G60" s="63" t="s">
        <v>437</v>
      </c>
      <c r="H60" s="370">
        <v>4.32</v>
      </c>
      <c r="I60" s="344">
        <v>181.47</v>
      </c>
      <c r="J60" s="367">
        <v>907.33</v>
      </c>
    </row>
    <row r="61" spans="1:10" ht="37.5">
      <c r="A61" s="260">
        <v>54</v>
      </c>
      <c r="B61" s="261" t="s">
        <v>307</v>
      </c>
      <c r="C61" s="336" t="s">
        <v>352</v>
      </c>
      <c r="D61" s="368" t="s">
        <v>419</v>
      </c>
      <c r="E61" s="336">
        <v>73181590</v>
      </c>
      <c r="F61" s="63">
        <v>5</v>
      </c>
      <c r="G61" s="63" t="s">
        <v>214</v>
      </c>
      <c r="H61" s="370">
        <v>663.1</v>
      </c>
      <c r="I61" s="344">
        <v>181.47</v>
      </c>
      <c r="J61" s="367">
        <v>907.33</v>
      </c>
    </row>
    <row r="62" spans="1:10" ht="25.5">
      <c r="A62" s="260">
        <v>55</v>
      </c>
      <c r="B62" s="261" t="s">
        <v>307</v>
      </c>
      <c r="C62" s="336" t="s">
        <v>354</v>
      </c>
      <c r="D62" s="368" t="s">
        <v>420</v>
      </c>
      <c r="E62" s="336">
        <v>73181690</v>
      </c>
      <c r="F62" s="63">
        <v>5</v>
      </c>
      <c r="G62" s="63" t="s">
        <v>437</v>
      </c>
      <c r="H62" s="370">
        <v>25.59</v>
      </c>
      <c r="I62" s="344">
        <v>181.47</v>
      </c>
      <c r="J62" s="367">
        <v>907.33</v>
      </c>
    </row>
    <row r="63" spans="1:10" ht="25.5">
      <c r="A63" s="260">
        <v>56</v>
      </c>
      <c r="B63" s="261" t="s">
        <v>307</v>
      </c>
      <c r="C63" s="336" t="s">
        <v>356</v>
      </c>
      <c r="D63" s="368" t="s">
        <v>421</v>
      </c>
      <c r="E63" s="336">
        <v>73182200</v>
      </c>
      <c r="F63" s="63">
        <v>5</v>
      </c>
      <c r="G63" s="63" t="s">
        <v>437</v>
      </c>
      <c r="H63" s="370">
        <v>6.99</v>
      </c>
      <c r="I63" s="344">
        <v>181.47</v>
      </c>
      <c r="J63" s="367">
        <v>907.33</v>
      </c>
    </row>
    <row r="64" spans="1:10" ht="25.5">
      <c r="A64" s="260">
        <v>57</v>
      </c>
      <c r="B64" s="261" t="s">
        <v>307</v>
      </c>
      <c r="C64" s="336" t="s">
        <v>233</v>
      </c>
      <c r="D64" s="368" t="s">
        <v>422</v>
      </c>
      <c r="E64" s="336">
        <v>73269099</v>
      </c>
      <c r="F64" s="63">
        <v>5</v>
      </c>
      <c r="G64" s="63" t="s">
        <v>437</v>
      </c>
      <c r="H64" s="370">
        <v>4.32</v>
      </c>
      <c r="I64" s="344">
        <v>181.47</v>
      </c>
      <c r="J64" s="367">
        <v>907.33</v>
      </c>
    </row>
    <row r="65" spans="1:10" ht="37.5">
      <c r="A65" s="260">
        <v>58</v>
      </c>
      <c r="B65" s="261" t="s">
        <v>308</v>
      </c>
      <c r="C65" s="336" t="s">
        <v>353</v>
      </c>
      <c r="D65" s="368" t="s">
        <v>419</v>
      </c>
      <c r="E65" s="336">
        <v>73181590</v>
      </c>
      <c r="F65" s="63">
        <v>5</v>
      </c>
      <c r="G65" s="63" t="s">
        <v>214</v>
      </c>
      <c r="H65" s="370">
        <v>663.1</v>
      </c>
      <c r="I65" s="344">
        <v>181.47</v>
      </c>
      <c r="J65" s="367">
        <v>907.33</v>
      </c>
    </row>
    <row r="66" spans="1:10" ht="25.5">
      <c r="A66" s="260">
        <v>59</v>
      </c>
      <c r="B66" s="261" t="s">
        <v>308</v>
      </c>
      <c r="C66" s="336" t="s">
        <v>355</v>
      </c>
      <c r="D66" s="368" t="s">
        <v>420</v>
      </c>
      <c r="E66" s="336">
        <v>73181690</v>
      </c>
      <c r="F66" s="63">
        <v>5</v>
      </c>
      <c r="G66" s="63" t="s">
        <v>437</v>
      </c>
      <c r="H66" s="370">
        <v>25.59</v>
      </c>
      <c r="I66" s="344">
        <v>181.47</v>
      </c>
      <c r="J66" s="367">
        <v>907.33</v>
      </c>
    </row>
    <row r="67" spans="1:10" ht="25.5">
      <c r="A67" s="260">
        <v>60</v>
      </c>
      <c r="B67" s="261" t="s">
        <v>308</v>
      </c>
      <c r="C67" s="336" t="s">
        <v>357</v>
      </c>
      <c r="D67" s="368" t="s">
        <v>421</v>
      </c>
      <c r="E67" s="336">
        <v>73182200</v>
      </c>
      <c r="F67" s="63">
        <v>5</v>
      </c>
      <c r="G67" s="63" t="s">
        <v>437</v>
      </c>
      <c r="H67" s="370">
        <v>6.99</v>
      </c>
      <c r="I67" s="344">
        <v>181.47</v>
      </c>
      <c r="J67" s="367">
        <v>907.33</v>
      </c>
    </row>
    <row r="68" spans="1:10" ht="25.5">
      <c r="A68" s="260">
        <v>61</v>
      </c>
      <c r="B68" s="261" t="s">
        <v>308</v>
      </c>
      <c r="C68" s="336" t="s">
        <v>358</v>
      </c>
      <c r="D68" s="368" t="s">
        <v>422</v>
      </c>
      <c r="E68" s="336">
        <v>73269099</v>
      </c>
      <c r="F68" s="63">
        <v>5</v>
      </c>
      <c r="G68" s="63" t="s">
        <v>437</v>
      </c>
      <c r="H68" s="370">
        <v>4.32</v>
      </c>
      <c r="I68" s="344">
        <v>181.47</v>
      </c>
      <c r="J68" s="367">
        <v>907.33</v>
      </c>
    </row>
    <row r="69" spans="1:10" ht="37.5">
      <c r="A69" s="63">
        <v>62</v>
      </c>
      <c r="B69" s="261" t="s">
        <v>309</v>
      </c>
      <c r="C69" s="336" t="s">
        <v>353</v>
      </c>
      <c r="D69" s="368" t="s">
        <v>419</v>
      </c>
      <c r="E69" s="336">
        <v>73181590</v>
      </c>
      <c r="F69" s="63">
        <v>5</v>
      </c>
      <c r="G69" s="63" t="s">
        <v>214</v>
      </c>
      <c r="H69" s="370">
        <v>663.1</v>
      </c>
      <c r="I69" s="344">
        <v>181.47</v>
      </c>
      <c r="J69" s="367">
        <v>907.33</v>
      </c>
    </row>
    <row r="70" spans="1:10" ht="25.5">
      <c r="A70" s="63">
        <v>63</v>
      </c>
      <c r="B70" s="261" t="s">
        <v>309</v>
      </c>
      <c r="C70" s="336" t="s">
        <v>355</v>
      </c>
      <c r="D70" s="368" t="s">
        <v>420</v>
      </c>
      <c r="E70" s="336">
        <v>73181690</v>
      </c>
      <c r="F70" s="63">
        <v>5</v>
      </c>
      <c r="G70" s="63" t="s">
        <v>437</v>
      </c>
      <c r="H70" s="370">
        <v>25.59</v>
      </c>
      <c r="I70" s="344">
        <v>181.47</v>
      </c>
      <c r="J70" s="367">
        <v>907.33</v>
      </c>
    </row>
    <row r="71" spans="1:10" ht="25.5">
      <c r="A71" s="260">
        <v>64</v>
      </c>
      <c r="B71" s="261" t="s">
        <v>309</v>
      </c>
      <c r="C71" s="336" t="s">
        <v>357</v>
      </c>
      <c r="D71" s="368" t="s">
        <v>421</v>
      </c>
      <c r="E71" s="336">
        <v>73182200</v>
      </c>
      <c r="F71" s="63">
        <v>5</v>
      </c>
      <c r="G71" s="63" t="s">
        <v>437</v>
      </c>
      <c r="H71" s="370">
        <v>6.99</v>
      </c>
      <c r="I71" s="344">
        <v>181.47</v>
      </c>
      <c r="J71" s="367">
        <v>907.33</v>
      </c>
    </row>
    <row r="72" spans="1:10" ht="25.5">
      <c r="A72" s="260">
        <v>65</v>
      </c>
      <c r="B72" s="261" t="s">
        <v>309</v>
      </c>
      <c r="C72" s="336" t="s">
        <v>358</v>
      </c>
      <c r="D72" s="368" t="s">
        <v>422</v>
      </c>
      <c r="E72" s="336">
        <v>73269099</v>
      </c>
      <c r="F72" s="63">
        <v>5</v>
      </c>
      <c r="G72" s="63" t="s">
        <v>437</v>
      </c>
      <c r="H72" s="370">
        <v>4.32</v>
      </c>
      <c r="I72" s="344">
        <v>181.47</v>
      </c>
      <c r="J72" s="367">
        <v>907.33</v>
      </c>
    </row>
    <row r="73" spans="1:10" ht="37.5">
      <c r="A73" s="260">
        <v>66</v>
      </c>
      <c r="B73" s="261" t="s">
        <v>310</v>
      </c>
      <c r="C73" s="336" t="s">
        <v>353</v>
      </c>
      <c r="D73" s="368" t="s">
        <v>419</v>
      </c>
      <c r="E73" s="336">
        <v>73181590</v>
      </c>
      <c r="F73" s="63">
        <v>5</v>
      </c>
      <c r="G73" s="63" t="s">
        <v>214</v>
      </c>
      <c r="H73" s="370">
        <v>638.1</v>
      </c>
      <c r="I73" s="344">
        <v>174.98</v>
      </c>
      <c r="J73" s="367">
        <v>874.92</v>
      </c>
    </row>
    <row r="74" spans="1:10" ht="25.5">
      <c r="A74" s="260">
        <v>67</v>
      </c>
      <c r="B74" s="261" t="s">
        <v>310</v>
      </c>
      <c r="C74" s="336" t="s">
        <v>355</v>
      </c>
      <c r="D74" s="368" t="s">
        <v>420</v>
      </c>
      <c r="E74" s="336">
        <v>73181690</v>
      </c>
      <c r="F74" s="63">
        <v>5</v>
      </c>
      <c r="G74" s="63" t="s">
        <v>437</v>
      </c>
      <c r="H74" s="370">
        <v>25.59</v>
      </c>
      <c r="I74" s="344">
        <v>174.98</v>
      </c>
      <c r="J74" s="367">
        <v>874.92</v>
      </c>
    </row>
    <row r="75" spans="1:10" ht="25.5">
      <c r="A75" s="260">
        <v>68</v>
      </c>
      <c r="B75" s="261" t="s">
        <v>310</v>
      </c>
      <c r="C75" s="336" t="s">
        <v>357</v>
      </c>
      <c r="D75" s="368" t="s">
        <v>421</v>
      </c>
      <c r="E75" s="336">
        <v>73182200</v>
      </c>
      <c r="F75" s="63">
        <v>5</v>
      </c>
      <c r="G75" s="63" t="s">
        <v>437</v>
      </c>
      <c r="H75" s="370">
        <v>6.99</v>
      </c>
      <c r="I75" s="344">
        <v>174.98</v>
      </c>
      <c r="J75" s="367">
        <v>874.92</v>
      </c>
    </row>
    <row r="76" spans="1:10" ht="25.5">
      <c r="A76" s="260">
        <v>69</v>
      </c>
      <c r="B76" s="261" t="s">
        <v>310</v>
      </c>
      <c r="C76" s="336" t="s">
        <v>358</v>
      </c>
      <c r="D76" s="368" t="s">
        <v>422</v>
      </c>
      <c r="E76" s="336">
        <v>73269099</v>
      </c>
      <c r="F76" s="63">
        <v>5</v>
      </c>
      <c r="G76" s="63" t="s">
        <v>437</v>
      </c>
      <c r="H76" s="370">
        <v>4.32</v>
      </c>
      <c r="I76" s="344">
        <v>174.98</v>
      </c>
      <c r="J76" s="367">
        <v>874.92</v>
      </c>
    </row>
    <row r="77" spans="1:10" ht="37.5">
      <c r="A77" s="260">
        <v>70</v>
      </c>
      <c r="B77" s="261" t="s">
        <v>311</v>
      </c>
      <c r="C77" s="336" t="s">
        <v>353</v>
      </c>
      <c r="D77" s="368" t="s">
        <v>423</v>
      </c>
      <c r="E77" s="336">
        <v>73181590</v>
      </c>
      <c r="F77" s="63">
        <v>5</v>
      </c>
      <c r="G77" s="63" t="s">
        <v>214</v>
      </c>
      <c r="H77" s="370">
        <v>638.1</v>
      </c>
      <c r="I77" s="344">
        <v>174.98</v>
      </c>
      <c r="J77" s="367">
        <v>874.92</v>
      </c>
    </row>
    <row r="78" spans="1:10" ht="25.5">
      <c r="A78" s="260">
        <v>71</v>
      </c>
      <c r="B78" s="261" t="s">
        <v>311</v>
      </c>
      <c r="C78" s="336" t="s">
        <v>355</v>
      </c>
      <c r="D78" s="368" t="s">
        <v>420</v>
      </c>
      <c r="E78" s="336">
        <v>73181690</v>
      </c>
      <c r="F78" s="63">
        <v>5</v>
      </c>
      <c r="G78" s="63" t="s">
        <v>437</v>
      </c>
      <c r="H78" s="370">
        <v>25.59</v>
      </c>
      <c r="I78" s="344">
        <v>174.98</v>
      </c>
      <c r="J78" s="367">
        <v>874.92</v>
      </c>
    </row>
    <row r="79" spans="1:10" ht="25.5">
      <c r="A79" s="260">
        <v>72</v>
      </c>
      <c r="B79" s="261" t="s">
        <v>311</v>
      </c>
      <c r="C79" s="336" t="s">
        <v>357</v>
      </c>
      <c r="D79" s="368" t="s">
        <v>421</v>
      </c>
      <c r="E79" s="336">
        <v>73182200</v>
      </c>
      <c r="F79" s="63">
        <v>5</v>
      </c>
      <c r="G79" s="63" t="s">
        <v>437</v>
      </c>
      <c r="H79" s="370">
        <v>6.99</v>
      </c>
      <c r="I79" s="344">
        <v>174.98</v>
      </c>
      <c r="J79" s="367">
        <v>874.92</v>
      </c>
    </row>
    <row r="80" spans="1:10" ht="25.5">
      <c r="A80" s="260">
        <v>73</v>
      </c>
      <c r="B80" s="261" t="s">
        <v>311</v>
      </c>
      <c r="C80" s="336" t="s">
        <v>358</v>
      </c>
      <c r="D80" s="368" t="s">
        <v>422</v>
      </c>
      <c r="E80" s="336">
        <v>73269099</v>
      </c>
      <c r="F80" s="63">
        <v>5</v>
      </c>
      <c r="G80" s="63" t="s">
        <v>437</v>
      </c>
      <c r="H80" s="370">
        <v>4.32</v>
      </c>
      <c r="I80" s="344">
        <v>174.98</v>
      </c>
      <c r="J80" s="367">
        <v>874.92</v>
      </c>
    </row>
    <row r="81" spans="1:10" ht="37.5">
      <c r="A81" s="260">
        <v>74</v>
      </c>
      <c r="B81" s="261" t="s">
        <v>312</v>
      </c>
      <c r="C81" s="336" t="s">
        <v>353</v>
      </c>
      <c r="D81" s="368" t="s">
        <v>423</v>
      </c>
      <c r="E81" s="336">
        <v>73181590</v>
      </c>
      <c r="F81" s="63">
        <v>5</v>
      </c>
      <c r="G81" s="63" t="s">
        <v>214</v>
      </c>
      <c r="H81" s="370">
        <v>638.1</v>
      </c>
      <c r="I81" s="344">
        <v>174.98</v>
      </c>
      <c r="J81" s="367">
        <v>874.92</v>
      </c>
    </row>
    <row r="82" spans="1:10" ht="25.5">
      <c r="A82" s="260">
        <v>75</v>
      </c>
      <c r="B82" s="261" t="s">
        <v>312</v>
      </c>
      <c r="C82" s="336" t="s">
        <v>355</v>
      </c>
      <c r="D82" s="368" t="s">
        <v>420</v>
      </c>
      <c r="E82" s="336">
        <v>73181690</v>
      </c>
      <c r="F82" s="63">
        <v>5</v>
      </c>
      <c r="G82" s="63" t="s">
        <v>437</v>
      </c>
      <c r="H82" s="370">
        <v>25.59</v>
      </c>
      <c r="I82" s="344">
        <v>174.98</v>
      </c>
      <c r="J82" s="367">
        <v>874.92</v>
      </c>
    </row>
    <row r="83" spans="1:10" ht="25.5">
      <c r="A83" s="260">
        <v>76</v>
      </c>
      <c r="B83" s="261" t="s">
        <v>312</v>
      </c>
      <c r="C83" s="336" t="s">
        <v>357</v>
      </c>
      <c r="D83" s="368" t="s">
        <v>421</v>
      </c>
      <c r="E83" s="336">
        <v>73182200</v>
      </c>
      <c r="F83" s="63">
        <v>5</v>
      </c>
      <c r="G83" s="63" t="s">
        <v>437</v>
      </c>
      <c r="H83" s="370">
        <v>6.99</v>
      </c>
      <c r="I83" s="344">
        <v>174.98</v>
      </c>
      <c r="J83" s="367">
        <v>874.92</v>
      </c>
    </row>
    <row r="84" spans="1:10" ht="25.5">
      <c r="A84" s="260">
        <v>77</v>
      </c>
      <c r="B84" s="261" t="s">
        <v>312</v>
      </c>
      <c r="C84" s="336" t="s">
        <v>358</v>
      </c>
      <c r="D84" s="368" t="s">
        <v>422</v>
      </c>
      <c r="E84" s="336">
        <v>73269099</v>
      </c>
      <c r="F84" s="63">
        <v>5</v>
      </c>
      <c r="G84" s="63" t="s">
        <v>437</v>
      </c>
      <c r="H84" s="370">
        <v>4.32</v>
      </c>
      <c r="I84" s="344">
        <v>174.98</v>
      </c>
      <c r="J84" s="367">
        <v>874.92</v>
      </c>
    </row>
    <row r="85" spans="1:10" ht="37.5">
      <c r="A85" s="260">
        <v>78</v>
      </c>
      <c r="B85" s="261" t="s">
        <v>313</v>
      </c>
      <c r="C85" s="336" t="s">
        <v>353</v>
      </c>
      <c r="D85" s="368" t="s">
        <v>423</v>
      </c>
      <c r="E85" s="336">
        <v>73181590</v>
      </c>
      <c r="F85" s="63">
        <v>5</v>
      </c>
      <c r="G85" s="63" t="s">
        <v>214</v>
      </c>
      <c r="H85" s="370">
        <v>638.1</v>
      </c>
      <c r="I85" s="344">
        <v>174.98</v>
      </c>
      <c r="J85" s="367">
        <v>874.92</v>
      </c>
    </row>
    <row r="86" spans="1:10" ht="25.5">
      <c r="A86" s="260">
        <v>79</v>
      </c>
      <c r="B86" s="261" t="s">
        <v>313</v>
      </c>
      <c r="C86" s="336" t="s">
        <v>355</v>
      </c>
      <c r="D86" s="368" t="s">
        <v>420</v>
      </c>
      <c r="E86" s="336">
        <v>73181690</v>
      </c>
      <c r="F86" s="63">
        <v>5</v>
      </c>
      <c r="G86" s="63" t="s">
        <v>437</v>
      </c>
      <c r="H86" s="370">
        <v>25.59</v>
      </c>
      <c r="I86" s="344">
        <v>174.98</v>
      </c>
      <c r="J86" s="367">
        <v>874.92</v>
      </c>
    </row>
    <row r="87" spans="1:10" ht="25.5">
      <c r="A87" s="260">
        <v>80</v>
      </c>
      <c r="B87" s="261" t="s">
        <v>313</v>
      </c>
      <c r="C87" s="336" t="s">
        <v>357</v>
      </c>
      <c r="D87" s="368" t="s">
        <v>421</v>
      </c>
      <c r="E87" s="336">
        <v>73182200</v>
      </c>
      <c r="F87" s="63">
        <v>5</v>
      </c>
      <c r="G87" s="63" t="s">
        <v>437</v>
      </c>
      <c r="H87" s="370">
        <v>6.99</v>
      </c>
      <c r="I87" s="344">
        <v>174.98</v>
      </c>
      <c r="J87" s="367">
        <v>874.92</v>
      </c>
    </row>
    <row r="88" spans="1:10" ht="25.5">
      <c r="A88" s="260">
        <v>81</v>
      </c>
      <c r="B88" s="261" t="s">
        <v>313</v>
      </c>
      <c r="C88" s="336" t="s">
        <v>358</v>
      </c>
      <c r="D88" s="368" t="s">
        <v>422</v>
      </c>
      <c r="E88" s="336">
        <v>73269099</v>
      </c>
      <c r="F88" s="63">
        <v>5</v>
      </c>
      <c r="G88" s="63" t="s">
        <v>437</v>
      </c>
      <c r="H88" s="370">
        <v>4.32</v>
      </c>
      <c r="I88" s="344">
        <v>174.98</v>
      </c>
      <c r="J88" s="367">
        <v>874.92</v>
      </c>
    </row>
    <row r="89" spans="1:10" ht="37.5">
      <c r="A89" s="260">
        <v>82</v>
      </c>
      <c r="B89" s="261" t="s">
        <v>314</v>
      </c>
      <c r="C89" s="336" t="s">
        <v>353</v>
      </c>
      <c r="D89" s="368" t="s">
        <v>423</v>
      </c>
      <c r="E89" s="336">
        <v>73181590</v>
      </c>
      <c r="F89" s="63">
        <v>2</v>
      </c>
      <c r="G89" s="63" t="s">
        <v>214</v>
      </c>
      <c r="H89" s="370">
        <v>255.4</v>
      </c>
      <c r="I89" s="344">
        <v>174.99</v>
      </c>
      <c r="J89" s="367">
        <v>349.97</v>
      </c>
    </row>
    <row r="90" spans="1:10" ht="25.5">
      <c r="A90" s="260">
        <v>83</v>
      </c>
      <c r="B90" s="261" t="s">
        <v>314</v>
      </c>
      <c r="C90" s="336" t="s">
        <v>355</v>
      </c>
      <c r="D90" s="368" t="s">
        <v>420</v>
      </c>
      <c r="E90" s="336">
        <v>73181690</v>
      </c>
      <c r="F90" s="63">
        <v>2</v>
      </c>
      <c r="G90" s="63" t="s">
        <v>437</v>
      </c>
      <c r="H90" s="370">
        <v>10.199999999999999</v>
      </c>
      <c r="I90" s="344">
        <v>174.99</v>
      </c>
      <c r="J90" s="367">
        <v>349.97</v>
      </c>
    </row>
    <row r="91" spans="1:10" ht="25.5">
      <c r="A91" s="260">
        <v>84</v>
      </c>
      <c r="B91" s="261" t="s">
        <v>314</v>
      </c>
      <c r="C91" s="336" t="s">
        <v>357</v>
      </c>
      <c r="D91" s="368" t="s">
        <v>421</v>
      </c>
      <c r="E91" s="336">
        <v>73182200</v>
      </c>
      <c r="F91" s="63">
        <v>2</v>
      </c>
      <c r="G91" s="63" t="s">
        <v>437</v>
      </c>
      <c r="H91" s="370">
        <v>2.7</v>
      </c>
      <c r="I91" s="344">
        <v>174.99</v>
      </c>
      <c r="J91" s="367">
        <v>349.97</v>
      </c>
    </row>
    <row r="92" spans="1:10" ht="25.5">
      <c r="A92" s="260">
        <v>85</v>
      </c>
      <c r="B92" s="261" t="s">
        <v>314</v>
      </c>
      <c r="C92" s="336" t="s">
        <v>358</v>
      </c>
      <c r="D92" s="368" t="s">
        <v>422</v>
      </c>
      <c r="E92" s="336">
        <v>73269099</v>
      </c>
      <c r="F92" s="63">
        <v>2</v>
      </c>
      <c r="G92" s="63" t="s">
        <v>437</v>
      </c>
      <c r="H92" s="370">
        <v>1.7</v>
      </c>
      <c r="I92" s="344">
        <v>174.99</v>
      </c>
      <c r="J92" s="367">
        <v>349.97</v>
      </c>
    </row>
    <row r="93" spans="1:10" ht="37.5">
      <c r="A93" s="260">
        <v>86</v>
      </c>
      <c r="B93" s="261" t="s">
        <v>314</v>
      </c>
      <c r="C93" s="336" t="s">
        <v>353</v>
      </c>
      <c r="D93" s="368" t="s">
        <v>423</v>
      </c>
      <c r="E93" s="336">
        <v>73181590</v>
      </c>
      <c r="F93" s="63">
        <v>3</v>
      </c>
      <c r="G93" s="63" t="s">
        <v>214</v>
      </c>
      <c r="H93" s="370">
        <v>383.1</v>
      </c>
      <c r="I93" s="344">
        <v>174.98</v>
      </c>
      <c r="J93" s="367">
        <v>524.95000000000005</v>
      </c>
    </row>
    <row r="94" spans="1:10" ht="25.5">
      <c r="A94" s="260">
        <v>87</v>
      </c>
      <c r="B94" s="261" t="s">
        <v>314</v>
      </c>
      <c r="C94" s="336" t="s">
        <v>355</v>
      </c>
      <c r="D94" s="368" t="s">
        <v>420</v>
      </c>
      <c r="E94" s="336">
        <v>73181690</v>
      </c>
      <c r="F94" s="63">
        <v>3</v>
      </c>
      <c r="G94" s="63" t="s">
        <v>437</v>
      </c>
      <c r="H94" s="370">
        <v>15.3</v>
      </c>
      <c r="I94" s="344">
        <v>174.98</v>
      </c>
      <c r="J94" s="367">
        <v>524.95000000000005</v>
      </c>
    </row>
    <row r="95" spans="1:10" ht="25.5">
      <c r="A95" s="260">
        <v>88</v>
      </c>
      <c r="B95" s="261" t="s">
        <v>314</v>
      </c>
      <c r="C95" s="336" t="s">
        <v>357</v>
      </c>
      <c r="D95" s="368" t="s">
        <v>421</v>
      </c>
      <c r="E95" s="336">
        <v>73182200</v>
      </c>
      <c r="F95" s="63">
        <v>3</v>
      </c>
      <c r="G95" s="63" t="s">
        <v>437</v>
      </c>
      <c r="H95" s="370">
        <v>4.0999999999999996</v>
      </c>
      <c r="I95" s="344">
        <v>174.98</v>
      </c>
      <c r="J95" s="367">
        <v>524.95000000000005</v>
      </c>
    </row>
    <row r="96" spans="1:10" ht="25.5">
      <c r="A96" s="260">
        <v>89</v>
      </c>
      <c r="B96" s="261" t="s">
        <v>314</v>
      </c>
      <c r="C96" s="336" t="s">
        <v>358</v>
      </c>
      <c r="D96" s="368" t="s">
        <v>422</v>
      </c>
      <c r="E96" s="336">
        <v>73269099</v>
      </c>
      <c r="F96" s="63">
        <v>3</v>
      </c>
      <c r="G96" s="63" t="s">
        <v>437</v>
      </c>
      <c r="H96" s="370">
        <v>2.5</v>
      </c>
      <c r="I96" s="344">
        <v>174.98</v>
      </c>
      <c r="J96" s="367">
        <v>524.95000000000005</v>
      </c>
    </row>
    <row r="97" spans="1:10" ht="25.5">
      <c r="A97" s="260">
        <v>90</v>
      </c>
      <c r="B97" s="261" t="s">
        <v>315</v>
      </c>
      <c r="C97" s="336" t="s">
        <v>175</v>
      </c>
      <c r="D97" s="368" t="s">
        <v>424</v>
      </c>
      <c r="E97" s="336">
        <v>73181590</v>
      </c>
      <c r="F97" s="63">
        <v>40</v>
      </c>
      <c r="G97" s="63" t="s">
        <v>214</v>
      </c>
      <c r="H97" s="370">
        <v>434.19</v>
      </c>
      <c r="I97" s="344">
        <v>17.21</v>
      </c>
      <c r="J97" s="367">
        <v>688.27</v>
      </c>
    </row>
    <row r="98" spans="1:10" ht="25.5">
      <c r="A98" s="260">
        <v>91</v>
      </c>
      <c r="B98" s="261" t="s">
        <v>315</v>
      </c>
      <c r="C98" s="336" t="s">
        <v>231</v>
      </c>
      <c r="D98" s="368" t="s">
        <v>425</v>
      </c>
      <c r="E98" s="336">
        <v>73181690</v>
      </c>
      <c r="F98" s="63">
        <v>40</v>
      </c>
      <c r="G98" s="63" t="s">
        <v>437</v>
      </c>
      <c r="H98" s="370">
        <v>62.09</v>
      </c>
      <c r="I98" s="344">
        <v>17.21</v>
      </c>
      <c r="J98" s="367">
        <v>688.27</v>
      </c>
    </row>
    <row r="99" spans="1:10" ht="25.5">
      <c r="A99" s="63">
        <v>92</v>
      </c>
      <c r="B99" s="261" t="s">
        <v>315</v>
      </c>
      <c r="C99" s="336" t="s">
        <v>232</v>
      </c>
      <c r="D99" s="368" t="s">
        <v>426</v>
      </c>
      <c r="E99" s="336">
        <v>73182200</v>
      </c>
      <c r="F99" s="63">
        <v>40</v>
      </c>
      <c r="G99" s="63" t="s">
        <v>437</v>
      </c>
      <c r="H99" s="370">
        <v>11.16</v>
      </c>
      <c r="I99" s="344">
        <v>17.21</v>
      </c>
      <c r="J99" s="367">
        <v>688.27</v>
      </c>
    </row>
    <row r="100" spans="1:10" ht="25.5">
      <c r="A100" s="63">
        <v>93</v>
      </c>
      <c r="B100" s="261" t="s">
        <v>315</v>
      </c>
      <c r="C100" s="336" t="s">
        <v>233</v>
      </c>
      <c r="D100" s="368" t="s">
        <v>427</v>
      </c>
      <c r="E100" s="336">
        <v>73269099</v>
      </c>
      <c r="F100" s="63">
        <v>40</v>
      </c>
      <c r="G100" s="63" t="s">
        <v>437</v>
      </c>
      <c r="H100" s="370">
        <v>23.56</v>
      </c>
      <c r="I100" s="344">
        <v>17.21</v>
      </c>
      <c r="J100" s="367">
        <v>688.27</v>
      </c>
    </row>
    <row r="101" spans="1:10" ht="37.5">
      <c r="A101" s="63">
        <v>94</v>
      </c>
      <c r="B101" s="261" t="s">
        <v>316</v>
      </c>
      <c r="C101" s="336" t="s">
        <v>359</v>
      </c>
      <c r="D101" s="368" t="s">
        <v>428</v>
      </c>
      <c r="E101" s="336">
        <v>73089099</v>
      </c>
      <c r="F101" s="63">
        <v>2</v>
      </c>
      <c r="G101" s="63" t="s">
        <v>214</v>
      </c>
      <c r="H101" s="370">
        <v>23</v>
      </c>
      <c r="I101" s="344">
        <v>59.63</v>
      </c>
      <c r="J101" s="367">
        <v>119.25</v>
      </c>
    </row>
    <row r="102" spans="1:10" ht="25.5">
      <c r="A102" s="63">
        <v>95</v>
      </c>
      <c r="B102" s="261" t="s">
        <v>317</v>
      </c>
      <c r="C102" s="336" t="s">
        <v>361</v>
      </c>
      <c r="D102" s="368" t="s">
        <v>429</v>
      </c>
      <c r="E102" s="336">
        <v>73181590</v>
      </c>
      <c r="F102" s="63">
        <v>24</v>
      </c>
      <c r="G102" s="63" t="s">
        <v>214</v>
      </c>
      <c r="H102" s="370">
        <v>356.46</v>
      </c>
      <c r="I102" s="344">
        <v>22.79</v>
      </c>
      <c r="J102" s="367">
        <v>546.99</v>
      </c>
    </row>
    <row r="103" spans="1:10" ht="25.5">
      <c r="A103" s="63">
        <v>96</v>
      </c>
      <c r="B103" s="261" t="s">
        <v>317</v>
      </c>
      <c r="C103" s="336" t="s">
        <v>363</v>
      </c>
      <c r="D103" s="368" t="s">
        <v>430</v>
      </c>
      <c r="E103" s="336">
        <v>73181690</v>
      </c>
      <c r="F103" s="63">
        <v>24</v>
      </c>
      <c r="G103" s="63" t="s">
        <v>437</v>
      </c>
      <c r="H103" s="370">
        <v>37.25</v>
      </c>
      <c r="I103" s="344">
        <v>22.79</v>
      </c>
      <c r="J103" s="367">
        <v>546.99</v>
      </c>
    </row>
    <row r="104" spans="1:10" ht="25.5">
      <c r="A104" s="260">
        <v>97</v>
      </c>
      <c r="B104" s="261" t="s">
        <v>317</v>
      </c>
      <c r="C104" s="336" t="s">
        <v>364</v>
      </c>
      <c r="D104" s="368" t="s">
        <v>426</v>
      </c>
      <c r="E104" s="336">
        <v>73182200</v>
      </c>
      <c r="F104" s="63">
        <v>24</v>
      </c>
      <c r="G104" s="63" t="s">
        <v>437</v>
      </c>
      <c r="H104" s="370">
        <v>6.69</v>
      </c>
      <c r="I104" s="344">
        <v>22.79</v>
      </c>
      <c r="J104" s="367">
        <v>546.99</v>
      </c>
    </row>
    <row r="105" spans="1:10" ht="37.5">
      <c r="A105" s="260">
        <v>98</v>
      </c>
      <c r="B105" s="261" t="s">
        <v>317</v>
      </c>
      <c r="C105" s="336" t="s">
        <v>366</v>
      </c>
      <c r="D105" s="368" t="s">
        <v>431</v>
      </c>
      <c r="E105" s="336">
        <v>73269099</v>
      </c>
      <c r="F105" s="63">
        <v>24</v>
      </c>
      <c r="G105" s="63" t="s">
        <v>437</v>
      </c>
      <c r="H105" s="370">
        <v>21.6</v>
      </c>
      <c r="I105" s="344">
        <v>4.5599999999999996</v>
      </c>
      <c r="J105" s="367">
        <v>109.4</v>
      </c>
    </row>
    <row r="106" spans="1:10" ht="25.5">
      <c r="A106" s="260">
        <v>99</v>
      </c>
      <c r="B106" s="261" t="s">
        <v>318</v>
      </c>
      <c r="C106" s="336" t="s">
        <v>368</v>
      </c>
      <c r="D106" s="368" t="s">
        <v>432</v>
      </c>
      <c r="E106" s="336">
        <v>73181590</v>
      </c>
      <c r="F106" s="63">
        <v>11</v>
      </c>
      <c r="G106" s="63" t="s">
        <v>214</v>
      </c>
      <c r="H106" s="370">
        <v>90.02</v>
      </c>
      <c r="I106" s="344">
        <v>3.67</v>
      </c>
      <c r="J106" s="367">
        <v>40.409999999999997</v>
      </c>
    </row>
    <row r="107" spans="1:10" ht="25.5">
      <c r="A107" s="260">
        <v>100</v>
      </c>
      <c r="B107" s="261" t="s">
        <v>318</v>
      </c>
      <c r="C107" s="336" t="s">
        <v>370</v>
      </c>
      <c r="D107" s="368" t="s">
        <v>433</v>
      </c>
      <c r="E107" s="336">
        <v>73181690</v>
      </c>
      <c r="F107" s="63">
        <v>22</v>
      </c>
      <c r="G107" s="63" t="s">
        <v>437</v>
      </c>
      <c r="H107" s="370">
        <v>26.88</v>
      </c>
      <c r="I107" s="344">
        <v>18.37</v>
      </c>
      <c r="J107" s="367">
        <v>404.06</v>
      </c>
    </row>
    <row r="108" spans="1:10" ht="25.5">
      <c r="A108" s="260">
        <v>102</v>
      </c>
      <c r="B108" s="261" t="s">
        <v>318</v>
      </c>
      <c r="C108" s="336" t="s">
        <v>233</v>
      </c>
      <c r="D108" s="368" t="s">
        <v>434</v>
      </c>
      <c r="E108" s="336">
        <v>73269099</v>
      </c>
      <c r="F108" s="63">
        <v>11</v>
      </c>
      <c r="G108" s="63" t="s">
        <v>437</v>
      </c>
      <c r="H108" s="370">
        <v>6.28</v>
      </c>
      <c r="I108" s="344">
        <v>18.37</v>
      </c>
      <c r="J108" s="367">
        <v>202.04</v>
      </c>
    </row>
    <row r="109" spans="1:10" ht="37.5">
      <c r="A109" s="260">
        <v>103</v>
      </c>
      <c r="B109" s="261" t="s">
        <v>318</v>
      </c>
      <c r="C109" s="336" t="s">
        <v>177</v>
      </c>
      <c r="D109" s="368" t="s">
        <v>435</v>
      </c>
      <c r="E109" s="336">
        <v>73089099</v>
      </c>
      <c r="F109" s="63">
        <v>4</v>
      </c>
      <c r="G109" s="63" t="s">
        <v>214</v>
      </c>
      <c r="H109" s="370">
        <v>69.83</v>
      </c>
      <c r="I109" s="344">
        <v>18.37</v>
      </c>
      <c r="J109" s="367">
        <v>73.47</v>
      </c>
    </row>
    <row r="110" spans="1:10" ht="25.5">
      <c r="A110" s="260">
        <v>101</v>
      </c>
      <c r="B110" s="261" t="s">
        <v>318</v>
      </c>
      <c r="C110" s="336" t="s">
        <v>243</v>
      </c>
      <c r="D110" s="368" t="s">
        <v>436</v>
      </c>
      <c r="E110" s="336">
        <v>73182200</v>
      </c>
      <c r="F110" s="63">
        <v>11</v>
      </c>
      <c r="G110" s="63" t="s">
        <v>437</v>
      </c>
      <c r="H110" s="370">
        <v>16</v>
      </c>
      <c r="I110" s="344">
        <v>3.67</v>
      </c>
      <c r="J110" s="367">
        <v>40.409999999999997</v>
      </c>
    </row>
    <row r="111" spans="1:10">
      <c r="A111" s="371"/>
      <c r="B111" s="372"/>
      <c r="C111" s="373"/>
      <c r="D111" s="374"/>
      <c r="E111" s="373"/>
      <c r="F111" s="375"/>
      <c r="G111" s="375"/>
      <c r="H111" s="376">
        <f>SUM(H8:H110)</f>
        <v>27300</v>
      </c>
      <c r="I111" s="377" t="e">
        <f>#REF!-H111</f>
        <v>#REF!</v>
      </c>
      <c r="J111" s="367"/>
    </row>
    <row r="112" spans="1:10" s="265" customFormat="1" ht="26.45" customHeight="1">
      <c r="A112" s="67"/>
      <c r="B112" s="68"/>
      <c r="C112" s="69"/>
      <c r="D112" s="69"/>
      <c r="E112" s="69"/>
      <c r="F112" s="525" t="s">
        <v>142</v>
      </c>
      <c r="G112" s="525"/>
      <c r="H112" s="525"/>
      <c r="I112" s="525"/>
      <c r="J112" s="266">
        <f>SUM(J8:J110)</f>
        <v>141543.19000000003</v>
      </c>
    </row>
    <row r="113" spans="1:10" s="265" customFormat="1" ht="26.45" customHeight="1">
      <c r="A113" s="72"/>
      <c r="B113" s="73"/>
      <c r="C113" s="66"/>
      <c r="D113" s="66"/>
      <c r="E113" s="66"/>
      <c r="F113" s="76"/>
      <c r="G113" s="76"/>
      <c r="H113" s="76"/>
      <c r="I113" s="66"/>
      <c r="J113" s="73"/>
    </row>
    <row r="114" spans="1:10" s="265" customFormat="1" ht="26.45" customHeight="1">
      <c r="A114" s="57"/>
      <c r="B114" s="57"/>
      <c r="C114" s="57"/>
      <c r="D114" s="57"/>
      <c r="E114" s="57"/>
      <c r="F114" s="62"/>
      <c r="G114" s="62"/>
      <c r="H114" s="62"/>
      <c r="I114" s="57"/>
      <c r="J114" s="57"/>
    </row>
    <row r="115" spans="1:10" s="265" customFormat="1" ht="26.45" customHeight="1">
      <c r="A115" s="57"/>
      <c r="B115" s="57"/>
      <c r="C115" s="57"/>
      <c r="D115" s="57"/>
      <c r="E115" s="57"/>
      <c r="F115" s="62"/>
      <c r="G115" s="62"/>
      <c r="H115" s="62"/>
      <c r="I115" s="57"/>
      <c r="J115" s="57"/>
    </row>
    <row r="116" spans="1:10" s="265" customFormat="1" ht="26.45" customHeight="1">
      <c r="A116" s="57"/>
      <c r="B116" s="57"/>
      <c r="C116" s="57"/>
      <c r="D116" s="57"/>
      <c r="E116" s="57"/>
      <c r="F116" s="62"/>
      <c r="G116" s="62"/>
      <c r="H116" s="62"/>
      <c r="I116" s="57"/>
      <c r="J116" s="369"/>
    </row>
    <row r="117" spans="1:10" s="265" customFormat="1" ht="26.45" customHeight="1">
      <c r="A117" s="57"/>
      <c r="B117" s="57"/>
      <c r="C117" s="57"/>
      <c r="D117" s="57"/>
      <c r="E117" s="57"/>
      <c r="F117" s="62"/>
      <c r="G117" s="62"/>
      <c r="H117" s="62"/>
      <c r="I117" s="57"/>
      <c r="J117" s="57"/>
    </row>
    <row r="118" spans="1:10" s="265" customFormat="1" ht="26.45" customHeight="1">
      <c r="A118" s="57"/>
      <c r="B118" s="57"/>
      <c r="C118" s="57"/>
      <c r="D118" s="57"/>
      <c r="E118" s="57"/>
      <c r="F118" s="62"/>
      <c r="G118" s="62"/>
      <c r="H118" s="62"/>
      <c r="I118" s="57"/>
      <c r="J118" s="57"/>
    </row>
    <row r="119" spans="1:10" s="265" customFormat="1" ht="26.45" customHeight="1">
      <c r="A119" s="57"/>
      <c r="B119" s="57"/>
      <c r="C119" s="57"/>
      <c r="D119" s="57"/>
      <c r="E119" s="57"/>
      <c r="F119" s="62"/>
      <c r="G119" s="62"/>
      <c r="H119" s="62"/>
      <c r="I119" s="57"/>
      <c r="J119" s="57"/>
    </row>
    <row r="120" spans="1:10" s="265" customFormat="1" ht="26.45" customHeight="1">
      <c r="A120" s="57"/>
      <c r="B120" s="57"/>
      <c r="C120" s="57"/>
      <c r="D120" s="57"/>
      <c r="E120" s="57"/>
      <c r="F120" s="62"/>
      <c r="G120" s="62"/>
      <c r="H120" s="62"/>
      <c r="I120" s="57"/>
      <c r="J120" s="57"/>
    </row>
    <row r="121" spans="1:10" s="265" customFormat="1" ht="26.45" customHeight="1">
      <c r="A121" s="57"/>
      <c r="B121" s="57"/>
      <c r="C121" s="57"/>
      <c r="D121" s="57"/>
      <c r="E121" s="57"/>
      <c r="F121" s="62"/>
      <c r="G121" s="62"/>
      <c r="H121" s="62"/>
      <c r="I121" s="57"/>
      <c r="J121" s="57"/>
    </row>
    <row r="122" spans="1:10" s="265" customFormat="1" ht="26.45" customHeight="1">
      <c r="A122" s="57"/>
      <c r="B122" s="57"/>
      <c r="C122" s="57"/>
      <c r="D122" s="57"/>
      <c r="E122" s="57"/>
      <c r="F122" s="62"/>
      <c r="G122" s="62"/>
      <c r="H122" s="62"/>
      <c r="I122" s="57"/>
      <c r="J122" s="57"/>
    </row>
    <row r="123" spans="1:10" s="265" customFormat="1" ht="26.45" customHeight="1">
      <c r="A123" s="57"/>
      <c r="B123" s="57"/>
      <c r="C123" s="57"/>
      <c r="D123" s="57"/>
      <c r="E123" s="57"/>
      <c r="F123" s="62"/>
      <c r="G123" s="62"/>
      <c r="H123" s="62"/>
      <c r="I123" s="57"/>
      <c r="J123" s="57"/>
    </row>
    <row r="124" spans="1:10" s="265" customFormat="1" ht="26.45" customHeight="1">
      <c r="A124" s="57"/>
      <c r="B124" s="57"/>
      <c r="C124" s="57"/>
      <c r="D124" s="57"/>
      <c r="E124" s="57"/>
      <c r="F124" s="62"/>
      <c r="G124" s="62"/>
      <c r="H124" s="62"/>
      <c r="I124" s="57"/>
      <c r="J124" s="57"/>
    </row>
    <row r="125" spans="1:10" s="265" customFormat="1" ht="26.45" customHeight="1">
      <c r="A125" s="57"/>
      <c r="B125" s="57"/>
      <c r="C125" s="57"/>
      <c r="D125" s="57"/>
      <c r="E125" s="57"/>
      <c r="F125" s="62"/>
      <c r="G125" s="62"/>
      <c r="H125" s="62"/>
      <c r="I125" s="57"/>
      <c r="J125" s="57"/>
    </row>
    <row r="126" spans="1:10" s="265" customFormat="1" ht="26.45" customHeight="1">
      <c r="A126" s="57"/>
      <c r="B126" s="57"/>
      <c r="C126" s="57"/>
      <c r="D126" s="57"/>
      <c r="E126" s="57"/>
      <c r="F126" s="62"/>
      <c r="G126" s="62"/>
      <c r="H126" s="62"/>
      <c r="I126" s="57"/>
      <c r="J126" s="57"/>
    </row>
    <row r="127" spans="1:10" s="265" customFormat="1" ht="26.45" customHeight="1">
      <c r="A127" s="57"/>
      <c r="B127" s="57"/>
      <c r="C127" s="57"/>
      <c r="D127" s="57"/>
      <c r="E127" s="57"/>
      <c r="F127" s="62"/>
      <c r="G127" s="62"/>
      <c r="H127" s="62"/>
      <c r="I127" s="57"/>
      <c r="J127" s="57"/>
    </row>
    <row r="128" spans="1:10" s="265" customFormat="1" ht="26.45" customHeight="1">
      <c r="A128" s="57"/>
      <c r="B128" s="57"/>
      <c r="C128" s="57"/>
      <c r="D128" s="57"/>
      <c r="E128" s="57"/>
      <c r="F128" s="62"/>
      <c r="G128" s="62"/>
      <c r="H128" s="62"/>
      <c r="I128" s="57"/>
      <c r="J128" s="57"/>
    </row>
    <row r="129" spans="1:10" s="265" customFormat="1" ht="26.45" customHeight="1">
      <c r="A129" s="57"/>
      <c r="B129" s="57"/>
      <c r="C129" s="57"/>
      <c r="D129" s="57"/>
      <c r="E129" s="57"/>
      <c r="F129" s="62"/>
      <c r="G129" s="62"/>
      <c r="H129" s="62"/>
      <c r="I129" s="57"/>
      <c r="J129" s="57"/>
    </row>
    <row r="130" spans="1:10" s="265" customFormat="1" ht="26.45" customHeight="1">
      <c r="A130" s="57"/>
      <c r="B130" s="57"/>
      <c r="C130" s="57"/>
      <c r="D130" s="57"/>
      <c r="E130" s="57"/>
      <c r="F130" s="62"/>
      <c r="G130" s="62"/>
      <c r="H130" s="62"/>
      <c r="I130" s="57"/>
      <c r="J130" s="57"/>
    </row>
    <row r="131" spans="1:10" s="265" customFormat="1" ht="26.45" customHeight="1">
      <c r="A131" s="57"/>
      <c r="B131" s="57"/>
      <c r="C131" s="57"/>
      <c r="D131" s="57"/>
      <c r="E131" s="57"/>
      <c r="F131" s="62"/>
      <c r="G131" s="62"/>
      <c r="H131" s="62"/>
      <c r="I131" s="57"/>
      <c r="J131" s="57"/>
    </row>
    <row r="132" spans="1:10" s="265" customFormat="1" ht="26.45" customHeight="1">
      <c r="A132" s="57"/>
      <c r="B132" s="57"/>
      <c r="C132" s="57"/>
      <c r="D132" s="57"/>
      <c r="E132" s="57"/>
      <c r="F132" s="62"/>
      <c r="G132" s="62"/>
      <c r="H132" s="62"/>
      <c r="I132" s="57"/>
      <c r="J132" s="57"/>
    </row>
    <row r="133" spans="1:10" s="265" customFormat="1" ht="26.45" customHeight="1">
      <c r="A133" s="57"/>
      <c r="B133" s="57"/>
      <c r="C133" s="57"/>
      <c r="D133" s="57"/>
      <c r="E133" s="57"/>
      <c r="F133" s="62"/>
      <c r="G133" s="62"/>
      <c r="H133" s="62"/>
      <c r="I133" s="57"/>
      <c r="J133" s="57"/>
    </row>
    <row r="134" spans="1:10" s="265" customFormat="1" ht="26.45" customHeight="1">
      <c r="A134" s="57"/>
      <c r="B134" s="57"/>
      <c r="C134" s="57"/>
      <c r="D134" s="57"/>
      <c r="E134" s="57"/>
      <c r="F134" s="62"/>
      <c r="G134" s="62"/>
      <c r="H134" s="62"/>
      <c r="I134" s="57"/>
      <c r="J134" s="57"/>
    </row>
    <row r="135" spans="1:10" s="265" customFormat="1" ht="26.45" customHeight="1">
      <c r="A135" s="57"/>
      <c r="B135" s="57"/>
      <c r="C135" s="57"/>
      <c r="D135" s="57"/>
      <c r="E135" s="57"/>
      <c r="F135" s="62"/>
      <c r="G135" s="62"/>
      <c r="H135" s="62"/>
      <c r="I135" s="57"/>
      <c r="J135" s="57"/>
    </row>
    <row r="136" spans="1:10" ht="14.1" customHeight="1"/>
    <row r="137" spans="1:10" ht="14.1" customHeight="1"/>
  </sheetData>
  <autoFilter ref="A7:J135" xr:uid="{00000000-0001-0000-0100-000000000000}"/>
  <mergeCells count="3">
    <mergeCell ref="A5:B5"/>
    <mergeCell ref="F5:H5"/>
    <mergeCell ref="F112:I112"/>
  </mergeCells>
  <printOptions horizontalCentered="1"/>
  <pageMargins left="0.70866141732283472" right="0.31496062992125984" top="0.74803149606299213" bottom="0.74803149606299213" header="0.31496062992125984" footer="0.31496062992125984"/>
  <pageSetup paperSize="9" scale="72"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O46"/>
  <sheetViews>
    <sheetView showGridLines="0" view="pageBreakPreview" topLeftCell="B1" zoomScale="80" zoomScaleNormal="100" zoomScaleSheetLayoutView="80" workbookViewId="0">
      <selection activeCell="B23" sqref="B23:F23"/>
    </sheetView>
  </sheetViews>
  <sheetFormatPr defaultColWidth="9.5859375" defaultRowHeight="17.25" customHeight="1"/>
  <cols>
    <col min="1" max="1" width="1.51953125" style="7" customWidth="1"/>
    <col min="2" max="2" width="27.36328125" style="7" customWidth="1"/>
    <col min="3" max="3" width="1.8710937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2.39453125" style="56" bestFit="1" customWidth="1"/>
    <col min="12" max="12" width="7.71484375" style="6" customWidth="1"/>
    <col min="13" max="13" width="10.875" style="7" bestFit="1" customWidth="1"/>
    <col min="14" max="14" width="12.39453125" style="7" bestFit="1" customWidth="1"/>
    <col min="15" max="15" width="10.875" style="7" bestFit="1" customWidth="1"/>
    <col min="16" max="16384" width="9.5859375" style="7"/>
  </cols>
  <sheetData>
    <row r="1" spans="1:14" ht="21.95" customHeight="1">
      <c r="A1" s="1"/>
      <c r="B1" s="2"/>
      <c r="C1" s="2"/>
      <c r="D1" s="2"/>
      <c r="E1" s="2"/>
      <c r="F1" s="2"/>
      <c r="G1" s="3"/>
      <c r="H1" s="3"/>
      <c r="I1" s="3"/>
      <c r="J1" s="4"/>
      <c r="K1" s="5"/>
    </row>
    <row r="2" spans="1:14" ht="21.95" customHeight="1">
      <c r="A2" s="8"/>
      <c r="J2" s="133"/>
      <c r="K2" s="9"/>
    </row>
    <row r="3" spans="1:14" ht="37.5" customHeight="1">
      <c r="A3" s="10"/>
      <c r="B3" s="482" t="s">
        <v>112</v>
      </c>
      <c r="C3" s="483"/>
      <c r="D3" s="483"/>
      <c r="E3" s="483"/>
      <c r="F3" s="134"/>
      <c r="G3" s="135"/>
      <c r="H3" s="482"/>
      <c r="I3" s="483"/>
      <c r="J3" s="483"/>
      <c r="K3" s="484"/>
    </row>
    <row r="4" spans="1:14" s="13" customFormat="1" ht="24.75" customHeight="1">
      <c r="A4" s="485" t="s">
        <v>1</v>
      </c>
      <c r="B4" s="486"/>
      <c r="C4" s="486"/>
      <c r="D4" s="486"/>
      <c r="E4" s="486"/>
      <c r="F4" s="486"/>
      <c r="G4" s="486"/>
      <c r="H4" s="486"/>
      <c r="I4" s="486"/>
      <c r="J4" s="486"/>
      <c r="K4" s="487"/>
      <c r="L4" s="11"/>
      <c r="M4" s="12"/>
      <c r="N4" s="12"/>
    </row>
    <row r="5" spans="1:14" s="13" customFormat="1" ht="15.95" customHeight="1">
      <c r="A5" s="182" t="s">
        <v>2</v>
      </c>
      <c r="B5" s="183"/>
      <c r="C5" s="183"/>
      <c r="D5" s="183"/>
      <c r="E5" s="184"/>
      <c r="F5" s="185"/>
      <c r="G5" s="186" t="s">
        <v>139</v>
      </c>
      <c r="H5" s="292" t="s">
        <v>181</v>
      </c>
      <c r="I5" s="292"/>
      <c r="J5" s="292"/>
      <c r="K5" s="187"/>
      <c r="L5" s="15"/>
      <c r="M5" s="16"/>
      <c r="N5" s="12"/>
    </row>
    <row r="6" spans="1:14" s="13" customFormat="1" ht="14.45" customHeight="1">
      <c r="A6" s="188"/>
      <c r="B6" s="488" t="s">
        <v>148</v>
      </c>
      <c r="C6" s="489"/>
      <c r="D6" s="489"/>
      <c r="E6" s="489"/>
      <c r="F6" s="490"/>
      <c r="G6" s="189" t="s">
        <v>3</v>
      </c>
      <c r="H6" s="253">
        <v>46171</v>
      </c>
      <c r="I6" s="293"/>
      <c r="J6" s="294"/>
      <c r="K6" s="190"/>
      <c r="L6" s="15"/>
      <c r="M6" s="12"/>
      <c r="N6" s="12"/>
    </row>
    <row r="7" spans="1:14" ht="15.6" customHeight="1">
      <c r="A7" s="191"/>
      <c r="B7" s="489"/>
      <c r="C7" s="489"/>
      <c r="D7" s="489"/>
      <c r="E7" s="489"/>
      <c r="F7" s="490"/>
      <c r="G7" s="192" t="s">
        <v>4</v>
      </c>
      <c r="H7" s="193" t="s">
        <v>113</v>
      </c>
      <c r="I7" s="193"/>
      <c r="J7" s="193"/>
      <c r="K7" s="194"/>
    </row>
    <row r="8" spans="1:14" ht="16.5" customHeight="1">
      <c r="A8" s="191"/>
      <c r="B8" s="491"/>
      <c r="C8" s="491"/>
      <c r="D8" s="491"/>
      <c r="E8" s="491"/>
      <c r="F8" s="492"/>
      <c r="G8" s="189" t="s">
        <v>3</v>
      </c>
      <c r="H8" s="253">
        <v>45814</v>
      </c>
      <c r="I8" s="195"/>
      <c r="J8" s="195"/>
      <c r="K8" s="190"/>
    </row>
    <row r="9" spans="1:14" ht="21.95" customHeight="1" thickBot="1">
      <c r="A9" s="196" t="s">
        <v>6</v>
      </c>
      <c r="B9" s="193"/>
      <c r="C9" s="193"/>
      <c r="D9" s="193"/>
      <c r="E9" s="193"/>
      <c r="F9" s="197"/>
      <c r="G9" s="493" t="s">
        <v>7</v>
      </c>
      <c r="H9" s="494"/>
      <c r="I9" s="494"/>
      <c r="J9" s="494"/>
      <c r="K9" s="495"/>
    </row>
    <row r="10" spans="1:14" ht="14.1" customHeight="1">
      <c r="A10" s="191"/>
      <c r="B10" s="496" t="s">
        <v>159</v>
      </c>
      <c r="C10" s="497"/>
      <c r="D10" s="497"/>
      <c r="E10" s="497"/>
      <c r="F10" s="498"/>
      <c r="G10" s="501" t="s">
        <v>125</v>
      </c>
      <c r="H10" s="502"/>
      <c r="I10" s="502"/>
      <c r="J10" s="502"/>
      <c r="K10" s="503"/>
    </row>
    <row r="11" spans="1:14" ht="14.1" customHeight="1">
      <c r="A11" s="191"/>
      <c r="B11" s="497"/>
      <c r="C11" s="497"/>
      <c r="D11" s="497"/>
      <c r="E11" s="497"/>
      <c r="F11" s="498"/>
      <c r="G11" s="504"/>
      <c r="H11" s="505"/>
      <c r="I11" s="505"/>
      <c r="J11" s="505"/>
      <c r="K11" s="506"/>
    </row>
    <row r="12" spans="1:14" ht="28.35" customHeight="1" thickBot="1">
      <c r="A12" s="198"/>
      <c r="B12" s="499"/>
      <c r="C12" s="499"/>
      <c r="D12" s="499"/>
      <c r="E12" s="499"/>
      <c r="F12" s="500"/>
      <c r="G12" s="507"/>
      <c r="H12" s="508"/>
      <c r="I12" s="508"/>
      <c r="J12" s="508"/>
      <c r="K12" s="509"/>
    </row>
    <row r="13" spans="1:14" ht="14.1" customHeight="1">
      <c r="A13" s="199" t="s">
        <v>9</v>
      </c>
      <c r="B13" s="200"/>
      <c r="C13" s="201"/>
      <c r="D13" s="201"/>
      <c r="E13" s="201"/>
      <c r="F13" s="201"/>
      <c r="G13" s="202"/>
      <c r="H13" s="201"/>
      <c r="I13" s="201"/>
      <c r="J13" s="203"/>
      <c r="K13" s="204"/>
    </row>
    <row r="14" spans="1:14" ht="14.1" customHeight="1">
      <c r="A14" s="191"/>
      <c r="B14" s="510" t="s">
        <v>155</v>
      </c>
      <c r="C14" s="511"/>
      <c r="D14" s="511"/>
      <c r="E14" s="511"/>
      <c r="F14" s="512"/>
      <c r="G14" s="202"/>
      <c r="H14" s="515"/>
      <c r="I14" s="515"/>
      <c r="J14" s="515"/>
      <c r="K14" s="516"/>
    </row>
    <row r="15" spans="1:14" ht="14.1" customHeight="1">
      <c r="A15" s="191"/>
      <c r="B15" s="511"/>
      <c r="C15" s="511"/>
      <c r="D15" s="511"/>
      <c r="E15" s="511"/>
      <c r="F15" s="512"/>
      <c r="G15" s="302" t="s">
        <v>140</v>
      </c>
      <c r="H15" s="517" t="s">
        <v>181</v>
      </c>
      <c r="I15" s="517"/>
      <c r="J15" s="517"/>
      <c r="K15" s="518"/>
      <c r="N15" s="25"/>
    </row>
    <row r="16" spans="1:14" ht="12.75">
      <c r="A16" s="191"/>
      <c r="B16" s="511"/>
      <c r="C16" s="511"/>
      <c r="D16" s="511"/>
      <c r="E16" s="511"/>
      <c r="F16" s="512"/>
      <c r="G16" s="202"/>
      <c r="H16" s="517"/>
      <c r="I16" s="517"/>
      <c r="J16" s="517"/>
      <c r="K16" s="518"/>
    </row>
    <row r="17" spans="1:15" ht="94.5" customHeight="1">
      <c r="A17" s="191"/>
      <c r="B17" s="513"/>
      <c r="C17" s="513"/>
      <c r="D17" s="513"/>
      <c r="E17" s="513"/>
      <c r="F17" s="514"/>
      <c r="G17" s="202" t="s">
        <v>141</v>
      </c>
      <c r="H17" s="465" t="s">
        <v>374</v>
      </c>
      <c r="I17" s="465"/>
      <c r="J17" s="465"/>
      <c r="K17" s="519"/>
    </row>
    <row r="18" spans="1:15" ht="18.600000000000001" customHeight="1">
      <c r="A18" s="20" t="s">
        <v>150</v>
      </c>
      <c r="B18" s="26"/>
      <c r="C18" s="18" t="s">
        <v>12</v>
      </c>
      <c r="D18" s="19"/>
      <c r="E18" s="19"/>
      <c r="F18" s="21"/>
      <c r="G18" s="24"/>
      <c r="H18" s="480"/>
      <c r="I18" s="480"/>
      <c r="J18" s="480"/>
      <c r="K18" s="481"/>
    </row>
    <row r="19" spans="1:15" s="6" customFormat="1" ht="11.45" customHeight="1">
      <c r="A19" s="22"/>
      <c r="B19" s="273" t="s">
        <v>373</v>
      </c>
      <c r="C19" s="27"/>
      <c r="D19" s="526">
        <v>46223</v>
      </c>
      <c r="E19" s="526"/>
      <c r="F19" s="527"/>
      <c r="G19" s="24" t="s">
        <v>108</v>
      </c>
      <c r="H19" s="480" t="s">
        <v>109</v>
      </c>
      <c r="I19" s="480"/>
      <c r="J19" s="480"/>
      <c r="K19" s="481"/>
      <c r="M19" s="7"/>
      <c r="N19" s="7"/>
      <c r="O19" s="7"/>
    </row>
    <row r="20" spans="1:15" s="6" customFormat="1" ht="18.600000000000001" customHeight="1">
      <c r="A20" s="20" t="s">
        <v>13</v>
      </c>
      <c r="B20" s="19"/>
      <c r="C20" s="18" t="s">
        <v>14</v>
      </c>
      <c r="D20" s="19"/>
      <c r="E20" s="19"/>
      <c r="F20" s="21"/>
      <c r="G20" s="202" t="s">
        <v>153</v>
      </c>
      <c r="H20" s="465" t="s">
        <v>183</v>
      </c>
      <c r="I20" s="465"/>
      <c r="J20" s="465"/>
      <c r="K20" s="258"/>
      <c r="M20" s="7"/>
      <c r="N20" s="7"/>
      <c r="O20" s="7"/>
    </row>
    <row r="21" spans="1:15" s="6" customFormat="1" ht="12.95" customHeight="1">
      <c r="A21" s="8"/>
      <c r="B21" s="201" t="s">
        <v>173</v>
      </c>
      <c r="C21" s="28"/>
      <c r="D21" s="276" t="s">
        <v>174</v>
      </c>
      <c r="E21" s="277"/>
      <c r="F21" s="278"/>
      <c r="H21" s="133"/>
      <c r="K21" s="9"/>
      <c r="M21" s="7"/>
      <c r="N21" s="7"/>
      <c r="O21" s="7"/>
    </row>
    <row r="22" spans="1:15" s="6" customFormat="1" ht="18.600000000000001" customHeight="1">
      <c r="A22" s="20" t="s">
        <v>151</v>
      </c>
      <c r="B22" s="26"/>
      <c r="C22" s="18" t="s">
        <v>152</v>
      </c>
      <c r="D22" s="19"/>
      <c r="E22" s="19"/>
      <c r="F22" s="21"/>
      <c r="G22" s="24"/>
      <c r="H22" s="133"/>
      <c r="K22" s="9"/>
      <c r="M22" s="7"/>
      <c r="N22" s="7"/>
      <c r="O22" s="7"/>
    </row>
    <row r="23" spans="1:15" s="6" customFormat="1" ht="14.1" customHeight="1">
      <c r="A23" s="22"/>
      <c r="B23" s="273" t="s">
        <v>376</v>
      </c>
      <c r="C23" s="274"/>
      <c r="D23" s="526">
        <v>46222</v>
      </c>
      <c r="E23" s="526"/>
      <c r="F23" s="527"/>
      <c r="G23" s="24"/>
      <c r="K23" s="9"/>
      <c r="M23" s="7"/>
      <c r="N23" s="7"/>
      <c r="O23" s="7"/>
    </row>
    <row r="24" spans="1:15" s="6" customFormat="1" ht="19.350000000000001" customHeight="1">
      <c r="A24" s="20" t="s">
        <v>17</v>
      </c>
      <c r="B24" s="19"/>
      <c r="C24" s="19"/>
      <c r="D24" s="19"/>
      <c r="E24" s="19"/>
      <c r="F24" s="19"/>
      <c r="G24" s="29" t="s">
        <v>347</v>
      </c>
      <c r="H24" s="30"/>
      <c r="I24" s="31"/>
      <c r="J24" s="30"/>
      <c r="K24" s="32"/>
      <c r="M24" s="7"/>
      <c r="N24" s="7"/>
      <c r="O24" s="7"/>
    </row>
    <row r="25" spans="1:15" s="6" customFormat="1" ht="12.75">
      <c r="A25" s="8"/>
      <c r="B25" s="17" t="s">
        <v>8</v>
      </c>
      <c r="C25" s="7"/>
      <c r="D25" s="7"/>
      <c r="E25" s="7"/>
      <c r="F25" s="7"/>
      <c r="G25" s="345" t="s">
        <v>348</v>
      </c>
      <c r="K25" s="9"/>
      <c r="M25" s="7"/>
      <c r="N25" s="7"/>
      <c r="O25" s="7"/>
    </row>
    <row r="26" spans="1:15" s="6" customFormat="1" ht="12.75">
      <c r="A26" s="8"/>
      <c r="B26" s="468" t="s">
        <v>149</v>
      </c>
      <c r="C26" s="468"/>
      <c r="D26" s="468"/>
      <c r="E26" s="468"/>
      <c r="F26" s="469"/>
      <c r="G26" s="345" t="s">
        <v>349</v>
      </c>
      <c r="K26" s="9"/>
      <c r="M26" s="7"/>
      <c r="N26" s="7"/>
      <c r="O26" s="7"/>
    </row>
    <row r="27" spans="1:15" s="6" customFormat="1" ht="12.75">
      <c r="A27" s="22"/>
      <c r="B27" s="470"/>
      <c r="C27" s="470"/>
      <c r="D27" s="470"/>
      <c r="E27" s="470"/>
      <c r="F27" s="471"/>
      <c r="G27" s="346" t="s">
        <v>375</v>
      </c>
      <c r="H27" s="34"/>
      <c r="I27" s="34"/>
      <c r="J27" s="34"/>
      <c r="K27" s="35"/>
      <c r="M27" s="7"/>
      <c r="N27" s="7"/>
      <c r="O27" s="7"/>
    </row>
    <row r="28" spans="1:15" ht="45" customHeight="1">
      <c r="A28" s="472" t="s">
        <v>18</v>
      </c>
      <c r="B28" s="460"/>
      <c r="C28" s="460"/>
      <c r="D28" s="460"/>
      <c r="E28" s="460"/>
      <c r="F28" s="460"/>
      <c r="G28" s="473"/>
      <c r="H28" s="36" t="s">
        <v>19</v>
      </c>
      <c r="I28" s="36" t="s">
        <v>20</v>
      </c>
      <c r="J28" s="37" t="s">
        <v>21</v>
      </c>
      <c r="K28" s="38" t="s">
        <v>22</v>
      </c>
    </row>
    <row r="29" spans="1:15" ht="36" customHeight="1">
      <c r="A29" s="23"/>
      <c r="B29" s="474" t="s">
        <v>162</v>
      </c>
      <c r="C29" s="474"/>
      <c r="D29" s="474"/>
      <c r="E29" s="474"/>
      <c r="F29" s="474"/>
      <c r="G29" s="475"/>
      <c r="H29" s="39"/>
      <c r="I29" s="39"/>
      <c r="J29" s="39"/>
      <c r="K29" s="40"/>
      <c r="N29" s="255"/>
      <c r="O29" s="254"/>
    </row>
    <row r="30" spans="1:15" ht="15" customHeight="1">
      <c r="A30" s="528" t="s">
        <v>285</v>
      </c>
      <c r="B30" s="529"/>
      <c r="C30" s="529"/>
      <c r="D30" s="529"/>
      <c r="E30" s="529"/>
      <c r="F30" s="529"/>
      <c r="G30" s="530"/>
      <c r="H30" s="206"/>
      <c r="I30" s="259"/>
      <c r="J30" s="207"/>
      <c r="K30" s="207"/>
      <c r="M30" s="256"/>
      <c r="N30" s="328"/>
      <c r="O30" s="328"/>
    </row>
    <row r="31" spans="1:15" ht="15" customHeight="1">
      <c r="A31" s="531"/>
      <c r="B31" s="529"/>
      <c r="C31" s="529"/>
      <c r="D31" s="529"/>
      <c r="E31" s="529"/>
      <c r="F31" s="529"/>
      <c r="G31" s="530"/>
      <c r="H31" s="206" t="s">
        <v>179</v>
      </c>
      <c r="I31" s="259" t="s">
        <v>346</v>
      </c>
      <c r="J31" s="207">
        <f>ROUND(K31/I31,2)</f>
        <v>4289.1899999999996</v>
      </c>
      <c r="K31" s="207">
        <f>'Break Down CI'!J111</f>
        <v>141543.19000000003</v>
      </c>
      <c r="M31" s="256"/>
      <c r="N31" s="328"/>
      <c r="O31" s="328"/>
    </row>
    <row r="32" spans="1:15" ht="15" customHeight="1">
      <c r="A32" s="531"/>
      <c r="B32" s="529"/>
      <c r="C32" s="529"/>
      <c r="D32" s="529"/>
      <c r="E32" s="529"/>
      <c r="F32" s="529"/>
      <c r="G32" s="530"/>
      <c r="H32" s="206"/>
      <c r="I32" s="259"/>
      <c r="J32" s="207"/>
      <c r="K32" s="207"/>
      <c r="M32" s="256"/>
      <c r="N32" s="328"/>
      <c r="O32" s="328"/>
    </row>
    <row r="33" spans="1:15" ht="15" customHeight="1">
      <c r="A33" s="531"/>
      <c r="B33" s="529"/>
      <c r="C33" s="529"/>
      <c r="D33" s="529"/>
      <c r="E33" s="529"/>
      <c r="F33" s="529"/>
      <c r="G33" s="530"/>
      <c r="H33" s="206"/>
      <c r="I33" s="259"/>
      <c r="J33" s="207"/>
      <c r="K33" s="207"/>
      <c r="M33" s="256"/>
      <c r="N33" s="328"/>
      <c r="O33" s="328"/>
    </row>
    <row r="34" spans="1:15" ht="18" customHeight="1">
      <c r="A34" s="23"/>
      <c r="B34" s="201" t="s">
        <v>156</v>
      </c>
      <c r="C34" s="201"/>
      <c r="D34" s="201"/>
      <c r="E34" s="201"/>
      <c r="F34" s="201"/>
      <c r="G34" s="205"/>
      <c r="H34" s="206"/>
      <c r="I34" s="206"/>
      <c r="J34" s="207"/>
      <c r="K34" s="207"/>
      <c r="M34" s="256"/>
    </row>
    <row r="35" spans="1:15" ht="18" customHeight="1">
      <c r="A35" s="23"/>
      <c r="B35" s="201"/>
      <c r="C35" s="201"/>
      <c r="D35" s="201"/>
      <c r="E35" s="201"/>
      <c r="F35" s="201"/>
      <c r="G35" s="205"/>
      <c r="H35" s="206"/>
      <c r="I35" s="206"/>
      <c r="J35" s="207"/>
      <c r="K35" s="207"/>
      <c r="M35" s="256"/>
      <c r="N35" s="329"/>
    </row>
    <row r="36" spans="1:15" ht="18" customHeight="1">
      <c r="A36" s="41"/>
      <c r="B36" s="42"/>
      <c r="C36" s="42"/>
      <c r="D36" s="42"/>
      <c r="E36" s="42"/>
      <c r="F36" s="42"/>
      <c r="G36" s="43"/>
      <c r="H36" s="44"/>
      <c r="I36" s="44"/>
      <c r="J36" s="44"/>
      <c r="K36" s="45"/>
      <c r="M36" s="257"/>
      <c r="N36" s="254"/>
    </row>
    <row r="37" spans="1:15" ht="14.1" customHeight="1">
      <c r="A37" s="20"/>
      <c r="B37" s="459" t="s">
        <v>25</v>
      </c>
      <c r="C37" s="459"/>
      <c r="D37" s="459"/>
      <c r="E37" s="459"/>
      <c r="F37" s="459"/>
      <c r="G37" s="459"/>
      <c r="H37" s="46"/>
      <c r="I37" s="31"/>
      <c r="J37" s="31"/>
      <c r="K37" s="47">
        <f>SUM(K30:K36)</f>
        <v>141543.19000000003</v>
      </c>
      <c r="M37" s="256"/>
    </row>
    <row r="38" spans="1:15" ht="14.1" customHeight="1">
      <c r="A38" s="41"/>
      <c r="B38" s="460"/>
      <c r="C38" s="460"/>
      <c r="D38" s="460"/>
      <c r="E38" s="460"/>
      <c r="F38" s="460"/>
      <c r="G38" s="460"/>
      <c r="H38" s="48"/>
      <c r="I38" s="48"/>
      <c r="J38" s="48"/>
      <c r="K38" s="49"/>
    </row>
    <row r="39" spans="1:15" ht="14.1" customHeight="1">
      <c r="A39" s="23"/>
      <c r="K39" s="9"/>
    </row>
    <row r="40" spans="1:15" ht="14.1" customHeight="1">
      <c r="A40" s="23"/>
      <c r="K40" s="9"/>
    </row>
    <row r="41" spans="1:15" ht="14.1" customHeight="1">
      <c r="A41" s="8"/>
      <c r="K41" s="9"/>
    </row>
    <row r="42" spans="1:15" ht="14.1" customHeight="1">
      <c r="A42" s="8"/>
      <c r="K42" s="9"/>
    </row>
    <row r="43" spans="1:15" ht="14.1" customHeight="1">
      <c r="A43" s="8"/>
      <c r="K43" s="9"/>
    </row>
    <row r="44" spans="1:15" ht="14.1" customHeight="1">
      <c r="A44" s="8"/>
      <c r="G44" s="50" t="s">
        <v>26</v>
      </c>
      <c r="H44" s="34"/>
      <c r="I44" s="34"/>
      <c r="J44" s="34"/>
      <c r="K44" s="9"/>
    </row>
    <row r="45" spans="1:15" ht="14.1" customHeight="1">
      <c r="A45" s="8"/>
      <c r="H45" s="461" t="s">
        <v>167</v>
      </c>
      <c r="I45" s="461"/>
      <c r="J45" s="461"/>
      <c r="K45" s="9"/>
    </row>
    <row r="46" spans="1:15" ht="14.1" customHeight="1" thickBot="1">
      <c r="A46" s="90"/>
      <c r="B46" s="52"/>
      <c r="C46" s="52"/>
      <c r="D46" s="52"/>
      <c r="E46" s="52"/>
      <c r="F46" s="52"/>
      <c r="G46" s="53"/>
      <c r="H46" s="54"/>
      <c r="I46" s="54"/>
      <c r="J46" s="54"/>
      <c r="K46" s="136"/>
    </row>
  </sheetData>
  <sheetProtection selectLockedCells="1" selectUnlockedCells="1"/>
  <mergeCells count="22">
    <mergeCell ref="H45:J45"/>
    <mergeCell ref="H18:K18"/>
    <mergeCell ref="D19:F19"/>
    <mergeCell ref="H19:K19"/>
    <mergeCell ref="B37:G38"/>
    <mergeCell ref="D23:F23"/>
    <mergeCell ref="A28:G28"/>
    <mergeCell ref="B29:G29"/>
    <mergeCell ref="H20:J20"/>
    <mergeCell ref="A30:G33"/>
    <mergeCell ref="B26:F27"/>
    <mergeCell ref="G10:K12"/>
    <mergeCell ref="H14:K14"/>
    <mergeCell ref="H15:K16"/>
    <mergeCell ref="H17:K17"/>
    <mergeCell ref="B10:F12"/>
    <mergeCell ref="B14:F17"/>
    <mergeCell ref="B3:E3"/>
    <mergeCell ref="H3:K3"/>
    <mergeCell ref="A4:K4"/>
    <mergeCell ref="G9:K9"/>
    <mergeCell ref="B6:F8"/>
  </mergeCells>
  <phoneticPr fontId="33" type="noConversion"/>
  <printOptions horizontalCentered="1" verticalCentered="1"/>
  <pageMargins left="0.49" right="0.53" top="0.41" bottom="0.57999999999999996" header="0.31496062992125984" footer="0.31496062992125984"/>
  <pageSetup paperSize="9" scale="7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Y138"/>
  <sheetViews>
    <sheetView showGridLines="0" view="pageBreakPreview" topLeftCell="A4" zoomScale="85" zoomScaleNormal="100" zoomScaleSheetLayoutView="85" workbookViewId="0">
      <selection activeCell="F111" sqref="F111:I111"/>
    </sheetView>
  </sheetViews>
  <sheetFormatPr defaultColWidth="8.76953125" defaultRowHeight="14.25"/>
  <cols>
    <col min="1" max="1" width="6.546875" style="57" customWidth="1"/>
    <col min="2" max="2" width="23.97265625" style="57" customWidth="1"/>
    <col min="3" max="3" width="36.484375" style="57" customWidth="1"/>
    <col min="4" max="4" width="10.640625" style="57" customWidth="1"/>
    <col min="5" max="5" width="9.703125" style="57" customWidth="1"/>
    <col min="6" max="6" width="8.65234375" style="62" customWidth="1"/>
    <col min="7" max="7" width="5.37890625" style="62" customWidth="1"/>
    <col min="8" max="8" width="9.8203125" style="312" bestFit="1" customWidth="1"/>
    <col min="9" max="9" width="10.9921875" style="57" customWidth="1"/>
    <col min="10" max="10" width="12.86328125" style="57" customWidth="1"/>
    <col min="11" max="11" width="29.46875" style="57" bestFit="1" customWidth="1"/>
    <col min="12" max="12" width="9.5859375" style="57" bestFit="1" customWidth="1"/>
    <col min="13" max="13" width="9.703125" style="57" hidden="1" customWidth="1"/>
    <col min="14" max="15" width="9.5859375" style="57" hidden="1" customWidth="1"/>
    <col min="16" max="20" width="0" style="57" hidden="1" customWidth="1"/>
    <col min="21" max="21" width="40.34375" style="57" hidden="1" customWidth="1"/>
    <col min="22" max="22" width="10.40625" style="57" bestFit="1" customWidth="1"/>
    <col min="23" max="23" width="8.76953125" style="57"/>
    <col min="24" max="24" width="11.92578125" style="57" bestFit="1" customWidth="1"/>
    <col min="25" max="16384" width="8.76953125" style="57"/>
  </cols>
  <sheetData>
    <row r="4" spans="1:25">
      <c r="T4" s="57">
        <v>1</v>
      </c>
      <c r="U4" s="57">
        <v>15750</v>
      </c>
    </row>
    <row r="5" spans="1:25">
      <c r="A5" s="523" t="s">
        <v>157</v>
      </c>
      <c r="B5" s="523"/>
      <c r="C5" s="58" t="str">
        <f>'Commercial Invoice'!H5</f>
        <v>OM4-DE-IS-0006</v>
      </c>
      <c r="D5" s="59"/>
      <c r="E5" s="58" t="s">
        <v>126</v>
      </c>
      <c r="F5" s="524"/>
      <c r="G5" s="524"/>
      <c r="H5" s="524"/>
      <c r="I5" s="60"/>
      <c r="J5" s="137"/>
      <c r="K5" s="137" t="str">
        <f>'Commercial Invoice'!G6</f>
        <v>DATE:</v>
      </c>
      <c r="L5" s="137">
        <f>'Commercial Invoice'!H6</f>
        <v>46171</v>
      </c>
      <c r="T5" s="57">
        <v>2</v>
      </c>
      <c r="U5" s="57">
        <v>9817.5</v>
      </c>
    </row>
    <row r="6" spans="1:25">
      <c r="B6" s="61"/>
      <c r="C6" s="61"/>
      <c r="T6" s="57">
        <v>3</v>
      </c>
      <c r="U6" s="57">
        <v>14280</v>
      </c>
    </row>
    <row r="7" spans="1:25" ht="47.25" customHeight="1">
      <c r="A7" s="260" t="s">
        <v>27</v>
      </c>
      <c r="B7" s="261" t="s">
        <v>28</v>
      </c>
      <c r="C7" s="262" t="s">
        <v>18</v>
      </c>
      <c r="D7" s="263" t="s">
        <v>29</v>
      </c>
      <c r="E7" s="263" t="s">
        <v>30</v>
      </c>
      <c r="F7" s="63" t="s">
        <v>20</v>
      </c>
      <c r="G7" s="63" t="s">
        <v>19</v>
      </c>
      <c r="H7" s="330" t="s">
        <v>158</v>
      </c>
      <c r="I7" s="263" t="s">
        <v>21</v>
      </c>
      <c r="J7" s="263" t="s">
        <v>22</v>
      </c>
      <c r="K7" s="263" t="s">
        <v>322</v>
      </c>
      <c r="L7" s="263" t="s">
        <v>324</v>
      </c>
      <c r="T7" s="57">
        <v>4</v>
      </c>
      <c r="U7" s="57">
        <v>12495.000000000002</v>
      </c>
    </row>
    <row r="8" spans="1:25" ht="15.75">
      <c r="A8" s="260">
        <v>1</v>
      </c>
      <c r="B8" s="261" t="s">
        <v>286</v>
      </c>
      <c r="C8" s="336" t="s">
        <v>177</v>
      </c>
      <c r="D8" s="263" t="s">
        <v>281</v>
      </c>
      <c r="E8" s="263" t="s">
        <v>282</v>
      </c>
      <c r="F8" s="337">
        <v>46</v>
      </c>
      <c r="G8" s="337" t="s">
        <v>188</v>
      </c>
      <c r="H8" s="330">
        <v>606.03174603174602</v>
      </c>
      <c r="I8" s="344">
        <v>68.31</v>
      </c>
      <c r="J8" s="330">
        <v>3142.11</v>
      </c>
      <c r="K8" s="263" t="s">
        <v>189</v>
      </c>
      <c r="L8" s="263" t="s">
        <v>330</v>
      </c>
      <c r="X8" s="327"/>
      <c r="Y8" s="65"/>
    </row>
    <row r="9" spans="1:25" ht="15.75">
      <c r="A9" s="260">
        <v>2</v>
      </c>
      <c r="B9" s="261" t="s">
        <v>286</v>
      </c>
      <c r="C9" s="336" t="s">
        <v>177</v>
      </c>
      <c r="D9" s="263" t="s">
        <v>281</v>
      </c>
      <c r="E9" s="263" t="s">
        <v>282</v>
      </c>
      <c r="F9" s="337">
        <v>17</v>
      </c>
      <c r="G9" s="337" t="s">
        <v>188</v>
      </c>
      <c r="H9" s="330">
        <v>223.96825396825395</v>
      </c>
      <c r="I9" s="344">
        <v>68.31</v>
      </c>
      <c r="J9" s="330">
        <v>1161.22</v>
      </c>
      <c r="K9" s="263" t="s">
        <v>190</v>
      </c>
      <c r="L9" s="263" t="s">
        <v>330</v>
      </c>
    </row>
    <row r="10" spans="1:25" ht="15.75">
      <c r="A10" s="260">
        <v>3</v>
      </c>
      <c r="B10" s="261" t="s">
        <v>287</v>
      </c>
      <c r="C10" s="336" t="s">
        <v>177</v>
      </c>
      <c r="D10" s="263" t="s">
        <v>281</v>
      </c>
      <c r="E10" s="263" t="s">
        <v>282</v>
      </c>
      <c r="F10" s="337">
        <v>17</v>
      </c>
      <c r="G10" s="337" t="s">
        <v>188</v>
      </c>
      <c r="H10" s="330">
        <v>672.91666666666674</v>
      </c>
      <c r="I10" s="344">
        <v>205.23</v>
      </c>
      <c r="J10" s="330">
        <v>3488.89</v>
      </c>
      <c r="K10" s="263" t="s">
        <v>192</v>
      </c>
      <c r="L10" s="263" t="s">
        <v>330</v>
      </c>
    </row>
    <row r="11" spans="1:25" ht="15.75">
      <c r="A11" s="260">
        <v>4</v>
      </c>
      <c r="B11" s="261" t="s">
        <v>287</v>
      </c>
      <c r="C11" s="336" t="s">
        <v>177</v>
      </c>
      <c r="D11" s="263" t="s">
        <v>281</v>
      </c>
      <c r="E11" s="263" t="s">
        <v>282</v>
      </c>
      <c r="F11" s="337">
        <v>7</v>
      </c>
      <c r="G11" s="337" t="s">
        <v>188</v>
      </c>
      <c r="H11" s="330">
        <v>277.08333333333337</v>
      </c>
      <c r="I11" s="344">
        <v>205.23</v>
      </c>
      <c r="J11" s="330">
        <v>1436.6</v>
      </c>
      <c r="K11" s="263" t="s">
        <v>193</v>
      </c>
      <c r="L11" s="263" t="s">
        <v>330</v>
      </c>
    </row>
    <row r="12" spans="1:25" ht="15.75">
      <c r="A12" s="260">
        <v>5</v>
      </c>
      <c r="B12" s="261" t="s">
        <v>288</v>
      </c>
      <c r="C12" s="336" t="s">
        <v>177</v>
      </c>
      <c r="D12" s="263" t="s">
        <v>281</v>
      </c>
      <c r="E12" s="263" t="s">
        <v>282</v>
      </c>
      <c r="F12" s="337">
        <v>4</v>
      </c>
      <c r="G12" s="337" t="s">
        <v>188</v>
      </c>
      <c r="H12" s="330">
        <v>50.196078431372548</v>
      </c>
      <c r="I12" s="344">
        <v>65.06</v>
      </c>
      <c r="J12" s="330">
        <v>260.25</v>
      </c>
      <c r="K12" s="263" t="s">
        <v>194</v>
      </c>
      <c r="L12" s="263" t="s">
        <v>330</v>
      </c>
    </row>
    <row r="13" spans="1:25" ht="15.75">
      <c r="A13" s="260">
        <v>6</v>
      </c>
      <c r="B13" s="261" t="s">
        <v>288</v>
      </c>
      <c r="C13" s="336" t="s">
        <v>177</v>
      </c>
      <c r="D13" s="263" t="s">
        <v>281</v>
      </c>
      <c r="E13" s="263" t="s">
        <v>282</v>
      </c>
      <c r="F13" s="337">
        <v>5</v>
      </c>
      <c r="G13" s="337" t="s">
        <v>188</v>
      </c>
      <c r="H13" s="330">
        <v>62.745098039215684</v>
      </c>
      <c r="I13" s="344">
        <v>65.06</v>
      </c>
      <c r="J13" s="330">
        <v>325.32</v>
      </c>
      <c r="K13" s="263" t="s">
        <v>195</v>
      </c>
      <c r="L13" s="263" t="s">
        <v>330</v>
      </c>
    </row>
    <row r="14" spans="1:25" ht="15.75">
      <c r="A14" s="260">
        <v>7</v>
      </c>
      <c r="B14" s="261" t="s">
        <v>288</v>
      </c>
      <c r="C14" s="336" t="s">
        <v>351</v>
      </c>
      <c r="D14" s="263" t="s">
        <v>281</v>
      </c>
      <c r="E14" s="263" t="s">
        <v>282</v>
      </c>
      <c r="F14" s="337">
        <v>13</v>
      </c>
      <c r="G14" s="337" t="s">
        <v>188</v>
      </c>
      <c r="H14" s="330">
        <v>163.13725490196077</v>
      </c>
      <c r="I14" s="344">
        <v>65.06</v>
      </c>
      <c r="J14" s="330">
        <v>845.82</v>
      </c>
      <c r="K14" s="263" t="s">
        <v>196</v>
      </c>
      <c r="L14" s="263" t="s">
        <v>330</v>
      </c>
    </row>
    <row r="15" spans="1:25" ht="15.75">
      <c r="A15" s="260">
        <v>8</v>
      </c>
      <c r="B15" s="261" t="s">
        <v>288</v>
      </c>
      <c r="C15" s="336" t="s">
        <v>351</v>
      </c>
      <c r="D15" s="263" t="s">
        <v>281</v>
      </c>
      <c r="E15" s="263" t="s">
        <v>282</v>
      </c>
      <c r="F15" s="337">
        <v>19</v>
      </c>
      <c r="G15" s="337" t="s">
        <v>188</v>
      </c>
      <c r="H15" s="330">
        <v>238.43137254901961</v>
      </c>
      <c r="I15" s="344">
        <v>65.06</v>
      </c>
      <c r="J15" s="330">
        <v>1236.2</v>
      </c>
      <c r="K15" s="263" t="s">
        <v>197</v>
      </c>
      <c r="L15" s="263" t="s">
        <v>330</v>
      </c>
    </row>
    <row r="16" spans="1:25" ht="15.75">
      <c r="A16" s="260">
        <v>9</v>
      </c>
      <c r="B16" s="261" t="s">
        <v>288</v>
      </c>
      <c r="C16" s="336" t="s">
        <v>351</v>
      </c>
      <c r="D16" s="263" t="s">
        <v>281</v>
      </c>
      <c r="E16" s="263" t="s">
        <v>282</v>
      </c>
      <c r="F16" s="337">
        <v>10</v>
      </c>
      <c r="G16" s="337" t="s">
        <v>188</v>
      </c>
      <c r="H16" s="330">
        <v>125.49019607843137</v>
      </c>
      <c r="I16" s="344">
        <v>65.06</v>
      </c>
      <c r="J16" s="330">
        <v>650.63</v>
      </c>
      <c r="K16" s="263" t="s">
        <v>198</v>
      </c>
      <c r="L16" s="263" t="s">
        <v>330</v>
      </c>
    </row>
    <row r="17" spans="1:12" ht="15.75">
      <c r="A17" s="260">
        <v>10</v>
      </c>
      <c r="B17" s="261" t="s">
        <v>289</v>
      </c>
      <c r="C17" s="336" t="s">
        <v>351</v>
      </c>
      <c r="D17" s="263" t="s">
        <v>281</v>
      </c>
      <c r="E17" s="263" t="s">
        <v>282</v>
      </c>
      <c r="F17" s="337">
        <v>38</v>
      </c>
      <c r="G17" s="337" t="s">
        <v>188</v>
      </c>
      <c r="H17" s="330">
        <v>639.51219512195121</v>
      </c>
      <c r="I17" s="344">
        <v>87.26</v>
      </c>
      <c r="J17" s="330">
        <v>3315.7</v>
      </c>
      <c r="K17" s="263" t="s">
        <v>199</v>
      </c>
      <c r="L17" s="263" t="s">
        <v>330</v>
      </c>
    </row>
    <row r="18" spans="1:12" ht="15.75">
      <c r="A18" s="260">
        <v>11</v>
      </c>
      <c r="B18" s="261" t="s">
        <v>289</v>
      </c>
      <c r="C18" s="336" t="s">
        <v>351</v>
      </c>
      <c r="D18" s="263" t="s">
        <v>281</v>
      </c>
      <c r="E18" s="263" t="s">
        <v>282</v>
      </c>
      <c r="F18" s="337">
        <v>3</v>
      </c>
      <c r="G18" s="337" t="s">
        <v>188</v>
      </c>
      <c r="H18" s="330">
        <v>50.487804878048777</v>
      </c>
      <c r="I18" s="344">
        <v>87.26</v>
      </c>
      <c r="J18" s="330">
        <v>261.77</v>
      </c>
      <c r="K18" s="263" t="s">
        <v>200</v>
      </c>
      <c r="L18" s="263" t="s">
        <v>330</v>
      </c>
    </row>
    <row r="19" spans="1:12" ht="15.75">
      <c r="A19" s="260">
        <v>12</v>
      </c>
      <c r="B19" s="261" t="s">
        <v>290</v>
      </c>
      <c r="C19" s="336" t="s">
        <v>177</v>
      </c>
      <c r="D19" s="263" t="s">
        <v>281</v>
      </c>
      <c r="E19" s="263" t="s">
        <v>282</v>
      </c>
      <c r="F19" s="337">
        <v>29</v>
      </c>
      <c r="G19" s="337" t="s">
        <v>188</v>
      </c>
      <c r="H19" s="330">
        <v>470</v>
      </c>
      <c r="I19" s="344">
        <v>84.03</v>
      </c>
      <c r="J19" s="330">
        <v>2436.8200000000002</v>
      </c>
      <c r="K19" s="263" t="s">
        <v>201</v>
      </c>
      <c r="L19" s="263" t="s">
        <v>330</v>
      </c>
    </row>
    <row r="20" spans="1:12" ht="15.75">
      <c r="A20" s="260">
        <v>13</v>
      </c>
      <c r="B20" s="261" t="s">
        <v>291</v>
      </c>
      <c r="C20" s="336" t="s">
        <v>177</v>
      </c>
      <c r="D20" s="263" t="s">
        <v>281</v>
      </c>
      <c r="E20" s="263" t="s">
        <v>282</v>
      </c>
      <c r="F20" s="337">
        <v>6</v>
      </c>
      <c r="G20" s="337" t="s">
        <v>188</v>
      </c>
      <c r="H20" s="330">
        <v>37.89473684210526</v>
      </c>
      <c r="I20" s="344">
        <v>32.75</v>
      </c>
      <c r="J20" s="330">
        <v>196.47</v>
      </c>
      <c r="K20" s="263" t="s">
        <v>202</v>
      </c>
      <c r="L20" s="263" t="s">
        <v>330</v>
      </c>
    </row>
    <row r="21" spans="1:12" ht="15.75">
      <c r="A21" s="260">
        <v>14</v>
      </c>
      <c r="B21" s="261" t="s">
        <v>291</v>
      </c>
      <c r="C21" s="336" t="s">
        <v>177</v>
      </c>
      <c r="D21" s="263" t="s">
        <v>281</v>
      </c>
      <c r="E21" s="263" t="s">
        <v>282</v>
      </c>
      <c r="F21" s="337">
        <v>10</v>
      </c>
      <c r="G21" s="337" t="s">
        <v>188</v>
      </c>
      <c r="H21" s="330">
        <v>63.15789473684211</v>
      </c>
      <c r="I21" s="344">
        <v>32.75</v>
      </c>
      <c r="J21" s="330">
        <v>327.45999999999998</v>
      </c>
      <c r="K21" s="263" t="s">
        <v>203</v>
      </c>
      <c r="L21" s="263" t="s">
        <v>330</v>
      </c>
    </row>
    <row r="22" spans="1:12" ht="15.75">
      <c r="A22" s="260">
        <v>15</v>
      </c>
      <c r="B22" s="261" t="s">
        <v>291</v>
      </c>
      <c r="C22" s="336" t="s">
        <v>177</v>
      </c>
      <c r="D22" s="263" t="s">
        <v>281</v>
      </c>
      <c r="E22" s="263" t="s">
        <v>282</v>
      </c>
      <c r="F22" s="337">
        <v>22</v>
      </c>
      <c r="G22" s="337" t="s">
        <v>188</v>
      </c>
      <c r="H22" s="330">
        <v>138.94736842105263</v>
      </c>
      <c r="I22" s="344">
        <v>32.75</v>
      </c>
      <c r="J22" s="330">
        <v>720.4</v>
      </c>
      <c r="K22" s="263" t="s">
        <v>204</v>
      </c>
      <c r="L22" s="263" t="s">
        <v>330</v>
      </c>
    </row>
    <row r="23" spans="1:12" ht="15.75">
      <c r="A23" s="260">
        <v>16</v>
      </c>
      <c r="B23" s="261" t="s">
        <v>292</v>
      </c>
      <c r="C23" s="336" t="s">
        <v>177</v>
      </c>
      <c r="D23" s="263" t="s">
        <v>281</v>
      </c>
      <c r="E23" s="263" t="s">
        <v>282</v>
      </c>
      <c r="F23" s="337">
        <v>32</v>
      </c>
      <c r="G23" s="337" t="s">
        <v>188</v>
      </c>
      <c r="H23" s="330">
        <v>1580</v>
      </c>
      <c r="I23" s="344">
        <v>256</v>
      </c>
      <c r="J23" s="330">
        <v>8191.88</v>
      </c>
      <c r="K23" s="263" t="s">
        <v>205</v>
      </c>
      <c r="L23" s="263" t="s">
        <v>330</v>
      </c>
    </row>
    <row r="24" spans="1:12" ht="15.75">
      <c r="A24" s="260">
        <v>17</v>
      </c>
      <c r="B24" s="261" t="s">
        <v>293</v>
      </c>
      <c r="C24" s="336" t="s">
        <v>351</v>
      </c>
      <c r="D24" s="263" t="s">
        <v>281</v>
      </c>
      <c r="E24" s="263" t="s">
        <v>282</v>
      </c>
      <c r="F24" s="337">
        <v>32</v>
      </c>
      <c r="G24" s="337" t="s">
        <v>188</v>
      </c>
      <c r="H24" s="330">
        <v>1080</v>
      </c>
      <c r="I24" s="344">
        <v>174.98</v>
      </c>
      <c r="J24" s="330">
        <v>5599.51</v>
      </c>
      <c r="K24" s="263" t="s">
        <v>206</v>
      </c>
      <c r="L24" s="263" t="s">
        <v>330</v>
      </c>
    </row>
    <row r="25" spans="1:12" ht="15.75">
      <c r="A25" s="260">
        <v>18</v>
      </c>
      <c r="B25" s="261" t="s">
        <v>294</v>
      </c>
      <c r="C25" s="336" t="s">
        <v>177</v>
      </c>
      <c r="D25" s="263" t="s">
        <v>281</v>
      </c>
      <c r="E25" s="263" t="s">
        <v>282</v>
      </c>
      <c r="F25" s="337">
        <v>32</v>
      </c>
      <c r="G25" s="337" t="s">
        <v>188</v>
      </c>
      <c r="H25" s="330">
        <v>1580</v>
      </c>
      <c r="I25" s="344">
        <v>256</v>
      </c>
      <c r="J25" s="330">
        <v>8191.88</v>
      </c>
      <c r="K25" s="263" t="s">
        <v>192</v>
      </c>
      <c r="L25" s="263" t="s">
        <v>330</v>
      </c>
    </row>
    <row r="26" spans="1:12" ht="15.75">
      <c r="A26" s="260">
        <v>19</v>
      </c>
      <c r="B26" s="261" t="s">
        <v>295</v>
      </c>
      <c r="C26" s="336" t="s">
        <v>177</v>
      </c>
      <c r="D26" s="263" t="s">
        <v>281</v>
      </c>
      <c r="E26" s="263" t="s">
        <v>282</v>
      </c>
      <c r="F26" s="337">
        <v>25</v>
      </c>
      <c r="G26" s="337" t="s">
        <v>188</v>
      </c>
      <c r="H26" s="330">
        <v>1120.6896551724139</v>
      </c>
      <c r="I26" s="344">
        <v>232.42</v>
      </c>
      <c r="J26" s="330">
        <v>5810.48</v>
      </c>
      <c r="K26" s="263" t="s">
        <v>207</v>
      </c>
      <c r="L26" s="263" t="s">
        <v>330</v>
      </c>
    </row>
    <row r="27" spans="1:12" ht="15.75">
      <c r="A27" s="260">
        <v>20</v>
      </c>
      <c r="B27" s="261" t="s">
        <v>295</v>
      </c>
      <c r="C27" s="336" t="s">
        <v>177</v>
      </c>
      <c r="D27" s="263" t="s">
        <v>281</v>
      </c>
      <c r="E27" s="263" t="s">
        <v>282</v>
      </c>
      <c r="F27" s="337">
        <v>4</v>
      </c>
      <c r="G27" s="337" t="s">
        <v>188</v>
      </c>
      <c r="H27" s="330">
        <v>179.31034482758622</v>
      </c>
      <c r="I27" s="344">
        <v>232.42</v>
      </c>
      <c r="J27" s="282">
        <v>929.68</v>
      </c>
      <c r="K27" s="263" t="s">
        <v>208</v>
      </c>
      <c r="L27" s="263" t="s">
        <v>330</v>
      </c>
    </row>
    <row r="28" spans="1:12" ht="15.75">
      <c r="A28" s="260">
        <v>21</v>
      </c>
      <c r="B28" s="261" t="s">
        <v>296</v>
      </c>
      <c r="C28" s="336" t="s">
        <v>177</v>
      </c>
      <c r="D28" s="263" t="s">
        <v>281</v>
      </c>
      <c r="E28" s="263" t="s">
        <v>282</v>
      </c>
      <c r="F28" s="337">
        <v>17</v>
      </c>
      <c r="G28" s="337" t="s">
        <v>188</v>
      </c>
      <c r="H28" s="330">
        <v>595</v>
      </c>
      <c r="I28" s="344">
        <v>181.47</v>
      </c>
      <c r="J28" s="282">
        <v>3084.92</v>
      </c>
      <c r="K28" s="263" t="s">
        <v>209</v>
      </c>
      <c r="L28" s="263" t="s">
        <v>330</v>
      </c>
    </row>
    <row r="29" spans="1:12" ht="15.75">
      <c r="A29" s="260">
        <v>22</v>
      </c>
      <c r="B29" s="261" t="s">
        <v>296</v>
      </c>
      <c r="C29" s="336" t="s">
        <v>177</v>
      </c>
      <c r="D29" s="263" t="s">
        <v>281</v>
      </c>
      <c r="E29" s="263" t="s">
        <v>282</v>
      </c>
      <c r="F29" s="337">
        <v>13</v>
      </c>
      <c r="G29" s="337" t="s">
        <v>188</v>
      </c>
      <c r="H29" s="330">
        <v>455</v>
      </c>
      <c r="I29" s="344">
        <v>181.47</v>
      </c>
      <c r="J29" s="282">
        <v>2359.0500000000002</v>
      </c>
      <c r="K29" s="263" t="s">
        <v>210</v>
      </c>
      <c r="L29" s="263" t="s">
        <v>330</v>
      </c>
    </row>
    <row r="30" spans="1:12" ht="15.75">
      <c r="A30" s="260">
        <v>23</v>
      </c>
      <c r="B30" s="261" t="s">
        <v>297</v>
      </c>
      <c r="C30" s="336" t="s">
        <v>351</v>
      </c>
      <c r="D30" s="263" t="s">
        <v>281</v>
      </c>
      <c r="E30" s="263" t="s">
        <v>282</v>
      </c>
      <c r="F30" s="337">
        <v>34</v>
      </c>
      <c r="G30" s="337" t="s">
        <v>188</v>
      </c>
      <c r="H30" s="330">
        <v>1150</v>
      </c>
      <c r="I30" s="344">
        <f>ROUND(J30/F30,2)</f>
        <v>197.74</v>
      </c>
      <c r="J30" s="282">
        <v>6723.28</v>
      </c>
      <c r="K30" s="263" t="s">
        <v>206</v>
      </c>
      <c r="L30" s="263" t="s">
        <v>330</v>
      </c>
    </row>
    <row r="31" spans="1:12" ht="15.75">
      <c r="A31" s="260">
        <v>24</v>
      </c>
      <c r="B31" s="261" t="s">
        <v>298</v>
      </c>
      <c r="C31" s="336" t="s">
        <v>351</v>
      </c>
      <c r="D31" s="263" t="s">
        <v>281</v>
      </c>
      <c r="E31" s="263" t="s">
        <v>282</v>
      </c>
      <c r="F31" s="337">
        <v>35</v>
      </c>
      <c r="G31" s="337" t="s">
        <v>188</v>
      </c>
      <c r="H31" s="330">
        <v>1730</v>
      </c>
      <c r="I31" s="344">
        <v>256.27</v>
      </c>
      <c r="J31" s="282">
        <v>8969.59</v>
      </c>
      <c r="K31" s="263" t="s">
        <v>213</v>
      </c>
      <c r="L31" s="263" t="s">
        <v>330</v>
      </c>
    </row>
    <row r="32" spans="1:12" ht="15.75">
      <c r="A32" s="260">
        <v>25</v>
      </c>
      <c r="B32" s="261" t="s">
        <v>299</v>
      </c>
      <c r="C32" s="336" t="s">
        <v>351</v>
      </c>
      <c r="D32" s="263" t="s">
        <v>281</v>
      </c>
      <c r="E32" s="263" t="s">
        <v>282</v>
      </c>
      <c r="F32" s="337">
        <v>36</v>
      </c>
      <c r="G32" s="337" t="s">
        <v>188</v>
      </c>
      <c r="H32" s="330">
        <v>1780</v>
      </c>
      <c r="I32" s="344">
        <v>256.36</v>
      </c>
      <c r="J32" s="282">
        <v>9228.82</v>
      </c>
      <c r="K32" s="263" t="s">
        <v>213</v>
      </c>
      <c r="L32" s="263" t="s">
        <v>330</v>
      </c>
    </row>
    <row r="33" spans="1:12" ht="15.75">
      <c r="A33" s="260">
        <v>26</v>
      </c>
      <c r="B33" s="261" t="s">
        <v>300</v>
      </c>
      <c r="C33" s="336" t="s">
        <v>351</v>
      </c>
      <c r="D33" s="263" t="s">
        <v>281</v>
      </c>
      <c r="E33" s="263" t="s">
        <v>282</v>
      </c>
      <c r="F33" s="337">
        <v>36</v>
      </c>
      <c r="G33" s="337" t="s">
        <v>188</v>
      </c>
      <c r="H33" s="330">
        <v>1780</v>
      </c>
      <c r="I33" s="344">
        <v>256.36</v>
      </c>
      <c r="J33" s="282">
        <v>9228.82</v>
      </c>
      <c r="K33" s="263" t="s">
        <v>213</v>
      </c>
      <c r="L33" s="263" t="s">
        <v>330</v>
      </c>
    </row>
    <row r="34" spans="1:12" ht="15.75">
      <c r="A34" s="260">
        <v>27</v>
      </c>
      <c r="B34" s="261" t="s">
        <v>301</v>
      </c>
      <c r="C34" s="336" t="s">
        <v>177</v>
      </c>
      <c r="D34" s="263" t="s">
        <v>281</v>
      </c>
      <c r="E34" s="263" t="s">
        <v>282</v>
      </c>
      <c r="F34" s="337">
        <v>1</v>
      </c>
      <c r="G34" s="337" t="s">
        <v>214</v>
      </c>
      <c r="H34" s="330">
        <v>32.222222222222221</v>
      </c>
      <c r="I34" s="344">
        <v>167.06</v>
      </c>
      <c r="J34" s="282">
        <v>167.06</v>
      </c>
      <c r="K34" s="263" t="s">
        <v>215</v>
      </c>
      <c r="L34" s="263" t="s">
        <v>330</v>
      </c>
    </row>
    <row r="35" spans="1:12" ht="15.75">
      <c r="A35" s="260">
        <v>28</v>
      </c>
      <c r="B35" s="261" t="s">
        <v>301</v>
      </c>
      <c r="C35" s="336" t="s">
        <v>177</v>
      </c>
      <c r="D35" s="263" t="s">
        <v>281</v>
      </c>
      <c r="E35" s="263" t="s">
        <v>282</v>
      </c>
      <c r="F35" s="337">
        <v>1</v>
      </c>
      <c r="G35" s="337" t="s">
        <v>214</v>
      </c>
      <c r="H35" s="330">
        <v>32.222222222222221</v>
      </c>
      <c r="I35" s="344">
        <v>167.06</v>
      </c>
      <c r="J35" s="282">
        <v>167.06</v>
      </c>
      <c r="K35" s="263" t="s">
        <v>216</v>
      </c>
      <c r="L35" s="263" t="s">
        <v>330</v>
      </c>
    </row>
    <row r="36" spans="1:12" ht="15.75">
      <c r="A36" s="63">
        <v>29</v>
      </c>
      <c r="B36" s="261" t="s">
        <v>301</v>
      </c>
      <c r="C36" s="336" t="s">
        <v>177</v>
      </c>
      <c r="D36" s="263" t="s">
        <v>281</v>
      </c>
      <c r="E36" s="263" t="s">
        <v>282</v>
      </c>
      <c r="F36" s="337">
        <v>1</v>
      </c>
      <c r="G36" s="337" t="s">
        <v>214</v>
      </c>
      <c r="H36" s="330">
        <v>32.222222222222221</v>
      </c>
      <c r="I36" s="344">
        <v>167.06</v>
      </c>
      <c r="J36" s="282">
        <v>167.06</v>
      </c>
      <c r="K36" s="263" t="s">
        <v>217</v>
      </c>
      <c r="L36" s="263" t="s">
        <v>330</v>
      </c>
    </row>
    <row r="37" spans="1:12" ht="15.75">
      <c r="A37" s="63">
        <v>30</v>
      </c>
      <c r="B37" s="261" t="s">
        <v>301</v>
      </c>
      <c r="C37" s="336" t="s">
        <v>177</v>
      </c>
      <c r="D37" s="263" t="s">
        <v>281</v>
      </c>
      <c r="E37" s="263" t="s">
        <v>282</v>
      </c>
      <c r="F37" s="337">
        <v>2</v>
      </c>
      <c r="G37" s="337" t="s">
        <v>188</v>
      </c>
      <c r="H37" s="330">
        <v>64.444444444444443</v>
      </c>
      <c r="I37" s="344">
        <v>167.07</v>
      </c>
      <c r="J37" s="282">
        <v>334.14</v>
      </c>
      <c r="K37" s="263" t="s">
        <v>218</v>
      </c>
      <c r="L37" s="263" t="s">
        <v>330</v>
      </c>
    </row>
    <row r="38" spans="1:12" ht="15.75">
      <c r="A38" s="63">
        <v>31</v>
      </c>
      <c r="B38" s="261" t="s">
        <v>301</v>
      </c>
      <c r="C38" s="336" t="s">
        <v>177</v>
      </c>
      <c r="D38" s="263" t="s">
        <v>281</v>
      </c>
      <c r="E38" s="263" t="s">
        <v>282</v>
      </c>
      <c r="F38" s="337">
        <v>1</v>
      </c>
      <c r="G38" s="337" t="s">
        <v>214</v>
      </c>
      <c r="H38" s="330">
        <v>32.222222222222221</v>
      </c>
      <c r="I38" s="344">
        <v>167.06</v>
      </c>
      <c r="J38" s="282">
        <v>167.06</v>
      </c>
      <c r="K38" s="263" t="s">
        <v>219</v>
      </c>
      <c r="L38" s="263" t="s">
        <v>330</v>
      </c>
    </row>
    <row r="39" spans="1:12" ht="15.75">
      <c r="A39" s="63">
        <v>32</v>
      </c>
      <c r="B39" s="261" t="s">
        <v>301</v>
      </c>
      <c r="C39" s="336" t="s">
        <v>177</v>
      </c>
      <c r="D39" s="263" t="s">
        <v>281</v>
      </c>
      <c r="E39" s="263" t="s">
        <v>282</v>
      </c>
      <c r="F39" s="337">
        <v>1</v>
      </c>
      <c r="G39" s="337" t="s">
        <v>214</v>
      </c>
      <c r="H39" s="330">
        <v>32.222222222222221</v>
      </c>
      <c r="I39" s="344">
        <v>167.06</v>
      </c>
      <c r="J39" s="282">
        <v>167.06</v>
      </c>
      <c r="K39" s="263" t="s">
        <v>220</v>
      </c>
      <c r="L39" s="263" t="s">
        <v>330</v>
      </c>
    </row>
    <row r="40" spans="1:12" ht="15.75">
      <c r="A40" s="63">
        <v>33</v>
      </c>
      <c r="B40" s="261" t="s">
        <v>301</v>
      </c>
      <c r="C40" s="336" t="s">
        <v>177</v>
      </c>
      <c r="D40" s="263" t="s">
        <v>281</v>
      </c>
      <c r="E40" s="263" t="s">
        <v>282</v>
      </c>
      <c r="F40" s="337">
        <v>2</v>
      </c>
      <c r="G40" s="337" t="s">
        <v>188</v>
      </c>
      <c r="H40" s="330">
        <v>64.444444444444443</v>
      </c>
      <c r="I40" s="344">
        <v>167.07</v>
      </c>
      <c r="J40" s="282">
        <v>334.13</v>
      </c>
      <c r="K40" s="263" t="s">
        <v>221</v>
      </c>
      <c r="L40" s="263" t="s">
        <v>330</v>
      </c>
    </row>
    <row r="41" spans="1:12" ht="15.75">
      <c r="A41" s="260">
        <v>34</v>
      </c>
      <c r="B41" s="261" t="s">
        <v>302</v>
      </c>
      <c r="C41" s="336" t="s">
        <v>353</v>
      </c>
      <c r="D41" s="263" t="s">
        <v>281</v>
      </c>
      <c r="E41" s="263" t="s">
        <v>282</v>
      </c>
      <c r="F41" s="337">
        <v>5</v>
      </c>
      <c r="G41" s="337" t="s">
        <v>188</v>
      </c>
      <c r="H41" s="330">
        <v>175</v>
      </c>
      <c r="I41" s="344">
        <v>181.47</v>
      </c>
      <c r="J41" s="282">
        <v>907.33</v>
      </c>
      <c r="K41" s="263" t="s">
        <v>222</v>
      </c>
      <c r="L41" s="263" t="s">
        <v>330</v>
      </c>
    </row>
    <row r="42" spans="1:12" ht="15.75">
      <c r="A42" s="260">
        <v>35</v>
      </c>
      <c r="B42" s="261" t="s">
        <v>302</v>
      </c>
      <c r="C42" s="336" t="s">
        <v>355</v>
      </c>
      <c r="D42" s="263" t="s">
        <v>281</v>
      </c>
      <c r="E42" s="263" t="s">
        <v>282</v>
      </c>
      <c r="F42" s="63">
        <v>5</v>
      </c>
      <c r="G42" s="63" t="s">
        <v>226</v>
      </c>
      <c r="H42" s="330">
        <v>175</v>
      </c>
      <c r="I42" s="344">
        <v>181.47</v>
      </c>
      <c r="J42" s="282">
        <v>907.33</v>
      </c>
      <c r="K42" s="263" t="s">
        <v>223</v>
      </c>
      <c r="L42" s="263" t="s">
        <v>330</v>
      </c>
    </row>
    <row r="43" spans="1:12" ht="15.75">
      <c r="A43" s="260">
        <v>36</v>
      </c>
      <c r="B43" s="261" t="s">
        <v>302</v>
      </c>
      <c r="C43" s="336" t="s">
        <v>357</v>
      </c>
      <c r="D43" s="263" t="s">
        <v>281</v>
      </c>
      <c r="E43" s="263" t="s">
        <v>282</v>
      </c>
      <c r="F43" s="63">
        <v>5</v>
      </c>
      <c r="G43" s="63" t="s">
        <v>226</v>
      </c>
      <c r="H43" s="330">
        <v>175</v>
      </c>
      <c r="I43" s="344">
        <v>181.47</v>
      </c>
      <c r="J43" s="330">
        <v>907.33</v>
      </c>
      <c r="K43" s="263" t="s">
        <v>224</v>
      </c>
      <c r="L43" s="263" t="s">
        <v>330</v>
      </c>
    </row>
    <row r="44" spans="1:12" ht="15.75">
      <c r="A44" s="260">
        <v>37</v>
      </c>
      <c r="B44" s="261" t="s">
        <v>302</v>
      </c>
      <c r="C44" s="336" t="s">
        <v>358</v>
      </c>
      <c r="D44" s="263" t="s">
        <v>281</v>
      </c>
      <c r="E44" s="263" t="s">
        <v>282</v>
      </c>
      <c r="F44" s="63">
        <v>5</v>
      </c>
      <c r="G44" s="63" t="s">
        <v>226</v>
      </c>
      <c r="H44" s="330">
        <v>175</v>
      </c>
      <c r="I44" s="344">
        <v>181.47</v>
      </c>
      <c r="J44" s="330">
        <v>907.33</v>
      </c>
      <c r="K44" s="263" t="s">
        <v>225</v>
      </c>
      <c r="L44" s="263" t="s">
        <v>330</v>
      </c>
    </row>
    <row r="45" spans="1:12" ht="15.75">
      <c r="A45" s="260">
        <v>38</v>
      </c>
      <c r="B45" s="261" t="s">
        <v>303</v>
      </c>
      <c r="C45" s="336" t="s">
        <v>353</v>
      </c>
      <c r="D45" s="263" t="s">
        <v>281</v>
      </c>
      <c r="E45" s="263" t="s">
        <v>282</v>
      </c>
      <c r="F45" s="337">
        <v>5</v>
      </c>
      <c r="G45" s="337" t="s">
        <v>188</v>
      </c>
      <c r="H45" s="330">
        <v>175</v>
      </c>
      <c r="I45" s="344">
        <v>181.47</v>
      </c>
      <c r="J45" s="330">
        <v>907.33</v>
      </c>
      <c r="K45" s="263" t="s">
        <v>222</v>
      </c>
      <c r="L45" s="263" t="s">
        <v>330</v>
      </c>
    </row>
    <row r="46" spans="1:12" ht="15.75">
      <c r="A46" s="260">
        <v>39</v>
      </c>
      <c r="B46" s="261" t="s">
        <v>303</v>
      </c>
      <c r="C46" s="336" t="s">
        <v>355</v>
      </c>
      <c r="D46" s="263" t="s">
        <v>281</v>
      </c>
      <c r="E46" s="263" t="s">
        <v>282</v>
      </c>
      <c r="F46" s="63">
        <v>5</v>
      </c>
      <c r="G46" s="63" t="s">
        <v>226</v>
      </c>
      <c r="H46" s="330">
        <v>175</v>
      </c>
      <c r="I46" s="344">
        <v>181.47</v>
      </c>
      <c r="J46" s="330">
        <v>907.33</v>
      </c>
      <c r="K46" s="263" t="s">
        <v>223</v>
      </c>
      <c r="L46" s="263" t="s">
        <v>330</v>
      </c>
    </row>
    <row r="47" spans="1:12" ht="15.75">
      <c r="A47" s="260">
        <v>40</v>
      </c>
      <c r="B47" s="261" t="s">
        <v>303</v>
      </c>
      <c r="C47" s="336" t="s">
        <v>357</v>
      </c>
      <c r="D47" s="263" t="s">
        <v>281</v>
      </c>
      <c r="E47" s="263" t="s">
        <v>282</v>
      </c>
      <c r="F47" s="63">
        <v>5</v>
      </c>
      <c r="G47" s="63" t="s">
        <v>226</v>
      </c>
      <c r="H47" s="330">
        <v>175</v>
      </c>
      <c r="I47" s="344">
        <v>181.47</v>
      </c>
      <c r="J47" s="330">
        <v>907.33</v>
      </c>
      <c r="K47" s="263" t="s">
        <v>224</v>
      </c>
      <c r="L47" s="263" t="s">
        <v>330</v>
      </c>
    </row>
    <row r="48" spans="1:12" ht="15.75">
      <c r="A48" s="260">
        <v>41</v>
      </c>
      <c r="B48" s="261" t="s">
        <v>303</v>
      </c>
      <c r="C48" s="336" t="s">
        <v>358</v>
      </c>
      <c r="D48" s="263" t="s">
        <v>281</v>
      </c>
      <c r="E48" s="263" t="s">
        <v>282</v>
      </c>
      <c r="F48" s="63">
        <v>5</v>
      </c>
      <c r="G48" s="63" t="s">
        <v>226</v>
      </c>
      <c r="H48" s="330">
        <v>175</v>
      </c>
      <c r="I48" s="344">
        <v>181.47</v>
      </c>
      <c r="J48" s="330">
        <v>907.33</v>
      </c>
      <c r="K48" s="263" t="s">
        <v>225</v>
      </c>
      <c r="L48" s="263" t="s">
        <v>330</v>
      </c>
    </row>
    <row r="49" spans="1:12" ht="15.75">
      <c r="A49" s="260">
        <v>42</v>
      </c>
      <c r="B49" s="261" t="s">
        <v>304</v>
      </c>
      <c r="C49" s="336" t="s">
        <v>353</v>
      </c>
      <c r="D49" s="263" t="s">
        <v>281</v>
      </c>
      <c r="E49" s="263" t="s">
        <v>282</v>
      </c>
      <c r="F49" s="337">
        <v>5</v>
      </c>
      <c r="G49" s="337" t="s">
        <v>188</v>
      </c>
      <c r="H49" s="330">
        <v>175</v>
      </c>
      <c r="I49" s="344">
        <v>181.47</v>
      </c>
      <c r="J49" s="330">
        <v>907.33</v>
      </c>
      <c r="K49" s="263" t="s">
        <v>222</v>
      </c>
      <c r="L49" s="263" t="s">
        <v>330</v>
      </c>
    </row>
    <row r="50" spans="1:12" ht="15.75">
      <c r="A50" s="260">
        <v>43</v>
      </c>
      <c r="B50" s="261" t="s">
        <v>304</v>
      </c>
      <c r="C50" s="336" t="s">
        <v>355</v>
      </c>
      <c r="D50" s="263" t="s">
        <v>281</v>
      </c>
      <c r="E50" s="263" t="s">
        <v>282</v>
      </c>
      <c r="F50" s="63">
        <v>5</v>
      </c>
      <c r="G50" s="63" t="s">
        <v>226</v>
      </c>
      <c r="H50" s="330">
        <v>175</v>
      </c>
      <c r="I50" s="344">
        <v>181.47</v>
      </c>
      <c r="J50" s="330">
        <v>907.33</v>
      </c>
      <c r="K50" s="263" t="s">
        <v>223</v>
      </c>
      <c r="L50" s="263" t="s">
        <v>330</v>
      </c>
    </row>
    <row r="51" spans="1:12" ht="15.75">
      <c r="A51" s="260">
        <v>44</v>
      </c>
      <c r="B51" s="261" t="s">
        <v>304</v>
      </c>
      <c r="C51" s="336" t="s">
        <v>357</v>
      </c>
      <c r="D51" s="263" t="s">
        <v>281</v>
      </c>
      <c r="E51" s="263" t="s">
        <v>282</v>
      </c>
      <c r="F51" s="63">
        <v>5</v>
      </c>
      <c r="G51" s="63" t="s">
        <v>226</v>
      </c>
      <c r="H51" s="330">
        <v>175</v>
      </c>
      <c r="I51" s="344">
        <v>181.47</v>
      </c>
      <c r="J51" s="330">
        <v>907.33</v>
      </c>
      <c r="K51" s="263" t="s">
        <v>224</v>
      </c>
      <c r="L51" s="263" t="s">
        <v>330</v>
      </c>
    </row>
    <row r="52" spans="1:12" ht="15.75">
      <c r="A52" s="260">
        <v>45</v>
      </c>
      <c r="B52" s="261" t="s">
        <v>304</v>
      </c>
      <c r="C52" s="336" t="s">
        <v>358</v>
      </c>
      <c r="D52" s="263" t="s">
        <v>281</v>
      </c>
      <c r="E52" s="263" t="s">
        <v>282</v>
      </c>
      <c r="F52" s="63">
        <v>5</v>
      </c>
      <c r="G52" s="63" t="s">
        <v>226</v>
      </c>
      <c r="H52" s="330">
        <v>175</v>
      </c>
      <c r="I52" s="344">
        <v>181.47</v>
      </c>
      <c r="J52" s="330">
        <v>907.33</v>
      </c>
      <c r="K52" s="263" t="s">
        <v>225</v>
      </c>
      <c r="L52" s="263" t="s">
        <v>330</v>
      </c>
    </row>
    <row r="53" spans="1:12" ht="15.75">
      <c r="A53" s="260">
        <v>46</v>
      </c>
      <c r="B53" s="261" t="s">
        <v>305</v>
      </c>
      <c r="C53" s="336" t="s">
        <v>353</v>
      </c>
      <c r="D53" s="263" t="s">
        <v>281</v>
      </c>
      <c r="E53" s="263" t="s">
        <v>282</v>
      </c>
      <c r="F53" s="337">
        <v>5</v>
      </c>
      <c r="G53" s="337" t="s">
        <v>188</v>
      </c>
      <c r="H53" s="330">
        <v>175</v>
      </c>
      <c r="I53" s="344">
        <v>181.47</v>
      </c>
      <c r="J53" s="330">
        <v>907.33</v>
      </c>
      <c r="K53" s="263" t="s">
        <v>222</v>
      </c>
      <c r="L53" s="263" t="s">
        <v>330</v>
      </c>
    </row>
    <row r="54" spans="1:12" ht="15.75">
      <c r="A54" s="260">
        <v>47</v>
      </c>
      <c r="B54" s="261" t="s">
        <v>305</v>
      </c>
      <c r="C54" s="336" t="s">
        <v>355</v>
      </c>
      <c r="D54" s="263" t="s">
        <v>281</v>
      </c>
      <c r="E54" s="263" t="s">
        <v>282</v>
      </c>
      <c r="F54" s="63">
        <v>5</v>
      </c>
      <c r="G54" s="63" t="s">
        <v>226</v>
      </c>
      <c r="H54" s="330">
        <v>175</v>
      </c>
      <c r="I54" s="344">
        <v>181.47</v>
      </c>
      <c r="J54" s="330">
        <v>907.33</v>
      </c>
      <c r="K54" s="263" t="s">
        <v>223</v>
      </c>
      <c r="L54" s="263" t="s">
        <v>330</v>
      </c>
    </row>
    <row r="55" spans="1:12" ht="15.75">
      <c r="A55" s="260">
        <v>48</v>
      </c>
      <c r="B55" s="261" t="s">
        <v>305</v>
      </c>
      <c r="C55" s="336" t="s">
        <v>357</v>
      </c>
      <c r="D55" s="263" t="s">
        <v>281</v>
      </c>
      <c r="E55" s="263" t="s">
        <v>282</v>
      </c>
      <c r="F55" s="63">
        <v>5</v>
      </c>
      <c r="G55" s="63" t="s">
        <v>226</v>
      </c>
      <c r="H55" s="330">
        <v>175</v>
      </c>
      <c r="I55" s="344">
        <v>181.47</v>
      </c>
      <c r="J55" s="330">
        <v>907.33</v>
      </c>
      <c r="K55" s="263" t="s">
        <v>224</v>
      </c>
      <c r="L55" s="263" t="s">
        <v>330</v>
      </c>
    </row>
    <row r="56" spans="1:12" ht="15.75">
      <c r="A56" s="260">
        <v>49</v>
      </c>
      <c r="B56" s="261" t="s">
        <v>305</v>
      </c>
      <c r="C56" s="336" t="s">
        <v>358</v>
      </c>
      <c r="D56" s="263" t="s">
        <v>281</v>
      </c>
      <c r="E56" s="263" t="s">
        <v>282</v>
      </c>
      <c r="F56" s="63">
        <v>5</v>
      </c>
      <c r="G56" s="63" t="s">
        <v>226</v>
      </c>
      <c r="H56" s="330">
        <v>175</v>
      </c>
      <c r="I56" s="344">
        <v>181.47</v>
      </c>
      <c r="J56" s="330">
        <v>907.33</v>
      </c>
      <c r="K56" s="263" t="s">
        <v>225</v>
      </c>
      <c r="L56" s="263" t="s">
        <v>330</v>
      </c>
    </row>
    <row r="57" spans="1:12" ht="15.75">
      <c r="A57" s="260">
        <v>50</v>
      </c>
      <c r="B57" s="261" t="s">
        <v>306</v>
      </c>
      <c r="C57" s="336" t="s">
        <v>353</v>
      </c>
      <c r="D57" s="263" t="s">
        <v>281</v>
      </c>
      <c r="E57" s="263" t="s">
        <v>282</v>
      </c>
      <c r="F57" s="337">
        <v>5</v>
      </c>
      <c r="G57" s="337" t="s">
        <v>188</v>
      </c>
      <c r="H57" s="330">
        <v>175</v>
      </c>
      <c r="I57" s="344">
        <v>181.47</v>
      </c>
      <c r="J57" s="330">
        <v>907.33</v>
      </c>
      <c r="K57" s="263" t="s">
        <v>222</v>
      </c>
      <c r="L57" s="263" t="s">
        <v>330</v>
      </c>
    </row>
    <row r="58" spans="1:12" ht="15.75">
      <c r="A58" s="260">
        <v>51</v>
      </c>
      <c r="B58" s="261" t="s">
        <v>306</v>
      </c>
      <c r="C58" s="336" t="s">
        <v>355</v>
      </c>
      <c r="D58" s="263" t="s">
        <v>281</v>
      </c>
      <c r="E58" s="263" t="s">
        <v>282</v>
      </c>
      <c r="F58" s="63">
        <v>5</v>
      </c>
      <c r="G58" s="63" t="s">
        <v>226</v>
      </c>
      <c r="H58" s="330">
        <v>175</v>
      </c>
      <c r="I58" s="344">
        <v>181.47</v>
      </c>
      <c r="J58" s="330">
        <v>907.33</v>
      </c>
      <c r="K58" s="263" t="s">
        <v>223</v>
      </c>
      <c r="L58" s="263" t="s">
        <v>330</v>
      </c>
    </row>
    <row r="59" spans="1:12" ht="15.75">
      <c r="A59" s="260">
        <v>52</v>
      </c>
      <c r="B59" s="261" t="s">
        <v>306</v>
      </c>
      <c r="C59" s="336" t="s">
        <v>357</v>
      </c>
      <c r="D59" s="263" t="s">
        <v>281</v>
      </c>
      <c r="E59" s="263" t="s">
        <v>282</v>
      </c>
      <c r="F59" s="63">
        <v>5</v>
      </c>
      <c r="G59" s="63" t="s">
        <v>226</v>
      </c>
      <c r="H59" s="330">
        <v>175</v>
      </c>
      <c r="I59" s="344">
        <v>181.47</v>
      </c>
      <c r="J59" s="330">
        <v>907.33</v>
      </c>
      <c r="K59" s="263" t="s">
        <v>224</v>
      </c>
      <c r="L59" s="263" t="s">
        <v>330</v>
      </c>
    </row>
    <row r="60" spans="1:12" ht="15.75">
      <c r="A60" s="260">
        <v>53</v>
      </c>
      <c r="B60" s="261" t="s">
        <v>306</v>
      </c>
      <c r="C60" s="336" t="s">
        <v>358</v>
      </c>
      <c r="D60" s="263" t="s">
        <v>281</v>
      </c>
      <c r="E60" s="263" t="s">
        <v>282</v>
      </c>
      <c r="F60" s="63">
        <v>5</v>
      </c>
      <c r="G60" s="63" t="s">
        <v>226</v>
      </c>
      <c r="H60" s="330">
        <v>175</v>
      </c>
      <c r="I60" s="344">
        <v>181.47</v>
      </c>
      <c r="J60" s="330">
        <v>907.33</v>
      </c>
      <c r="K60" s="263" t="s">
        <v>225</v>
      </c>
      <c r="L60" s="263" t="s">
        <v>330</v>
      </c>
    </row>
    <row r="61" spans="1:12" ht="15.75">
      <c r="A61" s="260">
        <v>54</v>
      </c>
      <c r="B61" s="261" t="s">
        <v>307</v>
      </c>
      <c r="C61" s="336" t="s">
        <v>352</v>
      </c>
      <c r="D61" s="263" t="s">
        <v>281</v>
      </c>
      <c r="E61" s="263" t="s">
        <v>282</v>
      </c>
      <c r="F61" s="337">
        <v>5</v>
      </c>
      <c r="G61" s="337" t="s">
        <v>188</v>
      </c>
      <c r="H61" s="330">
        <v>175</v>
      </c>
      <c r="I61" s="344">
        <v>181.47</v>
      </c>
      <c r="J61" s="330">
        <v>907.33</v>
      </c>
      <c r="K61" s="263" t="s">
        <v>222</v>
      </c>
      <c r="L61" s="263" t="s">
        <v>330</v>
      </c>
    </row>
    <row r="62" spans="1:12" ht="15.75">
      <c r="A62" s="260">
        <v>55</v>
      </c>
      <c r="B62" s="261" t="s">
        <v>307</v>
      </c>
      <c r="C62" s="336" t="s">
        <v>354</v>
      </c>
      <c r="D62" s="263" t="s">
        <v>281</v>
      </c>
      <c r="E62" s="263" t="s">
        <v>282</v>
      </c>
      <c r="F62" s="63">
        <v>5</v>
      </c>
      <c r="G62" s="63" t="s">
        <v>226</v>
      </c>
      <c r="H62" s="330">
        <v>175</v>
      </c>
      <c r="I62" s="344">
        <v>181.47</v>
      </c>
      <c r="J62" s="330">
        <v>907.33</v>
      </c>
      <c r="K62" s="263" t="s">
        <v>223</v>
      </c>
      <c r="L62" s="263" t="s">
        <v>330</v>
      </c>
    </row>
    <row r="63" spans="1:12" ht="15.75">
      <c r="A63" s="260">
        <v>56</v>
      </c>
      <c r="B63" s="261" t="s">
        <v>307</v>
      </c>
      <c r="C63" s="336" t="s">
        <v>356</v>
      </c>
      <c r="D63" s="263" t="s">
        <v>281</v>
      </c>
      <c r="E63" s="263" t="s">
        <v>282</v>
      </c>
      <c r="F63" s="63">
        <v>5</v>
      </c>
      <c r="G63" s="63" t="s">
        <v>226</v>
      </c>
      <c r="H63" s="330">
        <v>175</v>
      </c>
      <c r="I63" s="344">
        <v>181.47</v>
      </c>
      <c r="J63" s="330">
        <v>907.33</v>
      </c>
      <c r="K63" s="263" t="s">
        <v>224</v>
      </c>
      <c r="L63" s="263" t="s">
        <v>330</v>
      </c>
    </row>
    <row r="64" spans="1:12" ht="15.75">
      <c r="A64" s="260">
        <v>57</v>
      </c>
      <c r="B64" s="261" t="s">
        <v>307</v>
      </c>
      <c r="C64" s="336" t="s">
        <v>233</v>
      </c>
      <c r="D64" s="263" t="s">
        <v>281</v>
      </c>
      <c r="E64" s="263" t="s">
        <v>282</v>
      </c>
      <c r="F64" s="63">
        <v>5</v>
      </c>
      <c r="G64" s="63" t="s">
        <v>226</v>
      </c>
      <c r="H64" s="330">
        <v>175</v>
      </c>
      <c r="I64" s="344">
        <v>181.47</v>
      </c>
      <c r="J64" s="330">
        <v>907.33</v>
      </c>
      <c r="K64" s="263" t="s">
        <v>225</v>
      </c>
      <c r="L64" s="263" t="s">
        <v>330</v>
      </c>
    </row>
    <row r="65" spans="1:12" ht="15.75">
      <c r="A65" s="260">
        <v>58</v>
      </c>
      <c r="B65" s="261" t="s">
        <v>308</v>
      </c>
      <c r="C65" s="336" t="s">
        <v>353</v>
      </c>
      <c r="D65" s="263" t="s">
        <v>281</v>
      </c>
      <c r="E65" s="263" t="s">
        <v>282</v>
      </c>
      <c r="F65" s="337">
        <v>5</v>
      </c>
      <c r="G65" s="337" t="s">
        <v>188</v>
      </c>
      <c r="H65" s="330">
        <v>175</v>
      </c>
      <c r="I65" s="344">
        <v>181.47</v>
      </c>
      <c r="J65" s="330">
        <v>907.33</v>
      </c>
      <c r="K65" s="263" t="s">
        <v>222</v>
      </c>
      <c r="L65" s="263" t="s">
        <v>330</v>
      </c>
    </row>
    <row r="66" spans="1:12" ht="15.75">
      <c r="A66" s="260">
        <v>59</v>
      </c>
      <c r="B66" s="261" t="s">
        <v>308</v>
      </c>
      <c r="C66" s="336" t="s">
        <v>355</v>
      </c>
      <c r="D66" s="263" t="s">
        <v>281</v>
      </c>
      <c r="E66" s="263" t="s">
        <v>282</v>
      </c>
      <c r="F66" s="63">
        <v>5</v>
      </c>
      <c r="G66" s="63" t="s">
        <v>226</v>
      </c>
      <c r="H66" s="330">
        <v>175</v>
      </c>
      <c r="I66" s="344">
        <v>181.47</v>
      </c>
      <c r="J66" s="330">
        <v>907.33</v>
      </c>
      <c r="K66" s="263" t="s">
        <v>223</v>
      </c>
      <c r="L66" s="263" t="s">
        <v>330</v>
      </c>
    </row>
    <row r="67" spans="1:12" ht="15.75">
      <c r="A67" s="260">
        <v>60</v>
      </c>
      <c r="B67" s="261" t="s">
        <v>308</v>
      </c>
      <c r="C67" s="336" t="s">
        <v>357</v>
      </c>
      <c r="D67" s="263" t="s">
        <v>281</v>
      </c>
      <c r="E67" s="263" t="s">
        <v>282</v>
      </c>
      <c r="F67" s="63">
        <v>5</v>
      </c>
      <c r="G67" s="63" t="s">
        <v>226</v>
      </c>
      <c r="H67" s="330">
        <v>175</v>
      </c>
      <c r="I67" s="344">
        <v>181.47</v>
      </c>
      <c r="J67" s="330">
        <v>907.33</v>
      </c>
      <c r="K67" s="263" t="s">
        <v>224</v>
      </c>
      <c r="L67" s="263" t="s">
        <v>330</v>
      </c>
    </row>
    <row r="68" spans="1:12" ht="15.75">
      <c r="A68" s="260">
        <v>61</v>
      </c>
      <c r="B68" s="261" t="s">
        <v>308</v>
      </c>
      <c r="C68" s="336" t="s">
        <v>358</v>
      </c>
      <c r="D68" s="263" t="s">
        <v>281</v>
      </c>
      <c r="E68" s="263" t="s">
        <v>282</v>
      </c>
      <c r="F68" s="63">
        <v>5</v>
      </c>
      <c r="G68" s="63" t="s">
        <v>226</v>
      </c>
      <c r="H68" s="330">
        <v>175</v>
      </c>
      <c r="I68" s="344">
        <v>181.47</v>
      </c>
      <c r="J68" s="330">
        <v>907.33</v>
      </c>
      <c r="K68" s="263" t="s">
        <v>225</v>
      </c>
      <c r="L68" s="263" t="s">
        <v>330</v>
      </c>
    </row>
    <row r="69" spans="1:12" ht="15.75">
      <c r="A69" s="63">
        <v>62</v>
      </c>
      <c r="B69" s="261" t="s">
        <v>309</v>
      </c>
      <c r="C69" s="336" t="s">
        <v>353</v>
      </c>
      <c r="D69" s="263" t="s">
        <v>281</v>
      </c>
      <c r="E69" s="263" t="s">
        <v>282</v>
      </c>
      <c r="F69" s="337">
        <v>5</v>
      </c>
      <c r="G69" s="337" t="s">
        <v>188</v>
      </c>
      <c r="H69" s="330">
        <v>175</v>
      </c>
      <c r="I69" s="344">
        <v>181.47</v>
      </c>
      <c r="J69" s="330">
        <v>907.33</v>
      </c>
      <c r="K69" s="263" t="s">
        <v>222</v>
      </c>
      <c r="L69" s="263" t="s">
        <v>330</v>
      </c>
    </row>
    <row r="70" spans="1:12" ht="15.75">
      <c r="A70" s="63">
        <v>63</v>
      </c>
      <c r="B70" s="261" t="s">
        <v>309</v>
      </c>
      <c r="C70" s="336" t="s">
        <v>355</v>
      </c>
      <c r="D70" s="263" t="s">
        <v>281</v>
      </c>
      <c r="E70" s="263" t="s">
        <v>282</v>
      </c>
      <c r="F70" s="63">
        <v>5</v>
      </c>
      <c r="G70" s="63" t="s">
        <v>226</v>
      </c>
      <c r="H70" s="330">
        <v>175</v>
      </c>
      <c r="I70" s="344">
        <v>181.47</v>
      </c>
      <c r="J70" s="330">
        <v>907.33</v>
      </c>
      <c r="K70" s="263" t="s">
        <v>223</v>
      </c>
      <c r="L70" s="263" t="s">
        <v>330</v>
      </c>
    </row>
    <row r="71" spans="1:12" ht="15.75">
      <c r="A71" s="260">
        <v>64</v>
      </c>
      <c r="B71" s="261" t="s">
        <v>309</v>
      </c>
      <c r="C71" s="336" t="s">
        <v>357</v>
      </c>
      <c r="D71" s="263" t="s">
        <v>281</v>
      </c>
      <c r="E71" s="263" t="s">
        <v>282</v>
      </c>
      <c r="F71" s="63">
        <v>5</v>
      </c>
      <c r="G71" s="63" t="s">
        <v>226</v>
      </c>
      <c r="H71" s="330">
        <v>175</v>
      </c>
      <c r="I71" s="344">
        <v>181.47</v>
      </c>
      <c r="J71" s="330">
        <v>907.33</v>
      </c>
      <c r="K71" s="263" t="s">
        <v>224</v>
      </c>
      <c r="L71" s="263" t="s">
        <v>330</v>
      </c>
    </row>
    <row r="72" spans="1:12" ht="15.75">
      <c r="A72" s="260">
        <v>65</v>
      </c>
      <c r="B72" s="261" t="s">
        <v>309</v>
      </c>
      <c r="C72" s="336" t="s">
        <v>358</v>
      </c>
      <c r="D72" s="263" t="s">
        <v>281</v>
      </c>
      <c r="E72" s="263" t="s">
        <v>282</v>
      </c>
      <c r="F72" s="63">
        <v>5</v>
      </c>
      <c r="G72" s="63" t="s">
        <v>226</v>
      </c>
      <c r="H72" s="330">
        <v>175</v>
      </c>
      <c r="I72" s="344">
        <v>181.47</v>
      </c>
      <c r="J72" s="330">
        <v>907.33</v>
      </c>
      <c r="K72" s="263" t="s">
        <v>225</v>
      </c>
      <c r="L72" s="263" t="s">
        <v>330</v>
      </c>
    </row>
    <row r="73" spans="1:12" ht="15.75">
      <c r="A73" s="260">
        <v>66</v>
      </c>
      <c r="B73" s="261" t="s">
        <v>310</v>
      </c>
      <c r="C73" s="336" t="s">
        <v>353</v>
      </c>
      <c r="D73" s="263" t="s">
        <v>281</v>
      </c>
      <c r="E73" s="263" t="s">
        <v>282</v>
      </c>
      <c r="F73" s="337">
        <v>5</v>
      </c>
      <c r="G73" s="337" t="s">
        <v>188</v>
      </c>
      <c r="H73" s="330">
        <v>168.75</v>
      </c>
      <c r="I73" s="344">
        <v>174.98</v>
      </c>
      <c r="J73" s="330">
        <v>874.92</v>
      </c>
      <c r="K73" s="263" t="s">
        <v>227</v>
      </c>
      <c r="L73" s="263" t="s">
        <v>330</v>
      </c>
    </row>
    <row r="74" spans="1:12" ht="15.75">
      <c r="A74" s="260">
        <v>67</v>
      </c>
      <c r="B74" s="261" t="s">
        <v>310</v>
      </c>
      <c r="C74" s="336" t="s">
        <v>355</v>
      </c>
      <c r="D74" s="263" t="s">
        <v>281</v>
      </c>
      <c r="E74" s="263" t="s">
        <v>282</v>
      </c>
      <c r="F74" s="63">
        <v>5</v>
      </c>
      <c r="G74" s="63" t="s">
        <v>226</v>
      </c>
      <c r="H74" s="330">
        <v>168.75</v>
      </c>
      <c r="I74" s="344">
        <v>174.98</v>
      </c>
      <c r="J74" s="330">
        <v>874.92</v>
      </c>
      <c r="K74" s="263" t="s">
        <v>228</v>
      </c>
      <c r="L74" s="263" t="s">
        <v>330</v>
      </c>
    </row>
    <row r="75" spans="1:12" ht="15.75">
      <c r="A75" s="260">
        <v>68</v>
      </c>
      <c r="B75" s="261" t="s">
        <v>310</v>
      </c>
      <c r="C75" s="336" t="s">
        <v>357</v>
      </c>
      <c r="D75" s="263" t="s">
        <v>281</v>
      </c>
      <c r="E75" s="263" t="s">
        <v>282</v>
      </c>
      <c r="F75" s="63">
        <v>5</v>
      </c>
      <c r="G75" s="63" t="s">
        <v>226</v>
      </c>
      <c r="H75" s="330">
        <v>168.75</v>
      </c>
      <c r="I75" s="344">
        <v>174.98</v>
      </c>
      <c r="J75" s="330">
        <v>874.92</v>
      </c>
      <c r="K75" s="263" t="s">
        <v>229</v>
      </c>
      <c r="L75" s="263" t="s">
        <v>330</v>
      </c>
    </row>
    <row r="76" spans="1:12" ht="15.75">
      <c r="A76" s="260">
        <v>69</v>
      </c>
      <c r="B76" s="261" t="s">
        <v>310</v>
      </c>
      <c r="C76" s="336" t="s">
        <v>358</v>
      </c>
      <c r="D76" s="263" t="s">
        <v>281</v>
      </c>
      <c r="E76" s="263" t="s">
        <v>282</v>
      </c>
      <c r="F76" s="63">
        <v>5</v>
      </c>
      <c r="G76" s="63" t="s">
        <v>226</v>
      </c>
      <c r="H76" s="330">
        <v>168.75</v>
      </c>
      <c r="I76" s="344">
        <v>174.98</v>
      </c>
      <c r="J76" s="330">
        <v>874.92</v>
      </c>
      <c r="K76" s="263" t="s">
        <v>230</v>
      </c>
      <c r="L76" s="263" t="s">
        <v>330</v>
      </c>
    </row>
    <row r="77" spans="1:12" ht="15.75">
      <c r="A77" s="260">
        <v>70</v>
      </c>
      <c r="B77" s="261" t="s">
        <v>311</v>
      </c>
      <c r="C77" s="336" t="s">
        <v>353</v>
      </c>
      <c r="D77" s="263" t="s">
        <v>281</v>
      </c>
      <c r="E77" s="263" t="s">
        <v>282</v>
      </c>
      <c r="F77" s="337">
        <v>5</v>
      </c>
      <c r="G77" s="337" t="s">
        <v>188</v>
      </c>
      <c r="H77" s="330">
        <v>168.75</v>
      </c>
      <c r="I77" s="344">
        <v>174.98</v>
      </c>
      <c r="J77" s="330">
        <v>874.92</v>
      </c>
      <c r="K77" s="263" t="s">
        <v>227</v>
      </c>
      <c r="L77" s="263" t="s">
        <v>330</v>
      </c>
    </row>
    <row r="78" spans="1:12" ht="15.75">
      <c r="A78" s="260">
        <v>71</v>
      </c>
      <c r="B78" s="261" t="s">
        <v>311</v>
      </c>
      <c r="C78" s="336" t="s">
        <v>355</v>
      </c>
      <c r="D78" s="263" t="s">
        <v>281</v>
      </c>
      <c r="E78" s="263" t="s">
        <v>282</v>
      </c>
      <c r="F78" s="63">
        <v>5</v>
      </c>
      <c r="G78" s="63" t="s">
        <v>226</v>
      </c>
      <c r="H78" s="330">
        <v>168.75</v>
      </c>
      <c r="I78" s="344">
        <v>174.98</v>
      </c>
      <c r="J78" s="330">
        <v>874.92</v>
      </c>
      <c r="K78" s="263" t="s">
        <v>228</v>
      </c>
      <c r="L78" s="263" t="s">
        <v>330</v>
      </c>
    </row>
    <row r="79" spans="1:12" ht="15.75">
      <c r="A79" s="260">
        <v>72</v>
      </c>
      <c r="B79" s="261" t="s">
        <v>311</v>
      </c>
      <c r="C79" s="336" t="s">
        <v>357</v>
      </c>
      <c r="D79" s="263" t="s">
        <v>281</v>
      </c>
      <c r="E79" s="263" t="s">
        <v>282</v>
      </c>
      <c r="F79" s="63">
        <v>5</v>
      </c>
      <c r="G79" s="63" t="s">
        <v>226</v>
      </c>
      <c r="H79" s="330">
        <v>168.75</v>
      </c>
      <c r="I79" s="344">
        <v>174.98</v>
      </c>
      <c r="J79" s="330">
        <v>874.92</v>
      </c>
      <c r="K79" s="263" t="s">
        <v>229</v>
      </c>
      <c r="L79" s="263" t="s">
        <v>330</v>
      </c>
    </row>
    <row r="80" spans="1:12" ht="15.75">
      <c r="A80" s="260">
        <v>73</v>
      </c>
      <c r="B80" s="261" t="s">
        <v>311</v>
      </c>
      <c r="C80" s="336" t="s">
        <v>358</v>
      </c>
      <c r="D80" s="263" t="s">
        <v>281</v>
      </c>
      <c r="E80" s="263" t="s">
        <v>282</v>
      </c>
      <c r="F80" s="63">
        <v>5</v>
      </c>
      <c r="G80" s="63" t="s">
        <v>226</v>
      </c>
      <c r="H80" s="330">
        <v>168.75</v>
      </c>
      <c r="I80" s="344">
        <v>174.98</v>
      </c>
      <c r="J80" s="330">
        <v>874.92</v>
      </c>
      <c r="K80" s="263" t="s">
        <v>230</v>
      </c>
      <c r="L80" s="263" t="s">
        <v>330</v>
      </c>
    </row>
    <row r="81" spans="1:12" ht="15.75">
      <c r="A81" s="260">
        <v>74</v>
      </c>
      <c r="B81" s="261" t="s">
        <v>312</v>
      </c>
      <c r="C81" s="336" t="s">
        <v>353</v>
      </c>
      <c r="D81" s="263" t="s">
        <v>281</v>
      </c>
      <c r="E81" s="263" t="s">
        <v>282</v>
      </c>
      <c r="F81" s="337">
        <v>5</v>
      </c>
      <c r="G81" s="337" t="s">
        <v>188</v>
      </c>
      <c r="H81" s="330">
        <v>168.75</v>
      </c>
      <c r="I81" s="344">
        <v>174.98</v>
      </c>
      <c r="J81" s="330">
        <v>874.92</v>
      </c>
      <c r="K81" s="263" t="s">
        <v>227</v>
      </c>
      <c r="L81" s="263" t="s">
        <v>330</v>
      </c>
    </row>
    <row r="82" spans="1:12" ht="15.75">
      <c r="A82" s="260">
        <v>75</v>
      </c>
      <c r="B82" s="261" t="s">
        <v>312</v>
      </c>
      <c r="C82" s="336" t="s">
        <v>355</v>
      </c>
      <c r="D82" s="263" t="s">
        <v>281</v>
      </c>
      <c r="E82" s="263" t="s">
        <v>282</v>
      </c>
      <c r="F82" s="63">
        <v>5</v>
      </c>
      <c r="G82" s="63" t="s">
        <v>226</v>
      </c>
      <c r="H82" s="330">
        <v>168.75</v>
      </c>
      <c r="I82" s="344">
        <v>174.98</v>
      </c>
      <c r="J82" s="330">
        <v>874.92</v>
      </c>
      <c r="K82" s="263" t="s">
        <v>228</v>
      </c>
      <c r="L82" s="263" t="s">
        <v>330</v>
      </c>
    </row>
    <row r="83" spans="1:12" ht="15.75">
      <c r="A83" s="260">
        <v>76</v>
      </c>
      <c r="B83" s="261" t="s">
        <v>312</v>
      </c>
      <c r="C83" s="336" t="s">
        <v>357</v>
      </c>
      <c r="D83" s="263" t="s">
        <v>281</v>
      </c>
      <c r="E83" s="263" t="s">
        <v>282</v>
      </c>
      <c r="F83" s="63">
        <v>5</v>
      </c>
      <c r="G83" s="63" t="s">
        <v>226</v>
      </c>
      <c r="H83" s="330">
        <v>168.75</v>
      </c>
      <c r="I83" s="344">
        <v>174.98</v>
      </c>
      <c r="J83" s="330">
        <v>874.92</v>
      </c>
      <c r="K83" s="263" t="s">
        <v>229</v>
      </c>
      <c r="L83" s="263" t="s">
        <v>330</v>
      </c>
    </row>
    <row r="84" spans="1:12" ht="15.75">
      <c r="A84" s="260">
        <v>77</v>
      </c>
      <c r="B84" s="261" t="s">
        <v>312</v>
      </c>
      <c r="C84" s="336" t="s">
        <v>358</v>
      </c>
      <c r="D84" s="263" t="s">
        <v>281</v>
      </c>
      <c r="E84" s="263" t="s">
        <v>282</v>
      </c>
      <c r="F84" s="63">
        <v>5</v>
      </c>
      <c r="G84" s="63" t="s">
        <v>226</v>
      </c>
      <c r="H84" s="330">
        <v>168.75</v>
      </c>
      <c r="I84" s="344">
        <v>174.98</v>
      </c>
      <c r="J84" s="330">
        <v>874.92</v>
      </c>
      <c r="K84" s="263" t="s">
        <v>230</v>
      </c>
      <c r="L84" s="263" t="s">
        <v>330</v>
      </c>
    </row>
    <row r="85" spans="1:12" ht="15.75">
      <c r="A85" s="260">
        <v>78</v>
      </c>
      <c r="B85" s="261" t="s">
        <v>313</v>
      </c>
      <c r="C85" s="336" t="s">
        <v>353</v>
      </c>
      <c r="D85" s="263" t="s">
        <v>281</v>
      </c>
      <c r="E85" s="263" t="s">
        <v>282</v>
      </c>
      <c r="F85" s="337">
        <v>5</v>
      </c>
      <c r="G85" s="337" t="s">
        <v>188</v>
      </c>
      <c r="H85" s="330">
        <v>168.75</v>
      </c>
      <c r="I85" s="344">
        <v>174.98</v>
      </c>
      <c r="J85" s="330">
        <v>874.92</v>
      </c>
      <c r="K85" s="263" t="s">
        <v>227</v>
      </c>
      <c r="L85" s="263" t="s">
        <v>330</v>
      </c>
    </row>
    <row r="86" spans="1:12" ht="15.75">
      <c r="A86" s="260">
        <v>79</v>
      </c>
      <c r="B86" s="261" t="s">
        <v>313</v>
      </c>
      <c r="C86" s="336" t="s">
        <v>355</v>
      </c>
      <c r="D86" s="263" t="s">
        <v>281</v>
      </c>
      <c r="E86" s="263" t="s">
        <v>282</v>
      </c>
      <c r="F86" s="63">
        <v>5</v>
      </c>
      <c r="G86" s="63" t="s">
        <v>226</v>
      </c>
      <c r="H86" s="330">
        <v>168.75</v>
      </c>
      <c r="I86" s="344">
        <v>174.98</v>
      </c>
      <c r="J86" s="330">
        <v>874.92</v>
      </c>
      <c r="K86" s="263" t="s">
        <v>228</v>
      </c>
      <c r="L86" s="263" t="s">
        <v>330</v>
      </c>
    </row>
    <row r="87" spans="1:12" ht="15.75">
      <c r="A87" s="260">
        <v>80</v>
      </c>
      <c r="B87" s="261" t="s">
        <v>313</v>
      </c>
      <c r="C87" s="336" t="s">
        <v>357</v>
      </c>
      <c r="D87" s="263" t="s">
        <v>281</v>
      </c>
      <c r="E87" s="263" t="s">
        <v>282</v>
      </c>
      <c r="F87" s="63">
        <v>5</v>
      </c>
      <c r="G87" s="63" t="s">
        <v>226</v>
      </c>
      <c r="H87" s="330">
        <v>168.75</v>
      </c>
      <c r="I87" s="344">
        <v>174.98</v>
      </c>
      <c r="J87" s="330">
        <v>874.92</v>
      </c>
      <c r="K87" s="263" t="s">
        <v>229</v>
      </c>
      <c r="L87" s="263" t="s">
        <v>330</v>
      </c>
    </row>
    <row r="88" spans="1:12" ht="15.75">
      <c r="A88" s="260">
        <v>81</v>
      </c>
      <c r="B88" s="261" t="s">
        <v>313</v>
      </c>
      <c r="C88" s="336" t="s">
        <v>358</v>
      </c>
      <c r="D88" s="263" t="s">
        <v>281</v>
      </c>
      <c r="E88" s="263" t="s">
        <v>282</v>
      </c>
      <c r="F88" s="63">
        <v>5</v>
      </c>
      <c r="G88" s="63" t="s">
        <v>226</v>
      </c>
      <c r="H88" s="330">
        <v>168.75</v>
      </c>
      <c r="I88" s="344">
        <v>174.98</v>
      </c>
      <c r="J88" s="330">
        <v>874.92</v>
      </c>
      <c r="K88" s="263" t="s">
        <v>230</v>
      </c>
      <c r="L88" s="263" t="s">
        <v>330</v>
      </c>
    </row>
    <row r="89" spans="1:12" ht="15.75">
      <c r="A89" s="260">
        <v>82</v>
      </c>
      <c r="B89" s="261" t="s">
        <v>314</v>
      </c>
      <c r="C89" s="336" t="s">
        <v>353</v>
      </c>
      <c r="D89" s="263" t="s">
        <v>281</v>
      </c>
      <c r="E89" s="263" t="s">
        <v>282</v>
      </c>
      <c r="F89" s="337">
        <v>2</v>
      </c>
      <c r="G89" s="337" t="s">
        <v>188</v>
      </c>
      <c r="H89" s="330">
        <v>67.5</v>
      </c>
      <c r="I89" s="344">
        <v>174.99</v>
      </c>
      <c r="J89" s="330">
        <v>349.97</v>
      </c>
      <c r="K89" s="263" t="s">
        <v>222</v>
      </c>
      <c r="L89" s="263" t="s">
        <v>330</v>
      </c>
    </row>
    <row r="90" spans="1:12" ht="15.75">
      <c r="A90" s="260">
        <v>83</v>
      </c>
      <c r="B90" s="261" t="s">
        <v>314</v>
      </c>
      <c r="C90" s="336" t="s">
        <v>355</v>
      </c>
      <c r="D90" s="263" t="s">
        <v>281</v>
      </c>
      <c r="E90" s="263" t="s">
        <v>282</v>
      </c>
      <c r="F90" s="63">
        <v>2</v>
      </c>
      <c r="G90" s="63" t="s">
        <v>226</v>
      </c>
      <c r="H90" s="330">
        <v>67.5</v>
      </c>
      <c r="I90" s="344">
        <v>174.99</v>
      </c>
      <c r="J90" s="330">
        <v>349.97</v>
      </c>
      <c r="K90" s="263" t="s">
        <v>223</v>
      </c>
      <c r="L90" s="263" t="s">
        <v>330</v>
      </c>
    </row>
    <row r="91" spans="1:12" ht="15.75">
      <c r="A91" s="260">
        <v>84</v>
      </c>
      <c r="B91" s="261" t="s">
        <v>314</v>
      </c>
      <c r="C91" s="336" t="s">
        <v>357</v>
      </c>
      <c r="D91" s="263" t="s">
        <v>281</v>
      </c>
      <c r="E91" s="263" t="s">
        <v>282</v>
      </c>
      <c r="F91" s="63">
        <v>2</v>
      </c>
      <c r="G91" s="63" t="s">
        <v>226</v>
      </c>
      <c r="H91" s="330">
        <v>67.5</v>
      </c>
      <c r="I91" s="344">
        <v>174.99</v>
      </c>
      <c r="J91" s="330">
        <v>349.97</v>
      </c>
      <c r="K91" s="263" t="s">
        <v>224</v>
      </c>
      <c r="L91" s="263" t="s">
        <v>330</v>
      </c>
    </row>
    <row r="92" spans="1:12" ht="15.75">
      <c r="A92" s="260">
        <v>85</v>
      </c>
      <c r="B92" s="261" t="s">
        <v>314</v>
      </c>
      <c r="C92" s="336" t="s">
        <v>358</v>
      </c>
      <c r="D92" s="263" t="s">
        <v>281</v>
      </c>
      <c r="E92" s="263" t="s">
        <v>282</v>
      </c>
      <c r="F92" s="63">
        <v>2</v>
      </c>
      <c r="G92" s="63" t="s">
        <v>226</v>
      </c>
      <c r="H92" s="330">
        <v>67.5</v>
      </c>
      <c r="I92" s="344">
        <v>174.99</v>
      </c>
      <c r="J92" s="330">
        <v>349.97</v>
      </c>
      <c r="K92" s="263" t="s">
        <v>225</v>
      </c>
      <c r="L92" s="263" t="s">
        <v>330</v>
      </c>
    </row>
    <row r="93" spans="1:12" ht="15.75">
      <c r="A93" s="260">
        <v>86</v>
      </c>
      <c r="B93" s="261" t="s">
        <v>314</v>
      </c>
      <c r="C93" s="336" t="s">
        <v>353</v>
      </c>
      <c r="D93" s="263" t="s">
        <v>281</v>
      </c>
      <c r="E93" s="263" t="s">
        <v>282</v>
      </c>
      <c r="F93" s="337">
        <v>3</v>
      </c>
      <c r="G93" s="337" t="s">
        <v>188</v>
      </c>
      <c r="H93" s="330">
        <v>101.25</v>
      </c>
      <c r="I93" s="344">
        <v>174.98</v>
      </c>
      <c r="J93" s="330">
        <v>524.95000000000005</v>
      </c>
      <c r="K93" s="263" t="s">
        <v>227</v>
      </c>
      <c r="L93" s="263" t="s">
        <v>330</v>
      </c>
    </row>
    <row r="94" spans="1:12" ht="15.75">
      <c r="A94" s="260">
        <v>87</v>
      </c>
      <c r="B94" s="261" t="s">
        <v>314</v>
      </c>
      <c r="C94" s="336" t="s">
        <v>355</v>
      </c>
      <c r="D94" s="263" t="s">
        <v>281</v>
      </c>
      <c r="E94" s="263" t="s">
        <v>282</v>
      </c>
      <c r="F94" s="63">
        <v>3</v>
      </c>
      <c r="G94" s="63" t="s">
        <v>226</v>
      </c>
      <c r="H94" s="330">
        <v>101.25</v>
      </c>
      <c r="I94" s="344">
        <v>174.98</v>
      </c>
      <c r="J94" s="330">
        <v>524.95000000000005</v>
      </c>
      <c r="K94" s="263" t="s">
        <v>228</v>
      </c>
      <c r="L94" s="263" t="s">
        <v>330</v>
      </c>
    </row>
    <row r="95" spans="1:12" ht="15.75">
      <c r="A95" s="260">
        <v>88</v>
      </c>
      <c r="B95" s="261" t="s">
        <v>314</v>
      </c>
      <c r="C95" s="336" t="s">
        <v>357</v>
      </c>
      <c r="D95" s="263" t="s">
        <v>281</v>
      </c>
      <c r="E95" s="263" t="s">
        <v>282</v>
      </c>
      <c r="F95" s="63">
        <v>3</v>
      </c>
      <c r="G95" s="63" t="s">
        <v>226</v>
      </c>
      <c r="H95" s="330">
        <v>101.25</v>
      </c>
      <c r="I95" s="344">
        <v>174.98</v>
      </c>
      <c r="J95" s="330">
        <v>524.95000000000005</v>
      </c>
      <c r="K95" s="263" t="s">
        <v>229</v>
      </c>
      <c r="L95" s="263" t="s">
        <v>330</v>
      </c>
    </row>
    <row r="96" spans="1:12" ht="15.75">
      <c r="A96" s="260">
        <v>89</v>
      </c>
      <c r="B96" s="261" t="s">
        <v>314</v>
      </c>
      <c r="C96" s="336" t="s">
        <v>358</v>
      </c>
      <c r="D96" s="263" t="s">
        <v>281</v>
      </c>
      <c r="E96" s="263" t="s">
        <v>282</v>
      </c>
      <c r="F96" s="63">
        <v>3</v>
      </c>
      <c r="G96" s="63" t="s">
        <v>226</v>
      </c>
      <c r="H96" s="330">
        <v>101.25</v>
      </c>
      <c r="I96" s="344">
        <v>174.98</v>
      </c>
      <c r="J96" s="330">
        <v>524.95000000000005</v>
      </c>
      <c r="K96" s="263" t="s">
        <v>230</v>
      </c>
      <c r="L96" s="263" t="s">
        <v>330</v>
      </c>
    </row>
    <row r="97" spans="1:23" ht="15.75">
      <c r="A97" s="260">
        <v>90</v>
      </c>
      <c r="B97" s="261" t="s">
        <v>315</v>
      </c>
      <c r="C97" s="336" t="s">
        <v>175</v>
      </c>
      <c r="D97" s="263" t="s">
        <v>281</v>
      </c>
      <c r="E97" s="263" t="s">
        <v>282</v>
      </c>
      <c r="F97" s="337">
        <v>40</v>
      </c>
      <c r="G97" s="337" t="s">
        <v>188</v>
      </c>
      <c r="H97" s="330">
        <v>132.75</v>
      </c>
      <c r="I97" s="344">
        <v>17.21</v>
      </c>
      <c r="J97" s="330">
        <v>688.27</v>
      </c>
      <c r="K97" s="263" t="s">
        <v>234</v>
      </c>
      <c r="L97" s="263" t="s">
        <v>330</v>
      </c>
    </row>
    <row r="98" spans="1:23" ht="15.75">
      <c r="A98" s="260">
        <v>91</v>
      </c>
      <c r="B98" s="261" t="s">
        <v>315</v>
      </c>
      <c r="C98" s="336" t="s">
        <v>231</v>
      </c>
      <c r="D98" s="263" t="s">
        <v>281</v>
      </c>
      <c r="E98" s="263" t="s">
        <v>282</v>
      </c>
      <c r="F98" s="63">
        <v>40</v>
      </c>
      <c r="G98" s="63" t="s">
        <v>226</v>
      </c>
      <c r="H98" s="330">
        <v>132.75</v>
      </c>
      <c r="I98" s="344">
        <v>17.21</v>
      </c>
      <c r="J98" s="330">
        <v>688.27</v>
      </c>
      <c r="K98" s="263" t="s">
        <v>235</v>
      </c>
      <c r="L98" s="263" t="s">
        <v>330</v>
      </c>
    </row>
    <row r="99" spans="1:23" ht="15.75">
      <c r="A99" s="63">
        <v>92</v>
      </c>
      <c r="B99" s="261" t="s">
        <v>315</v>
      </c>
      <c r="C99" s="336" t="s">
        <v>232</v>
      </c>
      <c r="D99" s="263" t="s">
        <v>281</v>
      </c>
      <c r="E99" s="263" t="s">
        <v>282</v>
      </c>
      <c r="F99" s="63">
        <v>40</v>
      </c>
      <c r="G99" s="63" t="s">
        <v>226</v>
      </c>
      <c r="H99" s="330">
        <v>132.75</v>
      </c>
      <c r="I99" s="344">
        <v>17.21</v>
      </c>
      <c r="J99" s="330">
        <v>688.27</v>
      </c>
      <c r="K99" s="263" t="s">
        <v>236</v>
      </c>
      <c r="L99" s="263" t="s">
        <v>330</v>
      </c>
    </row>
    <row r="100" spans="1:23" ht="15.75">
      <c r="A100" s="63">
        <v>93</v>
      </c>
      <c r="B100" s="261" t="s">
        <v>315</v>
      </c>
      <c r="C100" s="336" t="s">
        <v>233</v>
      </c>
      <c r="D100" s="263" t="s">
        <v>281</v>
      </c>
      <c r="E100" s="263" t="s">
        <v>282</v>
      </c>
      <c r="F100" s="63">
        <v>40</v>
      </c>
      <c r="G100" s="63" t="s">
        <v>226</v>
      </c>
      <c r="H100" s="330">
        <v>132.75</v>
      </c>
      <c r="I100" s="344">
        <v>17.21</v>
      </c>
      <c r="J100" s="330">
        <v>688.27</v>
      </c>
      <c r="K100" s="263" t="s">
        <v>237</v>
      </c>
      <c r="L100" s="263" t="s">
        <v>330</v>
      </c>
    </row>
    <row r="101" spans="1:23" ht="15.75">
      <c r="A101" s="63">
        <v>94</v>
      </c>
      <c r="B101" s="261" t="s">
        <v>316</v>
      </c>
      <c r="C101" s="336" t="s">
        <v>359</v>
      </c>
      <c r="D101" s="263" t="s">
        <v>281</v>
      </c>
      <c r="E101" s="263" t="s">
        <v>282</v>
      </c>
      <c r="F101" s="337">
        <v>2</v>
      </c>
      <c r="G101" s="337" t="s">
        <v>188</v>
      </c>
      <c r="H101" s="330">
        <v>23</v>
      </c>
      <c r="I101" s="344">
        <v>59.63</v>
      </c>
      <c r="J101" s="330">
        <v>119.25</v>
      </c>
      <c r="K101" s="263" t="s">
        <v>238</v>
      </c>
      <c r="L101" s="263" t="s">
        <v>330</v>
      </c>
    </row>
    <row r="102" spans="1:23" ht="15.75">
      <c r="A102" s="63">
        <v>95</v>
      </c>
      <c r="B102" s="261" t="s">
        <v>317</v>
      </c>
      <c r="C102" s="336" t="s">
        <v>361</v>
      </c>
      <c r="D102" s="263" t="s">
        <v>281</v>
      </c>
      <c r="E102" s="263" t="s">
        <v>282</v>
      </c>
      <c r="F102" s="337">
        <v>24</v>
      </c>
      <c r="G102" s="337" t="s">
        <v>188</v>
      </c>
      <c r="H102" s="330">
        <v>105.5</v>
      </c>
      <c r="I102" s="344">
        <v>22.79</v>
      </c>
      <c r="J102" s="330">
        <v>546.99</v>
      </c>
      <c r="K102" s="263" t="s">
        <v>239</v>
      </c>
      <c r="L102" s="263" t="s">
        <v>330</v>
      </c>
    </row>
    <row r="103" spans="1:23" ht="15.75">
      <c r="A103" s="63">
        <v>96</v>
      </c>
      <c r="B103" s="261" t="s">
        <v>317</v>
      </c>
      <c r="C103" s="336" t="s">
        <v>363</v>
      </c>
      <c r="D103" s="263" t="s">
        <v>281</v>
      </c>
      <c r="E103" s="263" t="s">
        <v>282</v>
      </c>
      <c r="F103" s="63">
        <v>24</v>
      </c>
      <c r="G103" s="63" t="s">
        <v>226</v>
      </c>
      <c r="H103" s="330">
        <v>105.5</v>
      </c>
      <c r="I103" s="344">
        <v>22.79</v>
      </c>
      <c r="J103" s="330">
        <v>546.99</v>
      </c>
      <c r="K103" s="263" t="s">
        <v>240</v>
      </c>
      <c r="L103" s="263" t="s">
        <v>330</v>
      </c>
    </row>
    <row r="104" spans="1:23" ht="15.75">
      <c r="A104" s="260">
        <v>97</v>
      </c>
      <c r="B104" s="261" t="s">
        <v>317</v>
      </c>
      <c r="C104" s="336" t="s">
        <v>364</v>
      </c>
      <c r="D104" s="263" t="s">
        <v>281</v>
      </c>
      <c r="E104" s="263" t="s">
        <v>282</v>
      </c>
      <c r="F104" s="63">
        <v>24</v>
      </c>
      <c r="G104" s="63" t="s">
        <v>226</v>
      </c>
      <c r="H104" s="330">
        <v>105.5</v>
      </c>
      <c r="I104" s="344">
        <v>22.79</v>
      </c>
      <c r="J104" s="330">
        <v>546.99</v>
      </c>
      <c r="K104" s="263" t="s">
        <v>241</v>
      </c>
      <c r="L104" s="263" t="s">
        <v>330</v>
      </c>
    </row>
    <row r="105" spans="1:23" s="226" customFormat="1" ht="15.75">
      <c r="A105" s="351">
        <v>98</v>
      </c>
      <c r="B105" s="352" t="s">
        <v>317</v>
      </c>
      <c r="C105" s="353" t="s">
        <v>366</v>
      </c>
      <c r="D105" s="354" t="s">
        <v>281</v>
      </c>
      <c r="E105" s="354" t="s">
        <v>282</v>
      </c>
      <c r="F105" s="209">
        <v>24</v>
      </c>
      <c r="G105" s="209" t="s">
        <v>226</v>
      </c>
      <c r="H105" s="282">
        <v>105.5</v>
      </c>
      <c r="I105" s="350">
        <f>ROUND(J105/F105,2)</f>
        <v>4.5599999999999996</v>
      </c>
      <c r="J105" s="282">
        <v>109.4</v>
      </c>
      <c r="K105" s="354" t="s">
        <v>242</v>
      </c>
      <c r="L105" s="354" t="s">
        <v>330</v>
      </c>
    </row>
    <row r="106" spans="1:23" s="226" customFormat="1" ht="15.75">
      <c r="A106" s="351">
        <v>99</v>
      </c>
      <c r="B106" s="352" t="s">
        <v>318</v>
      </c>
      <c r="C106" s="353" t="s">
        <v>368</v>
      </c>
      <c r="D106" s="354" t="s">
        <v>281</v>
      </c>
      <c r="E106" s="354" t="s">
        <v>282</v>
      </c>
      <c r="F106" s="209">
        <v>11</v>
      </c>
      <c r="G106" s="209" t="s">
        <v>188</v>
      </c>
      <c r="H106" s="282">
        <v>38.966101694915253</v>
      </c>
      <c r="I106" s="350">
        <f t="shared" ref="I106:I108" si="0">ROUND(J106/F106,2)</f>
        <v>3.67</v>
      </c>
      <c r="J106" s="282">
        <v>40.409999999999997</v>
      </c>
      <c r="K106" s="354" t="s">
        <v>244</v>
      </c>
      <c r="L106" s="354" t="s">
        <v>330</v>
      </c>
    </row>
    <row r="107" spans="1:23" ht="15.75">
      <c r="A107" s="260">
        <v>100</v>
      </c>
      <c r="B107" s="261" t="s">
        <v>318</v>
      </c>
      <c r="C107" s="336" t="s">
        <v>370</v>
      </c>
      <c r="D107" s="263" t="s">
        <v>281</v>
      </c>
      <c r="E107" s="263" t="s">
        <v>282</v>
      </c>
      <c r="F107" s="63">
        <v>22</v>
      </c>
      <c r="G107" s="209" t="s">
        <v>226</v>
      </c>
      <c r="H107" s="331">
        <v>77.932203389830505</v>
      </c>
      <c r="I107" s="350">
        <f t="shared" si="0"/>
        <v>18.37</v>
      </c>
      <c r="J107" s="330">
        <v>404.06</v>
      </c>
      <c r="K107" s="282" t="s">
        <v>245</v>
      </c>
      <c r="L107" s="282" t="s">
        <v>330</v>
      </c>
    </row>
    <row r="108" spans="1:23" s="363" customFormat="1" ht="15.75">
      <c r="A108" s="355">
        <v>101</v>
      </c>
      <c r="B108" s="356" t="s">
        <v>318</v>
      </c>
      <c r="C108" s="357" t="s">
        <v>243</v>
      </c>
      <c r="D108" s="358" t="s">
        <v>281</v>
      </c>
      <c r="E108" s="358" t="s">
        <v>282</v>
      </c>
      <c r="F108" s="359">
        <v>11</v>
      </c>
      <c r="G108" s="359" t="s">
        <v>226</v>
      </c>
      <c r="H108" s="360">
        <v>38.966101694915253</v>
      </c>
      <c r="I108" s="361">
        <f t="shared" si="0"/>
        <v>3.67</v>
      </c>
      <c r="J108" s="362">
        <v>40.409999999999997</v>
      </c>
      <c r="K108" s="362" t="s">
        <v>246</v>
      </c>
      <c r="L108" s="362" t="s">
        <v>330</v>
      </c>
      <c r="W108" s="363" t="s">
        <v>372</v>
      </c>
    </row>
    <row r="109" spans="1:23" ht="15.75">
      <c r="A109" s="260">
        <v>102</v>
      </c>
      <c r="B109" s="261" t="s">
        <v>318</v>
      </c>
      <c r="C109" s="336" t="s">
        <v>233</v>
      </c>
      <c r="D109" s="263" t="s">
        <v>281</v>
      </c>
      <c r="E109" s="263" t="s">
        <v>282</v>
      </c>
      <c r="F109" s="63">
        <v>11</v>
      </c>
      <c r="G109" s="209" t="s">
        <v>226</v>
      </c>
      <c r="H109" s="331">
        <v>38.966101694915253</v>
      </c>
      <c r="I109" s="344">
        <v>18.37</v>
      </c>
      <c r="J109" s="330">
        <v>202.04</v>
      </c>
      <c r="K109" s="282" t="s">
        <v>247</v>
      </c>
      <c r="L109" s="282" t="s">
        <v>330</v>
      </c>
    </row>
    <row r="110" spans="1:23" ht="15.75">
      <c r="A110" s="260">
        <v>103</v>
      </c>
      <c r="B110" s="261" t="s">
        <v>318</v>
      </c>
      <c r="C110" s="336" t="s">
        <v>177</v>
      </c>
      <c r="D110" s="263" t="s">
        <v>281</v>
      </c>
      <c r="E110" s="263" t="s">
        <v>282</v>
      </c>
      <c r="F110" s="337">
        <v>4</v>
      </c>
      <c r="G110" s="337" t="s">
        <v>188</v>
      </c>
      <c r="H110" s="331">
        <v>14.169491525423728</v>
      </c>
      <c r="I110" s="344">
        <v>18.37</v>
      </c>
      <c r="J110" s="330">
        <v>73.47</v>
      </c>
      <c r="K110" s="282" t="s">
        <v>248</v>
      </c>
      <c r="L110" s="282" t="s">
        <v>330</v>
      </c>
    </row>
    <row r="111" spans="1:23" s="265" customFormat="1" ht="26.45" customHeight="1">
      <c r="A111" s="67"/>
      <c r="B111" s="68"/>
      <c r="C111" s="69"/>
      <c r="D111" s="70"/>
      <c r="E111" s="71"/>
      <c r="F111" s="525" t="s">
        <v>142</v>
      </c>
      <c r="G111" s="525"/>
      <c r="H111" s="525"/>
      <c r="I111" s="525"/>
      <c r="J111" s="266">
        <f>SUM(J8:J110)</f>
        <v>141543.19000000003</v>
      </c>
      <c r="K111" s="266"/>
      <c r="L111" s="266"/>
      <c r="M111" s="264" t="e">
        <f>ROUND(#REF!/SUM(#REF!),5)*#REF!</f>
        <v>#REF!</v>
      </c>
      <c r="N111" s="268"/>
      <c r="V111" s="270"/>
    </row>
    <row r="112" spans="1:23" s="265" customFormat="1" ht="26.45" customHeight="1">
      <c r="A112" s="72"/>
      <c r="B112" s="73"/>
      <c r="C112" s="66"/>
      <c r="D112" s="74"/>
      <c r="E112" s="75"/>
      <c r="F112" s="76"/>
      <c r="G112" s="76"/>
      <c r="H112" s="332"/>
      <c r="I112" s="66"/>
      <c r="J112" s="73"/>
      <c r="K112" s="73"/>
      <c r="L112" s="73"/>
      <c r="M112" s="264" t="e">
        <f>ROUND(#REF!/SUM(#REF!),5)*#REF!</f>
        <v>#REF!</v>
      </c>
      <c r="N112" s="268"/>
      <c r="V112" s="270"/>
    </row>
    <row r="113" spans="1:22" s="265" customFormat="1" ht="26.45" customHeight="1">
      <c r="A113" s="57"/>
      <c r="B113" s="57"/>
      <c r="C113" s="57"/>
      <c r="D113" s="57"/>
      <c r="E113" s="57"/>
      <c r="F113" s="62"/>
      <c r="G113" s="62"/>
      <c r="H113" s="312"/>
      <c r="I113" s="57"/>
      <c r="J113" s="57"/>
      <c r="K113" s="57"/>
      <c r="L113" s="57"/>
      <c r="M113" s="264" t="e">
        <f>ROUND($N$113/SUM(#REF!),5)*#REF!</f>
        <v>#REF!</v>
      </c>
      <c r="N113" s="267">
        <v>9817.5</v>
      </c>
      <c r="V113" s="270"/>
    </row>
    <row r="114" spans="1:22" s="265" customFormat="1" ht="26.45" customHeight="1">
      <c r="A114" s="57"/>
      <c r="B114" s="57"/>
      <c r="C114" s="57"/>
      <c r="D114" s="57"/>
      <c r="E114" s="57"/>
      <c r="F114" s="62"/>
      <c r="G114" s="62"/>
      <c r="H114" s="312"/>
      <c r="I114" s="57"/>
      <c r="J114" s="57"/>
      <c r="K114" s="57"/>
      <c r="L114" s="57"/>
      <c r="M114" s="264" t="e">
        <f>ROUND($N$113/SUM(#REF!),5)*#REF!</f>
        <v>#REF!</v>
      </c>
      <c r="O114" s="269"/>
      <c r="V114" s="270"/>
    </row>
    <row r="115" spans="1:22" s="265" customFormat="1" ht="26.45" customHeight="1">
      <c r="A115" s="57"/>
      <c r="B115" s="57"/>
      <c r="C115" s="57"/>
      <c r="D115" s="57"/>
      <c r="E115" s="57"/>
      <c r="F115" s="62"/>
      <c r="G115" s="62"/>
      <c r="H115" s="312"/>
      <c r="I115" s="57"/>
      <c r="J115" s="327"/>
      <c r="K115" s="57"/>
      <c r="L115" s="57"/>
      <c r="N115" s="267">
        <f>SUM(U6:U7)</f>
        <v>26775</v>
      </c>
      <c r="V115" s="270"/>
    </row>
    <row r="116" spans="1:22" s="265" customFormat="1" ht="26.45" customHeight="1">
      <c r="A116" s="57"/>
      <c r="B116" s="57"/>
      <c r="C116" s="57"/>
      <c r="D116" s="57"/>
      <c r="E116" s="57"/>
      <c r="F116" s="62"/>
      <c r="G116" s="62"/>
      <c r="H116" s="312"/>
      <c r="I116" s="57"/>
      <c r="J116" s="57"/>
      <c r="K116" s="57"/>
      <c r="L116" s="57"/>
      <c r="N116" s="267">
        <v>14280</v>
      </c>
      <c r="V116" s="270"/>
    </row>
    <row r="117" spans="1:22" s="265" customFormat="1" ht="26.45" customHeight="1">
      <c r="A117" s="57"/>
      <c r="B117" s="57"/>
      <c r="C117" s="57"/>
      <c r="D117" s="57"/>
      <c r="E117" s="57"/>
      <c r="F117" s="62"/>
      <c r="G117" s="62"/>
      <c r="H117" s="312"/>
      <c r="I117" s="57"/>
      <c r="J117" s="57"/>
      <c r="K117" s="57"/>
      <c r="L117" s="57"/>
      <c r="M117" s="264" t="e">
        <f>ROUND($N$117/SUM(#REF!),5)*#REF!</f>
        <v>#REF!</v>
      </c>
      <c r="N117" s="267">
        <v>9817.5</v>
      </c>
      <c r="V117" s="270"/>
    </row>
    <row r="118" spans="1:22" s="265" customFormat="1" ht="26.45" customHeight="1">
      <c r="A118" s="57"/>
      <c r="B118" s="57"/>
      <c r="C118" s="57"/>
      <c r="D118" s="57"/>
      <c r="E118" s="57"/>
      <c r="F118" s="62"/>
      <c r="G118" s="62"/>
      <c r="H118" s="312"/>
      <c r="I118" s="57"/>
      <c r="J118" s="57"/>
      <c r="K118" s="57"/>
      <c r="L118" s="57"/>
      <c r="M118" s="264" t="e">
        <f>ROUND($N$117/SUM(#REF!),5)*#REF!</f>
        <v>#REF!</v>
      </c>
      <c r="N118" s="267"/>
      <c r="V118" s="270"/>
    </row>
    <row r="119" spans="1:22" s="265" customFormat="1" ht="26.45" customHeight="1">
      <c r="A119" s="57"/>
      <c r="B119" s="57"/>
      <c r="C119" s="57"/>
      <c r="D119" s="57"/>
      <c r="E119" s="57"/>
      <c r="F119" s="62"/>
      <c r="G119" s="62"/>
      <c r="H119" s="312"/>
      <c r="I119" s="57"/>
      <c r="J119" s="57"/>
      <c r="K119" s="57"/>
      <c r="L119" s="57"/>
      <c r="M119" s="264" t="e">
        <f>ROUND($N$117/SUM(#REF!),5)*#REF!</f>
        <v>#REF!</v>
      </c>
      <c r="N119" s="267"/>
      <c r="V119" s="270"/>
    </row>
    <row r="120" spans="1:22" s="265" customFormat="1" ht="26.45" customHeight="1">
      <c r="A120" s="57"/>
      <c r="B120" s="57"/>
      <c r="C120" s="57"/>
      <c r="D120" s="57"/>
      <c r="E120" s="57"/>
      <c r="F120" s="62"/>
      <c r="G120" s="62"/>
      <c r="H120" s="312"/>
      <c r="I120" s="57"/>
      <c r="J120" s="57"/>
      <c r="K120" s="57"/>
      <c r="L120" s="57"/>
      <c r="M120" s="264" t="e">
        <f>ROUND($N$117/SUM(#REF!),5)*#REF!</f>
        <v>#REF!</v>
      </c>
      <c r="N120" s="267"/>
      <c r="V120" s="270"/>
    </row>
    <row r="121" spans="1:22" s="265" customFormat="1" ht="26.45" customHeight="1">
      <c r="A121" s="57"/>
      <c r="B121" s="57"/>
      <c r="C121" s="57"/>
      <c r="D121" s="57"/>
      <c r="E121" s="57"/>
      <c r="F121" s="62"/>
      <c r="G121" s="62"/>
      <c r="H121" s="312"/>
      <c r="I121" s="57"/>
      <c r="J121" s="57"/>
      <c r="K121" s="57"/>
      <c r="L121" s="57"/>
      <c r="M121" s="264" t="e">
        <f>ROUND($N$117/SUM(#REF!),5)*#REF!</f>
        <v>#REF!</v>
      </c>
      <c r="N121" s="267"/>
      <c r="V121" s="270"/>
    </row>
    <row r="122" spans="1:22" s="265" customFormat="1" ht="26.45" customHeight="1">
      <c r="A122" s="57"/>
      <c r="B122" s="57"/>
      <c r="C122" s="57"/>
      <c r="D122" s="57"/>
      <c r="E122" s="57"/>
      <c r="F122" s="62"/>
      <c r="G122" s="62"/>
      <c r="H122" s="312"/>
      <c r="I122" s="57"/>
      <c r="J122" s="57"/>
      <c r="K122" s="57"/>
      <c r="L122" s="57"/>
      <c r="M122" s="264" t="e">
        <f>ROUND($N$117/SUM(#REF!),5)*#REF!</f>
        <v>#REF!</v>
      </c>
      <c r="N122" s="267"/>
      <c r="V122" s="270"/>
    </row>
    <row r="123" spans="1:22" s="265" customFormat="1" ht="26.45" customHeight="1">
      <c r="A123" s="57"/>
      <c r="B123" s="57"/>
      <c r="C123" s="57"/>
      <c r="D123" s="57"/>
      <c r="E123" s="57"/>
      <c r="F123" s="62"/>
      <c r="G123" s="62"/>
      <c r="H123" s="312"/>
      <c r="I123" s="57"/>
      <c r="J123" s="57"/>
      <c r="K123" s="57"/>
      <c r="L123" s="57"/>
      <c r="M123" s="264" t="e">
        <f>ROUND($N$117/SUM(#REF!),5)*#REF!</f>
        <v>#REF!</v>
      </c>
      <c r="N123" s="267"/>
      <c r="V123" s="270"/>
    </row>
    <row r="124" spans="1:22" s="265" customFormat="1" ht="26.45" customHeight="1">
      <c r="A124" s="57"/>
      <c r="B124" s="57"/>
      <c r="C124" s="57"/>
      <c r="D124" s="57"/>
      <c r="E124" s="57"/>
      <c r="F124" s="62"/>
      <c r="G124" s="62"/>
      <c r="H124" s="312"/>
      <c r="I124" s="57"/>
      <c r="J124" s="57"/>
      <c r="K124" s="57"/>
      <c r="L124" s="57"/>
      <c r="M124" s="264" t="e">
        <f>ROUND($N$117/SUM(#REF!),5)*#REF!</f>
        <v>#REF!</v>
      </c>
      <c r="N124" s="267"/>
      <c r="V124" s="270"/>
    </row>
    <row r="125" spans="1:22" s="265" customFormat="1" ht="26.45" customHeight="1">
      <c r="A125" s="57"/>
      <c r="B125" s="57"/>
      <c r="C125" s="57"/>
      <c r="D125" s="57"/>
      <c r="E125" s="57"/>
      <c r="F125" s="62"/>
      <c r="G125" s="62"/>
      <c r="H125" s="312"/>
      <c r="I125" s="57"/>
      <c r="J125" s="57"/>
      <c r="K125" s="57"/>
      <c r="L125" s="57"/>
      <c r="M125" s="264" t="e">
        <f>ROUND($N$125/SUM(#REF!),5)*#REF!</f>
        <v>#REF!</v>
      </c>
      <c r="N125" s="267">
        <v>15172.5</v>
      </c>
      <c r="V125" s="270"/>
    </row>
    <row r="126" spans="1:22" s="265" customFormat="1" ht="26.45" customHeight="1">
      <c r="A126" s="57"/>
      <c r="B126" s="57"/>
      <c r="C126" s="57"/>
      <c r="D126" s="57"/>
      <c r="E126" s="57"/>
      <c r="F126" s="62"/>
      <c r="G126" s="62"/>
      <c r="H126" s="312"/>
      <c r="I126" s="57"/>
      <c r="J126" s="57"/>
      <c r="K126" s="57"/>
      <c r="L126" s="57"/>
      <c r="M126" s="264" t="e">
        <f>ROUND($N$125/SUM(#REF!),5)*#REF!</f>
        <v>#REF!</v>
      </c>
      <c r="N126" s="267"/>
      <c r="P126" s="265">
        <v>122.5</v>
      </c>
      <c r="V126" s="270"/>
    </row>
    <row r="127" spans="1:22" s="265" customFormat="1" ht="26.45" customHeight="1">
      <c r="A127" s="57"/>
      <c r="B127" s="57"/>
      <c r="C127" s="57"/>
      <c r="D127" s="57"/>
      <c r="E127" s="57"/>
      <c r="F127" s="62"/>
      <c r="G127" s="62"/>
      <c r="H127" s="312"/>
      <c r="I127" s="57"/>
      <c r="J127" s="57"/>
      <c r="K127" s="57"/>
      <c r="L127" s="57"/>
      <c r="M127" s="264" t="e">
        <f>ROUND($N$125/SUM(#REF!),5)*#REF!</f>
        <v>#REF!</v>
      </c>
      <c r="N127" s="267"/>
      <c r="V127" s="270"/>
    </row>
    <row r="128" spans="1:22" s="265" customFormat="1" ht="26.45" customHeight="1">
      <c r="A128" s="57"/>
      <c r="B128" s="57"/>
      <c r="C128" s="57"/>
      <c r="D128" s="57"/>
      <c r="E128" s="57"/>
      <c r="F128" s="62"/>
      <c r="G128" s="62"/>
      <c r="H128" s="312"/>
      <c r="I128" s="57"/>
      <c r="J128" s="57"/>
      <c r="K128" s="57"/>
      <c r="L128" s="57"/>
      <c r="M128" s="264" t="e">
        <f>ROUND($N$125/SUM(#REF!),5)*#REF!</f>
        <v>#REF!</v>
      </c>
      <c r="N128" s="267"/>
      <c r="V128" s="270"/>
    </row>
    <row r="129" spans="1:22" s="265" customFormat="1" ht="26.45" customHeight="1">
      <c r="A129" s="57"/>
      <c r="B129" s="57"/>
      <c r="C129" s="57"/>
      <c r="D129" s="57"/>
      <c r="E129" s="57"/>
      <c r="F129" s="62"/>
      <c r="G129" s="62"/>
      <c r="H129" s="312"/>
      <c r="I129" s="57"/>
      <c r="J129" s="57"/>
      <c r="K129" s="57"/>
      <c r="L129" s="57"/>
      <c r="M129" s="264" t="e">
        <f>ROUND($N$125/SUM(#REF!),5)*#REF!</f>
        <v>#REF!</v>
      </c>
      <c r="N129" s="267"/>
      <c r="V129" s="270"/>
    </row>
    <row r="130" spans="1:22" s="265" customFormat="1" ht="26.45" customHeight="1">
      <c r="A130" s="57"/>
      <c r="B130" s="57"/>
      <c r="C130" s="57"/>
      <c r="D130" s="57"/>
      <c r="E130" s="57"/>
      <c r="F130" s="62"/>
      <c r="G130" s="62"/>
      <c r="H130" s="312"/>
      <c r="I130" s="57"/>
      <c r="J130" s="57"/>
      <c r="K130" s="57"/>
      <c r="L130" s="57"/>
      <c r="M130" s="264" t="e">
        <f>ROUND($N$125/SUM(#REF!),5)*#REF!</f>
        <v>#REF!</v>
      </c>
      <c r="N130" s="267"/>
      <c r="V130" s="270"/>
    </row>
    <row r="131" spans="1:22" s="265" customFormat="1" ht="26.45" customHeight="1">
      <c r="A131" s="57"/>
      <c r="B131" s="57"/>
      <c r="C131" s="57"/>
      <c r="D131" s="57"/>
      <c r="E131" s="57"/>
      <c r="F131" s="62"/>
      <c r="G131" s="62"/>
      <c r="H131" s="312"/>
      <c r="I131" s="57"/>
      <c r="J131" s="57"/>
      <c r="K131" s="57"/>
      <c r="L131" s="57"/>
      <c r="M131" s="264" t="e">
        <f>ROUND($N$131/SUM(#REF!),5)*#REF!</f>
        <v>#REF!</v>
      </c>
      <c r="N131" s="267">
        <v>892.5</v>
      </c>
      <c r="V131" s="270"/>
    </row>
    <row r="132" spans="1:22" s="265" customFormat="1" ht="26.45" customHeight="1">
      <c r="A132" s="57"/>
      <c r="B132" s="57"/>
      <c r="C132" s="57"/>
      <c r="D132" s="57"/>
      <c r="E132" s="57"/>
      <c r="F132" s="62"/>
      <c r="G132" s="62"/>
      <c r="H132" s="312"/>
      <c r="I132" s="57"/>
      <c r="J132" s="57"/>
      <c r="K132" s="57"/>
      <c r="L132" s="57"/>
      <c r="M132" s="264" t="e">
        <f>ROUND($N$131/SUM(#REF!),5)*#REF!</f>
        <v>#REF!</v>
      </c>
      <c r="N132" s="267"/>
      <c r="V132" s="270"/>
    </row>
    <row r="133" spans="1:22" s="265" customFormat="1" ht="26.45" customHeight="1">
      <c r="A133" s="57"/>
      <c r="B133" s="57"/>
      <c r="C133" s="57"/>
      <c r="D133" s="57"/>
      <c r="E133" s="57"/>
      <c r="F133" s="62"/>
      <c r="G133" s="62"/>
      <c r="H133" s="312"/>
      <c r="I133" s="57"/>
      <c r="J133" s="57"/>
      <c r="K133" s="57"/>
      <c r="L133" s="57"/>
      <c r="M133" s="264" t="e">
        <f>ROUND($N$131/SUM(#REF!),5)*#REF!</f>
        <v>#REF!</v>
      </c>
      <c r="N133" s="267"/>
      <c r="V133" s="270"/>
    </row>
    <row r="134" spans="1:22" s="265" customFormat="1" ht="26.45" customHeight="1">
      <c r="A134" s="57"/>
      <c r="B134" s="57"/>
      <c r="C134" s="57"/>
      <c r="D134" s="57"/>
      <c r="E134" s="57"/>
      <c r="F134" s="62"/>
      <c r="G134" s="62"/>
      <c r="H134" s="312"/>
      <c r="I134" s="57"/>
      <c r="J134" s="57"/>
      <c r="K134" s="57"/>
      <c r="L134" s="57"/>
      <c r="M134" s="264" t="e">
        <f>ROUND($N$131/SUM(#REF!),5)*#REF!</f>
        <v>#REF!</v>
      </c>
      <c r="N134" s="267"/>
      <c r="V134" s="270"/>
    </row>
    <row r="135" spans="1:22" ht="14.1" customHeight="1">
      <c r="M135" s="65"/>
      <c r="N135" s="267"/>
    </row>
    <row r="136" spans="1:22" ht="14.1" customHeight="1">
      <c r="N136" s="267"/>
    </row>
    <row r="137" spans="1:22">
      <c r="N137" s="267"/>
    </row>
    <row r="138" spans="1:22">
      <c r="N138" s="267"/>
    </row>
  </sheetData>
  <autoFilter ref="A7:N134" xr:uid="{00000000-0001-0000-0100-000000000000}"/>
  <mergeCells count="3">
    <mergeCell ref="A5:B5"/>
    <mergeCell ref="F5:H5"/>
    <mergeCell ref="F111:I111"/>
  </mergeCells>
  <phoneticPr fontId="33" type="noConversion"/>
  <conditionalFormatting sqref="C1:C1048576">
    <cfRule type="duplicateValues" dxfId="0" priority="18"/>
  </conditionalFormatting>
  <printOptions horizontalCentered="1"/>
  <pageMargins left="0.70866141732283472" right="0.31496062992125984" top="0.74803149606299213" bottom="0.74803149606299213" header="0.31496062992125984" footer="0.31496062992125984"/>
  <pageSetup paperSize="9" scale="67"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D19" sqref="D19:F19"/>
    </sheetView>
  </sheetViews>
  <sheetFormatPr defaultColWidth="9.5859375" defaultRowHeight="17.25" customHeight="1"/>
  <cols>
    <col min="1" max="1" width="1.51953125" style="7" customWidth="1"/>
    <col min="2" max="2" width="27.12890625" style="7" customWidth="1"/>
    <col min="3" max="3" width="3.6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03125" style="56" customWidth="1"/>
    <col min="12" max="12" width="7.71484375" style="6" customWidth="1"/>
    <col min="13" max="13" width="7.7148437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33"/>
      <c r="K2" s="9"/>
    </row>
    <row r="3" spans="1:21" ht="37.5" customHeight="1">
      <c r="A3" s="10"/>
      <c r="B3" s="482" t="s">
        <v>124</v>
      </c>
      <c r="C3" s="532"/>
      <c r="D3" s="532"/>
      <c r="E3" s="532"/>
      <c r="F3" s="532"/>
      <c r="G3" s="139"/>
      <c r="H3" s="533"/>
      <c r="I3" s="534"/>
      <c r="J3" s="534"/>
      <c r="K3" s="535"/>
    </row>
    <row r="4" spans="1:21" s="13" customFormat="1" ht="21.95" customHeight="1">
      <c r="A4" s="485" t="s">
        <v>31</v>
      </c>
      <c r="B4" s="486"/>
      <c r="C4" s="486"/>
      <c r="D4" s="486"/>
      <c r="E4" s="486"/>
      <c r="F4" s="486"/>
      <c r="G4" s="486"/>
      <c r="H4" s="486"/>
      <c r="I4" s="486"/>
      <c r="J4" s="486"/>
      <c r="K4" s="487"/>
      <c r="L4" s="11"/>
      <c r="M4" s="11"/>
      <c r="N4" s="79"/>
      <c r="O4" s="79"/>
      <c r="P4" s="80"/>
      <c r="R4" s="12"/>
      <c r="S4" s="12"/>
      <c r="T4" s="12"/>
      <c r="U4" s="12"/>
    </row>
    <row r="5" spans="1:21" s="13" customFormat="1" ht="12.75">
      <c r="A5" s="14" t="s">
        <v>2</v>
      </c>
      <c r="B5" s="183"/>
      <c r="C5" s="183"/>
      <c r="D5" s="183"/>
      <c r="E5" s="184"/>
      <c r="F5" s="185"/>
      <c r="G5" s="186" t="s">
        <v>32</v>
      </c>
      <c r="H5" s="183" t="str">
        <f>'Commercial Invoice'!H5</f>
        <v>OM4-DE-IS-0006</v>
      </c>
      <c r="I5" s="292"/>
      <c r="J5" s="292"/>
      <c r="K5" s="187"/>
      <c r="L5" s="15"/>
      <c r="M5" s="15"/>
      <c r="N5" s="15"/>
      <c r="O5" s="15"/>
      <c r="P5" s="15"/>
      <c r="Q5" s="15"/>
      <c r="R5" s="12"/>
      <c r="S5" s="12"/>
      <c r="T5" s="12"/>
      <c r="U5" s="12"/>
    </row>
    <row r="6" spans="1:21" s="13" customFormat="1" ht="12.75">
      <c r="A6" s="81"/>
      <c r="B6" s="488" t="s">
        <v>148</v>
      </c>
      <c r="C6" s="489"/>
      <c r="D6" s="489"/>
      <c r="E6" s="489"/>
      <c r="F6" s="490"/>
      <c r="G6" s="189" t="s">
        <v>3</v>
      </c>
      <c r="H6" s="253">
        <f>'Commercial Invoice'!H6</f>
        <v>46171</v>
      </c>
      <c r="I6" s="195"/>
      <c r="J6" s="287"/>
      <c r="K6" s="190"/>
      <c r="L6" s="15"/>
      <c r="M6" s="15"/>
      <c r="N6" s="15"/>
      <c r="O6" s="15"/>
      <c r="P6" s="15"/>
      <c r="Q6" s="15"/>
      <c r="R6" s="12"/>
      <c r="S6" s="12"/>
      <c r="T6" s="12"/>
      <c r="U6" s="12"/>
    </row>
    <row r="7" spans="1:21" ht="12.75">
      <c r="A7" s="8"/>
      <c r="B7" s="489"/>
      <c r="C7" s="489"/>
      <c r="D7" s="489"/>
      <c r="E7" s="489"/>
      <c r="F7" s="490"/>
      <c r="G7" s="192" t="s">
        <v>4</v>
      </c>
      <c r="H7" s="193" t="s">
        <v>5</v>
      </c>
      <c r="I7" s="193"/>
      <c r="J7" s="193"/>
      <c r="K7" s="221"/>
    </row>
    <row r="8" spans="1:21" ht="12.75">
      <c r="A8" s="8"/>
      <c r="B8" s="491"/>
      <c r="C8" s="491"/>
      <c r="D8" s="491"/>
      <c r="E8" s="491"/>
      <c r="F8" s="492"/>
      <c r="G8" s="189" t="s">
        <v>3</v>
      </c>
      <c r="H8" s="253">
        <f>'Commercial Invoice'!H8</f>
        <v>45814</v>
      </c>
      <c r="I8" s="195"/>
      <c r="J8" s="195"/>
      <c r="K8" s="221"/>
    </row>
    <row r="9" spans="1:21" ht="21" thickBot="1">
      <c r="A9" s="20" t="s">
        <v>6</v>
      </c>
      <c r="B9" s="193"/>
      <c r="C9" s="193"/>
      <c r="D9" s="193"/>
      <c r="E9" s="193"/>
      <c r="F9" s="197"/>
      <c r="G9" s="493" t="s">
        <v>7</v>
      </c>
      <c r="H9" s="494"/>
      <c r="I9" s="494"/>
      <c r="J9" s="494"/>
      <c r="K9" s="495"/>
    </row>
    <row r="10" spans="1:21" ht="17.45" customHeight="1">
      <c r="A10" s="8"/>
      <c r="B10" s="496" t="s">
        <v>154</v>
      </c>
      <c r="C10" s="497"/>
      <c r="D10" s="497"/>
      <c r="E10" s="497"/>
      <c r="F10" s="498"/>
      <c r="G10" s="501" t="s">
        <v>8</v>
      </c>
      <c r="H10" s="502"/>
      <c r="I10" s="502"/>
      <c r="J10" s="502"/>
      <c r="K10" s="503"/>
    </row>
    <row r="11" spans="1:21" ht="17.45" customHeight="1">
      <c r="A11" s="8"/>
      <c r="B11" s="497"/>
      <c r="C11" s="497"/>
      <c r="D11" s="497"/>
      <c r="E11" s="497"/>
      <c r="F11" s="498"/>
      <c r="G11" s="504"/>
      <c r="H11" s="505"/>
      <c r="I11" s="505"/>
      <c r="J11" s="505"/>
      <c r="K11" s="506"/>
    </row>
    <row r="12" spans="1:21" ht="24" customHeight="1" thickBot="1">
      <c r="A12" s="22"/>
      <c r="B12" s="499"/>
      <c r="C12" s="499"/>
      <c r="D12" s="499"/>
      <c r="E12" s="499"/>
      <c r="F12" s="500"/>
      <c r="G12" s="507"/>
      <c r="H12" s="508"/>
      <c r="I12" s="508"/>
      <c r="J12" s="508"/>
      <c r="K12" s="509"/>
    </row>
    <row r="13" spans="1:21" ht="21.6" customHeight="1">
      <c r="A13" s="23" t="s">
        <v>9</v>
      </c>
      <c r="B13" s="200"/>
      <c r="C13" s="201"/>
      <c r="D13" s="201"/>
      <c r="E13" s="201"/>
      <c r="F13" s="201"/>
      <c r="G13" s="222"/>
      <c r="H13" s="544"/>
      <c r="I13" s="544"/>
      <c r="J13" s="544"/>
      <c r="K13" s="545"/>
    </row>
    <row r="14" spans="1:21" ht="14.1" customHeight="1">
      <c r="A14" s="8"/>
      <c r="B14" s="510" t="s">
        <v>155</v>
      </c>
      <c r="C14" s="511"/>
      <c r="D14" s="511"/>
      <c r="E14" s="511"/>
      <c r="F14" s="512"/>
      <c r="G14" s="202"/>
      <c r="H14" s="515"/>
      <c r="I14" s="515"/>
      <c r="J14" s="515"/>
      <c r="K14" s="516"/>
    </row>
    <row r="15" spans="1:21" ht="14.1" customHeight="1">
      <c r="A15" s="8"/>
      <c r="B15" s="511"/>
      <c r="C15" s="511"/>
      <c r="D15" s="511"/>
      <c r="E15" s="511"/>
      <c r="F15" s="512"/>
      <c r="G15" s="202" t="s">
        <v>10</v>
      </c>
      <c r="H15" s="538" t="str">
        <f>'Commercial Invoice'!H15:K16</f>
        <v>OM4-DE-IS-0006</v>
      </c>
      <c r="I15" s="538"/>
      <c r="J15" s="538"/>
      <c r="K15" s="539"/>
    </row>
    <row r="16" spans="1:21" ht="14.1" customHeight="1">
      <c r="A16" s="8"/>
      <c r="B16" s="511"/>
      <c r="C16" s="511"/>
      <c r="D16" s="511"/>
      <c r="E16" s="511"/>
      <c r="F16" s="512"/>
      <c r="G16" s="202"/>
      <c r="H16" s="538"/>
      <c r="I16" s="538"/>
      <c r="J16" s="538"/>
      <c r="K16" s="539"/>
    </row>
    <row r="17" spans="1:22" ht="99.6" customHeight="1">
      <c r="A17" s="8"/>
      <c r="B17" s="513"/>
      <c r="C17" s="513"/>
      <c r="D17" s="513"/>
      <c r="E17" s="513"/>
      <c r="F17" s="514"/>
      <c r="G17" s="202" t="s">
        <v>141</v>
      </c>
      <c r="H17" s="465" t="s">
        <v>374</v>
      </c>
      <c r="I17" s="465"/>
      <c r="J17" s="465"/>
      <c r="K17" s="519"/>
      <c r="N17" s="78"/>
    </row>
    <row r="18" spans="1:22" ht="18.600000000000001" customHeight="1">
      <c r="A18" s="20" t="s">
        <v>11</v>
      </c>
      <c r="B18" s="26"/>
      <c r="C18" s="18" t="s">
        <v>12</v>
      </c>
      <c r="D18" s="19"/>
      <c r="E18" s="19"/>
      <c r="F18" s="21"/>
      <c r="G18" s="24"/>
      <c r="H18" s="480"/>
      <c r="I18" s="480"/>
      <c r="J18" s="480"/>
      <c r="K18" s="481"/>
    </row>
    <row r="19" spans="1:22" s="6" customFormat="1" ht="12.75">
      <c r="A19" s="22"/>
      <c r="B19" s="273" t="s">
        <v>373</v>
      </c>
      <c r="C19" s="27"/>
      <c r="D19" s="526">
        <v>46223</v>
      </c>
      <c r="E19" s="526"/>
      <c r="F19" s="527"/>
      <c r="G19" s="24" t="s">
        <v>108</v>
      </c>
      <c r="H19" s="480" t="s">
        <v>109</v>
      </c>
      <c r="I19" s="480"/>
      <c r="J19" s="480"/>
      <c r="K19" s="481"/>
      <c r="M19" s="77"/>
      <c r="N19" s="50"/>
      <c r="O19" s="78"/>
      <c r="P19" s="50"/>
      <c r="Q19" s="50"/>
      <c r="R19" s="7"/>
      <c r="S19" s="7"/>
      <c r="T19" s="7"/>
      <c r="U19" s="7"/>
      <c r="V19" s="7"/>
    </row>
    <row r="20" spans="1:22" s="6" customFormat="1" ht="18.600000000000001" customHeight="1">
      <c r="A20" s="20" t="s">
        <v>13</v>
      </c>
      <c r="B20" s="19"/>
      <c r="C20" s="18" t="s">
        <v>14</v>
      </c>
      <c r="D20" s="19"/>
      <c r="E20" s="19"/>
      <c r="F20" s="21"/>
      <c r="G20" s="202"/>
      <c r="H20" s="465"/>
      <c r="I20" s="465"/>
      <c r="J20" s="465"/>
      <c r="K20" s="258"/>
      <c r="M20" s="77"/>
      <c r="N20" s="50"/>
      <c r="O20" s="78"/>
      <c r="P20" s="50"/>
      <c r="Q20" s="50"/>
      <c r="R20" s="7"/>
      <c r="S20" s="7"/>
      <c r="T20" s="7"/>
      <c r="U20" s="7"/>
      <c r="V20" s="7"/>
    </row>
    <row r="21" spans="1:22" s="6" customFormat="1" ht="12.75">
      <c r="A21" s="8"/>
      <c r="B21" s="201" t="s">
        <v>172</v>
      </c>
      <c r="C21" s="275"/>
      <c r="D21" s="276" t="s">
        <v>174</v>
      </c>
      <c r="E21" s="277"/>
      <c r="F21" s="278"/>
      <c r="G21" s="24"/>
      <c r="H21" s="13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33"/>
      <c r="K22" s="9"/>
      <c r="M22" s="77"/>
      <c r="N22" s="50"/>
      <c r="O22" s="78"/>
      <c r="P22" s="50"/>
      <c r="Q22" s="50"/>
      <c r="R22" s="7"/>
      <c r="S22" s="7"/>
      <c r="T22" s="7"/>
      <c r="U22" s="7"/>
      <c r="V22" s="7"/>
    </row>
    <row r="23" spans="1:22" s="6" customFormat="1" ht="12.75">
      <c r="A23" s="22"/>
      <c r="B23" s="273" t="s">
        <v>376</v>
      </c>
      <c r="C23" s="274"/>
      <c r="D23" s="526">
        <v>46222</v>
      </c>
      <c r="E23" s="526"/>
      <c r="F23" s="527"/>
      <c r="G23" s="24"/>
      <c r="K23" s="9"/>
      <c r="M23" s="77"/>
      <c r="N23" s="50"/>
      <c r="O23" s="78"/>
      <c r="P23" s="50"/>
      <c r="Q23" s="50"/>
      <c r="R23" s="7"/>
      <c r="S23" s="7"/>
      <c r="T23" s="7"/>
      <c r="U23" s="7"/>
      <c r="V23" s="7"/>
    </row>
    <row r="24" spans="1:22" s="6" customFormat="1" ht="12.75">
      <c r="A24" s="20" t="s">
        <v>17</v>
      </c>
      <c r="B24" s="19"/>
      <c r="C24" s="19"/>
      <c r="D24" s="19"/>
      <c r="E24" s="19"/>
      <c r="F24" s="19"/>
      <c r="G24" s="29" t="s">
        <v>347</v>
      </c>
      <c r="H24" s="30"/>
      <c r="I24" s="30"/>
      <c r="J24" s="30"/>
      <c r="K24" s="32"/>
      <c r="M24" s="77"/>
      <c r="N24" s="50"/>
      <c r="O24" s="78"/>
      <c r="P24" s="50"/>
      <c r="Q24" s="50"/>
      <c r="R24" s="7"/>
      <c r="S24" s="7"/>
      <c r="T24" s="7"/>
      <c r="U24" s="7"/>
      <c r="V24" s="7"/>
    </row>
    <row r="25" spans="1:22" s="6" customFormat="1" ht="18" customHeight="1">
      <c r="A25" s="8"/>
      <c r="B25" s="17" t="s">
        <v>8</v>
      </c>
      <c r="C25" s="7"/>
      <c r="D25" s="7"/>
      <c r="E25" s="7"/>
      <c r="F25" s="7"/>
      <c r="G25" s="345" t="s">
        <v>348</v>
      </c>
      <c r="K25" s="9"/>
      <c r="M25" s="77"/>
      <c r="N25" s="50"/>
      <c r="O25" s="78"/>
      <c r="P25" s="50"/>
      <c r="Q25" s="50"/>
      <c r="R25" s="7"/>
      <c r="S25" s="7"/>
      <c r="T25" s="7"/>
      <c r="U25" s="7"/>
      <c r="V25" s="7"/>
    </row>
    <row r="26" spans="1:22" s="6" customFormat="1" ht="12.75">
      <c r="A26" s="8"/>
      <c r="B26" s="548" t="s">
        <v>149</v>
      </c>
      <c r="C26" s="548"/>
      <c r="D26" s="548"/>
      <c r="E26" s="548"/>
      <c r="F26" s="549"/>
      <c r="G26" s="345" t="s">
        <v>349</v>
      </c>
      <c r="K26" s="9"/>
      <c r="M26" s="77"/>
      <c r="N26" s="50"/>
      <c r="O26" s="78"/>
      <c r="P26" s="50"/>
      <c r="Q26" s="50"/>
      <c r="R26" s="7"/>
      <c r="S26" s="7"/>
      <c r="T26" s="7"/>
      <c r="U26" s="7"/>
      <c r="V26" s="7"/>
    </row>
    <row r="27" spans="1:22" s="6" customFormat="1" ht="12.75">
      <c r="A27" s="198"/>
      <c r="B27" s="550"/>
      <c r="C27" s="550"/>
      <c r="D27" s="550"/>
      <c r="E27" s="550"/>
      <c r="F27" s="551"/>
      <c r="G27" s="346" t="s">
        <v>375</v>
      </c>
      <c r="H27" s="213"/>
      <c r="I27" s="213"/>
      <c r="J27" s="213"/>
      <c r="K27" s="214"/>
      <c r="M27" s="77"/>
      <c r="N27" s="50"/>
      <c r="O27" s="78"/>
      <c r="P27" s="50"/>
      <c r="Q27" s="50"/>
      <c r="R27" s="7"/>
      <c r="S27" s="7"/>
      <c r="T27" s="7"/>
      <c r="U27" s="7"/>
      <c r="V27" s="7"/>
    </row>
    <row r="28" spans="1:22" s="17" customFormat="1" ht="48.6" customHeight="1">
      <c r="A28" s="540" t="s">
        <v>18</v>
      </c>
      <c r="B28" s="541"/>
      <c r="C28" s="541"/>
      <c r="D28" s="541"/>
      <c r="E28" s="541"/>
      <c r="F28" s="541"/>
      <c r="G28" s="215" t="s">
        <v>19</v>
      </c>
      <c r="H28" s="215" t="s">
        <v>20</v>
      </c>
      <c r="I28" s="216" t="s">
        <v>33</v>
      </c>
      <c r="J28" s="216" t="s">
        <v>34</v>
      </c>
      <c r="K28" s="217" t="s">
        <v>35</v>
      </c>
      <c r="L28" s="82"/>
      <c r="M28" s="83"/>
      <c r="N28" s="84"/>
      <c r="O28" s="85"/>
      <c r="P28" s="84"/>
      <c r="Q28" s="84"/>
    </row>
    <row r="29" spans="1:22" ht="45.6" customHeight="1">
      <c r="A29" s="199"/>
      <c r="B29" s="542" t="s">
        <v>163</v>
      </c>
      <c r="C29" s="542"/>
      <c r="D29" s="542"/>
      <c r="E29" s="542"/>
      <c r="F29" s="543"/>
      <c r="G29" s="206"/>
      <c r="H29" s="206"/>
      <c r="I29" s="218"/>
      <c r="J29" s="218"/>
      <c r="K29" s="219"/>
    </row>
    <row r="30" spans="1:22" ht="14.1" customHeight="1">
      <c r="A30" s="199"/>
      <c r="B30" s="200"/>
      <c r="C30" s="201"/>
      <c r="D30" s="201"/>
      <c r="E30" s="201"/>
      <c r="F30" s="201"/>
      <c r="G30" s="206"/>
      <c r="H30" s="206"/>
      <c r="I30" s="206"/>
      <c r="J30" s="206"/>
      <c r="K30" s="220"/>
    </row>
    <row r="31" spans="1:22" ht="12.75">
      <c r="A31" s="199"/>
      <c r="B31" s="546" t="s">
        <v>285</v>
      </c>
      <c r="C31" s="546"/>
      <c r="D31" s="546"/>
      <c r="E31" s="546"/>
      <c r="F31" s="547"/>
      <c r="G31" s="206" t="s">
        <v>179</v>
      </c>
      <c r="H31" s="206">
        <v>10</v>
      </c>
      <c r="I31" s="334">
        <v>8313</v>
      </c>
      <c r="J31" s="334">
        <v>9700</v>
      </c>
      <c r="K31" s="339">
        <v>19.404</v>
      </c>
      <c r="M31" s="308" t="s">
        <v>177</v>
      </c>
    </row>
    <row r="32" spans="1:22" ht="14.1" customHeight="1">
      <c r="A32" s="199"/>
      <c r="B32" s="546"/>
      <c r="C32" s="546"/>
      <c r="D32" s="546"/>
      <c r="E32" s="546"/>
      <c r="F32" s="547"/>
      <c r="G32" s="206" t="s">
        <v>179</v>
      </c>
      <c r="H32" s="206">
        <v>7</v>
      </c>
      <c r="I32" s="334">
        <v>8850</v>
      </c>
      <c r="J32" s="334">
        <v>9960</v>
      </c>
      <c r="K32" s="339">
        <v>18.641999999999999</v>
      </c>
      <c r="M32" s="308" t="s">
        <v>185</v>
      </c>
    </row>
    <row r="33" spans="1:22" ht="14.1" customHeight="1">
      <c r="A33" s="199"/>
      <c r="B33" s="546"/>
      <c r="C33" s="546"/>
      <c r="D33" s="546"/>
      <c r="E33" s="546"/>
      <c r="F33" s="547"/>
      <c r="G33" s="206" t="s">
        <v>179</v>
      </c>
      <c r="H33" s="206">
        <v>1</v>
      </c>
      <c r="I33" s="334">
        <v>422</v>
      </c>
      <c r="J33" s="334">
        <v>550</v>
      </c>
      <c r="K33" s="339">
        <v>2.2149999999999999</v>
      </c>
      <c r="M33" s="308" t="s">
        <v>186</v>
      </c>
    </row>
    <row r="34" spans="1:22" ht="14.1" customHeight="1">
      <c r="A34" s="199"/>
      <c r="B34" s="546"/>
      <c r="C34" s="546"/>
      <c r="D34" s="546"/>
      <c r="E34" s="546"/>
      <c r="F34" s="547"/>
      <c r="G34" s="206" t="s">
        <v>179</v>
      </c>
      <c r="H34" s="206">
        <v>1</v>
      </c>
      <c r="I34" s="334">
        <v>209</v>
      </c>
      <c r="J34" s="334">
        <v>340</v>
      </c>
      <c r="K34" s="339">
        <v>2.2149999999999999</v>
      </c>
      <c r="M34" s="308" t="s">
        <v>187</v>
      </c>
    </row>
    <row r="35" spans="1:22" ht="14.1" customHeight="1">
      <c r="A35" s="199"/>
      <c r="B35" s="546"/>
      <c r="C35" s="546"/>
      <c r="D35" s="546"/>
      <c r="E35" s="546"/>
      <c r="F35" s="547"/>
      <c r="G35" s="206" t="s">
        <v>179</v>
      </c>
      <c r="H35" s="206">
        <v>1</v>
      </c>
      <c r="I35" s="334">
        <v>531</v>
      </c>
      <c r="J35" s="334">
        <v>660</v>
      </c>
      <c r="K35" s="339">
        <v>2.2149999999999999</v>
      </c>
      <c r="M35" s="308" t="s">
        <v>175</v>
      </c>
    </row>
    <row r="36" spans="1:22" ht="14.1" customHeight="1">
      <c r="A36" s="199"/>
      <c r="B36" s="208"/>
      <c r="C36" s="201"/>
      <c r="D36" s="201"/>
      <c r="E36" s="201"/>
      <c r="F36" s="201"/>
      <c r="G36" s="206" t="s">
        <v>179</v>
      </c>
      <c r="H36" s="206">
        <v>13</v>
      </c>
      <c r="I36" s="334">
        <v>8975</v>
      </c>
      <c r="J36" s="334">
        <v>11055</v>
      </c>
      <c r="K36" s="339">
        <v>27.248000000000001</v>
      </c>
      <c r="M36" s="308" t="s">
        <v>176</v>
      </c>
    </row>
    <row r="37" spans="1:22" ht="14.1" customHeight="1">
      <c r="A37" s="199"/>
      <c r="B37" s="303" t="s">
        <v>23</v>
      </c>
      <c r="C37" s="201"/>
      <c r="D37" s="276">
        <v>33</v>
      </c>
      <c r="E37" s="201" t="s">
        <v>24</v>
      </c>
      <c r="F37" s="201"/>
      <c r="G37" s="206"/>
      <c r="H37" s="206"/>
      <c r="I37" s="334"/>
      <c r="J37" s="334"/>
      <c r="K37" s="339"/>
      <c r="M37" s="308"/>
    </row>
    <row r="38" spans="1:22" ht="14.1" customHeight="1">
      <c r="A38" s="199"/>
      <c r="B38" s="208"/>
      <c r="C38" s="201"/>
      <c r="D38" s="201"/>
      <c r="E38" s="201"/>
      <c r="F38" s="201"/>
      <c r="G38" s="206"/>
      <c r="H38" s="206"/>
      <c r="I38" s="334"/>
      <c r="J38" s="334"/>
      <c r="K38" s="339"/>
      <c r="M38" s="308"/>
    </row>
    <row r="39" spans="1:22" ht="14.1" customHeight="1">
      <c r="A39" s="199"/>
      <c r="B39" s="201"/>
      <c r="C39" s="201"/>
      <c r="D39" s="201"/>
      <c r="E39" s="201"/>
      <c r="F39" s="201"/>
      <c r="G39" s="206"/>
      <c r="H39" s="206"/>
      <c r="I39" s="334"/>
      <c r="J39" s="334"/>
      <c r="K39" s="339"/>
      <c r="M39" s="308"/>
    </row>
    <row r="40" spans="1:22" ht="14.1" customHeight="1">
      <c r="A40" s="41"/>
      <c r="B40" s="42"/>
      <c r="C40" s="42"/>
      <c r="D40" s="42"/>
      <c r="E40" s="42"/>
      <c r="F40" s="42"/>
      <c r="G40" s="44"/>
      <c r="H40" s="44"/>
      <c r="I40" s="284"/>
      <c r="J40" s="284"/>
      <c r="K40" s="340"/>
    </row>
    <row r="41" spans="1:22" s="82" customFormat="1" ht="23.1" customHeight="1">
      <c r="A41" s="86"/>
      <c r="B41" s="87"/>
      <c r="C41" s="87"/>
      <c r="D41" s="87"/>
      <c r="E41" s="87"/>
      <c r="F41" s="87"/>
      <c r="G41" s="536" t="s">
        <v>36</v>
      </c>
      <c r="H41" s="537"/>
      <c r="I41" s="335">
        <f>SUM(I29:I40)</f>
        <v>27300</v>
      </c>
      <c r="J41" s="335">
        <f>SUM(J29:J40)</f>
        <v>32265</v>
      </c>
      <c r="K41" s="341">
        <f>SUM(K29:K40)</f>
        <v>71.939000000000007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8"/>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4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40"/>
      <c r="C48" s="7"/>
      <c r="D48" s="7"/>
      <c r="E48" s="7"/>
      <c r="F48" s="7"/>
      <c r="G48" s="50"/>
      <c r="H48" s="461" t="s">
        <v>167</v>
      </c>
      <c r="I48" s="461"/>
      <c r="J48" s="461"/>
      <c r="K48" s="9"/>
      <c r="M48" s="77"/>
      <c r="N48" s="50"/>
      <c r="O48" s="78"/>
      <c r="P48" s="50"/>
      <c r="Q48" s="50"/>
      <c r="R48" s="7"/>
      <c r="S48" s="7"/>
      <c r="T48" s="7"/>
      <c r="U48" s="7"/>
      <c r="V48" s="7"/>
    </row>
    <row r="49" spans="1:22" s="6" customFormat="1" ht="24" customHeight="1" thickBot="1">
      <c r="A49" s="51"/>
      <c r="B49" s="141"/>
      <c r="C49" s="52"/>
      <c r="D49" s="52"/>
      <c r="E49" s="52"/>
      <c r="F49" s="52"/>
      <c r="G49" s="53"/>
      <c r="H49" s="54"/>
      <c r="I49" s="54"/>
      <c r="J49" s="53"/>
      <c r="K49" s="55"/>
      <c r="M49" s="77"/>
      <c r="N49" s="50"/>
      <c r="O49" s="78"/>
      <c r="P49" s="50"/>
      <c r="Q49" s="50"/>
      <c r="R49" s="7"/>
      <c r="S49" s="7"/>
      <c r="T49" s="7"/>
      <c r="U49" s="7"/>
      <c r="V49" s="7"/>
    </row>
  </sheetData>
  <mergeCells count="23">
    <mergeCell ref="H48:J48"/>
    <mergeCell ref="H17:K17"/>
    <mergeCell ref="A4:K4"/>
    <mergeCell ref="G9:K9"/>
    <mergeCell ref="G10:K12"/>
    <mergeCell ref="B10:F12"/>
    <mergeCell ref="B6:F8"/>
    <mergeCell ref="B31:F35"/>
    <mergeCell ref="B26:F27"/>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D9AD9-AE57-4CC0-996F-7D9A840970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679687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'PL(2_2)'!C16</f>
        <v>OM4-MPW-GT2-TGO-0002</v>
      </c>
      <c r="D13" s="271"/>
      <c r="E13" s="271"/>
      <c r="F13" s="271"/>
      <c r="G13" s="271"/>
      <c r="H13" s="271"/>
      <c r="I13" s="271"/>
      <c r="J13" s="272"/>
      <c r="L13" s="125" t="s">
        <v>147</v>
      </c>
      <c r="M13" s="127"/>
    </row>
    <row r="14" spans="1:13" s="125" customFormat="1" ht="36.6" customHeight="1">
      <c r="A14" s="230" t="s">
        <v>117</v>
      </c>
      <c r="B14" s="231" t="s">
        <v>95</v>
      </c>
      <c r="C14" s="280">
        <f>'PL(2_2)'!M16</f>
        <v>950</v>
      </c>
      <c r="D14" s="233" t="s">
        <v>100</v>
      </c>
      <c r="E14" s="234"/>
      <c r="F14" s="234"/>
      <c r="G14" s="234"/>
      <c r="H14" s="234"/>
      <c r="I14" s="234"/>
      <c r="J14" s="235"/>
    </row>
    <row r="15" spans="1:13" s="125" customFormat="1" ht="57.6" customHeight="1">
      <c r="A15" s="230" t="s">
        <v>118</v>
      </c>
      <c r="B15" s="231" t="s">
        <v>95</v>
      </c>
      <c r="C15" s="280">
        <f>'PL(2_2)'!N16</f>
        <v>1100</v>
      </c>
      <c r="D15" s="233" t="s">
        <v>100</v>
      </c>
      <c r="E15" s="234"/>
      <c r="F15" s="236"/>
      <c r="G15" s="234"/>
      <c r="H15" s="234"/>
      <c r="I15" s="234"/>
      <c r="J15" s="237"/>
    </row>
    <row r="16" spans="1:13" s="125" customFormat="1" ht="53.45" customHeight="1">
      <c r="A16" s="230" t="s">
        <v>120</v>
      </c>
      <c r="B16" s="232" t="s">
        <v>95</v>
      </c>
      <c r="C16" s="280">
        <f>'PL(2_2)'!I16</f>
        <v>136</v>
      </c>
      <c r="D16" s="333" t="s">
        <v>101</v>
      </c>
      <c r="E16" s="280">
        <f>'PL(2_2)'!J16</f>
        <v>136</v>
      </c>
      <c r="F16" s="333" t="s">
        <v>102</v>
      </c>
      <c r="G16" s="280">
        <f>'PL(2_2)'!K16</f>
        <v>117</v>
      </c>
      <c r="H16" s="333" t="s">
        <v>103</v>
      </c>
      <c r="I16" s="338">
        <f>'PL(2_2)'!L16</f>
        <v>2.1640000000000001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A27E1-F6E5-4AE5-86FD-CC3EA487BCDC}">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445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'PL(2_2)'!C17</f>
        <v>OM4-MPW-GT2-TGO-0003</v>
      </c>
      <c r="D13" s="271"/>
      <c r="E13" s="271"/>
      <c r="F13" s="271"/>
      <c r="G13" s="271"/>
      <c r="H13" s="271"/>
      <c r="I13" s="271"/>
      <c r="J13" s="272"/>
      <c r="L13" s="125" t="s">
        <v>147</v>
      </c>
      <c r="M13" s="127"/>
    </row>
    <row r="14" spans="1:13" s="125" customFormat="1" ht="36.6" customHeight="1">
      <c r="A14" s="230" t="s">
        <v>117</v>
      </c>
      <c r="B14" s="231" t="s">
        <v>95</v>
      </c>
      <c r="C14" s="280">
        <f>'PL(2_2)'!M17</f>
        <v>640</v>
      </c>
      <c r="D14" s="233" t="s">
        <v>100</v>
      </c>
      <c r="E14" s="234"/>
      <c r="F14" s="234"/>
      <c r="G14" s="234"/>
      <c r="H14" s="234"/>
      <c r="I14" s="234"/>
      <c r="J14" s="235"/>
    </row>
    <row r="15" spans="1:13" s="125" customFormat="1" ht="57.6" customHeight="1">
      <c r="A15" s="230" t="s">
        <v>118</v>
      </c>
      <c r="B15" s="231" t="s">
        <v>95</v>
      </c>
      <c r="C15" s="280">
        <f>'PL(2_2)'!N17</f>
        <v>790</v>
      </c>
      <c r="D15" s="233" t="s">
        <v>100</v>
      </c>
      <c r="E15" s="234"/>
      <c r="F15" s="236"/>
      <c r="G15" s="234"/>
      <c r="H15" s="234"/>
      <c r="I15" s="234"/>
      <c r="J15" s="237"/>
    </row>
    <row r="16" spans="1:13" s="125" customFormat="1" ht="53.45" customHeight="1">
      <c r="A16" s="230" t="s">
        <v>120</v>
      </c>
      <c r="B16" s="232" t="s">
        <v>95</v>
      </c>
      <c r="C16" s="280">
        <f>'PL(2_2)'!I17</f>
        <v>136</v>
      </c>
      <c r="D16" s="333" t="s">
        <v>101</v>
      </c>
      <c r="E16" s="280">
        <f>'PL(2_2)'!J17</f>
        <v>136</v>
      </c>
      <c r="F16" s="333" t="s">
        <v>102</v>
      </c>
      <c r="G16" s="280">
        <f>'PL(2_2)'!K17</f>
        <v>117</v>
      </c>
      <c r="H16" s="333" t="s">
        <v>103</v>
      </c>
      <c r="I16" s="338">
        <f>'PL(2_2)'!L17</f>
        <v>2.1640000000000001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EF433-B219-495F-9532-5843483A0AAA}">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445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'PL(2_2)'!C18</f>
        <v>OM4-MPW-GT2-TGO-0004</v>
      </c>
      <c r="D13" s="271"/>
      <c r="E13" s="271"/>
      <c r="F13" s="271"/>
      <c r="G13" s="271"/>
      <c r="H13" s="271"/>
      <c r="I13" s="271"/>
      <c r="J13" s="272"/>
      <c r="L13" s="125" t="s">
        <v>147</v>
      </c>
      <c r="M13" s="127"/>
    </row>
    <row r="14" spans="1:13" s="125" customFormat="1" ht="36.6" customHeight="1">
      <c r="A14" s="230" t="s">
        <v>117</v>
      </c>
      <c r="B14" s="231" t="s">
        <v>95</v>
      </c>
      <c r="C14" s="280">
        <f>'PL(2_2)'!M18</f>
        <v>690</v>
      </c>
      <c r="D14" s="233" t="s">
        <v>100</v>
      </c>
      <c r="E14" s="234"/>
      <c r="F14" s="234"/>
      <c r="G14" s="234"/>
      <c r="H14" s="234"/>
      <c r="I14" s="234"/>
      <c r="J14" s="235"/>
    </row>
    <row r="15" spans="1:13" s="125" customFormat="1" ht="57.6" customHeight="1">
      <c r="A15" s="230" t="s">
        <v>118</v>
      </c>
      <c r="B15" s="231" t="s">
        <v>95</v>
      </c>
      <c r="C15" s="280">
        <f>'PL(2_2)'!N18</f>
        <v>840</v>
      </c>
      <c r="D15" s="233" t="s">
        <v>100</v>
      </c>
      <c r="E15" s="234"/>
      <c r="F15" s="236"/>
      <c r="G15" s="234"/>
      <c r="H15" s="234"/>
      <c r="I15" s="234"/>
      <c r="J15" s="237"/>
    </row>
    <row r="16" spans="1:13" s="125" customFormat="1" ht="53.45" customHeight="1">
      <c r="A16" s="230" t="s">
        <v>120</v>
      </c>
      <c r="B16" s="232" t="s">
        <v>95</v>
      </c>
      <c r="C16" s="280">
        <f>'PL(2_2)'!I18</f>
        <v>136</v>
      </c>
      <c r="D16" s="333" t="s">
        <v>101</v>
      </c>
      <c r="E16" s="280">
        <f>'PL(2_2)'!J18</f>
        <v>136</v>
      </c>
      <c r="F16" s="333" t="s">
        <v>102</v>
      </c>
      <c r="G16" s="280">
        <f>'PL(2_2)'!K18</f>
        <v>117</v>
      </c>
      <c r="H16" s="333" t="s">
        <v>103</v>
      </c>
      <c r="I16" s="338">
        <f>'PL(2_2)'!L18</f>
        <v>2.1640000000000001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B1356-7E4B-478B-B854-3A6F4CECB87A}">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2.9804687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'PL(2_2)'!C19</f>
        <v>OM4-MPW-GT2-TGO-0005</v>
      </c>
      <c r="D13" s="271"/>
      <c r="E13" s="271"/>
      <c r="F13" s="271"/>
      <c r="G13" s="271"/>
      <c r="H13" s="271"/>
      <c r="I13" s="271"/>
      <c r="J13" s="272"/>
      <c r="L13" s="125" t="s">
        <v>147</v>
      </c>
      <c r="M13" s="127"/>
    </row>
    <row r="14" spans="1:13" s="125" customFormat="1" ht="36.6" customHeight="1">
      <c r="A14" s="230" t="s">
        <v>117</v>
      </c>
      <c r="B14" s="231" t="s">
        <v>95</v>
      </c>
      <c r="C14" s="280">
        <f>'PL(2_2)'!M19</f>
        <v>470</v>
      </c>
      <c r="D14" s="233" t="s">
        <v>100</v>
      </c>
      <c r="E14" s="234"/>
      <c r="F14" s="234"/>
      <c r="G14" s="234"/>
      <c r="H14" s="234"/>
      <c r="I14" s="234"/>
      <c r="J14" s="235"/>
    </row>
    <row r="15" spans="1:13" s="125" customFormat="1" ht="57.6" customHeight="1">
      <c r="A15" s="230" t="s">
        <v>118</v>
      </c>
      <c r="B15" s="231" t="s">
        <v>95</v>
      </c>
      <c r="C15" s="280">
        <f>'PL(2_2)'!N19</f>
        <v>620</v>
      </c>
      <c r="D15" s="233" t="s">
        <v>100</v>
      </c>
      <c r="E15" s="234"/>
      <c r="F15" s="236"/>
      <c r="G15" s="234"/>
      <c r="H15" s="234"/>
      <c r="I15" s="234"/>
      <c r="J15" s="237"/>
    </row>
    <row r="16" spans="1:13" s="125" customFormat="1" ht="53.45" customHeight="1">
      <c r="A16" s="230" t="s">
        <v>120</v>
      </c>
      <c r="B16" s="232" t="s">
        <v>95</v>
      </c>
      <c r="C16" s="280">
        <f>'PL(2_2)'!I19</f>
        <v>136</v>
      </c>
      <c r="D16" s="333" t="s">
        <v>101</v>
      </c>
      <c r="E16" s="280">
        <f>'PL(2_2)'!J19</f>
        <v>136</v>
      </c>
      <c r="F16" s="333" t="s">
        <v>102</v>
      </c>
      <c r="G16" s="280">
        <f>'PL(2_2)'!K19</f>
        <v>92</v>
      </c>
      <c r="H16" s="333" t="s">
        <v>103</v>
      </c>
      <c r="I16" s="338">
        <f>'PL(2_2)'!L19</f>
        <v>1.702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F4508-24F5-4E91-9872-28935D41362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679687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'PL(2_2)'!C20</f>
        <v>OM4-MPW-GT2-TGO-0006</v>
      </c>
      <c r="D13" s="271"/>
      <c r="E13" s="271"/>
      <c r="F13" s="271"/>
      <c r="G13" s="271"/>
      <c r="H13" s="271"/>
      <c r="I13" s="271"/>
      <c r="J13" s="272"/>
      <c r="L13" s="125" t="s">
        <v>147</v>
      </c>
      <c r="M13" s="127"/>
    </row>
    <row r="14" spans="1:13" s="125" customFormat="1" ht="36.6" customHeight="1">
      <c r="A14" s="230" t="s">
        <v>117</v>
      </c>
      <c r="B14" s="231" t="s">
        <v>95</v>
      </c>
      <c r="C14" s="280">
        <f>'PL(2_2)'!M20</f>
        <v>240</v>
      </c>
      <c r="D14" s="233" t="s">
        <v>100</v>
      </c>
      <c r="E14" s="234"/>
      <c r="F14" s="234"/>
      <c r="G14" s="234"/>
      <c r="H14" s="234"/>
      <c r="I14" s="234"/>
      <c r="J14" s="235"/>
    </row>
    <row r="15" spans="1:13" s="125" customFormat="1" ht="57.6" customHeight="1">
      <c r="A15" s="230" t="s">
        <v>118</v>
      </c>
      <c r="B15" s="231" t="s">
        <v>95</v>
      </c>
      <c r="C15" s="280">
        <f>'PL(2_2)'!N20</f>
        <v>350</v>
      </c>
      <c r="D15" s="233" t="s">
        <v>100</v>
      </c>
      <c r="E15" s="234"/>
      <c r="F15" s="236"/>
      <c r="G15" s="234"/>
      <c r="H15" s="234"/>
      <c r="I15" s="234"/>
      <c r="J15" s="237"/>
    </row>
    <row r="16" spans="1:13" s="125" customFormat="1" ht="53.45" customHeight="1">
      <c r="A16" s="230" t="s">
        <v>120</v>
      </c>
      <c r="B16" s="232" t="s">
        <v>95</v>
      </c>
      <c r="C16" s="280">
        <f>'PL(2_2)'!I20</f>
        <v>157</v>
      </c>
      <c r="D16" s="333" t="s">
        <v>101</v>
      </c>
      <c r="E16" s="280">
        <f>'PL(2_2)'!J20</f>
        <v>123</v>
      </c>
      <c r="F16" s="333" t="s">
        <v>102</v>
      </c>
      <c r="G16" s="280">
        <f>'PL(2_2)'!K20</f>
        <v>66</v>
      </c>
      <c r="H16" s="333" t="s">
        <v>103</v>
      </c>
      <c r="I16" s="338">
        <f>'PL(2_2)'!L20</f>
        <v>1.2749999999999999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D418E-160E-4FEE-8889-4F331651DFE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445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'PL(2_2)'!C21</f>
        <v>OM4-MPW-GT2-TGO-0007</v>
      </c>
      <c r="D13" s="271"/>
      <c r="E13" s="271"/>
      <c r="F13" s="271"/>
      <c r="G13" s="271"/>
      <c r="H13" s="271"/>
      <c r="I13" s="271"/>
      <c r="J13" s="272"/>
      <c r="L13" s="125" t="s">
        <v>147</v>
      </c>
      <c r="M13" s="127"/>
    </row>
    <row r="14" spans="1:13" s="125" customFormat="1" ht="36.6" customHeight="1">
      <c r="A14" s="230" t="s">
        <v>117</v>
      </c>
      <c r="B14" s="231" t="s">
        <v>95</v>
      </c>
      <c r="C14" s="280">
        <f>'PL(2_2)'!M21</f>
        <v>1580</v>
      </c>
      <c r="D14" s="233" t="s">
        <v>100</v>
      </c>
      <c r="E14" s="234"/>
      <c r="F14" s="234"/>
      <c r="G14" s="234"/>
      <c r="H14" s="234"/>
      <c r="I14" s="234"/>
      <c r="J14" s="235"/>
    </row>
    <row r="15" spans="1:13" s="125" customFormat="1" ht="57.6" customHeight="1">
      <c r="A15" s="230" t="s">
        <v>118</v>
      </c>
      <c r="B15" s="231" t="s">
        <v>95</v>
      </c>
      <c r="C15" s="280">
        <f>'PL(2_2)'!N21</f>
        <v>1740</v>
      </c>
      <c r="D15" s="233" t="s">
        <v>100</v>
      </c>
      <c r="E15" s="234"/>
      <c r="F15" s="236"/>
      <c r="G15" s="234"/>
      <c r="H15" s="234"/>
      <c r="I15" s="234"/>
      <c r="J15" s="237"/>
    </row>
    <row r="16" spans="1:13" s="125" customFormat="1" ht="53.45" customHeight="1">
      <c r="A16" s="230" t="s">
        <v>120</v>
      </c>
      <c r="B16" s="232" t="s">
        <v>95</v>
      </c>
      <c r="C16" s="280">
        <f>'PL(2_2)'!I21</f>
        <v>136</v>
      </c>
      <c r="D16" s="333" t="s">
        <v>101</v>
      </c>
      <c r="E16" s="280">
        <f>'PL(2_2)'!J21</f>
        <v>136</v>
      </c>
      <c r="F16" s="333" t="s">
        <v>102</v>
      </c>
      <c r="G16" s="280">
        <f>'PL(2_2)'!K21</f>
        <v>142</v>
      </c>
      <c r="H16" s="333" t="s">
        <v>103</v>
      </c>
      <c r="I16" s="338">
        <f>'PL(2_2)'!L21</f>
        <v>2.6259999999999999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D77C-8D34-42EC-AE05-9C823CCEC36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2148437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'PL(2_2)'!C22</f>
        <v>OM4-MPW-GT2-TGO-0008</v>
      </c>
      <c r="D13" s="271"/>
      <c r="E13" s="271"/>
      <c r="F13" s="271"/>
      <c r="G13" s="271"/>
      <c r="H13" s="271"/>
      <c r="I13" s="271"/>
      <c r="J13" s="272"/>
      <c r="L13" s="125" t="s">
        <v>147</v>
      </c>
      <c r="M13" s="127"/>
    </row>
    <row r="14" spans="1:13" s="125" customFormat="1" ht="36.6" customHeight="1">
      <c r="A14" s="230" t="s">
        <v>117</v>
      </c>
      <c r="B14" s="231" t="s">
        <v>95</v>
      </c>
      <c r="C14" s="280">
        <f>'PL(2_2)'!M22</f>
        <v>1080</v>
      </c>
      <c r="D14" s="233" t="s">
        <v>100</v>
      </c>
      <c r="E14" s="234"/>
      <c r="F14" s="234"/>
      <c r="G14" s="234"/>
      <c r="H14" s="234"/>
      <c r="I14" s="234"/>
      <c r="J14" s="235"/>
    </row>
    <row r="15" spans="1:13" s="125" customFormat="1" ht="57.6" customHeight="1">
      <c r="A15" s="230" t="s">
        <v>118</v>
      </c>
      <c r="B15" s="231" t="s">
        <v>95</v>
      </c>
      <c r="C15" s="280">
        <f>'PL(2_2)'!N22</f>
        <v>1250</v>
      </c>
      <c r="D15" s="233" t="s">
        <v>100</v>
      </c>
      <c r="E15" s="234"/>
      <c r="F15" s="236"/>
      <c r="G15" s="234"/>
      <c r="H15" s="234"/>
      <c r="I15" s="234"/>
      <c r="J15" s="237"/>
    </row>
    <row r="16" spans="1:13" s="125" customFormat="1" ht="53.45" customHeight="1">
      <c r="A16" s="230" t="s">
        <v>120</v>
      </c>
      <c r="B16" s="232" t="s">
        <v>95</v>
      </c>
      <c r="C16" s="280">
        <f>'PL(2_2)'!I22</f>
        <v>136</v>
      </c>
      <c r="D16" s="333" t="s">
        <v>101</v>
      </c>
      <c r="E16" s="280">
        <f>'PL(2_2)'!J22</f>
        <v>136</v>
      </c>
      <c r="F16" s="333" t="s">
        <v>102</v>
      </c>
      <c r="G16" s="280">
        <f>'PL(2_2)'!K22</f>
        <v>142</v>
      </c>
      <c r="H16" s="333" t="s">
        <v>103</v>
      </c>
      <c r="I16" s="338">
        <f>'PL(2_2)'!L22</f>
        <v>2.6259999999999999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5B386-833D-4BA1-A891-F61C0D7DF2F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'PL(2_2)'!C23</f>
        <v>OM4-MPW-GT2-TGO-0009</v>
      </c>
      <c r="D13" s="271"/>
      <c r="E13" s="271"/>
      <c r="F13" s="271"/>
      <c r="G13" s="271"/>
      <c r="H13" s="271"/>
      <c r="I13" s="271"/>
      <c r="J13" s="272"/>
      <c r="L13" s="125" t="s">
        <v>147</v>
      </c>
      <c r="M13" s="127"/>
    </row>
    <row r="14" spans="1:13" s="125" customFormat="1" ht="36.6" customHeight="1">
      <c r="A14" s="230" t="s">
        <v>117</v>
      </c>
      <c r="B14" s="231" t="s">
        <v>95</v>
      </c>
      <c r="C14" s="280">
        <f>'PL(2_2)'!M23</f>
        <v>1580</v>
      </c>
      <c r="D14" s="233" t="s">
        <v>100</v>
      </c>
      <c r="E14" s="234"/>
      <c r="F14" s="234"/>
      <c r="G14" s="234"/>
      <c r="H14" s="234"/>
      <c r="I14" s="234"/>
      <c r="J14" s="235"/>
    </row>
    <row r="15" spans="1:13" s="125" customFormat="1" ht="57.6" customHeight="1">
      <c r="A15" s="230" t="s">
        <v>118</v>
      </c>
      <c r="B15" s="231" t="s">
        <v>95</v>
      </c>
      <c r="C15" s="280">
        <f>'PL(2_2)'!N23</f>
        <v>1730</v>
      </c>
      <c r="D15" s="233" t="s">
        <v>100</v>
      </c>
      <c r="E15" s="234"/>
      <c r="F15" s="236"/>
      <c r="G15" s="234"/>
      <c r="H15" s="234"/>
      <c r="I15" s="234"/>
      <c r="J15" s="237"/>
    </row>
    <row r="16" spans="1:13" s="125" customFormat="1" ht="53.45" customHeight="1">
      <c r="A16" s="230" t="s">
        <v>120</v>
      </c>
      <c r="B16" s="232" t="s">
        <v>95</v>
      </c>
      <c r="C16" s="280">
        <f>'PL(2_2)'!I23</f>
        <v>136</v>
      </c>
      <c r="D16" s="333" t="s">
        <v>101</v>
      </c>
      <c r="E16" s="280">
        <f>'PL(2_2)'!J23</f>
        <v>136</v>
      </c>
      <c r="F16" s="333" t="s">
        <v>102</v>
      </c>
      <c r="G16" s="280">
        <f>'PL(2_2)'!K23</f>
        <v>142</v>
      </c>
      <c r="H16" s="333" t="s">
        <v>103</v>
      </c>
      <c r="I16" s="338">
        <f>'PL(2_2)'!L23</f>
        <v>2.6259999999999999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06FE2-5884-4923-A951-19556D91F5EA}">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'PL(2_2)'!C24</f>
        <v>OM4-MPW-GT2-TGO-0010</v>
      </c>
      <c r="D13" s="271"/>
      <c r="E13" s="271"/>
      <c r="F13" s="271"/>
      <c r="G13" s="271"/>
      <c r="H13" s="271"/>
      <c r="I13" s="271"/>
      <c r="J13" s="272"/>
      <c r="L13" s="125" t="s">
        <v>147</v>
      </c>
      <c r="M13" s="127"/>
    </row>
    <row r="14" spans="1:13" s="125" customFormat="1" ht="36.6" customHeight="1">
      <c r="A14" s="230" t="s">
        <v>117</v>
      </c>
      <c r="B14" s="231" t="s">
        <v>95</v>
      </c>
      <c r="C14" s="280">
        <f>'PL(2_2)'!M24</f>
        <v>1300</v>
      </c>
      <c r="D14" s="233" t="s">
        <v>100</v>
      </c>
      <c r="E14" s="234"/>
      <c r="F14" s="234"/>
      <c r="G14" s="234"/>
      <c r="H14" s="234"/>
      <c r="I14" s="234"/>
      <c r="J14" s="235"/>
    </row>
    <row r="15" spans="1:13" s="125" customFormat="1" ht="57.6" customHeight="1">
      <c r="A15" s="230" t="s">
        <v>118</v>
      </c>
      <c r="B15" s="231" t="s">
        <v>95</v>
      </c>
      <c r="C15" s="280">
        <f>'PL(2_2)'!N24</f>
        <v>1470</v>
      </c>
      <c r="D15" s="233" t="s">
        <v>100</v>
      </c>
      <c r="E15" s="234"/>
      <c r="F15" s="236"/>
      <c r="G15" s="234"/>
      <c r="H15" s="234"/>
      <c r="I15" s="234"/>
      <c r="J15" s="237"/>
    </row>
    <row r="16" spans="1:13" s="125" customFormat="1" ht="53.45" customHeight="1">
      <c r="A16" s="230" t="s">
        <v>120</v>
      </c>
      <c r="B16" s="232" t="s">
        <v>95</v>
      </c>
      <c r="C16" s="280">
        <f>'PL(2_2)'!I24</f>
        <v>136</v>
      </c>
      <c r="D16" s="333" t="s">
        <v>101</v>
      </c>
      <c r="E16" s="280">
        <f>'PL(2_2)'!J24</f>
        <v>136</v>
      </c>
      <c r="F16" s="333" t="s">
        <v>102</v>
      </c>
      <c r="G16" s="280">
        <f>'PL(2_2)'!K24</f>
        <v>142</v>
      </c>
      <c r="H16" s="333" t="s">
        <v>103</v>
      </c>
      <c r="I16" s="338">
        <f>'PL(2_2)'!L24</f>
        <v>2.6259999999999999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57425-E3D8-4A44-B14D-72DEE86A20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'PL(2_2)'!C25</f>
        <v>OM4-MPW-GT2-TGO-0011</v>
      </c>
      <c r="D13" s="271"/>
      <c r="E13" s="271"/>
      <c r="F13" s="271"/>
      <c r="G13" s="271"/>
      <c r="H13" s="271"/>
      <c r="I13" s="271"/>
      <c r="J13" s="272"/>
      <c r="L13" s="125" t="s">
        <v>147</v>
      </c>
      <c r="M13" s="127"/>
    </row>
    <row r="14" spans="1:13" s="125" customFormat="1" ht="36.6" customHeight="1">
      <c r="A14" s="230" t="s">
        <v>117</v>
      </c>
      <c r="B14" s="231" t="s">
        <v>95</v>
      </c>
      <c r="C14" s="280">
        <f>'PL(2_2)'!M25</f>
        <v>1050</v>
      </c>
      <c r="D14" s="233" t="s">
        <v>100</v>
      </c>
      <c r="E14" s="234"/>
      <c r="F14" s="234"/>
      <c r="G14" s="234"/>
      <c r="H14" s="234"/>
      <c r="I14" s="234"/>
      <c r="J14" s="235"/>
    </row>
    <row r="15" spans="1:13" s="125" customFormat="1" ht="57.6" customHeight="1">
      <c r="A15" s="230" t="s">
        <v>118</v>
      </c>
      <c r="B15" s="231" t="s">
        <v>95</v>
      </c>
      <c r="C15" s="280">
        <f>'PL(2_2)'!N25</f>
        <v>1230</v>
      </c>
      <c r="D15" s="233" t="s">
        <v>100</v>
      </c>
      <c r="E15" s="234"/>
      <c r="F15" s="236"/>
      <c r="G15" s="234"/>
      <c r="H15" s="234"/>
      <c r="I15" s="234"/>
      <c r="J15" s="237"/>
    </row>
    <row r="16" spans="1:13" s="125" customFormat="1" ht="53.45" customHeight="1">
      <c r="A16" s="230" t="s">
        <v>120</v>
      </c>
      <c r="B16" s="232" t="s">
        <v>95</v>
      </c>
      <c r="C16" s="280">
        <f>'PL(2_2)'!I25</f>
        <v>136</v>
      </c>
      <c r="D16" s="333" t="s">
        <v>101</v>
      </c>
      <c r="E16" s="280">
        <f>'PL(2_2)'!J25</f>
        <v>136</v>
      </c>
      <c r="F16" s="333" t="s">
        <v>102</v>
      </c>
      <c r="G16" s="280">
        <f>'PL(2_2)'!K25</f>
        <v>142</v>
      </c>
      <c r="H16" s="333" t="s">
        <v>103</v>
      </c>
      <c r="I16" s="338">
        <f>'PL(2_2)'!L25</f>
        <v>2.6259999999999999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F975B-2498-416F-AAF2-0DC14DA833AC}">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'PL(2_2)'!C26</f>
        <v>OM4-MPW-GT2-TGO-0012</v>
      </c>
      <c r="D13" s="271"/>
      <c r="E13" s="271"/>
      <c r="F13" s="271"/>
      <c r="G13" s="271"/>
      <c r="H13" s="271"/>
      <c r="I13" s="271"/>
      <c r="J13" s="272"/>
      <c r="L13" s="125" t="s">
        <v>147</v>
      </c>
      <c r="M13" s="127"/>
    </row>
    <row r="14" spans="1:13" s="125" customFormat="1" ht="36.6" customHeight="1">
      <c r="A14" s="230" t="s">
        <v>117</v>
      </c>
      <c r="B14" s="231" t="s">
        <v>95</v>
      </c>
      <c r="C14" s="280">
        <f>'PL(2_2)'!M26</f>
        <v>1150</v>
      </c>
      <c r="D14" s="233" t="s">
        <v>100</v>
      </c>
      <c r="E14" s="234"/>
      <c r="F14" s="234"/>
      <c r="G14" s="234"/>
      <c r="H14" s="234"/>
      <c r="I14" s="234"/>
      <c r="J14" s="235"/>
    </row>
    <row r="15" spans="1:13" s="125" customFormat="1" ht="57.6" customHeight="1">
      <c r="A15" s="230" t="s">
        <v>118</v>
      </c>
      <c r="B15" s="231" t="s">
        <v>95</v>
      </c>
      <c r="C15" s="280">
        <f>'PL(2_2)'!N26</f>
        <v>1310</v>
      </c>
      <c r="D15" s="233" t="s">
        <v>100</v>
      </c>
      <c r="E15" s="234"/>
      <c r="F15" s="236"/>
      <c r="G15" s="234"/>
      <c r="H15" s="234"/>
      <c r="I15" s="234"/>
      <c r="J15" s="237"/>
    </row>
    <row r="16" spans="1:13" s="125" customFormat="1" ht="53.45" customHeight="1">
      <c r="A16" s="230" t="s">
        <v>120</v>
      </c>
      <c r="B16" s="232" t="s">
        <v>95</v>
      </c>
      <c r="C16" s="280">
        <f>'PL(2_2)'!I26</f>
        <v>136</v>
      </c>
      <c r="D16" s="333" t="s">
        <v>101</v>
      </c>
      <c r="E16" s="280">
        <f>'PL(2_2)'!J26</f>
        <v>136</v>
      </c>
      <c r="F16" s="333" t="s">
        <v>102</v>
      </c>
      <c r="G16" s="280">
        <f>'PL(2_2)'!K26</f>
        <v>158</v>
      </c>
      <c r="H16" s="333" t="s">
        <v>103</v>
      </c>
      <c r="I16" s="338">
        <f>'PL(2_2)'!L26</f>
        <v>2.9220000000000002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BEA88-2F89-4D56-8632-D0FFE031F36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'PL(2_2)'!C27</f>
        <v>OM4-MPW-GT2-TGO-0013</v>
      </c>
      <c r="D13" s="271"/>
      <c r="E13" s="271"/>
      <c r="F13" s="271"/>
      <c r="G13" s="271"/>
      <c r="H13" s="271"/>
      <c r="I13" s="271"/>
      <c r="J13" s="272"/>
      <c r="L13" s="125" t="s">
        <v>147</v>
      </c>
      <c r="M13" s="127"/>
    </row>
    <row r="14" spans="1:13" s="125" customFormat="1" ht="36.6" customHeight="1">
      <c r="A14" s="230" t="s">
        <v>117</v>
      </c>
      <c r="B14" s="231" t="s">
        <v>95</v>
      </c>
      <c r="C14" s="280">
        <f>'PL(2_2)'!M27</f>
        <v>1730</v>
      </c>
      <c r="D14" s="233" t="s">
        <v>100</v>
      </c>
      <c r="E14" s="234"/>
      <c r="F14" s="234"/>
      <c r="G14" s="234"/>
      <c r="H14" s="234"/>
      <c r="I14" s="234"/>
      <c r="J14" s="235"/>
    </row>
    <row r="15" spans="1:13" s="125" customFormat="1" ht="57.6" customHeight="1">
      <c r="A15" s="230" t="s">
        <v>118</v>
      </c>
      <c r="B15" s="231" t="s">
        <v>95</v>
      </c>
      <c r="C15" s="280">
        <f>'PL(2_2)'!N27</f>
        <v>1890</v>
      </c>
      <c r="D15" s="233" t="s">
        <v>100</v>
      </c>
      <c r="E15" s="234"/>
      <c r="F15" s="236"/>
      <c r="G15" s="234"/>
      <c r="H15" s="234"/>
      <c r="I15" s="234"/>
      <c r="J15" s="237"/>
    </row>
    <row r="16" spans="1:13" s="125" customFormat="1" ht="53.45" customHeight="1">
      <c r="A16" s="230" t="s">
        <v>120</v>
      </c>
      <c r="B16" s="232" t="s">
        <v>95</v>
      </c>
      <c r="C16" s="280">
        <f>'PL(2_2)'!I27</f>
        <v>136</v>
      </c>
      <c r="D16" s="333" t="s">
        <v>101</v>
      </c>
      <c r="E16" s="280">
        <f>'PL(2_2)'!J27</f>
        <v>136</v>
      </c>
      <c r="F16" s="333" t="s">
        <v>102</v>
      </c>
      <c r="G16" s="280">
        <f>'PL(2_2)'!K27</f>
        <v>158</v>
      </c>
      <c r="H16" s="333" t="s">
        <v>103</v>
      </c>
      <c r="I16" s="338">
        <f>'PL(2_2)'!L27</f>
        <v>2.9220000000000002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5D8D4-AEF1-44A9-A4BD-18ACDE09892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'PL(2_2)'!C28</f>
        <v>OM4-MPW-GT2-TGO-0014</v>
      </c>
      <c r="D13" s="271"/>
      <c r="E13" s="271"/>
      <c r="F13" s="271"/>
      <c r="G13" s="271"/>
      <c r="H13" s="271"/>
      <c r="I13" s="271"/>
      <c r="J13" s="272"/>
      <c r="L13" s="125" t="s">
        <v>147</v>
      </c>
      <c r="M13" s="127"/>
    </row>
    <row r="14" spans="1:13" s="125" customFormat="1" ht="36.6" customHeight="1">
      <c r="A14" s="230" t="s">
        <v>117</v>
      </c>
      <c r="B14" s="231" t="s">
        <v>95</v>
      </c>
      <c r="C14" s="280">
        <f>'PL(2_2)'!M28</f>
        <v>1780</v>
      </c>
      <c r="D14" s="233" t="s">
        <v>100</v>
      </c>
      <c r="E14" s="234"/>
      <c r="F14" s="234"/>
      <c r="G14" s="234"/>
      <c r="H14" s="234"/>
      <c r="I14" s="234"/>
      <c r="J14" s="235"/>
    </row>
    <row r="15" spans="1:13" s="125" customFormat="1" ht="57.6" customHeight="1">
      <c r="A15" s="230" t="s">
        <v>118</v>
      </c>
      <c r="B15" s="231" t="s">
        <v>95</v>
      </c>
      <c r="C15" s="280">
        <f>'PL(2_2)'!N28</f>
        <v>1940</v>
      </c>
      <c r="D15" s="233" t="s">
        <v>100</v>
      </c>
      <c r="E15" s="234"/>
      <c r="F15" s="236"/>
      <c r="G15" s="234"/>
      <c r="H15" s="234"/>
      <c r="I15" s="234"/>
      <c r="J15" s="237"/>
    </row>
    <row r="16" spans="1:13" s="125" customFormat="1" ht="53.45" customHeight="1">
      <c r="A16" s="230" t="s">
        <v>120</v>
      </c>
      <c r="B16" s="232" t="s">
        <v>95</v>
      </c>
      <c r="C16" s="280">
        <f>'PL(2_2)'!I28</f>
        <v>136</v>
      </c>
      <c r="D16" s="333" t="s">
        <v>101</v>
      </c>
      <c r="E16" s="280">
        <f>'PL(2_2)'!J28</f>
        <v>136</v>
      </c>
      <c r="F16" s="333" t="s">
        <v>102</v>
      </c>
      <c r="G16" s="280">
        <f>'PL(2_2)'!K28</f>
        <v>158</v>
      </c>
      <c r="H16" s="333" t="s">
        <v>103</v>
      </c>
      <c r="I16" s="338">
        <f>'PL(2_2)'!L28</f>
        <v>2.9220000000000002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23C9D-54AE-407A-9EE5-E2574AFD0D36}">
  <sheetPr>
    <tabColor rgb="FF00B050"/>
    <pageSetUpPr fitToPage="1"/>
  </sheetPr>
  <dimension ref="A1:M39"/>
  <sheetViews>
    <sheetView showGridLines="0" view="pageBreakPreview" zoomScale="70" zoomScaleNormal="70" zoomScaleSheetLayoutView="70" workbookViewId="0">
      <selection activeCell="C14" sqref="C14"/>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'PL(2_2)'!C29</f>
        <v>OM4-MPW-GT2-TGO-0015</v>
      </c>
      <c r="D13" s="271"/>
      <c r="E13" s="271"/>
      <c r="F13" s="271"/>
      <c r="G13" s="271"/>
      <c r="H13" s="271"/>
      <c r="I13" s="271"/>
      <c r="J13" s="272"/>
      <c r="L13" s="125" t="s">
        <v>147</v>
      </c>
      <c r="M13" s="127"/>
    </row>
    <row r="14" spans="1:13" s="125" customFormat="1" ht="36.6" customHeight="1">
      <c r="A14" s="230" t="s">
        <v>117</v>
      </c>
      <c r="B14" s="231" t="s">
        <v>95</v>
      </c>
      <c r="C14" s="280">
        <f>'PL(2_2)'!M29</f>
        <v>1780</v>
      </c>
      <c r="D14" s="233" t="s">
        <v>100</v>
      </c>
      <c r="E14" s="234"/>
      <c r="F14" s="234"/>
      <c r="G14" s="234"/>
      <c r="H14" s="234"/>
      <c r="I14" s="234"/>
      <c r="J14" s="235"/>
    </row>
    <row r="15" spans="1:13" s="125" customFormat="1" ht="57.6" customHeight="1">
      <c r="A15" s="230" t="s">
        <v>118</v>
      </c>
      <c r="B15" s="231" t="s">
        <v>95</v>
      </c>
      <c r="C15" s="280">
        <f>'PL(2_2)'!N29</f>
        <v>1940</v>
      </c>
      <c r="D15" s="233" t="s">
        <v>100</v>
      </c>
      <c r="E15" s="234"/>
      <c r="F15" s="236"/>
      <c r="G15" s="234"/>
      <c r="H15" s="234"/>
      <c r="I15" s="234"/>
      <c r="J15" s="237"/>
    </row>
    <row r="16" spans="1:13" s="125" customFormat="1" ht="53.45" customHeight="1">
      <c r="A16" s="230" t="s">
        <v>120</v>
      </c>
      <c r="B16" s="232" t="s">
        <v>95</v>
      </c>
      <c r="C16" s="280">
        <f>'PL(2_2)'!I29</f>
        <v>136</v>
      </c>
      <c r="D16" s="333" t="s">
        <v>101</v>
      </c>
      <c r="E16" s="280">
        <f>'PL(2_2)'!J29</f>
        <v>136</v>
      </c>
      <c r="F16" s="333" t="s">
        <v>102</v>
      </c>
      <c r="G16" s="280">
        <f>'PL(2_2)'!K29</f>
        <v>158</v>
      </c>
      <c r="H16" s="333" t="s">
        <v>103</v>
      </c>
      <c r="I16" s="338">
        <f>'PL(2_2)'!L29</f>
        <v>2.9220000000000002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BD8A1-D419-4AA8-BFE1-0C7B2F67B9E3}">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'PL(2_2)'!C30</f>
        <v>OM4-MPW-GT2-TGO-0016</v>
      </c>
      <c r="D13" s="271"/>
      <c r="E13" s="271"/>
      <c r="F13" s="271"/>
      <c r="G13" s="271"/>
      <c r="H13" s="271"/>
      <c r="I13" s="271"/>
      <c r="J13" s="272"/>
      <c r="L13" s="125" t="s">
        <v>147</v>
      </c>
      <c r="M13" s="127"/>
    </row>
    <row r="14" spans="1:13" s="125" customFormat="1" ht="36.6" customHeight="1">
      <c r="A14" s="230" t="s">
        <v>117</v>
      </c>
      <c r="B14" s="231" t="s">
        <v>95</v>
      </c>
      <c r="C14" s="280">
        <f>'PL(2_2)'!M30</f>
        <v>290</v>
      </c>
      <c r="D14" s="233" t="s">
        <v>100</v>
      </c>
      <c r="E14" s="234"/>
      <c r="F14" s="234"/>
      <c r="G14" s="234"/>
      <c r="H14" s="234"/>
      <c r="I14" s="234"/>
      <c r="J14" s="235"/>
    </row>
    <row r="15" spans="1:13" s="125" customFormat="1" ht="57.6" customHeight="1">
      <c r="A15" s="230" t="s">
        <v>118</v>
      </c>
      <c r="B15" s="231" t="s">
        <v>95</v>
      </c>
      <c r="C15" s="280">
        <f>'PL(2_2)'!N30</f>
        <v>370</v>
      </c>
      <c r="D15" s="233" t="s">
        <v>100</v>
      </c>
      <c r="E15" s="234"/>
      <c r="F15" s="236"/>
      <c r="G15" s="234"/>
      <c r="H15" s="234"/>
      <c r="I15" s="234"/>
      <c r="J15" s="237"/>
    </row>
    <row r="16" spans="1:13" s="125" customFormat="1" ht="53.45" customHeight="1">
      <c r="A16" s="230" t="s">
        <v>120</v>
      </c>
      <c r="B16" s="232" t="s">
        <v>95</v>
      </c>
      <c r="C16" s="280">
        <f>'PL(2_2)'!I30</f>
        <v>245</v>
      </c>
      <c r="D16" s="333" t="s">
        <v>101</v>
      </c>
      <c r="E16" s="280">
        <f>'PL(2_2)'!J30</f>
        <v>67</v>
      </c>
      <c r="F16" s="333" t="s">
        <v>102</v>
      </c>
      <c r="G16" s="280">
        <f>'PL(2_2)'!K30</f>
        <v>65</v>
      </c>
      <c r="H16" s="333" t="s">
        <v>103</v>
      </c>
      <c r="I16" s="338">
        <f>'PL(2_2)'!L30</f>
        <v>1.0669999999999999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46813-9773-4AF0-8FD8-5B66C4AC1A2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'PL(2_2)'!C31</f>
        <v>OM4-MPW-GT2-TGO-0017</v>
      </c>
      <c r="D13" s="271"/>
      <c r="E13" s="271"/>
      <c r="F13" s="271"/>
      <c r="G13" s="271"/>
      <c r="H13" s="271"/>
      <c r="I13" s="271"/>
      <c r="J13" s="272"/>
      <c r="L13" s="125" t="s">
        <v>147</v>
      </c>
      <c r="M13" s="127"/>
    </row>
    <row r="14" spans="1:13" s="125" customFormat="1" ht="36.6" customHeight="1">
      <c r="A14" s="230" t="s">
        <v>117</v>
      </c>
      <c r="B14" s="231" t="s">
        <v>95</v>
      </c>
      <c r="C14" s="280">
        <f>'PL(2_2)'!M31</f>
        <v>700</v>
      </c>
      <c r="D14" s="233" t="s">
        <v>100</v>
      </c>
      <c r="E14" s="234"/>
      <c r="F14" s="234"/>
      <c r="G14" s="234"/>
      <c r="H14" s="234"/>
      <c r="I14" s="234"/>
      <c r="J14" s="235"/>
    </row>
    <row r="15" spans="1:13" s="125" customFormat="1" ht="57.6" customHeight="1">
      <c r="A15" s="230" t="s">
        <v>118</v>
      </c>
      <c r="B15" s="231" t="s">
        <v>95</v>
      </c>
      <c r="C15" s="280">
        <f>'PL(2_2)'!N31</f>
        <v>860</v>
      </c>
      <c r="D15" s="233" t="s">
        <v>100</v>
      </c>
      <c r="E15" s="234"/>
      <c r="F15" s="236"/>
      <c r="G15" s="234"/>
      <c r="H15" s="234"/>
      <c r="I15" s="234"/>
      <c r="J15" s="237"/>
    </row>
    <row r="16" spans="1:13" s="125" customFormat="1" ht="53.45" customHeight="1">
      <c r="A16" s="230" t="s">
        <v>120</v>
      </c>
      <c r="B16" s="232" t="s">
        <v>95</v>
      </c>
      <c r="C16" s="280">
        <f>'PL(2_2)'!I31</f>
        <v>245</v>
      </c>
      <c r="D16" s="333" t="s">
        <v>101</v>
      </c>
      <c r="E16" s="280">
        <f>'PL(2_2)'!J31</f>
        <v>124</v>
      </c>
      <c r="F16" s="333" t="s">
        <v>102</v>
      </c>
      <c r="G16" s="280">
        <f>'PL(2_2)'!K31</f>
        <v>69</v>
      </c>
      <c r="H16" s="333" t="s">
        <v>103</v>
      </c>
      <c r="I16" s="338">
        <f>'PL(2_2)'!L31</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10942-2485-4B37-A92F-6C381BE1704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'PL(2_2)'!C32</f>
        <v>OM4-MPW-GT2-TGO-0018</v>
      </c>
      <c r="D13" s="271"/>
      <c r="E13" s="271"/>
      <c r="F13" s="271"/>
      <c r="G13" s="271"/>
      <c r="H13" s="271"/>
      <c r="I13" s="271"/>
      <c r="J13" s="272"/>
      <c r="L13" s="125" t="s">
        <v>147</v>
      </c>
      <c r="M13" s="127"/>
    </row>
    <row r="14" spans="1:13" s="125" customFormat="1" ht="36.6" customHeight="1">
      <c r="A14" s="230" t="s">
        <v>117</v>
      </c>
      <c r="B14" s="231" t="s">
        <v>95</v>
      </c>
      <c r="C14" s="280">
        <f>'PL(2_2)'!M32</f>
        <v>700</v>
      </c>
      <c r="D14" s="233" t="s">
        <v>100</v>
      </c>
      <c r="E14" s="234"/>
      <c r="F14" s="234"/>
      <c r="G14" s="234"/>
      <c r="H14" s="234"/>
      <c r="I14" s="234"/>
      <c r="J14" s="235"/>
    </row>
    <row r="15" spans="1:13" s="125" customFormat="1" ht="57.6" customHeight="1">
      <c r="A15" s="230" t="s">
        <v>118</v>
      </c>
      <c r="B15" s="231" t="s">
        <v>95</v>
      </c>
      <c r="C15" s="280">
        <f>'PL(2_2)'!N32</f>
        <v>860</v>
      </c>
      <c r="D15" s="233" t="s">
        <v>100</v>
      </c>
      <c r="E15" s="234"/>
      <c r="F15" s="236"/>
      <c r="G15" s="234"/>
      <c r="H15" s="234"/>
      <c r="I15" s="234"/>
      <c r="J15" s="237"/>
    </row>
    <row r="16" spans="1:13" s="125" customFormat="1" ht="53.45" customHeight="1">
      <c r="A16" s="230" t="s">
        <v>120</v>
      </c>
      <c r="B16" s="232" t="s">
        <v>95</v>
      </c>
      <c r="C16" s="280">
        <f>'PL(2_2)'!I32</f>
        <v>245</v>
      </c>
      <c r="D16" s="333" t="s">
        <v>101</v>
      </c>
      <c r="E16" s="280">
        <f>'PL(2_2)'!J32</f>
        <v>124</v>
      </c>
      <c r="F16" s="333" t="s">
        <v>102</v>
      </c>
      <c r="G16" s="280">
        <f>'PL(2_2)'!K32</f>
        <v>69</v>
      </c>
      <c r="H16" s="333" t="s">
        <v>103</v>
      </c>
      <c r="I16" s="338">
        <f>'PL(2_2)'!L32</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A0A69-CBEA-47AB-8ADB-2F3264C4242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'PL(2_2)'!C33</f>
        <v>OM4-MPW-GT2-TGO-0019</v>
      </c>
      <c r="D13" s="271"/>
      <c r="E13" s="271"/>
      <c r="F13" s="271"/>
      <c r="G13" s="271"/>
      <c r="H13" s="271"/>
      <c r="I13" s="271"/>
      <c r="J13" s="272"/>
      <c r="L13" s="125" t="s">
        <v>147</v>
      </c>
      <c r="M13" s="127"/>
    </row>
    <row r="14" spans="1:13" s="125" customFormat="1" ht="36.6" customHeight="1">
      <c r="A14" s="230" t="s">
        <v>117</v>
      </c>
      <c r="B14" s="231" t="s">
        <v>95</v>
      </c>
      <c r="C14" s="280">
        <f>'PL(2_2)'!M33</f>
        <v>700</v>
      </c>
      <c r="D14" s="233" t="s">
        <v>100</v>
      </c>
      <c r="E14" s="234"/>
      <c r="F14" s="234"/>
      <c r="G14" s="234"/>
      <c r="H14" s="234"/>
      <c r="I14" s="234"/>
      <c r="J14" s="235"/>
    </row>
    <row r="15" spans="1:13" s="125" customFormat="1" ht="57.6" customHeight="1">
      <c r="A15" s="230" t="s">
        <v>118</v>
      </c>
      <c r="B15" s="231" t="s">
        <v>95</v>
      </c>
      <c r="C15" s="280">
        <f>'PL(2_2)'!N33</f>
        <v>860</v>
      </c>
      <c r="D15" s="233" t="s">
        <v>100</v>
      </c>
      <c r="E15" s="234"/>
      <c r="F15" s="236"/>
      <c r="G15" s="234"/>
      <c r="H15" s="234"/>
      <c r="I15" s="234"/>
      <c r="J15" s="237"/>
    </row>
    <row r="16" spans="1:13" s="125" customFormat="1" ht="53.45" customHeight="1">
      <c r="A16" s="230" t="s">
        <v>120</v>
      </c>
      <c r="B16" s="232" t="s">
        <v>95</v>
      </c>
      <c r="C16" s="280">
        <f>'PL(2_2)'!I33</f>
        <v>245</v>
      </c>
      <c r="D16" s="333" t="s">
        <v>101</v>
      </c>
      <c r="E16" s="280">
        <f>'PL(2_2)'!J33</f>
        <v>124</v>
      </c>
      <c r="F16" s="333" t="s">
        <v>102</v>
      </c>
      <c r="G16" s="280">
        <f>'PL(2_2)'!K33</f>
        <v>69</v>
      </c>
      <c r="H16" s="333" t="s">
        <v>103</v>
      </c>
      <c r="I16" s="338">
        <f>'PL(2_2)'!L33</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91F52-CF0B-4B7F-B10F-E4641EA0B0BA}">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'PL(2_2)'!C34</f>
        <v>OM4-MPW-GT2-TGO-0020</v>
      </c>
      <c r="D13" s="271"/>
      <c r="E13" s="271"/>
      <c r="F13" s="271"/>
      <c r="G13" s="271"/>
      <c r="H13" s="271"/>
      <c r="I13" s="271"/>
      <c r="J13" s="272"/>
      <c r="L13" s="125" t="s">
        <v>147</v>
      </c>
      <c r="M13" s="127"/>
    </row>
    <row r="14" spans="1:13" s="125" customFormat="1" ht="36.6" customHeight="1">
      <c r="A14" s="230" t="s">
        <v>117</v>
      </c>
      <c r="B14" s="231" t="s">
        <v>95</v>
      </c>
      <c r="C14" s="280">
        <f>'PL(2_2)'!M34</f>
        <v>700</v>
      </c>
      <c r="D14" s="233" t="s">
        <v>100</v>
      </c>
      <c r="E14" s="234"/>
      <c r="F14" s="234"/>
      <c r="G14" s="234"/>
      <c r="H14" s="234"/>
      <c r="I14" s="234"/>
      <c r="J14" s="235"/>
    </row>
    <row r="15" spans="1:13" s="125" customFormat="1" ht="57.6" customHeight="1">
      <c r="A15" s="230" t="s">
        <v>118</v>
      </c>
      <c r="B15" s="231" t="s">
        <v>95</v>
      </c>
      <c r="C15" s="280">
        <f>'PL(2_2)'!N34</f>
        <v>860</v>
      </c>
      <c r="D15" s="233" t="s">
        <v>100</v>
      </c>
      <c r="E15" s="234"/>
      <c r="F15" s="236"/>
      <c r="G15" s="234"/>
      <c r="H15" s="234"/>
      <c r="I15" s="234"/>
      <c r="J15" s="237"/>
    </row>
    <row r="16" spans="1:13" s="125" customFormat="1" ht="53.45" customHeight="1">
      <c r="A16" s="230" t="s">
        <v>120</v>
      </c>
      <c r="B16" s="232" t="s">
        <v>95</v>
      </c>
      <c r="C16" s="280">
        <f>'PL(2_2)'!I34</f>
        <v>245</v>
      </c>
      <c r="D16" s="333" t="s">
        <v>101</v>
      </c>
      <c r="E16" s="280">
        <f>'PL(2_2)'!J34</f>
        <v>124</v>
      </c>
      <c r="F16" s="333" t="s">
        <v>102</v>
      </c>
      <c r="G16" s="280">
        <f>'PL(2_2)'!K34</f>
        <v>69</v>
      </c>
      <c r="H16" s="333" t="s">
        <v>103</v>
      </c>
      <c r="I16" s="338">
        <f>'PL(2_2)'!L34</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E971-191F-4DEC-8C7A-238900B9ED0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'PL(2_2)'!C35</f>
        <v>OM4-MPW-GT2-TGO-0021</v>
      </c>
      <c r="D13" s="271"/>
      <c r="E13" s="271"/>
      <c r="F13" s="271"/>
      <c r="G13" s="271"/>
      <c r="H13" s="271"/>
      <c r="I13" s="271"/>
      <c r="J13" s="272"/>
      <c r="L13" s="125" t="s">
        <v>147</v>
      </c>
      <c r="M13" s="127"/>
    </row>
    <row r="14" spans="1:13" s="125" customFormat="1" ht="36.6" customHeight="1">
      <c r="A14" s="230" t="s">
        <v>117</v>
      </c>
      <c r="B14" s="231" t="s">
        <v>95</v>
      </c>
      <c r="C14" s="280">
        <f>'PL(2_2)'!M35</f>
        <v>700</v>
      </c>
      <c r="D14" s="233" t="s">
        <v>100</v>
      </c>
      <c r="E14" s="234"/>
      <c r="F14" s="234"/>
      <c r="G14" s="234"/>
      <c r="H14" s="234"/>
      <c r="I14" s="234"/>
      <c r="J14" s="235"/>
    </row>
    <row r="15" spans="1:13" s="125" customFormat="1" ht="57.6" customHeight="1">
      <c r="A15" s="230" t="s">
        <v>118</v>
      </c>
      <c r="B15" s="231" t="s">
        <v>95</v>
      </c>
      <c r="C15" s="280">
        <f>'PL(2_2)'!N35</f>
        <v>860</v>
      </c>
      <c r="D15" s="233" t="s">
        <v>100</v>
      </c>
      <c r="E15" s="234"/>
      <c r="F15" s="236"/>
      <c r="G15" s="234"/>
      <c r="H15" s="234"/>
      <c r="I15" s="234"/>
      <c r="J15" s="237"/>
    </row>
    <row r="16" spans="1:13" s="125" customFormat="1" ht="53.45" customHeight="1">
      <c r="A16" s="230" t="s">
        <v>120</v>
      </c>
      <c r="B16" s="232" t="s">
        <v>95</v>
      </c>
      <c r="C16" s="280">
        <f>'PL(2_2)'!I35</f>
        <v>245</v>
      </c>
      <c r="D16" s="333" t="s">
        <v>101</v>
      </c>
      <c r="E16" s="280">
        <f>'PL(2_2)'!J35</f>
        <v>124</v>
      </c>
      <c r="F16" s="333" t="s">
        <v>102</v>
      </c>
      <c r="G16" s="280">
        <f>'PL(2_2)'!K35</f>
        <v>69</v>
      </c>
      <c r="H16" s="333" t="s">
        <v>103</v>
      </c>
      <c r="I16" s="338">
        <f>'PL(2_2)'!L35</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9407-F7F4-4FE3-A60B-EACD913E88D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'PL(2_2)'!C36</f>
        <v>OM4-MPW-GT2-TGO-0022</v>
      </c>
      <c r="D13" s="271"/>
      <c r="E13" s="271"/>
      <c r="F13" s="271"/>
      <c r="G13" s="271"/>
      <c r="H13" s="271"/>
      <c r="I13" s="271"/>
      <c r="J13" s="272"/>
      <c r="L13" s="125" t="s">
        <v>147</v>
      </c>
      <c r="M13" s="127"/>
    </row>
    <row r="14" spans="1:13" s="125" customFormat="1" ht="36.6" customHeight="1">
      <c r="A14" s="230" t="s">
        <v>117</v>
      </c>
      <c r="B14" s="231" t="s">
        <v>95</v>
      </c>
      <c r="C14" s="280">
        <f>'PL(2_2)'!M36</f>
        <v>700</v>
      </c>
      <c r="D14" s="233" t="s">
        <v>100</v>
      </c>
      <c r="E14" s="234"/>
      <c r="F14" s="234"/>
      <c r="G14" s="234"/>
      <c r="H14" s="234"/>
      <c r="I14" s="234"/>
      <c r="J14" s="235"/>
    </row>
    <row r="15" spans="1:13" s="125" customFormat="1" ht="57.6" customHeight="1">
      <c r="A15" s="230" t="s">
        <v>118</v>
      </c>
      <c r="B15" s="231" t="s">
        <v>95</v>
      </c>
      <c r="C15" s="280">
        <f>'PL(2_2)'!N36</f>
        <v>860</v>
      </c>
      <c r="D15" s="233" t="s">
        <v>100</v>
      </c>
      <c r="E15" s="234"/>
      <c r="F15" s="236"/>
      <c r="G15" s="234"/>
      <c r="H15" s="234"/>
      <c r="I15" s="234"/>
      <c r="J15" s="237"/>
    </row>
    <row r="16" spans="1:13" s="125" customFormat="1" ht="53.45" customHeight="1">
      <c r="A16" s="230" t="s">
        <v>120</v>
      </c>
      <c r="B16" s="232" t="s">
        <v>95</v>
      </c>
      <c r="C16" s="280">
        <f>'PL(2_2)'!I36</f>
        <v>245</v>
      </c>
      <c r="D16" s="333" t="s">
        <v>101</v>
      </c>
      <c r="E16" s="280">
        <f>'PL(2_2)'!J36</f>
        <v>124</v>
      </c>
      <c r="F16" s="333" t="s">
        <v>102</v>
      </c>
      <c r="G16" s="280">
        <f>'PL(2_2)'!K36</f>
        <v>69</v>
      </c>
      <c r="H16" s="333" t="s">
        <v>103</v>
      </c>
      <c r="I16" s="338">
        <f>'PL(2_2)'!L36</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B4B7C-215E-4071-9A88-C321F84D056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'PL(2_2)'!C37</f>
        <v>OM4-MPW-GT2-TGO-0023</v>
      </c>
      <c r="D13" s="271"/>
      <c r="E13" s="271"/>
      <c r="F13" s="271"/>
      <c r="G13" s="271"/>
      <c r="H13" s="271"/>
      <c r="I13" s="271"/>
      <c r="J13" s="272"/>
      <c r="L13" s="125" t="s">
        <v>147</v>
      </c>
      <c r="M13" s="127"/>
    </row>
    <row r="14" spans="1:13" s="125" customFormat="1" ht="36.6" customHeight="1">
      <c r="A14" s="230" t="s">
        <v>117</v>
      </c>
      <c r="B14" s="231" t="s">
        <v>95</v>
      </c>
      <c r="C14" s="280">
        <f>'PL(2_2)'!M37</f>
        <v>700</v>
      </c>
      <c r="D14" s="233" t="s">
        <v>100</v>
      </c>
      <c r="E14" s="234"/>
      <c r="F14" s="234"/>
      <c r="G14" s="234"/>
      <c r="H14" s="234"/>
      <c r="I14" s="234"/>
      <c r="J14" s="235"/>
    </row>
    <row r="15" spans="1:13" s="125" customFormat="1" ht="57.6" customHeight="1">
      <c r="A15" s="230" t="s">
        <v>118</v>
      </c>
      <c r="B15" s="231" t="s">
        <v>95</v>
      </c>
      <c r="C15" s="280">
        <f>'PL(2_2)'!N37</f>
        <v>860</v>
      </c>
      <c r="D15" s="233" t="s">
        <v>100</v>
      </c>
      <c r="E15" s="234"/>
      <c r="F15" s="236"/>
      <c r="G15" s="234"/>
      <c r="H15" s="234"/>
      <c r="I15" s="234"/>
      <c r="J15" s="237"/>
    </row>
    <row r="16" spans="1:13" s="125" customFormat="1" ht="53.45" customHeight="1">
      <c r="A16" s="230" t="s">
        <v>120</v>
      </c>
      <c r="B16" s="232" t="s">
        <v>95</v>
      </c>
      <c r="C16" s="280">
        <f>'PL(2_2)'!I37</f>
        <v>245</v>
      </c>
      <c r="D16" s="333" t="s">
        <v>101</v>
      </c>
      <c r="E16" s="280">
        <f>'PL(2_2)'!J37</f>
        <v>124</v>
      </c>
      <c r="F16" s="333" t="s">
        <v>102</v>
      </c>
      <c r="G16" s="280">
        <f>'PL(2_2)'!K37</f>
        <v>69</v>
      </c>
      <c r="H16" s="333" t="s">
        <v>103</v>
      </c>
      <c r="I16" s="338">
        <f>'PL(2_2)'!L37</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39D0C-E1D4-4A0C-8417-53D5D4851429}">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'PL(2_2)'!C38</f>
        <v>OM4-MPW-GT2-TGO-0024</v>
      </c>
      <c r="D13" s="271"/>
      <c r="E13" s="271"/>
      <c r="F13" s="271"/>
      <c r="G13" s="271"/>
      <c r="H13" s="271"/>
      <c r="I13" s="271"/>
      <c r="J13" s="272"/>
      <c r="L13" s="125" t="s">
        <v>147</v>
      </c>
      <c r="M13" s="127"/>
    </row>
    <row r="14" spans="1:13" s="125" customFormat="1" ht="36.6" customHeight="1">
      <c r="A14" s="230" t="s">
        <v>117</v>
      </c>
      <c r="B14" s="231" t="s">
        <v>95</v>
      </c>
      <c r="C14" s="280">
        <f>'PL(2_2)'!M38</f>
        <v>700</v>
      </c>
      <c r="D14" s="233" t="s">
        <v>100</v>
      </c>
      <c r="E14" s="234"/>
      <c r="F14" s="234"/>
      <c r="G14" s="234"/>
      <c r="H14" s="234"/>
      <c r="I14" s="234"/>
      <c r="J14" s="235"/>
    </row>
    <row r="15" spans="1:13" s="125" customFormat="1" ht="57.6" customHeight="1">
      <c r="A15" s="230" t="s">
        <v>118</v>
      </c>
      <c r="B15" s="231" t="s">
        <v>95</v>
      </c>
      <c r="C15" s="280">
        <f>'PL(2_2)'!N38</f>
        <v>860</v>
      </c>
      <c r="D15" s="233" t="s">
        <v>100</v>
      </c>
      <c r="E15" s="234"/>
      <c r="F15" s="236"/>
      <c r="G15" s="234"/>
      <c r="H15" s="234"/>
      <c r="I15" s="234"/>
      <c r="J15" s="237"/>
    </row>
    <row r="16" spans="1:13" s="125" customFormat="1" ht="53.45" customHeight="1">
      <c r="A16" s="230" t="s">
        <v>120</v>
      </c>
      <c r="B16" s="232" t="s">
        <v>95</v>
      </c>
      <c r="C16" s="280">
        <f>'PL(2_2)'!I38</f>
        <v>245</v>
      </c>
      <c r="D16" s="333" t="s">
        <v>101</v>
      </c>
      <c r="E16" s="280">
        <f>'PL(2_2)'!J38</f>
        <v>124</v>
      </c>
      <c r="F16" s="333" t="s">
        <v>102</v>
      </c>
      <c r="G16" s="280">
        <f>'PL(2_2)'!K38</f>
        <v>69</v>
      </c>
      <c r="H16" s="333" t="s">
        <v>103</v>
      </c>
      <c r="I16" s="338">
        <f>'PL(2_2)'!L38</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57E7-7537-4D6B-B0ED-538AA1FF472C}">
  <sheetPr>
    <tabColor rgb="FF00B050"/>
    <pageSetUpPr fitToPage="1"/>
  </sheetPr>
  <dimension ref="A1:M39"/>
  <sheetViews>
    <sheetView showGridLines="0" view="pageBreakPreview" zoomScale="70" zoomScaleNormal="70" zoomScaleSheetLayoutView="70" workbookViewId="0">
      <selection activeCell="C14" sqref="C14:C15"/>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'PL(2_2)'!C39</f>
        <v>OM4-MPW-GT2-TGO-0025</v>
      </c>
      <c r="D13" s="271"/>
      <c r="E13" s="271"/>
      <c r="F13" s="271"/>
      <c r="G13" s="271"/>
      <c r="H13" s="271"/>
      <c r="I13" s="271"/>
      <c r="J13" s="272"/>
      <c r="L13" s="125" t="s">
        <v>147</v>
      </c>
      <c r="M13" s="127"/>
    </row>
    <row r="14" spans="1:13" s="125" customFormat="1" ht="36.6" customHeight="1">
      <c r="A14" s="230" t="s">
        <v>117</v>
      </c>
      <c r="B14" s="231" t="s">
        <v>95</v>
      </c>
      <c r="C14" s="280">
        <f>'PL(2_2)'!M39</f>
        <v>675</v>
      </c>
      <c r="D14" s="233" t="s">
        <v>100</v>
      </c>
      <c r="E14" s="234"/>
      <c r="F14" s="234"/>
      <c r="G14" s="234"/>
      <c r="H14" s="234"/>
      <c r="I14" s="234"/>
      <c r="J14" s="235"/>
    </row>
    <row r="15" spans="1:13" s="125" customFormat="1" ht="57.6" customHeight="1">
      <c r="A15" s="230" t="s">
        <v>118</v>
      </c>
      <c r="B15" s="231" t="s">
        <v>95</v>
      </c>
      <c r="C15" s="280">
        <f>'PL(2_2)'!N39</f>
        <v>835</v>
      </c>
      <c r="D15" s="233" t="s">
        <v>100</v>
      </c>
      <c r="E15" s="234"/>
      <c r="F15" s="236"/>
      <c r="G15" s="234"/>
      <c r="H15" s="234"/>
      <c r="I15" s="234"/>
      <c r="J15" s="237"/>
    </row>
    <row r="16" spans="1:13" s="125" customFormat="1" ht="53.45" customHeight="1">
      <c r="A16" s="230" t="s">
        <v>120</v>
      </c>
      <c r="B16" s="232" t="s">
        <v>95</v>
      </c>
      <c r="C16" s="280">
        <f>'PL(2_2)'!I39</f>
        <v>245</v>
      </c>
      <c r="D16" s="333" t="s">
        <v>101</v>
      </c>
      <c r="E16" s="280">
        <f>'PL(2_2)'!J39</f>
        <v>124</v>
      </c>
      <c r="F16" s="333" t="s">
        <v>102</v>
      </c>
      <c r="G16" s="280">
        <f>'PL(2_2)'!K39</f>
        <v>69</v>
      </c>
      <c r="H16" s="333" t="s">
        <v>103</v>
      </c>
      <c r="I16" s="338">
        <f>'PL(2_2)'!L39</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9C217-0A0D-4AA6-A77B-988DCD9185AE}">
  <sheetPr>
    <tabColor rgb="FF00B050"/>
    <pageSetUpPr fitToPage="1"/>
  </sheetPr>
  <dimension ref="A1:M39"/>
  <sheetViews>
    <sheetView showGridLines="0" view="pageBreakPreview" zoomScale="70" zoomScaleNormal="70" zoomScaleSheetLayoutView="70" workbookViewId="0">
      <selection activeCell="I16" sqref="I16"/>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'PL(2_2)'!C40</f>
        <v>OM4-MPW-GT2-TGO-0026</v>
      </c>
      <c r="D13" s="271"/>
      <c r="E13" s="271"/>
      <c r="F13" s="271"/>
      <c r="G13" s="271"/>
      <c r="H13" s="271"/>
      <c r="I13" s="271"/>
      <c r="J13" s="272"/>
      <c r="L13" s="125" t="s">
        <v>147</v>
      </c>
      <c r="M13" s="127"/>
    </row>
    <row r="14" spans="1:13" s="125" customFormat="1" ht="36.6" customHeight="1">
      <c r="A14" s="230" t="s">
        <v>117</v>
      </c>
      <c r="B14" s="231" t="s">
        <v>95</v>
      </c>
      <c r="C14" s="280">
        <f>'PL(2_2)'!M40</f>
        <v>675</v>
      </c>
      <c r="D14" s="233" t="s">
        <v>100</v>
      </c>
      <c r="E14" s="234"/>
      <c r="F14" s="234"/>
      <c r="G14" s="234"/>
      <c r="H14" s="234"/>
      <c r="I14" s="234"/>
      <c r="J14" s="235"/>
    </row>
    <row r="15" spans="1:13" s="125" customFormat="1" ht="57.6" customHeight="1">
      <c r="A15" s="230" t="s">
        <v>118</v>
      </c>
      <c r="B15" s="231" t="s">
        <v>95</v>
      </c>
      <c r="C15" s="280">
        <f>'PL(2_2)'!N40</f>
        <v>835</v>
      </c>
      <c r="D15" s="233" t="s">
        <v>100</v>
      </c>
      <c r="E15" s="234"/>
      <c r="F15" s="236"/>
      <c r="G15" s="234"/>
      <c r="H15" s="234"/>
      <c r="I15" s="234"/>
      <c r="J15" s="237"/>
    </row>
    <row r="16" spans="1:13" s="125" customFormat="1" ht="53.45" customHeight="1">
      <c r="A16" s="230" t="s">
        <v>120</v>
      </c>
      <c r="B16" s="232" t="s">
        <v>95</v>
      </c>
      <c r="C16" s="280">
        <f>'PL(2_2)'!I40</f>
        <v>245</v>
      </c>
      <c r="D16" s="333" t="s">
        <v>101</v>
      </c>
      <c r="E16" s="280">
        <f>'PL(2_2)'!J40</f>
        <v>124</v>
      </c>
      <c r="F16" s="333" t="s">
        <v>102</v>
      </c>
      <c r="G16" s="280">
        <f>'PL(2_2)'!K40</f>
        <v>69</v>
      </c>
      <c r="H16" s="333" t="s">
        <v>103</v>
      </c>
      <c r="I16" s="338">
        <f>'PL(2_2)'!L40</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3941B-956B-491B-B943-F6A0A4DBC92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'PL(2_2)'!C41</f>
        <v>OM4-MPW-GT2-TGO-0027</v>
      </c>
      <c r="D13" s="271"/>
      <c r="E13" s="271"/>
      <c r="F13" s="271"/>
      <c r="G13" s="271"/>
      <c r="H13" s="271"/>
      <c r="I13" s="271"/>
      <c r="J13" s="272"/>
      <c r="L13" s="125" t="s">
        <v>147</v>
      </c>
      <c r="M13" s="127"/>
    </row>
    <row r="14" spans="1:13" s="125" customFormat="1" ht="36.6" customHeight="1">
      <c r="A14" s="230" t="s">
        <v>117</v>
      </c>
      <c r="B14" s="231" t="s">
        <v>95</v>
      </c>
      <c r="C14" s="280">
        <f>'PL(2_2)'!M41</f>
        <v>675</v>
      </c>
      <c r="D14" s="233" t="s">
        <v>100</v>
      </c>
      <c r="E14" s="234"/>
      <c r="F14" s="234"/>
      <c r="G14" s="234"/>
      <c r="H14" s="234"/>
      <c r="I14" s="234"/>
      <c r="J14" s="235"/>
    </row>
    <row r="15" spans="1:13" s="125" customFormat="1" ht="57.6" customHeight="1">
      <c r="A15" s="230" t="s">
        <v>118</v>
      </c>
      <c r="B15" s="231" t="s">
        <v>95</v>
      </c>
      <c r="C15" s="280">
        <f>'PL(2_2)'!N41</f>
        <v>835</v>
      </c>
      <c r="D15" s="233" t="s">
        <v>100</v>
      </c>
      <c r="E15" s="234"/>
      <c r="F15" s="236"/>
      <c r="G15" s="234"/>
      <c r="H15" s="234"/>
      <c r="I15" s="234"/>
      <c r="J15" s="237"/>
    </row>
    <row r="16" spans="1:13" s="125" customFormat="1" ht="53.45" customHeight="1">
      <c r="A16" s="230" t="s">
        <v>120</v>
      </c>
      <c r="B16" s="232" t="s">
        <v>95</v>
      </c>
      <c r="C16" s="280">
        <f>'PL(2_2)'!I41</f>
        <v>245</v>
      </c>
      <c r="D16" s="333" t="s">
        <v>101</v>
      </c>
      <c r="E16" s="280">
        <f>'PL(2_2)'!J41</f>
        <v>124</v>
      </c>
      <c r="F16" s="333" t="s">
        <v>102</v>
      </c>
      <c r="G16" s="280">
        <f>'PL(2_2)'!K41</f>
        <v>69</v>
      </c>
      <c r="H16" s="333" t="s">
        <v>103</v>
      </c>
      <c r="I16" s="338">
        <f>'PL(2_2)'!L41</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D23E-0DDE-4E7C-BC66-FB68C0CAC9F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'PL(2_2)'!C42</f>
        <v>OM4-MPW-GT2-TGO-0028</v>
      </c>
      <c r="D13" s="271"/>
      <c r="E13" s="271"/>
      <c r="F13" s="271"/>
      <c r="G13" s="271"/>
      <c r="H13" s="271"/>
      <c r="I13" s="271"/>
      <c r="J13" s="272"/>
      <c r="L13" s="125" t="s">
        <v>147</v>
      </c>
      <c r="M13" s="127"/>
    </row>
    <row r="14" spans="1:13" s="125" customFormat="1" ht="36.6" customHeight="1">
      <c r="A14" s="230" t="s">
        <v>117</v>
      </c>
      <c r="B14" s="231" t="s">
        <v>95</v>
      </c>
      <c r="C14" s="280">
        <f>'PL(2_2)'!M42</f>
        <v>675</v>
      </c>
      <c r="D14" s="233" t="s">
        <v>100</v>
      </c>
      <c r="E14" s="234"/>
      <c r="F14" s="234"/>
      <c r="G14" s="234"/>
      <c r="H14" s="234"/>
      <c r="I14" s="234"/>
      <c r="J14" s="235"/>
    </row>
    <row r="15" spans="1:13" s="125" customFormat="1" ht="57.6" customHeight="1">
      <c r="A15" s="230" t="s">
        <v>118</v>
      </c>
      <c r="B15" s="231" t="s">
        <v>95</v>
      </c>
      <c r="C15" s="280">
        <f>'PL(2_2)'!N42</f>
        <v>835</v>
      </c>
      <c r="D15" s="233" t="s">
        <v>100</v>
      </c>
      <c r="E15" s="234"/>
      <c r="F15" s="236"/>
      <c r="G15" s="234"/>
      <c r="H15" s="234"/>
      <c r="I15" s="234"/>
      <c r="J15" s="237"/>
    </row>
    <row r="16" spans="1:13" s="125" customFormat="1" ht="53.45" customHeight="1">
      <c r="A16" s="230" t="s">
        <v>120</v>
      </c>
      <c r="B16" s="232" t="s">
        <v>95</v>
      </c>
      <c r="C16" s="280">
        <f>'PL(2_2)'!I42</f>
        <v>245</v>
      </c>
      <c r="D16" s="333" t="s">
        <v>101</v>
      </c>
      <c r="E16" s="280">
        <f>'PL(2_2)'!J42</f>
        <v>124</v>
      </c>
      <c r="F16" s="333" t="s">
        <v>102</v>
      </c>
      <c r="G16" s="280">
        <f>'PL(2_2)'!K42</f>
        <v>69</v>
      </c>
      <c r="H16" s="333" t="s">
        <v>103</v>
      </c>
      <c r="I16" s="338">
        <f>'PL(2_2)'!L42</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ACFBA-065D-41D6-BDE5-0C1DCA16300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'PL(2_2)'!C43</f>
        <v>OM4-MPW-GT2-TGO-0029</v>
      </c>
      <c r="D13" s="271"/>
      <c r="E13" s="271"/>
      <c r="F13" s="271"/>
      <c r="G13" s="271"/>
      <c r="H13" s="271"/>
      <c r="I13" s="271"/>
      <c r="J13" s="272"/>
      <c r="L13" s="125" t="s">
        <v>147</v>
      </c>
      <c r="M13" s="127"/>
    </row>
    <row r="14" spans="1:13" s="125" customFormat="1" ht="36.6" customHeight="1">
      <c r="A14" s="230" t="s">
        <v>117</v>
      </c>
      <c r="B14" s="231" t="s">
        <v>95</v>
      </c>
      <c r="C14" s="280">
        <f>'PL(2_2)'!M43</f>
        <v>675</v>
      </c>
      <c r="D14" s="233" t="s">
        <v>100</v>
      </c>
      <c r="E14" s="234"/>
      <c r="F14" s="234"/>
      <c r="G14" s="234"/>
      <c r="H14" s="234"/>
      <c r="I14" s="234"/>
      <c r="J14" s="235"/>
    </row>
    <row r="15" spans="1:13" s="125" customFormat="1" ht="57.6" customHeight="1">
      <c r="A15" s="230" t="s">
        <v>118</v>
      </c>
      <c r="B15" s="231" t="s">
        <v>95</v>
      </c>
      <c r="C15" s="280">
        <f>'PL(2_2)'!N43</f>
        <v>835</v>
      </c>
      <c r="D15" s="233" t="s">
        <v>100</v>
      </c>
      <c r="E15" s="234"/>
      <c r="F15" s="236"/>
      <c r="G15" s="234"/>
      <c r="H15" s="234"/>
      <c r="I15" s="234"/>
      <c r="J15" s="237"/>
    </row>
    <row r="16" spans="1:13" s="125" customFormat="1" ht="53.45" customHeight="1">
      <c r="A16" s="230" t="s">
        <v>120</v>
      </c>
      <c r="B16" s="232" t="s">
        <v>95</v>
      </c>
      <c r="C16" s="280">
        <f>'PL(2_2)'!I43</f>
        <v>245</v>
      </c>
      <c r="D16" s="333" t="s">
        <v>101</v>
      </c>
      <c r="E16" s="280">
        <f>'PL(2_2)'!J43</f>
        <v>124</v>
      </c>
      <c r="F16" s="333" t="s">
        <v>102</v>
      </c>
      <c r="G16" s="280">
        <f>'PL(2_2)'!K43</f>
        <v>69</v>
      </c>
      <c r="H16" s="333" t="s">
        <v>103</v>
      </c>
      <c r="I16" s="338">
        <f>'PL(2_2)'!L43</f>
        <v>2.0960000000000001</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0AF22-0520-4919-9A33-59EC496DEAA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'PL(2_2)'!C44</f>
        <v>OM4-MPW-GT2-TGO-0030</v>
      </c>
      <c r="D13" s="271"/>
      <c r="E13" s="271"/>
      <c r="F13" s="271"/>
      <c r="G13" s="271"/>
      <c r="H13" s="271"/>
      <c r="I13" s="271"/>
      <c r="J13" s="272"/>
      <c r="L13" s="125" t="s">
        <v>147</v>
      </c>
      <c r="M13" s="127"/>
    </row>
    <row r="14" spans="1:13" s="125" customFormat="1" ht="36.6" customHeight="1">
      <c r="A14" s="230" t="s">
        <v>117</v>
      </c>
      <c r="B14" s="231" t="s">
        <v>95</v>
      </c>
      <c r="C14" s="280">
        <f>'PL(2_2)'!M44</f>
        <v>531</v>
      </c>
      <c r="D14" s="233" t="s">
        <v>100</v>
      </c>
      <c r="E14" s="234"/>
      <c r="F14" s="234"/>
      <c r="G14" s="234"/>
      <c r="H14" s="234"/>
      <c r="I14" s="234"/>
      <c r="J14" s="235"/>
    </row>
    <row r="15" spans="1:13" s="125" customFormat="1" ht="57.6" customHeight="1">
      <c r="A15" s="230" t="s">
        <v>118</v>
      </c>
      <c r="B15" s="231" t="s">
        <v>95</v>
      </c>
      <c r="C15" s="280">
        <f>'PL(2_2)'!N44</f>
        <v>660</v>
      </c>
      <c r="D15" s="233" t="s">
        <v>100</v>
      </c>
      <c r="E15" s="234"/>
      <c r="F15" s="236"/>
      <c r="G15" s="234"/>
      <c r="H15" s="234"/>
      <c r="I15" s="234"/>
      <c r="J15" s="237"/>
    </row>
    <row r="16" spans="1:13" s="125" customFormat="1" ht="53.45" customHeight="1">
      <c r="A16" s="230" t="s">
        <v>120</v>
      </c>
      <c r="B16" s="232" t="s">
        <v>95</v>
      </c>
      <c r="C16" s="280">
        <f>'PL(2_2)'!I44</f>
        <v>140</v>
      </c>
      <c r="D16" s="333" t="s">
        <v>101</v>
      </c>
      <c r="E16" s="280">
        <f>'PL(2_2)'!J44</f>
        <v>140</v>
      </c>
      <c r="F16" s="333" t="s">
        <v>102</v>
      </c>
      <c r="G16" s="280">
        <f>'PL(2_2)'!K44</f>
        <v>113</v>
      </c>
      <c r="H16" s="333" t="s">
        <v>103</v>
      </c>
      <c r="I16" s="338">
        <f>'PL(2_2)'!L44</f>
        <v>2.2149999999999999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8A824-D362-4BE3-887A-662EF6DBD5B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'PL(2_2)'!C45</f>
        <v>OM4-MPW-GT2-TGO-0031</v>
      </c>
      <c r="D13" s="271"/>
      <c r="E13" s="271"/>
      <c r="F13" s="271"/>
      <c r="G13" s="271"/>
      <c r="H13" s="271"/>
      <c r="I13" s="271"/>
      <c r="J13" s="272"/>
      <c r="L13" s="125" t="s">
        <v>147</v>
      </c>
      <c r="M13" s="127"/>
    </row>
    <row r="14" spans="1:13" s="125" customFormat="1" ht="36.6" customHeight="1">
      <c r="A14" s="230" t="s">
        <v>117</v>
      </c>
      <c r="B14" s="231" t="s">
        <v>95</v>
      </c>
      <c r="C14" s="280">
        <f>'PL(2_2)'!M45</f>
        <v>23</v>
      </c>
      <c r="D14" s="233" t="s">
        <v>100</v>
      </c>
      <c r="E14" s="234"/>
      <c r="F14" s="234"/>
      <c r="G14" s="234"/>
      <c r="H14" s="234"/>
      <c r="I14" s="234"/>
      <c r="J14" s="235"/>
    </row>
    <row r="15" spans="1:13" s="125" customFormat="1" ht="57.6" customHeight="1">
      <c r="A15" s="230" t="s">
        <v>118</v>
      </c>
      <c r="B15" s="231" t="s">
        <v>95</v>
      </c>
      <c r="C15" s="280">
        <f>'PL(2_2)'!N45</f>
        <v>100</v>
      </c>
      <c r="D15" s="233" t="s">
        <v>100</v>
      </c>
      <c r="E15" s="234"/>
      <c r="F15" s="236"/>
      <c r="G15" s="234"/>
      <c r="H15" s="234"/>
      <c r="I15" s="234"/>
      <c r="J15" s="237"/>
    </row>
    <row r="16" spans="1:13" s="125" customFormat="1" ht="53.45" customHeight="1">
      <c r="A16" s="230" t="s">
        <v>120</v>
      </c>
      <c r="B16" s="232" t="s">
        <v>95</v>
      </c>
      <c r="C16" s="280">
        <f>'PL(2_2)'!I45</f>
        <v>287</v>
      </c>
      <c r="D16" s="333" t="s">
        <v>101</v>
      </c>
      <c r="E16" s="280">
        <f>'PL(2_2)'!J45</f>
        <v>40</v>
      </c>
      <c r="F16" s="333" t="s">
        <v>102</v>
      </c>
      <c r="G16" s="280">
        <f>'PL(2_2)'!K45</f>
        <v>46</v>
      </c>
      <c r="H16" s="333" t="s">
        <v>103</v>
      </c>
      <c r="I16" s="338">
        <f>'PL(2_2)'!L45</f>
        <v>0.52800000000000002</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6659D-BCD2-40C2-BB7B-4195281B900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'PL(2_2)'!C46</f>
        <v>OM4-MPW-GT2-TGO-0032</v>
      </c>
      <c r="D13" s="271"/>
      <c r="E13" s="271"/>
      <c r="F13" s="271"/>
      <c r="G13" s="271"/>
      <c r="H13" s="271"/>
      <c r="I13" s="271"/>
      <c r="J13" s="272"/>
      <c r="L13" s="125" t="s">
        <v>147</v>
      </c>
      <c r="M13" s="127"/>
    </row>
    <row r="14" spans="1:13" s="125" customFormat="1" ht="36.6" customHeight="1">
      <c r="A14" s="230" t="s">
        <v>117</v>
      </c>
      <c r="B14" s="231" t="s">
        <v>95</v>
      </c>
      <c r="C14" s="280">
        <f>'PL(2_2)'!M46</f>
        <v>422</v>
      </c>
      <c r="D14" s="233" t="s">
        <v>100</v>
      </c>
      <c r="E14" s="234"/>
      <c r="F14" s="234"/>
      <c r="G14" s="234"/>
      <c r="H14" s="234"/>
      <c r="I14" s="234"/>
      <c r="J14" s="235"/>
    </row>
    <row r="15" spans="1:13" s="125" customFormat="1" ht="57.6" customHeight="1">
      <c r="A15" s="230" t="s">
        <v>118</v>
      </c>
      <c r="B15" s="231" t="s">
        <v>95</v>
      </c>
      <c r="C15" s="280">
        <f>'PL(2_2)'!N46</f>
        <v>550</v>
      </c>
      <c r="D15" s="233" t="s">
        <v>100</v>
      </c>
      <c r="E15" s="234"/>
      <c r="F15" s="236"/>
      <c r="G15" s="234"/>
      <c r="H15" s="234"/>
      <c r="I15" s="234"/>
      <c r="J15" s="237"/>
    </row>
    <row r="16" spans="1:13" s="125" customFormat="1" ht="53.45" customHeight="1">
      <c r="A16" s="230" t="s">
        <v>120</v>
      </c>
      <c r="B16" s="232" t="s">
        <v>95</v>
      </c>
      <c r="C16" s="280">
        <f>'PL(2_2)'!I46</f>
        <v>140</v>
      </c>
      <c r="D16" s="333" t="s">
        <v>101</v>
      </c>
      <c r="E16" s="280">
        <f>'PL(2_2)'!J46</f>
        <v>140</v>
      </c>
      <c r="F16" s="333" t="s">
        <v>102</v>
      </c>
      <c r="G16" s="280">
        <f>'PL(2_2)'!K46</f>
        <v>113</v>
      </c>
      <c r="H16" s="333" t="s">
        <v>103</v>
      </c>
      <c r="I16" s="338">
        <f>'PL(2_2)'!L46</f>
        <v>2.2149999999999999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E5159-4A24-4AE6-9DC0-9D053C2C7349}">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03515625" style="123" customWidth="1"/>
    <col min="2" max="2" width="2.5703125" style="124" customWidth="1"/>
    <col min="3" max="3" width="14.1484375" style="123" customWidth="1"/>
    <col min="4" max="4" width="10.875" style="123" customWidth="1"/>
    <col min="5" max="5" width="11.92578125" style="123" customWidth="1"/>
    <col min="6" max="6" width="13.33203125" style="123" customWidth="1"/>
    <col min="7" max="8" width="11.92578125" style="123" customWidth="1"/>
    <col min="9" max="9" width="12.04296875" style="123" customWidth="1"/>
    <col min="10" max="10" width="9.5859375" style="123" customWidth="1"/>
    <col min="11" max="11" width="0.69921875" style="123" customWidth="1"/>
    <col min="12" max="12" width="7.71484375" style="123"/>
    <col min="13" max="13" width="14.3828125" style="123" bestFit="1" customWidth="1"/>
    <col min="14" max="16384" width="7.71484375" style="123"/>
  </cols>
  <sheetData>
    <row r="1" spans="1:13" ht="90.95" customHeight="1" thickBot="1">
      <c r="A1" s="569" t="s">
        <v>92</v>
      </c>
      <c r="B1" s="569"/>
      <c r="C1" s="569"/>
      <c r="D1" s="569"/>
      <c r="E1" s="569"/>
      <c r="F1" s="569"/>
      <c r="G1" s="569"/>
      <c r="H1" s="569"/>
      <c r="I1" s="569"/>
      <c r="J1" s="569"/>
    </row>
    <row r="2" spans="1:13" ht="32.450000000000003" customHeight="1">
      <c r="A2" s="570" t="s">
        <v>93</v>
      </c>
      <c r="B2" s="571"/>
      <c r="C2" s="571"/>
      <c r="D2" s="571"/>
      <c r="E2" s="571"/>
      <c r="F2" s="571"/>
      <c r="G2" s="571"/>
      <c r="H2" s="571"/>
      <c r="I2" s="571"/>
      <c r="J2" s="572"/>
    </row>
    <row r="3" spans="1:13" ht="27.95" customHeight="1">
      <c r="A3" s="573" t="s">
        <v>165</v>
      </c>
      <c r="B3" s="574"/>
      <c r="C3" s="574"/>
      <c r="D3" s="574"/>
      <c r="E3" s="574"/>
      <c r="F3" s="574"/>
      <c r="G3" s="574"/>
      <c r="H3" s="574"/>
      <c r="I3" s="574"/>
      <c r="J3" s="575"/>
    </row>
    <row r="4" spans="1:13" s="125" customFormat="1" ht="30" customHeight="1">
      <c r="A4" s="228" t="s">
        <v>94</v>
      </c>
      <c r="B4" s="229" t="s">
        <v>95</v>
      </c>
      <c r="C4" s="576" t="s">
        <v>143</v>
      </c>
      <c r="D4" s="577"/>
      <c r="E4" s="577"/>
      <c r="F4" s="577"/>
      <c r="G4" s="577"/>
      <c r="H4" s="577"/>
      <c r="I4" s="577"/>
      <c r="J4" s="578"/>
    </row>
    <row r="5" spans="1:13" s="125" customFormat="1" ht="55.5" customHeight="1">
      <c r="A5" s="230" t="s">
        <v>96</v>
      </c>
      <c r="B5" s="231" t="s">
        <v>95</v>
      </c>
      <c r="C5" s="567" t="s">
        <v>144</v>
      </c>
      <c r="D5" s="567"/>
      <c r="E5" s="567"/>
      <c r="F5" s="567"/>
      <c r="G5" s="567"/>
      <c r="H5" s="567"/>
      <c r="I5" s="567"/>
      <c r="J5" s="568"/>
    </row>
    <row r="6" spans="1:13" s="125" customFormat="1" ht="101.45" customHeight="1">
      <c r="A6" s="230" t="s">
        <v>114</v>
      </c>
      <c r="B6" s="232" t="s">
        <v>95</v>
      </c>
      <c r="C6" s="567" t="s">
        <v>160</v>
      </c>
      <c r="D6" s="567"/>
      <c r="E6" s="567"/>
      <c r="F6" s="567"/>
      <c r="G6" s="567"/>
      <c r="H6" s="567"/>
      <c r="I6" s="567"/>
      <c r="J6" s="568"/>
    </row>
    <row r="7" spans="1:13" s="125" customFormat="1" ht="243.6" customHeight="1">
      <c r="A7" s="230" t="s">
        <v>97</v>
      </c>
      <c r="B7" s="232" t="s">
        <v>98</v>
      </c>
      <c r="C7" s="567" t="s">
        <v>161</v>
      </c>
      <c r="D7" s="567"/>
      <c r="E7" s="567"/>
      <c r="F7" s="567"/>
      <c r="G7" s="567"/>
      <c r="H7" s="567"/>
      <c r="I7" s="567"/>
      <c r="J7" s="568"/>
    </row>
    <row r="8" spans="1:13" s="125" customFormat="1" ht="27.95" customHeight="1">
      <c r="A8" s="230" t="s">
        <v>115</v>
      </c>
      <c r="B8" s="231" t="s">
        <v>95</v>
      </c>
      <c r="C8" s="567" t="s">
        <v>113</v>
      </c>
      <c r="D8" s="567"/>
      <c r="E8" s="567"/>
      <c r="F8" s="567"/>
      <c r="G8" s="567"/>
      <c r="H8" s="567"/>
      <c r="I8" s="567"/>
      <c r="J8" s="568"/>
    </row>
    <row r="9" spans="1:13" s="125" customFormat="1" ht="33.6" customHeight="1">
      <c r="A9" s="230" t="s">
        <v>99</v>
      </c>
      <c r="B9" s="231" t="s">
        <v>98</v>
      </c>
      <c r="C9" s="579" t="s">
        <v>181</v>
      </c>
      <c r="D9" s="579"/>
      <c r="E9" s="579"/>
      <c r="F9" s="579"/>
      <c r="G9" s="579"/>
      <c r="H9" s="579"/>
      <c r="I9" s="579"/>
      <c r="J9" s="580"/>
    </row>
    <row r="10" spans="1:13" s="125" customFormat="1" ht="29.1" customHeight="1">
      <c r="A10" s="230" t="s">
        <v>116</v>
      </c>
      <c r="B10" s="231" t="s">
        <v>95</v>
      </c>
      <c r="C10" s="567" t="s">
        <v>166</v>
      </c>
      <c r="D10" s="567"/>
      <c r="E10" s="567"/>
      <c r="F10" s="567"/>
      <c r="G10" s="567"/>
      <c r="H10" s="567"/>
      <c r="I10" s="567"/>
      <c r="J10" s="568"/>
    </row>
    <row r="11" spans="1:13" s="125" customFormat="1">
      <c r="A11" s="230" t="s">
        <v>145</v>
      </c>
      <c r="B11" s="231" t="s">
        <v>95</v>
      </c>
      <c r="C11" s="579"/>
      <c r="D11" s="579"/>
      <c r="E11" s="579"/>
      <c r="F11" s="579"/>
      <c r="G11" s="579"/>
      <c r="H11" s="579"/>
      <c r="I11" s="579"/>
      <c r="J11" s="580"/>
      <c r="L11" s="125" t="s">
        <v>146</v>
      </c>
    </row>
    <row r="12" spans="1:13" s="125" customFormat="1" ht="32.1" customHeight="1">
      <c r="A12" s="230" t="s">
        <v>122</v>
      </c>
      <c r="B12" s="232" t="s">
        <v>98</v>
      </c>
      <c r="C12" s="279" t="s">
        <v>182</v>
      </c>
      <c r="D12" s="271"/>
      <c r="E12" s="271"/>
      <c r="F12" s="271"/>
      <c r="G12" s="271"/>
      <c r="H12" s="271"/>
      <c r="I12" s="271"/>
      <c r="J12" s="272"/>
      <c r="M12" s="127"/>
    </row>
    <row r="13" spans="1:13" s="125" customFormat="1" ht="37.5" customHeight="1">
      <c r="A13" s="230" t="s">
        <v>119</v>
      </c>
      <c r="B13" s="232" t="s">
        <v>98</v>
      </c>
      <c r="C13" s="279" t="str">
        <f>'PL(2_2)'!C47</f>
        <v>OM4-MPW-GT2-TGO-0033</v>
      </c>
      <c r="D13" s="271"/>
      <c r="E13" s="271"/>
      <c r="F13" s="271"/>
      <c r="G13" s="271"/>
      <c r="H13" s="271"/>
      <c r="I13" s="271"/>
      <c r="J13" s="272"/>
      <c r="L13" s="125" t="s">
        <v>147</v>
      </c>
      <c r="M13" s="127"/>
    </row>
    <row r="14" spans="1:13" s="125" customFormat="1" ht="36.6" customHeight="1">
      <c r="A14" s="230" t="s">
        <v>117</v>
      </c>
      <c r="B14" s="231" t="s">
        <v>95</v>
      </c>
      <c r="C14" s="280">
        <f>'PL(2_2)'!M47</f>
        <v>209</v>
      </c>
      <c r="D14" s="233" t="s">
        <v>100</v>
      </c>
      <c r="E14" s="234"/>
      <c r="F14" s="234"/>
      <c r="G14" s="234"/>
      <c r="H14" s="234"/>
      <c r="I14" s="234"/>
      <c r="J14" s="235"/>
    </row>
    <row r="15" spans="1:13" s="125" customFormat="1" ht="57.6" customHeight="1">
      <c r="A15" s="230" t="s">
        <v>118</v>
      </c>
      <c r="B15" s="231" t="s">
        <v>95</v>
      </c>
      <c r="C15" s="280">
        <f>'PL(2_2)'!N47</f>
        <v>340</v>
      </c>
      <c r="D15" s="233" t="s">
        <v>100</v>
      </c>
      <c r="E15" s="234"/>
      <c r="F15" s="236"/>
      <c r="G15" s="234"/>
      <c r="H15" s="234"/>
      <c r="I15" s="234"/>
      <c r="J15" s="237"/>
    </row>
    <row r="16" spans="1:13" s="125" customFormat="1" ht="53.45" customHeight="1">
      <c r="A16" s="230" t="s">
        <v>120</v>
      </c>
      <c r="B16" s="232" t="s">
        <v>95</v>
      </c>
      <c r="C16" s="280">
        <f>'PL(2_2)'!I47</f>
        <v>140</v>
      </c>
      <c r="D16" s="333" t="s">
        <v>101</v>
      </c>
      <c r="E16" s="280">
        <f>'PL(2_2)'!J47</f>
        <v>140</v>
      </c>
      <c r="F16" s="333" t="s">
        <v>102</v>
      </c>
      <c r="G16" s="280">
        <f>'PL(2_2)'!K47</f>
        <v>113</v>
      </c>
      <c r="H16" s="333" t="s">
        <v>103</v>
      </c>
      <c r="I16" s="338">
        <f>'PL(2_2)'!L47</f>
        <v>2.2149999999999999</v>
      </c>
      <c r="J16" s="238" t="s">
        <v>104</v>
      </c>
    </row>
    <row r="17" spans="1:13" s="125" customFormat="1" ht="30.95" customHeight="1">
      <c r="A17" s="130" t="s">
        <v>111</v>
      </c>
      <c r="B17" s="126" t="s">
        <v>95</v>
      </c>
      <c r="C17" s="177" t="s">
        <v>173</v>
      </c>
      <c r="D17" s="178"/>
      <c r="E17" s="179"/>
      <c r="F17" s="178"/>
      <c r="G17" s="179"/>
      <c r="H17" s="178"/>
      <c r="I17" s="180"/>
      <c r="J17" s="181"/>
    </row>
    <row r="18" spans="1:13" s="125" customFormat="1" ht="45">
      <c r="A18" s="130" t="s">
        <v>121</v>
      </c>
      <c r="B18" s="126" t="s">
        <v>95</v>
      </c>
      <c r="C18" s="177" t="s">
        <v>164</v>
      </c>
      <c r="D18" s="178"/>
      <c r="E18" s="179"/>
      <c r="F18" s="178"/>
      <c r="G18" s="179"/>
      <c r="H18" s="178"/>
      <c r="I18" s="180"/>
      <c r="J18" s="181"/>
    </row>
    <row r="19" spans="1:13" s="125" customFormat="1">
      <c r="A19" s="131" t="s">
        <v>105</v>
      </c>
      <c r="B19" s="126" t="s">
        <v>95</v>
      </c>
      <c r="C19" s="281" t="s">
        <v>178</v>
      </c>
      <c r="D19" s="178"/>
      <c r="E19" s="179"/>
      <c r="F19" s="178"/>
      <c r="G19" s="179"/>
      <c r="H19" s="178"/>
      <c r="I19" s="180"/>
      <c r="J19" s="181"/>
    </row>
    <row r="20" spans="1:13" s="125" customFormat="1" ht="39.950000000000003" customHeight="1">
      <c r="A20" s="132" t="s">
        <v>106</v>
      </c>
      <c r="B20" s="128" t="s">
        <v>95</v>
      </c>
      <c r="C20" s="252" t="s">
        <v>107</v>
      </c>
      <c r="D20" s="174"/>
      <c r="E20" s="174"/>
      <c r="F20" s="174"/>
      <c r="G20" s="174"/>
      <c r="H20" s="174"/>
      <c r="I20" s="174"/>
      <c r="J20" s="175"/>
    </row>
    <row r="21" spans="1:13" ht="120" hidden="1" customHeight="1" thickBot="1"/>
    <row r="22" spans="1:13" ht="54.95" hidden="1" customHeight="1"/>
    <row r="23" spans="1:13" ht="54.95" hidden="1" customHeight="1" thickBot="1"/>
    <row r="24" spans="1:13" ht="39.950000000000003" hidden="1" customHeight="1"/>
    <row r="25" spans="1:13" s="125" customFormat="1" ht="39.950000000000003" hidden="1" customHeight="1">
      <c r="A25" s="123"/>
      <c r="B25" s="124"/>
      <c r="C25" s="123"/>
      <c r="D25" s="123"/>
      <c r="E25" s="123"/>
      <c r="F25" s="123"/>
      <c r="G25" s="123"/>
      <c r="H25" s="123"/>
      <c r="I25" s="123"/>
      <c r="J25" s="123"/>
    </row>
    <row r="26" spans="1:13" s="125" customFormat="1" ht="55.5" hidden="1" customHeight="1">
      <c r="A26" s="123"/>
      <c r="B26" s="124"/>
      <c r="C26" s="123"/>
      <c r="D26" s="123"/>
      <c r="E26" s="123"/>
      <c r="F26" s="123"/>
      <c r="G26" s="123"/>
      <c r="H26" s="123"/>
      <c r="I26" s="123"/>
      <c r="J26" s="123"/>
    </row>
    <row r="27" spans="1:13" s="125" customFormat="1" ht="53.25" hidden="1" customHeight="1">
      <c r="A27" s="123"/>
      <c r="B27" s="124"/>
      <c r="C27" s="123"/>
      <c r="D27" s="123"/>
      <c r="E27" s="123"/>
      <c r="F27" s="123"/>
      <c r="G27" s="123"/>
      <c r="H27" s="123"/>
      <c r="I27" s="123"/>
      <c r="J27" s="123"/>
    </row>
    <row r="28" spans="1:13" s="125" customFormat="1" ht="99.75" hidden="1" customHeight="1">
      <c r="A28" s="123"/>
      <c r="B28" s="124"/>
      <c r="C28" s="123"/>
      <c r="D28" s="123"/>
      <c r="E28" s="123"/>
      <c r="F28" s="123"/>
      <c r="G28" s="123"/>
      <c r="H28" s="123"/>
      <c r="I28" s="123"/>
      <c r="J28" s="123"/>
    </row>
    <row r="29" spans="1:13" s="125" customFormat="1" ht="39.950000000000003" hidden="1" customHeight="1">
      <c r="A29" s="123"/>
      <c r="B29" s="124"/>
      <c r="C29" s="123"/>
      <c r="D29" s="123"/>
      <c r="E29" s="123"/>
      <c r="F29" s="123"/>
      <c r="G29" s="123"/>
      <c r="H29" s="123"/>
      <c r="I29" s="123"/>
      <c r="J29" s="123"/>
    </row>
    <row r="30" spans="1:13" s="125" customFormat="1" ht="39.950000000000003" hidden="1" customHeight="1">
      <c r="A30" s="123"/>
      <c r="B30" s="124"/>
      <c r="C30" s="123"/>
      <c r="D30" s="123"/>
      <c r="E30" s="123"/>
      <c r="F30" s="123"/>
      <c r="G30" s="123"/>
      <c r="H30" s="123"/>
      <c r="I30" s="123"/>
      <c r="J30" s="123"/>
    </row>
    <row r="31" spans="1:13" s="125" customFormat="1" ht="75" hidden="1" customHeight="1">
      <c r="A31" s="123"/>
      <c r="B31" s="124"/>
      <c r="C31" s="123"/>
      <c r="D31" s="123"/>
      <c r="E31" s="123"/>
      <c r="F31" s="123"/>
      <c r="G31" s="123"/>
      <c r="H31" s="123"/>
      <c r="I31" s="123"/>
      <c r="J31" s="123"/>
    </row>
    <row r="32" spans="1:13" s="125" customFormat="1" ht="39.950000000000003" hidden="1" customHeight="1">
      <c r="A32" s="123"/>
      <c r="B32" s="124"/>
      <c r="C32" s="123"/>
      <c r="D32" s="123"/>
      <c r="E32" s="123"/>
      <c r="F32" s="123"/>
      <c r="G32" s="123"/>
      <c r="H32" s="123"/>
      <c r="I32" s="123"/>
      <c r="J32" s="123"/>
      <c r="M32" s="127"/>
    </row>
    <row r="33" spans="1:10" s="125" customFormat="1" ht="39.950000000000003" hidden="1" customHeight="1">
      <c r="A33" s="123"/>
      <c r="B33" s="124"/>
      <c r="C33" s="123"/>
      <c r="D33" s="123"/>
      <c r="E33" s="123"/>
      <c r="F33" s="123"/>
      <c r="G33" s="123"/>
      <c r="H33" s="123"/>
      <c r="I33" s="123"/>
      <c r="J33" s="123"/>
    </row>
    <row r="34" spans="1:10" s="125" customFormat="1" ht="39.950000000000003" hidden="1" customHeight="1">
      <c r="A34" s="123"/>
      <c r="B34" s="124"/>
      <c r="C34" s="123"/>
      <c r="D34" s="123"/>
      <c r="E34" s="123"/>
      <c r="F34" s="123"/>
      <c r="G34" s="123"/>
      <c r="H34" s="123"/>
      <c r="I34" s="123"/>
      <c r="J34" s="123"/>
    </row>
    <row r="35" spans="1:10" s="125" customFormat="1" ht="39.950000000000003" hidden="1" customHeight="1">
      <c r="A35" s="123"/>
      <c r="B35" s="124"/>
      <c r="C35" s="123"/>
      <c r="D35" s="123"/>
      <c r="E35" s="123"/>
      <c r="F35" s="123"/>
      <c r="G35" s="123"/>
      <c r="H35" s="123"/>
      <c r="I35" s="123"/>
      <c r="J35" s="123"/>
    </row>
    <row r="36" spans="1:10" s="125" customFormat="1" ht="39.950000000000003" hidden="1" customHeight="1">
      <c r="A36" s="123"/>
      <c r="B36" s="124"/>
      <c r="C36" s="123"/>
      <c r="D36" s="123"/>
      <c r="E36" s="123"/>
      <c r="F36" s="123"/>
      <c r="G36" s="123"/>
      <c r="H36" s="123"/>
      <c r="I36" s="123"/>
      <c r="J36" s="123"/>
    </row>
    <row r="37" spans="1:10" s="125" customFormat="1" ht="39.950000000000003" hidden="1" customHeight="1">
      <c r="A37" s="123"/>
      <c r="B37" s="124"/>
      <c r="C37" s="123"/>
      <c r="D37" s="123"/>
      <c r="E37" s="123"/>
      <c r="F37" s="123"/>
      <c r="G37" s="123"/>
      <c r="H37" s="123"/>
      <c r="I37" s="123"/>
      <c r="J37" s="123"/>
    </row>
    <row r="38" spans="1:10" s="125" customFormat="1" ht="39.950000000000003" hidden="1" customHeight="1">
      <c r="A38" s="123"/>
      <c r="B38" s="124"/>
      <c r="C38" s="123"/>
      <c r="D38" s="123"/>
      <c r="E38" s="123"/>
      <c r="F38" s="123"/>
      <c r="G38" s="123"/>
      <c r="H38" s="123"/>
      <c r="I38" s="123"/>
      <c r="J38" s="123"/>
    </row>
    <row r="39" spans="1:10" s="125" customFormat="1" ht="39.950000000000003" hidden="1" customHeight="1">
      <c r="A39" s="123"/>
      <c r="B39" s="124"/>
      <c r="C39" s="123"/>
      <c r="D39" s="123"/>
      <c r="E39" s="123"/>
      <c r="F39" s="123"/>
      <c r="G39" s="123"/>
      <c r="H39" s="123"/>
      <c r="I39" s="123"/>
      <c r="J39" s="12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2"/>
  <sheetViews>
    <sheetView view="pageBreakPreview" zoomScale="85" zoomScaleNormal="100" zoomScaleSheetLayoutView="85" workbookViewId="0">
      <selection activeCell="C43" sqref="C43"/>
    </sheetView>
  </sheetViews>
  <sheetFormatPr defaultColWidth="8.88671875" defaultRowHeight="14.25"/>
  <cols>
    <col min="1" max="1" width="11.34375" style="57" customWidth="1"/>
    <col min="2" max="2" width="28.65234375" style="57" customWidth="1"/>
    <col min="3" max="3" width="39.05859375" style="64" bestFit="1" customWidth="1"/>
    <col min="4" max="4" width="10.875" style="171" customWidth="1"/>
    <col min="5" max="5" width="7.3671875" style="62" customWidth="1"/>
    <col min="6" max="7" width="22.8046875" style="170" customWidth="1"/>
    <col min="8" max="8" width="49.3515625" style="57" customWidth="1"/>
    <col min="9" max="10" width="8.88671875" style="64"/>
    <col min="11" max="16384" width="8.88671875" style="57"/>
  </cols>
  <sheetData>
    <row r="1" spans="1:10" s="144" customFormat="1">
      <c r="C1" s="145"/>
      <c r="D1" s="146"/>
      <c r="E1" s="147"/>
      <c r="G1" s="57"/>
      <c r="H1" s="116"/>
      <c r="I1" s="145"/>
      <c r="J1" s="145"/>
    </row>
    <row r="2" spans="1:10" s="144" customFormat="1">
      <c r="C2" s="145"/>
      <c r="D2" s="146"/>
      <c r="E2" s="147"/>
      <c r="G2" s="57"/>
      <c r="H2" s="116"/>
      <c r="I2" s="145"/>
      <c r="J2" s="145"/>
    </row>
    <row r="3" spans="1:10" s="144" customFormat="1">
      <c r="C3" s="145"/>
      <c r="D3" s="146"/>
      <c r="E3" s="147"/>
      <c r="G3" s="57"/>
      <c r="H3" s="116"/>
      <c r="I3" s="145"/>
      <c r="J3" s="145"/>
    </row>
    <row r="4" spans="1:10" s="144" customFormat="1">
      <c r="C4" s="145"/>
      <c r="D4" s="146"/>
      <c r="E4" s="147"/>
      <c r="G4" s="57"/>
      <c r="H4" s="116"/>
      <c r="I4" s="145"/>
      <c r="J4" s="145"/>
    </row>
    <row r="5" spans="1:10" s="144" customFormat="1">
      <c r="C5" s="145"/>
      <c r="D5" s="146"/>
      <c r="E5" s="147"/>
      <c r="G5" s="243"/>
      <c r="H5" s="116"/>
      <c r="I5" s="145"/>
      <c r="J5" s="145"/>
    </row>
    <row r="6" spans="1:10" ht="35.25" customHeight="1">
      <c r="A6" s="443" t="s">
        <v>127</v>
      </c>
      <c r="B6" s="443"/>
      <c r="C6" s="443"/>
      <c r="D6" s="443"/>
      <c r="E6" s="443"/>
      <c r="F6" s="443"/>
      <c r="G6" s="443"/>
      <c r="H6" s="443"/>
    </row>
    <row r="7" spans="1:10" s="110" customFormat="1" ht="20.25" customHeight="1" thickBot="1">
      <c r="A7" s="148" t="s">
        <v>128</v>
      </c>
      <c r="B7" s="244" t="str">
        <f>'Commercial Invoice'!H5</f>
        <v>OM4-DE-IS-0006</v>
      </c>
      <c r="C7" s="149"/>
      <c r="D7" s="150"/>
      <c r="E7" s="109"/>
      <c r="F7" s="151"/>
      <c r="G7" s="151"/>
      <c r="I7" s="149"/>
      <c r="J7" s="149"/>
    </row>
    <row r="8" spans="1:10" s="153" customFormat="1" ht="21.95" customHeight="1">
      <c r="A8" s="582" t="s">
        <v>129</v>
      </c>
      <c r="B8" s="584" t="s">
        <v>130</v>
      </c>
      <c r="C8" s="584" t="s">
        <v>131</v>
      </c>
      <c r="D8" s="586" t="s">
        <v>132</v>
      </c>
      <c r="E8" s="587"/>
      <c r="F8" s="588" t="s">
        <v>133</v>
      </c>
      <c r="G8" s="589"/>
      <c r="H8" s="590" t="s">
        <v>134</v>
      </c>
      <c r="I8" s="152"/>
      <c r="J8" s="152"/>
    </row>
    <row r="9" spans="1:10" s="153" customFormat="1" ht="21.95" customHeight="1">
      <c r="A9" s="583"/>
      <c r="B9" s="585"/>
      <c r="C9" s="585"/>
      <c r="D9" s="154" t="s">
        <v>135</v>
      </c>
      <c r="E9" s="176" t="s">
        <v>136</v>
      </c>
      <c r="F9" s="155" t="s">
        <v>137</v>
      </c>
      <c r="G9" s="155" t="s">
        <v>138</v>
      </c>
      <c r="H9" s="591"/>
      <c r="I9" s="152"/>
      <c r="J9" s="152"/>
    </row>
    <row r="10" spans="1:10" s="153" customFormat="1" ht="21.95" customHeight="1">
      <c r="A10" s="290">
        <v>1</v>
      </c>
      <c r="B10" s="176" t="s">
        <v>283</v>
      </c>
      <c r="C10" s="176" t="s">
        <v>177</v>
      </c>
      <c r="D10" s="154">
        <v>1</v>
      </c>
      <c r="E10" s="176" t="s">
        <v>184</v>
      </c>
      <c r="F10" s="301"/>
      <c r="G10" s="301"/>
      <c r="H10" s="291"/>
      <c r="I10" s="152"/>
      <c r="J10" s="152"/>
    </row>
    <row r="11" spans="1:10" s="153" customFormat="1" ht="21.95" customHeight="1">
      <c r="A11" s="290">
        <v>2</v>
      </c>
      <c r="B11" s="176" t="s">
        <v>284</v>
      </c>
      <c r="C11" s="176" t="s">
        <v>177</v>
      </c>
      <c r="D11" s="154">
        <v>1</v>
      </c>
      <c r="E11" s="176" t="s">
        <v>184</v>
      </c>
      <c r="F11" s="301"/>
      <c r="G11" s="301"/>
      <c r="H11" s="291"/>
      <c r="I11" s="152"/>
      <c r="J11" s="152"/>
    </row>
    <row r="12" spans="1:10" s="153" customFormat="1" ht="21.95" customHeight="1">
      <c r="A12" s="290">
        <v>3</v>
      </c>
      <c r="B12" s="176" t="s">
        <v>249</v>
      </c>
      <c r="C12" s="176" t="s">
        <v>185</v>
      </c>
      <c r="D12" s="154">
        <v>1</v>
      </c>
      <c r="E12" s="176" t="s">
        <v>184</v>
      </c>
      <c r="F12" s="301"/>
      <c r="G12" s="301"/>
      <c r="H12" s="291"/>
      <c r="I12" s="152"/>
      <c r="J12" s="152"/>
    </row>
    <row r="13" spans="1:10" s="153" customFormat="1" ht="21.95" customHeight="1">
      <c r="A13" s="290">
        <v>4</v>
      </c>
      <c r="B13" s="176" t="s">
        <v>250</v>
      </c>
      <c r="C13" s="176" t="s">
        <v>185</v>
      </c>
      <c r="D13" s="154">
        <v>1</v>
      </c>
      <c r="E13" s="176" t="s">
        <v>184</v>
      </c>
      <c r="F13" s="301"/>
      <c r="G13" s="301"/>
      <c r="H13" s="291"/>
      <c r="I13" s="152"/>
      <c r="J13" s="152"/>
    </row>
    <row r="14" spans="1:10" s="153" customFormat="1" ht="21.95" customHeight="1">
      <c r="A14" s="290">
        <v>5</v>
      </c>
      <c r="B14" s="176" t="s">
        <v>251</v>
      </c>
      <c r="C14" s="176" t="s">
        <v>177</v>
      </c>
      <c r="D14" s="154">
        <v>1</v>
      </c>
      <c r="E14" s="176" t="s">
        <v>184</v>
      </c>
      <c r="F14" s="301"/>
      <c r="G14" s="301"/>
      <c r="H14" s="291"/>
      <c r="I14" s="152"/>
      <c r="J14" s="152"/>
    </row>
    <row r="15" spans="1:10" s="153" customFormat="1" ht="21.95" customHeight="1">
      <c r="A15" s="290">
        <v>6</v>
      </c>
      <c r="B15" s="176" t="s">
        <v>252</v>
      </c>
      <c r="C15" s="176" t="s">
        <v>177</v>
      </c>
      <c r="D15" s="154">
        <v>1</v>
      </c>
      <c r="E15" s="176" t="s">
        <v>184</v>
      </c>
      <c r="F15" s="301"/>
      <c r="G15" s="301"/>
      <c r="H15" s="291"/>
      <c r="I15" s="152"/>
      <c r="J15" s="152"/>
    </row>
    <row r="16" spans="1:10" s="153" customFormat="1" ht="21.95" customHeight="1">
      <c r="A16" s="290">
        <v>7</v>
      </c>
      <c r="B16" s="176" t="s">
        <v>253</v>
      </c>
      <c r="C16" s="176" t="s">
        <v>177</v>
      </c>
      <c r="D16" s="154">
        <v>1</v>
      </c>
      <c r="E16" s="176" t="s">
        <v>184</v>
      </c>
      <c r="F16" s="301"/>
      <c r="G16" s="301"/>
      <c r="H16" s="291"/>
      <c r="I16" s="152"/>
      <c r="J16" s="152"/>
    </row>
    <row r="17" spans="1:10" s="153" customFormat="1" ht="21.95" customHeight="1">
      <c r="A17" s="290">
        <v>8</v>
      </c>
      <c r="B17" s="176" t="s">
        <v>254</v>
      </c>
      <c r="C17" s="176" t="s">
        <v>185</v>
      </c>
      <c r="D17" s="154">
        <v>1</v>
      </c>
      <c r="E17" s="176" t="s">
        <v>184</v>
      </c>
      <c r="F17" s="301"/>
      <c r="G17" s="301"/>
      <c r="H17" s="291"/>
      <c r="I17" s="152"/>
      <c r="J17" s="152"/>
    </row>
    <row r="18" spans="1:10" s="153" customFormat="1" ht="21.95" customHeight="1">
      <c r="A18" s="290">
        <v>9</v>
      </c>
      <c r="B18" s="176" t="s">
        <v>255</v>
      </c>
      <c r="C18" s="176" t="s">
        <v>177</v>
      </c>
      <c r="D18" s="154">
        <v>1</v>
      </c>
      <c r="E18" s="176" t="s">
        <v>184</v>
      </c>
      <c r="F18" s="301"/>
      <c r="G18" s="301"/>
      <c r="H18" s="291"/>
      <c r="I18" s="152"/>
      <c r="J18" s="152"/>
    </row>
    <row r="19" spans="1:10" s="153" customFormat="1" ht="21.95" customHeight="1">
      <c r="A19" s="290">
        <v>10</v>
      </c>
      <c r="B19" s="176" t="s">
        <v>256</v>
      </c>
      <c r="C19" s="176" t="s">
        <v>177</v>
      </c>
      <c r="D19" s="154">
        <v>1</v>
      </c>
      <c r="E19" s="176" t="s">
        <v>184</v>
      </c>
      <c r="F19" s="301"/>
      <c r="G19" s="301"/>
      <c r="H19" s="291"/>
      <c r="I19" s="152"/>
      <c r="J19" s="152"/>
    </row>
    <row r="20" spans="1:10" s="153" customFormat="1" ht="21.95" customHeight="1">
      <c r="A20" s="290">
        <v>11</v>
      </c>
      <c r="B20" s="176" t="s">
        <v>257</v>
      </c>
      <c r="C20" s="176" t="s">
        <v>177</v>
      </c>
      <c r="D20" s="154">
        <v>1</v>
      </c>
      <c r="E20" s="176" t="s">
        <v>184</v>
      </c>
      <c r="F20" s="301"/>
      <c r="G20" s="301"/>
      <c r="H20" s="291"/>
      <c r="I20" s="152"/>
      <c r="J20" s="152"/>
    </row>
    <row r="21" spans="1:10" s="153" customFormat="1" ht="21.95" customHeight="1">
      <c r="A21" s="290">
        <v>12</v>
      </c>
      <c r="B21" s="176" t="s">
        <v>258</v>
      </c>
      <c r="C21" s="176" t="s">
        <v>185</v>
      </c>
      <c r="D21" s="154">
        <v>1</v>
      </c>
      <c r="E21" s="176" t="s">
        <v>184</v>
      </c>
      <c r="F21" s="301"/>
      <c r="G21" s="301"/>
      <c r="H21" s="291"/>
      <c r="I21" s="152"/>
      <c r="J21" s="152"/>
    </row>
    <row r="22" spans="1:10" s="153" customFormat="1" ht="21.95" customHeight="1">
      <c r="A22" s="290">
        <v>13</v>
      </c>
      <c r="B22" s="176" t="s">
        <v>259</v>
      </c>
      <c r="C22" s="176" t="s">
        <v>185</v>
      </c>
      <c r="D22" s="154">
        <v>1</v>
      </c>
      <c r="E22" s="176" t="s">
        <v>184</v>
      </c>
      <c r="F22" s="301"/>
      <c r="G22" s="301"/>
      <c r="H22" s="291"/>
      <c r="I22" s="152"/>
      <c r="J22" s="152"/>
    </row>
    <row r="23" spans="1:10" s="153" customFormat="1" ht="21.95" customHeight="1">
      <c r="A23" s="290">
        <v>14</v>
      </c>
      <c r="B23" s="176" t="s">
        <v>260</v>
      </c>
      <c r="C23" s="176" t="s">
        <v>185</v>
      </c>
      <c r="D23" s="154">
        <v>1</v>
      </c>
      <c r="E23" s="176" t="s">
        <v>184</v>
      </c>
      <c r="F23" s="301"/>
      <c r="G23" s="301"/>
      <c r="H23" s="291"/>
      <c r="I23" s="152"/>
      <c r="J23" s="152"/>
    </row>
    <row r="24" spans="1:10" s="153" customFormat="1" ht="21.95" customHeight="1">
      <c r="A24" s="290">
        <v>15</v>
      </c>
      <c r="B24" s="176" t="s">
        <v>261</v>
      </c>
      <c r="C24" s="176" t="s">
        <v>185</v>
      </c>
      <c r="D24" s="154">
        <v>1</v>
      </c>
      <c r="E24" s="176" t="s">
        <v>184</v>
      </c>
      <c r="F24" s="301"/>
      <c r="G24" s="301"/>
      <c r="H24" s="291"/>
      <c r="I24" s="152"/>
      <c r="J24" s="152"/>
    </row>
    <row r="25" spans="1:10" s="153" customFormat="1" ht="21.95" customHeight="1">
      <c r="A25" s="290">
        <v>16</v>
      </c>
      <c r="B25" s="176" t="s">
        <v>262</v>
      </c>
      <c r="C25" s="176" t="s">
        <v>177</v>
      </c>
      <c r="D25" s="154">
        <v>1</v>
      </c>
      <c r="E25" s="176" t="s">
        <v>184</v>
      </c>
      <c r="F25" s="301"/>
      <c r="G25" s="301"/>
      <c r="H25" s="291"/>
      <c r="I25" s="152"/>
      <c r="J25" s="152"/>
    </row>
    <row r="26" spans="1:10" s="153" customFormat="1" ht="21.95" customHeight="1">
      <c r="A26" s="290">
        <v>17</v>
      </c>
      <c r="B26" s="176" t="s">
        <v>263</v>
      </c>
      <c r="C26" s="176" t="s">
        <v>176</v>
      </c>
      <c r="D26" s="154">
        <v>1</v>
      </c>
      <c r="E26" s="176" t="s">
        <v>184</v>
      </c>
      <c r="F26" s="301"/>
      <c r="G26" s="301"/>
      <c r="H26" s="291"/>
      <c r="I26" s="152"/>
      <c r="J26" s="152"/>
    </row>
    <row r="27" spans="1:10" s="153" customFormat="1" ht="21.95" customHeight="1">
      <c r="A27" s="290">
        <v>18</v>
      </c>
      <c r="B27" s="176" t="s">
        <v>264</v>
      </c>
      <c r="C27" s="176" t="s">
        <v>176</v>
      </c>
      <c r="D27" s="154">
        <v>1</v>
      </c>
      <c r="E27" s="176" t="s">
        <v>184</v>
      </c>
      <c r="F27" s="301"/>
      <c r="G27" s="301"/>
      <c r="H27" s="291"/>
      <c r="I27" s="152"/>
      <c r="J27" s="152"/>
    </row>
    <row r="28" spans="1:10" s="153" customFormat="1" ht="21.95" customHeight="1">
      <c r="A28" s="290">
        <v>19</v>
      </c>
      <c r="B28" s="176" t="s">
        <v>265</v>
      </c>
      <c r="C28" s="176" t="s">
        <v>176</v>
      </c>
      <c r="D28" s="154">
        <v>1</v>
      </c>
      <c r="E28" s="176" t="s">
        <v>184</v>
      </c>
      <c r="F28" s="301"/>
      <c r="G28" s="301"/>
      <c r="H28" s="291"/>
      <c r="I28" s="152"/>
      <c r="J28" s="152"/>
    </row>
    <row r="29" spans="1:10" s="153" customFormat="1" ht="21.95" customHeight="1">
      <c r="A29" s="290">
        <v>20</v>
      </c>
      <c r="B29" s="176" t="s">
        <v>266</v>
      </c>
      <c r="C29" s="176" t="s">
        <v>176</v>
      </c>
      <c r="D29" s="154">
        <v>1</v>
      </c>
      <c r="E29" s="176" t="s">
        <v>184</v>
      </c>
      <c r="F29" s="301"/>
      <c r="G29" s="301"/>
      <c r="H29" s="291"/>
      <c r="I29" s="152"/>
      <c r="J29" s="152"/>
    </row>
    <row r="30" spans="1:10" s="153" customFormat="1" ht="21.95" customHeight="1">
      <c r="A30" s="290">
        <v>21</v>
      </c>
      <c r="B30" s="176" t="s">
        <v>267</v>
      </c>
      <c r="C30" s="176" t="s">
        <v>176</v>
      </c>
      <c r="D30" s="154">
        <v>1</v>
      </c>
      <c r="E30" s="176" t="s">
        <v>184</v>
      </c>
      <c r="F30" s="301"/>
      <c r="G30" s="301"/>
      <c r="H30" s="291"/>
      <c r="I30" s="152"/>
      <c r="J30" s="152"/>
    </row>
    <row r="31" spans="1:10" s="153" customFormat="1" ht="21.95" customHeight="1">
      <c r="A31" s="290">
        <v>22</v>
      </c>
      <c r="B31" s="176" t="s">
        <v>268</v>
      </c>
      <c r="C31" s="176" t="s">
        <v>176</v>
      </c>
      <c r="D31" s="154">
        <v>1</v>
      </c>
      <c r="E31" s="176" t="s">
        <v>184</v>
      </c>
      <c r="F31" s="301"/>
      <c r="G31" s="301"/>
      <c r="H31" s="291"/>
      <c r="I31" s="152"/>
      <c r="J31" s="152"/>
    </row>
    <row r="32" spans="1:10" s="153" customFormat="1" ht="21.95" customHeight="1">
      <c r="A32" s="290">
        <v>23</v>
      </c>
      <c r="B32" s="176" t="s">
        <v>269</v>
      </c>
      <c r="C32" s="176" t="s">
        <v>176</v>
      </c>
      <c r="D32" s="154">
        <v>1</v>
      </c>
      <c r="E32" s="176" t="s">
        <v>184</v>
      </c>
      <c r="F32" s="301"/>
      <c r="G32" s="301"/>
      <c r="H32" s="291"/>
      <c r="I32" s="152"/>
      <c r="J32" s="152"/>
    </row>
    <row r="33" spans="1:10" s="153" customFormat="1" ht="21.95" customHeight="1">
      <c r="A33" s="290">
        <v>24</v>
      </c>
      <c r="B33" s="176" t="s">
        <v>270</v>
      </c>
      <c r="C33" s="176" t="s">
        <v>176</v>
      </c>
      <c r="D33" s="154">
        <v>1</v>
      </c>
      <c r="E33" s="176" t="s">
        <v>184</v>
      </c>
      <c r="F33" s="301"/>
      <c r="G33" s="301"/>
      <c r="H33" s="291"/>
      <c r="I33" s="152"/>
      <c r="J33" s="152"/>
    </row>
    <row r="34" spans="1:10" s="153" customFormat="1" ht="21.95" customHeight="1">
      <c r="A34" s="290">
        <v>25</v>
      </c>
      <c r="B34" s="176" t="s">
        <v>271</v>
      </c>
      <c r="C34" s="176" t="s">
        <v>176</v>
      </c>
      <c r="D34" s="154">
        <v>1</v>
      </c>
      <c r="E34" s="176" t="s">
        <v>184</v>
      </c>
      <c r="F34" s="301"/>
      <c r="G34" s="301"/>
      <c r="H34" s="291"/>
      <c r="I34" s="152"/>
      <c r="J34" s="152"/>
    </row>
    <row r="35" spans="1:10" s="153" customFormat="1" ht="21.95" customHeight="1">
      <c r="A35" s="290">
        <v>26</v>
      </c>
      <c r="B35" s="176" t="s">
        <v>272</v>
      </c>
      <c r="C35" s="176" t="s">
        <v>176</v>
      </c>
      <c r="D35" s="154">
        <v>1</v>
      </c>
      <c r="E35" s="176" t="s">
        <v>184</v>
      </c>
      <c r="F35" s="301"/>
      <c r="G35" s="301"/>
      <c r="H35" s="291"/>
      <c r="I35" s="152"/>
      <c r="J35" s="152"/>
    </row>
    <row r="36" spans="1:10" s="153" customFormat="1" ht="21.95" customHeight="1">
      <c r="A36" s="290">
        <v>27</v>
      </c>
      <c r="B36" s="176" t="s">
        <v>273</v>
      </c>
      <c r="C36" s="176" t="s">
        <v>176</v>
      </c>
      <c r="D36" s="154">
        <v>1</v>
      </c>
      <c r="E36" s="176" t="s">
        <v>184</v>
      </c>
      <c r="F36" s="301"/>
      <c r="G36" s="301"/>
      <c r="H36" s="291"/>
      <c r="I36" s="152"/>
      <c r="J36" s="152"/>
    </row>
    <row r="37" spans="1:10" s="153" customFormat="1" ht="21.95" customHeight="1">
      <c r="A37" s="290">
        <v>28</v>
      </c>
      <c r="B37" s="176" t="s">
        <v>274</v>
      </c>
      <c r="C37" s="176" t="s">
        <v>176</v>
      </c>
      <c r="D37" s="154">
        <v>1</v>
      </c>
      <c r="E37" s="176" t="s">
        <v>184</v>
      </c>
      <c r="F37" s="301"/>
      <c r="G37" s="301"/>
      <c r="H37" s="291"/>
      <c r="I37" s="152"/>
      <c r="J37" s="152"/>
    </row>
    <row r="38" spans="1:10" s="153" customFormat="1" ht="21.95" customHeight="1">
      <c r="A38" s="290">
        <v>29</v>
      </c>
      <c r="B38" s="176" t="s">
        <v>275</v>
      </c>
      <c r="C38" s="176" t="s">
        <v>176</v>
      </c>
      <c r="D38" s="154">
        <v>1</v>
      </c>
      <c r="E38" s="176" t="s">
        <v>184</v>
      </c>
      <c r="F38" s="301"/>
      <c r="G38" s="301"/>
      <c r="H38" s="291"/>
      <c r="I38" s="152"/>
      <c r="J38" s="152"/>
    </row>
    <row r="39" spans="1:10" s="158" customFormat="1" ht="18">
      <c r="A39" s="245">
        <v>30</v>
      </c>
      <c r="B39" s="246" t="s">
        <v>276</v>
      </c>
      <c r="C39" s="247" t="s">
        <v>175</v>
      </c>
      <c r="D39" s="248">
        <v>1</v>
      </c>
      <c r="E39" s="176" t="s">
        <v>184</v>
      </c>
      <c r="F39" s="250"/>
      <c r="G39" s="250"/>
      <c r="H39" s="251"/>
      <c r="I39" s="156"/>
      <c r="J39" s="157"/>
    </row>
    <row r="40" spans="1:10" ht="18.75">
      <c r="A40" s="245">
        <v>31</v>
      </c>
      <c r="B40" s="246" t="s">
        <v>277</v>
      </c>
      <c r="C40" s="247" t="s">
        <v>177</v>
      </c>
      <c r="D40" s="248">
        <v>1</v>
      </c>
      <c r="E40" s="249">
        <f>'PL(2_2)'!G44</f>
        <v>0</v>
      </c>
      <c r="F40" s="239"/>
      <c r="G40" s="239"/>
      <c r="H40" s="251"/>
    </row>
    <row r="41" spans="1:10" ht="18.75">
      <c r="A41" s="245">
        <v>32</v>
      </c>
      <c r="B41" s="246" t="s">
        <v>278</v>
      </c>
      <c r="C41" s="247" t="s">
        <v>186</v>
      </c>
      <c r="D41" s="248">
        <v>1</v>
      </c>
      <c r="E41" s="249">
        <f>'PL(2_2)'!G45</f>
        <v>0</v>
      </c>
      <c r="F41" s="240"/>
      <c r="G41" s="240"/>
      <c r="H41" s="251"/>
    </row>
    <row r="42" spans="1:10" s="158" customFormat="1" ht="18.75" thickBot="1">
      <c r="A42" s="245">
        <v>33</v>
      </c>
      <c r="B42" s="246" t="s">
        <v>279</v>
      </c>
      <c r="C42" s="247" t="s">
        <v>187</v>
      </c>
      <c r="D42" s="248">
        <v>1</v>
      </c>
      <c r="E42" s="249">
        <f>'PL(2_2)'!G46</f>
        <v>0</v>
      </c>
      <c r="F42" s="250"/>
      <c r="G42" s="250"/>
      <c r="H42" s="251"/>
      <c r="I42" s="156"/>
      <c r="J42" s="157"/>
    </row>
    <row r="43" spans="1:10" s="159" customFormat="1" ht="29.25" customHeight="1">
      <c r="D43" s="160"/>
      <c r="E43" s="161"/>
      <c r="F43" s="241"/>
      <c r="G43" s="242"/>
      <c r="H43" s="162"/>
      <c r="I43" s="163"/>
      <c r="J43" s="163"/>
    </row>
    <row r="44" spans="1:10" s="144" customFormat="1" ht="12" customHeight="1">
      <c r="B44" s="147"/>
      <c r="D44" s="164"/>
      <c r="E44" s="147"/>
      <c r="F44" s="165"/>
      <c r="G44" s="165"/>
      <c r="H44" s="166"/>
      <c r="I44" s="145"/>
      <c r="J44" s="145"/>
    </row>
    <row r="45" spans="1:10" s="144" customFormat="1" ht="18" customHeight="1">
      <c r="B45" s="147"/>
      <c r="D45" s="164"/>
      <c r="E45" s="147"/>
      <c r="F45" s="165"/>
      <c r="G45" s="165"/>
      <c r="H45" s="166"/>
      <c r="I45" s="145"/>
      <c r="J45" s="145"/>
    </row>
    <row r="46" spans="1:10" s="144" customFormat="1" ht="12" customHeight="1">
      <c r="B46" s="147"/>
      <c r="D46" s="164"/>
      <c r="E46" s="147"/>
      <c r="F46" s="165"/>
      <c r="G46" s="165"/>
      <c r="H46" s="166"/>
      <c r="I46" s="145"/>
      <c r="J46" s="145"/>
    </row>
    <row r="47" spans="1:10" s="144" customFormat="1" ht="12" customHeight="1">
      <c r="B47" s="147"/>
      <c r="D47" s="164"/>
      <c r="E47" s="147"/>
      <c r="F47" s="165"/>
      <c r="G47" s="165"/>
      <c r="H47" s="166"/>
      <c r="I47" s="145"/>
      <c r="J47" s="145"/>
    </row>
    <row r="48" spans="1:10" s="144" customFormat="1" ht="12" customHeight="1">
      <c r="B48" s="147"/>
      <c r="D48" s="164"/>
      <c r="E48" s="147"/>
      <c r="F48" s="165"/>
      <c r="G48" s="165"/>
      <c r="H48" s="166"/>
      <c r="I48" s="145"/>
      <c r="J48" s="145"/>
    </row>
    <row r="49" spans="2:10" s="144" customFormat="1" ht="12" customHeight="1">
      <c r="B49" s="147"/>
      <c r="D49" s="164"/>
      <c r="E49" s="147"/>
      <c r="F49" s="165"/>
      <c r="G49" s="165"/>
      <c r="H49" s="166"/>
      <c r="I49" s="145"/>
      <c r="J49" s="145"/>
    </row>
    <row r="50" spans="2:10" s="144" customFormat="1" ht="12" customHeight="1">
      <c r="B50" s="147"/>
      <c r="D50" s="164"/>
      <c r="E50" s="147"/>
      <c r="F50" s="165"/>
      <c r="G50" s="165"/>
      <c r="H50" s="166"/>
      <c r="I50" s="145"/>
      <c r="J50" s="145"/>
    </row>
    <row r="51" spans="2:10" s="144" customFormat="1" ht="13.5" customHeight="1">
      <c r="B51" s="147"/>
      <c r="D51" s="164"/>
      <c r="E51" s="147"/>
      <c r="F51" s="165"/>
      <c r="G51" s="165"/>
      <c r="H51" s="166"/>
      <c r="I51" s="145"/>
      <c r="J51" s="145"/>
    </row>
    <row r="52" spans="2:10" s="144" customFormat="1" ht="13.5" customHeight="1">
      <c r="B52" s="147"/>
      <c r="D52" s="164"/>
      <c r="E52" s="147"/>
      <c r="F52" s="165"/>
      <c r="G52" s="165"/>
      <c r="H52" s="166"/>
      <c r="I52" s="145"/>
      <c r="J52" s="145"/>
    </row>
    <row r="53" spans="2:10" s="144" customFormat="1" ht="13.5" customHeight="1">
      <c r="B53" s="147"/>
      <c r="D53" s="164"/>
      <c r="E53" s="147"/>
      <c r="F53" s="165"/>
      <c r="G53" s="165"/>
      <c r="H53" s="166"/>
      <c r="I53" s="145"/>
      <c r="J53" s="145"/>
    </row>
    <row r="54" spans="2:10" s="144" customFormat="1" ht="29.25" customHeight="1">
      <c r="B54" s="147"/>
      <c r="D54" s="164"/>
      <c r="E54" s="147"/>
      <c r="F54" s="165"/>
      <c r="G54" s="165"/>
      <c r="H54" s="166"/>
      <c r="I54" s="145"/>
      <c r="J54" s="145"/>
    </row>
    <row r="55" spans="2:10" s="144" customFormat="1" ht="13.5" customHeight="1">
      <c r="B55" s="147"/>
      <c r="D55" s="164"/>
      <c r="E55" s="147"/>
      <c r="F55" s="165"/>
      <c r="G55" s="165"/>
      <c r="H55" s="166"/>
      <c r="I55" s="145"/>
      <c r="J55" s="145"/>
    </row>
    <row r="56" spans="2:10" s="144" customFormat="1" ht="13.5" customHeight="1">
      <c r="B56" s="147"/>
      <c r="D56" s="164"/>
      <c r="E56" s="147"/>
      <c r="F56" s="165"/>
      <c r="G56" s="165"/>
      <c r="H56" s="166"/>
      <c r="I56" s="145"/>
      <c r="J56" s="145"/>
    </row>
    <row r="57" spans="2:10" s="144" customFormat="1" ht="13.5" customHeight="1">
      <c r="B57" s="147"/>
      <c r="D57" s="164"/>
      <c r="E57" s="147"/>
      <c r="F57" s="165"/>
      <c r="G57" s="165"/>
      <c r="H57" s="166"/>
      <c r="I57" s="145"/>
      <c r="J57" s="145"/>
    </row>
    <row r="58" spans="2:10" s="144" customFormat="1" ht="13.5" customHeight="1">
      <c r="B58" s="147"/>
      <c r="D58" s="164"/>
      <c r="E58" s="147"/>
      <c r="F58" s="165"/>
      <c r="G58" s="165"/>
      <c r="H58" s="166"/>
      <c r="I58" s="145"/>
      <c r="J58" s="145"/>
    </row>
    <row r="59" spans="2:10" s="144" customFormat="1" ht="13.5" customHeight="1">
      <c r="B59" s="147"/>
      <c r="D59" s="164"/>
      <c r="E59" s="147"/>
      <c r="F59" s="165"/>
      <c r="G59" s="165"/>
      <c r="H59" s="166"/>
      <c r="I59" s="145"/>
      <c r="J59" s="145"/>
    </row>
    <row r="60" spans="2:10" s="144" customFormat="1" ht="13.5" customHeight="1">
      <c r="B60" s="147"/>
      <c r="D60" s="164"/>
      <c r="E60" s="147"/>
      <c r="F60" s="165"/>
      <c r="G60" s="165"/>
      <c r="H60" s="166"/>
      <c r="I60" s="145"/>
      <c r="J60" s="145"/>
    </row>
    <row r="61" spans="2:10" s="144" customFormat="1" ht="13.5" customHeight="1">
      <c r="B61" s="147"/>
      <c r="D61" s="164"/>
      <c r="E61" s="147"/>
      <c r="F61" s="165"/>
      <c r="G61" s="165"/>
      <c r="H61" s="166"/>
      <c r="I61" s="145"/>
      <c r="J61" s="145"/>
    </row>
    <row r="62" spans="2:10" s="144" customFormat="1" ht="13.5" customHeight="1">
      <c r="B62" s="147"/>
      <c r="D62" s="164"/>
      <c r="E62" s="147"/>
      <c r="F62" s="165"/>
      <c r="G62" s="165"/>
      <c r="H62" s="166"/>
      <c r="I62" s="145"/>
      <c r="J62" s="145"/>
    </row>
    <row r="63" spans="2:10" s="144" customFormat="1" ht="13.5" customHeight="1">
      <c r="B63" s="147"/>
      <c r="D63" s="164"/>
      <c r="E63" s="147"/>
      <c r="F63" s="165"/>
      <c r="G63" s="165"/>
      <c r="H63" s="166"/>
      <c r="I63" s="145"/>
      <c r="J63" s="145"/>
    </row>
    <row r="64" spans="2:10" s="144" customFormat="1" ht="13.5" customHeight="1">
      <c r="B64" s="147"/>
      <c r="D64" s="164"/>
      <c r="E64" s="147"/>
      <c r="F64" s="165"/>
      <c r="G64" s="165"/>
      <c r="H64" s="166"/>
      <c r="I64" s="145"/>
      <c r="J64" s="145"/>
    </row>
    <row r="65" spans="1:18" s="144" customFormat="1" ht="13.5" customHeight="1">
      <c r="B65" s="147"/>
      <c r="D65" s="164"/>
      <c r="E65" s="147"/>
      <c r="F65" s="165"/>
      <c r="G65" s="165"/>
      <c r="H65" s="166"/>
      <c r="I65" s="145"/>
      <c r="J65" s="145"/>
    </row>
    <row r="66" spans="1:18" s="144" customFormat="1" ht="13.5" customHeight="1">
      <c r="B66" s="147"/>
      <c r="D66" s="164"/>
      <c r="E66" s="147"/>
      <c r="F66" s="165"/>
      <c r="G66" s="165"/>
      <c r="H66" s="166"/>
      <c r="I66" s="145"/>
      <c r="J66" s="145"/>
    </row>
    <row r="67" spans="1:18" s="144" customFormat="1" ht="13.5" customHeight="1">
      <c r="B67" s="147"/>
      <c r="D67" s="164"/>
      <c r="E67" s="147"/>
      <c r="F67" s="165"/>
      <c r="G67" s="165"/>
      <c r="H67" s="166"/>
      <c r="I67" s="145"/>
      <c r="J67" s="145"/>
    </row>
    <row r="68" spans="1:18" s="144" customFormat="1" ht="13.5" customHeight="1">
      <c r="B68" s="147"/>
      <c r="D68" s="164"/>
      <c r="E68" s="147"/>
      <c r="F68" s="165"/>
      <c r="G68" s="165"/>
      <c r="H68" s="166"/>
      <c r="I68" s="145"/>
      <c r="J68" s="145"/>
    </row>
    <row r="69" spans="1:18" s="144" customFormat="1" ht="13.5" customHeight="1">
      <c r="B69" s="147"/>
      <c r="D69" s="164"/>
      <c r="E69" s="147"/>
      <c r="F69" s="165"/>
      <c r="G69" s="165"/>
      <c r="H69" s="166"/>
      <c r="I69" s="145"/>
      <c r="J69" s="145"/>
    </row>
    <row r="70" spans="1:18" s="144" customFormat="1" ht="13.5" customHeight="1">
      <c r="B70" s="147"/>
      <c r="D70" s="164"/>
      <c r="E70" s="147"/>
      <c r="F70" s="165"/>
      <c r="G70" s="165"/>
      <c r="H70" s="166"/>
      <c r="I70" s="145"/>
      <c r="J70" s="145"/>
    </row>
    <row r="71" spans="1:18" s="144" customFormat="1" ht="13.5" customHeight="1">
      <c r="B71" s="147"/>
      <c r="D71" s="164"/>
      <c r="E71" s="147"/>
      <c r="F71" s="165"/>
      <c r="G71" s="165"/>
      <c r="H71" s="166"/>
      <c r="I71" s="145"/>
      <c r="J71" s="145"/>
    </row>
    <row r="72" spans="1:18" s="144" customFormat="1" ht="13.5" customHeight="1">
      <c r="B72" s="147"/>
      <c r="D72" s="164"/>
      <c r="E72" s="147"/>
      <c r="F72" s="165"/>
      <c r="G72" s="165"/>
      <c r="H72" s="166"/>
      <c r="I72" s="145"/>
      <c r="J72" s="145"/>
    </row>
    <row r="73" spans="1:18" s="144" customFormat="1" ht="13.5" customHeight="1">
      <c r="B73" s="147"/>
      <c r="D73" s="164"/>
      <c r="E73" s="147"/>
      <c r="F73" s="165"/>
      <c r="G73" s="165"/>
      <c r="H73" s="166"/>
      <c r="I73" s="145"/>
      <c r="J73" s="145"/>
    </row>
    <row r="74" spans="1:18" s="144" customFormat="1" ht="13.5" customHeight="1">
      <c r="B74" s="147"/>
      <c r="D74" s="164"/>
      <c r="E74" s="147"/>
      <c r="F74" s="165"/>
      <c r="G74" s="165"/>
      <c r="H74" s="166"/>
      <c r="I74" s="145"/>
      <c r="J74" s="145"/>
    </row>
    <row r="75" spans="1:18" s="144" customFormat="1" ht="13.5" customHeight="1">
      <c r="B75" s="147"/>
      <c r="D75" s="167"/>
      <c r="E75" s="147"/>
      <c r="F75" s="165"/>
      <c r="G75" s="165"/>
      <c r="H75" s="166"/>
      <c r="I75" s="145"/>
      <c r="J75" s="145"/>
    </row>
    <row r="76" spans="1:18" s="144" customFormat="1" ht="22.5" customHeight="1">
      <c r="B76" s="581"/>
      <c r="C76" s="581"/>
      <c r="D76" s="167"/>
      <c r="E76" s="147"/>
      <c r="F76" s="168"/>
      <c r="G76" s="168"/>
      <c r="H76" s="166"/>
      <c r="I76" s="145"/>
      <c r="J76" s="145"/>
    </row>
    <row r="77" spans="1:18">
      <c r="D77" s="169"/>
    </row>
    <row r="78" spans="1:18">
      <c r="D78" s="169"/>
    </row>
    <row r="79" spans="1:18" s="64" customFormat="1">
      <c r="A79" s="57"/>
      <c r="B79" s="57"/>
      <c r="D79" s="169"/>
      <c r="E79" s="62"/>
      <c r="F79" s="170"/>
      <c r="G79" s="170"/>
      <c r="H79" s="57"/>
      <c r="K79" s="57"/>
      <c r="L79" s="57"/>
      <c r="M79" s="57"/>
      <c r="N79" s="57"/>
      <c r="O79" s="57"/>
      <c r="P79" s="57"/>
      <c r="Q79" s="57"/>
      <c r="R79" s="57"/>
    </row>
    <row r="80" spans="1:18" s="64" customFormat="1">
      <c r="A80" s="57"/>
      <c r="B80" s="57"/>
      <c r="D80" s="169"/>
      <c r="E80" s="62"/>
      <c r="F80" s="170"/>
      <c r="G80" s="170"/>
      <c r="H80" s="57"/>
      <c r="K80" s="57"/>
      <c r="L80" s="57"/>
      <c r="M80" s="57"/>
      <c r="N80" s="57"/>
      <c r="O80" s="57"/>
      <c r="P80" s="57"/>
      <c r="Q80" s="57"/>
      <c r="R80" s="57"/>
    </row>
    <row r="81" spans="1:18" s="64" customFormat="1">
      <c r="A81" s="57"/>
      <c r="B81" s="57"/>
      <c r="D81" s="169"/>
      <c r="E81" s="62"/>
      <c r="F81" s="170"/>
      <c r="G81" s="170"/>
      <c r="H81" s="57"/>
      <c r="K81" s="57"/>
      <c r="L81" s="57"/>
      <c r="M81" s="57"/>
      <c r="N81" s="57"/>
      <c r="O81" s="57"/>
      <c r="P81" s="57"/>
      <c r="Q81" s="57"/>
      <c r="R81" s="57"/>
    </row>
    <row r="82" spans="1:18" s="64" customFormat="1">
      <c r="A82" s="57"/>
      <c r="B82" s="57"/>
      <c r="D82" s="169"/>
      <c r="E82" s="62"/>
      <c r="F82" s="170"/>
      <c r="G82" s="170"/>
      <c r="H82" s="57"/>
      <c r="K82" s="57"/>
      <c r="L82" s="57"/>
      <c r="M82" s="57"/>
      <c r="N82" s="57"/>
      <c r="O82" s="57"/>
      <c r="P82" s="57"/>
      <c r="Q82" s="57"/>
      <c r="R82" s="57"/>
    </row>
  </sheetData>
  <protectedRanges>
    <protectedRange sqref="F43 F39:H39 C39:D39 C40:H42" name="범위1_1"/>
  </protectedRanges>
  <autoFilter ref="A8:H42" xr:uid="{00000000-0009-0000-0000-000007000000}"/>
  <mergeCells count="8">
    <mergeCell ref="B76:C76"/>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29" t="s">
        <v>110</v>
      </c>
    </row>
  </sheetData>
  <phoneticPr fontId="33"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2.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customXml/itemProps3.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46</vt:i4>
      </vt:variant>
      <vt:variant>
        <vt:lpstr>Phạm vi Có tên</vt:lpstr>
      </vt:variant>
      <vt:variant>
        <vt:i4>50</vt:i4>
      </vt:variant>
    </vt:vector>
  </HeadingPairs>
  <TitlesOfParts>
    <vt:vector size="96" baseType="lpstr">
      <vt:lpstr>Break Down CI (Rve1)</vt:lpstr>
      <vt:lpstr>PL(2_2)</vt:lpstr>
      <vt:lpstr>Detailed PL</vt:lpstr>
      <vt:lpstr>Commercial Invoice (Rev1)</vt:lpstr>
      <vt:lpstr>Break Down CI (Rve2)</vt:lpstr>
      <vt:lpstr>BOOK</vt:lpstr>
      <vt:lpstr>Commercial Invoice</vt:lpstr>
      <vt:lpstr>Break Down CI</vt:lpstr>
      <vt:lpstr>Packing List (1_2)</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BOOK!Print_Titles</vt:lpstr>
      <vt:lpstr>Break Down CI!Print_Titles</vt:lpstr>
      <vt:lpstr>Break Down CI (Rve1)!Print_Titles</vt:lpstr>
      <vt:lpstr>Break Down CI (Rve2)!Print_Titles</vt:lpstr>
      <vt:lpstr>Detailed PL!Print_Titles</vt:lpstr>
      <vt:lpstr>PL(2_2)!Print_Titles</vt:lpstr>
      <vt:lpstr>Technical Description!Print_Titles</vt:lpstr>
      <vt:lpstr>BOOK!Vùng_In</vt:lpstr>
      <vt:lpstr>Break Down CI!Vùng_In</vt:lpstr>
      <vt:lpstr>Break Down CI (Rve1)!Vùng_In</vt:lpstr>
      <vt:lpstr>Break Down CI (Rve2)!Vùng_In</vt:lpstr>
      <vt:lpstr>Commercial Invoice!Vùng_In</vt:lpstr>
      <vt:lpstr>Commercial Invoice (Rev1)!Vùng_In</vt:lpstr>
      <vt:lpstr>Detailed PL!Vùng_In</vt:lpstr>
      <vt:lpstr>Packing List (1_2)!Vùng_In</vt:lpstr>
      <vt:lpstr>PL(2_2)!Vùng_In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Welcome</cp:lastModifiedBy>
  <cp:lastPrinted>2026-08-11T02:24:49Z</cp:lastPrinted>
  <dcterms:created xsi:type="dcterms:W3CDTF">2025-07-09T09:39:20Z</dcterms:created>
  <dcterms:modified xsi:type="dcterms:W3CDTF">2026-08-11T04:35:09Z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