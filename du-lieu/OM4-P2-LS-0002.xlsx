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3"/>
  <workbookPr/>
  <mc:AlternateContent xmlns:mc="http://schemas.openxmlformats.org/markup-compatibility/2006">
    <mc:Choice Requires="x15">
      <x15ac:absPath xmlns:x15ac="http://schemas.microsoft.com/office/spreadsheetml/2010/11/ac" url="H:\NGA 2026\Dự án\Pecc2-Ô môn\047\Phụ LụcHD\hồ sơ Omon d2\"/>
    </mc:Choice>
  </mc:AlternateContent>
  <xr:revisionPtr revIDLastSave="0" documentId="13_ncr:1_{F9D1C3F5-9E08-4281-86EB-838C9D99E284}" xr6:coauthVersionLast="47" xr6:coauthVersionMax="47" xr10:uidLastSave="{00000000-0000-0000-0000-000000000000}"/>
  <bookViews>
    <workbookView xWindow="-120" yWindow="-120" windowWidth="20730" windowHeight="11310" tabRatio="667" xr2:uid="{00000000-000D-0000-FFFF-FFFF00000000}"/>
  </bookViews>
  <sheets>
    <sheet name="Detailed PL" sheetId="5" r:id="rId1"/>
    <sheet name="Packing List (1_2)" sheetId="3" r:id="rId2"/>
    <sheet name="PL(2_2)" sheetId="4" r:id="rId3"/>
    <sheet name="SHIPPING MARK" sheetId="12" state="hidden" r:id="rId4"/>
    <sheet name="CO" sheetId="6" state="hidden" r:id="rId5"/>
    <sheet name="CQ" sheetId="10" state="hidden" r:id="rId6"/>
    <sheet name="BL" sheetId="7" state="hidden" r:id="rId7"/>
    <sheet name="PSIC" sheetId="11" state="hidden" r:id="rId8"/>
  </sheets>
  <externalReferences>
    <externalReference r:id="rId9"/>
    <externalReference r:id="rId10"/>
    <externalReference r:id="rId11"/>
    <externalReference r:id="rId12"/>
    <externalReference r:id="rId13"/>
    <externalReference r:id="rId14"/>
  </externalReferences>
  <definedNames>
    <definedName name="__123Graph_A" localSheetId="0" hidden="1">'[1]Eq. Mobilization'!#REF!</definedName>
    <definedName name="__123Graph_A" localSheetId="1" hidden="1">'[1]Eq. Mobilization'!#REF!</definedName>
    <definedName name="__123Graph_A" localSheetId="3" hidden="1">'[1]Eq. Mobilization'!#REF!</definedName>
    <definedName name="__123Graph_A" hidden="1">'[1]Eq. Mobilization'!#REF!</definedName>
    <definedName name="__123Graph_ACurrent" localSheetId="0" hidden="1">'[1]Eq. Mobilization'!#REF!</definedName>
    <definedName name="__123Graph_ACurrent" localSheetId="1" hidden="1">'[1]Eq. Mobilization'!#REF!</definedName>
    <definedName name="__123Graph_ACurrent" localSheetId="3" hidden="1">'[1]Eq. Mobilization'!#REF!</definedName>
    <definedName name="__123Graph_ACurrent" hidden="1">'[1]Eq. Mobilization'!#REF!</definedName>
    <definedName name="__123Graph_B" localSheetId="0" hidden="1">'[1]Eq. Mobilization'!#REF!</definedName>
    <definedName name="__123Graph_B" localSheetId="1" hidden="1">'[1]Eq. Mobilization'!#REF!</definedName>
    <definedName name="__123Graph_B" localSheetId="3" hidden="1">'[1]Eq. Mobilization'!#REF!</definedName>
    <definedName name="__123Graph_B" hidden="1">'[1]Eq. Mobilization'!#REF!</definedName>
    <definedName name="__123Graph_BCurrent" localSheetId="0" hidden="1">'[1]Eq. Mobilization'!#REF!</definedName>
    <definedName name="__123Graph_BCurrent" localSheetId="1" hidden="1">'[1]Eq. Mobilization'!#REF!</definedName>
    <definedName name="__123Graph_BCurrent" localSheetId="3" hidden="1">'[1]Eq. Mobilization'!#REF!</definedName>
    <definedName name="__123Graph_BCurrent" hidden="1">'[1]Eq. Mobilization'!#REF!</definedName>
    <definedName name="__123Graph_D" localSheetId="0" hidden="1">#REF!</definedName>
    <definedName name="__123Graph_D" localSheetId="1" hidden="1">#REF!</definedName>
    <definedName name="__123Graph_D" localSheetId="3" hidden="1">#REF!</definedName>
    <definedName name="__123Graph_D" hidden="1">#REF!</definedName>
    <definedName name="__123Graph_E" localSheetId="1" hidden="1">#REF!</definedName>
    <definedName name="__123Graph_E" localSheetId="3" hidden="1">#REF!</definedName>
    <definedName name="__123Graph_E" hidden="1">#REF!</definedName>
    <definedName name="__123Graph_LBL_A" localSheetId="0" hidden="1">'[1]Eq. Mobilization'!#REF!</definedName>
    <definedName name="__123Graph_LBL_A" localSheetId="1" hidden="1">'[1]Eq. Mobilization'!#REF!</definedName>
    <definedName name="__123Graph_LBL_A" localSheetId="3" hidden="1">'[1]Eq. Mobilization'!#REF!</definedName>
    <definedName name="__123Graph_LBL_A" hidden="1">'[1]Eq. Mobilization'!#REF!</definedName>
    <definedName name="__123Graph_LBL_B" localSheetId="0" hidden="1">'[1]Eq. Mobilization'!#REF!</definedName>
    <definedName name="__123Graph_LBL_B" localSheetId="1" hidden="1">'[1]Eq. Mobilization'!#REF!</definedName>
    <definedName name="__123Graph_LBL_B" localSheetId="3" hidden="1">'[1]Eq. Mobilization'!#REF!</definedName>
    <definedName name="__123Graph_LBL_B" hidden="1">'[1]Eq. Mobilization'!#REF!</definedName>
    <definedName name="__123Graph_X" localSheetId="0" hidden="1">'[1]Eq. Mobilization'!#REF!</definedName>
    <definedName name="__123Graph_X" localSheetId="1" hidden="1">'[1]Eq. Mobilization'!#REF!</definedName>
    <definedName name="__123Graph_X" localSheetId="3" hidden="1">'[1]Eq. Mobilization'!#REF!</definedName>
    <definedName name="__123Graph_X" hidden="1">'[1]Eq. Mobilization'!#REF!</definedName>
    <definedName name="__123Graph_XCurrent" localSheetId="0" hidden="1">'[1]Eq. Mobilization'!#REF!</definedName>
    <definedName name="__123Graph_XCurrent" localSheetId="1" hidden="1">'[1]Eq. Mobilization'!#REF!</definedName>
    <definedName name="__123Graph_XCurrent" localSheetId="3" hidden="1">'[1]Eq. Mobilization'!#REF!</definedName>
    <definedName name="__123Graph_XCurrent" hidden="1">'[1]Eq. Mobilization'!#REF!</definedName>
    <definedName name="_1__123Graph_AChart_1A" localSheetId="0" hidden="1">'[1]Eq. Mobilization'!#REF!</definedName>
    <definedName name="_1__123Graph_AChart_1A" localSheetId="1" hidden="1">'[1]Eq. Mobilization'!#REF!</definedName>
    <definedName name="_1__123Graph_AChart_1A" localSheetId="3" hidden="1">'[1]Eq. Mobilization'!#REF!</definedName>
    <definedName name="_1__123Graph_AChart_1A" hidden="1">'[1]Eq. Mobilization'!#REF!</definedName>
    <definedName name="_2__123Graph_BChart_1A" localSheetId="0" hidden="1">'[1]Eq. Mobilization'!#REF!</definedName>
    <definedName name="_2__123Graph_BChart_1A" localSheetId="1" hidden="1">'[1]Eq. Mobilization'!#REF!</definedName>
    <definedName name="_2__123Graph_BChart_1A" localSheetId="3" hidden="1">'[1]Eq. Mobilization'!#REF!</definedName>
    <definedName name="_2__123Graph_BChart_1A" hidden="1">'[1]Eq. Mobilization'!#REF!</definedName>
    <definedName name="_3__123Graph_XChart_1A" localSheetId="0" hidden="1">'[1]Eq. Mobilization'!#REF!</definedName>
    <definedName name="_3__123Graph_XChart_1A" localSheetId="1" hidden="1">'[1]Eq. Mobilization'!#REF!</definedName>
    <definedName name="_3__123Graph_XChart_1A" localSheetId="3" hidden="1">'[1]Eq. Mobilization'!#REF!</definedName>
    <definedName name="_3__123Graph_XChart_1A" hidden="1">'[1]Eq. Mobilization'!#REF!</definedName>
    <definedName name="_Fill" localSheetId="0" hidden="1">#REF!</definedName>
    <definedName name="_Fill" localSheetId="1" hidden="1">#REF!</definedName>
    <definedName name="_Fill" localSheetId="3" hidden="1">#REF!</definedName>
    <definedName name="_Fill" hidden="1">#REF!</definedName>
    <definedName name="_xlnm._FilterDatabase" localSheetId="0" hidden="1">'Detailed PL'!$B$13:$AF$65</definedName>
    <definedName name="_xlnm._FilterDatabase" localSheetId="3" hidden="1">'SHIPPING MARK'!$A$1:$A$23</definedName>
    <definedName name="_Hlk215568700" localSheetId="7">PSIC!$B$2</definedName>
    <definedName name="_Key1" localSheetId="1" hidden="1">#REF!</definedName>
    <definedName name="_Key1" localSheetId="3" hidden="1">#REF!</definedName>
    <definedName name="_Key1" hidden="1">#REF!</definedName>
    <definedName name="_Key2" localSheetId="1" hidden="1">#REF!</definedName>
    <definedName name="_Key2" localSheetId="3" hidden="1">#REF!</definedName>
    <definedName name="_Key2" hidden="1">#REF!</definedName>
    <definedName name="_Order1" hidden="1">255</definedName>
    <definedName name="_Order2" hidden="1">255</definedName>
    <definedName name="_Parse_In" localSheetId="0" hidden="1">#REF!</definedName>
    <definedName name="_Parse_In" localSheetId="1" hidden="1">#REF!</definedName>
    <definedName name="_Parse_In" localSheetId="3" hidden="1">#REF!</definedName>
    <definedName name="_Parse_In" hidden="1">#REF!</definedName>
    <definedName name="_Parse_Out" localSheetId="1" hidden="1">#REF!</definedName>
    <definedName name="_Parse_Out" localSheetId="3" hidden="1">#REF!</definedName>
    <definedName name="_Parse_Out" hidden="1">#REF!</definedName>
    <definedName name="_Sort" localSheetId="1" hidden="1">#REF!</definedName>
    <definedName name="_Sort" localSheetId="3" hidden="1">#REF!</definedName>
    <definedName name="_Sort" hidden="1">#REF!</definedName>
    <definedName name="A" localSheetId="1" hidden="1">#REF!</definedName>
    <definedName name="A" localSheetId="3" hidden="1">#REF!</definedName>
    <definedName name="A" hidden="1">#REF!</definedName>
    <definedName name="ABC" localSheetId="0" hidden="1">'[2]Eq. Mobilization'!#REF!</definedName>
    <definedName name="ABC" localSheetId="1" hidden="1">'[2]Eq. Mobilization'!#REF!</definedName>
    <definedName name="ABC" localSheetId="3" hidden="1">'[2]Eq. Mobilization'!#REF!</definedName>
    <definedName name="ABC" hidden="1">'[2]Eq. Mobilization'!#REF!</definedName>
    <definedName name="CO" localSheetId="0" hidden="1">'[3]Eq. Mobilization'!#REF!</definedName>
    <definedName name="CO" localSheetId="1" hidden="1">'[3]Eq. Mobilization'!#REF!</definedName>
    <definedName name="CO" localSheetId="3" hidden="1">'[3]Eq. Mobilization'!#REF!</definedName>
    <definedName name="CO" hidden="1">'[3]Eq. Mobilization'!#REF!</definedName>
    <definedName name="e" localSheetId="3" hidden="1">'[1]Eq. Mobilization'!#REF!</definedName>
    <definedName name="e" hidden="1">'[1]Eq. Mobilization'!#REF!</definedName>
    <definedName name="Ge" localSheetId="3" hidden="1">'[1]Eq. Mobilization'!#REF!</definedName>
    <definedName name="Ge" hidden="1">'[1]Eq. Mobilization'!#REF!</definedName>
    <definedName name="iv2dt" localSheetId="0" hidden="1">'[1]Eq. Mobilization'!#REF!</definedName>
    <definedName name="iv2dt" localSheetId="1" hidden="1">'[1]Eq. Mobilization'!#REF!</definedName>
    <definedName name="iv2dt" localSheetId="3" hidden="1">'[1]Eq. Mobilization'!#REF!</definedName>
    <definedName name="iv2dt" hidden="1">'[1]Eq. Mobilization'!#REF!</definedName>
    <definedName name="ivdt" localSheetId="0" hidden="1">'[1]Eq. Mobilization'!#REF!</definedName>
    <definedName name="ivdt" localSheetId="1" hidden="1">'[1]Eq. Mobilization'!#REF!</definedName>
    <definedName name="ivdt" localSheetId="3" hidden="1">'[1]Eq. Mobilization'!#REF!</definedName>
    <definedName name="ivdt" hidden="1">'[1]Eq. Mobilization'!#REF!</definedName>
    <definedName name="KABOLINE" localSheetId="0" hidden="1">'[1]Eq. Mobilization'!#REF!</definedName>
    <definedName name="KABOLINE" localSheetId="1" hidden="1">'[1]Eq. Mobilization'!#REF!</definedName>
    <definedName name="KABOLINE" localSheetId="3" hidden="1">'[1]Eq. Mobilization'!#REF!</definedName>
    <definedName name="KABOLINE" hidden="1">'[1]Eq. Mobilization'!#REF!</definedName>
    <definedName name="latent">'[4]steam table'!$N$5:$Q$102</definedName>
    <definedName name="_xlnm.Print_Titles" localSheetId="0">'Detailed PL'!$13:$14</definedName>
    <definedName name="_xlnm.Print_Titles" localSheetId="2">'PL(2_2)'!$13:$14</definedName>
    <definedName name="SM" localSheetId="3" hidden="1">#REF!</definedName>
    <definedName name="SM" hidden="1">#REF!</definedName>
    <definedName name="tube_test_press1_12">#REF!</definedName>
    <definedName name="_xlnm.Print_Area" localSheetId="0">'Detailed PL'!$A$1:$S$66</definedName>
    <definedName name="_xlnm.Print_Area" localSheetId="1">'Packing List (1_2)'!$A$1:$K$48</definedName>
    <definedName name="_xlnm.Print_Area" localSheetId="2">'PL(2_2)'!$B$1:$S$66</definedName>
    <definedName name="_xlnm.Print_Area" localSheetId="3">'SHIPPING MARK'!$A$1:$J$23</definedName>
    <definedName name="weki_9701.xls" localSheetId="1" hidden="1">'[1]Eq. Mobilization'!#REF!</definedName>
    <definedName name="weki_9701.xls" localSheetId="3" hidden="1">'[1]Eq. Mobilization'!#REF!</definedName>
    <definedName name="weki_9701.xls" hidden="1">'[1]Eq. Mobilization'!#REF!</definedName>
    <definedName name="wekir9701.xls" localSheetId="1" hidden="1">'[1]Eq. Mobilization'!#REF!</definedName>
    <definedName name="wekir9701.xls" localSheetId="3" hidden="1">'[1]Eq. Mobilization'!#REF!</definedName>
    <definedName name="wekir9701.xls" hidden="1">'[1]Eq. Mobilization'!#REF!</definedName>
    <definedName name="X" localSheetId="1" hidden="1">'[2]Eq. Mobilization'!#REF!</definedName>
    <definedName name="X" localSheetId="3" hidden="1">'[2]Eq. Mobilization'!#REF!</definedName>
    <definedName name="X" hidden="1">'[2]Eq. Mobilization'!#REF!</definedName>
    <definedName name="Z" localSheetId="1" hidden="1">'[2]Eq. Mobilization'!#REF!</definedName>
    <definedName name="Z" localSheetId="3" hidden="1">'[2]Eq. Mobilization'!#REF!</definedName>
    <definedName name="Z" hidden="1">'[2]Eq. Mobilization'!#REF!</definedName>
    <definedName name="ㄴㅇㄹㅇㄹ" localSheetId="0" hidden="1">'[2]Eq. Mobilization'!#REF!</definedName>
    <definedName name="ㄴㅇㄹㅇㄹ" localSheetId="1" hidden="1">'[2]Eq. Mobilization'!#REF!</definedName>
    <definedName name="ㄴㅇㄹㅇㄹ" localSheetId="3" hidden="1">'[2]Eq. Mobilization'!#REF!</definedName>
    <definedName name="ㄴㅇㄹㅇㄹ" hidden="1">'[2]Eq. Mobilization'!#REF!</definedName>
    <definedName name="느" localSheetId="3" hidden="1">'[1]Eq. Mobilization'!#REF!</definedName>
    <definedName name="느" hidden="1">'[1]Eq. Mobilization'!#REF!</definedName>
    <definedName name="ㅊㅌㅍㅊㅍㅊㅌㅍㅊㅌㅍㅊㅌㅍㅊㅌㅍㅊㅌㅍ" localSheetId="0" hidden="1">'[5]Eq. Mobilization'!#REF!</definedName>
    <definedName name="ㅊㅌㅍㅊㅍㅊㅌㅍㅊㅌㅍㅊㅌㅍㅊㅌㅍㅊㅌㅍ" localSheetId="1" hidden="1">'[5]Eq. Mobilization'!#REF!</definedName>
    <definedName name="ㅊㅌㅍㅊㅍㅊㅌㅍㅊㅌㅍㅊㅌㅍㅊㅌㅍㅊㅌㅍ" localSheetId="3" hidden="1">'[5]Eq. Mobilization'!#REF!</definedName>
    <definedName name="ㅊㅌㅍㅊㅍㅊㅌㅍㅊㅌㅍㅊㅌㅍㅊㅌㅍㅊㅌㅍ" hidden="1">'[5]Eq. Mobilization'!#REF!</definedName>
    <definedName name="ㅊㅌㅍㅊㅍㅌㅋㅊㅍㅌㅊㅍ" localSheetId="0" hidden="1">'[5]Eq. Mobilization'!#REF!</definedName>
    <definedName name="ㅊㅌㅍㅊㅍㅌㅋㅊㅍㅌㅊㅍ" localSheetId="1" hidden="1">'[5]Eq. Mobilization'!#REF!</definedName>
    <definedName name="ㅊㅌㅍㅊㅍㅌㅋㅊㅍㅌㅊㅍ" localSheetId="3" hidden="1">'[5]Eq. Mobilization'!#REF!</definedName>
    <definedName name="ㅊㅌㅍㅊㅍㅌㅋㅊㅍㅌㅊㅍ" hidden="1">'[5]Eq. Mobilization'!#REF!</definedName>
    <definedName name="ㅊㅌㅍㅋㅊㅍㅌㅊㅍㅌㅊㅍ" localSheetId="0" hidden="1">'[5]Eq. Mobilization'!#REF!</definedName>
    <definedName name="ㅊㅌㅍㅋㅊㅍㅌㅊㅍㅌㅊㅍ" localSheetId="1" hidden="1">'[5]Eq. Mobilization'!#REF!</definedName>
    <definedName name="ㅊㅌㅍㅋㅊㅍㅌㅊㅍㅌㅊㅍ" localSheetId="3" hidden="1">'[5]Eq. Mobilization'!#REF!</definedName>
    <definedName name="ㅊㅌㅍㅋㅊㅍㅌㅊㅍㅌㅊㅍ" hidden="1">'[5]Eq. Mobilization'!#REF!</definedName>
    <definedName name="ㅊㅌㅍㅌㅊㅍㅊㅌㅍㅌㅊㅍㅌㅊㅍ" localSheetId="0" hidden="1">'[5]Eq. Mobilization'!#REF!</definedName>
    <definedName name="ㅊㅌㅍㅌㅊㅍㅊㅌㅍㅌㅊㅍㅌㅊㅍ" localSheetId="1" hidden="1">'[5]Eq. Mobilization'!#REF!</definedName>
    <definedName name="ㅊㅌㅍㅌㅊㅍㅊㅌㅍㅌㅊㅍㅌㅊㅍ" localSheetId="3" hidden="1">'[5]Eq. Mobilization'!#REF!</definedName>
    <definedName name="ㅊㅌㅍㅌㅊㅍㅊㅌㅍㅌㅊㅍㅌㅊㅍ" hidden="1">'[5]Eq. Mobilization'!#REF!</definedName>
    <definedName name="ㅋ" localSheetId="0" hidden="1">'[5]Eq. Mobilization'!#REF!</definedName>
    <definedName name="ㅋ" localSheetId="1" hidden="1">'[5]Eq. Mobilization'!#REF!</definedName>
    <definedName name="ㅋ" localSheetId="3" hidden="1">'[5]Eq. Mobilization'!#REF!</definedName>
    <definedName name="ㅋ" hidden="1">'[5]Eq. Mobilization'!#REF!</definedName>
    <definedName name="ㅋㅋㅋㅋ" localSheetId="0" hidden="1">'[5]Eq. Mobilization'!#REF!</definedName>
    <definedName name="ㅋㅋㅋㅋ" localSheetId="1" hidden="1">'[5]Eq. Mobilization'!#REF!</definedName>
    <definedName name="ㅋㅋㅋㅋ" localSheetId="3" hidden="1">'[5]Eq. Mobilization'!#REF!</definedName>
    <definedName name="ㅋㅋㅋㅋ" hidden="1">'[5]Eq. Mobilization'!#REF!</definedName>
    <definedName name="ㅋㅋㅋㅋㅋㅋ" localSheetId="0" hidden="1">'[5]Eq. Mobilization'!#REF!</definedName>
    <definedName name="ㅋㅋㅋㅋㅋㅋ" localSheetId="1" hidden="1">'[5]Eq. Mobilization'!#REF!</definedName>
    <definedName name="ㅋㅋㅋㅋㅋㅋ" localSheetId="3" hidden="1">'[5]Eq. Mobilization'!#REF!</definedName>
    <definedName name="ㅋㅋㅋㅋㅋㅋ" hidden="1">'[5]Eq. Mobilization'!#REF!</definedName>
    <definedName name="ㅋㅋㅋㅋㅋㅋㅋㅋㅋ" localSheetId="0" hidden="1">'[5]Eq. Mobilization'!#REF!</definedName>
    <definedName name="ㅋㅋㅋㅋㅋㅋㅋㅋㅋ" localSheetId="1" hidden="1">'[5]Eq. Mobilization'!#REF!</definedName>
    <definedName name="ㅋㅋㅋㅋㅋㅋㅋㅋㅋ" localSheetId="3" hidden="1">'[5]Eq. Mobilization'!#REF!</definedName>
    <definedName name="ㅋㅋㅋㅋㅋㅋㅋㅋㅋ" hidden="1">'[5]Eq. Mobilization'!#REF!</definedName>
    <definedName name="ㅌㅊㅍㅌㅊㅍㅌㅋㅊㅍㅌ" localSheetId="0" hidden="1">'[5]Eq. Mobilization'!#REF!</definedName>
    <definedName name="ㅌㅊㅍㅌㅊㅍㅌㅋㅊㅍㅌ" localSheetId="1" hidden="1">'[5]Eq. Mobilization'!#REF!</definedName>
    <definedName name="ㅌㅊㅍㅌㅊㅍㅌㅋㅊㅍㅌ" localSheetId="3" hidden="1">'[5]Eq. Mobilization'!#REF!</definedName>
    <definedName name="ㅌㅊㅍㅌㅊㅍㅌㅋㅊㅍㅌ" hidden="1">'[5]Eq. Mobilization'!#REF!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3" i="4" l="1"/>
  <c r="M31" i="4"/>
  <c r="O23" i="4"/>
  <c r="N23" i="4"/>
  <c r="O36" i="4"/>
  <c r="O37" i="4"/>
  <c r="O38" i="4"/>
  <c r="O39" i="4"/>
  <c r="O40" i="4"/>
  <c r="O41" i="4"/>
  <c r="O42" i="4"/>
  <c r="O43" i="4"/>
  <c r="O44" i="4"/>
  <c r="O45" i="4"/>
  <c r="O46" i="4"/>
  <c r="O47" i="4"/>
  <c r="O48" i="4"/>
  <c r="O49" i="4"/>
  <c r="O50" i="4"/>
  <c r="O51" i="4"/>
  <c r="O52" i="4"/>
  <c r="O53" i="4"/>
  <c r="O54" i="4"/>
  <c r="O55" i="4"/>
  <c r="O56" i="4"/>
  <c r="O57" i="4"/>
  <c r="O58" i="4"/>
  <c r="O59" i="4"/>
  <c r="O60" i="4"/>
  <c r="O61" i="4"/>
  <c r="O62" i="4"/>
  <c r="O63" i="4"/>
  <c r="O64" i="4"/>
  <c r="O65" i="4"/>
  <c r="O35" i="4"/>
  <c r="O16" i="4"/>
  <c r="O17" i="4"/>
  <c r="O18" i="4"/>
  <c r="O20" i="4"/>
  <c r="O21" i="4"/>
  <c r="O22" i="4"/>
  <c r="O15" i="4"/>
  <c r="Q20" i="5"/>
  <c r="Q22" i="5"/>
  <c r="Q21" i="5"/>
  <c r="Q16" i="5"/>
  <c r="Q17" i="5"/>
  <c r="Q18" i="5"/>
  <c r="Q19" i="5"/>
  <c r="O19" i="4"/>
  <c r="Q15" i="5"/>
  <c r="P33" i="5"/>
  <c r="N33" i="4"/>
  <c r="P31" i="5"/>
  <c r="N31" i="4"/>
  <c r="P29" i="5"/>
  <c r="N29" i="4"/>
  <c r="P27" i="5"/>
  <c r="N27" i="4"/>
  <c r="P25" i="5"/>
  <c r="N25" i="4"/>
  <c r="P23" i="5"/>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15" i="4"/>
  <c r="M29" i="4"/>
  <c r="M27" i="4"/>
  <c r="M25" i="4"/>
  <c r="M23" i="4"/>
  <c r="N19" i="4"/>
  <c r="N20" i="4"/>
  <c r="N21" i="4"/>
  <c r="N22" i="4"/>
  <c r="J16" i="4"/>
  <c r="K16" i="4"/>
  <c r="L16" i="4"/>
  <c r="J17" i="4"/>
  <c r="K17" i="4"/>
  <c r="L17" i="4"/>
  <c r="J18" i="4"/>
  <c r="K18" i="4"/>
  <c r="L18" i="4"/>
  <c r="J19" i="4"/>
  <c r="K19" i="4"/>
  <c r="L19" i="4"/>
  <c r="J20" i="4"/>
  <c r="K20" i="4"/>
  <c r="L20" i="4"/>
  <c r="J21" i="4"/>
  <c r="K21" i="4"/>
  <c r="L21" i="4"/>
  <c r="J22" i="4"/>
  <c r="K22" i="4"/>
  <c r="L22" i="4"/>
  <c r="J35" i="4"/>
  <c r="K35" i="4"/>
  <c r="L35" i="4"/>
  <c r="J36" i="4"/>
  <c r="K36" i="4"/>
  <c r="L36" i="4"/>
  <c r="J37" i="4"/>
  <c r="K37" i="4"/>
  <c r="L37" i="4"/>
  <c r="J38" i="4"/>
  <c r="K38" i="4"/>
  <c r="L38" i="4"/>
  <c r="J39" i="4"/>
  <c r="K39" i="4"/>
  <c r="L39" i="4"/>
  <c r="J40" i="4"/>
  <c r="K40" i="4"/>
  <c r="L40" i="4"/>
  <c r="J41" i="4"/>
  <c r="K41" i="4"/>
  <c r="L41" i="4"/>
  <c r="J42" i="4"/>
  <c r="K42" i="4"/>
  <c r="L42" i="4"/>
  <c r="J43" i="4"/>
  <c r="K43" i="4"/>
  <c r="L43" i="4"/>
  <c r="J44" i="4"/>
  <c r="K44" i="4"/>
  <c r="L44" i="4"/>
  <c r="J45" i="4"/>
  <c r="K45" i="4"/>
  <c r="L45" i="4"/>
  <c r="J46" i="4"/>
  <c r="K46" i="4"/>
  <c r="L46" i="4"/>
  <c r="J47" i="4"/>
  <c r="K47" i="4"/>
  <c r="L47" i="4"/>
  <c r="J48" i="4"/>
  <c r="K48" i="4"/>
  <c r="L48" i="4"/>
  <c r="J49" i="4"/>
  <c r="K49" i="4"/>
  <c r="L49" i="4"/>
  <c r="J50" i="4"/>
  <c r="K50" i="4"/>
  <c r="L50" i="4"/>
  <c r="J51" i="4"/>
  <c r="K51" i="4"/>
  <c r="L51" i="4"/>
  <c r="J52" i="4"/>
  <c r="K52" i="4"/>
  <c r="L52" i="4"/>
  <c r="J53" i="4"/>
  <c r="K53" i="4"/>
  <c r="L53" i="4"/>
  <c r="J54" i="4"/>
  <c r="K54" i="4"/>
  <c r="L54" i="4"/>
  <c r="J55" i="4"/>
  <c r="K55" i="4"/>
  <c r="L55" i="4"/>
  <c r="J56" i="4"/>
  <c r="K56" i="4"/>
  <c r="L56" i="4"/>
  <c r="J57" i="4"/>
  <c r="K57" i="4"/>
  <c r="L57" i="4"/>
  <c r="J58" i="4"/>
  <c r="K58" i="4"/>
  <c r="L58" i="4"/>
  <c r="J59" i="4"/>
  <c r="K59" i="4"/>
  <c r="L59" i="4"/>
  <c r="J60" i="4"/>
  <c r="K60" i="4"/>
  <c r="L60" i="4"/>
  <c r="J61" i="4"/>
  <c r="K61" i="4"/>
  <c r="L61" i="4"/>
  <c r="J62" i="4"/>
  <c r="K62" i="4"/>
  <c r="L62" i="4"/>
  <c r="J63" i="4"/>
  <c r="K63" i="4"/>
  <c r="L63" i="4"/>
  <c r="J64" i="4"/>
  <c r="K64" i="4"/>
  <c r="L64" i="4"/>
  <c r="J65" i="4"/>
  <c r="K65" i="4"/>
  <c r="L65" i="4"/>
  <c r="L15" i="4"/>
  <c r="K15" i="4"/>
  <c r="J15" i="4"/>
  <c r="O18" i="5"/>
  <c r="O17" i="5"/>
  <c r="O16" i="5"/>
  <c r="O15" i="5"/>
  <c r="M22" i="4"/>
  <c r="M21" i="4"/>
  <c r="M20" i="4"/>
  <c r="M19" i="4"/>
  <c r="M18" i="4"/>
  <c r="M17" i="4"/>
  <c r="M16" i="4"/>
  <c r="M15" i="4"/>
  <c r="O33" i="5"/>
  <c r="O31" i="5"/>
  <c r="O29" i="5"/>
  <c r="O27" i="5"/>
  <c r="O25" i="5"/>
  <c r="O23" i="5"/>
  <c r="O35" i="5"/>
  <c r="P35" i="5"/>
  <c r="N35" i="4"/>
  <c r="H15" i="3"/>
  <c r="M62" i="4"/>
  <c r="M61" i="4"/>
  <c r="M60" i="4"/>
  <c r="M59" i="4"/>
  <c r="M58" i="4"/>
  <c r="M57" i="4"/>
  <c r="M56" i="4"/>
  <c r="M55" i="4"/>
  <c r="M54" i="4"/>
  <c r="M53" i="4"/>
  <c r="M52" i="4"/>
  <c r="M51" i="4"/>
  <c r="M50" i="4"/>
  <c r="M49" i="4"/>
  <c r="M48" i="4"/>
  <c r="M47" i="4"/>
  <c r="M46" i="4"/>
  <c r="M45" i="4"/>
  <c r="M44" i="4"/>
  <c r="M43" i="4"/>
  <c r="M42" i="4"/>
  <c r="M41" i="4"/>
  <c r="M40" i="4"/>
  <c r="M39" i="4"/>
  <c r="M38" i="4"/>
  <c r="M37" i="4"/>
  <c r="M36" i="4"/>
  <c r="M35" i="4"/>
  <c r="P65" i="5"/>
  <c r="N65" i="4"/>
  <c r="O65" i="5"/>
  <c r="P64" i="5"/>
  <c r="N64" i="4"/>
  <c r="O64" i="5"/>
  <c r="P63" i="5"/>
  <c r="O63" i="5"/>
  <c r="P62" i="5"/>
  <c r="O62" i="5"/>
  <c r="P61" i="5"/>
  <c r="N61" i="4"/>
  <c r="O61" i="5"/>
  <c r="P60" i="5"/>
  <c r="N60" i="4"/>
  <c r="O60" i="5"/>
  <c r="P59" i="5"/>
  <c r="O59" i="5"/>
  <c r="P58" i="5"/>
  <c r="O58" i="5"/>
  <c r="P57" i="5"/>
  <c r="O57" i="5"/>
  <c r="P56" i="5"/>
  <c r="O56" i="5"/>
  <c r="P55" i="5"/>
  <c r="N55" i="4"/>
  <c r="O55" i="5"/>
  <c r="P54" i="5"/>
  <c r="O54" i="5"/>
  <c r="P53" i="5"/>
  <c r="O53" i="5"/>
  <c r="P52" i="5"/>
  <c r="N52" i="4"/>
  <c r="O52" i="5"/>
  <c r="P51" i="5"/>
  <c r="O51" i="5"/>
  <c r="P50" i="5"/>
  <c r="O50" i="5"/>
  <c r="P49" i="5"/>
  <c r="O49" i="5"/>
  <c r="P48" i="5"/>
  <c r="O48" i="5"/>
  <c r="P47" i="5"/>
  <c r="O47" i="5"/>
  <c r="P46" i="5"/>
  <c r="O46" i="5"/>
  <c r="P45" i="5"/>
  <c r="N45" i="4"/>
  <c r="O45" i="5"/>
  <c r="P44" i="5"/>
  <c r="O44" i="5"/>
  <c r="P43" i="5"/>
  <c r="O43" i="5"/>
  <c r="P42" i="5"/>
  <c r="O42" i="5"/>
  <c r="P41" i="5"/>
  <c r="O41" i="5"/>
  <c r="P40" i="5"/>
  <c r="O40" i="5"/>
  <c r="P39" i="5"/>
  <c r="O39" i="5"/>
  <c r="P38" i="5"/>
  <c r="O38" i="5"/>
  <c r="P37" i="5"/>
  <c r="O37" i="5"/>
  <c r="Q35" i="5"/>
  <c r="Q27" i="5"/>
  <c r="O27" i="4"/>
  <c r="Q31" i="5"/>
  <c r="O31" i="4"/>
  <c r="Q38" i="5"/>
  <c r="N38" i="4"/>
  <c r="Q42" i="5"/>
  <c r="N42" i="4"/>
  <c r="Q46" i="5"/>
  <c r="N46" i="4"/>
  <c r="Q50" i="5"/>
  <c r="N50" i="4"/>
  <c r="Q37" i="5"/>
  <c r="N37" i="4"/>
  <c r="Q39" i="5"/>
  <c r="N39" i="4"/>
  <c r="Q41" i="5"/>
  <c r="N41" i="4"/>
  <c r="Q43" i="5"/>
  <c r="N43" i="4"/>
  <c r="Q47" i="5"/>
  <c r="N47" i="4"/>
  <c r="Q49" i="5"/>
  <c r="N49" i="4"/>
  <c r="Q53" i="5"/>
  <c r="N53" i="4"/>
  <c r="Q40" i="5"/>
  <c r="N40" i="4"/>
  <c r="Q44" i="5"/>
  <c r="N44" i="4"/>
  <c r="Q48" i="5"/>
  <c r="N48" i="4"/>
  <c r="Q54" i="5"/>
  <c r="N54" i="4"/>
  <c r="Q56" i="5"/>
  <c r="N56" i="4"/>
  <c r="Q58" i="5"/>
  <c r="N58" i="4"/>
  <c r="Q62" i="5"/>
  <c r="N62" i="4"/>
  <c r="Q51" i="5"/>
  <c r="N51" i="4"/>
  <c r="Q57" i="5"/>
  <c r="N57" i="4"/>
  <c r="Q59" i="5"/>
  <c r="N59" i="4"/>
  <c r="Q63" i="5"/>
  <c r="N63" i="4"/>
  <c r="Q25" i="5"/>
  <c r="O25" i="4"/>
  <c r="Q29" i="5"/>
  <c r="O29" i="4"/>
  <c r="Q33" i="5"/>
  <c r="O33" i="4"/>
  <c r="Q23" i="5"/>
  <c r="Q45" i="5"/>
  <c r="Q52" i="5"/>
  <c r="Q60" i="5"/>
  <c r="Q61" i="5"/>
  <c r="Q55" i="5"/>
  <c r="Q64" i="5"/>
  <c r="Q65" i="5"/>
  <c r="M65" i="4"/>
  <c r="M64" i="4"/>
  <c r="M63" i="4"/>
  <c r="O19" i="5"/>
  <c r="J18" i="5"/>
  <c r="P18" i="5"/>
  <c r="N18" i="4"/>
  <c r="J17" i="5"/>
  <c r="P17" i="5"/>
  <c r="J16" i="5"/>
  <c r="P16" i="5"/>
  <c r="N16" i="4"/>
  <c r="P36" i="5"/>
  <c r="N36" i="4"/>
  <c r="O36" i="5"/>
  <c r="J15" i="5"/>
  <c r="P15" i="5"/>
  <c r="N15" i="4"/>
  <c r="O20" i="5"/>
  <c r="O21" i="5"/>
  <c r="O22" i="5"/>
  <c r="N17" i="4"/>
  <c r="Q36" i="5"/>
  <c r="O66" i="5"/>
  <c r="K31" i="3"/>
  <c r="Q66" i="5"/>
  <c r="P66" i="5"/>
  <c r="D7" i="5"/>
  <c r="D5" i="4"/>
  <c r="D5" i="5"/>
  <c r="D6" i="4"/>
  <c r="D6" i="5"/>
  <c r="C14" i="12"/>
  <c r="H12" i="12"/>
  <c r="A3" i="12"/>
  <c r="AZ6" i="5"/>
  <c r="AY6" i="5"/>
  <c r="AX6" i="5"/>
  <c r="AW6" i="5"/>
  <c r="AU6" i="5"/>
  <c r="AT6" i="5"/>
  <c r="AS6" i="5"/>
  <c r="AR6" i="5"/>
  <c r="AQ6" i="5"/>
  <c r="AP6" i="5"/>
  <c r="AO6" i="5"/>
  <c r="AN6" i="5"/>
  <c r="AM6" i="5"/>
  <c r="AL6" i="5"/>
  <c r="AK6" i="5"/>
  <c r="AJ6" i="5"/>
  <c r="AI6" i="5"/>
  <c r="AH6" i="5"/>
  <c r="AG6" i="5"/>
  <c r="AF6" i="5"/>
  <c r="AE6" i="5"/>
  <c r="AD6" i="5"/>
  <c r="AC6" i="5"/>
  <c r="AB6" i="5"/>
  <c r="AA6" i="5"/>
  <c r="P66" i="4"/>
  <c r="O66" i="4"/>
  <c r="J31" i="3"/>
  <c r="J39" i="3"/>
  <c r="N66" i="4"/>
  <c r="G9" i="3"/>
  <c r="K39" i="3"/>
  <c r="I31" i="3"/>
  <c r="I39" i="3"/>
  <c r="AV6" i="5"/>
</calcChain>
</file>

<file path=xl/sharedStrings.xml><?xml version="1.0" encoding="utf-8"?>
<sst xmlns="http://schemas.openxmlformats.org/spreadsheetml/2006/main" count="1051" uniqueCount="249">
  <si>
    <t>SHIPPER:</t>
  </si>
  <si>
    <r>
      <rPr>
        <b/>
        <sz val="10"/>
        <rFont val="Times New Roman"/>
        <family val="1"/>
      </rPr>
      <t>TRUONG NAM HAI ELECTROMECHANICS ENGINEERING CONSULTANT COMPANY LIMITED</t>
    </r>
    <r>
      <rPr>
        <sz val="9"/>
        <rFont val="Times New Roman"/>
        <family val="1"/>
      </rPr>
      <t xml:space="preserve">
</t>
    </r>
    <r>
      <rPr>
        <sz val="10"/>
        <rFont val="Times New Roman"/>
        <family val="1"/>
      </rPr>
      <t>Address:</t>
    </r>
    <r>
      <rPr>
        <sz val="9"/>
        <rFont val="Times New Roman"/>
        <family val="1"/>
      </rPr>
      <t xml:space="preserve"> 14 Street 20, Lake View City Urban Area, An Phu Ward, Thu Duc City, Ho Chi Minh City, Vietnam</t>
    </r>
  </si>
  <si>
    <t>DATE:</t>
  </si>
  <si>
    <t>CONTRACT NO.</t>
    <phoneticPr fontId="0" type="noConversion"/>
  </si>
  <si>
    <t xml:space="preserve"> CONSIGNEE :</t>
    <phoneticPr fontId="0" type="noConversion"/>
  </si>
  <si>
    <t>O MON IV THERMAL POWER PLANT</t>
    <phoneticPr fontId="22" type="noConversion"/>
  </si>
  <si>
    <t>NOTIFY PARTY :</t>
    <phoneticPr fontId="0" type="noConversion"/>
  </si>
  <si>
    <t>Same as consignee</t>
  </si>
  <si>
    <t xml:space="preserve">SHIPMENT NO. : </t>
  </si>
  <si>
    <t>TERM OF DELIVERY :</t>
  </si>
  <si>
    <t>Local shipment to site</t>
  </si>
  <si>
    <t>VESSEL NAME :</t>
  </si>
  <si>
    <t>ETD :</t>
    <phoneticPr fontId="0" type="noConversion"/>
  </si>
  <si>
    <t>N/A</t>
  </si>
  <si>
    <t>QUALITY</t>
  </si>
  <si>
    <t>100% BRAND NEW</t>
  </si>
  <si>
    <t>PORT OF LOADING :</t>
    <phoneticPr fontId="0" type="noConversion"/>
  </si>
  <si>
    <t>PORT OF DISCHARGE :</t>
    <phoneticPr fontId="0" type="noConversion"/>
  </si>
  <si>
    <t>B/L DATE :</t>
  </si>
  <si>
    <t xml:space="preserve">FINAL DESTINATION : </t>
    <phoneticPr fontId="0" type="noConversion"/>
  </si>
  <si>
    <t>O MON IV THERMAL POWER PLANT</t>
  </si>
  <si>
    <t>Address: O Mon Power Complex at Phuoc Thoi wards, Can Tho city</t>
  </si>
  <si>
    <t>COMMODITY/DESCRIPTION OF GOODS</t>
    <phoneticPr fontId="0" type="noConversion"/>
  </si>
  <si>
    <t>UNIT</t>
    <phoneticPr fontId="0" type="noConversion"/>
  </si>
  <si>
    <t>QUANTITY</t>
    <phoneticPr fontId="0" type="noConversion"/>
  </si>
  <si>
    <t>[Description of Goods]</t>
  </si>
  <si>
    <t>PKGS</t>
  </si>
  <si>
    <t xml:space="preserve">Number of packages: </t>
  </si>
  <si>
    <t>Signed by</t>
    <phoneticPr fontId="0" type="noConversion"/>
  </si>
  <si>
    <t>SI.
No.</t>
    <phoneticPr fontId="0" type="noConversion"/>
  </si>
  <si>
    <t>Package No.</t>
    <phoneticPr fontId="0" type="noConversion"/>
  </si>
  <si>
    <t>Stranded Bare Copper Conductor 240 sq.mm
(C-240)</t>
  </si>
  <si>
    <t>m</t>
  </si>
  <si>
    <t>PVC Insulated Copper Conductor (Yellow and Green) - 240 sq.mm (CV 240,  0.6/1kV)</t>
  </si>
  <si>
    <t>PVC Insulated Copper Conductor (Yellow and Green) - 150 sq.mm (CV 150,  0.6/1kV)</t>
  </si>
  <si>
    <t>PVC Insulated Copper Conductor (Yellow and Green) - 95 sq.mm (CV 95,  0.6/1kV)</t>
  </si>
  <si>
    <t>Pure copper earth rod Φ18x3m, external thread both sides, factory tolerance.
 + Driving heads, internal thread for rod Φ18 (Black steel).
 + Driving tip, internal thread for rod Φ18 (Black steel).</t>
  </si>
  <si>
    <t>pcs</t>
  </si>
  <si>
    <t>PACKING LIST(1/2)</t>
    <phoneticPr fontId="0" type="noConversion"/>
  </si>
  <si>
    <t>P/L No.</t>
  </si>
  <si>
    <t>NET
WEIGHT
(KG)</t>
    <phoneticPr fontId="0" type="noConversion"/>
  </si>
  <si>
    <t>GROSS WEIGHT
(KG)</t>
    <phoneticPr fontId="0" type="noConversion"/>
  </si>
  <si>
    <t>MEASUREMENT
(CBM)</t>
    <phoneticPr fontId="0" type="noConversion"/>
  </si>
  <si>
    <t>PLANT/ EQUIPMENT AND MATERIALS FOR 
O MON IV THERMAL POWER PLANT</t>
    <phoneticPr fontId="22" type="noConversion"/>
  </si>
  <si>
    <t>Package</t>
  </si>
  <si>
    <t>TOTAL</t>
    <phoneticPr fontId="0" type="noConversion"/>
  </si>
  <si>
    <t>PACKING LIST(2/2)</t>
    <phoneticPr fontId="0" type="noConversion"/>
  </si>
  <si>
    <t xml:space="preserve">P/L No. </t>
    <phoneticPr fontId="0" type="noConversion"/>
  </si>
  <si>
    <t>Dated</t>
    <phoneticPr fontId="0" type="noConversion"/>
  </si>
  <si>
    <t>*  Storage Classification</t>
    <phoneticPr fontId="0" type="noConversion"/>
  </si>
  <si>
    <t>**  Plant/Equipment/Materials for</t>
    <phoneticPr fontId="0" type="noConversion"/>
  </si>
  <si>
    <t>Project</t>
    <phoneticPr fontId="0" type="noConversion"/>
  </si>
  <si>
    <t>"A"</t>
    <phoneticPr fontId="0" type="noConversion"/>
  </si>
  <si>
    <t>: Indoor with Air conditioning</t>
    <phoneticPr fontId="0" type="noConversion"/>
  </si>
  <si>
    <t>BLR</t>
    <phoneticPr fontId="0" type="noConversion"/>
  </si>
  <si>
    <t>TBN</t>
    <phoneticPr fontId="0" type="noConversion"/>
  </si>
  <si>
    <t>GEN</t>
    <phoneticPr fontId="0" type="noConversion"/>
  </si>
  <si>
    <t>BOP</t>
    <phoneticPr fontId="0" type="noConversion"/>
  </si>
  <si>
    <t>"B"</t>
    <phoneticPr fontId="0" type="noConversion"/>
  </si>
  <si>
    <t>: Indoor without Air conditioning</t>
    <phoneticPr fontId="0" type="noConversion"/>
  </si>
  <si>
    <t>Unit 1</t>
    <phoneticPr fontId="0" type="noConversion"/>
  </si>
  <si>
    <t>B1</t>
    <phoneticPr fontId="0" type="noConversion"/>
  </si>
  <si>
    <t>T1</t>
    <phoneticPr fontId="0" type="noConversion"/>
  </si>
  <si>
    <t>G1</t>
    <phoneticPr fontId="0" type="noConversion"/>
  </si>
  <si>
    <t>P2</t>
  </si>
  <si>
    <t>"C"</t>
    <phoneticPr fontId="0" type="noConversion"/>
  </si>
  <si>
    <t>: Hazardous Material</t>
    <phoneticPr fontId="0" type="noConversion"/>
  </si>
  <si>
    <t>Unit 2</t>
    <phoneticPr fontId="0" type="noConversion"/>
  </si>
  <si>
    <t>B2</t>
    <phoneticPr fontId="0" type="noConversion"/>
  </si>
  <si>
    <t>T2</t>
    <phoneticPr fontId="0" type="noConversion"/>
  </si>
  <si>
    <t>G2</t>
    <phoneticPr fontId="0" type="noConversion"/>
  </si>
  <si>
    <t>P2</t>
    <phoneticPr fontId="0" type="noConversion"/>
  </si>
  <si>
    <t>"D"</t>
    <phoneticPr fontId="0" type="noConversion"/>
  </si>
  <si>
    <t>: Outdoor with waterproofing</t>
    <phoneticPr fontId="0" type="noConversion"/>
  </si>
  <si>
    <t>Common</t>
    <phoneticPr fontId="0" type="noConversion"/>
  </si>
  <si>
    <t>B0</t>
    <phoneticPr fontId="0" type="noConversion"/>
  </si>
  <si>
    <t>T0</t>
    <phoneticPr fontId="0" type="noConversion"/>
  </si>
  <si>
    <t>G0</t>
    <phoneticPr fontId="0" type="noConversion"/>
  </si>
  <si>
    <t>P0</t>
    <phoneticPr fontId="0" type="noConversion"/>
  </si>
  <si>
    <t>"E"</t>
    <phoneticPr fontId="0" type="noConversion"/>
  </si>
  <si>
    <t>: Outdoor without waterproofing</t>
    <phoneticPr fontId="0" type="noConversion"/>
  </si>
  <si>
    <t>Description of Goods</t>
    <phoneticPr fontId="0" type="noConversion"/>
  </si>
  <si>
    <t>Position in price schedule</t>
  </si>
  <si>
    <t>Quantity</t>
    <phoneticPr fontId="0" type="noConversion"/>
  </si>
  <si>
    <t>Package Type</t>
    <phoneticPr fontId="0" type="noConversion"/>
  </si>
  <si>
    <t>Net Weight
(kg)</t>
    <phoneticPr fontId="0" type="noConversion"/>
  </si>
  <si>
    <t>Gross Weight
(kg)</t>
    <phoneticPr fontId="0" type="noConversion"/>
  </si>
  <si>
    <t>Hazardous Material</t>
    <phoneticPr fontId="0" type="noConversion"/>
  </si>
  <si>
    <t>Storage Classification
(*)</t>
    <phoneticPr fontId="0" type="noConversion"/>
  </si>
  <si>
    <t>Remark
(**)</t>
    <phoneticPr fontId="0" type="noConversion"/>
  </si>
  <si>
    <t>Nos</t>
    <phoneticPr fontId="0" type="noConversion"/>
  </si>
  <si>
    <t>Unit</t>
    <phoneticPr fontId="0" type="noConversion"/>
  </si>
  <si>
    <t>Length
(cm)</t>
    <phoneticPr fontId="0" type="noConversion"/>
  </si>
  <si>
    <t>Width
(cm)</t>
    <phoneticPr fontId="0" type="noConversion"/>
  </si>
  <si>
    <t>Height
(cm)</t>
    <phoneticPr fontId="0" type="noConversion"/>
  </si>
  <si>
    <t>Volume
(cbm)</t>
    <phoneticPr fontId="0" type="noConversion"/>
  </si>
  <si>
    <t>Roll</t>
  </si>
  <si>
    <t>E</t>
  </si>
  <si>
    <t>C-240</t>
  </si>
  <si>
    <t>CV 240,  0.6/1kV</t>
  </si>
  <si>
    <t>CV 150,  0.6/1kV</t>
  </si>
  <si>
    <t>CV 95,  0.6/1kV</t>
  </si>
  <si>
    <t>Budle</t>
  </si>
  <si>
    <t>VA-CTD-1830</t>
  </si>
  <si>
    <t>VA-HKT</t>
  </si>
  <si>
    <t>Box</t>
  </si>
  <si>
    <t>Grand Total</t>
    <phoneticPr fontId="0" type="noConversion"/>
  </si>
  <si>
    <t>DETAILED PACKING LIST</t>
    <phoneticPr fontId="0" type="noConversion"/>
  </si>
  <si>
    <t>PL No.</t>
    <phoneticPr fontId="0" type="noConversion"/>
  </si>
  <si>
    <t>Referenced DWG No.</t>
    <phoneticPr fontId="0" type="noConversion"/>
  </si>
  <si>
    <t>047.26. X021</t>
  </si>
  <si>
    <t>C/O of Goods</t>
    <phoneticPr fontId="0" type="noConversion"/>
  </si>
  <si>
    <t>kg</t>
  </si>
  <si>
    <t>Measurement</t>
    <phoneticPr fontId="0" type="noConversion"/>
  </si>
  <si>
    <t>Length
(mm)</t>
  </si>
  <si>
    <t>Width
(mm)</t>
  </si>
  <si>
    <t>Height
(mm)</t>
  </si>
  <si>
    <t>Volume
(cbm)</t>
  </si>
  <si>
    <t>Grand-Total</t>
    <phoneticPr fontId="0" type="noConversion"/>
  </si>
  <si>
    <t>SHIPPING MARK</t>
    <phoneticPr fontId="0" type="noConversion"/>
  </si>
  <si>
    <t xml:space="preserve">O MON IV THERMAL POWER PLANT </t>
  </si>
  <si>
    <t xml:space="preserve">                             SHIPPER  </t>
    <phoneticPr fontId="0" type="noConversion"/>
  </si>
  <si>
    <t>:</t>
  </si>
  <si>
    <t xml:space="preserve">                            ADDRESS</t>
    <phoneticPr fontId="0" type="noConversion"/>
  </si>
  <si>
    <t xml:space="preserve">                        CONSIGNEE</t>
    <phoneticPr fontId="0" type="noConversion"/>
  </si>
  <si>
    <t>As per the Contractor(Scope of Consortium)</t>
    <phoneticPr fontId="22" type="noConversion"/>
  </si>
  <si>
    <t xml:space="preserve">                    NOTIFY PARTY</t>
    <phoneticPr fontId="0" type="noConversion"/>
  </si>
  <si>
    <t>:</t>
    <phoneticPr fontId="0" type="noConversion"/>
  </si>
  <si>
    <t xml:space="preserve">                   CONTRACT NO.</t>
    <phoneticPr fontId="0" type="noConversion"/>
  </si>
  <si>
    <t>06/2025/HĐ-PVN/OM4-06</t>
    <phoneticPr fontId="22" type="noConversion"/>
  </si>
  <si>
    <t xml:space="preserve">                   SHIPMENT NO.</t>
    <phoneticPr fontId="0" type="noConversion"/>
  </si>
  <si>
    <t>Following shipment numbering</t>
    <phoneticPr fontId="22" type="noConversion"/>
  </si>
  <si>
    <t xml:space="preserve">EQUIPMENT DESCRIPTION </t>
    <phoneticPr fontId="0" type="noConversion"/>
  </si>
  <si>
    <t xml:space="preserve">                     CONSIGNOR.
            </t>
    <phoneticPr fontId="0" type="noConversion"/>
  </si>
  <si>
    <t xml:space="preserve">                     PACKAGE NO.
            </t>
    <phoneticPr fontId="0" type="noConversion"/>
  </si>
  <si>
    <t xml:space="preserve">                      NET WEIGHT
</t>
    <phoneticPr fontId="0" type="noConversion"/>
  </si>
  <si>
    <t>KG</t>
    <phoneticPr fontId="0" type="noConversion"/>
  </si>
  <si>
    <t xml:space="preserve">                 GROSS WEIGHT
</t>
    <phoneticPr fontId="0" type="noConversion"/>
  </si>
  <si>
    <t xml:space="preserve">                       -	MEASUREMENT
</t>
    <phoneticPr fontId="0" type="noConversion"/>
  </si>
  <si>
    <t>cm(L) X</t>
    <phoneticPr fontId="0" type="noConversion"/>
  </si>
  <si>
    <t>cm (W) X</t>
    <phoneticPr fontId="0" type="noConversion"/>
  </si>
  <si>
    <t>cm (H)</t>
    <phoneticPr fontId="0" type="noConversion"/>
  </si>
  <si>
    <t>CBM</t>
    <phoneticPr fontId="0" type="noConversion"/>
  </si>
  <si>
    <t xml:space="preserve">                  LOADING PORT
</t>
    <phoneticPr fontId="0" type="noConversion"/>
  </si>
  <si>
    <t xml:space="preserve">    PORT OF DESTINATION
                       </t>
    <phoneticPr fontId="0" type="noConversion"/>
  </si>
  <si>
    <t xml:space="preserve">         COUNTRY OF ORIGIN</t>
    <phoneticPr fontId="0" type="noConversion"/>
  </si>
  <si>
    <t xml:space="preserve">                              QUALITY</t>
    <phoneticPr fontId="0" type="noConversion"/>
  </si>
  <si>
    <t>100% BRAND NEW</t>
    <phoneticPr fontId="0" type="noConversion"/>
  </si>
  <si>
    <r>
      <t xml:space="preserve">- In the B/L Form, </t>
    </r>
    <r>
      <rPr>
        <b/>
        <sz val="11"/>
        <color rgb="FFFF0000"/>
        <rFont val="돋움"/>
        <family val="3"/>
        <charset val="129"/>
      </rPr>
      <t>"Freight Prepaid"</t>
    </r>
    <r>
      <rPr>
        <sz val="11"/>
        <color rgb="FFFF0000"/>
        <rFont val="돋움"/>
        <family val="3"/>
        <charset val="129"/>
      </rPr>
      <t xml:space="preserve"> must be used according to the signed EPC regulations, "Freight payable" cannot be used as the form we are drafting.
- According to EPC, the Contractor is required to bear the risks and losses until handover, and must insure all goods during transportation, so remove the content of the complicated limitation regulations below in the B/L Form.</t>
    </r>
  </si>
  <si>
    <t>Supplier / Manufacturer</t>
  </si>
  <si>
    <t>06/2025/HĐ-PVN/OM4-06</t>
  </si>
  <si>
    <t>June 6th, 2025</t>
  </si>
  <si>
    <t>Measurement</t>
  </si>
  <si>
    <t>V.13</t>
  </si>
  <si>
    <t>Tag No</t>
  </si>
  <si>
    <t>Tag No./Model</t>
  </si>
  <si>
    <r>
      <t xml:space="preserve">Power Engineering Consulting Joint Stock Company 2
</t>
    </r>
    <r>
      <rPr>
        <sz val="10"/>
        <rFont val="Times New Roman"/>
        <family val="1"/>
      </rPr>
      <t>32 Ngo Thoi Nhiem Street, Xuan Hoa Ward, Ho Chi Minh City</t>
    </r>
    <r>
      <rPr>
        <b/>
        <sz val="10"/>
        <rFont val="Times New Roman"/>
        <family val="1"/>
      </rPr>
      <t xml:space="preserve">, </t>
    </r>
    <r>
      <rPr>
        <sz val="10"/>
        <rFont val="Times New Roman"/>
        <family val="1"/>
      </rPr>
      <t>Vietnam</t>
    </r>
  </si>
  <si>
    <t>PECC2 Innovation Hub, 45 Street No.2, Truong Tho Ward, 
Thu Duc City, HCMC, Vietnam
Tel: +84-28-2221 6468 | Fax: +84-28-2221 0408</t>
    <phoneticPr fontId="30" type="noConversion"/>
  </si>
  <si>
    <t>PECC2 Innovation Hub, 45 Street No.2, Truong Tho Ward, Thu Duc City, HCMC, Vietnam
Tel: +84-28-2221 6468 | Fax: +84-28-2221 0408</t>
  </si>
  <si>
    <t>Vietnam</t>
  </si>
  <si>
    <t>Truong Nam Hai</t>
  </si>
  <si>
    <t>B</t>
  </si>
  <si>
    <t>BILL OF LADING/ AIRWAY BILL NO.:</t>
  </si>
  <si>
    <t>I.1</t>
  </si>
  <si>
    <t>I.2</t>
  </si>
  <si>
    <t>I.3</t>
  </si>
  <si>
    <t>I.4</t>
  </si>
  <si>
    <t>I.5</t>
  </si>
  <si>
    <t>I.6</t>
  </si>
  <si>
    <t>I.7</t>
  </si>
  <si>
    <t>I.8</t>
  </si>
  <si>
    <t>I.9</t>
  </si>
  <si>
    <t>I.10</t>
  </si>
  <si>
    <t>OM4-P2-LS-0002</t>
  </si>
  <si>
    <t>OM4-P2-LS-0002-001</t>
  </si>
  <si>
    <t>OM4-P2-LS-0002-002</t>
  </si>
  <si>
    <t>OM4-P2-LS-0002-003</t>
  </si>
  <si>
    <t>OM4-P2-LS-0002-004</t>
  </si>
  <si>
    <t>OM4-P2-LS-0002-005</t>
  </si>
  <si>
    <t>OM4-P2-LS-0002-006</t>
  </si>
  <si>
    <t>OM4-P2-LS-0002-007</t>
  </si>
  <si>
    <t>OM4-P2-LS-0002-008</t>
  </si>
  <si>
    <t>OM4-P2-LS-0002-009</t>
  </si>
  <si>
    <t>OM4-P2-LS-0002-010</t>
  </si>
  <si>
    <t>OM4-P2-LS-0002-011</t>
  </si>
  <si>
    <t>OM4-P2-LS-0002-012</t>
  </si>
  <si>
    <t>OM4-P2-LS-0002-013</t>
  </si>
  <si>
    <t>OM4-P2-LS-0002-014</t>
  </si>
  <si>
    <t>OM4-P2-LS-0002-015</t>
  </si>
  <si>
    <t>OM4-P2-LS-0002-016</t>
  </si>
  <si>
    <t>OM4-P2-LS-0002-017</t>
  </si>
  <si>
    <t>OM4-P2-LS-0002-018</t>
  </si>
  <si>
    <t>OM4-P2-LS-0002-019</t>
  </si>
  <si>
    <t>OM4-P2-LS-0002-020</t>
  </si>
  <si>
    <t>OM4-P2-LS-0002-021</t>
  </si>
  <si>
    <t>OM4-P2-LS-0002-022</t>
  </si>
  <si>
    <t>OM4-P2-LS-0002-023</t>
  </si>
  <si>
    <t>OM4-P2-LS-0002-024</t>
  </si>
  <si>
    <t>OM4-P2-LS-0002-025</t>
  </si>
  <si>
    <t>OM4-P2-LS-0002-026</t>
  </si>
  <si>
    <t>OM4-P2-LS-0002-027</t>
  </si>
  <si>
    <t>OM4-P2-LS-0002-028</t>
  </si>
  <si>
    <t>OM4-P2-LS-0002-029</t>
  </si>
  <si>
    <t>OM4-P2-LS-0002-030</t>
  </si>
  <si>
    <t>OM4-P2-LS-0002-031</t>
  </si>
  <si>
    <t>OM4-P2-LS-0002-032</t>
  </si>
  <si>
    <t>OM4-P2-LS-0002-033</t>
  </si>
  <si>
    <t>OM4-P2-LS-0002-034</t>
  </si>
  <si>
    <t>OM4-P2-LS-0002-035</t>
  </si>
  <si>
    <t>OM4-P2-LS-0002-036</t>
  </si>
  <si>
    <t>OM4-P2-LS-0002-037</t>
  </si>
  <si>
    <t>OM4-P2-LS-0002-038</t>
  </si>
  <si>
    <t>OM4-P2-LS-0002-039</t>
  </si>
  <si>
    <t>OM4-P2-LS-0002-040</t>
  </si>
  <si>
    <t>OM4-P2-LS-0002-041</t>
  </si>
  <si>
    <t>OM4-P2-LS-0002-042</t>
  </si>
  <si>
    <t>OM4-P2-LS-0002-043</t>
  </si>
  <si>
    <t>OM4-P2-LS-0002-044</t>
  </si>
  <si>
    <t>OM4-P2-LS-0002-045</t>
  </si>
  <si>
    <t>Earthing Material and accessories (2 nd shipment)</t>
  </si>
  <si>
    <r>
      <t xml:space="preserve">Position in 
price 
schedule
</t>
    </r>
    <r>
      <rPr>
        <b/>
        <i/>
        <sz val="12"/>
        <color rgb="FFFF0000"/>
        <rFont val="Times New Roman"/>
        <family val="1"/>
      </rPr>
      <t>of PECC2 and Supplier
(to hide when print out)</t>
    </r>
  </si>
  <si>
    <t>Factory Director</t>
  </si>
  <si>
    <t>June 10th, 2026</t>
  </si>
  <si>
    <t>CC4-D-240240</t>
  </si>
  <si>
    <t xml:space="preserve"> #250</t>
  </si>
  <si>
    <t>CC2-D-240150</t>
  </si>
  <si>
    <t xml:space="preserve"> #200</t>
  </si>
  <si>
    <t xml:space="preserve">CC2-D-24095 </t>
  </si>
  <si>
    <t xml:space="preserve"> #150</t>
  </si>
  <si>
    <t xml:space="preserve">CC2-C-24035 </t>
  </si>
  <si>
    <t xml:space="preserve"> #90</t>
  </si>
  <si>
    <t xml:space="preserve">CC2-C-24016   </t>
  </si>
  <si>
    <t xml:space="preserve">CR1-D-18240 </t>
  </si>
  <si>
    <t xml:space="preserve">   #200</t>
  </si>
  <si>
    <t>Welding mold D type (Horizontal cable 240 to rod Φ18 connection include: hand clamp, flint igniter, PVC &amp; Steel brush).</t>
  </si>
  <si>
    <t>Welding mold C type (T connection cable 240 &amp; cable 16 include: hand clamp, flint igniter, PVC &amp; Steel brush).</t>
  </si>
  <si>
    <t>Welding mold C type (T connection cable 240 &amp; cable 35 include: hand clamp, flint igniter, PVC &amp; Steel brush).</t>
  </si>
  <si>
    <t>Welding mold D type (T connection cable 240 &amp; cable 95 include: hand clamp, flint igniter, PVC &amp; Steel brush).</t>
  </si>
  <si>
    <t>Welding mold D type (T connection cable 240 &amp; cable 150 include: hand clamp, flint igniter, PVC &amp; Steel brush).</t>
  </si>
  <si>
    <t>Welding mold D type (Cross connection cable 240x240 include: hand clamp, flint igniter, PVC &amp; Steel brush).</t>
  </si>
  <si>
    <t>Position in 
price 
schedule</t>
  </si>
  <si>
    <t xml:space="preserve"> + Welding powder 250g/tube (include: Steel disk, starting powder).
Using 2 tubes of 250g welding powder for each CC4-D-240240 cross-type welding joint/Vietnam</t>
  </si>
  <si>
    <t xml:space="preserve"> + Welding powder 200g/tube (include: Steel disk, starting powder).
Using 1 tube of 200gram welding powder for each CC2-D-240150 T-type  welding joint/Vietnam</t>
  </si>
  <si>
    <t xml:space="preserve"> '+ Welding powder 150g/tube (include: Steel disk, starting powder).
Using 1 tube of 150gram welding powder for each CC2-D-24095 T-type  welding joint/Vietnam</t>
  </si>
  <si>
    <t xml:space="preserve"> + Welding powder 90g/tube (include: Steel disk, starting powder).
Using 1 tube of 90gram welding powder for each CC2-D-24035 T-type  welding joint/Vietnam</t>
  </si>
  <si>
    <t xml:space="preserve"> '+ Welding powder 90g/tube (include: Steel disk, starting powder).
Using 1 tube of 90gram welding powder for each CC2-D-24016 T-type  welding joint/Vietnam</t>
  </si>
  <si>
    <t>+ Welding powder 200g/tube (include: Steel disk, starting powder).
Using 1 tube of 200gram welding powder for each CR1-D-18240 240 sq.mm to Φ18 ground rod welding joint/Vietnam</t>
  </si>
  <si>
    <t>Concrete eath pit (Dim: 310x310x170mm)
 + Copper earth bar 5 connection points Φ12, Dim: 50x5x300 c/w: SS304 bolds, nuts, spring &amp; flat washers M12x40.</t>
  </si>
  <si>
    <t xml:space="preserve"> + Welding powder 150g/tube (include: Steel disk, starting powder).
Using 1 tube of 150gram welding powder for each CC2-D-24095 T-type  welding joint/Vietnam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</si>
</sst>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1" formatCode="_-* #,##0_-;\-* #,##0_-;_-* &quot;-&quot;_-;_-@_-"/>
    <numFmt numFmtId="164" formatCode="_(* #,##0.00_);_(* \(#,##0.00\);_(* &quot;-&quot;??_);_(@_)"/>
    <numFmt numFmtId="165" formatCode="_-* #,##0.00_-;\-* #,##0.00_-;_-* &quot;-&quot;_-;_-@_-"/>
    <numFmt numFmtId="166" formatCode="_-* #,##0.000_-;\-* #,##0.000_-;_-* &quot;-&quot;???_-;_-@_-"/>
    <numFmt numFmtId="167" formatCode="#,##0.000_);[Red]\(#,##0.000\)"/>
    <numFmt numFmtId="168" formatCode="_-* #,##0.0_-;\-* #,##0.0_-;_-* &quot;-&quot;_-;_-@_-"/>
    <numFmt numFmtId="169" formatCode="0.00_);[Red]\(0.00\)"/>
    <numFmt numFmtId="170" formatCode="&quot;#&quot;\ 00"/>
    <numFmt numFmtId="171" formatCode="&quot;#&quot;00"/>
    <numFmt numFmtId="172" formatCode="0_);[Red]\(0\)"/>
    <numFmt numFmtId="173" formatCode="_(* #,##0_);_(* \(#,##0\);_(* &quot;-&quot;??_);_(@_)"/>
    <numFmt numFmtId="174" formatCode="_-* #,##0.00\ _₫_-;\-* #,##0.00\ _₫_-;_-* &quot;-&quot;??\ _₫_-;_-@_-"/>
  </numFmts>
  <fonts count="51" x14ac:knownFonts="1">
    <font>
      <sz val="11"/>
      <name val="돋움"/>
      <family val="3"/>
      <charset val="129"/>
    </font>
    <font>
      <sz val="11"/>
      <name val="돋움"/>
      <family val="3"/>
      <charset val="129"/>
    </font>
    <font>
      <sz val="10"/>
      <name val="Arial"/>
      <family val="2"/>
    </font>
    <font>
      <b/>
      <sz val="10"/>
      <name val="Arial"/>
      <family val="2"/>
    </font>
    <font>
      <b/>
      <sz val="16"/>
      <name val="Arial"/>
      <family val="2"/>
    </font>
    <font>
      <sz val="12"/>
      <name val="바탕체"/>
      <family val="1"/>
      <charset val="129"/>
    </font>
    <font>
      <sz val="10"/>
      <name val="Calibri"/>
      <family val="2"/>
    </font>
    <font>
      <b/>
      <sz val="10"/>
      <name val="Calibri"/>
      <family val="2"/>
    </font>
    <font>
      <sz val="11"/>
      <name val="Arial"/>
      <family val="2"/>
    </font>
    <font>
      <b/>
      <sz val="16"/>
      <name val="Calibri"/>
      <family val="2"/>
    </font>
    <font>
      <sz val="11"/>
      <name val="Arial"/>
      <family val="3"/>
      <charset val="129"/>
      <scheme val="minor"/>
    </font>
    <font>
      <sz val="11"/>
      <name val="Calibri"/>
      <family val="2"/>
    </font>
    <font>
      <sz val="10"/>
      <name val="Arial"/>
      <family val="3"/>
      <charset val="129"/>
      <scheme val="minor"/>
    </font>
    <font>
      <b/>
      <sz val="10"/>
      <name val="Arial"/>
      <family val="2"/>
      <scheme val="minor"/>
    </font>
    <font>
      <sz val="11"/>
      <color indexed="8"/>
      <name val="맑은 고딕"/>
      <family val="3"/>
      <charset val="129"/>
    </font>
    <font>
      <b/>
      <u/>
      <sz val="36"/>
      <name val="Calibri"/>
      <family val="2"/>
    </font>
    <font>
      <sz val="18"/>
      <name val="Calibri"/>
      <family val="2"/>
    </font>
    <font>
      <b/>
      <sz val="20"/>
      <name val="Calibri"/>
      <family val="2"/>
    </font>
    <font>
      <b/>
      <sz val="18"/>
      <name val="Calibri"/>
      <family val="2"/>
    </font>
    <font>
      <sz val="10"/>
      <name val="굴림"/>
      <family val="3"/>
      <charset val="129"/>
    </font>
    <font>
      <sz val="11"/>
      <color rgb="FFFF0000"/>
      <name val="돋움"/>
      <family val="3"/>
      <charset val="129"/>
    </font>
    <font>
      <b/>
      <sz val="11"/>
      <color rgb="FFFF0000"/>
      <name val="돋움"/>
      <family val="3"/>
      <charset val="129"/>
    </font>
    <font>
      <sz val="8"/>
      <name val="돋움"/>
      <family val="3"/>
      <charset val="129"/>
    </font>
    <font>
      <sz val="18"/>
      <color rgb="FFFF0000"/>
      <name val="Calibri"/>
      <family val="2"/>
    </font>
    <font>
      <i/>
      <sz val="20"/>
      <color rgb="FFFF0000"/>
      <name val="Calibri"/>
      <family val="2"/>
    </font>
    <font>
      <i/>
      <sz val="20"/>
      <name val="돋움"/>
      <family val="3"/>
      <charset val="129"/>
    </font>
    <font>
      <sz val="12"/>
      <name val="Times New Roman"/>
      <family val="1"/>
    </font>
    <font>
      <b/>
      <sz val="12"/>
      <name val="Times New Roman"/>
      <family val="1"/>
    </font>
    <font>
      <sz val="11"/>
      <name val="돋움"/>
      <charset val="129"/>
    </font>
    <font>
      <b/>
      <sz val="16"/>
      <name val="Times New Roman"/>
      <family val="1"/>
    </font>
    <font>
      <sz val="14"/>
      <name val="Times New Roman"/>
      <family val="1"/>
    </font>
    <font>
      <b/>
      <sz val="14"/>
      <name val="Times New Roman"/>
      <family val="1"/>
    </font>
    <font>
      <b/>
      <sz val="18"/>
      <name val="Times New Roman"/>
      <family val="1"/>
    </font>
    <font>
      <b/>
      <sz val="20"/>
      <name val="Times New Roman"/>
      <family val="1"/>
    </font>
    <font>
      <sz val="10"/>
      <name val="Times New Roman"/>
      <family val="1"/>
    </font>
    <font>
      <sz val="11"/>
      <color theme="1"/>
      <name val="Arial"/>
      <family val="3"/>
      <charset val="129"/>
      <scheme val="minor"/>
    </font>
    <font>
      <sz val="11"/>
      <name val="돋움"/>
      <family val="2"/>
    </font>
    <font>
      <b/>
      <sz val="12"/>
      <color theme="1"/>
      <name val="Times New Roman"/>
      <family val="1"/>
    </font>
    <font>
      <b/>
      <sz val="10"/>
      <name val="Times New Roman"/>
      <family val="1"/>
    </font>
    <font>
      <b/>
      <sz val="11"/>
      <color theme="1"/>
      <name val="Times New Roman"/>
      <family val="1"/>
    </font>
    <font>
      <i/>
      <sz val="14"/>
      <color rgb="FFFF0000"/>
      <name val="Times New Roman"/>
      <family val="1"/>
    </font>
    <font>
      <sz val="11"/>
      <name val="Times New Roman"/>
      <family val="1"/>
    </font>
    <font>
      <sz val="10"/>
      <color rgb="FFFF0000"/>
      <name val="Times New Roman"/>
      <family val="1"/>
    </font>
    <font>
      <sz val="9"/>
      <name val="Times New Roman"/>
      <family val="1"/>
    </font>
    <font>
      <b/>
      <u/>
      <sz val="16"/>
      <name val="Times New Roman"/>
      <family val="1"/>
    </font>
    <font>
      <strike/>
      <sz val="10"/>
      <name val="Times New Roman"/>
      <family val="1"/>
    </font>
    <font>
      <b/>
      <sz val="11"/>
      <name val="Times New Roman"/>
      <family val="1"/>
    </font>
    <font>
      <sz val="8"/>
      <name val="Arial"/>
      <family val="2"/>
    </font>
    <font>
      <sz val="10"/>
      <name val="Arial"/>
      <family val="2"/>
      <scheme val="minor"/>
    </font>
    <font>
      <sz val="12"/>
      <color rgb="FFFF0000"/>
      <name val="Times New Roman"/>
      <family val="1"/>
    </font>
    <font>
      <b/>
      <i/>
      <sz val="12"/>
      <color rgb="FFFF0000"/>
      <name val="Times New Roman"/>
      <family val="1"/>
    </font>
  </fonts>
  <fills count="3">
    <fill>
      <patternFill patternType="none"/>
    </fill>
    <fill>
      <patternFill patternType="gray125"/>
    </fill>
    <fill>
      <patternFill patternType="solid">
        <fgColor rgb="FFFFFF00"/>
        <bgColor indexed="64"/>
      </patternFill>
    </fill>
  </fills>
  <borders count="38">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right style="medium">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medium">
        <color indexed="64"/>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double">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double">
        <color indexed="64"/>
      </left>
      <right/>
      <top/>
      <bottom style="double">
        <color indexed="64"/>
      </bottom>
      <diagonal/>
    </border>
    <border>
      <left/>
      <right style="double">
        <color indexed="64"/>
      </right>
      <top/>
      <bottom style="double">
        <color indexed="64"/>
      </bottom>
      <diagonal/>
    </border>
    <border>
      <left/>
      <right/>
      <top style="thin">
        <color indexed="64"/>
      </top>
      <bottom style="medium">
        <color indexed="64"/>
      </bottom>
      <diagonal/>
    </border>
  </borders>
  <cellStyleXfs count="19">
    <xf numFmtId="0" fontId="0" fillId="0" borderId="0">
      <alignment vertical="center"/>
    </xf>
    <xf numFmtId="41" fontId="1" fillId="0" borderId="0" applyFont="0" applyFill="0" applyBorder="0" applyAlignment="0" applyProtection="0">
      <alignment vertical="center"/>
    </xf>
    <xf numFmtId="0" fontId="1" fillId="0" borderId="0">
      <alignment vertical="center"/>
    </xf>
    <xf numFmtId="37" fontId="5" fillId="0" borderId="0"/>
    <xf numFmtId="0" fontId="14" fillId="0" borderId="0">
      <alignment vertical="center"/>
    </xf>
    <xf numFmtId="41" fontId="1" fillId="0" borderId="0" applyFont="0" applyFill="0" applyBorder="0" applyAlignment="0" applyProtection="0"/>
    <xf numFmtId="0" fontId="1" fillId="0" borderId="0">
      <alignment vertical="center"/>
    </xf>
    <xf numFmtId="0" fontId="19" fillId="0" borderId="0">
      <alignment vertical="center"/>
    </xf>
    <xf numFmtId="0" fontId="1" fillId="0" borderId="0">
      <alignment vertical="center"/>
    </xf>
    <xf numFmtId="164" fontId="1" fillId="0" borderId="0" applyFont="0" applyFill="0" applyBorder="0" applyAlignment="0" applyProtection="0"/>
    <xf numFmtId="164" fontId="26" fillId="0" borderId="0" applyFont="0" applyFill="0" applyBorder="0" applyAlignment="0" applyProtection="0"/>
    <xf numFmtId="0" fontId="28" fillId="0" borderId="0"/>
    <xf numFmtId="0" fontId="35" fillId="0" borderId="0">
      <alignment vertical="center"/>
    </xf>
    <xf numFmtId="0" fontId="35" fillId="0" borderId="0">
      <alignment vertical="center"/>
    </xf>
    <xf numFmtId="41" fontId="1" fillId="0" borderId="0" applyFont="0" applyFill="0" applyBorder="0" applyAlignment="0" applyProtection="0"/>
    <xf numFmtId="0" fontId="1" fillId="0" borderId="0"/>
    <xf numFmtId="0" fontId="1" fillId="0" borderId="0">
      <alignment vertical="center"/>
    </xf>
    <xf numFmtId="174" fontId="1" fillId="0" borderId="0" applyFont="0" applyFill="0" applyBorder="0" applyAlignment="0" applyProtection="0"/>
    <xf numFmtId="0" fontId="36" fillId="0" borderId="0">
      <alignment vertical="center"/>
    </xf>
  </cellStyleXfs>
  <cellXfs count="329">
    <xf numFmtId="0" fontId="0" fillId="0" borderId="0" xfId="0">
      <alignment vertical="center"/>
    </xf>
    <xf numFmtId="41" fontId="2" fillId="0" borderId="0" xfId="1" applyFont="1" applyFill="1" applyBorder="1" applyAlignment="1">
      <alignment horizontal="center" vertical="center"/>
    </xf>
    <xf numFmtId="41" fontId="2" fillId="0" borderId="0" xfId="1" applyFont="1" applyFill="1" applyAlignment="1">
      <alignment vertical="center"/>
    </xf>
    <xf numFmtId="0" fontId="2" fillId="0" borderId="0" xfId="1" applyNumberFormat="1" applyFont="1" applyFill="1" applyAlignment="1">
      <alignment vertical="center"/>
    </xf>
    <xf numFmtId="0" fontId="6" fillId="0" borderId="0" xfId="1" applyNumberFormat="1" applyFont="1" applyFill="1" applyAlignment="1">
      <alignment vertical="center"/>
    </xf>
    <xf numFmtId="0" fontId="16" fillId="0" borderId="0" xfId="6" applyFont="1">
      <alignment vertical="center"/>
    </xf>
    <xf numFmtId="0" fontId="16" fillId="0" borderId="0" xfId="6" applyFont="1" applyAlignment="1">
      <alignment horizontal="center" vertical="center"/>
    </xf>
    <xf numFmtId="0" fontId="18" fillId="0" borderId="10" xfId="6" applyFont="1" applyBorder="1" applyAlignment="1">
      <alignment horizontal="center" vertical="top" wrapText="1"/>
    </xf>
    <xf numFmtId="0" fontId="16" fillId="0" borderId="0" xfId="6" applyFont="1" applyAlignment="1">
      <alignment horizontal="left" vertical="center" indent="2"/>
    </xf>
    <xf numFmtId="0" fontId="18" fillId="0" borderId="0" xfId="6" applyFont="1" applyAlignment="1">
      <alignment horizontal="center" vertical="top" wrapText="1"/>
    </xf>
    <xf numFmtId="0" fontId="16" fillId="0" borderId="0" xfId="6" applyFont="1" applyAlignment="1">
      <alignment horizontal="left" vertical="top" wrapText="1"/>
    </xf>
    <xf numFmtId="0" fontId="16" fillId="0" borderId="14" xfId="6" applyFont="1" applyBorder="1" applyAlignment="1">
      <alignment horizontal="left" vertical="top" wrapText="1"/>
    </xf>
    <xf numFmtId="0" fontId="18" fillId="0" borderId="0" xfId="6" applyFont="1" applyAlignment="1">
      <alignment horizontal="center" vertical="top"/>
    </xf>
    <xf numFmtId="0" fontId="16" fillId="0" borderId="0" xfId="6" applyFont="1" applyAlignment="1">
      <alignment vertical="top"/>
    </xf>
    <xf numFmtId="37" fontId="16" fillId="0" borderId="0" xfId="6" applyNumberFormat="1" applyFont="1" applyAlignment="1">
      <alignment horizontal="left" vertical="top"/>
    </xf>
    <xf numFmtId="14" fontId="16" fillId="0" borderId="0" xfId="6" applyNumberFormat="1" applyFont="1" applyAlignment="1">
      <alignment vertical="top"/>
    </xf>
    <xf numFmtId="0" fontId="16" fillId="0" borderId="14" xfId="6" applyFont="1" applyBorder="1" applyAlignment="1">
      <alignment vertical="top"/>
    </xf>
    <xf numFmtId="0" fontId="16" fillId="0" borderId="0" xfId="6" applyFont="1" applyAlignment="1">
      <alignment horizontal="left" vertical="top"/>
    </xf>
    <xf numFmtId="170" fontId="16" fillId="0" borderId="0" xfId="6" applyNumberFormat="1" applyFont="1" applyAlignment="1">
      <alignment horizontal="left" vertical="top"/>
    </xf>
    <xf numFmtId="171" fontId="16" fillId="0" borderId="0" xfId="6" applyNumberFormat="1" applyFont="1" applyAlignment="1">
      <alignment horizontal="left" vertical="center" indent="2"/>
    </xf>
    <xf numFmtId="168" fontId="16" fillId="0" borderId="0" xfId="1" applyNumberFormat="1" applyFont="1" applyFill="1" applyBorder="1" applyAlignment="1">
      <alignment vertical="top"/>
    </xf>
    <xf numFmtId="41" fontId="16" fillId="0" borderId="0" xfId="1" applyFont="1" applyFill="1" applyBorder="1" applyAlignment="1">
      <alignment horizontal="left" vertical="top"/>
    </xf>
    <xf numFmtId="41" fontId="16" fillId="0" borderId="0" xfId="1" applyFont="1" applyFill="1" applyBorder="1" applyAlignment="1">
      <alignment vertical="top"/>
    </xf>
    <xf numFmtId="172" fontId="16" fillId="0" borderId="14" xfId="6" applyNumberFormat="1" applyFont="1" applyBorder="1" applyAlignment="1">
      <alignment vertical="top"/>
    </xf>
    <xf numFmtId="49" fontId="16" fillId="0" borderId="0" xfId="1" applyNumberFormat="1" applyFont="1" applyFill="1" applyBorder="1" applyAlignment="1">
      <alignment horizontal="left" vertical="top"/>
    </xf>
    <xf numFmtId="165" fontId="16" fillId="0" borderId="0" xfId="1" applyNumberFormat="1" applyFont="1" applyFill="1" applyBorder="1" applyAlignment="1">
      <alignment vertical="top"/>
    </xf>
    <xf numFmtId="49" fontId="16" fillId="0" borderId="14" xfId="6" applyNumberFormat="1" applyFont="1" applyBorder="1" applyAlignment="1">
      <alignment horizontal="left" vertical="top"/>
    </xf>
    <xf numFmtId="0" fontId="16" fillId="0" borderId="0" xfId="1" applyNumberFormat="1" applyFont="1" applyFill="1" applyBorder="1" applyAlignment="1">
      <alignment vertical="top"/>
    </xf>
    <xf numFmtId="0" fontId="18" fillId="0" borderId="7" xfId="6" applyFont="1" applyBorder="1" applyAlignment="1">
      <alignment horizontal="center" vertical="top" wrapText="1"/>
    </xf>
    <xf numFmtId="0" fontId="16" fillId="0" borderId="7" xfId="7" applyFont="1" applyBorder="1" applyAlignment="1">
      <alignment vertical="top" wrapText="1"/>
    </xf>
    <xf numFmtId="0" fontId="16" fillId="0" borderId="20" xfId="7" applyFont="1" applyBorder="1" applyAlignment="1">
      <alignment vertical="top" wrapText="1"/>
    </xf>
    <xf numFmtId="0" fontId="20" fillId="0" borderId="0" xfId="0" quotePrefix="1" applyFont="1" applyAlignment="1">
      <alignment vertical="center" wrapText="1"/>
    </xf>
    <xf numFmtId="0" fontId="16" fillId="0" borderId="24" xfId="6" applyFont="1" applyBorder="1" applyAlignment="1">
      <alignment horizontal="right" vertical="top" wrapText="1" indent="1"/>
    </xf>
    <xf numFmtId="0" fontId="16" fillId="0" borderId="22" xfId="6" applyFont="1" applyBorder="1" applyAlignment="1">
      <alignment horizontal="right" vertical="top" wrapText="1" indent="1"/>
    </xf>
    <xf numFmtId="0" fontId="16" fillId="0" borderId="22" xfId="6" applyFont="1" applyBorder="1" applyAlignment="1">
      <alignment horizontal="right" vertical="top" indent="1"/>
    </xf>
    <xf numFmtId="0" fontId="16" fillId="0" borderId="21" xfId="6" applyFont="1" applyBorder="1" applyAlignment="1">
      <alignment horizontal="right" vertical="top" wrapText="1" indent="1"/>
    </xf>
    <xf numFmtId="0" fontId="23" fillId="0" borderId="7" xfId="7" applyFont="1" applyBorder="1" applyAlignment="1">
      <alignment horizontal="left" vertical="top"/>
    </xf>
    <xf numFmtId="0" fontId="17" fillId="0" borderId="0" xfId="6" applyFont="1" applyAlignment="1">
      <alignment vertical="top"/>
    </xf>
    <xf numFmtId="173" fontId="26" fillId="0" borderId="25" xfId="10" applyNumberFormat="1" applyFont="1" applyFill="1" applyBorder="1" applyAlignment="1">
      <alignment vertical="center"/>
    </xf>
    <xf numFmtId="0" fontId="34" fillId="0" borderId="0" xfId="0" applyFont="1">
      <alignment vertical="center"/>
    </xf>
    <xf numFmtId="0" fontId="34" fillId="0" borderId="0" xfId="0" applyFont="1" applyAlignment="1">
      <alignment horizontal="center" vertical="center"/>
    </xf>
    <xf numFmtId="173" fontId="26" fillId="0" borderId="25" xfId="10" applyNumberFormat="1" applyFont="1" applyFill="1" applyBorder="1" applyAlignment="1">
      <alignment horizontal="center" vertical="center"/>
    </xf>
    <xf numFmtId="0" fontId="34" fillId="0" borderId="11" xfId="0" applyFont="1" applyBorder="1">
      <alignment vertical="center"/>
    </xf>
    <xf numFmtId="0" fontId="34" fillId="0" borderId="10" xfId="0" applyFont="1" applyBorder="1">
      <alignment vertical="center"/>
    </xf>
    <xf numFmtId="0" fontId="34" fillId="0" borderId="7" xfId="0" applyFont="1" applyBorder="1">
      <alignment vertical="center"/>
    </xf>
    <xf numFmtId="41" fontId="34" fillId="0" borderId="0" xfId="0" applyNumberFormat="1" applyFont="1" applyAlignment="1">
      <alignment horizontal="center" vertical="center"/>
    </xf>
    <xf numFmtId="166" fontId="34" fillId="0" borderId="0" xfId="0" applyNumberFormat="1" applyFont="1" applyAlignment="1">
      <alignment horizontal="center" vertical="center"/>
    </xf>
    <xf numFmtId="167" fontId="34" fillId="0" borderId="0" xfId="0" applyNumberFormat="1" applyFont="1" applyAlignment="1">
      <alignment horizontal="center" vertical="center"/>
    </xf>
    <xf numFmtId="0" fontId="34" fillId="0" borderId="4" xfId="0" applyFont="1" applyBorder="1">
      <alignment vertical="center"/>
    </xf>
    <xf numFmtId="4" fontId="34" fillId="0" borderId="5" xfId="1" applyNumberFormat="1" applyFont="1" applyFill="1" applyBorder="1" applyAlignment="1">
      <alignment horizontal="center" vertical="center"/>
    </xf>
    <xf numFmtId="41" fontId="34" fillId="0" borderId="0" xfId="3" applyNumberFormat="1" applyFont="1" applyAlignment="1">
      <alignment horizontal="fill" vertical="center"/>
    </xf>
    <xf numFmtId="41" fontId="34" fillId="0" borderId="0" xfId="3" applyNumberFormat="1" applyFont="1" applyAlignment="1">
      <alignment vertical="center"/>
    </xf>
    <xf numFmtId="166" fontId="34" fillId="0" borderId="0" xfId="3" applyNumberFormat="1" applyFont="1" applyAlignment="1">
      <alignment vertical="center"/>
    </xf>
    <xf numFmtId="37" fontId="34" fillId="0" borderId="0" xfId="3" applyFont="1" applyAlignment="1">
      <alignment vertical="center"/>
    </xf>
    <xf numFmtId="37" fontId="38" fillId="0" borderId="9" xfId="3" applyFont="1" applyBorder="1" applyAlignment="1">
      <alignment vertical="center"/>
    </xf>
    <xf numFmtId="37" fontId="34" fillId="0" borderId="10" xfId="3" applyFont="1" applyBorder="1" applyAlignment="1">
      <alignment vertical="center"/>
    </xf>
    <xf numFmtId="37" fontId="34" fillId="0" borderId="10" xfId="3" applyFont="1" applyBorder="1" applyAlignment="1">
      <alignment horizontal="center" vertical="center"/>
    </xf>
    <xf numFmtId="37" fontId="34" fillId="0" borderId="11" xfId="3" applyFont="1" applyBorder="1" applyAlignment="1">
      <alignment horizontal="center" vertical="center"/>
    </xf>
    <xf numFmtId="37" fontId="38" fillId="0" borderId="12" xfId="3" applyFont="1" applyBorder="1" applyAlignment="1">
      <alignment vertical="center"/>
    </xf>
    <xf numFmtId="37" fontId="34" fillId="0" borderId="10" xfId="3" applyFont="1" applyBorder="1" applyAlignment="1">
      <alignment horizontal="left" vertical="center"/>
    </xf>
    <xf numFmtId="4" fontId="34" fillId="0" borderId="13" xfId="3" applyNumberFormat="1" applyFont="1" applyBorder="1" applyAlignment="1">
      <alignment vertical="center"/>
    </xf>
    <xf numFmtId="37" fontId="34" fillId="0" borderId="0" xfId="3" applyFont="1" applyAlignment="1">
      <alignment horizontal="center" vertical="center"/>
    </xf>
    <xf numFmtId="37" fontId="38" fillId="0" borderId="4" xfId="3" applyFont="1" applyBorder="1" applyAlignment="1">
      <alignment vertical="center"/>
    </xf>
    <xf numFmtId="37" fontId="38" fillId="0" borderId="15" xfId="3" applyFont="1" applyBorder="1" applyAlignment="1">
      <alignment vertical="center"/>
    </xf>
    <xf numFmtId="37" fontId="34" fillId="0" borderId="7" xfId="3" applyFont="1" applyBorder="1" applyAlignment="1">
      <alignment vertical="center"/>
    </xf>
    <xf numFmtId="15" fontId="34" fillId="0" borderId="7" xfId="3" applyNumberFormat="1" applyFont="1" applyBorder="1" applyAlignment="1">
      <alignment horizontal="left" vertical="center"/>
    </xf>
    <xf numFmtId="0" fontId="38" fillId="0" borderId="12" xfId="0" applyFont="1" applyBorder="1">
      <alignment vertical="center"/>
    </xf>
    <xf numFmtId="4" fontId="34" fillId="0" borderId="5" xfId="0" applyNumberFormat="1" applyFont="1" applyBorder="1">
      <alignment vertical="center"/>
    </xf>
    <xf numFmtId="0" fontId="38" fillId="0" borderId="9" xfId="0" applyFont="1" applyBorder="1">
      <alignment vertical="center"/>
    </xf>
    <xf numFmtId="0" fontId="34" fillId="0" borderId="6" xfId="0" applyFont="1" applyBorder="1">
      <alignment vertical="center"/>
    </xf>
    <xf numFmtId="0" fontId="38" fillId="0" borderId="4" xfId="0" applyFont="1" applyBorder="1">
      <alignment vertical="center"/>
    </xf>
    <xf numFmtId="0" fontId="38" fillId="0" borderId="0" xfId="0" applyFont="1">
      <alignment vertical="center"/>
    </xf>
    <xf numFmtId="0" fontId="45" fillId="0" borderId="19" xfId="0" applyFont="1" applyBorder="1" applyAlignment="1">
      <alignment horizontal="left" vertical="center"/>
    </xf>
    <xf numFmtId="0" fontId="45" fillId="0" borderId="0" xfId="0" applyFont="1">
      <alignment vertical="center"/>
    </xf>
    <xf numFmtId="0" fontId="34" fillId="0" borderId="19" xfId="0" applyFont="1" applyBorder="1" applyAlignment="1">
      <alignment horizontal="left" vertical="center"/>
    </xf>
    <xf numFmtId="0" fontId="38" fillId="0" borderId="11" xfId="0" applyFont="1" applyBorder="1">
      <alignment vertical="center"/>
    </xf>
    <xf numFmtId="0" fontId="34" fillId="0" borderId="20" xfId="0" applyFont="1" applyBorder="1" applyAlignment="1">
      <alignment vertical="center" wrapText="1"/>
    </xf>
    <xf numFmtId="0" fontId="45" fillId="0" borderId="14" xfId="0" applyFont="1" applyBorder="1">
      <alignment vertical="center"/>
    </xf>
    <xf numFmtId="41" fontId="34" fillId="0" borderId="0" xfId="0" applyNumberFormat="1" applyFont="1" applyAlignment="1">
      <alignment horizontal="left" vertical="center"/>
    </xf>
    <xf numFmtId="0" fontId="34" fillId="0" borderId="12" xfId="0" applyFont="1" applyBorder="1" applyAlignment="1">
      <alignment horizontal="left" vertical="center"/>
    </xf>
    <xf numFmtId="41" fontId="34" fillId="0" borderId="10" xfId="0" applyNumberFormat="1" applyFont="1" applyBorder="1" applyAlignment="1">
      <alignment horizontal="center" vertical="center"/>
    </xf>
    <xf numFmtId="4" fontId="34" fillId="0" borderId="13" xfId="1" applyNumberFormat="1" applyFont="1" applyFill="1" applyBorder="1" applyAlignment="1">
      <alignment horizontal="center" vertical="center"/>
    </xf>
    <xf numFmtId="0" fontId="34" fillId="0" borderId="15" xfId="0" applyFont="1" applyBorder="1" applyAlignment="1">
      <alignment horizontal="left" vertical="center"/>
    </xf>
    <xf numFmtId="41" fontId="34" fillId="0" borderId="7" xfId="0" applyNumberFormat="1" applyFont="1" applyBorder="1" applyAlignment="1">
      <alignment horizontal="center" vertical="center"/>
    </xf>
    <xf numFmtId="4" fontId="34" fillId="0" borderId="8" xfId="1" applyNumberFormat="1" applyFont="1" applyFill="1" applyBorder="1" applyAlignment="1">
      <alignment horizontal="center" vertical="center"/>
    </xf>
    <xf numFmtId="41" fontId="38" fillId="0" borderId="25" xfId="0" applyNumberFormat="1" applyFont="1" applyBorder="1" applyAlignment="1">
      <alignment horizontal="center" vertical="center"/>
    </xf>
    <xf numFmtId="41" fontId="38" fillId="0" borderId="25" xfId="0" applyNumberFormat="1" applyFont="1" applyBorder="1" applyAlignment="1">
      <alignment horizontal="center" vertical="center" wrapText="1"/>
    </xf>
    <xf numFmtId="4" fontId="38" fillId="0" borderId="28" xfId="0" applyNumberFormat="1" applyFont="1" applyBorder="1" applyAlignment="1">
      <alignment horizontal="center" vertical="center" wrapText="1"/>
    </xf>
    <xf numFmtId="41" fontId="38" fillId="0" borderId="0" xfId="0" applyNumberFormat="1" applyFont="1" applyAlignment="1">
      <alignment horizontal="center" vertical="center"/>
    </xf>
    <xf numFmtId="166" fontId="38" fillId="0" borderId="0" xfId="0" applyNumberFormat="1" applyFont="1" applyAlignment="1">
      <alignment horizontal="center" vertical="center"/>
    </xf>
    <xf numFmtId="0" fontId="38" fillId="0" borderId="0" xfId="0" applyFont="1" applyAlignment="1">
      <alignment horizontal="center" vertical="center"/>
    </xf>
    <xf numFmtId="167" fontId="38" fillId="0" borderId="0" xfId="0" applyNumberFormat="1" applyFont="1" applyAlignment="1">
      <alignment horizontal="center" vertical="center"/>
    </xf>
    <xf numFmtId="41" fontId="34" fillId="0" borderId="22" xfId="0" applyNumberFormat="1" applyFont="1" applyBorder="1" applyAlignment="1">
      <alignment horizontal="center" vertical="center"/>
    </xf>
    <xf numFmtId="168" fontId="34" fillId="0" borderId="22" xfId="0" applyNumberFormat="1" applyFont="1" applyBorder="1" applyAlignment="1">
      <alignment horizontal="center" vertical="center"/>
    </xf>
    <xf numFmtId="4" fontId="34" fillId="0" borderId="23" xfId="0" applyNumberFormat="1" applyFont="1" applyBorder="1" applyAlignment="1">
      <alignment horizontal="center" vertical="center"/>
    </xf>
    <xf numFmtId="41" fontId="34" fillId="0" borderId="22" xfId="0" applyNumberFormat="1" applyFont="1" applyBorder="1">
      <alignment vertical="center"/>
    </xf>
    <xf numFmtId="0" fontId="34" fillId="0" borderId="0" xfId="0" applyFont="1" applyAlignment="1">
      <alignment horizontal="center" vertical="center" wrapText="1"/>
    </xf>
    <xf numFmtId="0" fontId="34" fillId="0" borderId="0" xfId="0" applyFont="1" applyAlignment="1">
      <alignment vertical="center" wrapText="1"/>
    </xf>
    <xf numFmtId="0" fontId="38" fillId="0" borderId="26" xfId="0" applyFont="1" applyBorder="1">
      <alignment vertical="center"/>
    </xf>
    <xf numFmtId="0" fontId="38" fillId="0" borderId="27" xfId="0" applyFont="1" applyBorder="1">
      <alignment vertical="center"/>
    </xf>
    <xf numFmtId="168" fontId="38" fillId="0" borderId="25" xfId="0" applyNumberFormat="1" applyFont="1" applyBorder="1" applyAlignment="1">
      <alignment horizontal="center" vertical="center"/>
    </xf>
    <xf numFmtId="4" fontId="38" fillId="0" borderId="28" xfId="0" applyNumberFormat="1" applyFont="1" applyBorder="1" applyAlignment="1">
      <alignment horizontal="center" vertical="center"/>
    </xf>
    <xf numFmtId="0" fontId="34" fillId="0" borderId="4" xfId="2" applyFont="1" applyBorder="1">
      <alignment vertical="center"/>
    </xf>
    <xf numFmtId="0" fontId="34" fillId="0" borderId="0" xfId="0" quotePrefix="1" applyFont="1">
      <alignment vertical="center"/>
    </xf>
    <xf numFmtId="0" fontId="34" fillId="0" borderId="16" xfId="0" applyFont="1" applyBorder="1">
      <alignment vertical="center"/>
    </xf>
    <xf numFmtId="0" fontId="34" fillId="0" borderId="17" xfId="0" quotePrefix="1" applyFont="1" applyBorder="1">
      <alignment vertical="center"/>
    </xf>
    <xf numFmtId="0" fontId="34" fillId="0" borderId="17" xfId="0" applyFont="1" applyBorder="1">
      <alignment vertical="center"/>
    </xf>
    <xf numFmtId="41" fontId="34" fillId="0" borderId="17" xfId="0" applyNumberFormat="1" applyFont="1" applyBorder="1" applyAlignment="1">
      <alignment horizontal="center" vertical="center"/>
    </xf>
    <xf numFmtId="4" fontId="34" fillId="0" borderId="18" xfId="1" applyNumberFormat="1" applyFont="1" applyFill="1" applyBorder="1" applyAlignment="1">
      <alignment horizontal="center" vertical="center"/>
    </xf>
    <xf numFmtId="4" fontId="34" fillId="0" borderId="0" xfId="1" applyNumberFormat="1" applyFont="1" applyFill="1" applyAlignment="1">
      <alignment horizontal="center" vertical="center"/>
    </xf>
    <xf numFmtId="37" fontId="34" fillId="0" borderId="0" xfId="0" applyNumberFormat="1" applyFont="1">
      <alignment vertical="center"/>
    </xf>
    <xf numFmtId="14" fontId="34" fillId="0" borderId="7" xfId="3" applyNumberFormat="1" applyFont="1" applyBorder="1" applyAlignment="1">
      <alignment horizontal="left" vertical="center"/>
    </xf>
    <xf numFmtId="0" fontId="4" fillId="0" borderId="0" xfId="0" applyFont="1" applyAlignment="1">
      <alignment horizontal="center" vertical="center"/>
    </xf>
    <xf numFmtId="0" fontId="2" fillId="0" borderId="0" xfId="0" applyFont="1">
      <alignment vertical="center"/>
    </xf>
    <xf numFmtId="41" fontId="2" fillId="0" borderId="0" xfId="0" applyNumberFormat="1" applyFont="1" applyAlignment="1">
      <alignment horizontal="center" vertical="center"/>
    </xf>
    <xf numFmtId="0" fontId="8" fillId="0" borderId="0" xfId="0" applyFont="1">
      <alignment vertical="center"/>
    </xf>
    <xf numFmtId="0" fontId="26" fillId="0" borderId="0" xfId="0" applyFont="1" applyAlignment="1">
      <alignment horizontal="center" vertical="center"/>
    </xf>
    <xf numFmtId="0" fontId="27" fillId="0" borderId="0" xfId="0" applyFont="1" applyAlignment="1">
      <alignment horizontal="left" vertical="center"/>
    </xf>
    <xf numFmtId="37" fontId="26" fillId="0" borderId="0" xfId="0" applyNumberFormat="1" applyFont="1" applyAlignment="1">
      <alignment horizontal="left" vertical="center"/>
    </xf>
    <xf numFmtId="0" fontId="26" fillId="0" borderId="0" xfId="0" applyFont="1" applyAlignment="1">
      <alignment horizontal="right" vertical="center"/>
    </xf>
    <xf numFmtId="14" fontId="26" fillId="0" borderId="0" xfId="0" quotePrefix="1" applyNumberFormat="1" applyFont="1" applyAlignment="1">
      <alignment horizontal="left" vertical="center"/>
    </xf>
    <xf numFmtId="0" fontId="26" fillId="0" borderId="0" xfId="0" applyFont="1" applyAlignment="1">
      <alignment horizontal="left" vertical="center"/>
    </xf>
    <xf numFmtId="15" fontId="26" fillId="0" borderId="0" xfId="0" quotePrefix="1" applyNumberFormat="1" applyFont="1" applyAlignment="1">
      <alignment horizontal="left" vertical="center"/>
    </xf>
    <xf numFmtId="0" fontId="26" fillId="0" borderId="25" xfId="0" applyFont="1" applyBorder="1" applyAlignment="1">
      <alignment horizontal="left" vertical="center"/>
    </xf>
    <xf numFmtId="0" fontId="26" fillId="0" borderId="25" xfId="0" applyFont="1" applyBorder="1" applyAlignment="1">
      <alignment horizontal="center" vertical="center"/>
    </xf>
    <xf numFmtId="0" fontId="26" fillId="0" borderId="0" xfId="0" applyFont="1">
      <alignment vertical="center"/>
    </xf>
    <xf numFmtId="0" fontId="2" fillId="0" borderId="0" xfId="0" applyFont="1" applyAlignment="1">
      <alignment horizontal="center" vertical="center"/>
    </xf>
    <xf numFmtId="0" fontId="3" fillId="0" borderId="0" xfId="0" applyFont="1" applyAlignment="1">
      <alignment horizontal="left" vertical="center"/>
    </xf>
    <xf numFmtId="0" fontId="3" fillId="0" borderId="0" xfId="0" applyFont="1">
      <alignment vertical="center"/>
    </xf>
    <xf numFmtId="0" fontId="27" fillId="0" borderId="21" xfId="0" applyFont="1" applyBorder="1" applyAlignment="1">
      <alignment horizontal="center" vertical="center" wrapText="1"/>
    </xf>
    <xf numFmtId="0" fontId="27" fillId="0" borderId="21" xfId="0" applyFont="1" applyBorder="1" applyAlignment="1">
      <alignment horizontal="center" vertical="center"/>
    </xf>
    <xf numFmtId="0" fontId="27" fillId="0" borderId="25" xfId="0" applyFont="1" applyBorder="1" applyAlignment="1">
      <alignment horizontal="center" vertical="center"/>
    </xf>
    <xf numFmtId="0" fontId="27" fillId="0" borderId="25" xfId="0" applyFont="1" applyBorder="1" applyAlignment="1">
      <alignment horizontal="center" vertical="center" wrapText="1"/>
    </xf>
    <xf numFmtId="0" fontId="26" fillId="0" borderId="25" xfId="0" applyFont="1" applyBorder="1" applyAlignment="1">
      <alignment horizontal="center" vertical="center" wrapText="1"/>
    </xf>
    <xf numFmtId="0" fontId="26" fillId="0" borderId="25" xfId="11" applyFont="1" applyBorder="1" applyAlignment="1">
      <alignment horizontal="center" vertical="center" wrapText="1"/>
    </xf>
    <xf numFmtId="0" fontId="26" fillId="0" borderId="15" xfId="0" applyFont="1" applyBorder="1" applyAlignment="1">
      <alignment horizontal="center" vertical="center" wrapText="1"/>
    </xf>
    <xf numFmtId="169" fontId="26" fillId="0" borderId="25" xfId="0" applyNumberFormat="1" applyFont="1" applyBorder="1" applyAlignment="1">
      <alignment horizontal="center" vertical="center" wrapText="1"/>
    </xf>
    <xf numFmtId="0" fontId="26" fillId="0" borderId="29" xfId="0" applyFont="1" applyBorder="1" applyAlignment="1">
      <alignment horizontal="left" vertical="center" wrapText="1"/>
    </xf>
    <xf numFmtId="0" fontId="29" fillId="0" borderId="25" xfId="0" applyFont="1" applyBorder="1" applyAlignment="1">
      <alignment horizontal="center" vertical="center"/>
    </xf>
    <xf numFmtId="0" fontId="2" fillId="0" borderId="0" xfId="0" applyFont="1" applyAlignment="1">
      <alignment horizontal="left" vertical="center"/>
    </xf>
    <xf numFmtId="0" fontId="2" fillId="0" borderId="0" xfId="0" applyFont="1" applyAlignment="1">
      <alignment vertical="center" wrapText="1"/>
    </xf>
    <xf numFmtId="0" fontId="11" fillId="0" borderId="0" xfId="0" applyFont="1">
      <alignment vertical="center"/>
    </xf>
    <xf numFmtId="0" fontId="9" fillId="0" borderId="0" xfId="0" applyFont="1" applyAlignment="1">
      <alignment horizontal="center" vertical="center"/>
    </xf>
    <xf numFmtId="0" fontId="10" fillId="0" borderId="0" xfId="0" applyFont="1">
      <alignment vertical="center"/>
    </xf>
    <xf numFmtId="0" fontId="11" fillId="0" borderId="0" xfId="0" applyFont="1" applyAlignment="1">
      <alignment horizontal="center" vertical="center"/>
    </xf>
    <xf numFmtId="41" fontId="2" fillId="0" borderId="0" xfId="0" applyNumberFormat="1" applyFont="1" applyAlignment="1">
      <alignment horizontal="left" vertical="center"/>
    </xf>
    <xf numFmtId="0" fontId="30" fillId="0" borderId="0" xfId="0" applyFont="1">
      <alignment vertical="center"/>
    </xf>
    <xf numFmtId="0" fontId="31" fillId="0" borderId="0" xfId="0" applyFont="1" applyAlignment="1">
      <alignment horizontal="center" vertical="center"/>
    </xf>
    <xf numFmtId="0" fontId="6" fillId="0" borderId="0" xfId="0" applyFont="1">
      <alignment vertical="center"/>
    </xf>
    <xf numFmtId="0" fontId="30" fillId="0" borderId="0" xfId="0" applyFont="1" applyAlignment="1">
      <alignment horizontal="center" vertical="center"/>
    </xf>
    <xf numFmtId="0" fontId="31" fillId="0" borderId="0" xfId="0" applyFont="1" applyAlignment="1">
      <alignment horizontal="left" vertical="center"/>
    </xf>
    <xf numFmtId="37" fontId="30" fillId="0" borderId="0" xfId="0" applyNumberFormat="1" applyFont="1" applyAlignment="1">
      <alignment horizontal="left" vertical="center"/>
    </xf>
    <xf numFmtId="0" fontId="30" fillId="0" borderId="0" xfId="0" applyFont="1" applyAlignment="1">
      <alignment horizontal="right" vertical="center"/>
    </xf>
    <xf numFmtId="169" fontId="30" fillId="0" borderId="0" xfId="0" applyNumberFormat="1" applyFont="1" applyAlignment="1">
      <alignment horizontal="center" vertical="center"/>
    </xf>
    <xf numFmtId="0" fontId="30" fillId="0" borderId="0" xfId="0" applyFont="1" applyAlignment="1">
      <alignment horizontal="right" vertical="center" wrapText="1"/>
    </xf>
    <xf numFmtId="0" fontId="12" fillId="0" borderId="0" xfId="0" applyFont="1">
      <alignment vertical="center"/>
    </xf>
    <xf numFmtId="0" fontId="6" fillId="0" borderId="0" xfId="0" applyFont="1" applyAlignment="1">
      <alignment horizontal="center" vertical="center"/>
    </xf>
    <xf numFmtId="14" fontId="30" fillId="0" borderId="0" xfId="0" quotePrefix="1" applyNumberFormat="1" applyFont="1" applyAlignment="1">
      <alignment horizontal="left" vertical="center"/>
    </xf>
    <xf numFmtId="169" fontId="26" fillId="0" borderId="0" xfId="0" applyNumberFormat="1" applyFont="1" applyAlignment="1">
      <alignment horizontal="left" vertical="center"/>
    </xf>
    <xf numFmtId="0" fontId="26" fillId="0" borderId="0" xfId="0" applyFont="1" applyAlignment="1">
      <alignment horizontal="center" vertical="center" wrapText="1"/>
    </xf>
    <xf numFmtId="15" fontId="30" fillId="0" borderId="0" xfId="0" applyNumberFormat="1" applyFont="1" applyAlignment="1">
      <alignment horizontal="left" vertical="center"/>
    </xf>
    <xf numFmtId="169" fontId="26" fillId="0" borderId="25" xfId="0" applyNumberFormat="1" applyFont="1" applyBorder="1" applyAlignment="1">
      <alignment horizontal="left" vertical="center"/>
    </xf>
    <xf numFmtId="0" fontId="30" fillId="0" borderId="0" xfId="0" applyFont="1" applyAlignment="1">
      <alignment horizontal="left" vertical="center"/>
    </xf>
    <xf numFmtId="169" fontId="26" fillId="0" borderId="25" xfId="0" applyNumberFormat="1" applyFont="1" applyBorder="1" applyAlignment="1">
      <alignment horizontal="center" vertical="center"/>
    </xf>
    <xf numFmtId="0" fontId="40" fillId="0" borderId="0" xfId="0" applyFont="1">
      <alignment vertical="center"/>
    </xf>
    <xf numFmtId="169" fontId="26" fillId="0" borderId="0" xfId="0" applyNumberFormat="1" applyFont="1" applyAlignment="1">
      <alignment horizontal="center" vertical="center"/>
    </xf>
    <xf numFmtId="0" fontId="7" fillId="0" borderId="0" xfId="0" applyFont="1" applyAlignment="1">
      <alignment horizontal="left" vertical="center"/>
    </xf>
    <xf numFmtId="169" fontId="6" fillId="0" borderId="0" xfId="0" applyNumberFormat="1" applyFont="1" applyAlignment="1">
      <alignment horizontal="center" vertical="center"/>
    </xf>
    <xf numFmtId="0" fontId="6" fillId="0" borderId="0" xfId="0" applyFont="1" applyAlignment="1">
      <alignment horizontal="center" vertical="center" wrapText="1"/>
    </xf>
    <xf numFmtId="0" fontId="7" fillId="0" borderId="0" xfId="0" applyFont="1">
      <alignment vertical="center"/>
    </xf>
    <xf numFmtId="0" fontId="27" fillId="0" borderId="11" xfId="0" applyFont="1" applyBorder="1" applyAlignment="1">
      <alignment horizontal="center" vertical="center"/>
    </xf>
    <xf numFmtId="0" fontId="13" fillId="0" borderId="0" xfId="0" applyFont="1">
      <alignment vertical="center"/>
    </xf>
    <xf numFmtId="0" fontId="7" fillId="0" borderId="0" xfId="0" applyFont="1" applyAlignment="1">
      <alignment horizontal="center" vertical="center"/>
    </xf>
    <xf numFmtId="169" fontId="27" fillId="0" borderId="25" xfId="0" applyNumberFormat="1" applyFont="1" applyBorder="1" applyAlignment="1">
      <alignment horizontal="center" vertical="center" wrapText="1"/>
    </xf>
    <xf numFmtId="173" fontId="26" fillId="0" borderId="25" xfId="10" applyNumberFormat="1" applyFont="1" applyFill="1" applyBorder="1" applyAlignment="1">
      <alignment vertical="center" wrapText="1"/>
    </xf>
    <xf numFmtId="173" fontId="26" fillId="0" borderId="25" xfId="0" applyNumberFormat="1" applyFont="1" applyBorder="1" applyAlignment="1">
      <alignment horizontal="right" vertical="center" wrapText="1"/>
    </xf>
    <xf numFmtId="0" fontId="26" fillId="0" borderId="25" xfId="0" applyFont="1" applyBorder="1" applyAlignment="1">
      <alignment horizontal="right" vertical="center" wrapText="1"/>
    </xf>
    <xf numFmtId="164" fontId="26" fillId="0" borderId="25" xfId="10" applyFont="1" applyFill="1" applyBorder="1" applyAlignment="1">
      <alignment vertical="center" wrapText="1"/>
    </xf>
    <xf numFmtId="0" fontId="31" fillId="0" borderId="25" xfId="0" applyFont="1" applyBorder="1" applyAlignment="1">
      <alignment horizontal="center" vertical="center"/>
    </xf>
    <xf numFmtId="0" fontId="31" fillId="0" borderId="0" xfId="0" applyFont="1">
      <alignment vertical="center"/>
    </xf>
    <xf numFmtId="0" fontId="6" fillId="0" borderId="0" xfId="0" applyFont="1" applyAlignment="1">
      <alignment horizontal="left" vertical="center"/>
    </xf>
    <xf numFmtId="41" fontId="6" fillId="0" borderId="0" xfId="1" applyFont="1" applyFill="1" applyAlignment="1">
      <alignment vertical="center"/>
    </xf>
    <xf numFmtId="0" fontId="6" fillId="0" borderId="0" xfId="0" applyFont="1" applyAlignment="1">
      <alignment vertical="center" wrapText="1"/>
    </xf>
    <xf numFmtId="169" fontId="6" fillId="0" borderId="0" xfId="0" applyNumberFormat="1" applyFont="1">
      <alignment vertical="center"/>
    </xf>
    <xf numFmtId="0" fontId="26" fillId="0" borderId="0" xfId="0" applyFont="1" applyAlignment="1">
      <alignment horizontal="right" vertical="center" indent="1"/>
    </xf>
    <xf numFmtId="169" fontId="29" fillId="0" borderId="25" xfId="0" applyNumberFormat="1" applyFont="1" applyBorder="1" applyAlignment="1">
      <alignment horizontal="center" vertical="center"/>
    </xf>
    <xf numFmtId="173" fontId="31" fillId="0" borderId="21" xfId="9" applyNumberFormat="1" applyFont="1" applyFill="1" applyBorder="1" applyAlignment="1">
      <alignment horizontal="center" vertical="center"/>
    </xf>
    <xf numFmtId="0" fontId="38" fillId="0" borderId="10" xfId="0" applyFont="1" applyBorder="1">
      <alignment vertical="center"/>
    </xf>
    <xf numFmtId="0" fontId="41" fillId="0" borderId="19" xfId="0" applyFont="1" applyBorder="1" applyAlignment="1">
      <alignment horizontal="left" vertical="center"/>
    </xf>
    <xf numFmtId="0" fontId="2" fillId="0" borderId="1" xfId="0" applyFont="1" applyBorder="1">
      <alignment vertical="center"/>
    </xf>
    <xf numFmtId="0" fontId="2" fillId="0" borderId="2" xfId="0" applyFont="1" applyBorder="1">
      <alignment vertical="center"/>
    </xf>
    <xf numFmtId="41" fontId="2" fillId="0" borderId="2" xfId="0" applyNumberFormat="1" applyFont="1" applyBorder="1" applyAlignment="1">
      <alignment horizontal="center" vertical="center"/>
    </xf>
    <xf numFmtId="41" fontId="2" fillId="0" borderId="2" xfId="0" applyNumberFormat="1" applyFont="1" applyBorder="1" applyAlignment="1">
      <alignment horizontal="left" vertical="center"/>
    </xf>
    <xf numFmtId="41" fontId="2" fillId="0" borderId="3" xfId="1" applyFont="1" applyFill="1" applyBorder="1" applyAlignment="1">
      <alignment horizontal="center" vertical="center"/>
    </xf>
    <xf numFmtId="166" fontId="2" fillId="0" borderId="0" xfId="0" applyNumberFormat="1" applyFont="1" applyAlignment="1">
      <alignment horizontal="center" vertical="center"/>
    </xf>
    <xf numFmtId="167" fontId="2" fillId="0" borderId="0" xfId="0" applyNumberFormat="1" applyFont="1" applyAlignment="1">
      <alignment horizontal="center" vertical="center"/>
    </xf>
    <xf numFmtId="0" fontId="2" fillId="0" borderId="4" xfId="0" applyFont="1" applyBorder="1">
      <alignment vertical="center"/>
    </xf>
    <xf numFmtId="41" fontId="2" fillId="0" borderId="5" xfId="1" applyFont="1" applyFill="1" applyBorder="1" applyAlignment="1">
      <alignment horizontal="center" vertical="center"/>
    </xf>
    <xf numFmtId="0" fontId="3" fillId="0" borderId="4" xfId="2" applyFont="1" applyBorder="1">
      <alignment vertical="center"/>
    </xf>
    <xf numFmtId="0" fontId="2" fillId="0" borderId="0" xfId="0" applyFont="1" applyAlignment="1">
      <alignment horizontal="left" vertical="center" wrapText="1"/>
    </xf>
    <xf numFmtId="0" fontId="4" fillId="0" borderId="0" xfId="0" applyFont="1">
      <alignment vertical="center"/>
    </xf>
    <xf numFmtId="0" fontId="4" fillId="0" borderId="31" xfId="0" applyFont="1" applyBorder="1" applyAlignment="1">
      <alignment horizontal="center" vertical="center"/>
    </xf>
    <xf numFmtId="0" fontId="32" fillId="0" borderId="33" xfId="0" applyFont="1" applyBorder="1">
      <alignment vertical="center"/>
    </xf>
    <xf numFmtId="0" fontId="32" fillId="0" borderId="34" xfId="0" applyFont="1" applyBorder="1">
      <alignment vertical="center"/>
    </xf>
    <xf numFmtId="41" fontId="6" fillId="0" borderId="0" xfId="0" applyNumberFormat="1" applyFont="1" applyAlignment="1">
      <alignment horizontal="center" vertical="center"/>
    </xf>
    <xf numFmtId="41" fontId="48" fillId="0" borderId="0" xfId="0" applyNumberFormat="1" applyFont="1" applyAlignment="1">
      <alignment horizontal="left" vertical="center"/>
    </xf>
    <xf numFmtId="41" fontId="6" fillId="0" borderId="0" xfId="1" applyFont="1" applyFill="1" applyBorder="1" applyAlignment="1">
      <alignment horizontal="center" vertical="center"/>
    </xf>
    <xf numFmtId="0" fontId="9" fillId="0" borderId="31" xfId="0" applyFont="1" applyBorder="1" applyAlignment="1">
      <alignment horizontal="center" vertical="center"/>
    </xf>
    <xf numFmtId="173" fontId="49" fillId="0" borderId="25" xfId="10" applyNumberFormat="1" applyFont="1" applyFill="1" applyBorder="1" applyAlignment="1">
      <alignment horizontal="center" vertical="center"/>
    </xf>
    <xf numFmtId="0" fontId="49" fillId="0" borderId="25" xfId="0" applyFont="1" applyBorder="1" applyAlignment="1">
      <alignment horizontal="center" vertical="center" wrapText="1"/>
    </xf>
    <xf numFmtId="0" fontId="2" fillId="2" borderId="0" xfId="0" applyFont="1" applyFill="1">
      <alignment vertical="center"/>
    </xf>
    <xf numFmtId="0" fontId="7" fillId="2" borderId="0" xfId="0" applyFont="1" applyFill="1">
      <alignment vertical="center"/>
    </xf>
    <xf numFmtId="0" fontId="7" fillId="2" borderId="0" xfId="0" applyFont="1" applyFill="1" applyAlignment="1">
      <alignment horizontal="center" vertical="center"/>
    </xf>
    <xf numFmtId="2" fontId="26" fillId="0" borderId="25" xfId="0" applyNumberFormat="1" applyFont="1" applyBorder="1" applyAlignment="1">
      <alignment horizontal="center" vertical="center" shrinkToFit="1"/>
    </xf>
    <xf numFmtId="173" fontId="26" fillId="0" borderId="25" xfId="0" applyNumberFormat="1" applyFont="1" applyBorder="1" applyAlignment="1">
      <alignment horizontal="center" vertical="center" wrapText="1"/>
    </xf>
    <xf numFmtId="0" fontId="26" fillId="0" borderId="29" xfId="0" quotePrefix="1" applyFont="1" applyBorder="1" applyAlignment="1">
      <alignment horizontal="left" vertical="center" wrapText="1"/>
    </xf>
    <xf numFmtId="41" fontId="26" fillId="0" borderId="25" xfId="1" applyFont="1" applyFill="1" applyBorder="1" applyAlignment="1">
      <alignment horizontal="right" vertical="center" wrapText="1"/>
    </xf>
    <xf numFmtId="173" fontId="31" fillId="0" borderId="21" xfId="9" applyNumberFormat="1" applyFont="1" applyFill="1" applyBorder="1" applyAlignment="1">
      <alignment horizontal="right" vertical="center"/>
    </xf>
    <xf numFmtId="173" fontId="29" fillId="0" borderId="25" xfId="9" applyNumberFormat="1" applyFont="1" applyFill="1" applyBorder="1" applyAlignment="1">
      <alignment horizontal="right" vertical="center"/>
    </xf>
    <xf numFmtId="0" fontId="42" fillId="0" borderId="0" xfId="0" applyFont="1">
      <alignment vertical="center"/>
    </xf>
    <xf numFmtId="0" fontId="0" fillId="0" borderId="7" xfId="0" applyBorder="1">
      <alignment vertical="center"/>
    </xf>
    <xf numFmtId="0" fontId="42" fillId="0" borderId="14" xfId="0" applyFont="1" applyBorder="1">
      <alignment vertical="center"/>
    </xf>
    <xf numFmtId="0" fontId="26" fillId="0" borderId="24" xfId="0" applyFont="1" applyBorder="1" applyAlignment="1">
      <alignment horizontal="center" vertical="center" wrapText="1"/>
    </xf>
    <xf numFmtId="0" fontId="26" fillId="0" borderId="21" xfId="0" applyFont="1" applyBorder="1" applyAlignment="1">
      <alignment horizontal="center" vertical="center" wrapText="1"/>
    </xf>
    <xf numFmtId="0" fontId="27" fillId="0" borderId="24" xfId="0" applyFont="1" applyBorder="1" applyAlignment="1">
      <alignment horizontal="center" vertical="center" wrapText="1"/>
    </xf>
    <xf numFmtId="0" fontId="27" fillId="0" borderId="21" xfId="0" applyFont="1" applyBorder="1" applyAlignment="1">
      <alignment horizontal="center" vertical="center" wrapText="1"/>
    </xf>
    <xf numFmtId="0" fontId="2" fillId="0" borderId="0" xfId="0" applyFont="1" applyAlignment="1">
      <alignment horizontal="left" vertical="center" wrapText="1"/>
    </xf>
    <xf numFmtId="0" fontId="27" fillId="0" borderId="29" xfId="0" applyFont="1" applyBorder="1" applyAlignment="1">
      <alignment horizontal="center" vertical="center"/>
    </xf>
    <xf numFmtId="0" fontId="27" fillId="0" borderId="27" xfId="0" applyFont="1" applyBorder="1" applyAlignment="1">
      <alignment horizontal="center" vertical="center"/>
    </xf>
    <xf numFmtId="0" fontId="27" fillId="0" borderId="30" xfId="0" applyFont="1" applyBorder="1" applyAlignment="1">
      <alignment horizontal="center" vertical="center"/>
    </xf>
    <xf numFmtId="0" fontId="31" fillId="0" borderId="29" xfId="0" applyFont="1" applyBorder="1" applyAlignment="1">
      <alignment horizontal="center" vertical="center"/>
    </xf>
    <xf numFmtId="0" fontId="31" fillId="0" borderId="27" xfId="0" applyFont="1" applyBorder="1" applyAlignment="1">
      <alignment horizontal="center" vertical="center"/>
    </xf>
    <xf numFmtId="0" fontId="31" fillId="0" borderId="30" xfId="0" applyFont="1" applyBorder="1" applyAlignment="1">
      <alignment horizontal="center" vertical="center"/>
    </xf>
    <xf numFmtId="0" fontId="33" fillId="0" borderId="35" xfId="0" applyFont="1" applyBorder="1" applyAlignment="1">
      <alignment horizontal="center" vertical="center"/>
    </xf>
    <xf numFmtId="0" fontId="33" fillId="0" borderId="31" xfId="0" applyFont="1" applyBorder="1" applyAlignment="1">
      <alignment horizontal="center" vertical="center"/>
    </xf>
    <xf numFmtId="0" fontId="33" fillId="0" borderId="36" xfId="0" applyFont="1" applyBorder="1" applyAlignment="1">
      <alignment horizontal="center" vertical="center"/>
    </xf>
    <xf numFmtId="0" fontId="27" fillId="0" borderId="24" xfId="0" applyFont="1" applyBorder="1" applyAlignment="1">
      <alignment horizontal="center" vertical="center"/>
    </xf>
    <xf numFmtId="0" fontId="27" fillId="0" borderId="21" xfId="0" applyFont="1" applyBorder="1" applyAlignment="1">
      <alignment horizontal="center" vertical="center"/>
    </xf>
    <xf numFmtId="0" fontId="27" fillId="0" borderId="12" xfId="0" applyFont="1" applyBorder="1" applyAlignment="1">
      <alignment horizontal="center" vertical="center"/>
    </xf>
    <xf numFmtId="0" fontId="27" fillId="0" borderId="15" xfId="0" applyFont="1" applyBorder="1" applyAlignment="1">
      <alignment horizontal="center" vertical="center"/>
    </xf>
    <xf numFmtId="0" fontId="26" fillId="0" borderId="24" xfId="0" applyFont="1" applyBorder="1" applyAlignment="1">
      <alignment horizontal="center" vertical="center"/>
    </xf>
    <xf numFmtId="0" fontId="26" fillId="0" borderId="21" xfId="0" applyFont="1" applyBorder="1" applyAlignment="1">
      <alignment horizontal="center" vertical="center"/>
    </xf>
    <xf numFmtId="0" fontId="39" fillId="0" borderId="24" xfId="16" applyFont="1" applyBorder="1" applyAlignment="1">
      <alignment horizontal="center" vertical="center" wrapText="1"/>
    </xf>
    <xf numFmtId="0" fontId="39" fillId="0" borderId="21" xfId="16" applyFont="1" applyBorder="1" applyAlignment="1">
      <alignment horizontal="center" vertical="center" wrapText="1"/>
    </xf>
    <xf numFmtId="173" fontId="26" fillId="0" borderId="24" xfId="0" applyNumberFormat="1" applyFont="1" applyBorder="1" applyAlignment="1">
      <alignment horizontal="center" vertical="center" wrapText="1"/>
    </xf>
    <xf numFmtId="173" fontId="26" fillId="0" borderId="21" xfId="0" applyNumberFormat="1" applyFont="1" applyBorder="1" applyAlignment="1">
      <alignment horizontal="center" vertical="center" wrapText="1"/>
    </xf>
    <xf numFmtId="0" fontId="26" fillId="0" borderId="24" xfId="0" applyFont="1" applyBorder="1" applyAlignment="1">
      <alignment horizontal="right" vertical="center" wrapText="1"/>
    </xf>
    <xf numFmtId="0" fontId="26" fillId="0" borderId="21" xfId="0" applyFont="1" applyBorder="1" applyAlignment="1">
      <alignment horizontal="right" vertical="center" wrapText="1"/>
    </xf>
    <xf numFmtId="0" fontId="34" fillId="0" borderId="0" xfId="0" applyFont="1" applyAlignment="1">
      <alignment vertical="top" wrapText="1"/>
    </xf>
    <xf numFmtId="0" fontId="34" fillId="0" borderId="0" xfId="0" applyFont="1" applyAlignment="1">
      <alignment vertical="top"/>
    </xf>
    <xf numFmtId="0" fontId="34" fillId="0" borderId="14" xfId="0" applyFont="1" applyBorder="1" applyAlignment="1">
      <alignment vertical="top"/>
    </xf>
    <xf numFmtId="0" fontId="34" fillId="0" borderId="7" xfId="0" applyFont="1" applyBorder="1" applyAlignment="1">
      <alignment vertical="top"/>
    </xf>
    <xf numFmtId="0" fontId="34" fillId="0" borderId="20" xfId="0" applyFont="1" applyBorder="1" applyAlignment="1">
      <alignment vertical="top"/>
    </xf>
    <xf numFmtId="41" fontId="41" fillId="0" borderId="0" xfId="0" applyNumberFormat="1" applyFont="1" applyAlignment="1">
      <alignment horizontal="left" vertical="center" wrapText="1"/>
    </xf>
    <xf numFmtId="41" fontId="41" fillId="0" borderId="5" xfId="0" applyNumberFormat="1" applyFont="1" applyBorder="1" applyAlignment="1">
      <alignment horizontal="left" vertical="center" wrapText="1"/>
    </xf>
    <xf numFmtId="15" fontId="34" fillId="0" borderId="7" xfId="3" applyNumberFormat="1" applyFont="1" applyBorder="1" applyAlignment="1">
      <alignment horizontal="left" vertical="center"/>
    </xf>
    <xf numFmtId="15" fontId="34" fillId="0" borderId="20" xfId="3" applyNumberFormat="1" applyFont="1" applyBorder="1" applyAlignment="1">
      <alignment horizontal="left" vertical="center"/>
    </xf>
    <xf numFmtId="0" fontId="34" fillId="0" borderId="7" xfId="0" applyFont="1" applyBorder="1" applyAlignment="1">
      <alignment horizontal="left" vertical="center" wrapText="1"/>
    </xf>
    <xf numFmtId="0" fontId="34" fillId="0" borderId="20" xfId="0" applyFont="1" applyBorder="1" applyAlignment="1">
      <alignment horizontal="left" vertical="center" wrapText="1"/>
    </xf>
    <xf numFmtId="0" fontId="38" fillId="0" borderId="26" xfId="0" applyFont="1" applyBorder="1" applyAlignment="1">
      <alignment horizontal="center" vertical="center"/>
    </xf>
    <xf numFmtId="0" fontId="38" fillId="0" borderId="27" xfId="0" applyFont="1" applyBorder="1" applyAlignment="1">
      <alignment horizontal="center" vertical="center"/>
    </xf>
    <xf numFmtId="41" fontId="34" fillId="0" borderId="0" xfId="0" applyNumberFormat="1" applyFont="1" applyAlignment="1">
      <alignment horizontal="left" vertical="center" wrapText="1"/>
    </xf>
    <xf numFmtId="41" fontId="34" fillId="0" borderId="5" xfId="0" applyNumberFormat="1" applyFont="1" applyBorder="1" applyAlignment="1">
      <alignment horizontal="left" vertical="center" wrapText="1"/>
    </xf>
    <xf numFmtId="0" fontId="27" fillId="0" borderId="10" xfId="0" applyFont="1" applyBorder="1" applyAlignment="1">
      <alignment horizontal="center" vertical="center" wrapText="1"/>
    </xf>
    <xf numFmtId="0" fontId="27" fillId="0" borderId="11" xfId="0" applyFont="1" applyBorder="1" applyAlignment="1">
      <alignment horizontal="center" vertical="center" wrapText="1"/>
    </xf>
    <xf numFmtId="0" fontId="46" fillId="0" borderId="0" xfId="0" applyFont="1" applyAlignment="1">
      <alignment horizontal="center" vertical="center"/>
    </xf>
    <xf numFmtId="0" fontId="46" fillId="0" borderId="14" xfId="0" applyFont="1" applyBorder="1" applyAlignment="1">
      <alignment horizontal="center" vertical="center"/>
    </xf>
    <xf numFmtId="41" fontId="34" fillId="0" borderId="37" xfId="0" applyNumberFormat="1" applyFont="1" applyBorder="1" applyAlignment="1">
      <alignment horizontal="center" vertical="center" wrapText="1"/>
    </xf>
    <xf numFmtId="41" fontId="34" fillId="0" borderId="37" xfId="0" applyNumberFormat="1" applyFont="1" applyBorder="1" applyAlignment="1">
      <alignment horizontal="center" vertical="center"/>
    </xf>
    <xf numFmtId="0" fontId="47" fillId="0" borderId="0" xfId="0" applyFont="1" applyAlignment="1">
      <alignment horizontal="left" vertical="center" wrapText="1"/>
    </xf>
    <xf numFmtId="0" fontId="22" fillId="0" borderId="0" xfId="0" applyFont="1" applyAlignment="1">
      <alignment horizontal="left" vertical="center" wrapText="1"/>
    </xf>
    <xf numFmtId="0" fontId="47" fillId="0" borderId="0" xfId="0" applyFont="1" applyAlignment="1">
      <alignment horizontal="left" vertical="center" wrapText="1" indent="3"/>
    </xf>
    <xf numFmtId="0" fontId="0" fillId="0" borderId="0" xfId="0" applyAlignment="1">
      <alignment horizontal="left" vertical="center" wrapText="1" indent="3"/>
    </xf>
    <xf numFmtId="0" fontId="0" fillId="0" borderId="5" xfId="0" applyBorder="1" applyAlignment="1">
      <alignment horizontal="left" vertical="center" wrapText="1" indent="3"/>
    </xf>
    <xf numFmtId="0" fontId="45" fillId="0" borderId="0" xfId="0" applyFont="1">
      <alignment vertical="center"/>
    </xf>
    <xf numFmtId="0" fontId="45" fillId="0" borderId="5" xfId="0" applyFont="1" applyBorder="1">
      <alignment vertical="center"/>
    </xf>
    <xf numFmtId="0" fontId="29" fillId="0" borderId="6" xfId="0" applyFont="1" applyBorder="1" applyAlignment="1">
      <alignment horizontal="center" vertical="center"/>
    </xf>
    <xf numFmtId="0" fontId="29" fillId="0" borderId="7" xfId="0" applyFont="1" applyBorder="1" applyAlignment="1">
      <alignment horizontal="center" vertical="center"/>
    </xf>
    <xf numFmtId="0" fontId="29" fillId="0" borderId="8" xfId="0" applyFont="1" applyBorder="1" applyAlignment="1">
      <alignment horizontal="center" vertical="center"/>
    </xf>
    <xf numFmtId="0" fontId="44" fillId="0" borderId="12" xfId="0" applyFont="1" applyBorder="1" applyAlignment="1">
      <alignment horizontal="center" vertical="center"/>
    </xf>
    <xf numFmtId="0" fontId="44" fillId="0" borderId="10" xfId="0" applyFont="1" applyBorder="1" applyAlignment="1">
      <alignment horizontal="center" vertical="center"/>
    </xf>
    <xf numFmtId="0" fontId="44" fillId="0" borderId="13" xfId="0" applyFont="1" applyBorder="1" applyAlignment="1">
      <alignment horizontal="center" vertical="center"/>
    </xf>
    <xf numFmtId="41" fontId="31" fillId="0" borderId="1" xfId="0" applyNumberFormat="1" applyFont="1" applyBorder="1" applyAlignment="1">
      <alignment horizontal="center" vertical="center"/>
    </xf>
    <xf numFmtId="41" fontId="31" fillId="0" borderId="2" xfId="0" applyNumberFormat="1" applyFont="1" applyBorder="1" applyAlignment="1">
      <alignment horizontal="center" vertical="center"/>
    </xf>
    <xf numFmtId="41" fontId="31" fillId="0" borderId="3" xfId="0" applyNumberFormat="1" applyFont="1" applyBorder="1" applyAlignment="1">
      <alignment horizontal="center" vertical="center"/>
    </xf>
    <xf numFmtId="41" fontId="31" fillId="0" borderId="4" xfId="0" applyNumberFormat="1" applyFont="1" applyBorder="1" applyAlignment="1">
      <alignment horizontal="center" vertical="center"/>
    </xf>
    <xf numFmtId="41" fontId="31" fillId="0" borderId="0" xfId="0" applyNumberFormat="1" applyFont="1" applyAlignment="1">
      <alignment horizontal="center" vertical="center"/>
    </xf>
    <xf numFmtId="41" fontId="31" fillId="0" borderId="5" xfId="0" applyNumberFormat="1" applyFont="1" applyBorder="1" applyAlignment="1">
      <alignment horizontal="center" vertical="center"/>
    </xf>
    <xf numFmtId="41" fontId="31" fillId="0" borderId="16" xfId="0" applyNumberFormat="1" applyFont="1" applyBorder="1" applyAlignment="1">
      <alignment horizontal="center" vertical="center"/>
    </xf>
    <xf numFmtId="41" fontId="31" fillId="0" borderId="17" xfId="0" applyNumberFormat="1" applyFont="1" applyBorder="1" applyAlignment="1">
      <alignment horizontal="center" vertical="center"/>
    </xf>
    <xf numFmtId="41" fontId="31" fillId="0" borderId="18" xfId="0" applyNumberFormat="1" applyFont="1" applyBorder="1" applyAlignment="1">
      <alignment horizontal="center" vertical="center"/>
    </xf>
    <xf numFmtId="0" fontId="38" fillId="0" borderId="0" xfId="0" applyFont="1" applyAlignment="1">
      <alignment vertical="top" wrapText="1"/>
    </xf>
    <xf numFmtId="0" fontId="38" fillId="0" borderId="0" xfId="0" applyFont="1" applyAlignment="1">
      <alignment vertical="top"/>
    </xf>
    <xf numFmtId="0" fontId="38" fillId="0" borderId="5" xfId="0" applyFont="1" applyBorder="1" applyAlignment="1">
      <alignment vertical="top"/>
    </xf>
    <xf numFmtId="0" fontId="38" fillId="0" borderId="7" xfId="0" applyFont="1" applyBorder="1" applyAlignment="1">
      <alignment vertical="top"/>
    </xf>
    <xf numFmtId="0" fontId="38" fillId="0" borderId="8" xfId="0" applyFont="1" applyBorder="1" applyAlignment="1">
      <alignment vertical="top"/>
    </xf>
    <xf numFmtId="0" fontId="43" fillId="0" borderId="0" xfId="2" applyFont="1" applyAlignment="1">
      <alignment vertical="top" wrapText="1"/>
    </xf>
    <xf numFmtId="0" fontId="43" fillId="0" borderId="14" xfId="2" applyFont="1" applyBorder="1" applyAlignment="1">
      <alignment vertical="top" wrapText="1"/>
    </xf>
    <xf numFmtId="0" fontId="43" fillId="0" borderId="7" xfId="2" applyFont="1" applyBorder="1" applyAlignment="1">
      <alignment vertical="top" wrapText="1"/>
    </xf>
    <xf numFmtId="0" fontId="43" fillId="0" borderId="20" xfId="2" applyFont="1" applyBorder="1" applyAlignment="1">
      <alignment vertical="top" wrapText="1"/>
    </xf>
    <xf numFmtId="41" fontId="38" fillId="0" borderId="29" xfId="0" applyNumberFormat="1" applyFont="1" applyBorder="1" applyAlignment="1">
      <alignment horizontal="center" vertical="center"/>
    </xf>
    <xf numFmtId="41" fontId="38" fillId="0" borderId="30" xfId="0" applyNumberFormat="1" applyFont="1" applyBorder="1" applyAlignment="1">
      <alignment horizontal="center" vertical="center"/>
    </xf>
    <xf numFmtId="0" fontId="34" fillId="0" borderId="0" xfId="0" applyFont="1" applyAlignment="1">
      <alignment horizontal="left" vertical="center"/>
    </xf>
    <xf numFmtId="0" fontId="34" fillId="0" borderId="5" xfId="0" applyFont="1" applyBorder="1" applyAlignment="1">
      <alignment horizontal="left" vertical="center"/>
    </xf>
    <xf numFmtId="0" fontId="41" fillId="0" borderId="0" xfId="0" applyFont="1" applyAlignment="1">
      <alignment horizontal="left" vertical="top" wrapText="1"/>
    </xf>
    <xf numFmtId="0" fontId="41" fillId="0" borderId="5" xfId="0" applyFont="1" applyBorder="1" applyAlignment="1">
      <alignment horizontal="left" vertical="top" wrapText="1"/>
    </xf>
    <xf numFmtId="173" fontId="38" fillId="0" borderId="0" xfId="17" applyNumberFormat="1" applyFont="1" applyFill="1" applyAlignment="1">
      <alignment horizontal="left" vertical="center" wrapText="1"/>
    </xf>
    <xf numFmtId="0" fontId="37" fillId="0" borderId="25" xfId="18" applyFont="1" applyBorder="1" applyAlignment="1">
      <alignment horizontal="center" vertical="center" wrapText="1"/>
    </xf>
    <xf numFmtId="0" fontId="32" fillId="0" borderId="32" xfId="0" applyFont="1" applyBorder="1" applyAlignment="1">
      <alignment horizontal="center" vertical="center"/>
    </xf>
    <xf numFmtId="0" fontId="32" fillId="0" borderId="33" xfId="0" applyFont="1" applyBorder="1" applyAlignment="1">
      <alignment horizontal="center" vertical="center"/>
    </xf>
    <xf numFmtId="0" fontId="9" fillId="0" borderId="0" xfId="0" applyFont="1" applyAlignment="1">
      <alignment horizontal="center" vertical="center"/>
    </xf>
    <xf numFmtId="0" fontId="6" fillId="0" borderId="0" xfId="0" applyFont="1" applyAlignment="1">
      <alignment horizontal="left" vertical="center" wrapText="1"/>
    </xf>
    <xf numFmtId="0" fontId="29" fillId="0" borderId="25" xfId="0" applyFont="1" applyBorder="1" applyAlignment="1">
      <alignment horizontal="center" vertical="center"/>
    </xf>
    <xf numFmtId="169" fontId="26" fillId="0" borderId="24" xfId="0" applyNumberFormat="1" applyFont="1" applyBorder="1" applyAlignment="1">
      <alignment horizontal="center" vertical="center" wrapText="1"/>
    </xf>
    <xf numFmtId="169" fontId="26" fillId="0" borderId="21" xfId="0" applyNumberFormat="1" applyFont="1" applyBorder="1" applyAlignment="1">
      <alignment horizontal="center" vertical="center" wrapText="1"/>
    </xf>
    <xf numFmtId="0" fontId="16" fillId="0" borderId="0" xfId="6" applyFont="1" applyAlignment="1">
      <alignment horizontal="left" vertical="top" wrapText="1"/>
    </xf>
    <xf numFmtId="0" fontId="16" fillId="0" borderId="14" xfId="6" applyFont="1" applyBorder="1" applyAlignment="1">
      <alignment horizontal="left" vertical="top" wrapText="1"/>
    </xf>
    <xf numFmtId="0" fontId="24" fillId="0" borderId="0" xfId="6" applyFont="1" applyAlignment="1">
      <alignment horizontal="left" vertical="top" wrapText="1"/>
    </xf>
    <xf numFmtId="0" fontId="25" fillId="0" borderId="0" xfId="0" applyFont="1" applyAlignment="1">
      <alignment horizontal="left" vertical="top" wrapText="1"/>
    </xf>
    <xf numFmtId="0" fontId="25" fillId="0" borderId="14" xfId="0" applyFont="1" applyBorder="1" applyAlignment="1">
      <alignment horizontal="left" vertical="top" wrapText="1"/>
    </xf>
    <xf numFmtId="0" fontId="15" fillId="0" borderId="17" xfId="6" applyFont="1" applyBorder="1" applyAlignment="1">
      <alignment horizontal="center" vertical="center"/>
    </xf>
    <xf numFmtId="0" fontId="17" fillId="0" borderId="1" xfId="6" applyFont="1" applyBorder="1" applyAlignment="1">
      <alignment horizontal="center" vertical="center" wrapText="1"/>
    </xf>
    <xf numFmtId="0" fontId="17" fillId="0" borderId="2" xfId="6" applyFont="1" applyBorder="1" applyAlignment="1">
      <alignment horizontal="center" vertical="center" wrapText="1"/>
    </xf>
    <xf numFmtId="0" fontId="17" fillId="0" borderId="3" xfId="6" applyFont="1" applyBorder="1" applyAlignment="1">
      <alignment horizontal="center" vertical="center" wrapText="1"/>
    </xf>
    <xf numFmtId="0" fontId="17" fillId="0" borderId="6" xfId="6" applyFont="1" applyBorder="1" applyAlignment="1">
      <alignment horizontal="center" vertical="center" wrapText="1"/>
    </xf>
    <xf numFmtId="0" fontId="17" fillId="0" borderId="7" xfId="6" applyFont="1" applyBorder="1" applyAlignment="1">
      <alignment horizontal="center" vertical="center" wrapText="1"/>
    </xf>
    <xf numFmtId="0" fontId="17" fillId="0" borderId="8" xfId="6" applyFont="1" applyBorder="1" applyAlignment="1">
      <alignment horizontal="center" vertical="center" wrapText="1"/>
    </xf>
    <xf numFmtId="0" fontId="16" fillId="0" borderId="10" xfId="6" applyFont="1" applyBorder="1" applyAlignment="1">
      <alignment horizontal="left" vertical="top"/>
    </xf>
    <xf numFmtId="0" fontId="16" fillId="0" borderId="11" xfId="6" applyFont="1" applyBorder="1" applyAlignment="1">
      <alignment horizontal="left" vertical="top"/>
    </xf>
  </cellXfs>
  <cellStyles count="19">
    <cellStyle name="Bình thường" xfId="0" builtinId="0"/>
    <cellStyle name="Comma 2" xfId="17" xr:uid="{988B12C7-7BF3-46BF-B5EC-7FFAA20F9E80}"/>
    <cellStyle name="Comma 2 2" xfId="10" xr:uid="{8F049BE6-76AA-4DD9-B3C7-935F26C5A65D}"/>
    <cellStyle name="Dấu phẩy" xfId="9" builtinId="3"/>
    <cellStyle name="Dấu phẩy [0]" xfId="1" builtinId="6"/>
    <cellStyle name="Normal 2" xfId="16" xr:uid="{4272126A-BCC4-4C9C-A01E-657BD760DEAE}"/>
    <cellStyle name="Normal 3" xfId="8" xr:uid="{00000000-0005-0000-0000-000002000000}"/>
    <cellStyle name="쉼표 [0] 4" xfId="14" xr:uid="{C4A52391-E6B8-4E98-A740-10A490993681}"/>
    <cellStyle name="쉼표 [0] 6" xfId="5" xr:uid="{00000000-0005-0000-0000-000003000000}"/>
    <cellStyle name="표준 2" xfId="12" xr:uid="{89E747FD-2B83-408C-AACF-61C7A6A71430}"/>
    <cellStyle name="표준 2 2" xfId="15" xr:uid="{18A7A4DF-BF23-4C0C-BE36-D5EA1AD9AB53}"/>
    <cellStyle name="표준 4 2 2 2" xfId="13" xr:uid="{28BEA4FC-9CBF-4DB4-977D-6A9EDAF0BA33}"/>
    <cellStyle name="표준 6" xfId="4" xr:uid="{00000000-0005-0000-0000-000004000000}"/>
    <cellStyle name="표준_Cirebon Grating Pk'g list(서흥)_080910_final" xfId="6" xr:uid="{00000000-0005-0000-0000-000005000000}"/>
    <cellStyle name="표준_PACKING LIST양식 (REV).xls_4월 선적분-Invoice &amp;  Packing List 2" xfId="11" xr:uid="{985A7F91-942A-4BF9-A127-B493527F0C8E}"/>
    <cellStyle name="표준_PACKINGLIST (철골_1항차)" xfId="7" xr:uid="{00000000-0005-0000-0000-000006000000}"/>
    <cellStyle name="표준_STG-PKL" xfId="3" xr:uid="{00000000-0005-0000-0000-000007000000}"/>
    <cellStyle name="常规 92" xfId="18" xr:uid="{429079C3-16E2-4894-B700-1D0CA79E169B}"/>
    <cellStyle name="標準_Proforma PL cirebon 2" xfId="2" xr:uid="{00000000-0005-0000-0000-00000800000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5.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externalLink" Target="externalLinks/externalLink4.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externalLink" Target="externalLinks/externalLink2.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externalLink" Target="externalLinks/externalLink6.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3.jpeg"/></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image" Target="../media/image5.png"/></Relationships>
</file>

<file path=xl/drawings/_rels/drawing6.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image" Target="../media/image7.png"/><Relationship Id="rId1" Type="http://schemas.openxmlformats.org/officeDocument/2006/relationships/image" Target="../media/image6.png"/></Relationships>
</file>

<file path=xl/drawings/_rels/drawing7.xml.rels><?xml version="1.0" encoding="UTF-8" standalone="yes"?>
<Relationships xmlns="http://schemas.openxmlformats.org/package/2006/relationships"><Relationship Id="rId1"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1</xdr:row>
      <xdr:rowOff>3969</xdr:rowOff>
    </xdr:from>
    <xdr:to>
      <xdr:col>2</xdr:col>
      <xdr:colOff>1507636</xdr:colOff>
      <xdr:row>1</xdr:row>
      <xdr:rowOff>288449</xdr:rowOff>
    </xdr:to>
    <xdr:pic>
      <xdr:nvPicPr>
        <xdr:cNvPr id="2" name="그림 2">
          <a:extLst>
            <a:ext uri="{FF2B5EF4-FFF2-40B4-BE49-F238E27FC236}">
              <a16:creationId xmlns:a16="http://schemas.microsoft.com/office/drawing/2014/main" id="{41B0B7F9-2DE7-45D5-9011-3A8DD4CA8C1C}"/>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350520" y="118269"/>
          <a:ext cx="1507636" cy="282575"/>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17</xdr:col>
      <xdr:colOff>338079</xdr:colOff>
      <xdr:row>1</xdr:row>
      <xdr:rowOff>69214</xdr:rowOff>
    </xdr:from>
    <xdr:to>
      <xdr:col>18</xdr:col>
      <xdr:colOff>593238</xdr:colOff>
      <xdr:row>2</xdr:row>
      <xdr:rowOff>121995</xdr:rowOff>
    </xdr:to>
    <xdr:pic>
      <xdr:nvPicPr>
        <xdr:cNvPr id="4" name="Picture 3">
          <a:extLst>
            <a:ext uri="{FF2B5EF4-FFF2-40B4-BE49-F238E27FC236}">
              <a16:creationId xmlns:a16="http://schemas.microsoft.com/office/drawing/2014/main" id="{2AB6E411-4FA8-4BD2-9AE7-DA45593995CC}"/>
            </a:ext>
          </a:extLst>
        </xdr:cNvPr>
        <xdr:cNvPicPr>
          <a:picLocks noChangeAspect="1"/>
        </xdr:cNvPicPr>
      </xdr:nvPicPr>
      <xdr:blipFill>
        <a:blip xmlns:r="http://schemas.openxmlformats.org/officeDocument/2006/relationships" r:embed="rId2"/>
        <a:stretch>
          <a:fillRect/>
        </a:stretch>
      </xdr:blipFill>
      <xdr:spPr>
        <a:xfrm>
          <a:off x="16250432" y="181273"/>
          <a:ext cx="1244862" cy="37711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76200</xdr:colOff>
      <xdr:row>0</xdr:row>
      <xdr:rowOff>118269</xdr:rowOff>
    </xdr:from>
    <xdr:to>
      <xdr:col>1</xdr:col>
      <xdr:colOff>1200931</xdr:colOff>
      <xdr:row>1</xdr:row>
      <xdr:rowOff>132239</xdr:rowOff>
    </xdr:to>
    <xdr:pic>
      <xdr:nvPicPr>
        <xdr:cNvPr id="2" name="그림 2">
          <a:extLst>
            <a:ext uri="{FF2B5EF4-FFF2-40B4-BE49-F238E27FC236}">
              <a16:creationId xmlns:a16="http://schemas.microsoft.com/office/drawing/2014/main" id="{55587D18-D345-4F80-AAB5-C82CD137A0A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76200" y="118269"/>
          <a:ext cx="1473346" cy="294005"/>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9</xdr:col>
      <xdr:colOff>651563</xdr:colOff>
      <xdr:row>0</xdr:row>
      <xdr:rowOff>187187</xdr:rowOff>
    </xdr:from>
    <xdr:to>
      <xdr:col>10</xdr:col>
      <xdr:colOff>706812</xdr:colOff>
      <xdr:row>1</xdr:row>
      <xdr:rowOff>207189</xdr:rowOff>
    </xdr:to>
    <xdr:pic>
      <xdr:nvPicPr>
        <xdr:cNvPr id="3" name="Picture 2">
          <a:extLst>
            <a:ext uri="{FF2B5EF4-FFF2-40B4-BE49-F238E27FC236}">
              <a16:creationId xmlns:a16="http://schemas.microsoft.com/office/drawing/2014/main" id="{3B0A9A1A-F846-4239-90F3-EFAD6854B120}"/>
            </a:ext>
          </a:extLst>
        </xdr:cNvPr>
        <xdr:cNvPicPr>
          <a:picLocks noChangeAspect="1"/>
        </xdr:cNvPicPr>
      </xdr:nvPicPr>
      <xdr:blipFill>
        <a:blip xmlns:r="http://schemas.openxmlformats.org/officeDocument/2006/relationships" r:embed="rId2"/>
        <a:stretch>
          <a:fillRect/>
        </a:stretch>
      </xdr:blipFill>
      <xdr:spPr>
        <a:xfrm>
          <a:off x="7936283" y="187187"/>
          <a:ext cx="897259" cy="30194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0</xdr:colOff>
      <xdr:row>1</xdr:row>
      <xdr:rowOff>5873</xdr:rowOff>
    </xdr:from>
    <xdr:to>
      <xdr:col>2</xdr:col>
      <xdr:colOff>1582768</xdr:colOff>
      <xdr:row>2</xdr:row>
      <xdr:rowOff>221251</xdr:rowOff>
    </xdr:to>
    <xdr:pic>
      <xdr:nvPicPr>
        <xdr:cNvPr id="2" name="그림 2">
          <a:extLst>
            <a:ext uri="{FF2B5EF4-FFF2-40B4-BE49-F238E27FC236}">
              <a16:creationId xmlns:a16="http://schemas.microsoft.com/office/drawing/2014/main" id="{0536924C-9D84-4977-A75F-3791803E7D2A}"/>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571500" y="114730"/>
          <a:ext cx="1578958" cy="293483"/>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16</xdr:col>
      <xdr:colOff>828281</xdr:colOff>
      <xdr:row>1</xdr:row>
      <xdr:rowOff>50298</xdr:rowOff>
    </xdr:from>
    <xdr:to>
      <xdr:col>18</xdr:col>
      <xdr:colOff>252263</xdr:colOff>
      <xdr:row>3</xdr:row>
      <xdr:rowOff>153488</xdr:rowOff>
    </xdr:to>
    <xdr:pic>
      <xdr:nvPicPr>
        <xdr:cNvPr id="5" name="Picture 4">
          <a:extLst>
            <a:ext uri="{FF2B5EF4-FFF2-40B4-BE49-F238E27FC236}">
              <a16:creationId xmlns:a16="http://schemas.microsoft.com/office/drawing/2014/main" id="{E3B34C69-337C-4FAC-B1D8-733A7C3850A4}"/>
            </a:ext>
          </a:extLst>
        </xdr:cNvPr>
        <xdr:cNvPicPr>
          <a:picLocks noChangeAspect="1"/>
        </xdr:cNvPicPr>
      </xdr:nvPicPr>
      <xdr:blipFill>
        <a:blip xmlns:r="http://schemas.openxmlformats.org/officeDocument/2006/relationships" r:embed="rId2"/>
        <a:stretch>
          <a:fillRect/>
        </a:stretch>
      </xdr:blipFill>
      <xdr:spPr>
        <a:xfrm>
          <a:off x="15578424" y="159155"/>
          <a:ext cx="1659365" cy="521202"/>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296061</xdr:colOff>
      <xdr:row>42</xdr:row>
      <xdr:rowOff>105795</xdr:rowOff>
    </xdr:to>
    <xdr:pic>
      <xdr:nvPicPr>
        <xdr:cNvPr id="2" name="Picture 1">
          <a:extLst>
            <a:ext uri="{FF2B5EF4-FFF2-40B4-BE49-F238E27FC236}">
              <a16:creationId xmlns:a16="http://schemas.microsoft.com/office/drawing/2014/main" id="{5B384E68-F239-7CF8-8E0C-4636EAD95363}"/>
            </a:ext>
          </a:extLst>
        </xdr:cNvPr>
        <xdr:cNvPicPr>
          <a:picLocks noChangeAspect="1"/>
        </xdr:cNvPicPr>
      </xdr:nvPicPr>
      <xdr:blipFill>
        <a:blip xmlns:r="http://schemas.openxmlformats.org/officeDocument/2006/relationships" r:embed="rId1"/>
        <a:stretch>
          <a:fillRect/>
        </a:stretch>
      </xdr:blipFill>
      <xdr:spPr>
        <a:xfrm>
          <a:off x="0" y="0"/>
          <a:ext cx="5630061" cy="730669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209550</xdr:colOff>
      <xdr:row>1</xdr:row>
      <xdr:rowOff>66675</xdr:rowOff>
    </xdr:from>
    <xdr:to>
      <xdr:col>8</xdr:col>
      <xdr:colOff>460312</xdr:colOff>
      <xdr:row>43</xdr:row>
      <xdr:rowOff>130537</xdr:rowOff>
    </xdr:to>
    <xdr:pic>
      <xdr:nvPicPr>
        <xdr:cNvPr id="12" name="Picture 11">
          <a:extLst>
            <a:ext uri="{FF2B5EF4-FFF2-40B4-BE49-F238E27FC236}">
              <a16:creationId xmlns:a16="http://schemas.microsoft.com/office/drawing/2014/main" id="{61CEBFEC-7C16-5EF8-EF33-FBA73942A174}"/>
            </a:ext>
          </a:extLst>
        </xdr:cNvPr>
        <xdr:cNvPicPr>
          <a:picLocks noChangeAspect="1"/>
        </xdr:cNvPicPr>
      </xdr:nvPicPr>
      <xdr:blipFill>
        <a:blip xmlns:r="http://schemas.openxmlformats.org/officeDocument/2006/relationships" r:embed="rId1"/>
        <a:stretch>
          <a:fillRect/>
        </a:stretch>
      </xdr:blipFill>
      <xdr:spPr>
        <a:xfrm>
          <a:off x="209550" y="238125"/>
          <a:ext cx="5584762" cy="7264762"/>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277008</xdr:colOff>
      <xdr:row>38</xdr:row>
      <xdr:rowOff>86745</xdr:rowOff>
    </xdr:to>
    <xdr:pic>
      <xdr:nvPicPr>
        <xdr:cNvPr id="2" name="Picture 1">
          <a:extLst>
            <a:ext uri="{FF2B5EF4-FFF2-40B4-BE49-F238E27FC236}">
              <a16:creationId xmlns:a16="http://schemas.microsoft.com/office/drawing/2014/main" id="{FAF6769A-280A-914F-EDCC-3763FC93F948}"/>
            </a:ext>
          </a:extLst>
        </xdr:cNvPr>
        <xdr:cNvPicPr>
          <a:picLocks noChangeAspect="1"/>
        </xdr:cNvPicPr>
      </xdr:nvPicPr>
      <xdr:blipFill>
        <a:blip xmlns:r="http://schemas.openxmlformats.org/officeDocument/2006/relationships" r:embed="rId1"/>
        <a:stretch>
          <a:fillRect/>
        </a:stretch>
      </xdr:blipFill>
      <xdr:spPr>
        <a:xfrm>
          <a:off x="0" y="0"/>
          <a:ext cx="5611008" cy="7306695"/>
        </a:xfrm>
        <a:prstGeom prst="rect">
          <a:avLst/>
        </a:prstGeom>
      </xdr:spPr>
    </xdr:pic>
    <xdr:clientData/>
  </xdr:twoCellAnchor>
  <xdr:twoCellAnchor editAs="oneCell">
    <xdr:from>
      <xdr:col>0</xdr:col>
      <xdr:colOff>179615</xdr:colOff>
      <xdr:row>3</xdr:row>
      <xdr:rowOff>70758</xdr:rowOff>
    </xdr:from>
    <xdr:to>
      <xdr:col>1</xdr:col>
      <xdr:colOff>113185</xdr:colOff>
      <xdr:row>4</xdr:row>
      <xdr:rowOff>134168</xdr:rowOff>
    </xdr:to>
    <xdr:pic>
      <xdr:nvPicPr>
        <xdr:cNvPr id="4" name="Picture 3">
          <a:extLst>
            <a:ext uri="{FF2B5EF4-FFF2-40B4-BE49-F238E27FC236}">
              <a16:creationId xmlns:a16="http://schemas.microsoft.com/office/drawing/2014/main" id="{4079F2DE-56DC-D1AD-348A-334A7A4D637E}"/>
            </a:ext>
          </a:extLst>
        </xdr:cNvPr>
        <xdr:cNvPicPr>
          <a:picLocks noChangeAspect="1"/>
        </xdr:cNvPicPr>
      </xdr:nvPicPr>
      <xdr:blipFill>
        <a:blip xmlns:r="http://schemas.openxmlformats.org/officeDocument/2006/relationships" r:embed="rId2"/>
        <a:stretch>
          <a:fillRect/>
        </a:stretch>
      </xdr:blipFill>
      <xdr:spPr>
        <a:xfrm>
          <a:off x="179615" y="1257301"/>
          <a:ext cx="603041" cy="237581"/>
        </a:xfrm>
        <a:prstGeom prst="rect">
          <a:avLst/>
        </a:prstGeom>
      </xdr:spPr>
    </xdr:pic>
    <xdr:clientData/>
  </xdr:twoCellAnchor>
  <xdr:twoCellAnchor editAs="oneCell">
    <xdr:from>
      <xdr:col>0</xdr:col>
      <xdr:colOff>182879</xdr:colOff>
      <xdr:row>2</xdr:row>
      <xdr:rowOff>315685</xdr:rowOff>
    </xdr:from>
    <xdr:to>
      <xdr:col>2</xdr:col>
      <xdr:colOff>580481</xdr:colOff>
      <xdr:row>2</xdr:row>
      <xdr:rowOff>575007</xdr:rowOff>
    </xdr:to>
    <xdr:pic>
      <xdr:nvPicPr>
        <xdr:cNvPr id="5" name="Picture 4">
          <a:extLst>
            <a:ext uri="{FF2B5EF4-FFF2-40B4-BE49-F238E27FC236}">
              <a16:creationId xmlns:a16="http://schemas.microsoft.com/office/drawing/2014/main" id="{FC745AD7-29DA-DDD7-70D2-9F03DA701E61}"/>
            </a:ext>
          </a:extLst>
        </xdr:cNvPr>
        <xdr:cNvPicPr>
          <a:picLocks noChangeAspect="1"/>
        </xdr:cNvPicPr>
      </xdr:nvPicPr>
      <xdr:blipFill>
        <a:blip xmlns:r="http://schemas.openxmlformats.org/officeDocument/2006/relationships" r:embed="rId3"/>
        <a:stretch>
          <a:fillRect/>
        </a:stretch>
      </xdr:blipFill>
      <xdr:spPr>
        <a:xfrm>
          <a:off x="182879" y="664028"/>
          <a:ext cx="1736545" cy="259322"/>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177800</xdr:colOff>
      <xdr:row>0</xdr:row>
      <xdr:rowOff>0</xdr:rowOff>
    </xdr:from>
    <xdr:to>
      <xdr:col>9</xdr:col>
      <xdr:colOff>514350</xdr:colOff>
      <xdr:row>49</xdr:row>
      <xdr:rowOff>70080</xdr:rowOff>
    </xdr:to>
    <xdr:pic>
      <xdr:nvPicPr>
        <xdr:cNvPr id="6" name="그림 5">
          <a:extLst>
            <a:ext uri="{FF2B5EF4-FFF2-40B4-BE49-F238E27FC236}">
              <a16:creationId xmlns:a16="http://schemas.microsoft.com/office/drawing/2014/main" id="{7CF006AE-F715-0CFA-8C16-7FB6CAE2FA8A}"/>
            </a:ext>
          </a:extLst>
        </xdr:cNvPr>
        <xdr:cNvPicPr>
          <a:picLocks noChangeAspect="1"/>
        </xdr:cNvPicPr>
      </xdr:nvPicPr>
      <xdr:blipFill>
        <a:blip xmlns:r="http://schemas.openxmlformats.org/officeDocument/2006/relationships" r:embed="rId1"/>
        <a:stretch>
          <a:fillRect/>
        </a:stretch>
      </xdr:blipFill>
      <xdr:spPr>
        <a:xfrm>
          <a:off x="177800" y="0"/>
          <a:ext cx="6280150" cy="890928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51204;&#50689;&#44428;/C/WIN98/TEMP/REPORT07.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50724;&#51008;&#49892;/&#49345;&#48120;&#51452;&#51076;&#45784;/WIN98/TEMP/REPORT07.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50724;&#51008;&#49892;/&#49345;&#48120;&#51452;&#51076;&#45784;/temp/WIN98/TEMP/REPORT07.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50689;&#49689;/D/share/loss&#44228;&#49328;-TAWEELAH-msf-jan6.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www35.daum.net/WIN98/TEMP/REPORT07.XLS" TargetMode="External"/></Relationships>
</file>

<file path=xl/externalLinks/_rels/externalLink6.xml.rels><?xml version="1.0" encoding="UTF-8" standalone="yes"?>
<Relationships xmlns="http://schemas.openxmlformats.org/package/2006/relationships"><Relationship Id="rId3" Type="http://schemas.openxmlformats.org/officeDocument/2006/relationships/externalLinkPath" Target="https://pecc2epc.sharepoint.com/sites/OMonIV-EPCExecution-6.CommercialManagement/Shared%20Documents/6.%20Contract%20and%20Commercial%20Management/02.%20KOM/01.%20PAYMENT%20FORMS/OM4_Payment%20Form%2004,%2005%20-%20Commercial%20invoice%20and%20Packing%20list,%20rev%20250709.xlsx" TargetMode="External"/><Relationship Id="rId2" Type="http://schemas.microsoft.com/office/2019/04/relationships/externalLinkLongPath" Target="https://pecc2epc.sharepoint.com/sites/OMonIV-EPCExecution-6.CommercialManagement/Shared%20Documents/6.%20Contract%20and%20Commercial%20Management/02.%20KOM/01.%20PAYMENT%20FORMS/OM4_Payment%20Form%2004,%2005%20-%20Commercial%20invoice%20and%20Packing%20list,%20rev%20250709.xlsx?80C4F2C1" TargetMode="External"/><Relationship Id="rId1" Type="http://schemas.openxmlformats.org/officeDocument/2006/relationships/externalLinkPath" Target="file:///80C4F2C1/OM4_Payment%20Form%2004,%2005%20-%20Commercial%20invoice%20and%20Packing%20list,%20rev%20250709.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ontent"/>
      <sheetName val="Project Outline"/>
      <sheetName val="주요공사"/>
      <sheetName val="Contractual Amount"/>
      <sheetName val="시헹예산"/>
      <sheetName val="TENDER vs BUDGET"/>
      <sheetName val="직영 vs 하청 - 2"/>
      <sheetName val="96 당초Schedule"/>
      <sheetName val="96 Performance"/>
      <sheetName val="소화-투입 분석표"/>
      <sheetName val="STF ORG(K)"/>
      <sheetName val="Staff Org. Chart"/>
      <sheetName val="Scope of Work"/>
      <sheetName val="Design Status"/>
      <sheetName val="DWG Status"/>
      <sheetName val="MAT'L Status"/>
      <sheetName val="장비동원"/>
      <sheetName val="근로자동원"/>
      <sheetName val="Install Status"/>
      <sheetName val="Staff Mob. Plan"/>
      <sheetName val="M.P Mob. Plan"/>
      <sheetName val="Eq. Mobilization"/>
      <sheetName val=""/>
      <sheetName val="TTL"/>
      <sheetName val="성광벤드"/>
      <sheetName val="REPORT07"/>
      <sheetName val="GRP PIPING"/>
      <sheetName val="Sheet1"/>
      <sheetName val="현장지지물물량"/>
      <sheetName val="#REF"/>
      <sheetName val="견적기준"/>
      <sheetName val="P-LIST"/>
      <sheetName val="물가자료"/>
      <sheetName val="일위대가"/>
      <sheetName val="M-EQPT-Z"/>
      <sheetName val="2000년1차"/>
      <sheetName val="단가집"/>
      <sheetName val="전열면적"/>
      <sheetName val="SEPARATOR"/>
      <sheetName val="BM "/>
      <sheetName val="DWG LIST"/>
      <sheetName val="자격 땡겨오기"/>
      <sheetName val="VAE264_VALVES"/>
      <sheetName val="5.소재"/>
      <sheetName val="소화실적"/>
      <sheetName val="Summary"/>
      <sheetName val="BM"/>
      <sheetName val="B101"/>
      <sheetName val="카메라"/>
      <sheetName val="COA-17"/>
      <sheetName val="C-18"/>
      <sheetName val="당초"/>
      <sheetName val="MOB-MAN1"/>
      <sheetName val="예제"/>
      <sheetName val="실행예산SHEET도장재검토"/>
      <sheetName val="기준표"/>
      <sheetName val="규격"/>
      <sheetName val="노점수분"/>
      <sheetName val="자재사용현황"/>
      <sheetName val="w't table"/>
      <sheetName val="INDEX"/>
      <sheetName val="DI-ESTI"/>
      <sheetName val="KH-Q1,Q2,01"/>
      <sheetName val="NYS"/>
      <sheetName val="CAT_5"/>
      <sheetName val="kich thuoc"/>
      <sheetName val="DTHH"/>
      <sheetName val="WE'T"/>
      <sheetName val="REDUCER"/>
      <sheetName val="임율 Data"/>
      <sheetName val="Lists"/>
      <sheetName val="REV 4"/>
      <sheetName val="COL"/>
      <sheetName val="Sheet5"/>
      <sheetName val="BEND LOSS"/>
      <sheetName val="CI "/>
      <sheetName val="CI"/>
      <sheetName val="FM"/>
      <sheetName val="내역서"/>
      <sheetName val="노임단가"/>
      <sheetName val="품셈표"/>
      <sheetName val="추가예산"/>
      <sheetName val="자바라1"/>
      <sheetName val="해외 연수비용 계산-삭제"/>
      <sheetName val="Wind Load(3.1) (2)"/>
      <sheetName val="Wind Load(3.2)"/>
      <sheetName val="Wind Load(3.4)"/>
      <sheetName val="Ord"/>
      <sheetName val="Key Data"/>
      <sheetName val="INPUT"/>
      <sheetName val="2.2 띠장의 설계"/>
      <sheetName val="Assembly_list"/>
      <sheetName val="간접비 총괄표"/>
      <sheetName val="ﾀｰﾋﾞﾝ"/>
      <sheetName val="Setup"/>
      <sheetName val="Cover_Sheet"/>
      <sheetName val="Project_Outline"/>
      <sheetName val="Contractual_Amount"/>
      <sheetName val="TENDER_vs_BUDGET"/>
      <sheetName val="직영_vs_하청_-_2"/>
      <sheetName val="96_당초Schedule"/>
      <sheetName val="96_Performance"/>
      <sheetName val="소화-투입_분석표"/>
      <sheetName val="STF_ORG(K)"/>
      <sheetName val="Staff_Org__Chart"/>
      <sheetName val="Scope_of_Work"/>
      <sheetName val="Design_Status"/>
      <sheetName val="DWG_Status"/>
      <sheetName val="MAT'L_Status"/>
      <sheetName val="Install_Status"/>
      <sheetName val="Staff_Mob__Plan"/>
      <sheetName val="M_P_Mob__Plan"/>
      <sheetName val="Eq__Mobilization"/>
      <sheetName val="GRP_PIPING"/>
      <sheetName val="BM_"/>
      <sheetName val="DWG_LIST"/>
      <sheetName val="자격_땡겨오기"/>
      <sheetName val="5_소재"/>
      <sheetName val="表二"/>
      <sheetName val="EQUIPOS"/>
      <sheetName val="石炭性状"/>
      <sheetName val="증감내역서"/>
      <sheetName val="表三(首站)"/>
      <sheetName val="代码表"/>
      <sheetName val="Z- GENERAL PRICE SUMMARY"/>
      <sheetName val="WITHOUT C&amp;I PROFIT (3)"/>
      <sheetName val="목표세부명세"/>
      <sheetName val="Rate Analysis"/>
      <sheetName val="Earthwork"/>
      <sheetName val="2020 회원명부"/>
      <sheetName val="대비표"/>
      <sheetName val="산근"/>
      <sheetName val="집계표(OPTION)"/>
      <sheetName val="DRUM"/>
      <sheetName val="w't_table"/>
      <sheetName val="kich_thuoc"/>
      <sheetName val="임율_Data"/>
      <sheetName val="해외_연수비용_계산-삭제"/>
      <sheetName val="Wind_Load(3_1)_(2)"/>
      <sheetName val="Wind_Load(3_2)"/>
      <sheetName val="Wind_Load(3_4)"/>
      <sheetName val="Key_Dat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sheetData sheetId="28"/>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sheetData sheetId="136"/>
      <sheetData sheetId="137"/>
      <sheetData sheetId="138"/>
      <sheetData sheetId="139"/>
      <sheetData sheetId="140"/>
      <sheetData sheetId="141"/>
      <sheetData sheetId="14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ontent"/>
      <sheetName val="Project Outline"/>
      <sheetName val="주요공사"/>
      <sheetName val="Contractual Amount"/>
      <sheetName val="시헹예산"/>
      <sheetName val="TENDER vs BUDGET"/>
      <sheetName val="직영 vs 하청 - 2"/>
      <sheetName val="96 당초Schedule"/>
      <sheetName val="96 Performance"/>
      <sheetName val="소화-투입 분석표"/>
      <sheetName val="STF ORG(K)"/>
      <sheetName val="Staff Org. Chart"/>
      <sheetName val="Scope of Work"/>
      <sheetName val="Design Status"/>
      <sheetName val="DWG Status"/>
      <sheetName val="MAT'L Status"/>
      <sheetName val="장비동원"/>
      <sheetName val="근로자동원"/>
      <sheetName val="Install Status"/>
      <sheetName val="Staff Mob. Plan"/>
      <sheetName val="M.P Mob. Plan"/>
      <sheetName val="Eq. Mobilization"/>
      <sheetName val="견적기준"/>
      <sheetName val="CI "/>
      <sheetName val="CI"/>
      <sheetName val=""/>
      <sheetName val="TTL"/>
      <sheetName val="성광벤드"/>
      <sheetName val="REPORT07"/>
      <sheetName val="GRP PIPING"/>
      <sheetName val="Sheet1"/>
      <sheetName val="P-LIST"/>
      <sheetName val="물가자료"/>
      <sheetName val="일위대가"/>
      <sheetName val="M-EQPT-Z"/>
      <sheetName val="2000년1차"/>
      <sheetName val="단가집"/>
      <sheetName val="전열면적"/>
      <sheetName val="SEPARATOR"/>
      <sheetName val="BM "/>
      <sheetName val="DWG LIST"/>
      <sheetName val="자격 땡겨오기"/>
      <sheetName val="VAE264_VALVES"/>
      <sheetName val="5.소재"/>
      <sheetName val="소화실적"/>
      <sheetName val="현장지지물물량"/>
      <sheetName val="#REF"/>
      <sheetName val="Summary"/>
      <sheetName val="BM"/>
      <sheetName val="B101"/>
      <sheetName val="카메라"/>
      <sheetName val="COA-17"/>
      <sheetName val="C-18"/>
      <sheetName val="당초"/>
      <sheetName val="MOB-MAN1"/>
      <sheetName val="예제"/>
      <sheetName val="실행예산SHEET도장재검토"/>
      <sheetName val="기준표"/>
      <sheetName val="규격"/>
      <sheetName val="노점수분"/>
      <sheetName val="자재사용현황"/>
      <sheetName val="w't table"/>
      <sheetName val="INDEX"/>
      <sheetName val="DI-ESTI"/>
      <sheetName val="KH-Q1,Q2,01"/>
      <sheetName val="NYS"/>
      <sheetName val="CAT_5"/>
      <sheetName val="kich thuoc"/>
      <sheetName val="DTHH"/>
      <sheetName val="Cover_Sheet"/>
      <sheetName val="Project_Outline"/>
      <sheetName val="Contractual_Amount"/>
      <sheetName val="TENDER_vs_BUDGET"/>
      <sheetName val="직영_vs_하청_-_2"/>
      <sheetName val="96_당초Schedule"/>
      <sheetName val="96_Performance"/>
      <sheetName val="소화-투입_분석표"/>
      <sheetName val="STF_ORG(K)"/>
      <sheetName val="Staff_Org__Chart"/>
      <sheetName val="Scope_of_Work"/>
      <sheetName val="Design_Status"/>
      <sheetName val="DWG_Status"/>
      <sheetName val="MAT'L_Status"/>
      <sheetName val="Install_Status"/>
      <sheetName val="Staff_Mob__Plan"/>
      <sheetName val="M_P_Mob__Plan"/>
      <sheetName val="Eq__Mobilization"/>
      <sheetName val="산근터빈"/>
      <sheetName val="2.대외공문"/>
      <sheetName val="XZLC004_PART2"/>
      <sheetName val="XZLC003_PART1"/>
      <sheetName val="수량산출"/>
      <sheetName val="burner-spare"/>
      <sheetName val="일위대가표(DEE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refreshError="1"/>
      <sheetData sheetId="89" refreshError="1"/>
      <sheetData sheetId="90" refreshError="1"/>
      <sheetData sheetId="91" refreshError="1"/>
      <sheetData sheetId="92" refreshError="1"/>
      <sheetData sheetId="93" refreshError="1"/>
      <sheetData sheetId="9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ontent"/>
      <sheetName val="Project Outline"/>
      <sheetName val="주요공사"/>
      <sheetName val="Contractual Amount"/>
      <sheetName val="시헹예산"/>
      <sheetName val="TENDER vs BUDGET"/>
      <sheetName val="직영 vs 하청 - 2"/>
      <sheetName val="96 당초Schedule"/>
      <sheetName val="96 Performance"/>
      <sheetName val="소화-투입 분석표"/>
      <sheetName val="STF ORG(K)"/>
      <sheetName val="Staff Org. Chart"/>
      <sheetName val="Scope of Work"/>
      <sheetName val="Design Status"/>
      <sheetName val="DWG Status"/>
      <sheetName val="MAT'L Status"/>
      <sheetName val="장비동원"/>
      <sheetName val="근로자동원"/>
      <sheetName val="Install Status"/>
      <sheetName val="Staff Mob. Plan"/>
      <sheetName val="M.P Mob. Plan"/>
      <sheetName val="Eq. Mobilization"/>
      <sheetName val="P-LIST"/>
      <sheetName val="물가자료"/>
      <sheetName val="B101"/>
      <sheetName val="카메라"/>
      <sheetName val="COA-17"/>
      <sheetName val="C-18"/>
      <sheetName val=""/>
      <sheetName val="TTL"/>
      <sheetName val="성광벤드"/>
      <sheetName val="REPORT07"/>
      <sheetName val="GRP PIPING"/>
      <sheetName val="Sheet1"/>
      <sheetName val="견적기준"/>
      <sheetName val="일위대가"/>
      <sheetName val="M-EQPT-Z"/>
      <sheetName val="2000년1차"/>
      <sheetName val="단가집"/>
      <sheetName val="전열면적"/>
      <sheetName val="SEPARATOR"/>
      <sheetName val="BM "/>
      <sheetName val="DWG LIST"/>
      <sheetName val="자격 땡겨오기"/>
      <sheetName val="VAE264_VALVES"/>
      <sheetName val="5.소재"/>
      <sheetName val="소화실적"/>
      <sheetName val="현장지지물물량"/>
      <sheetName val="#REF"/>
      <sheetName val="Summary"/>
      <sheetName val="BM"/>
      <sheetName val="당초"/>
      <sheetName val="MOB-MAN1"/>
      <sheetName val="예제"/>
      <sheetName val="실행예산SHEET도장재검토"/>
      <sheetName val="기준표"/>
      <sheetName val="규격"/>
      <sheetName val="노점수분"/>
      <sheetName val="자재사용현황"/>
      <sheetName val="w't table"/>
      <sheetName val="INDEX"/>
      <sheetName val="DI-ESTI"/>
      <sheetName val="KH-Q1,Q2,01"/>
      <sheetName val="NYS"/>
      <sheetName val="CAT_5"/>
      <sheetName val="보일러"/>
      <sheetName val="Renc.Prod"/>
      <sheetName val="Tabel Kode"/>
      <sheetName val="PLN Ags"/>
      <sheetName val="PLN Apr"/>
      <sheetName val="Biaya Tot PLN TDL 2003"/>
      <sheetName val="PLN Des"/>
      <sheetName val="PLN Feb"/>
      <sheetName val="PLN Jan"/>
      <sheetName val="PLN Jul"/>
      <sheetName val="PLN Jun"/>
      <sheetName val="PLN Mar"/>
      <sheetName val="PLN Mei"/>
      <sheetName val="PLN Nov"/>
      <sheetName val="PLN Okt"/>
      <sheetName val="PLN Sep"/>
      <sheetName val="Renc.Semen Keluar prod kantong"/>
      <sheetName val="kich thuoc"/>
      <sheetName val="DTHH"/>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ircular bundle"/>
      <sheetName val="steam table"/>
      <sheetName val="loss계산-TAWEELAH-msf-jan6"/>
      <sheetName val="DJ1"/>
      <sheetName val="정부노임단가"/>
      <sheetName val="fitting"/>
      <sheetName val="환율표"/>
      <sheetName val="Evap-기타"/>
      <sheetName val="P-LIST"/>
      <sheetName val="대비"/>
      <sheetName val="BID"/>
      <sheetName val="Testing"/>
      <sheetName val="eq_data"/>
      <sheetName val="BLR 1"/>
      <sheetName val="GEN"/>
      <sheetName val="GAS"/>
      <sheetName val="DEAE"/>
      <sheetName val="BLR2"/>
      <sheetName val="BLR3"/>
      <sheetName val="BLR4"/>
      <sheetName val="BLR5"/>
      <sheetName val="DEM"/>
      <sheetName val="SAM"/>
      <sheetName val="CHEM"/>
      <sheetName val="COP"/>
      <sheetName val="八幡"/>
      <sheetName val="GM 000"/>
      <sheetName val="csdim"/>
      <sheetName val="cdsload"/>
      <sheetName val="chsload"/>
      <sheetName val="CLAMP"/>
      <sheetName val="cvsload"/>
      <sheetName val="pipe"/>
      <sheetName val="Cash2"/>
      <sheetName val="Z"/>
      <sheetName val="BSD _2_"/>
      <sheetName val="BSD (2)"/>
      <sheetName val="환산표"/>
      <sheetName val="MOTOR"/>
      <sheetName val="95신규호표"/>
      <sheetName val="BM"/>
      <sheetName val="CBL_OD"/>
      <sheetName val="MOB-MAN1"/>
      <sheetName val="giathanh1"/>
      <sheetName val="6-2차"/>
      <sheetName val="Code 02"/>
      <sheetName val="Code 03"/>
      <sheetName val="Code 04"/>
      <sheetName val="Code 05"/>
      <sheetName val="Code 06"/>
      <sheetName val="Code 07"/>
      <sheetName val="Code 09"/>
      <sheetName val="Code03"/>
      <sheetName val="Summary"/>
      <sheetName val="5-Digit"/>
      <sheetName val="MixBed"/>
      <sheetName val="CondPol"/>
      <sheetName val="Inputs"/>
      <sheetName val="BD"/>
      <sheetName val="당초"/>
      <sheetName val="LAB"/>
      <sheetName val="노임단가"/>
      <sheetName val="공사계획서"/>
      <sheetName val="품셈표"/>
      <sheetName val="H-shape"/>
      <sheetName val="Dieuchinh"/>
      <sheetName val="gvl"/>
      <sheetName val="IBASE"/>
      <sheetName val="예산M12A"/>
      <sheetName val="JOINT1"/>
      <sheetName val="XL4Poppy"/>
      <sheetName val="현장지지물물량"/>
      <sheetName val="INSULTABLE"/>
      <sheetName val="ex-shell"/>
      <sheetName val="001"/>
      <sheetName val="TTL"/>
      <sheetName val="입력값"/>
      <sheetName val="NEWDRAW"/>
      <sheetName val="내역"/>
      <sheetName val="Sheet3 (2)"/>
      <sheetName val="circular_bundle1"/>
      <sheetName val="steam_table1"/>
      <sheetName val="circular_bundle"/>
      <sheetName val="steam_table"/>
      <sheetName val="ADL DATA"/>
      <sheetName val="FIRE FIGHTING"/>
      <sheetName val="Wind Load(3.1) (2)"/>
      <sheetName val="Wind Load(3.2)"/>
      <sheetName val="Wind Load(3.4)"/>
      <sheetName val="REDUCER"/>
      <sheetName val="Data"/>
      <sheetName val="BM "/>
      <sheetName val="DWG LIST"/>
      <sheetName val="#REF"/>
      <sheetName val="PNT-QUOT-#3"/>
      <sheetName val="COAT&amp;WRAP-QIOT-#3"/>
      <sheetName val="CAT_5"/>
      <sheetName val="COA-17"/>
      <sheetName val="C-18"/>
      <sheetName val="list"/>
      <sheetName val="Break Down Price"/>
      <sheetName val="1100"/>
      <sheetName val="Mech CIF"/>
      <sheetName val="환율-LIBOR"/>
      <sheetName val="JOB特定"/>
      <sheetName val="VL"/>
      <sheetName val="산근"/>
      <sheetName val="PBS"/>
      <sheetName val="LGBOM1절_CheckList"/>
      <sheetName val="카메라"/>
      <sheetName val="보일러"/>
      <sheetName val="ITEM-LIST"/>
      <sheetName val="Eq. Mobilization"/>
      <sheetName val="Proposal"/>
      <sheetName val="적용환율"/>
      <sheetName val="circular_bundle4"/>
      <sheetName val="steam_table4"/>
      <sheetName val="BLR_12"/>
      <sheetName val="GM_0002"/>
      <sheetName val="BSD__2_2"/>
      <sheetName val="BSD_(2)2"/>
      <sheetName val="Code_022"/>
      <sheetName val="Code_032"/>
      <sheetName val="Code_042"/>
      <sheetName val="Code_052"/>
      <sheetName val="Code_062"/>
      <sheetName val="Code_072"/>
      <sheetName val="Code_092"/>
      <sheetName val="Sheet3_(2)2"/>
      <sheetName val="ADL_DATA2"/>
      <sheetName val="FIRE_FIGHTING2"/>
      <sheetName val="BM_2"/>
      <sheetName val="DWG_LIST2"/>
      <sheetName val="Wind_Load(3_1)_(2)2"/>
      <sheetName val="Wind_Load(3_2)2"/>
      <sheetName val="Wind_Load(3_4)2"/>
      <sheetName val="Break_Down_Price2"/>
      <sheetName val="circular_bundle2"/>
      <sheetName val="steam_table2"/>
      <sheetName val="BLR_1"/>
      <sheetName val="GM_000"/>
      <sheetName val="BSD__2_"/>
      <sheetName val="BSD_(2)"/>
      <sheetName val="Code_02"/>
      <sheetName val="Code_03"/>
      <sheetName val="Code_04"/>
      <sheetName val="Code_05"/>
      <sheetName val="Code_06"/>
      <sheetName val="Code_07"/>
      <sheetName val="Code_09"/>
      <sheetName val="Sheet3_(2)"/>
      <sheetName val="ADL_DATA"/>
      <sheetName val="FIRE_FIGHTING"/>
      <sheetName val="BM_"/>
      <sheetName val="DWG_LIST"/>
      <sheetName val="Wind_Load(3_1)_(2)"/>
      <sheetName val="Wind_Load(3_2)"/>
      <sheetName val="Wind_Load(3_4)"/>
      <sheetName val="Break_Down_Price"/>
      <sheetName val="circular_bundle3"/>
      <sheetName val="steam_table3"/>
      <sheetName val="BLR_11"/>
      <sheetName val="GM_0001"/>
      <sheetName val="BSD__2_1"/>
      <sheetName val="BSD_(2)1"/>
      <sheetName val="Code_021"/>
      <sheetName val="Code_031"/>
      <sheetName val="Code_041"/>
      <sheetName val="Code_051"/>
      <sheetName val="Code_061"/>
      <sheetName val="Code_071"/>
      <sheetName val="Code_091"/>
      <sheetName val="Sheet3_(2)1"/>
      <sheetName val="ADL_DATA1"/>
      <sheetName val="FIRE_FIGHTING1"/>
      <sheetName val="BM_1"/>
      <sheetName val="DWG_LIST1"/>
      <sheetName val="Wind_Load(3_1)_(2)1"/>
      <sheetName val="Wind_Load(3_2)1"/>
      <sheetName val="Wind_Load(3_4)1"/>
      <sheetName val="Break_Down_Price1"/>
      <sheetName val="circular_bundle6"/>
      <sheetName val="steam_table6"/>
      <sheetName val="BLR_14"/>
      <sheetName val="GM_0004"/>
      <sheetName val="BSD__2_4"/>
      <sheetName val="BSD_(2)4"/>
      <sheetName val="Code_024"/>
      <sheetName val="Code_034"/>
      <sheetName val="Code_044"/>
      <sheetName val="Code_054"/>
      <sheetName val="Code_064"/>
      <sheetName val="Code_074"/>
      <sheetName val="Code_094"/>
      <sheetName val="Sheet3_(2)4"/>
      <sheetName val="ADL_DATA4"/>
      <sheetName val="FIRE_FIGHTING4"/>
      <sheetName val="BM_4"/>
      <sheetName val="DWG_LIST4"/>
      <sheetName val="Wind_Load(3_1)_(2)4"/>
      <sheetName val="Wind_Load(3_2)4"/>
      <sheetName val="Wind_Load(3_4)4"/>
      <sheetName val="Break_Down_Price4"/>
      <sheetName val="circular_bundle5"/>
      <sheetName val="steam_table5"/>
      <sheetName val="BLR_13"/>
      <sheetName val="GM_0003"/>
      <sheetName val="BSD__2_3"/>
      <sheetName val="BSD_(2)3"/>
      <sheetName val="Code_023"/>
      <sheetName val="Code_033"/>
      <sheetName val="Code_043"/>
      <sheetName val="Code_053"/>
      <sheetName val="Code_063"/>
      <sheetName val="Code_073"/>
      <sheetName val="Code_093"/>
      <sheetName val="Sheet3_(2)3"/>
      <sheetName val="ADL_DATA3"/>
      <sheetName val="FIRE_FIGHTING3"/>
      <sheetName val="BM_3"/>
      <sheetName val="DWG_LIST3"/>
      <sheetName val="Wind_Load(3_1)_(2)3"/>
      <sheetName val="Wind_Load(3_2)3"/>
      <sheetName val="Wind_Load(3_4)3"/>
      <sheetName val="Break_Down_Price3"/>
      <sheetName val="w't table"/>
      <sheetName val="갑지"/>
      <sheetName val="Erection"/>
      <sheetName val="Sheet2"/>
      <sheetName val="circular_bundle7"/>
      <sheetName val="steam_table7"/>
      <sheetName val="BLR_15"/>
      <sheetName val="GM_0005"/>
      <sheetName val="BSD__2_5"/>
      <sheetName val="BSD_(2)5"/>
      <sheetName val="Code_025"/>
      <sheetName val="Code_035"/>
      <sheetName val="Code_045"/>
      <sheetName val="Code_055"/>
      <sheetName val="Code_065"/>
      <sheetName val="Code_075"/>
      <sheetName val="Code_095"/>
      <sheetName val="Sheet3_(2)5"/>
      <sheetName val="ADL_DATA5"/>
      <sheetName val="FIRE_FIGHTING5"/>
      <sheetName val="Wind_Load(3_1)_(2)5"/>
      <sheetName val="Wind_Load(3_2)5"/>
      <sheetName val="Wind_Load(3_4)5"/>
      <sheetName val="BM_5"/>
      <sheetName val="DWG_LIST5"/>
      <sheetName val="Break_Down_Price5"/>
      <sheetName val="Mech_CIF"/>
      <sheetName val="Eq__Mobilization"/>
      <sheetName val="w't_table"/>
      <sheetName val="circular_bundle8"/>
      <sheetName val="steam_table8"/>
      <sheetName val="BLR_16"/>
      <sheetName val="GM_0006"/>
      <sheetName val="BSD__2_6"/>
      <sheetName val="BSD_(2)6"/>
      <sheetName val="Code_026"/>
      <sheetName val="Code_036"/>
      <sheetName val="Code_046"/>
      <sheetName val="Code_056"/>
      <sheetName val="Code_066"/>
      <sheetName val="Code_076"/>
      <sheetName val="Code_096"/>
      <sheetName val="Sheet3_(2)6"/>
      <sheetName val="ADL_DATA6"/>
      <sheetName val="FIRE_FIGHTING6"/>
      <sheetName val="Wind_Load(3_1)_(2)6"/>
      <sheetName val="Wind_Load(3_2)6"/>
      <sheetName val="Wind_Load(3_4)6"/>
      <sheetName val="BM_6"/>
      <sheetName val="DWG_LIST6"/>
      <sheetName val="Break_Down_Price6"/>
      <sheetName val="Mech_CIF1"/>
      <sheetName val="Eq__Mobilization1"/>
      <sheetName val="w't_table1"/>
      <sheetName val="circular_bundle9"/>
      <sheetName val="steam_table9"/>
      <sheetName val="BLR_17"/>
      <sheetName val="GM_0007"/>
      <sheetName val="BSD__2_7"/>
      <sheetName val="BSD_(2)7"/>
      <sheetName val="Code_027"/>
      <sheetName val="Code_037"/>
      <sheetName val="Code_047"/>
      <sheetName val="Code_057"/>
      <sheetName val="Code_067"/>
      <sheetName val="Code_077"/>
      <sheetName val="Code_097"/>
      <sheetName val="Sheet3_(2)7"/>
      <sheetName val="Wind_Load(3_1)_(2)7"/>
      <sheetName val="Wind_Load(3_2)7"/>
      <sheetName val="Wind_Load(3_4)7"/>
      <sheetName val="ADL_DATA7"/>
      <sheetName val="FIRE_FIGHTING7"/>
      <sheetName val="BM_7"/>
      <sheetName val="DWG_LIST7"/>
      <sheetName val="Break_Down_Price7"/>
      <sheetName val="Mech_CIF2"/>
      <sheetName val="Eq__Mobilization2"/>
      <sheetName val="w't_table2"/>
      <sheetName val="circular_bundle10"/>
      <sheetName val="steam_table10"/>
      <sheetName val="BLR_18"/>
      <sheetName val="GM_0008"/>
      <sheetName val="BSD__2_8"/>
      <sheetName val="BSD_(2)8"/>
      <sheetName val="Code_028"/>
      <sheetName val="Code_038"/>
      <sheetName val="Code_048"/>
      <sheetName val="Code_058"/>
      <sheetName val="Code_068"/>
      <sheetName val="Code_078"/>
      <sheetName val="Code_098"/>
      <sheetName val="Sheet3_(2)8"/>
      <sheetName val="Wind_Load(3_1)_(2)8"/>
      <sheetName val="Wind_Load(3_2)8"/>
      <sheetName val="Wind_Load(3_4)8"/>
      <sheetName val="ADL_DATA8"/>
      <sheetName val="FIRE_FIGHTING8"/>
      <sheetName val="BM_8"/>
      <sheetName val="DWG_LIST8"/>
      <sheetName val="Break_Down_Price8"/>
      <sheetName val="Mech_CIF3"/>
      <sheetName val="Eq__Mobilization3"/>
      <sheetName val="w't_table3"/>
      <sheetName val="Labor"/>
      <sheetName val="WT-LIST"/>
      <sheetName val="labor1"/>
      <sheetName val="index"/>
      <sheetName val="BQ"/>
      <sheetName val="Sheet1"/>
      <sheetName val="PLAN_FEB97"/>
      <sheetName val="차액보증"/>
      <sheetName val="3D-HOR"/>
      <sheetName val="3D-PEN"/>
      <sheetName val="ELE3D"/>
      <sheetName val="ELE DATA"/>
      <sheetName val="ELEMENT BM"/>
      <sheetName val="TubePR"/>
      <sheetName val="UPPER-CP(표지)"/>
      <sheetName val="UPPER-CP(상세)"/>
      <sheetName val="LOWER-CP(표지)"/>
      <sheetName val="LOWER-CP(상세)"/>
      <sheetName val="PENDANT-CP(표지)"/>
      <sheetName val="PENDANT-CP(상세)"/>
      <sheetName val="hotwell_sizing"/>
      <sheetName val="Tubesheet Th'k"/>
      <sheetName val="ESTI."/>
      <sheetName val="DI-ESTI"/>
      <sheetName val="22-Plant"/>
      <sheetName val="Supervision List"/>
      <sheetName val="기계내역서"/>
      <sheetName val="사진"/>
      <sheetName val="설산1.나"/>
      <sheetName val="본사S"/>
      <sheetName val="DATA LISTS"/>
      <sheetName val="ancillary"/>
      <sheetName val="PumpSpec"/>
      <sheetName val="co-no.2"/>
      <sheetName val="h-013211-2"/>
      <sheetName val="Table"/>
    </sheetNames>
    <sheetDataSet>
      <sheetData sheetId="0" refreshError="1"/>
      <sheetData sheetId="1" refreshError="1">
        <row r="5">
          <cell r="N5">
            <v>20</v>
          </cell>
          <cell r="O5">
            <v>2454.3000000000002</v>
          </cell>
          <cell r="P5">
            <v>21</v>
          </cell>
          <cell r="Q5">
            <v>2452</v>
          </cell>
        </row>
        <row r="6">
          <cell r="N6">
            <v>21</v>
          </cell>
          <cell r="O6">
            <v>2452</v>
          </cell>
          <cell r="P6">
            <v>22</v>
          </cell>
          <cell r="Q6">
            <v>2449.6</v>
          </cell>
        </row>
        <row r="7">
          <cell r="N7">
            <v>22</v>
          </cell>
          <cell r="O7">
            <v>2449.6</v>
          </cell>
          <cell r="P7">
            <v>23</v>
          </cell>
          <cell r="Q7">
            <v>2447.1999999999998</v>
          </cell>
        </row>
        <row r="8">
          <cell r="N8">
            <v>23</v>
          </cell>
          <cell r="O8">
            <v>2447.1999999999998</v>
          </cell>
          <cell r="P8">
            <v>24</v>
          </cell>
          <cell r="Q8">
            <v>2444.9</v>
          </cell>
        </row>
        <row r="9">
          <cell r="N9">
            <v>24</v>
          </cell>
          <cell r="O9">
            <v>2444.9</v>
          </cell>
          <cell r="P9">
            <v>25</v>
          </cell>
          <cell r="Q9">
            <v>2442.5</v>
          </cell>
        </row>
        <row r="10">
          <cell r="N10">
            <v>25</v>
          </cell>
          <cell r="O10">
            <v>2442.5</v>
          </cell>
          <cell r="P10">
            <v>26</v>
          </cell>
          <cell r="Q10">
            <v>2440.1999999999998</v>
          </cell>
        </row>
        <row r="11">
          <cell r="N11">
            <v>26</v>
          </cell>
          <cell r="O11">
            <v>2440.1999999999998</v>
          </cell>
          <cell r="P11">
            <v>27</v>
          </cell>
          <cell r="Q11">
            <v>2437.8000000000002</v>
          </cell>
        </row>
        <row r="12">
          <cell r="N12">
            <v>27</v>
          </cell>
          <cell r="O12">
            <v>2437.8000000000002</v>
          </cell>
          <cell r="P12">
            <v>28</v>
          </cell>
          <cell r="Q12">
            <v>2435.4</v>
          </cell>
        </row>
        <row r="13">
          <cell r="N13">
            <v>28</v>
          </cell>
          <cell r="O13">
            <v>2435.4</v>
          </cell>
          <cell r="P13">
            <v>29</v>
          </cell>
          <cell r="Q13">
            <v>2433.1</v>
          </cell>
        </row>
        <row r="14">
          <cell r="N14">
            <v>29</v>
          </cell>
          <cell r="O14">
            <v>2433.1</v>
          </cell>
          <cell r="P14">
            <v>30</v>
          </cell>
          <cell r="Q14">
            <v>2430.6999999999998</v>
          </cell>
        </row>
        <row r="15">
          <cell r="N15">
            <v>30</v>
          </cell>
          <cell r="O15">
            <v>2430.6999999999998</v>
          </cell>
          <cell r="P15">
            <v>31</v>
          </cell>
          <cell r="Q15">
            <v>2428.3000000000002</v>
          </cell>
        </row>
        <row r="16">
          <cell r="N16">
            <v>31</v>
          </cell>
          <cell r="O16">
            <v>2428.3000000000002</v>
          </cell>
          <cell r="P16">
            <v>32</v>
          </cell>
          <cell r="Q16">
            <v>2425.9</v>
          </cell>
        </row>
        <row r="17">
          <cell r="N17">
            <v>32</v>
          </cell>
          <cell r="O17">
            <v>2425.9</v>
          </cell>
          <cell r="P17">
            <v>33</v>
          </cell>
          <cell r="Q17">
            <v>2423.6</v>
          </cell>
        </row>
        <row r="18">
          <cell r="N18">
            <v>33</v>
          </cell>
          <cell r="O18">
            <v>2423.6</v>
          </cell>
          <cell r="P18">
            <v>34</v>
          </cell>
          <cell r="Q18">
            <v>2421.1999999999998</v>
          </cell>
        </row>
        <row r="19">
          <cell r="N19">
            <v>34</v>
          </cell>
          <cell r="O19">
            <v>2421.1999999999998</v>
          </cell>
          <cell r="P19">
            <v>35</v>
          </cell>
          <cell r="Q19">
            <v>2418.8000000000002</v>
          </cell>
        </row>
        <row r="20">
          <cell r="N20">
            <v>35</v>
          </cell>
          <cell r="O20">
            <v>2418.8000000000002</v>
          </cell>
          <cell r="P20">
            <v>36</v>
          </cell>
          <cell r="Q20">
            <v>2416.4</v>
          </cell>
        </row>
        <row r="21">
          <cell r="N21">
            <v>36</v>
          </cell>
          <cell r="O21">
            <v>2416.4</v>
          </cell>
          <cell r="P21">
            <v>37</v>
          </cell>
          <cell r="Q21">
            <v>2414.1</v>
          </cell>
        </row>
        <row r="22">
          <cell r="N22">
            <v>37</v>
          </cell>
          <cell r="O22">
            <v>2414.1</v>
          </cell>
          <cell r="P22">
            <v>38</v>
          </cell>
          <cell r="Q22">
            <v>2411.6999999999998</v>
          </cell>
        </row>
        <row r="23">
          <cell r="N23">
            <v>38</v>
          </cell>
          <cell r="O23">
            <v>2411.6999999999998</v>
          </cell>
          <cell r="P23">
            <v>39</v>
          </cell>
          <cell r="Q23">
            <v>2409.3000000000002</v>
          </cell>
        </row>
        <row r="24">
          <cell r="N24">
            <v>39</v>
          </cell>
          <cell r="O24">
            <v>2409.3000000000002</v>
          </cell>
          <cell r="P24">
            <v>40</v>
          </cell>
          <cell r="Q24">
            <v>2406.9</v>
          </cell>
        </row>
        <row r="25">
          <cell r="N25">
            <v>40</v>
          </cell>
          <cell r="O25">
            <v>2406.9</v>
          </cell>
          <cell r="P25">
            <v>41</v>
          </cell>
          <cell r="Q25">
            <v>2404.5</v>
          </cell>
        </row>
        <row r="26">
          <cell r="N26">
            <v>41</v>
          </cell>
          <cell r="O26">
            <v>2404.5</v>
          </cell>
          <cell r="P26">
            <v>42</v>
          </cell>
          <cell r="Q26">
            <v>2402.1</v>
          </cell>
        </row>
        <row r="27">
          <cell r="N27">
            <v>42</v>
          </cell>
          <cell r="O27">
            <v>2402.1</v>
          </cell>
          <cell r="P27">
            <v>43</v>
          </cell>
          <cell r="Q27">
            <v>2399.6999999999998</v>
          </cell>
        </row>
        <row r="28">
          <cell r="N28">
            <v>43</v>
          </cell>
          <cell r="O28">
            <v>2399.6999999999998</v>
          </cell>
          <cell r="P28">
            <v>44</v>
          </cell>
          <cell r="Q28">
            <v>2397.3000000000002</v>
          </cell>
        </row>
        <row r="29">
          <cell r="N29">
            <v>44</v>
          </cell>
          <cell r="O29">
            <v>2397.3000000000002</v>
          </cell>
          <cell r="P29">
            <v>45</v>
          </cell>
          <cell r="Q29">
            <v>2394.9</v>
          </cell>
        </row>
        <row r="30">
          <cell r="N30">
            <v>45</v>
          </cell>
          <cell r="O30">
            <v>2394.9</v>
          </cell>
          <cell r="P30">
            <v>46</v>
          </cell>
          <cell r="Q30">
            <v>2392.5</v>
          </cell>
        </row>
        <row r="31">
          <cell r="N31">
            <v>46</v>
          </cell>
          <cell r="O31">
            <v>2392.5</v>
          </cell>
          <cell r="P31">
            <v>47</v>
          </cell>
          <cell r="Q31">
            <v>2390.1</v>
          </cell>
        </row>
        <row r="32">
          <cell r="N32">
            <v>47</v>
          </cell>
          <cell r="O32">
            <v>2390.1</v>
          </cell>
          <cell r="P32">
            <v>48</v>
          </cell>
          <cell r="Q32">
            <v>2387.6999999999998</v>
          </cell>
        </row>
        <row r="33">
          <cell r="N33">
            <v>48</v>
          </cell>
          <cell r="O33">
            <v>2387.6999999999998</v>
          </cell>
          <cell r="P33">
            <v>49</v>
          </cell>
          <cell r="Q33">
            <v>2385.3000000000002</v>
          </cell>
        </row>
        <row r="34">
          <cell r="N34">
            <v>49</v>
          </cell>
          <cell r="O34">
            <v>2385.3000000000002</v>
          </cell>
          <cell r="P34">
            <v>50</v>
          </cell>
          <cell r="Q34">
            <v>2382.9</v>
          </cell>
        </row>
        <row r="35">
          <cell r="N35">
            <v>50</v>
          </cell>
          <cell r="O35">
            <v>2382.9</v>
          </cell>
          <cell r="P35">
            <v>51</v>
          </cell>
          <cell r="Q35">
            <v>2380.5</v>
          </cell>
        </row>
        <row r="36">
          <cell r="N36">
            <v>51</v>
          </cell>
          <cell r="O36">
            <v>2380.5</v>
          </cell>
          <cell r="P36">
            <v>52</v>
          </cell>
          <cell r="Q36">
            <v>2378.1</v>
          </cell>
        </row>
        <row r="37">
          <cell r="N37">
            <v>52</v>
          </cell>
          <cell r="O37">
            <v>2378.1</v>
          </cell>
          <cell r="P37">
            <v>53</v>
          </cell>
          <cell r="Q37">
            <v>2375.6999999999998</v>
          </cell>
        </row>
        <row r="38">
          <cell r="N38">
            <v>53</v>
          </cell>
          <cell r="O38">
            <v>2375.6999999999998</v>
          </cell>
          <cell r="P38">
            <v>54</v>
          </cell>
          <cell r="Q38">
            <v>2373.1999999999998</v>
          </cell>
        </row>
        <row r="39">
          <cell r="N39">
            <v>54</v>
          </cell>
          <cell r="O39">
            <v>2373.1999999999998</v>
          </cell>
          <cell r="P39">
            <v>55</v>
          </cell>
          <cell r="Q39">
            <v>2370.8000000000002</v>
          </cell>
        </row>
        <row r="40">
          <cell r="N40">
            <v>55</v>
          </cell>
          <cell r="O40">
            <v>2370.8000000000002</v>
          </cell>
          <cell r="P40">
            <v>56</v>
          </cell>
          <cell r="Q40">
            <v>2368.4</v>
          </cell>
        </row>
        <row r="41">
          <cell r="N41">
            <v>56</v>
          </cell>
          <cell r="O41">
            <v>2368.4</v>
          </cell>
          <cell r="P41">
            <v>57</v>
          </cell>
          <cell r="Q41">
            <v>2365.9</v>
          </cell>
        </row>
        <row r="42">
          <cell r="N42">
            <v>57</v>
          </cell>
          <cell r="O42">
            <v>2365.9</v>
          </cell>
          <cell r="P42">
            <v>58</v>
          </cell>
          <cell r="Q42">
            <v>2363.5</v>
          </cell>
        </row>
        <row r="43">
          <cell r="N43">
            <v>58</v>
          </cell>
          <cell r="O43">
            <v>2363.5</v>
          </cell>
          <cell r="P43">
            <v>59</v>
          </cell>
          <cell r="Q43">
            <v>2361.1</v>
          </cell>
        </row>
        <row r="44">
          <cell r="N44">
            <v>59</v>
          </cell>
          <cell r="O44">
            <v>2361.1</v>
          </cell>
          <cell r="P44">
            <v>60</v>
          </cell>
          <cell r="Q44">
            <v>2358.6</v>
          </cell>
        </row>
        <row r="45">
          <cell r="N45">
            <v>60</v>
          </cell>
          <cell r="O45">
            <v>2358.6</v>
          </cell>
          <cell r="P45">
            <v>61</v>
          </cell>
          <cell r="Q45">
            <v>2356.1999999999998</v>
          </cell>
        </row>
        <row r="46">
          <cell r="N46">
            <v>61</v>
          </cell>
          <cell r="O46">
            <v>2356.1999999999998</v>
          </cell>
          <cell r="P46">
            <v>62</v>
          </cell>
          <cell r="Q46">
            <v>2353.6999999999998</v>
          </cell>
        </row>
        <row r="47">
          <cell r="N47">
            <v>62</v>
          </cell>
          <cell r="O47">
            <v>2353.6999999999998</v>
          </cell>
          <cell r="P47">
            <v>63</v>
          </cell>
          <cell r="Q47">
            <v>2351.3000000000002</v>
          </cell>
        </row>
        <row r="48">
          <cell r="N48">
            <v>63</v>
          </cell>
          <cell r="O48">
            <v>2351.3000000000002</v>
          </cell>
          <cell r="P48">
            <v>64</v>
          </cell>
          <cell r="Q48">
            <v>2348.8000000000002</v>
          </cell>
        </row>
        <row r="49">
          <cell r="N49">
            <v>64</v>
          </cell>
          <cell r="O49">
            <v>2348.8000000000002</v>
          </cell>
          <cell r="P49">
            <v>65</v>
          </cell>
          <cell r="Q49">
            <v>2346.3000000000002</v>
          </cell>
        </row>
        <row r="50">
          <cell r="N50">
            <v>65</v>
          </cell>
          <cell r="O50">
            <v>2346.3000000000002</v>
          </cell>
          <cell r="P50">
            <v>66</v>
          </cell>
          <cell r="Q50">
            <v>2343.9</v>
          </cell>
        </row>
        <row r="51">
          <cell r="N51">
            <v>66</v>
          </cell>
          <cell r="O51">
            <v>2343.9</v>
          </cell>
          <cell r="P51">
            <v>67</v>
          </cell>
          <cell r="Q51">
            <v>2341.4</v>
          </cell>
        </row>
        <row r="52">
          <cell r="N52">
            <v>67</v>
          </cell>
          <cell r="O52">
            <v>2341.4</v>
          </cell>
          <cell r="P52">
            <v>68</v>
          </cell>
          <cell r="Q52">
            <v>2338.9</v>
          </cell>
        </row>
        <row r="53">
          <cell r="N53">
            <v>68</v>
          </cell>
          <cell r="O53">
            <v>2338.9</v>
          </cell>
          <cell r="P53">
            <v>69</v>
          </cell>
          <cell r="Q53">
            <v>2336.4</v>
          </cell>
        </row>
        <row r="54">
          <cell r="N54">
            <v>69</v>
          </cell>
          <cell r="O54">
            <v>2336.4</v>
          </cell>
          <cell r="P54">
            <v>70</v>
          </cell>
          <cell r="Q54">
            <v>2334</v>
          </cell>
        </row>
        <row r="55">
          <cell r="N55">
            <v>70</v>
          </cell>
          <cell r="O55">
            <v>2334</v>
          </cell>
          <cell r="P55">
            <v>71</v>
          </cell>
          <cell r="Q55">
            <v>2331.5</v>
          </cell>
        </row>
        <row r="56">
          <cell r="N56">
            <v>71</v>
          </cell>
          <cell r="O56">
            <v>2331.5</v>
          </cell>
          <cell r="P56">
            <v>72</v>
          </cell>
          <cell r="Q56">
            <v>2329</v>
          </cell>
        </row>
        <row r="57">
          <cell r="N57">
            <v>72</v>
          </cell>
          <cell r="O57">
            <v>2329</v>
          </cell>
          <cell r="P57">
            <v>73</v>
          </cell>
          <cell r="Q57">
            <v>2326.5</v>
          </cell>
        </row>
        <row r="58">
          <cell r="N58">
            <v>73</v>
          </cell>
          <cell r="O58">
            <v>2326.5</v>
          </cell>
          <cell r="P58">
            <v>74</v>
          </cell>
          <cell r="Q58">
            <v>2324</v>
          </cell>
        </row>
        <row r="59">
          <cell r="N59">
            <v>74</v>
          </cell>
          <cell r="O59">
            <v>2324</v>
          </cell>
          <cell r="P59">
            <v>75</v>
          </cell>
          <cell r="Q59">
            <v>2321.5</v>
          </cell>
        </row>
        <row r="60">
          <cell r="N60">
            <v>75</v>
          </cell>
          <cell r="O60">
            <v>2321.5</v>
          </cell>
          <cell r="P60">
            <v>76</v>
          </cell>
          <cell r="Q60">
            <v>2318.9</v>
          </cell>
        </row>
        <row r="61">
          <cell r="N61">
            <v>76</v>
          </cell>
          <cell r="O61">
            <v>2318.9</v>
          </cell>
          <cell r="P61">
            <v>77</v>
          </cell>
          <cell r="Q61">
            <v>2316.4</v>
          </cell>
        </row>
        <row r="62">
          <cell r="N62">
            <v>77</v>
          </cell>
          <cell r="O62">
            <v>2316.4</v>
          </cell>
          <cell r="P62">
            <v>78</v>
          </cell>
          <cell r="Q62">
            <v>2313.9</v>
          </cell>
        </row>
        <row r="63">
          <cell r="N63">
            <v>78</v>
          </cell>
          <cell r="O63">
            <v>2313.9</v>
          </cell>
          <cell r="P63">
            <v>79</v>
          </cell>
          <cell r="Q63">
            <v>2311.4</v>
          </cell>
        </row>
        <row r="64">
          <cell r="N64">
            <v>79</v>
          </cell>
          <cell r="O64">
            <v>2311.4</v>
          </cell>
          <cell r="P64">
            <v>80</v>
          </cell>
          <cell r="Q64">
            <v>2308.8000000000002</v>
          </cell>
        </row>
        <row r="65">
          <cell r="N65">
            <v>80</v>
          </cell>
          <cell r="O65">
            <v>2308.8000000000002</v>
          </cell>
          <cell r="P65">
            <v>81</v>
          </cell>
          <cell r="Q65">
            <v>2306.3000000000002</v>
          </cell>
        </row>
        <row r="66">
          <cell r="N66">
            <v>81</v>
          </cell>
          <cell r="O66">
            <v>2306.3000000000002</v>
          </cell>
          <cell r="P66">
            <v>82</v>
          </cell>
          <cell r="Q66">
            <v>2303.8000000000002</v>
          </cell>
        </row>
        <row r="67">
          <cell r="N67">
            <v>82</v>
          </cell>
          <cell r="O67">
            <v>2303.8000000000002</v>
          </cell>
          <cell r="P67">
            <v>83</v>
          </cell>
          <cell r="Q67">
            <v>2301.1999999999998</v>
          </cell>
        </row>
        <row r="68">
          <cell r="N68">
            <v>83</v>
          </cell>
          <cell r="O68">
            <v>2301.1999999999998</v>
          </cell>
          <cell r="P68">
            <v>84</v>
          </cell>
          <cell r="Q68">
            <v>2298.6999999999998</v>
          </cell>
        </row>
        <row r="69">
          <cell r="N69">
            <v>84</v>
          </cell>
          <cell r="O69">
            <v>2298.6999999999998</v>
          </cell>
          <cell r="P69">
            <v>85</v>
          </cell>
          <cell r="Q69">
            <v>2296.5</v>
          </cell>
        </row>
        <row r="70">
          <cell r="N70">
            <v>85</v>
          </cell>
          <cell r="O70">
            <v>2296.5</v>
          </cell>
          <cell r="P70">
            <v>86</v>
          </cell>
          <cell r="Q70">
            <v>2293.1</v>
          </cell>
        </row>
        <row r="71">
          <cell r="N71">
            <v>86</v>
          </cell>
          <cell r="O71">
            <v>2293.1</v>
          </cell>
          <cell r="P71">
            <v>87</v>
          </cell>
          <cell r="Q71">
            <v>2290.9</v>
          </cell>
        </row>
        <row r="72">
          <cell r="N72">
            <v>87</v>
          </cell>
          <cell r="O72">
            <v>2290.9</v>
          </cell>
          <cell r="P72">
            <v>88</v>
          </cell>
          <cell r="Q72">
            <v>2288.4</v>
          </cell>
        </row>
        <row r="73">
          <cell r="N73">
            <v>88</v>
          </cell>
          <cell r="O73">
            <v>2288.4</v>
          </cell>
          <cell r="P73">
            <v>89</v>
          </cell>
          <cell r="Q73">
            <v>2285.8000000000002</v>
          </cell>
        </row>
        <row r="74">
          <cell r="N74">
            <v>89</v>
          </cell>
          <cell r="O74">
            <v>2285.8000000000002</v>
          </cell>
          <cell r="P74">
            <v>90</v>
          </cell>
          <cell r="Q74">
            <v>2283.1999999999998</v>
          </cell>
        </row>
        <row r="75">
          <cell r="N75">
            <v>90</v>
          </cell>
          <cell r="O75">
            <v>2283.1999999999998</v>
          </cell>
          <cell r="P75">
            <v>91</v>
          </cell>
          <cell r="Q75">
            <v>2280.6</v>
          </cell>
        </row>
        <row r="76">
          <cell r="N76">
            <v>91</v>
          </cell>
          <cell r="O76">
            <v>2280.6</v>
          </cell>
          <cell r="P76">
            <v>92</v>
          </cell>
          <cell r="Q76">
            <v>2278</v>
          </cell>
        </row>
        <row r="77">
          <cell r="N77">
            <v>92</v>
          </cell>
          <cell r="O77">
            <v>2278</v>
          </cell>
          <cell r="P77">
            <v>93</v>
          </cell>
          <cell r="Q77">
            <v>2275.4</v>
          </cell>
        </row>
        <row r="78">
          <cell r="N78">
            <v>93</v>
          </cell>
          <cell r="O78">
            <v>2275.4</v>
          </cell>
          <cell r="P78">
            <v>94</v>
          </cell>
          <cell r="Q78">
            <v>2272.8000000000002</v>
          </cell>
        </row>
        <row r="79">
          <cell r="N79">
            <v>94</v>
          </cell>
          <cell r="O79">
            <v>2272.8000000000002</v>
          </cell>
          <cell r="P79">
            <v>95</v>
          </cell>
          <cell r="Q79">
            <v>2270.1999999999998</v>
          </cell>
        </row>
        <row r="80">
          <cell r="N80">
            <v>95</v>
          </cell>
          <cell r="O80">
            <v>2270.1999999999998</v>
          </cell>
          <cell r="P80">
            <v>96</v>
          </cell>
          <cell r="Q80">
            <v>2267.5</v>
          </cell>
        </row>
        <row r="81">
          <cell r="N81">
            <v>96</v>
          </cell>
          <cell r="O81">
            <v>2267.5</v>
          </cell>
          <cell r="P81">
            <v>97</v>
          </cell>
          <cell r="Q81">
            <v>2264.9</v>
          </cell>
        </row>
        <row r="82">
          <cell r="N82">
            <v>97</v>
          </cell>
          <cell r="O82">
            <v>2264.9</v>
          </cell>
          <cell r="P82">
            <v>98</v>
          </cell>
          <cell r="Q82">
            <v>2262.1999999999998</v>
          </cell>
        </row>
        <row r="83">
          <cell r="N83">
            <v>98</v>
          </cell>
          <cell r="O83">
            <v>2262.1999999999998</v>
          </cell>
          <cell r="P83">
            <v>99</v>
          </cell>
          <cell r="Q83">
            <v>2259.6</v>
          </cell>
        </row>
        <row r="84">
          <cell r="N84">
            <v>99</v>
          </cell>
          <cell r="O84">
            <v>2259.6</v>
          </cell>
          <cell r="P84">
            <v>100</v>
          </cell>
          <cell r="Q84">
            <v>2256.9</v>
          </cell>
        </row>
        <row r="85">
          <cell r="N85">
            <v>100</v>
          </cell>
          <cell r="O85">
            <v>2256.9</v>
          </cell>
          <cell r="P85">
            <v>101</v>
          </cell>
          <cell r="Q85">
            <v>2254.3000000000002</v>
          </cell>
        </row>
        <row r="86">
          <cell r="N86">
            <v>101</v>
          </cell>
          <cell r="O86">
            <v>2254.3000000000002</v>
          </cell>
          <cell r="P86">
            <v>102</v>
          </cell>
          <cell r="Q86">
            <v>2251.6</v>
          </cell>
        </row>
        <row r="87">
          <cell r="N87">
            <v>102</v>
          </cell>
          <cell r="O87">
            <v>2251.6</v>
          </cell>
          <cell r="P87">
            <v>103</v>
          </cell>
          <cell r="Q87">
            <v>2248.9</v>
          </cell>
        </row>
        <row r="88">
          <cell r="N88">
            <v>103</v>
          </cell>
          <cell r="O88">
            <v>2248.9</v>
          </cell>
          <cell r="P88">
            <v>104</v>
          </cell>
          <cell r="Q88">
            <v>2246.3000000000002</v>
          </cell>
        </row>
        <row r="89">
          <cell r="N89">
            <v>104</v>
          </cell>
          <cell r="O89">
            <v>2246.3000000000002</v>
          </cell>
          <cell r="P89">
            <v>105</v>
          </cell>
          <cell r="Q89">
            <v>2243.6</v>
          </cell>
        </row>
        <row r="90">
          <cell r="N90">
            <v>105</v>
          </cell>
          <cell r="O90">
            <v>2243.6</v>
          </cell>
          <cell r="P90">
            <v>106</v>
          </cell>
          <cell r="Q90">
            <v>2240.9</v>
          </cell>
        </row>
        <row r="91">
          <cell r="N91">
            <v>106</v>
          </cell>
          <cell r="O91">
            <v>2240.9</v>
          </cell>
          <cell r="P91">
            <v>107</v>
          </cell>
          <cell r="Q91">
            <v>2238.1999999999998</v>
          </cell>
        </row>
        <row r="92">
          <cell r="N92">
            <v>107</v>
          </cell>
          <cell r="O92">
            <v>2238.1999999999998</v>
          </cell>
          <cell r="P92">
            <v>108</v>
          </cell>
          <cell r="Q92">
            <v>2235.4</v>
          </cell>
        </row>
        <row r="93">
          <cell r="N93">
            <v>108</v>
          </cell>
          <cell r="O93">
            <v>2235.4</v>
          </cell>
          <cell r="P93">
            <v>109</v>
          </cell>
          <cell r="Q93">
            <v>2232.6999999999998</v>
          </cell>
        </row>
        <row r="94">
          <cell r="N94">
            <v>109</v>
          </cell>
          <cell r="O94">
            <v>2232.6999999999998</v>
          </cell>
          <cell r="P94">
            <v>110</v>
          </cell>
          <cell r="Q94">
            <v>2230</v>
          </cell>
        </row>
        <row r="95">
          <cell r="N95">
            <v>110</v>
          </cell>
          <cell r="O95">
            <v>2230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ow r="5">
          <cell r="N5">
            <v>20</v>
          </cell>
        </row>
      </sheetData>
      <sheetData sheetId="116">
        <row r="5">
          <cell r="N5">
            <v>20</v>
          </cell>
        </row>
      </sheetData>
      <sheetData sheetId="117">
        <row r="5">
          <cell r="N5">
            <v>20</v>
          </cell>
        </row>
      </sheetData>
      <sheetData sheetId="118">
        <row r="5">
          <cell r="N5">
            <v>20</v>
          </cell>
        </row>
      </sheetData>
      <sheetData sheetId="119">
        <row r="5">
          <cell r="N5">
            <v>20</v>
          </cell>
        </row>
      </sheetData>
      <sheetData sheetId="120">
        <row r="5">
          <cell r="N5">
            <v>20</v>
          </cell>
        </row>
      </sheetData>
      <sheetData sheetId="121">
        <row r="5">
          <cell r="N5">
            <v>20</v>
          </cell>
        </row>
      </sheetData>
      <sheetData sheetId="122">
        <row r="5">
          <cell r="N5">
            <v>20</v>
          </cell>
        </row>
      </sheetData>
      <sheetData sheetId="123">
        <row r="5">
          <cell r="N5">
            <v>20</v>
          </cell>
        </row>
      </sheetData>
      <sheetData sheetId="124">
        <row r="5">
          <cell r="N5">
            <v>20</v>
          </cell>
        </row>
      </sheetData>
      <sheetData sheetId="125">
        <row r="5">
          <cell r="N5">
            <v>20</v>
          </cell>
        </row>
      </sheetData>
      <sheetData sheetId="126">
        <row r="5">
          <cell r="N5">
            <v>20</v>
          </cell>
        </row>
      </sheetData>
      <sheetData sheetId="127">
        <row r="5">
          <cell r="N5">
            <v>20</v>
          </cell>
        </row>
      </sheetData>
      <sheetData sheetId="128">
        <row r="5">
          <cell r="N5">
            <v>20</v>
          </cell>
        </row>
      </sheetData>
      <sheetData sheetId="129">
        <row r="5">
          <cell r="N5">
            <v>20</v>
          </cell>
        </row>
      </sheetData>
      <sheetData sheetId="130">
        <row r="5">
          <cell r="N5">
            <v>20</v>
          </cell>
        </row>
      </sheetData>
      <sheetData sheetId="131">
        <row r="5">
          <cell r="N5">
            <v>20</v>
          </cell>
        </row>
      </sheetData>
      <sheetData sheetId="132">
        <row r="5">
          <cell r="N5">
            <v>20</v>
          </cell>
        </row>
      </sheetData>
      <sheetData sheetId="133">
        <row r="5">
          <cell r="N5">
            <v>20</v>
          </cell>
        </row>
      </sheetData>
      <sheetData sheetId="134">
        <row r="5">
          <cell r="N5">
            <v>20</v>
          </cell>
        </row>
      </sheetData>
      <sheetData sheetId="135">
        <row r="5">
          <cell r="N5">
            <v>20</v>
          </cell>
        </row>
      </sheetData>
      <sheetData sheetId="136">
        <row r="5">
          <cell r="N5">
            <v>20</v>
          </cell>
        </row>
      </sheetData>
      <sheetData sheetId="137">
        <row r="5">
          <cell r="N5">
            <v>20</v>
          </cell>
        </row>
      </sheetData>
      <sheetData sheetId="138">
        <row r="5">
          <cell r="N5">
            <v>20</v>
          </cell>
        </row>
      </sheetData>
      <sheetData sheetId="139">
        <row r="5">
          <cell r="N5">
            <v>20</v>
          </cell>
        </row>
      </sheetData>
      <sheetData sheetId="140">
        <row r="5">
          <cell r="N5">
            <v>20</v>
          </cell>
        </row>
      </sheetData>
      <sheetData sheetId="141">
        <row r="5">
          <cell r="N5">
            <v>20</v>
          </cell>
        </row>
      </sheetData>
      <sheetData sheetId="142">
        <row r="5">
          <cell r="N5">
            <v>20</v>
          </cell>
        </row>
      </sheetData>
      <sheetData sheetId="143">
        <row r="5">
          <cell r="N5">
            <v>20</v>
          </cell>
        </row>
      </sheetData>
      <sheetData sheetId="144">
        <row r="5">
          <cell r="N5">
            <v>20</v>
          </cell>
        </row>
      </sheetData>
      <sheetData sheetId="145">
        <row r="5">
          <cell r="N5">
            <v>20</v>
          </cell>
        </row>
      </sheetData>
      <sheetData sheetId="146">
        <row r="5">
          <cell r="N5">
            <v>20</v>
          </cell>
        </row>
      </sheetData>
      <sheetData sheetId="147">
        <row r="5">
          <cell r="N5">
            <v>20</v>
          </cell>
        </row>
      </sheetData>
      <sheetData sheetId="148">
        <row r="5">
          <cell r="N5">
            <v>20</v>
          </cell>
        </row>
      </sheetData>
      <sheetData sheetId="149">
        <row r="5">
          <cell r="N5">
            <v>20</v>
          </cell>
        </row>
      </sheetData>
      <sheetData sheetId="150">
        <row r="5">
          <cell r="N5">
            <v>20</v>
          </cell>
        </row>
      </sheetData>
      <sheetData sheetId="151">
        <row r="5">
          <cell r="N5">
            <v>20</v>
          </cell>
        </row>
      </sheetData>
      <sheetData sheetId="152">
        <row r="5">
          <cell r="N5">
            <v>20</v>
          </cell>
        </row>
      </sheetData>
      <sheetData sheetId="153">
        <row r="5">
          <cell r="N5">
            <v>20</v>
          </cell>
        </row>
      </sheetData>
      <sheetData sheetId="154">
        <row r="5">
          <cell r="N5">
            <v>20</v>
          </cell>
        </row>
      </sheetData>
      <sheetData sheetId="155">
        <row r="5">
          <cell r="N5">
            <v>20</v>
          </cell>
        </row>
      </sheetData>
      <sheetData sheetId="156">
        <row r="5">
          <cell r="N5">
            <v>20</v>
          </cell>
        </row>
      </sheetData>
      <sheetData sheetId="157">
        <row r="5">
          <cell r="N5">
            <v>20</v>
          </cell>
        </row>
      </sheetData>
      <sheetData sheetId="158">
        <row r="5">
          <cell r="N5">
            <v>20</v>
          </cell>
        </row>
      </sheetData>
      <sheetData sheetId="159">
        <row r="5">
          <cell r="N5">
            <v>20</v>
          </cell>
        </row>
      </sheetData>
      <sheetData sheetId="160">
        <row r="5">
          <cell r="N5">
            <v>20</v>
          </cell>
        </row>
      </sheetData>
      <sheetData sheetId="161">
        <row r="5">
          <cell r="N5">
            <v>20</v>
          </cell>
        </row>
      </sheetData>
      <sheetData sheetId="162">
        <row r="5">
          <cell r="N5">
            <v>20</v>
          </cell>
        </row>
      </sheetData>
      <sheetData sheetId="163">
        <row r="5">
          <cell r="N5">
            <v>20</v>
          </cell>
        </row>
      </sheetData>
      <sheetData sheetId="164">
        <row r="5">
          <cell r="N5">
            <v>20</v>
          </cell>
        </row>
      </sheetData>
      <sheetData sheetId="165">
        <row r="5">
          <cell r="N5">
            <v>20</v>
          </cell>
        </row>
      </sheetData>
      <sheetData sheetId="166">
        <row r="5">
          <cell r="N5">
            <v>20</v>
          </cell>
        </row>
      </sheetData>
      <sheetData sheetId="167">
        <row r="5">
          <cell r="N5">
            <v>20</v>
          </cell>
        </row>
      </sheetData>
      <sheetData sheetId="168">
        <row r="5">
          <cell r="N5">
            <v>20</v>
          </cell>
        </row>
      </sheetData>
      <sheetData sheetId="169">
        <row r="5">
          <cell r="N5">
            <v>20</v>
          </cell>
        </row>
      </sheetData>
      <sheetData sheetId="170">
        <row r="5">
          <cell r="N5">
            <v>20</v>
          </cell>
        </row>
      </sheetData>
      <sheetData sheetId="171">
        <row r="5">
          <cell r="N5">
            <v>20</v>
          </cell>
        </row>
      </sheetData>
      <sheetData sheetId="172">
        <row r="5">
          <cell r="N5">
            <v>20</v>
          </cell>
        </row>
      </sheetData>
      <sheetData sheetId="173">
        <row r="5">
          <cell r="N5">
            <v>20</v>
          </cell>
        </row>
      </sheetData>
      <sheetData sheetId="174">
        <row r="5">
          <cell r="N5">
            <v>20</v>
          </cell>
        </row>
      </sheetData>
      <sheetData sheetId="175">
        <row r="5">
          <cell r="N5">
            <v>20</v>
          </cell>
        </row>
      </sheetData>
      <sheetData sheetId="176">
        <row r="5">
          <cell r="N5">
            <v>20</v>
          </cell>
        </row>
      </sheetData>
      <sheetData sheetId="177">
        <row r="5">
          <cell r="N5">
            <v>20</v>
          </cell>
        </row>
      </sheetData>
      <sheetData sheetId="178">
        <row r="5">
          <cell r="N5">
            <v>20</v>
          </cell>
        </row>
      </sheetData>
      <sheetData sheetId="179">
        <row r="5">
          <cell r="N5">
            <v>20</v>
          </cell>
        </row>
      </sheetData>
      <sheetData sheetId="180">
        <row r="5">
          <cell r="N5">
            <v>20</v>
          </cell>
        </row>
      </sheetData>
      <sheetData sheetId="181">
        <row r="5">
          <cell r="N5">
            <v>20</v>
          </cell>
        </row>
      </sheetData>
      <sheetData sheetId="182">
        <row r="5">
          <cell r="N5">
            <v>20</v>
          </cell>
        </row>
      </sheetData>
      <sheetData sheetId="183">
        <row r="5">
          <cell r="N5">
            <v>20</v>
          </cell>
        </row>
      </sheetData>
      <sheetData sheetId="184">
        <row r="5">
          <cell r="N5">
            <v>20</v>
          </cell>
        </row>
      </sheetData>
      <sheetData sheetId="185">
        <row r="5">
          <cell r="N5">
            <v>20</v>
          </cell>
        </row>
      </sheetData>
      <sheetData sheetId="186">
        <row r="5">
          <cell r="N5">
            <v>20</v>
          </cell>
        </row>
      </sheetData>
      <sheetData sheetId="187">
        <row r="5">
          <cell r="N5">
            <v>20</v>
          </cell>
        </row>
      </sheetData>
      <sheetData sheetId="188">
        <row r="5">
          <cell r="N5">
            <v>20</v>
          </cell>
        </row>
      </sheetData>
      <sheetData sheetId="189">
        <row r="5">
          <cell r="N5">
            <v>20</v>
          </cell>
        </row>
      </sheetData>
      <sheetData sheetId="190">
        <row r="5">
          <cell r="N5">
            <v>20</v>
          </cell>
        </row>
      </sheetData>
      <sheetData sheetId="191">
        <row r="5">
          <cell r="N5">
            <v>20</v>
          </cell>
        </row>
      </sheetData>
      <sheetData sheetId="192">
        <row r="5">
          <cell r="N5">
            <v>20</v>
          </cell>
        </row>
      </sheetData>
      <sheetData sheetId="193">
        <row r="5">
          <cell r="N5">
            <v>20</v>
          </cell>
        </row>
      </sheetData>
      <sheetData sheetId="194">
        <row r="5">
          <cell r="N5">
            <v>20</v>
          </cell>
        </row>
      </sheetData>
      <sheetData sheetId="195">
        <row r="5">
          <cell r="N5">
            <v>20</v>
          </cell>
        </row>
      </sheetData>
      <sheetData sheetId="196">
        <row r="5">
          <cell r="N5">
            <v>20</v>
          </cell>
        </row>
      </sheetData>
      <sheetData sheetId="197">
        <row r="5">
          <cell r="N5">
            <v>20</v>
          </cell>
        </row>
      </sheetData>
      <sheetData sheetId="198">
        <row r="5">
          <cell r="N5">
            <v>20</v>
          </cell>
        </row>
      </sheetData>
      <sheetData sheetId="199">
        <row r="5">
          <cell r="N5">
            <v>20</v>
          </cell>
        </row>
      </sheetData>
      <sheetData sheetId="200">
        <row r="5">
          <cell r="N5">
            <v>20</v>
          </cell>
        </row>
      </sheetData>
      <sheetData sheetId="201">
        <row r="5">
          <cell r="N5">
            <v>20</v>
          </cell>
        </row>
      </sheetData>
      <sheetData sheetId="202">
        <row r="5">
          <cell r="N5">
            <v>20</v>
          </cell>
        </row>
      </sheetData>
      <sheetData sheetId="203">
        <row r="5">
          <cell r="N5">
            <v>20</v>
          </cell>
        </row>
      </sheetData>
      <sheetData sheetId="204">
        <row r="5">
          <cell r="N5">
            <v>20</v>
          </cell>
        </row>
      </sheetData>
      <sheetData sheetId="205">
        <row r="5">
          <cell r="N5">
            <v>20</v>
          </cell>
        </row>
      </sheetData>
      <sheetData sheetId="206">
        <row r="5">
          <cell r="N5">
            <v>20</v>
          </cell>
        </row>
      </sheetData>
      <sheetData sheetId="207">
        <row r="5">
          <cell r="N5">
            <v>20</v>
          </cell>
        </row>
      </sheetData>
      <sheetData sheetId="208">
        <row r="5">
          <cell r="N5">
            <v>20</v>
          </cell>
        </row>
      </sheetData>
      <sheetData sheetId="209">
        <row r="5">
          <cell r="N5">
            <v>20</v>
          </cell>
        </row>
      </sheetData>
      <sheetData sheetId="210">
        <row r="5">
          <cell r="N5">
            <v>20</v>
          </cell>
        </row>
      </sheetData>
      <sheetData sheetId="211">
        <row r="5">
          <cell r="N5">
            <v>20</v>
          </cell>
        </row>
      </sheetData>
      <sheetData sheetId="212">
        <row r="5">
          <cell r="N5">
            <v>20</v>
          </cell>
        </row>
      </sheetData>
      <sheetData sheetId="213">
        <row r="5">
          <cell r="N5">
            <v>20</v>
          </cell>
        </row>
      </sheetData>
      <sheetData sheetId="214">
        <row r="5">
          <cell r="N5">
            <v>20</v>
          </cell>
        </row>
      </sheetData>
      <sheetData sheetId="215">
        <row r="5">
          <cell r="N5">
            <v>20</v>
          </cell>
        </row>
      </sheetData>
      <sheetData sheetId="216">
        <row r="5">
          <cell r="N5">
            <v>20</v>
          </cell>
        </row>
      </sheetData>
      <sheetData sheetId="217">
        <row r="5">
          <cell r="N5">
            <v>20</v>
          </cell>
        </row>
      </sheetData>
      <sheetData sheetId="218">
        <row r="5">
          <cell r="N5">
            <v>20</v>
          </cell>
        </row>
      </sheetData>
      <sheetData sheetId="219">
        <row r="5">
          <cell r="N5">
            <v>20</v>
          </cell>
        </row>
      </sheetData>
      <sheetData sheetId="220">
        <row r="5">
          <cell r="N5">
            <v>20</v>
          </cell>
        </row>
      </sheetData>
      <sheetData sheetId="221">
        <row r="5">
          <cell r="N5">
            <v>20</v>
          </cell>
        </row>
      </sheetData>
      <sheetData sheetId="222" refreshError="1"/>
      <sheetData sheetId="223" refreshError="1"/>
      <sheetData sheetId="224" refreshError="1"/>
      <sheetData sheetId="225" refreshError="1"/>
      <sheetData sheetId="226" refreshError="1"/>
      <sheetData sheetId="227" refreshError="1"/>
      <sheetData sheetId="228" refreshError="1"/>
      <sheetData sheetId="229">
        <row r="5">
          <cell r="N5">
            <v>20</v>
          </cell>
        </row>
      </sheetData>
      <sheetData sheetId="230">
        <row r="5">
          <cell r="N5">
            <v>20</v>
          </cell>
        </row>
      </sheetData>
      <sheetData sheetId="231">
        <row r="5">
          <cell r="N5">
            <v>20</v>
          </cell>
        </row>
      </sheetData>
      <sheetData sheetId="232">
        <row r="5">
          <cell r="N5">
            <v>20</v>
          </cell>
        </row>
      </sheetData>
      <sheetData sheetId="233">
        <row r="5">
          <cell r="N5">
            <v>20</v>
          </cell>
        </row>
      </sheetData>
      <sheetData sheetId="234">
        <row r="5">
          <cell r="N5">
            <v>20</v>
          </cell>
        </row>
      </sheetData>
      <sheetData sheetId="235">
        <row r="5">
          <cell r="N5">
            <v>20</v>
          </cell>
        </row>
      </sheetData>
      <sheetData sheetId="236">
        <row r="5">
          <cell r="N5">
            <v>20</v>
          </cell>
        </row>
      </sheetData>
      <sheetData sheetId="237">
        <row r="5">
          <cell r="N5">
            <v>20</v>
          </cell>
        </row>
      </sheetData>
      <sheetData sheetId="238">
        <row r="5">
          <cell r="N5">
            <v>20</v>
          </cell>
        </row>
      </sheetData>
      <sheetData sheetId="239">
        <row r="5">
          <cell r="N5">
            <v>20</v>
          </cell>
        </row>
      </sheetData>
      <sheetData sheetId="240">
        <row r="5">
          <cell r="N5">
            <v>20</v>
          </cell>
        </row>
      </sheetData>
      <sheetData sheetId="241"/>
      <sheetData sheetId="242">
        <row r="5">
          <cell r="N5">
            <v>20</v>
          </cell>
        </row>
      </sheetData>
      <sheetData sheetId="243">
        <row r="5">
          <cell r="N5">
            <v>20</v>
          </cell>
        </row>
      </sheetData>
      <sheetData sheetId="244">
        <row r="5">
          <cell r="N5">
            <v>20</v>
          </cell>
        </row>
      </sheetData>
      <sheetData sheetId="245"/>
      <sheetData sheetId="246">
        <row r="5">
          <cell r="N5">
            <v>20</v>
          </cell>
        </row>
      </sheetData>
      <sheetData sheetId="247">
        <row r="5">
          <cell r="N5">
            <v>20</v>
          </cell>
        </row>
      </sheetData>
      <sheetData sheetId="248">
        <row r="5">
          <cell r="N5">
            <v>20</v>
          </cell>
        </row>
      </sheetData>
      <sheetData sheetId="249">
        <row r="5">
          <cell r="N5">
            <v>20</v>
          </cell>
        </row>
      </sheetData>
      <sheetData sheetId="250">
        <row r="5">
          <cell r="N5">
            <v>20</v>
          </cell>
        </row>
      </sheetData>
      <sheetData sheetId="251">
        <row r="5">
          <cell r="N5">
            <v>20</v>
          </cell>
        </row>
      </sheetData>
      <sheetData sheetId="252">
        <row r="5">
          <cell r="N5">
            <v>20</v>
          </cell>
        </row>
      </sheetData>
      <sheetData sheetId="253">
        <row r="5">
          <cell r="N5">
            <v>20</v>
          </cell>
        </row>
      </sheetData>
      <sheetData sheetId="254">
        <row r="5">
          <cell r="N5">
            <v>20</v>
          </cell>
        </row>
      </sheetData>
      <sheetData sheetId="255">
        <row r="5">
          <cell r="N5">
            <v>20</v>
          </cell>
        </row>
      </sheetData>
      <sheetData sheetId="256">
        <row r="5">
          <cell r="N5">
            <v>20</v>
          </cell>
        </row>
      </sheetData>
      <sheetData sheetId="257">
        <row r="5">
          <cell r="N5">
            <v>20</v>
          </cell>
        </row>
      </sheetData>
      <sheetData sheetId="258">
        <row r="5">
          <cell r="N5">
            <v>20</v>
          </cell>
        </row>
      </sheetData>
      <sheetData sheetId="259">
        <row r="5">
          <cell r="N5">
            <v>20</v>
          </cell>
        </row>
      </sheetData>
      <sheetData sheetId="260">
        <row r="5">
          <cell r="N5">
            <v>20</v>
          </cell>
        </row>
      </sheetData>
      <sheetData sheetId="261">
        <row r="5">
          <cell r="N5">
            <v>20</v>
          </cell>
        </row>
      </sheetData>
      <sheetData sheetId="262">
        <row r="5">
          <cell r="N5">
            <v>20</v>
          </cell>
        </row>
      </sheetData>
      <sheetData sheetId="263">
        <row r="5">
          <cell r="N5">
            <v>20</v>
          </cell>
        </row>
      </sheetData>
      <sheetData sheetId="264">
        <row r="5">
          <cell r="N5">
            <v>20</v>
          </cell>
        </row>
      </sheetData>
      <sheetData sheetId="265">
        <row r="5">
          <cell r="N5">
            <v>20</v>
          </cell>
        </row>
      </sheetData>
      <sheetData sheetId="266"/>
      <sheetData sheetId="267"/>
      <sheetData sheetId="268"/>
      <sheetData sheetId="269">
        <row r="5">
          <cell r="N5">
            <v>20</v>
          </cell>
        </row>
      </sheetData>
      <sheetData sheetId="270"/>
      <sheetData sheetId="271"/>
      <sheetData sheetId="272"/>
      <sheetData sheetId="273">
        <row r="5">
          <cell r="N5">
            <v>20</v>
          </cell>
        </row>
      </sheetData>
      <sheetData sheetId="274"/>
      <sheetData sheetId="275"/>
      <sheetData sheetId="276"/>
      <sheetData sheetId="277">
        <row r="5">
          <cell r="N5">
            <v>20</v>
          </cell>
        </row>
      </sheetData>
      <sheetData sheetId="278"/>
      <sheetData sheetId="279"/>
      <sheetData sheetId="280">
        <row r="5">
          <cell r="N5">
            <v>20</v>
          </cell>
        </row>
      </sheetData>
      <sheetData sheetId="281"/>
      <sheetData sheetId="282">
        <row r="5">
          <cell r="N5">
            <v>20</v>
          </cell>
        </row>
      </sheetData>
      <sheetData sheetId="283"/>
      <sheetData sheetId="284">
        <row r="5">
          <cell r="N5">
            <v>20</v>
          </cell>
        </row>
      </sheetData>
      <sheetData sheetId="285"/>
      <sheetData sheetId="286"/>
      <sheetData sheetId="287"/>
      <sheetData sheetId="288">
        <row r="5">
          <cell r="N5">
            <v>20</v>
          </cell>
        </row>
      </sheetData>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ow r="14">
          <cell r="EK14" t="str">
            <v>SP-01-1</v>
          </cell>
        </row>
      </sheetData>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ontent"/>
      <sheetName val="Project Outline"/>
      <sheetName val="주요공사"/>
      <sheetName val="Contractual Amount"/>
      <sheetName val="시헹예산"/>
      <sheetName val="TENDER vs BUDGET"/>
      <sheetName val="직영 vs 하청 - 2"/>
      <sheetName val="96 당초Schedule"/>
      <sheetName val="96 Performance"/>
      <sheetName val="소화-투입 분석표"/>
      <sheetName val="STF ORG(K)"/>
      <sheetName val="Staff Org. Chart"/>
      <sheetName val="Scope of Work"/>
      <sheetName val="Design Status"/>
      <sheetName val="DWG Status"/>
      <sheetName val="MAT'L Status"/>
      <sheetName val="장비동원"/>
      <sheetName val="근로자동원"/>
      <sheetName val="Install Status"/>
      <sheetName val="Staff Mob. Plan"/>
      <sheetName val="M.P Mob. Plan"/>
      <sheetName val="Eq. Mobilization"/>
      <sheetName val="일위대가"/>
      <sheetName val="전열면적"/>
      <sheetName val="SEPARATOR"/>
      <sheetName val="2000년1차"/>
      <sheetName val="M-EQPT-Z"/>
      <sheetName val="REPORT07"/>
      <sheetName val="단가집"/>
      <sheetName val="BM "/>
      <sheetName val="DWG LIST"/>
      <sheetName val="자격 땡겨오기"/>
      <sheetName val="VAE264_VALVES"/>
      <sheetName val="5.소재"/>
      <sheetName val="소화실적"/>
      <sheetName val="현장지지물물량"/>
      <sheetName val="sheet1"/>
      <sheetName val="당초"/>
      <sheetName val="실행예산SHEET도장재검토"/>
      <sheetName val="MOB-MAN1"/>
      <sheetName val="예제"/>
      <sheetName val="기준표"/>
      <sheetName val="규격"/>
      <sheetName val="노점수분"/>
      <sheetName val="견적기준"/>
      <sheetName val="자재사용현황"/>
      <sheetName val="w't table"/>
      <sheetName val="INDEX"/>
      <sheetName val="DI-ESTI"/>
      <sheetName val="NYS"/>
      <sheetName val="KH-Q1,Q2,01"/>
      <sheetName val="CAT_5"/>
      <sheetName val="#REF"/>
      <sheetName val=""/>
      <sheetName val="TTL"/>
      <sheetName val="성광벤드"/>
      <sheetName val="GRP PIPING"/>
      <sheetName val="P-LIST"/>
      <sheetName val="물가자료"/>
      <sheetName val="WE'T"/>
      <sheetName val="REDUCER"/>
      <sheetName val="Summary"/>
      <sheetName val="BM"/>
      <sheetName val="B101"/>
      <sheetName val="카메라"/>
      <sheetName val="COA-17"/>
      <sheetName val="C-18"/>
      <sheetName val="임율 Data"/>
      <sheetName val="kich thuoc"/>
      <sheetName val="DTHH"/>
      <sheetName val="REV 4"/>
      <sheetName val="COL"/>
      <sheetName val="Sheet5"/>
      <sheetName val="BEND LOSS"/>
      <sheetName val="FM"/>
      <sheetName val="내역서"/>
      <sheetName val="노임단가"/>
      <sheetName val="품셈표"/>
      <sheetName val="추가예산"/>
      <sheetName val="간접비 총괄표"/>
      <sheetName val="ﾀｰﾋﾞﾝ"/>
      <sheetName val="Setup"/>
      <sheetName val="Lists"/>
      <sheetName val="CI "/>
      <sheetName val="CI"/>
      <sheetName val="WXY"/>
      <sheetName val="입찰안"/>
      <sheetName val="SPARE PART"/>
      <sheetName val="연환"/>
      <sheetName val="부서코드표"/>
      <sheetName val="CAUDI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3"/>
    </xxl21:alternateUrls>
    <sheetNames>
      <sheetName val="CI"/>
      <sheetName val="Break Down CI"/>
      <sheetName val="PL(1_2)"/>
      <sheetName val="PL(2_2)"/>
      <sheetName val="Detailed PL"/>
      <sheetName val="SHIPPING MARK"/>
      <sheetName val="SHIPPING MARK1"/>
      <sheetName val="SHIPPING MARK2"/>
    </sheetNames>
    <sheetDataSet>
      <sheetData sheetId="0">
        <row r="8">
          <cell r="G8" t="str">
            <v>DATE:</v>
          </cell>
        </row>
        <row r="9">
          <cell r="G9" t="str">
            <v>SHIPPING MARK</v>
          </cell>
        </row>
        <row r="26">
          <cell r="B26" t="str">
            <v>Address: O Mon Power Complex at Phuoc Thoi wards, O Mon district, Can Tho city</v>
          </cell>
        </row>
        <row r="28">
          <cell r="B28" t="str">
            <v>PLANT/ EQUIPMENT AND MATERIALS FOR O MON IV THERMAL</v>
          </cell>
        </row>
      </sheetData>
      <sheetData sheetId="1"/>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2D050"/>
    <pageSetUpPr fitToPage="1"/>
  </sheetPr>
  <dimension ref="A1:AZ66"/>
  <sheetViews>
    <sheetView showGridLines="0" tabSelected="1" view="pageBreakPreview" topLeftCell="I2" zoomScale="55" zoomScaleNormal="100" zoomScaleSheetLayoutView="55" workbookViewId="0">
      <selection activeCell="T26" sqref="T26"/>
    </sheetView>
  </sheetViews>
  <sheetFormatPr defaultColWidth="8.65234375" defaultRowHeight="18" customHeight="1" x14ac:dyDescent="0.1"/>
  <cols>
    <col min="1" max="1" width="1.05078125" style="141" customWidth="1"/>
    <col min="2" max="2" width="7.6015625" style="156" customWidth="1"/>
    <col min="3" max="3" width="24.44140625" style="180" customWidth="1"/>
    <col min="4" max="4" width="54.26171875" style="181" customWidth="1"/>
    <col min="5" max="5" width="14.3828125" style="156" customWidth="1"/>
    <col min="6" max="6" width="16.01953125" style="181" customWidth="1"/>
    <col min="7" max="7" width="15.31640625" style="148" customWidth="1"/>
    <col min="8" max="8" width="7.6015625" style="182" customWidth="1"/>
    <col min="9" max="9" width="6.8984375" style="148" customWidth="1"/>
    <col min="10" max="10" width="7.015625" style="148" hidden="1" customWidth="1"/>
    <col min="11" max="11" width="7.6015625" style="148" customWidth="1"/>
    <col min="12" max="14" width="8.53515625" style="148" customWidth="1"/>
    <col min="15" max="15" width="8.53515625" style="183" customWidth="1"/>
    <col min="16" max="17" width="10.171875" style="148" customWidth="1"/>
    <col min="18" max="18" width="13.09765625" style="156" customWidth="1"/>
    <col min="19" max="19" width="15.66796875" style="156" customWidth="1"/>
    <col min="20" max="21" width="15.66796875" style="168" customWidth="1"/>
    <col min="22" max="22" width="14.8515625" style="156" customWidth="1"/>
    <col min="23" max="23" width="11.69140625" style="4" customWidth="1"/>
    <col min="24" max="24" width="1.05078125" style="143" customWidth="1"/>
    <col min="25" max="31" width="8.65234375" style="144" customWidth="1"/>
    <col min="32" max="37" width="8.65234375" style="141" customWidth="1"/>
    <col min="38" max="42" width="8.65234375" style="144"/>
    <col min="43" max="16384" width="8.65234375" style="141"/>
  </cols>
  <sheetData>
    <row r="1" spans="2:52" ht="9" customHeight="1" x14ac:dyDescent="0.1">
      <c r="B1" s="310"/>
      <c r="C1" s="310"/>
      <c r="D1" s="310"/>
      <c r="E1" s="310"/>
      <c r="F1" s="310"/>
      <c r="G1" s="310"/>
      <c r="H1" s="310"/>
      <c r="I1" s="310"/>
      <c r="J1" s="310"/>
      <c r="K1" s="310"/>
      <c r="L1" s="310"/>
      <c r="M1" s="310"/>
      <c r="N1" s="310"/>
      <c r="O1" s="310"/>
      <c r="P1" s="310"/>
      <c r="Q1" s="310"/>
      <c r="R1" s="310"/>
      <c r="S1" s="310"/>
      <c r="T1" s="310"/>
      <c r="U1" s="143"/>
      <c r="V1" s="144"/>
      <c r="W1" s="144"/>
      <c r="X1" s="144"/>
      <c r="AC1" s="141"/>
      <c r="AD1" s="141"/>
      <c r="AE1" s="141"/>
      <c r="AI1" s="144"/>
      <c r="AJ1" s="144"/>
      <c r="AK1" s="144"/>
      <c r="AN1" s="141"/>
      <c r="AO1" s="141"/>
      <c r="AP1" s="141"/>
    </row>
    <row r="2" spans="2:52" ht="26.1" customHeight="1" x14ac:dyDescent="0.1">
      <c r="B2" s="142"/>
      <c r="C2" s="148"/>
      <c r="D2" s="148"/>
      <c r="E2" s="141"/>
      <c r="F2" s="148"/>
      <c r="H2" s="148"/>
      <c r="I2" s="204"/>
      <c r="J2" s="204"/>
      <c r="K2" s="204"/>
      <c r="L2" s="205"/>
      <c r="M2" s="206"/>
      <c r="N2" s="142"/>
      <c r="O2" s="142"/>
      <c r="P2" s="142"/>
      <c r="Q2" s="142"/>
      <c r="R2" s="142"/>
      <c r="S2" s="141"/>
      <c r="T2" s="141"/>
      <c r="U2" s="141"/>
      <c r="V2" s="141"/>
      <c r="W2" s="141"/>
      <c r="X2" s="141"/>
      <c r="Y2" s="141"/>
      <c r="Z2" s="141"/>
      <c r="AA2" s="141"/>
      <c r="AB2" s="141"/>
      <c r="AC2" s="141"/>
      <c r="AD2" s="141"/>
      <c r="AE2" s="141"/>
      <c r="AL2" s="141"/>
      <c r="AM2" s="141"/>
      <c r="AN2" s="141"/>
      <c r="AO2" s="141"/>
      <c r="AP2" s="141"/>
    </row>
    <row r="3" spans="2:52" ht="27.6" customHeight="1" thickBot="1" x14ac:dyDescent="0.15">
      <c r="B3" s="142"/>
      <c r="C3" s="311" t="s">
        <v>158</v>
      </c>
      <c r="D3" s="311"/>
      <c r="E3" s="311"/>
      <c r="F3" s="311"/>
      <c r="G3" s="311"/>
      <c r="H3" s="311"/>
      <c r="I3" s="311"/>
      <c r="J3" s="311"/>
      <c r="K3" s="204"/>
      <c r="L3" s="205"/>
      <c r="M3" s="206"/>
      <c r="N3" s="207"/>
      <c r="O3" s="142"/>
      <c r="P3" s="142"/>
      <c r="Q3" s="142"/>
      <c r="R3" s="142"/>
      <c r="S3" s="141"/>
      <c r="T3" s="141"/>
      <c r="U3" s="141"/>
      <c r="V3" s="141"/>
      <c r="W3" s="141"/>
      <c r="X3" s="141"/>
      <c r="Y3" s="141"/>
      <c r="Z3" s="141"/>
      <c r="AA3" s="141"/>
      <c r="AB3" s="141"/>
      <c r="AC3" s="141"/>
      <c r="AD3" s="141"/>
      <c r="AE3" s="141"/>
      <c r="AL3" s="141"/>
      <c r="AM3" s="141"/>
      <c r="AN3" s="141"/>
      <c r="AO3" s="141"/>
      <c r="AP3" s="141"/>
    </row>
    <row r="4" spans="2:52" ht="33.75" customHeight="1" thickTop="1" thickBot="1" x14ac:dyDescent="0.15">
      <c r="B4" s="308" t="s">
        <v>107</v>
      </c>
      <c r="C4" s="309"/>
      <c r="D4" s="309"/>
      <c r="E4" s="309"/>
      <c r="F4" s="309"/>
      <c r="G4" s="309"/>
      <c r="H4" s="309"/>
      <c r="I4" s="309"/>
      <c r="J4" s="309"/>
      <c r="K4" s="309"/>
      <c r="L4" s="309"/>
      <c r="M4" s="309"/>
      <c r="N4" s="309"/>
      <c r="O4" s="309"/>
      <c r="P4" s="309"/>
      <c r="Q4" s="309"/>
      <c r="R4" s="309"/>
      <c r="S4" s="309"/>
      <c r="T4" s="202"/>
      <c r="U4" s="202"/>
      <c r="V4" s="202"/>
      <c r="W4" s="203"/>
    </row>
    <row r="5" spans="2:52" s="148" customFormat="1" ht="17.25" customHeight="1" thickTop="1" x14ac:dyDescent="0.1">
      <c r="B5" s="149"/>
      <c r="C5" s="150" t="s">
        <v>108</v>
      </c>
      <c r="D5" s="151" t="str">
        <f>'PL(2_2)'!D5</f>
        <v>OM4-P2-LS-0002</v>
      </c>
      <c r="E5" s="152"/>
      <c r="F5" s="146"/>
      <c r="G5" s="149"/>
      <c r="H5" s="151"/>
      <c r="I5" s="149"/>
      <c r="J5" s="149"/>
      <c r="K5" s="149"/>
      <c r="L5" s="149"/>
      <c r="M5" s="149"/>
      <c r="N5" s="149"/>
      <c r="O5" s="153"/>
      <c r="P5" s="149"/>
      <c r="Q5" s="149"/>
      <c r="R5" s="149"/>
      <c r="S5" s="152"/>
      <c r="T5" s="154"/>
      <c r="U5" s="154"/>
      <c r="V5" s="149"/>
      <c r="W5" s="149"/>
      <c r="X5" s="155"/>
      <c r="AA5" s="148">
        <v>36</v>
      </c>
      <c r="AB5" s="148">
        <v>39</v>
      </c>
      <c r="AC5" s="148">
        <v>40</v>
      </c>
      <c r="AD5" s="148">
        <v>163</v>
      </c>
      <c r="AE5" s="148">
        <v>3</v>
      </c>
      <c r="AF5" s="148">
        <v>8</v>
      </c>
      <c r="AG5" s="148">
        <v>44</v>
      </c>
      <c r="AH5" s="148">
        <v>45</v>
      </c>
      <c r="AI5" s="148">
        <v>46</v>
      </c>
      <c r="AJ5" s="148">
        <v>60</v>
      </c>
      <c r="AK5" s="148">
        <v>66</v>
      </c>
      <c r="AL5" s="156">
        <v>68</v>
      </c>
      <c r="AM5" s="156">
        <v>69</v>
      </c>
      <c r="AN5" s="156">
        <v>70</v>
      </c>
      <c r="AO5" s="156">
        <v>71</v>
      </c>
      <c r="AP5" s="156">
        <v>170</v>
      </c>
      <c r="AQ5" s="148">
        <v>110</v>
      </c>
      <c r="AR5" s="148">
        <v>234</v>
      </c>
      <c r="AS5" s="148">
        <v>33</v>
      </c>
      <c r="AT5" s="148">
        <v>34</v>
      </c>
      <c r="AU5" s="148">
        <v>142</v>
      </c>
      <c r="AW5" s="148">
        <v>79</v>
      </c>
      <c r="AX5" s="148">
        <v>80</v>
      </c>
      <c r="AY5" s="148">
        <v>81</v>
      </c>
      <c r="AZ5" s="148">
        <v>82</v>
      </c>
    </row>
    <row r="6" spans="2:52" s="148" customFormat="1" ht="17.25" customHeight="1" x14ac:dyDescent="0.1">
      <c r="B6" s="149"/>
      <c r="C6" s="150" t="s">
        <v>48</v>
      </c>
      <c r="D6" s="157" t="str">
        <f>'PL(2_2)'!D6</f>
        <v>June 10th, 2026</v>
      </c>
      <c r="E6" s="149"/>
      <c r="F6" s="121" t="s">
        <v>49</v>
      </c>
      <c r="G6" s="121"/>
      <c r="H6" s="116"/>
      <c r="I6" s="116"/>
      <c r="J6" s="116"/>
      <c r="K6" s="116"/>
      <c r="M6" s="158" t="s">
        <v>50</v>
      </c>
      <c r="N6" s="116"/>
      <c r="O6" s="116"/>
      <c r="P6" s="116"/>
      <c r="Q6" s="116"/>
      <c r="R6" s="116"/>
      <c r="S6" s="116"/>
      <c r="T6" s="159"/>
      <c r="U6" s="159"/>
      <c r="V6" s="149"/>
      <c r="W6" s="149"/>
      <c r="X6" s="155"/>
      <c r="AA6" s="148" t="e">
        <f>SUMIF(#REF!,AA5,#REF!)</f>
        <v>#REF!</v>
      </c>
      <c r="AB6" s="148" t="e">
        <f>SUMIF(#REF!,AB5,#REF!)</f>
        <v>#REF!</v>
      </c>
      <c r="AC6" s="148" t="e">
        <f>SUMIF(#REF!,AC5,#REF!)</f>
        <v>#REF!</v>
      </c>
      <c r="AD6" s="148" t="e">
        <f>SUMIF(#REF!,AD5,#REF!)</f>
        <v>#REF!</v>
      </c>
      <c r="AE6" s="148" t="e">
        <f>SUMIF(#REF!,AE5,#REF!)</f>
        <v>#REF!</v>
      </c>
      <c r="AF6" s="148" t="e">
        <f>SUMIF(#REF!,AF5,#REF!)</f>
        <v>#REF!</v>
      </c>
      <c r="AG6" s="148" t="e">
        <f>SUMIF(#REF!,AG5,#REF!)</f>
        <v>#REF!</v>
      </c>
      <c r="AH6" s="148" t="e">
        <f>SUMIF(#REF!,AH5,#REF!)</f>
        <v>#REF!</v>
      </c>
      <c r="AI6" s="148" t="e">
        <f>SUMIF(#REF!,AI5,#REF!)</f>
        <v>#REF!</v>
      </c>
      <c r="AJ6" s="148" t="e">
        <f>SUMIF(#REF!,AJ5,#REF!)</f>
        <v>#REF!</v>
      </c>
      <c r="AK6" s="148" t="e">
        <f>SUMIF(#REF!,AK5,#REF!)</f>
        <v>#REF!</v>
      </c>
      <c r="AL6" s="156" t="e">
        <f>SUMIF(#REF!,AL5,#REF!)</f>
        <v>#REF!</v>
      </c>
      <c r="AM6" s="156" t="e">
        <f>SUMIF(#REF!,AM5,#REF!)</f>
        <v>#REF!</v>
      </c>
      <c r="AN6" s="156" t="e">
        <f>SUMIF(#REF!,AN5,#REF!)</f>
        <v>#REF!</v>
      </c>
      <c r="AO6" s="156" t="e">
        <f>SUMIF(#REF!,AO5,#REF!)</f>
        <v>#REF!</v>
      </c>
      <c r="AP6" s="156" t="e">
        <f>SUMIF(#REF!,AP5,#REF!)</f>
        <v>#REF!</v>
      </c>
      <c r="AQ6" s="148" t="e">
        <f>SUMIF(#REF!,AQ5,#REF!)</f>
        <v>#REF!</v>
      </c>
      <c r="AR6" s="148">
        <f>SUMIF($AI$66:$AI$335,AR5,$H$66:$H$335)</f>
        <v>0</v>
      </c>
      <c r="AS6" s="148">
        <f>SUMIF($AI$66:$AI$335,AS5,$H$66:$H$335)</f>
        <v>0</v>
      </c>
      <c r="AT6" s="148">
        <f>SUMIF($AI$66:$AI$335,AT5,$H$66:$H$335)</f>
        <v>0</v>
      </c>
      <c r="AU6" s="148" t="e">
        <f>SUMIF(#REF!,AU5,#REF!)</f>
        <v>#REF!</v>
      </c>
      <c r="AV6" s="148" t="e">
        <f>SUM(AA6:AU7)</f>
        <v>#REF!</v>
      </c>
      <c r="AW6" s="148" t="e">
        <f>SUMIF(#REF!,AW5,#REF!)</f>
        <v>#REF!</v>
      </c>
      <c r="AX6" s="148" t="e">
        <f>SUMIF(#REF!,AX5,#REF!)</f>
        <v>#REF!</v>
      </c>
      <c r="AY6" s="148">
        <f>SUMIF($AI$66:$AI$335,AY5,$H$66:$H$335)</f>
        <v>0</v>
      </c>
      <c r="AZ6" s="148">
        <f>SUMIF($AI$66:$AI$335,AZ5,$H$66:$H$335)</f>
        <v>0</v>
      </c>
    </row>
    <row r="7" spans="2:52" s="148" customFormat="1" ht="17.25" customHeight="1" x14ac:dyDescent="0.1">
      <c r="B7" s="149"/>
      <c r="C7" s="150" t="s">
        <v>51</v>
      </c>
      <c r="D7" s="160" t="str">
        <f>'PL(2_2)'!D7</f>
        <v>O MON IV THERMAL POWER PLANT</v>
      </c>
      <c r="E7" s="149"/>
      <c r="G7" s="184" t="s">
        <v>52</v>
      </c>
      <c r="H7" s="121" t="s">
        <v>53</v>
      </c>
      <c r="I7" s="116"/>
      <c r="J7" s="116"/>
      <c r="K7" s="116"/>
      <c r="M7" s="161"/>
      <c r="N7" s="124" t="s">
        <v>54</v>
      </c>
      <c r="O7" s="124" t="s">
        <v>55</v>
      </c>
      <c r="P7" s="124" t="s">
        <v>56</v>
      </c>
      <c r="Q7" s="124" t="s">
        <v>57</v>
      </c>
      <c r="R7" s="306"/>
      <c r="S7" s="306"/>
      <c r="T7" s="306"/>
      <c r="U7" s="306"/>
      <c r="V7" s="306"/>
      <c r="W7" s="156"/>
      <c r="X7" s="156"/>
      <c r="Y7" s="156"/>
      <c r="Z7" s="156"/>
      <c r="AA7" s="156"/>
      <c r="AB7" s="156"/>
      <c r="AC7" s="156">
        <v>1</v>
      </c>
      <c r="AD7" s="148">
        <v>1</v>
      </c>
      <c r="AG7" s="148">
        <v>5</v>
      </c>
      <c r="AH7" s="148">
        <v>100</v>
      </c>
      <c r="AJ7" s="156"/>
      <c r="AK7" s="156"/>
      <c r="AL7" s="156"/>
      <c r="AM7" s="156"/>
      <c r="AN7" s="156"/>
      <c r="AS7" s="148">
        <v>2</v>
      </c>
      <c r="AU7" s="148">
        <v>105</v>
      </c>
    </row>
    <row r="8" spans="2:52" s="148" customFormat="1" ht="17.25" customHeight="1" x14ac:dyDescent="0.1">
      <c r="B8" s="149"/>
      <c r="C8" s="150" t="s">
        <v>109</v>
      </c>
      <c r="D8" s="162" t="s">
        <v>110</v>
      </c>
      <c r="E8" s="149"/>
      <c r="G8" s="184" t="s">
        <v>58</v>
      </c>
      <c r="H8" s="121" t="s">
        <v>59</v>
      </c>
      <c r="I8" s="116"/>
      <c r="J8" s="116"/>
      <c r="K8" s="116"/>
      <c r="M8" s="163" t="s">
        <v>60</v>
      </c>
      <c r="N8" s="124" t="s">
        <v>61</v>
      </c>
      <c r="O8" s="124" t="s">
        <v>62</v>
      </c>
      <c r="P8" s="124" t="s">
        <v>63</v>
      </c>
      <c r="Q8" s="124" t="s">
        <v>64</v>
      </c>
      <c r="R8" s="40"/>
      <c r="S8" s="40"/>
      <c r="T8" s="39"/>
      <c r="U8" s="39"/>
      <c r="V8" s="39"/>
      <c r="W8" s="156"/>
      <c r="X8" s="156"/>
      <c r="Y8" s="156"/>
      <c r="Z8" s="156"/>
      <c r="AA8" s="156"/>
      <c r="AB8" s="156"/>
      <c r="AC8" s="156"/>
      <c r="AJ8" s="156"/>
      <c r="AK8" s="156"/>
      <c r="AL8" s="156"/>
      <c r="AM8" s="156"/>
      <c r="AN8" s="156"/>
    </row>
    <row r="9" spans="2:52" s="148" customFormat="1" ht="17.25" customHeight="1" x14ac:dyDescent="0.1">
      <c r="B9" s="149"/>
      <c r="C9" s="146"/>
      <c r="D9" s="164"/>
      <c r="E9" s="149"/>
      <c r="G9" s="184" t="s">
        <v>65</v>
      </c>
      <c r="H9" s="121" t="s">
        <v>66</v>
      </c>
      <c r="I9" s="116"/>
      <c r="J9" s="116"/>
      <c r="K9" s="116"/>
      <c r="M9" s="163" t="s">
        <v>67</v>
      </c>
      <c r="N9" s="124" t="s">
        <v>68</v>
      </c>
      <c r="O9" s="124" t="s">
        <v>69</v>
      </c>
      <c r="P9" s="124" t="s">
        <v>70</v>
      </c>
      <c r="Q9" s="124" t="s">
        <v>71</v>
      </c>
      <c r="R9" s="40"/>
      <c r="S9" s="40"/>
      <c r="T9" s="39"/>
      <c r="U9" s="39"/>
      <c r="V9" s="39"/>
      <c r="W9" s="156"/>
      <c r="X9" s="156"/>
      <c r="Y9" s="156"/>
      <c r="Z9" s="156"/>
      <c r="AA9" s="156"/>
      <c r="AB9" s="156"/>
      <c r="AC9" s="156"/>
      <c r="AJ9" s="156"/>
      <c r="AK9" s="156"/>
      <c r="AL9" s="156"/>
      <c r="AM9" s="156"/>
      <c r="AN9" s="156"/>
    </row>
    <row r="10" spans="2:52" s="148" customFormat="1" ht="17.25" customHeight="1" x14ac:dyDescent="0.1">
      <c r="B10" s="149"/>
      <c r="C10" s="150"/>
      <c r="D10" s="150"/>
      <c r="E10" s="149"/>
      <c r="G10" s="184" t="s">
        <v>72</v>
      </c>
      <c r="H10" s="121" t="s">
        <v>73</v>
      </c>
      <c r="I10" s="116"/>
      <c r="J10" s="116"/>
      <c r="K10" s="116"/>
      <c r="M10" s="163" t="s">
        <v>74</v>
      </c>
      <c r="N10" s="124" t="s">
        <v>75</v>
      </c>
      <c r="O10" s="124" t="s">
        <v>76</v>
      </c>
      <c r="P10" s="124" t="s">
        <v>77</v>
      </c>
      <c r="Q10" s="124" t="s">
        <v>78</v>
      </c>
      <c r="R10" s="159"/>
      <c r="S10" s="159"/>
      <c r="T10" s="149"/>
      <c r="U10" s="149"/>
      <c r="V10" s="155"/>
      <c r="W10" s="156"/>
      <c r="X10" s="156"/>
      <c r="Y10" s="156"/>
      <c r="Z10" s="156"/>
      <c r="AA10" s="156"/>
      <c r="AB10" s="156"/>
      <c r="AC10" s="156"/>
      <c r="AJ10" s="156"/>
      <c r="AK10" s="156"/>
      <c r="AL10" s="156"/>
      <c r="AM10" s="156"/>
      <c r="AN10" s="156"/>
    </row>
    <row r="11" spans="2:52" s="148" customFormat="1" ht="17.25" customHeight="1" x14ac:dyDescent="0.1">
      <c r="B11" s="149"/>
      <c r="C11" s="150"/>
      <c r="D11" s="150"/>
      <c r="E11" s="149"/>
      <c r="G11" s="184" t="s">
        <v>79</v>
      </c>
      <c r="H11" s="121" t="s">
        <v>80</v>
      </c>
      <c r="I11" s="116"/>
      <c r="J11" s="116"/>
      <c r="K11" s="116"/>
      <c r="L11" s="165"/>
      <c r="M11" s="116"/>
      <c r="N11" s="116"/>
      <c r="O11" s="116"/>
      <c r="P11" s="116"/>
      <c r="R11" s="116"/>
      <c r="S11" s="116"/>
      <c r="T11" s="159"/>
      <c r="U11" s="159"/>
      <c r="V11" s="149"/>
      <c r="W11" s="149"/>
      <c r="X11" s="155"/>
      <c r="Y11" s="156"/>
      <c r="Z11" s="156"/>
      <c r="AA11" s="156"/>
      <c r="AB11" s="156"/>
      <c r="AC11" s="156"/>
      <c r="AD11" s="156"/>
      <c r="AE11" s="156"/>
      <c r="AL11" s="156"/>
      <c r="AM11" s="156"/>
      <c r="AN11" s="156"/>
      <c r="AO11" s="156"/>
      <c r="AP11" s="156"/>
    </row>
    <row r="12" spans="2:52" s="148" customFormat="1" ht="16.899999999999999" customHeight="1" x14ac:dyDescent="0.1">
      <c r="B12" s="156"/>
      <c r="C12" s="166"/>
      <c r="D12" s="156"/>
      <c r="E12" s="156"/>
      <c r="F12" s="156"/>
      <c r="G12" s="156"/>
      <c r="H12" s="156"/>
      <c r="I12" s="156"/>
      <c r="J12" s="156"/>
      <c r="K12" s="156"/>
      <c r="L12" s="156"/>
      <c r="M12" s="156"/>
      <c r="N12" s="156"/>
      <c r="O12" s="167"/>
      <c r="P12" s="156"/>
      <c r="Q12" s="156"/>
      <c r="R12" s="156"/>
      <c r="S12" s="156"/>
      <c r="T12" s="168"/>
      <c r="U12" s="168"/>
      <c r="V12" s="156"/>
      <c r="W12" s="156"/>
      <c r="X12" s="155"/>
      <c r="Y12" s="156"/>
      <c r="Z12" s="156"/>
      <c r="AA12" s="156"/>
      <c r="AB12" s="156"/>
      <c r="AC12" s="156"/>
      <c r="AD12" s="156"/>
      <c r="AE12" s="156"/>
      <c r="AL12" s="156"/>
      <c r="AM12" s="156"/>
      <c r="AN12" s="156"/>
      <c r="AO12" s="156"/>
      <c r="AP12" s="156"/>
    </row>
    <row r="13" spans="2:52" s="169" customFormat="1" ht="20.25" customHeight="1" x14ac:dyDescent="0.1">
      <c r="B13" s="224" t="s">
        <v>29</v>
      </c>
      <c r="C13" s="236" t="s">
        <v>30</v>
      </c>
      <c r="D13" s="238" t="s">
        <v>81</v>
      </c>
      <c r="E13" s="224" t="s">
        <v>149</v>
      </c>
      <c r="F13" s="236" t="s">
        <v>111</v>
      </c>
      <c r="G13" s="224" t="s">
        <v>82</v>
      </c>
      <c r="H13" s="227" t="s">
        <v>83</v>
      </c>
      <c r="I13" s="229"/>
      <c r="J13" s="170" t="s">
        <v>112</v>
      </c>
      <c r="K13" s="224" t="s">
        <v>84</v>
      </c>
      <c r="L13" s="227" t="s">
        <v>113</v>
      </c>
      <c r="M13" s="228"/>
      <c r="N13" s="228"/>
      <c r="O13" s="229"/>
      <c r="P13" s="224" t="s">
        <v>85</v>
      </c>
      <c r="Q13" s="224" t="s">
        <v>86</v>
      </c>
      <c r="R13" s="307" t="s">
        <v>155</v>
      </c>
      <c r="S13" s="224" t="s">
        <v>89</v>
      </c>
      <c r="T13" s="171"/>
      <c r="U13" s="172"/>
      <c r="V13" s="172"/>
      <c r="W13" s="172"/>
      <c r="X13" s="172"/>
      <c r="Y13" s="172"/>
      <c r="Z13" s="172"/>
      <c r="AA13" s="172"/>
      <c r="AH13" s="172"/>
      <c r="AI13" s="172"/>
      <c r="AJ13" s="172"/>
      <c r="AK13" s="172"/>
      <c r="AL13" s="172"/>
    </row>
    <row r="14" spans="2:52" s="169" customFormat="1" ht="39.75" customHeight="1" x14ac:dyDescent="0.15">
      <c r="B14" s="237"/>
      <c r="C14" s="237"/>
      <c r="D14" s="239"/>
      <c r="E14" s="225"/>
      <c r="F14" s="237"/>
      <c r="G14" s="225"/>
      <c r="H14" s="131" t="s">
        <v>90</v>
      </c>
      <c r="I14" s="131" t="s">
        <v>91</v>
      </c>
      <c r="J14" s="130"/>
      <c r="K14" s="225"/>
      <c r="L14" s="132" t="s">
        <v>114</v>
      </c>
      <c r="M14" s="132" t="s">
        <v>115</v>
      </c>
      <c r="N14" s="132" t="s">
        <v>116</v>
      </c>
      <c r="O14" s="173" t="s">
        <v>117</v>
      </c>
      <c r="P14" s="225"/>
      <c r="Q14" s="225"/>
      <c r="R14" s="307"/>
      <c r="S14" s="225"/>
      <c r="U14" s="172"/>
      <c r="V14" s="172"/>
      <c r="W14" s="172"/>
      <c r="X14" s="172"/>
      <c r="Y14" s="172"/>
      <c r="Z14" s="172"/>
      <c r="AA14" s="172"/>
      <c r="AH14" s="172"/>
      <c r="AI14" s="172"/>
      <c r="AJ14" s="172"/>
      <c r="AK14" s="172"/>
      <c r="AL14" s="172"/>
    </row>
    <row r="15" spans="2:52" s="169" customFormat="1" ht="36.75" customHeight="1" x14ac:dyDescent="0.15">
      <c r="B15" s="124">
        <v>1</v>
      </c>
      <c r="C15" s="124" t="s">
        <v>174</v>
      </c>
      <c r="D15" s="137" t="s">
        <v>31</v>
      </c>
      <c r="E15" s="133" t="s">
        <v>160</v>
      </c>
      <c r="F15" s="124" t="s">
        <v>159</v>
      </c>
      <c r="G15" s="41" t="s">
        <v>153</v>
      </c>
      <c r="H15" s="38">
        <v>1000</v>
      </c>
      <c r="I15" s="133" t="s">
        <v>32</v>
      </c>
      <c r="J15" s="174">
        <f t="shared" ref="J15:J18" si="0">2122+135</f>
        <v>2257</v>
      </c>
      <c r="K15" s="134" t="s">
        <v>96</v>
      </c>
      <c r="L15" s="124">
        <v>1300</v>
      </c>
      <c r="M15" s="124">
        <v>800</v>
      </c>
      <c r="N15" s="124">
        <v>800</v>
      </c>
      <c r="O15" s="213">
        <f t="shared" ref="O15" si="1">ROUND(L15*M15*N15/1000000000,2)</f>
        <v>0.83</v>
      </c>
      <c r="P15" s="175">
        <f t="shared" ref="P15" si="2">1*J15</f>
        <v>2257</v>
      </c>
      <c r="Q15" s="175">
        <f>P15+83</f>
        <v>2340</v>
      </c>
      <c r="R15" s="135" t="s">
        <v>98</v>
      </c>
      <c r="S15" s="129"/>
      <c r="U15" s="172"/>
      <c r="V15" s="172"/>
      <c r="W15" s="172"/>
      <c r="X15" s="172"/>
      <c r="Y15" s="172"/>
      <c r="Z15" s="172"/>
      <c r="AA15" s="172"/>
      <c r="AH15" s="172"/>
      <c r="AI15" s="172"/>
      <c r="AJ15" s="172"/>
      <c r="AK15" s="172"/>
      <c r="AL15" s="172"/>
    </row>
    <row r="16" spans="2:52" s="169" customFormat="1" ht="36.75" customHeight="1" x14ac:dyDescent="0.15">
      <c r="B16" s="124">
        <v>2</v>
      </c>
      <c r="C16" s="124" t="s">
        <v>175</v>
      </c>
      <c r="D16" s="137" t="s">
        <v>31</v>
      </c>
      <c r="E16" s="133" t="s">
        <v>160</v>
      </c>
      <c r="F16" s="124" t="s">
        <v>159</v>
      </c>
      <c r="G16" s="41" t="s">
        <v>153</v>
      </c>
      <c r="H16" s="38">
        <v>1000</v>
      </c>
      <c r="I16" s="133" t="s">
        <v>32</v>
      </c>
      <c r="J16" s="174">
        <f t="shared" si="0"/>
        <v>2257</v>
      </c>
      <c r="K16" s="134" t="s">
        <v>96</v>
      </c>
      <c r="L16" s="124">
        <v>1300</v>
      </c>
      <c r="M16" s="124">
        <v>800</v>
      </c>
      <c r="N16" s="124">
        <v>800</v>
      </c>
      <c r="O16" s="213">
        <f t="shared" ref="O16:O18" si="3">ROUND(L16*M16*N16/1000000000,2)</f>
        <v>0.83</v>
      </c>
      <c r="P16" s="175">
        <f t="shared" ref="P16:P18" si="4">1*J16</f>
        <v>2257</v>
      </c>
      <c r="Q16" s="175">
        <f t="shared" ref="Q16:Q19" si="5">P16+83</f>
        <v>2340</v>
      </c>
      <c r="R16" s="135" t="s">
        <v>98</v>
      </c>
      <c r="S16" s="129"/>
      <c r="U16" s="172"/>
      <c r="V16" s="172"/>
      <c r="W16" s="172"/>
      <c r="X16" s="172"/>
      <c r="Y16" s="172"/>
      <c r="Z16" s="172"/>
      <c r="AA16" s="172"/>
      <c r="AH16" s="172"/>
      <c r="AI16" s="172"/>
      <c r="AJ16" s="172"/>
      <c r="AK16" s="172"/>
      <c r="AL16" s="172"/>
    </row>
    <row r="17" spans="1:38" s="169" customFormat="1" ht="36.75" customHeight="1" x14ac:dyDescent="0.15">
      <c r="B17" s="124">
        <v>3</v>
      </c>
      <c r="C17" s="124" t="s">
        <v>176</v>
      </c>
      <c r="D17" s="137" t="s">
        <v>31</v>
      </c>
      <c r="E17" s="133" t="s">
        <v>160</v>
      </c>
      <c r="F17" s="124" t="s">
        <v>159</v>
      </c>
      <c r="G17" s="41" t="s">
        <v>153</v>
      </c>
      <c r="H17" s="38">
        <v>1000</v>
      </c>
      <c r="I17" s="133" t="s">
        <v>32</v>
      </c>
      <c r="J17" s="174">
        <f t="shared" si="0"/>
        <v>2257</v>
      </c>
      <c r="K17" s="134" t="s">
        <v>96</v>
      </c>
      <c r="L17" s="124">
        <v>1300</v>
      </c>
      <c r="M17" s="124">
        <v>800</v>
      </c>
      <c r="N17" s="124">
        <v>800</v>
      </c>
      <c r="O17" s="213">
        <f t="shared" si="3"/>
        <v>0.83</v>
      </c>
      <c r="P17" s="175">
        <f t="shared" si="4"/>
        <v>2257</v>
      </c>
      <c r="Q17" s="175">
        <f t="shared" si="5"/>
        <v>2340</v>
      </c>
      <c r="R17" s="135" t="s">
        <v>98</v>
      </c>
      <c r="S17" s="129"/>
      <c r="U17" s="172"/>
      <c r="V17" s="172"/>
      <c r="W17" s="172"/>
      <c r="X17" s="172"/>
      <c r="Y17" s="172"/>
      <c r="Z17" s="172"/>
      <c r="AA17" s="172"/>
      <c r="AH17" s="172"/>
      <c r="AI17" s="172"/>
      <c r="AJ17" s="172"/>
      <c r="AK17" s="172"/>
      <c r="AL17" s="172"/>
    </row>
    <row r="18" spans="1:38" s="169" customFormat="1" ht="36.75" customHeight="1" x14ac:dyDescent="0.15">
      <c r="B18" s="124">
        <v>4</v>
      </c>
      <c r="C18" s="124" t="s">
        <v>177</v>
      </c>
      <c r="D18" s="137" t="s">
        <v>31</v>
      </c>
      <c r="E18" s="133" t="s">
        <v>160</v>
      </c>
      <c r="F18" s="124" t="s">
        <v>159</v>
      </c>
      <c r="G18" s="41" t="s">
        <v>153</v>
      </c>
      <c r="H18" s="38">
        <v>1000</v>
      </c>
      <c r="I18" s="133" t="s">
        <v>32</v>
      </c>
      <c r="J18" s="174">
        <f t="shared" si="0"/>
        <v>2257</v>
      </c>
      <c r="K18" s="134" t="s">
        <v>96</v>
      </c>
      <c r="L18" s="124">
        <v>1300</v>
      </c>
      <c r="M18" s="124">
        <v>800</v>
      </c>
      <c r="N18" s="124">
        <v>800</v>
      </c>
      <c r="O18" s="213">
        <f t="shared" si="3"/>
        <v>0.83</v>
      </c>
      <c r="P18" s="175">
        <f t="shared" si="4"/>
        <v>2257</v>
      </c>
      <c r="Q18" s="175">
        <f t="shared" si="5"/>
        <v>2340</v>
      </c>
      <c r="R18" s="135" t="s">
        <v>98</v>
      </c>
      <c r="S18" s="129"/>
      <c r="U18" s="172"/>
      <c r="V18" s="172"/>
      <c r="W18" s="172"/>
      <c r="X18" s="172"/>
      <c r="Y18" s="172"/>
      <c r="Z18" s="172"/>
      <c r="AA18" s="172"/>
      <c r="AH18" s="172"/>
      <c r="AI18" s="172"/>
      <c r="AJ18" s="172"/>
      <c r="AK18" s="172"/>
      <c r="AL18" s="172"/>
    </row>
    <row r="19" spans="1:38" s="169" customFormat="1" ht="36.75" customHeight="1" x14ac:dyDescent="0.15">
      <c r="B19" s="124">
        <v>5</v>
      </c>
      <c r="C19" s="124" t="s">
        <v>178</v>
      </c>
      <c r="D19" s="137" t="s">
        <v>31</v>
      </c>
      <c r="E19" s="133" t="s">
        <v>160</v>
      </c>
      <c r="F19" s="124" t="s">
        <v>159</v>
      </c>
      <c r="G19" s="41" t="s">
        <v>153</v>
      </c>
      <c r="H19" s="38">
        <v>1300</v>
      </c>
      <c r="I19" s="133" t="s">
        <v>32</v>
      </c>
      <c r="J19" s="174">
        <v>2817</v>
      </c>
      <c r="K19" s="134" t="s">
        <v>96</v>
      </c>
      <c r="L19" s="124">
        <v>1300</v>
      </c>
      <c r="M19" s="124">
        <v>800</v>
      </c>
      <c r="N19" s="124">
        <v>800</v>
      </c>
      <c r="O19" s="213">
        <f t="shared" ref="O19" si="6">ROUND(L19*M19*N19/1000000000,2)</f>
        <v>0.83</v>
      </c>
      <c r="P19" s="175">
        <v>2817</v>
      </c>
      <c r="Q19" s="175">
        <f t="shared" si="5"/>
        <v>2900</v>
      </c>
      <c r="R19" s="135" t="s">
        <v>98</v>
      </c>
      <c r="S19" s="129"/>
      <c r="U19" s="172"/>
      <c r="V19" s="172"/>
      <c r="W19" s="172"/>
      <c r="X19" s="172"/>
      <c r="Y19" s="172"/>
      <c r="Z19" s="172"/>
      <c r="AA19" s="172"/>
      <c r="AH19" s="172"/>
      <c r="AI19" s="172"/>
      <c r="AJ19" s="172"/>
      <c r="AK19" s="172"/>
      <c r="AL19" s="172"/>
    </row>
    <row r="20" spans="1:38" s="169" customFormat="1" ht="36.75" customHeight="1" x14ac:dyDescent="0.15">
      <c r="B20" s="124">
        <v>6</v>
      </c>
      <c r="C20" s="124" t="s">
        <v>179</v>
      </c>
      <c r="D20" s="137" t="s">
        <v>33</v>
      </c>
      <c r="E20" s="133" t="s">
        <v>160</v>
      </c>
      <c r="F20" s="124" t="s">
        <v>159</v>
      </c>
      <c r="G20" s="41" t="s">
        <v>153</v>
      </c>
      <c r="H20" s="38">
        <v>500</v>
      </c>
      <c r="I20" s="133" t="s">
        <v>32</v>
      </c>
      <c r="J20" s="174">
        <v>1220</v>
      </c>
      <c r="K20" s="134" t="s">
        <v>96</v>
      </c>
      <c r="L20" s="133">
        <v>1200</v>
      </c>
      <c r="M20" s="133">
        <v>800</v>
      </c>
      <c r="N20" s="124">
        <v>800</v>
      </c>
      <c r="O20" s="213">
        <f t="shared" ref="O20:O36" si="7">ROUND(L20*M20*N20/1000000000,2)</f>
        <v>0.77</v>
      </c>
      <c r="P20" s="175">
        <v>1220</v>
      </c>
      <c r="Q20" s="175">
        <f>P20+70</f>
        <v>1290</v>
      </c>
      <c r="R20" s="135" t="s">
        <v>99</v>
      </c>
      <c r="S20" s="129"/>
      <c r="U20" s="172"/>
      <c r="V20" s="172"/>
      <c r="W20" s="172"/>
      <c r="X20" s="172"/>
      <c r="Y20" s="172"/>
      <c r="Z20" s="172"/>
      <c r="AA20" s="172"/>
      <c r="AH20" s="172"/>
      <c r="AI20" s="172"/>
      <c r="AJ20" s="172"/>
      <c r="AK20" s="172"/>
      <c r="AL20" s="172"/>
    </row>
    <row r="21" spans="1:38" s="169" customFormat="1" ht="36.75" customHeight="1" x14ac:dyDescent="0.15">
      <c r="B21" s="124">
        <v>7</v>
      </c>
      <c r="C21" s="124" t="s">
        <v>180</v>
      </c>
      <c r="D21" s="137" t="s">
        <v>34</v>
      </c>
      <c r="E21" s="133" t="s">
        <v>160</v>
      </c>
      <c r="F21" s="124" t="s">
        <v>159</v>
      </c>
      <c r="G21" s="41" t="s">
        <v>163</v>
      </c>
      <c r="H21" s="38">
        <v>500</v>
      </c>
      <c r="I21" s="133" t="s">
        <v>32</v>
      </c>
      <c r="J21" s="174">
        <v>733</v>
      </c>
      <c r="K21" s="134" t="s">
        <v>96</v>
      </c>
      <c r="L21" s="133">
        <v>1200</v>
      </c>
      <c r="M21" s="133">
        <v>800</v>
      </c>
      <c r="N21" s="124">
        <v>800</v>
      </c>
      <c r="O21" s="213">
        <f t="shared" si="7"/>
        <v>0.77</v>
      </c>
      <c r="P21" s="175">
        <v>733</v>
      </c>
      <c r="Q21" s="175">
        <f>P21+87</f>
        <v>820</v>
      </c>
      <c r="R21" s="133" t="s">
        <v>100</v>
      </c>
      <c r="S21" s="129"/>
      <c r="U21" s="172"/>
      <c r="V21" s="172"/>
      <c r="W21" s="172"/>
      <c r="X21" s="172"/>
      <c r="Y21" s="172"/>
      <c r="Z21" s="172"/>
      <c r="AA21" s="172"/>
      <c r="AH21" s="172"/>
      <c r="AI21" s="172"/>
      <c r="AJ21" s="172"/>
      <c r="AK21" s="172"/>
      <c r="AL21" s="172"/>
    </row>
    <row r="22" spans="1:38" s="169" customFormat="1" ht="36.75" customHeight="1" x14ac:dyDescent="0.15">
      <c r="B22" s="124">
        <v>8</v>
      </c>
      <c r="C22" s="124" t="s">
        <v>181</v>
      </c>
      <c r="D22" s="137" t="s">
        <v>35</v>
      </c>
      <c r="E22" s="133" t="s">
        <v>160</v>
      </c>
      <c r="F22" s="124" t="s">
        <v>159</v>
      </c>
      <c r="G22" s="41" t="s">
        <v>164</v>
      </c>
      <c r="H22" s="38">
        <v>500</v>
      </c>
      <c r="I22" s="133" t="s">
        <v>32</v>
      </c>
      <c r="J22" s="174">
        <v>493</v>
      </c>
      <c r="K22" s="134" t="s">
        <v>96</v>
      </c>
      <c r="L22" s="133">
        <v>1000</v>
      </c>
      <c r="M22" s="133">
        <v>700</v>
      </c>
      <c r="N22" s="133">
        <v>700</v>
      </c>
      <c r="O22" s="213">
        <f t="shared" si="7"/>
        <v>0.49</v>
      </c>
      <c r="P22" s="175">
        <v>493</v>
      </c>
      <c r="Q22" s="175">
        <f>P22+87</f>
        <v>580</v>
      </c>
      <c r="R22" s="133" t="s">
        <v>101</v>
      </c>
      <c r="S22" s="129"/>
      <c r="U22" s="172"/>
      <c r="V22" s="172"/>
      <c r="W22" s="172"/>
      <c r="X22" s="172"/>
      <c r="Y22" s="172"/>
      <c r="Z22" s="172"/>
      <c r="AA22" s="172"/>
      <c r="AH22" s="172"/>
      <c r="AI22" s="172"/>
      <c r="AJ22" s="172"/>
      <c r="AK22" s="172"/>
      <c r="AL22" s="172"/>
    </row>
    <row r="23" spans="1:38" s="211" customFormat="1" ht="41.25" customHeight="1" x14ac:dyDescent="0.15">
      <c r="A23" s="169"/>
      <c r="B23" s="124">
        <v>9</v>
      </c>
      <c r="C23" s="240" t="s">
        <v>182</v>
      </c>
      <c r="D23" s="137" t="s">
        <v>239</v>
      </c>
      <c r="E23" s="133" t="s">
        <v>160</v>
      </c>
      <c r="F23" s="124" t="s">
        <v>159</v>
      </c>
      <c r="G23" s="41" t="s">
        <v>165</v>
      </c>
      <c r="H23" s="38">
        <v>2</v>
      </c>
      <c r="I23" s="133" t="s">
        <v>37</v>
      </c>
      <c r="J23" s="177"/>
      <c r="K23" s="222" t="s">
        <v>105</v>
      </c>
      <c r="L23" s="222">
        <v>500</v>
      </c>
      <c r="M23" s="222">
        <v>500</v>
      </c>
      <c r="N23" s="222">
        <v>500</v>
      </c>
      <c r="O23" s="313">
        <f t="shared" ref="O23:O33" si="8">ROUND(L23*M23*N23/1000000000,2)</f>
        <v>0.13</v>
      </c>
      <c r="P23" s="246">
        <f>H24*J24</f>
        <v>80</v>
      </c>
      <c r="Q23" s="246">
        <f t="shared" ref="Q23:Q33" si="9">P23+1</f>
        <v>81</v>
      </c>
      <c r="R23" s="135" t="s">
        <v>223</v>
      </c>
      <c r="S23" s="129"/>
      <c r="U23" s="212"/>
      <c r="V23" s="212"/>
      <c r="W23" s="212"/>
      <c r="X23" s="212"/>
      <c r="Y23" s="212"/>
      <c r="Z23" s="212"/>
      <c r="AA23" s="212"/>
      <c r="AH23" s="212"/>
      <c r="AI23" s="212"/>
      <c r="AJ23" s="212"/>
      <c r="AK23" s="212"/>
      <c r="AL23" s="212"/>
    </row>
    <row r="24" spans="1:38" s="211" customFormat="1" ht="79.5" customHeight="1" x14ac:dyDescent="0.15">
      <c r="A24" s="169"/>
      <c r="B24" s="124">
        <v>10</v>
      </c>
      <c r="C24" s="241"/>
      <c r="D24" s="215" t="s">
        <v>241</v>
      </c>
      <c r="E24" s="133" t="s">
        <v>160</v>
      </c>
      <c r="F24" s="124" t="s">
        <v>159</v>
      </c>
      <c r="G24" s="41" t="s">
        <v>165</v>
      </c>
      <c r="H24" s="38">
        <v>400</v>
      </c>
      <c r="I24" s="133" t="s">
        <v>37</v>
      </c>
      <c r="J24" s="177">
        <v>0.2</v>
      </c>
      <c r="K24" s="223"/>
      <c r="L24" s="223"/>
      <c r="M24" s="223"/>
      <c r="N24" s="223"/>
      <c r="O24" s="314"/>
      <c r="P24" s="247"/>
      <c r="Q24" s="247"/>
      <c r="R24" s="135" t="s">
        <v>224</v>
      </c>
      <c r="S24" s="129"/>
      <c r="U24" s="212"/>
      <c r="V24" s="212"/>
      <c r="W24" s="212"/>
      <c r="X24" s="212"/>
      <c r="Y24" s="212"/>
      <c r="Z24" s="212"/>
      <c r="AA24" s="212"/>
      <c r="AH24" s="212"/>
      <c r="AI24" s="212"/>
      <c r="AJ24" s="212"/>
      <c r="AK24" s="212"/>
      <c r="AL24" s="212"/>
    </row>
    <row r="25" spans="1:38" s="169" customFormat="1" ht="50.25" customHeight="1" x14ac:dyDescent="0.15">
      <c r="B25" s="124">
        <v>11</v>
      </c>
      <c r="C25" s="240" t="s">
        <v>183</v>
      </c>
      <c r="D25" s="137" t="s">
        <v>238</v>
      </c>
      <c r="E25" s="133" t="s">
        <v>160</v>
      </c>
      <c r="F25" s="124" t="s">
        <v>159</v>
      </c>
      <c r="G25" s="41" t="s">
        <v>166</v>
      </c>
      <c r="H25" s="38">
        <v>1</v>
      </c>
      <c r="I25" s="133" t="s">
        <v>37</v>
      </c>
      <c r="J25" s="177"/>
      <c r="K25" s="222" t="s">
        <v>105</v>
      </c>
      <c r="L25" s="222">
        <v>500</v>
      </c>
      <c r="M25" s="222">
        <v>500</v>
      </c>
      <c r="N25" s="222">
        <v>500</v>
      </c>
      <c r="O25" s="313">
        <f t="shared" si="8"/>
        <v>0.13</v>
      </c>
      <c r="P25" s="246">
        <f>H26*J26</f>
        <v>30</v>
      </c>
      <c r="Q25" s="246">
        <f t="shared" si="9"/>
        <v>31</v>
      </c>
      <c r="R25" s="135" t="s">
        <v>225</v>
      </c>
      <c r="S25" s="129"/>
      <c r="U25" s="172"/>
      <c r="V25" s="172"/>
      <c r="W25" s="172"/>
      <c r="X25" s="172"/>
      <c r="Y25" s="172"/>
      <c r="Z25" s="172"/>
      <c r="AA25" s="172"/>
      <c r="AH25" s="172"/>
      <c r="AI25" s="172"/>
      <c r="AJ25" s="172"/>
      <c r="AK25" s="172"/>
      <c r="AL25" s="172"/>
    </row>
    <row r="26" spans="1:38" s="169" customFormat="1" ht="75.75" customHeight="1" x14ac:dyDescent="0.15">
      <c r="B26" s="124">
        <v>12</v>
      </c>
      <c r="C26" s="241"/>
      <c r="D26" s="215" t="s">
        <v>242</v>
      </c>
      <c r="E26" s="133" t="s">
        <v>160</v>
      </c>
      <c r="F26" s="124" t="s">
        <v>159</v>
      </c>
      <c r="G26" s="41" t="s">
        <v>166</v>
      </c>
      <c r="H26" s="38">
        <v>100</v>
      </c>
      <c r="I26" s="133" t="s">
        <v>37</v>
      </c>
      <c r="J26" s="177">
        <v>0.3</v>
      </c>
      <c r="K26" s="223"/>
      <c r="L26" s="223"/>
      <c r="M26" s="223"/>
      <c r="N26" s="223"/>
      <c r="O26" s="314"/>
      <c r="P26" s="247"/>
      <c r="Q26" s="247"/>
      <c r="R26" s="135" t="s">
        <v>226</v>
      </c>
      <c r="S26" s="129"/>
      <c r="U26" s="172"/>
      <c r="V26" s="172"/>
      <c r="W26" s="172"/>
      <c r="X26" s="172"/>
      <c r="Y26" s="172"/>
      <c r="Z26" s="172"/>
      <c r="AA26" s="172"/>
      <c r="AH26" s="172"/>
      <c r="AI26" s="172"/>
      <c r="AJ26" s="172"/>
      <c r="AK26" s="172"/>
      <c r="AL26" s="172"/>
    </row>
    <row r="27" spans="1:38" s="169" customFormat="1" ht="43.5" customHeight="1" x14ac:dyDescent="0.15">
      <c r="B27" s="124">
        <v>13</v>
      </c>
      <c r="C27" s="240" t="s">
        <v>184</v>
      </c>
      <c r="D27" s="137" t="s">
        <v>237</v>
      </c>
      <c r="E27" s="133" t="s">
        <v>160</v>
      </c>
      <c r="F27" s="124" t="s">
        <v>159</v>
      </c>
      <c r="G27" s="41" t="s">
        <v>167</v>
      </c>
      <c r="H27" s="38">
        <v>1</v>
      </c>
      <c r="I27" s="133" t="s">
        <v>37</v>
      </c>
      <c r="J27" s="177"/>
      <c r="K27" s="222" t="s">
        <v>105</v>
      </c>
      <c r="L27" s="222">
        <v>500</v>
      </c>
      <c r="M27" s="222">
        <v>500</v>
      </c>
      <c r="N27" s="222">
        <v>500</v>
      </c>
      <c r="O27" s="313">
        <f t="shared" si="8"/>
        <v>0.13</v>
      </c>
      <c r="P27" s="246">
        <f>H28*J28</f>
        <v>25</v>
      </c>
      <c r="Q27" s="246">
        <f t="shared" si="9"/>
        <v>26</v>
      </c>
      <c r="R27" s="135" t="s">
        <v>227</v>
      </c>
      <c r="S27" s="129"/>
      <c r="U27" s="172"/>
      <c r="V27" s="172"/>
      <c r="W27" s="172"/>
      <c r="X27" s="172"/>
      <c r="Y27" s="172"/>
      <c r="Z27" s="172"/>
      <c r="AA27" s="172"/>
      <c r="AH27" s="172"/>
      <c r="AI27" s="172"/>
      <c r="AJ27" s="172"/>
      <c r="AK27" s="172"/>
      <c r="AL27" s="172"/>
    </row>
    <row r="28" spans="1:38" s="169" customFormat="1" ht="75.75" customHeight="1" x14ac:dyDescent="0.15">
      <c r="B28" s="124">
        <v>14</v>
      </c>
      <c r="C28" s="241"/>
      <c r="D28" s="137" t="s">
        <v>243</v>
      </c>
      <c r="E28" s="133" t="s">
        <v>160</v>
      </c>
      <c r="F28" s="124" t="s">
        <v>159</v>
      </c>
      <c r="G28" s="41" t="s">
        <v>167</v>
      </c>
      <c r="H28" s="38">
        <v>100</v>
      </c>
      <c r="I28" s="133" t="s">
        <v>37</v>
      </c>
      <c r="J28" s="177">
        <v>0.25</v>
      </c>
      <c r="K28" s="223"/>
      <c r="L28" s="223"/>
      <c r="M28" s="223"/>
      <c r="N28" s="223"/>
      <c r="O28" s="314"/>
      <c r="P28" s="247"/>
      <c r="Q28" s="247"/>
      <c r="R28" s="135" t="s">
        <v>228</v>
      </c>
      <c r="S28" s="129"/>
      <c r="U28" s="172"/>
      <c r="V28" s="172"/>
      <c r="W28" s="172"/>
      <c r="X28" s="172"/>
      <c r="Y28" s="172"/>
      <c r="Z28" s="172"/>
      <c r="AA28" s="172"/>
      <c r="AH28" s="172"/>
      <c r="AI28" s="172"/>
      <c r="AJ28" s="172"/>
      <c r="AK28" s="172"/>
      <c r="AL28" s="172"/>
    </row>
    <row r="29" spans="1:38" s="169" customFormat="1" ht="48" customHeight="1" x14ac:dyDescent="0.15">
      <c r="B29" s="124">
        <v>15</v>
      </c>
      <c r="C29" s="240" t="s">
        <v>185</v>
      </c>
      <c r="D29" s="137" t="s">
        <v>236</v>
      </c>
      <c r="E29" s="133" t="s">
        <v>160</v>
      </c>
      <c r="F29" s="124" t="s">
        <v>159</v>
      </c>
      <c r="G29" s="41" t="s">
        <v>168</v>
      </c>
      <c r="H29" s="38">
        <v>1</v>
      </c>
      <c r="I29" s="133" t="s">
        <v>37</v>
      </c>
      <c r="J29" s="177"/>
      <c r="K29" s="222" t="s">
        <v>105</v>
      </c>
      <c r="L29" s="222">
        <v>500</v>
      </c>
      <c r="M29" s="222">
        <v>500</v>
      </c>
      <c r="N29" s="222">
        <v>500</v>
      </c>
      <c r="O29" s="313">
        <f t="shared" si="8"/>
        <v>0.13</v>
      </c>
      <c r="P29" s="246">
        <f>H30*J30</f>
        <v>10</v>
      </c>
      <c r="Q29" s="246">
        <f t="shared" si="9"/>
        <v>11</v>
      </c>
      <c r="R29" s="135" t="s">
        <v>229</v>
      </c>
      <c r="S29" s="129"/>
      <c r="U29" s="172"/>
      <c r="V29" s="172"/>
      <c r="W29" s="172"/>
      <c r="X29" s="172"/>
      <c r="Y29" s="172"/>
      <c r="Z29" s="172"/>
      <c r="AA29" s="172"/>
      <c r="AH29" s="172"/>
      <c r="AI29" s="172"/>
      <c r="AJ29" s="172"/>
      <c r="AK29" s="172"/>
      <c r="AL29" s="172"/>
    </row>
    <row r="30" spans="1:38" s="169" customFormat="1" ht="63.75" customHeight="1" x14ac:dyDescent="0.15">
      <c r="B30" s="124">
        <v>16</v>
      </c>
      <c r="C30" s="241"/>
      <c r="D30" s="215" t="s">
        <v>244</v>
      </c>
      <c r="E30" s="133" t="s">
        <v>160</v>
      </c>
      <c r="F30" s="124" t="s">
        <v>159</v>
      </c>
      <c r="G30" s="41" t="s">
        <v>168</v>
      </c>
      <c r="H30" s="38">
        <v>50</v>
      </c>
      <c r="I30" s="133" t="s">
        <v>37</v>
      </c>
      <c r="J30" s="177">
        <v>0.2</v>
      </c>
      <c r="K30" s="223"/>
      <c r="L30" s="223"/>
      <c r="M30" s="223"/>
      <c r="N30" s="223"/>
      <c r="O30" s="314"/>
      <c r="P30" s="247"/>
      <c r="Q30" s="247"/>
      <c r="R30" s="135" t="s">
        <v>230</v>
      </c>
      <c r="S30" s="129"/>
      <c r="U30" s="172"/>
      <c r="V30" s="172"/>
      <c r="W30" s="172"/>
      <c r="X30" s="172"/>
      <c r="Y30" s="172"/>
      <c r="Z30" s="172"/>
      <c r="AA30" s="172"/>
      <c r="AH30" s="172"/>
      <c r="AI30" s="172"/>
      <c r="AJ30" s="172"/>
      <c r="AK30" s="172"/>
      <c r="AL30" s="172"/>
    </row>
    <row r="31" spans="1:38" s="169" customFormat="1" ht="51.75" customHeight="1" x14ac:dyDescent="0.15">
      <c r="B31" s="124">
        <v>17</v>
      </c>
      <c r="C31" s="240" t="s">
        <v>186</v>
      </c>
      <c r="D31" s="137" t="s">
        <v>235</v>
      </c>
      <c r="E31" s="133" t="s">
        <v>160</v>
      </c>
      <c r="F31" s="124" t="s">
        <v>159</v>
      </c>
      <c r="G31" s="41" t="s">
        <v>169</v>
      </c>
      <c r="H31" s="38">
        <v>1</v>
      </c>
      <c r="I31" s="133" t="s">
        <v>37</v>
      </c>
      <c r="J31" s="177"/>
      <c r="K31" s="222" t="s">
        <v>105</v>
      </c>
      <c r="L31" s="222">
        <v>500</v>
      </c>
      <c r="M31" s="222">
        <v>500</v>
      </c>
      <c r="N31" s="222">
        <v>500</v>
      </c>
      <c r="O31" s="313">
        <f t="shared" si="8"/>
        <v>0.13</v>
      </c>
      <c r="P31" s="246">
        <f>H32*J32</f>
        <v>10</v>
      </c>
      <c r="Q31" s="246">
        <f t="shared" si="9"/>
        <v>11</v>
      </c>
      <c r="R31" s="135" t="s">
        <v>231</v>
      </c>
      <c r="S31" s="129"/>
      <c r="U31" s="172"/>
      <c r="V31" s="172"/>
      <c r="W31" s="172"/>
      <c r="X31" s="172"/>
      <c r="Y31" s="172"/>
      <c r="Z31" s="172"/>
      <c r="AA31" s="172"/>
      <c r="AH31" s="172"/>
      <c r="AI31" s="172"/>
      <c r="AJ31" s="172"/>
      <c r="AK31" s="172"/>
      <c r="AL31" s="172"/>
    </row>
    <row r="32" spans="1:38" s="169" customFormat="1" ht="65.25" customHeight="1" x14ac:dyDescent="0.15">
      <c r="B32" s="124">
        <v>18</v>
      </c>
      <c r="C32" s="241"/>
      <c r="D32" s="215" t="s">
        <v>245</v>
      </c>
      <c r="E32" s="133" t="s">
        <v>160</v>
      </c>
      <c r="F32" s="124" t="s">
        <v>159</v>
      </c>
      <c r="G32" s="41" t="s">
        <v>169</v>
      </c>
      <c r="H32" s="38">
        <v>50</v>
      </c>
      <c r="I32" s="133" t="s">
        <v>37</v>
      </c>
      <c r="J32" s="177">
        <v>0.2</v>
      </c>
      <c r="K32" s="223"/>
      <c r="L32" s="223"/>
      <c r="M32" s="223"/>
      <c r="N32" s="223"/>
      <c r="O32" s="314"/>
      <c r="P32" s="247"/>
      <c r="Q32" s="247"/>
      <c r="R32" s="135" t="s">
        <v>230</v>
      </c>
      <c r="S32" s="129"/>
      <c r="U32" s="172"/>
      <c r="V32" s="172"/>
      <c r="W32" s="172"/>
      <c r="X32" s="172"/>
      <c r="Y32" s="172"/>
      <c r="Z32" s="172"/>
      <c r="AA32" s="172"/>
      <c r="AH32" s="172"/>
      <c r="AI32" s="172"/>
      <c r="AJ32" s="172"/>
      <c r="AK32" s="172"/>
      <c r="AL32" s="172"/>
    </row>
    <row r="33" spans="2:38" s="169" customFormat="1" ht="54.75" customHeight="1" x14ac:dyDescent="0.15">
      <c r="B33" s="124">
        <v>19</v>
      </c>
      <c r="C33" s="240" t="s">
        <v>187</v>
      </c>
      <c r="D33" s="137" t="s">
        <v>234</v>
      </c>
      <c r="E33" s="133" t="s">
        <v>160</v>
      </c>
      <c r="F33" s="124" t="s">
        <v>159</v>
      </c>
      <c r="G33" s="41" t="s">
        <v>170</v>
      </c>
      <c r="H33" s="38">
        <v>1</v>
      </c>
      <c r="I33" s="133" t="s">
        <v>37</v>
      </c>
      <c r="J33" s="177"/>
      <c r="K33" s="222" t="s">
        <v>105</v>
      </c>
      <c r="L33" s="222">
        <v>500</v>
      </c>
      <c r="M33" s="222">
        <v>500</v>
      </c>
      <c r="N33" s="222">
        <v>500</v>
      </c>
      <c r="O33" s="313">
        <f t="shared" si="8"/>
        <v>0.13</v>
      </c>
      <c r="P33" s="246">
        <f>H34*J34</f>
        <v>12</v>
      </c>
      <c r="Q33" s="246">
        <f t="shared" si="9"/>
        <v>13</v>
      </c>
      <c r="R33" s="135" t="s">
        <v>232</v>
      </c>
      <c r="S33" s="129"/>
      <c r="U33" s="172"/>
      <c r="V33" s="172"/>
      <c r="W33" s="172"/>
      <c r="X33" s="172"/>
      <c r="Y33" s="172"/>
      <c r="Z33" s="172"/>
      <c r="AA33" s="172"/>
      <c r="AH33" s="172"/>
      <c r="AI33" s="172"/>
      <c r="AJ33" s="172"/>
      <c r="AK33" s="172"/>
      <c r="AL33" s="172"/>
    </row>
    <row r="34" spans="2:38" s="169" customFormat="1" ht="70.5" customHeight="1" x14ac:dyDescent="0.15">
      <c r="B34" s="124">
        <v>20</v>
      </c>
      <c r="C34" s="241"/>
      <c r="D34" s="215" t="s">
        <v>246</v>
      </c>
      <c r="E34" s="133" t="s">
        <v>160</v>
      </c>
      <c r="F34" s="124" t="s">
        <v>159</v>
      </c>
      <c r="G34" s="41" t="s">
        <v>170</v>
      </c>
      <c r="H34" s="38">
        <v>30</v>
      </c>
      <c r="I34" s="133" t="s">
        <v>37</v>
      </c>
      <c r="J34" s="177">
        <v>0.4</v>
      </c>
      <c r="K34" s="223"/>
      <c r="L34" s="223"/>
      <c r="M34" s="223"/>
      <c r="N34" s="223"/>
      <c r="O34" s="314"/>
      <c r="P34" s="247"/>
      <c r="Q34" s="247"/>
      <c r="R34" s="135" t="s">
        <v>233</v>
      </c>
      <c r="S34" s="129"/>
      <c r="U34" s="172"/>
      <c r="V34" s="172"/>
      <c r="W34" s="172"/>
      <c r="X34" s="172"/>
      <c r="Y34" s="172"/>
      <c r="Z34" s="172"/>
      <c r="AA34" s="172"/>
      <c r="AH34" s="172"/>
      <c r="AI34" s="172"/>
      <c r="AJ34" s="172"/>
      <c r="AK34" s="172"/>
      <c r="AL34" s="172"/>
    </row>
    <row r="35" spans="2:38" s="169" customFormat="1" ht="83.25" customHeight="1" x14ac:dyDescent="0.15">
      <c r="B35" s="124">
        <v>21</v>
      </c>
      <c r="C35" s="124" t="s">
        <v>188</v>
      </c>
      <c r="D35" s="137" t="s">
        <v>36</v>
      </c>
      <c r="E35" s="133" t="s">
        <v>160</v>
      </c>
      <c r="F35" s="124" t="s">
        <v>159</v>
      </c>
      <c r="G35" s="41" t="s">
        <v>171</v>
      </c>
      <c r="H35" s="38">
        <v>30</v>
      </c>
      <c r="I35" s="133" t="s">
        <v>37</v>
      </c>
      <c r="J35" s="174">
        <v>5</v>
      </c>
      <c r="K35" s="133" t="s">
        <v>102</v>
      </c>
      <c r="L35" s="133">
        <v>3000</v>
      </c>
      <c r="M35" s="133">
        <v>300</v>
      </c>
      <c r="N35" s="133">
        <v>200</v>
      </c>
      <c r="O35" s="136">
        <f t="shared" si="7"/>
        <v>0.18</v>
      </c>
      <c r="P35" s="176">
        <f t="shared" ref="P35" si="10">H35*J35</f>
        <v>150</v>
      </c>
      <c r="Q35" s="176">
        <f t="shared" ref="Q35:Q36" si="11">P35+1</f>
        <v>151</v>
      </c>
      <c r="R35" s="135" t="s">
        <v>103</v>
      </c>
      <c r="S35" s="129"/>
      <c r="U35" s="172"/>
      <c r="V35" s="172"/>
      <c r="W35" s="172"/>
      <c r="X35" s="172"/>
      <c r="Y35" s="172"/>
      <c r="Z35" s="172"/>
      <c r="AA35" s="172"/>
      <c r="AH35" s="172"/>
      <c r="AI35" s="172"/>
      <c r="AJ35" s="172"/>
      <c r="AK35" s="172"/>
      <c r="AL35" s="172"/>
    </row>
    <row r="36" spans="2:38" s="169" customFormat="1" ht="57" customHeight="1" x14ac:dyDescent="0.15">
      <c r="B36" s="124">
        <v>22</v>
      </c>
      <c r="C36" s="124" t="s">
        <v>189</v>
      </c>
      <c r="D36" s="137" t="s">
        <v>247</v>
      </c>
      <c r="E36" s="133" t="s">
        <v>160</v>
      </c>
      <c r="F36" s="124" t="s">
        <v>159</v>
      </c>
      <c r="G36" s="41" t="s">
        <v>172</v>
      </c>
      <c r="H36" s="38">
        <v>1</v>
      </c>
      <c r="I36" s="133" t="s">
        <v>37</v>
      </c>
      <c r="J36" s="174">
        <v>25</v>
      </c>
      <c r="K36" s="133" t="s">
        <v>102</v>
      </c>
      <c r="L36" s="133">
        <v>350</v>
      </c>
      <c r="M36" s="133">
        <v>350</v>
      </c>
      <c r="N36" s="133">
        <v>200</v>
      </c>
      <c r="O36" s="136">
        <f t="shared" si="7"/>
        <v>0.02</v>
      </c>
      <c r="P36" s="176">
        <f t="shared" ref="P36:P65" si="12">H36*J36</f>
        <v>25</v>
      </c>
      <c r="Q36" s="176">
        <f t="shared" si="11"/>
        <v>26</v>
      </c>
      <c r="R36" s="135" t="s">
        <v>104</v>
      </c>
      <c r="S36" s="129"/>
      <c r="U36" s="172"/>
      <c r="V36" s="172"/>
      <c r="W36" s="172"/>
      <c r="X36" s="172"/>
      <c r="Y36" s="172"/>
      <c r="Z36" s="172"/>
      <c r="AA36" s="172"/>
      <c r="AH36" s="172"/>
      <c r="AI36" s="172"/>
      <c r="AJ36" s="172"/>
      <c r="AK36" s="172"/>
      <c r="AL36" s="172"/>
    </row>
    <row r="37" spans="2:38" s="169" customFormat="1" ht="57" customHeight="1" x14ac:dyDescent="0.15">
      <c r="B37" s="124">
        <v>23</v>
      </c>
      <c r="C37" s="124" t="s">
        <v>190</v>
      </c>
      <c r="D37" s="137" t="s">
        <v>247</v>
      </c>
      <c r="E37" s="133" t="s">
        <v>160</v>
      </c>
      <c r="F37" s="124" t="s">
        <v>159</v>
      </c>
      <c r="G37" s="41" t="s">
        <v>172</v>
      </c>
      <c r="H37" s="38">
        <v>1</v>
      </c>
      <c r="I37" s="133" t="s">
        <v>37</v>
      </c>
      <c r="J37" s="174">
        <v>25</v>
      </c>
      <c r="K37" s="133" t="s">
        <v>102</v>
      </c>
      <c r="L37" s="133">
        <v>350</v>
      </c>
      <c r="M37" s="133">
        <v>350</v>
      </c>
      <c r="N37" s="133">
        <v>200</v>
      </c>
      <c r="O37" s="136">
        <f t="shared" ref="O37:O40" si="13">ROUND(L37*M37*N37/1000000000,2)</f>
        <v>0.02</v>
      </c>
      <c r="P37" s="176">
        <f t="shared" si="12"/>
        <v>25</v>
      </c>
      <c r="Q37" s="176">
        <f t="shared" ref="Q37:Q40" si="14">P37+1</f>
        <v>26</v>
      </c>
      <c r="R37" s="135" t="s">
        <v>104</v>
      </c>
      <c r="S37" s="129"/>
      <c r="U37" s="172"/>
      <c r="V37" s="172"/>
      <c r="W37" s="172"/>
      <c r="X37" s="172"/>
      <c r="Y37" s="172"/>
      <c r="Z37" s="172"/>
      <c r="AA37" s="172"/>
      <c r="AH37" s="172"/>
      <c r="AI37" s="172"/>
      <c r="AJ37" s="172"/>
      <c r="AK37" s="172"/>
      <c r="AL37" s="172"/>
    </row>
    <row r="38" spans="2:38" s="169" customFormat="1" ht="57" customHeight="1" x14ac:dyDescent="0.15">
      <c r="B38" s="124">
        <v>24</v>
      </c>
      <c r="C38" s="124" t="s">
        <v>191</v>
      </c>
      <c r="D38" s="137" t="s">
        <v>247</v>
      </c>
      <c r="E38" s="133" t="s">
        <v>160</v>
      </c>
      <c r="F38" s="124" t="s">
        <v>159</v>
      </c>
      <c r="G38" s="41" t="s">
        <v>172</v>
      </c>
      <c r="H38" s="38">
        <v>1</v>
      </c>
      <c r="I38" s="133" t="s">
        <v>37</v>
      </c>
      <c r="J38" s="174">
        <v>25</v>
      </c>
      <c r="K38" s="133" t="s">
        <v>102</v>
      </c>
      <c r="L38" s="133">
        <v>350</v>
      </c>
      <c r="M38" s="133">
        <v>350</v>
      </c>
      <c r="N38" s="133">
        <v>200</v>
      </c>
      <c r="O38" s="136">
        <f t="shared" si="13"/>
        <v>0.02</v>
      </c>
      <c r="P38" s="176">
        <f t="shared" si="12"/>
        <v>25</v>
      </c>
      <c r="Q38" s="176">
        <f t="shared" si="14"/>
        <v>26</v>
      </c>
      <c r="R38" s="135" t="s">
        <v>104</v>
      </c>
      <c r="S38" s="129"/>
      <c r="U38" s="172"/>
      <c r="V38" s="172"/>
      <c r="W38" s="172"/>
      <c r="X38" s="172"/>
      <c r="Y38" s="172"/>
      <c r="Z38" s="172"/>
      <c r="AA38" s="172"/>
      <c r="AH38" s="172"/>
      <c r="AI38" s="172"/>
      <c r="AJ38" s="172"/>
      <c r="AK38" s="172"/>
      <c r="AL38" s="172"/>
    </row>
    <row r="39" spans="2:38" s="169" customFormat="1" ht="57" customHeight="1" x14ac:dyDescent="0.15">
      <c r="B39" s="124">
        <v>25</v>
      </c>
      <c r="C39" s="124" t="s">
        <v>192</v>
      </c>
      <c r="D39" s="137" t="s">
        <v>247</v>
      </c>
      <c r="E39" s="133" t="s">
        <v>160</v>
      </c>
      <c r="F39" s="124" t="s">
        <v>159</v>
      </c>
      <c r="G39" s="41" t="s">
        <v>172</v>
      </c>
      <c r="H39" s="38">
        <v>1</v>
      </c>
      <c r="I39" s="133" t="s">
        <v>37</v>
      </c>
      <c r="J39" s="174">
        <v>25</v>
      </c>
      <c r="K39" s="133" t="s">
        <v>102</v>
      </c>
      <c r="L39" s="133">
        <v>350</v>
      </c>
      <c r="M39" s="133">
        <v>350</v>
      </c>
      <c r="N39" s="133">
        <v>200</v>
      </c>
      <c r="O39" s="136">
        <f t="shared" si="13"/>
        <v>0.02</v>
      </c>
      <c r="P39" s="176">
        <f t="shared" si="12"/>
        <v>25</v>
      </c>
      <c r="Q39" s="176">
        <f t="shared" si="14"/>
        <v>26</v>
      </c>
      <c r="R39" s="135" t="s">
        <v>104</v>
      </c>
      <c r="S39" s="129"/>
      <c r="U39" s="172"/>
      <c r="V39" s="172"/>
      <c r="W39" s="172"/>
      <c r="X39" s="172"/>
      <c r="Y39" s="172"/>
      <c r="Z39" s="172"/>
      <c r="AA39" s="172"/>
      <c r="AH39" s="172"/>
      <c r="AI39" s="172"/>
      <c r="AJ39" s="172"/>
      <c r="AK39" s="172"/>
      <c r="AL39" s="172"/>
    </row>
    <row r="40" spans="2:38" s="169" customFormat="1" ht="57" customHeight="1" x14ac:dyDescent="0.15">
      <c r="B40" s="124">
        <v>26</v>
      </c>
      <c r="C40" s="124" t="s">
        <v>193</v>
      </c>
      <c r="D40" s="137" t="s">
        <v>247</v>
      </c>
      <c r="E40" s="133" t="s">
        <v>160</v>
      </c>
      <c r="F40" s="124" t="s">
        <v>159</v>
      </c>
      <c r="G40" s="41" t="s">
        <v>172</v>
      </c>
      <c r="H40" s="38">
        <v>1</v>
      </c>
      <c r="I40" s="133" t="s">
        <v>37</v>
      </c>
      <c r="J40" s="174">
        <v>25</v>
      </c>
      <c r="K40" s="133" t="s">
        <v>102</v>
      </c>
      <c r="L40" s="133">
        <v>350</v>
      </c>
      <c r="M40" s="133">
        <v>350</v>
      </c>
      <c r="N40" s="133">
        <v>200</v>
      </c>
      <c r="O40" s="136">
        <f t="shared" si="13"/>
        <v>0.02</v>
      </c>
      <c r="P40" s="176">
        <f t="shared" si="12"/>
        <v>25</v>
      </c>
      <c r="Q40" s="176">
        <f t="shared" si="14"/>
        <v>26</v>
      </c>
      <c r="R40" s="135" t="s">
        <v>104</v>
      </c>
      <c r="S40" s="129"/>
      <c r="U40" s="172"/>
      <c r="V40" s="172"/>
      <c r="W40" s="172"/>
      <c r="X40" s="172"/>
      <c r="Y40" s="172"/>
      <c r="Z40" s="172"/>
      <c r="AA40" s="172"/>
      <c r="AH40" s="172"/>
      <c r="AI40" s="172"/>
      <c r="AJ40" s="172"/>
      <c r="AK40" s="172"/>
      <c r="AL40" s="172"/>
    </row>
    <row r="41" spans="2:38" s="169" customFormat="1" ht="57" customHeight="1" x14ac:dyDescent="0.15">
      <c r="B41" s="124">
        <v>27</v>
      </c>
      <c r="C41" s="124" t="s">
        <v>194</v>
      </c>
      <c r="D41" s="137" t="s">
        <v>247</v>
      </c>
      <c r="E41" s="133" t="s">
        <v>160</v>
      </c>
      <c r="F41" s="124" t="s">
        <v>159</v>
      </c>
      <c r="G41" s="41" t="s">
        <v>172</v>
      </c>
      <c r="H41" s="38">
        <v>1</v>
      </c>
      <c r="I41" s="133" t="s">
        <v>37</v>
      </c>
      <c r="J41" s="174">
        <v>25</v>
      </c>
      <c r="K41" s="133" t="s">
        <v>102</v>
      </c>
      <c r="L41" s="133">
        <v>350</v>
      </c>
      <c r="M41" s="133">
        <v>350</v>
      </c>
      <c r="N41" s="133">
        <v>200</v>
      </c>
      <c r="O41" s="136">
        <f t="shared" ref="O41:O43" si="15">ROUND(L41*M41*N41/1000000000,2)</f>
        <v>0.02</v>
      </c>
      <c r="P41" s="176">
        <f t="shared" si="12"/>
        <v>25</v>
      </c>
      <c r="Q41" s="176">
        <f t="shared" ref="Q41:Q43" si="16">P41+1</f>
        <v>26</v>
      </c>
      <c r="R41" s="135" t="s">
        <v>104</v>
      </c>
      <c r="S41" s="129"/>
      <c r="U41" s="172"/>
      <c r="V41" s="172"/>
      <c r="W41" s="172"/>
      <c r="X41" s="172"/>
      <c r="Y41" s="172"/>
      <c r="Z41" s="172"/>
      <c r="AA41" s="172"/>
      <c r="AH41" s="172"/>
      <c r="AI41" s="172"/>
      <c r="AJ41" s="172"/>
      <c r="AK41" s="172"/>
      <c r="AL41" s="172"/>
    </row>
    <row r="42" spans="2:38" s="169" customFormat="1" ht="57" customHeight="1" x14ac:dyDescent="0.15">
      <c r="B42" s="124">
        <v>28</v>
      </c>
      <c r="C42" s="124" t="s">
        <v>195</v>
      </c>
      <c r="D42" s="137" t="s">
        <v>247</v>
      </c>
      <c r="E42" s="133" t="s">
        <v>160</v>
      </c>
      <c r="F42" s="124" t="s">
        <v>159</v>
      </c>
      <c r="G42" s="41" t="s">
        <v>172</v>
      </c>
      <c r="H42" s="38">
        <v>1</v>
      </c>
      <c r="I42" s="133" t="s">
        <v>37</v>
      </c>
      <c r="J42" s="174">
        <v>25</v>
      </c>
      <c r="K42" s="133" t="s">
        <v>102</v>
      </c>
      <c r="L42" s="133">
        <v>350</v>
      </c>
      <c r="M42" s="133">
        <v>350</v>
      </c>
      <c r="N42" s="133">
        <v>200</v>
      </c>
      <c r="O42" s="136">
        <f t="shared" si="15"/>
        <v>0.02</v>
      </c>
      <c r="P42" s="176">
        <f t="shared" si="12"/>
        <v>25</v>
      </c>
      <c r="Q42" s="176">
        <f t="shared" si="16"/>
        <v>26</v>
      </c>
      <c r="R42" s="135" t="s">
        <v>104</v>
      </c>
      <c r="S42" s="129"/>
      <c r="U42" s="172"/>
      <c r="V42" s="172"/>
      <c r="W42" s="172"/>
      <c r="X42" s="172"/>
      <c r="Y42" s="172"/>
      <c r="Z42" s="172"/>
      <c r="AA42" s="172"/>
      <c r="AH42" s="172"/>
      <c r="AI42" s="172"/>
      <c r="AJ42" s="172"/>
      <c r="AK42" s="172"/>
      <c r="AL42" s="172"/>
    </row>
    <row r="43" spans="2:38" s="169" customFormat="1" ht="57" customHeight="1" x14ac:dyDescent="0.15">
      <c r="B43" s="124">
        <v>29</v>
      </c>
      <c r="C43" s="124" t="s">
        <v>196</v>
      </c>
      <c r="D43" s="137" t="s">
        <v>247</v>
      </c>
      <c r="E43" s="133" t="s">
        <v>160</v>
      </c>
      <c r="F43" s="124" t="s">
        <v>159</v>
      </c>
      <c r="G43" s="41" t="s">
        <v>172</v>
      </c>
      <c r="H43" s="38">
        <v>1</v>
      </c>
      <c r="I43" s="133" t="s">
        <v>37</v>
      </c>
      <c r="J43" s="174">
        <v>25</v>
      </c>
      <c r="K43" s="133" t="s">
        <v>102</v>
      </c>
      <c r="L43" s="133">
        <v>350</v>
      </c>
      <c r="M43" s="133">
        <v>350</v>
      </c>
      <c r="N43" s="133">
        <v>200</v>
      </c>
      <c r="O43" s="136">
        <f t="shared" si="15"/>
        <v>0.02</v>
      </c>
      <c r="P43" s="176">
        <f t="shared" si="12"/>
        <v>25</v>
      </c>
      <c r="Q43" s="176">
        <f t="shared" si="16"/>
        <v>26</v>
      </c>
      <c r="R43" s="135" t="s">
        <v>104</v>
      </c>
      <c r="S43" s="129"/>
      <c r="U43" s="172"/>
      <c r="V43" s="172"/>
      <c r="W43" s="172"/>
      <c r="X43" s="172"/>
      <c r="Y43" s="172"/>
      <c r="Z43" s="172"/>
      <c r="AA43" s="172"/>
      <c r="AH43" s="172"/>
      <c r="AI43" s="172"/>
      <c r="AJ43" s="172"/>
      <c r="AK43" s="172"/>
      <c r="AL43" s="172"/>
    </row>
    <row r="44" spans="2:38" s="169" customFormat="1" ht="57" customHeight="1" x14ac:dyDescent="0.15">
      <c r="B44" s="124">
        <v>30</v>
      </c>
      <c r="C44" s="124" t="s">
        <v>197</v>
      </c>
      <c r="D44" s="137" t="s">
        <v>247</v>
      </c>
      <c r="E44" s="133" t="s">
        <v>160</v>
      </c>
      <c r="F44" s="124" t="s">
        <v>159</v>
      </c>
      <c r="G44" s="41" t="s">
        <v>172</v>
      </c>
      <c r="H44" s="38">
        <v>1</v>
      </c>
      <c r="I44" s="133" t="s">
        <v>37</v>
      </c>
      <c r="J44" s="174">
        <v>25</v>
      </c>
      <c r="K44" s="133" t="s">
        <v>102</v>
      </c>
      <c r="L44" s="133">
        <v>350</v>
      </c>
      <c r="M44" s="133">
        <v>350</v>
      </c>
      <c r="N44" s="133">
        <v>200</v>
      </c>
      <c r="O44" s="136">
        <f t="shared" ref="O44:O64" si="17">ROUND(L44*M44*N44/1000000000,2)</f>
        <v>0.02</v>
      </c>
      <c r="P44" s="176">
        <f t="shared" si="12"/>
        <v>25</v>
      </c>
      <c r="Q44" s="176">
        <f t="shared" ref="Q44:Q64" si="18">P44+1</f>
        <v>26</v>
      </c>
      <c r="R44" s="135" t="s">
        <v>104</v>
      </c>
      <c r="S44" s="129"/>
      <c r="U44" s="172"/>
      <c r="V44" s="172"/>
      <c r="W44" s="172"/>
      <c r="X44" s="172"/>
      <c r="Y44" s="172"/>
      <c r="Z44" s="172"/>
      <c r="AA44" s="172"/>
      <c r="AH44" s="172"/>
      <c r="AI44" s="172"/>
      <c r="AJ44" s="172"/>
      <c r="AK44" s="172"/>
      <c r="AL44" s="172"/>
    </row>
    <row r="45" spans="2:38" s="169" customFormat="1" ht="57" customHeight="1" x14ac:dyDescent="0.15">
      <c r="B45" s="124">
        <v>31</v>
      </c>
      <c r="C45" s="124" t="s">
        <v>198</v>
      </c>
      <c r="D45" s="137" t="s">
        <v>247</v>
      </c>
      <c r="E45" s="133" t="s">
        <v>160</v>
      </c>
      <c r="F45" s="124" t="s">
        <v>159</v>
      </c>
      <c r="G45" s="41" t="s">
        <v>172</v>
      </c>
      <c r="H45" s="38">
        <v>1</v>
      </c>
      <c r="I45" s="133" t="s">
        <v>37</v>
      </c>
      <c r="J45" s="174">
        <v>25</v>
      </c>
      <c r="K45" s="133" t="s">
        <v>102</v>
      </c>
      <c r="L45" s="133">
        <v>350</v>
      </c>
      <c r="M45" s="133">
        <v>350</v>
      </c>
      <c r="N45" s="133">
        <v>200</v>
      </c>
      <c r="O45" s="136">
        <f t="shared" si="17"/>
        <v>0.02</v>
      </c>
      <c r="P45" s="176">
        <f t="shared" si="12"/>
        <v>25</v>
      </c>
      <c r="Q45" s="176">
        <f t="shared" si="18"/>
        <v>26</v>
      </c>
      <c r="R45" s="135" t="s">
        <v>104</v>
      </c>
      <c r="S45" s="129"/>
      <c r="U45" s="172"/>
      <c r="V45" s="172"/>
      <c r="W45" s="172"/>
      <c r="X45" s="172"/>
      <c r="Y45" s="172"/>
      <c r="Z45" s="172"/>
      <c r="AA45" s="172"/>
      <c r="AH45" s="172"/>
      <c r="AI45" s="172"/>
      <c r="AJ45" s="172"/>
      <c r="AK45" s="172"/>
      <c r="AL45" s="172"/>
    </row>
    <row r="46" spans="2:38" s="169" customFormat="1" ht="57" customHeight="1" x14ac:dyDescent="0.15">
      <c r="B46" s="124">
        <v>32</v>
      </c>
      <c r="C46" s="124" t="s">
        <v>199</v>
      </c>
      <c r="D46" s="137" t="s">
        <v>247</v>
      </c>
      <c r="E46" s="133" t="s">
        <v>160</v>
      </c>
      <c r="F46" s="124" t="s">
        <v>159</v>
      </c>
      <c r="G46" s="41" t="s">
        <v>172</v>
      </c>
      <c r="H46" s="38">
        <v>1</v>
      </c>
      <c r="I46" s="133" t="s">
        <v>37</v>
      </c>
      <c r="J46" s="174">
        <v>25</v>
      </c>
      <c r="K46" s="133" t="s">
        <v>102</v>
      </c>
      <c r="L46" s="133">
        <v>350</v>
      </c>
      <c r="M46" s="133">
        <v>350</v>
      </c>
      <c r="N46" s="133">
        <v>200</v>
      </c>
      <c r="O46" s="136">
        <f t="shared" si="17"/>
        <v>0.02</v>
      </c>
      <c r="P46" s="176">
        <f t="shared" si="12"/>
        <v>25</v>
      </c>
      <c r="Q46" s="176">
        <f t="shared" si="18"/>
        <v>26</v>
      </c>
      <c r="R46" s="135" t="s">
        <v>104</v>
      </c>
      <c r="S46" s="129"/>
      <c r="U46" s="172"/>
      <c r="V46" s="172"/>
      <c r="W46" s="172"/>
      <c r="X46" s="172"/>
      <c r="Y46" s="172"/>
      <c r="Z46" s="172"/>
      <c r="AA46" s="172"/>
      <c r="AH46" s="172"/>
      <c r="AI46" s="172"/>
      <c r="AJ46" s="172"/>
      <c r="AK46" s="172"/>
      <c r="AL46" s="172"/>
    </row>
    <row r="47" spans="2:38" s="169" customFormat="1" ht="57" customHeight="1" x14ac:dyDescent="0.15">
      <c r="B47" s="124">
        <v>33</v>
      </c>
      <c r="C47" s="124" t="s">
        <v>200</v>
      </c>
      <c r="D47" s="137" t="s">
        <v>247</v>
      </c>
      <c r="E47" s="133" t="s">
        <v>160</v>
      </c>
      <c r="F47" s="124" t="s">
        <v>159</v>
      </c>
      <c r="G47" s="41" t="s">
        <v>172</v>
      </c>
      <c r="H47" s="38">
        <v>1</v>
      </c>
      <c r="I47" s="133" t="s">
        <v>37</v>
      </c>
      <c r="J47" s="174">
        <v>25</v>
      </c>
      <c r="K47" s="133" t="s">
        <v>102</v>
      </c>
      <c r="L47" s="133">
        <v>350</v>
      </c>
      <c r="M47" s="133">
        <v>350</v>
      </c>
      <c r="N47" s="133">
        <v>200</v>
      </c>
      <c r="O47" s="136">
        <f t="shared" si="17"/>
        <v>0.02</v>
      </c>
      <c r="P47" s="176">
        <f t="shared" si="12"/>
        <v>25</v>
      </c>
      <c r="Q47" s="176">
        <f t="shared" si="18"/>
        <v>26</v>
      </c>
      <c r="R47" s="135" t="s">
        <v>104</v>
      </c>
      <c r="S47" s="129"/>
      <c r="U47" s="172"/>
      <c r="V47" s="172"/>
      <c r="W47" s="172"/>
      <c r="X47" s="172"/>
      <c r="Y47" s="172"/>
      <c r="Z47" s="172"/>
      <c r="AA47" s="172"/>
      <c r="AH47" s="172"/>
      <c r="AI47" s="172"/>
      <c r="AJ47" s="172"/>
      <c r="AK47" s="172"/>
      <c r="AL47" s="172"/>
    </row>
    <row r="48" spans="2:38" s="169" customFormat="1" ht="57" customHeight="1" x14ac:dyDescent="0.15">
      <c r="B48" s="124">
        <v>34</v>
      </c>
      <c r="C48" s="124" t="s">
        <v>201</v>
      </c>
      <c r="D48" s="137" t="s">
        <v>247</v>
      </c>
      <c r="E48" s="133" t="s">
        <v>160</v>
      </c>
      <c r="F48" s="124" t="s">
        <v>159</v>
      </c>
      <c r="G48" s="41" t="s">
        <v>172</v>
      </c>
      <c r="H48" s="38">
        <v>1</v>
      </c>
      <c r="I48" s="133" t="s">
        <v>37</v>
      </c>
      <c r="J48" s="174">
        <v>25</v>
      </c>
      <c r="K48" s="133" t="s">
        <v>102</v>
      </c>
      <c r="L48" s="133">
        <v>350</v>
      </c>
      <c r="M48" s="133">
        <v>350</v>
      </c>
      <c r="N48" s="133">
        <v>200</v>
      </c>
      <c r="O48" s="136">
        <f t="shared" si="17"/>
        <v>0.02</v>
      </c>
      <c r="P48" s="176">
        <f t="shared" si="12"/>
        <v>25</v>
      </c>
      <c r="Q48" s="176">
        <f t="shared" si="18"/>
        <v>26</v>
      </c>
      <c r="R48" s="135" t="s">
        <v>104</v>
      </c>
      <c r="S48" s="129"/>
      <c r="U48" s="172"/>
      <c r="V48" s="172"/>
      <c r="W48" s="172"/>
      <c r="X48" s="172"/>
      <c r="Y48" s="172"/>
      <c r="Z48" s="172"/>
      <c r="AA48" s="172"/>
      <c r="AH48" s="172"/>
      <c r="AI48" s="172"/>
      <c r="AJ48" s="172"/>
      <c r="AK48" s="172"/>
      <c r="AL48" s="172"/>
    </row>
    <row r="49" spans="2:38" s="169" customFormat="1" ht="57" customHeight="1" x14ac:dyDescent="0.15">
      <c r="B49" s="124">
        <v>35</v>
      </c>
      <c r="C49" s="124" t="s">
        <v>202</v>
      </c>
      <c r="D49" s="137" t="s">
        <v>247</v>
      </c>
      <c r="E49" s="133" t="s">
        <v>160</v>
      </c>
      <c r="F49" s="124" t="s">
        <v>159</v>
      </c>
      <c r="G49" s="41" t="s">
        <v>172</v>
      </c>
      <c r="H49" s="38">
        <v>1</v>
      </c>
      <c r="I49" s="133" t="s">
        <v>37</v>
      </c>
      <c r="J49" s="174">
        <v>25</v>
      </c>
      <c r="K49" s="133" t="s">
        <v>102</v>
      </c>
      <c r="L49" s="133">
        <v>350</v>
      </c>
      <c r="M49" s="133">
        <v>350</v>
      </c>
      <c r="N49" s="133">
        <v>200</v>
      </c>
      <c r="O49" s="136">
        <f t="shared" si="17"/>
        <v>0.02</v>
      </c>
      <c r="P49" s="176">
        <f t="shared" si="12"/>
        <v>25</v>
      </c>
      <c r="Q49" s="176">
        <f t="shared" si="18"/>
        <v>26</v>
      </c>
      <c r="R49" s="135" t="s">
        <v>104</v>
      </c>
      <c r="S49" s="129"/>
      <c r="U49" s="172"/>
      <c r="V49" s="172"/>
      <c r="W49" s="172"/>
      <c r="X49" s="172"/>
      <c r="Y49" s="172"/>
      <c r="Z49" s="172"/>
      <c r="AA49" s="172"/>
      <c r="AH49" s="172"/>
      <c r="AI49" s="172"/>
      <c r="AJ49" s="172"/>
      <c r="AK49" s="172"/>
      <c r="AL49" s="172"/>
    </row>
    <row r="50" spans="2:38" s="169" customFormat="1" ht="57" customHeight="1" x14ac:dyDescent="0.15">
      <c r="B50" s="124">
        <v>36</v>
      </c>
      <c r="C50" s="124" t="s">
        <v>203</v>
      </c>
      <c r="D50" s="137" t="s">
        <v>247</v>
      </c>
      <c r="E50" s="133" t="s">
        <v>160</v>
      </c>
      <c r="F50" s="124" t="s">
        <v>159</v>
      </c>
      <c r="G50" s="41" t="s">
        <v>172</v>
      </c>
      <c r="H50" s="38">
        <v>1</v>
      </c>
      <c r="I50" s="133" t="s">
        <v>37</v>
      </c>
      <c r="J50" s="174">
        <v>25</v>
      </c>
      <c r="K50" s="133" t="s">
        <v>102</v>
      </c>
      <c r="L50" s="133">
        <v>350</v>
      </c>
      <c r="M50" s="133">
        <v>350</v>
      </c>
      <c r="N50" s="133">
        <v>200</v>
      </c>
      <c r="O50" s="136">
        <f t="shared" si="17"/>
        <v>0.02</v>
      </c>
      <c r="P50" s="176">
        <f t="shared" si="12"/>
        <v>25</v>
      </c>
      <c r="Q50" s="176">
        <f t="shared" si="18"/>
        <v>26</v>
      </c>
      <c r="R50" s="135" t="s">
        <v>104</v>
      </c>
      <c r="S50" s="129"/>
      <c r="U50" s="172"/>
      <c r="V50" s="172"/>
      <c r="W50" s="172"/>
      <c r="X50" s="172"/>
      <c r="Y50" s="172"/>
      <c r="Z50" s="172"/>
      <c r="AA50" s="172"/>
      <c r="AH50" s="172"/>
      <c r="AI50" s="172"/>
      <c r="AJ50" s="172"/>
      <c r="AK50" s="172"/>
      <c r="AL50" s="172"/>
    </row>
    <row r="51" spans="2:38" s="169" customFormat="1" ht="57" customHeight="1" x14ac:dyDescent="0.15">
      <c r="B51" s="124">
        <v>37</v>
      </c>
      <c r="C51" s="124" t="s">
        <v>204</v>
      </c>
      <c r="D51" s="137" t="s">
        <v>247</v>
      </c>
      <c r="E51" s="133" t="s">
        <v>160</v>
      </c>
      <c r="F51" s="124" t="s">
        <v>159</v>
      </c>
      <c r="G51" s="41" t="s">
        <v>172</v>
      </c>
      <c r="H51" s="38">
        <v>1</v>
      </c>
      <c r="I51" s="133" t="s">
        <v>37</v>
      </c>
      <c r="J51" s="174">
        <v>25</v>
      </c>
      <c r="K51" s="133" t="s">
        <v>102</v>
      </c>
      <c r="L51" s="133">
        <v>350</v>
      </c>
      <c r="M51" s="133">
        <v>350</v>
      </c>
      <c r="N51" s="133">
        <v>200</v>
      </c>
      <c r="O51" s="136">
        <f t="shared" si="17"/>
        <v>0.02</v>
      </c>
      <c r="P51" s="176">
        <f t="shared" si="12"/>
        <v>25</v>
      </c>
      <c r="Q51" s="176">
        <f t="shared" si="18"/>
        <v>26</v>
      </c>
      <c r="R51" s="135" t="s">
        <v>104</v>
      </c>
      <c r="S51" s="129"/>
      <c r="U51" s="172"/>
      <c r="V51" s="172"/>
      <c r="W51" s="172"/>
      <c r="X51" s="172"/>
      <c r="Y51" s="172"/>
      <c r="Z51" s="172"/>
      <c r="AA51" s="172"/>
      <c r="AH51" s="172"/>
      <c r="AI51" s="172"/>
      <c r="AJ51" s="172"/>
      <c r="AK51" s="172"/>
      <c r="AL51" s="172"/>
    </row>
    <row r="52" spans="2:38" s="169" customFormat="1" ht="57" customHeight="1" x14ac:dyDescent="0.15">
      <c r="B52" s="124">
        <v>38</v>
      </c>
      <c r="C52" s="124" t="s">
        <v>205</v>
      </c>
      <c r="D52" s="137" t="s">
        <v>247</v>
      </c>
      <c r="E52" s="133" t="s">
        <v>160</v>
      </c>
      <c r="F52" s="124" t="s">
        <v>159</v>
      </c>
      <c r="G52" s="41" t="s">
        <v>172</v>
      </c>
      <c r="H52" s="38">
        <v>1</v>
      </c>
      <c r="I52" s="133" t="s">
        <v>37</v>
      </c>
      <c r="J52" s="174">
        <v>25</v>
      </c>
      <c r="K52" s="133" t="s">
        <v>102</v>
      </c>
      <c r="L52" s="133">
        <v>350</v>
      </c>
      <c r="M52" s="133">
        <v>350</v>
      </c>
      <c r="N52" s="133">
        <v>200</v>
      </c>
      <c r="O52" s="136">
        <f t="shared" si="17"/>
        <v>0.02</v>
      </c>
      <c r="P52" s="176">
        <f t="shared" si="12"/>
        <v>25</v>
      </c>
      <c r="Q52" s="176">
        <f t="shared" si="18"/>
        <v>26</v>
      </c>
      <c r="R52" s="135" t="s">
        <v>104</v>
      </c>
      <c r="S52" s="129"/>
      <c r="U52" s="172"/>
      <c r="V52" s="172"/>
      <c r="W52" s="172"/>
      <c r="X52" s="172"/>
      <c r="Y52" s="172"/>
      <c r="Z52" s="172"/>
      <c r="AA52" s="172"/>
      <c r="AH52" s="172"/>
      <c r="AI52" s="172"/>
      <c r="AJ52" s="172"/>
      <c r="AK52" s="172"/>
      <c r="AL52" s="172"/>
    </row>
    <row r="53" spans="2:38" s="169" customFormat="1" ht="57" customHeight="1" x14ac:dyDescent="0.15">
      <c r="B53" s="124">
        <v>39</v>
      </c>
      <c r="C53" s="124" t="s">
        <v>206</v>
      </c>
      <c r="D53" s="137" t="s">
        <v>247</v>
      </c>
      <c r="E53" s="133" t="s">
        <v>160</v>
      </c>
      <c r="F53" s="124" t="s">
        <v>159</v>
      </c>
      <c r="G53" s="41" t="s">
        <v>172</v>
      </c>
      <c r="H53" s="38">
        <v>1</v>
      </c>
      <c r="I53" s="133" t="s">
        <v>37</v>
      </c>
      <c r="J53" s="174">
        <v>25</v>
      </c>
      <c r="K53" s="133" t="s">
        <v>102</v>
      </c>
      <c r="L53" s="133">
        <v>350</v>
      </c>
      <c r="M53" s="133">
        <v>350</v>
      </c>
      <c r="N53" s="133">
        <v>200</v>
      </c>
      <c r="O53" s="136">
        <f t="shared" si="17"/>
        <v>0.02</v>
      </c>
      <c r="P53" s="176">
        <f t="shared" si="12"/>
        <v>25</v>
      </c>
      <c r="Q53" s="176">
        <f t="shared" si="18"/>
        <v>26</v>
      </c>
      <c r="R53" s="135" t="s">
        <v>104</v>
      </c>
      <c r="S53" s="129"/>
      <c r="U53" s="172"/>
      <c r="V53" s="172"/>
      <c r="W53" s="172"/>
      <c r="X53" s="172"/>
      <c r="Y53" s="172"/>
      <c r="Z53" s="172"/>
      <c r="AA53" s="172"/>
      <c r="AH53" s="172"/>
      <c r="AI53" s="172"/>
      <c r="AJ53" s="172"/>
      <c r="AK53" s="172"/>
      <c r="AL53" s="172"/>
    </row>
    <row r="54" spans="2:38" s="169" customFormat="1" ht="57" customHeight="1" x14ac:dyDescent="0.15">
      <c r="B54" s="124">
        <v>40</v>
      </c>
      <c r="C54" s="124" t="s">
        <v>207</v>
      </c>
      <c r="D54" s="137" t="s">
        <v>247</v>
      </c>
      <c r="E54" s="133" t="s">
        <v>160</v>
      </c>
      <c r="F54" s="124" t="s">
        <v>159</v>
      </c>
      <c r="G54" s="41" t="s">
        <v>172</v>
      </c>
      <c r="H54" s="38">
        <v>1</v>
      </c>
      <c r="I54" s="133" t="s">
        <v>37</v>
      </c>
      <c r="J54" s="174">
        <v>25</v>
      </c>
      <c r="K54" s="133" t="s">
        <v>102</v>
      </c>
      <c r="L54" s="133">
        <v>350</v>
      </c>
      <c r="M54" s="133">
        <v>350</v>
      </c>
      <c r="N54" s="133">
        <v>200</v>
      </c>
      <c r="O54" s="136">
        <f t="shared" si="17"/>
        <v>0.02</v>
      </c>
      <c r="P54" s="176">
        <f t="shared" si="12"/>
        <v>25</v>
      </c>
      <c r="Q54" s="176">
        <f t="shared" si="18"/>
        <v>26</v>
      </c>
      <c r="R54" s="135" t="s">
        <v>104</v>
      </c>
      <c r="S54" s="129"/>
      <c r="U54" s="172"/>
      <c r="V54" s="172"/>
      <c r="W54" s="172"/>
      <c r="X54" s="172"/>
      <c r="Y54" s="172"/>
      <c r="Z54" s="172"/>
      <c r="AA54" s="172"/>
      <c r="AH54" s="172"/>
      <c r="AI54" s="172"/>
      <c r="AJ54" s="172"/>
      <c r="AK54" s="172"/>
      <c r="AL54" s="172"/>
    </row>
    <row r="55" spans="2:38" s="169" customFormat="1" ht="57" customHeight="1" x14ac:dyDescent="0.15">
      <c r="B55" s="124">
        <v>41</v>
      </c>
      <c r="C55" s="124" t="s">
        <v>208</v>
      </c>
      <c r="D55" s="137" t="s">
        <v>247</v>
      </c>
      <c r="E55" s="133" t="s">
        <v>160</v>
      </c>
      <c r="F55" s="124" t="s">
        <v>159</v>
      </c>
      <c r="G55" s="41" t="s">
        <v>172</v>
      </c>
      <c r="H55" s="38">
        <v>1</v>
      </c>
      <c r="I55" s="133" t="s">
        <v>37</v>
      </c>
      <c r="J55" s="174">
        <v>25</v>
      </c>
      <c r="K55" s="133" t="s">
        <v>102</v>
      </c>
      <c r="L55" s="133">
        <v>350</v>
      </c>
      <c r="M55" s="133">
        <v>350</v>
      </c>
      <c r="N55" s="133">
        <v>200</v>
      </c>
      <c r="O55" s="136">
        <f t="shared" si="17"/>
        <v>0.02</v>
      </c>
      <c r="P55" s="176">
        <f t="shared" si="12"/>
        <v>25</v>
      </c>
      <c r="Q55" s="176">
        <f t="shared" si="18"/>
        <v>26</v>
      </c>
      <c r="R55" s="135" t="s">
        <v>104</v>
      </c>
      <c r="S55" s="129"/>
      <c r="U55" s="172"/>
      <c r="V55" s="172"/>
      <c r="W55" s="172"/>
      <c r="X55" s="172"/>
      <c r="Y55" s="172"/>
      <c r="Z55" s="172"/>
      <c r="AA55" s="172"/>
      <c r="AH55" s="172"/>
      <c r="AI55" s="172"/>
      <c r="AJ55" s="172"/>
      <c r="AK55" s="172"/>
      <c r="AL55" s="172"/>
    </row>
    <row r="56" spans="2:38" s="169" customFormat="1" ht="57" customHeight="1" x14ac:dyDescent="0.15">
      <c r="B56" s="124">
        <v>42</v>
      </c>
      <c r="C56" s="124" t="s">
        <v>209</v>
      </c>
      <c r="D56" s="137" t="s">
        <v>247</v>
      </c>
      <c r="E56" s="133" t="s">
        <v>160</v>
      </c>
      <c r="F56" s="124" t="s">
        <v>159</v>
      </c>
      <c r="G56" s="41" t="s">
        <v>172</v>
      </c>
      <c r="H56" s="38">
        <v>1</v>
      </c>
      <c r="I56" s="133" t="s">
        <v>37</v>
      </c>
      <c r="J56" s="174">
        <v>25</v>
      </c>
      <c r="K56" s="133" t="s">
        <v>102</v>
      </c>
      <c r="L56" s="133">
        <v>350</v>
      </c>
      <c r="M56" s="133">
        <v>350</v>
      </c>
      <c r="N56" s="133">
        <v>200</v>
      </c>
      <c r="O56" s="136">
        <f t="shared" si="17"/>
        <v>0.02</v>
      </c>
      <c r="P56" s="176">
        <f t="shared" si="12"/>
        <v>25</v>
      </c>
      <c r="Q56" s="176">
        <f t="shared" si="18"/>
        <v>26</v>
      </c>
      <c r="R56" s="135" t="s">
        <v>104</v>
      </c>
      <c r="S56" s="129"/>
      <c r="U56" s="172"/>
      <c r="V56" s="172"/>
      <c r="W56" s="172"/>
      <c r="X56" s="172"/>
      <c r="Y56" s="172"/>
      <c r="Z56" s="172"/>
      <c r="AA56" s="172"/>
      <c r="AH56" s="172"/>
      <c r="AI56" s="172"/>
      <c r="AJ56" s="172"/>
      <c r="AK56" s="172"/>
      <c r="AL56" s="172"/>
    </row>
    <row r="57" spans="2:38" s="169" customFormat="1" ht="57" customHeight="1" x14ac:dyDescent="0.15">
      <c r="B57" s="124">
        <v>43</v>
      </c>
      <c r="C57" s="124" t="s">
        <v>210</v>
      </c>
      <c r="D57" s="137" t="s">
        <v>247</v>
      </c>
      <c r="E57" s="133" t="s">
        <v>160</v>
      </c>
      <c r="F57" s="124" t="s">
        <v>159</v>
      </c>
      <c r="G57" s="41" t="s">
        <v>172</v>
      </c>
      <c r="H57" s="38">
        <v>1</v>
      </c>
      <c r="I57" s="133" t="s">
        <v>37</v>
      </c>
      <c r="J57" s="174">
        <v>25</v>
      </c>
      <c r="K57" s="133" t="s">
        <v>102</v>
      </c>
      <c r="L57" s="133">
        <v>350</v>
      </c>
      <c r="M57" s="133">
        <v>350</v>
      </c>
      <c r="N57" s="133">
        <v>200</v>
      </c>
      <c r="O57" s="136">
        <f t="shared" si="17"/>
        <v>0.02</v>
      </c>
      <c r="P57" s="176">
        <f t="shared" si="12"/>
        <v>25</v>
      </c>
      <c r="Q57" s="176">
        <f t="shared" si="18"/>
        <v>26</v>
      </c>
      <c r="R57" s="135" t="s">
        <v>104</v>
      </c>
      <c r="S57" s="129"/>
      <c r="U57" s="172"/>
      <c r="V57" s="172"/>
      <c r="W57" s="172"/>
      <c r="X57" s="172"/>
      <c r="Y57" s="172"/>
      <c r="Z57" s="172"/>
      <c r="AA57" s="172"/>
      <c r="AH57" s="172"/>
      <c r="AI57" s="172"/>
      <c r="AJ57" s="172"/>
      <c r="AK57" s="172"/>
      <c r="AL57" s="172"/>
    </row>
    <row r="58" spans="2:38" s="169" customFormat="1" ht="57" customHeight="1" x14ac:dyDescent="0.15">
      <c r="B58" s="124">
        <v>44</v>
      </c>
      <c r="C58" s="124" t="s">
        <v>211</v>
      </c>
      <c r="D58" s="137" t="s">
        <v>247</v>
      </c>
      <c r="E58" s="133" t="s">
        <v>160</v>
      </c>
      <c r="F58" s="124" t="s">
        <v>159</v>
      </c>
      <c r="G58" s="41" t="s">
        <v>172</v>
      </c>
      <c r="H58" s="38">
        <v>1</v>
      </c>
      <c r="I58" s="133" t="s">
        <v>37</v>
      </c>
      <c r="J58" s="174">
        <v>25</v>
      </c>
      <c r="K58" s="133" t="s">
        <v>102</v>
      </c>
      <c r="L58" s="133">
        <v>350</v>
      </c>
      <c r="M58" s="133">
        <v>350</v>
      </c>
      <c r="N58" s="133">
        <v>200</v>
      </c>
      <c r="O58" s="136">
        <f t="shared" si="17"/>
        <v>0.02</v>
      </c>
      <c r="P58" s="176">
        <f t="shared" si="12"/>
        <v>25</v>
      </c>
      <c r="Q58" s="176">
        <f t="shared" si="18"/>
        <v>26</v>
      </c>
      <c r="R58" s="135" t="s">
        <v>104</v>
      </c>
      <c r="S58" s="129"/>
      <c r="U58" s="172"/>
      <c r="V58" s="172"/>
      <c r="W58" s="172"/>
      <c r="X58" s="172"/>
      <c r="Y58" s="172"/>
      <c r="Z58" s="172"/>
      <c r="AA58" s="172"/>
      <c r="AH58" s="172"/>
      <c r="AI58" s="172"/>
      <c r="AJ58" s="172"/>
      <c r="AK58" s="172"/>
      <c r="AL58" s="172"/>
    </row>
    <row r="59" spans="2:38" s="169" customFormat="1" ht="57" customHeight="1" x14ac:dyDescent="0.15">
      <c r="B59" s="124">
        <v>45</v>
      </c>
      <c r="C59" s="124" t="s">
        <v>212</v>
      </c>
      <c r="D59" s="137" t="s">
        <v>247</v>
      </c>
      <c r="E59" s="133" t="s">
        <v>160</v>
      </c>
      <c r="F59" s="124" t="s">
        <v>159</v>
      </c>
      <c r="G59" s="41" t="s">
        <v>172</v>
      </c>
      <c r="H59" s="38">
        <v>1</v>
      </c>
      <c r="I59" s="133" t="s">
        <v>37</v>
      </c>
      <c r="J59" s="174">
        <v>25</v>
      </c>
      <c r="K59" s="133" t="s">
        <v>102</v>
      </c>
      <c r="L59" s="133">
        <v>350</v>
      </c>
      <c r="M59" s="133">
        <v>350</v>
      </c>
      <c r="N59" s="133">
        <v>200</v>
      </c>
      <c r="O59" s="136">
        <f t="shared" si="17"/>
        <v>0.02</v>
      </c>
      <c r="P59" s="176">
        <f t="shared" si="12"/>
        <v>25</v>
      </c>
      <c r="Q59" s="176">
        <f t="shared" si="18"/>
        <v>26</v>
      </c>
      <c r="R59" s="135" t="s">
        <v>104</v>
      </c>
      <c r="S59" s="129"/>
      <c r="U59" s="172"/>
      <c r="V59" s="172"/>
      <c r="W59" s="172"/>
      <c r="X59" s="172"/>
      <c r="Y59" s="172"/>
      <c r="Z59" s="172"/>
      <c r="AA59" s="172"/>
      <c r="AH59" s="172"/>
      <c r="AI59" s="172"/>
      <c r="AJ59" s="172"/>
      <c r="AK59" s="172"/>
      <c r="AL59" s="172"/>
    </row>
    <row r="60" spans="2:38" s="169" customFormat="1" ht="57" customHeight="1" x14ac:dyDescent="0.15">
      <c r="B60" s="124">
        <v>46</v>
      </c>
      <c r="C60" s="124" t="s">
        <v>213</v>
      </c>
      <c r="D60" s="137" t="s">
        <v>247</v>
      </c>
      <c r="E60" s="133" t="s">
        <v>160</v>
      </c>
      <c r="F60" s="124" t="s">
        <v>159</v>
      </c>
      <c r="G60" s="41" t="s">
        <v>172</v>
      </c>
      <c r="H60" s="38">
        <v>1</v>
      </c>
      <c r="I60" s="133" t="s">
        <v>37</v>
      </c>
      <c r="J60" s="174">
        <v>25</v>
      </c>
      <c r="K60" s="133" t="s">
        <v>102</v>
      </c>
      <c r="L60" s="133">
        <v>350</v>
      </c>
      <c r="M60" s="133">
        <v>350</v>
      </c>
      <c r="N60" s="133">
        <v>200</v>
      </c>
      <c r="O60" s="136">
        <f t="shared" si="17"/>
        <v>0.02</v>
      </c>
      <c r="P60" s="176">
        <f t="shared" si="12"/>
        <v>25</v>
      </c>
      <c r="Q60" s="176">
        <f t="shared" si="18"/>
        <v>26</v>
      </c>
      <c r="R60" s="135" t="s">
        <v>104</v>
      </c>
      <c r="S60" s="129"/>
      <c r="U60" s="172"/>
      <c r="V60" s="172"/>
      <c r="W60" s="172"/>
      <c r="X60" s="172"/>
      <c r="Y60" s="172"/>
      <c r="Z60" s="172"/>
      <c r="AA60" s="172"/>
      <c r="AH60" s="172"/>
      <c r="AI60" s="172"/>
      <c r="AJ60" s="172"/>
      <c r="AK60" s="172"/>
      <c r="AL60" s="172"/>
    </row>
    <row r="61" spans="2:38" s="169" customFormat="1" ht="57" customHeight="1" x14ac:dyDescent="0.15">
      <c r="B61" s="124">
        <v>47</v>
      </c>
      <c r="C61" s="124" t="s">
        <v>214</v>
      </c>
      <c r="D61" s="137" t="s">
        <v>247</v>
      </c>
      <c r="E61" s="133" t="s">
        <v>160</v>
      </c>
      <c r="F61" s="124" t="s">
        <v>159</v>
      </c>
      <c r="G61" s="41" t="s">
        <v>172</v>
      </c>
      <c r="H61" s="38">
        <v>1</v>
      </c>
      <c r="I61" s="133" t="s">
        <v>37</v>
      </c>
      <c r="J61" s="174">
        <v>25</v>
      </c>
      <c r="K61" s="133" t="s">
        <v>102</v>
      </c>
      <c r="L61" s="133">
        <v>350</v>
      </c>
      <c r="M61" s="133">
        <v>350</v>
      </c>
      <c r="N61" s="133">
        <v>200</v>
      </c>
      <c r="O61" s="136">
        <f t="shared" si="17"/>
        <v>0.02</v>
      </c>
      <c r="P61" s="176">
        <f t="shared" si="12"/>
        <v>25</v>
      </c>
      <c r="Q61" s="176">
        <f t="shared" si="18"/>
        <v>26</v>
      </c>
      <c r="R61" s="135" t="s">
        <v>104</v>
      </c>
      <c r="S61" s="129"/>
      <c r="U61" s="172"/>
      <c r="V61" s="172"/>
      <c r="W61" s="172"/>
      <c r="X61" s="172"/>
      <c r="Y61" s="172"/>
      <c r="Z61" s="172"/>
      <c r="AA61" s="172"/>
      <c r="AH61" s="172"/>
      <c r="AI61" s="172"/>
      <c r="AJ61" s="172"/>
      <c r="AK61" s="172"/>
      <c r="AL61" s="172"/>
    </row>
    <row r="62" spans="2:38" s="169" customFormat="1" ht="57" customHeight="1" x14ac:dyDescent="0.15">
      <c r="B62" s="124">
        <v>48</v>
      </c>
      <c r="C62" s="124" t="s">
        <v>215</v>
      </c>
      <c r="D62" s="137" t="s">
        <v>247</v>
      </c>
      <c r="E62" s="133" t="s">
        <v>160</v>
      </c>
      <c r="F62" s="124" t="s">
        <v>159</v>
      </c>
      <c r="G62" s="41" t="s">
        <v>172</v>
      </c>
      <c r="H62" s="38">
        <v>1</v>
      </c>
      <c r="I62" s="133" t="s">
        <v>37</v>
      </c>
      <c r="J62" s="174">
        <v>25</v>
      </c>
      <c r="K62" s="133" t="s">
        <v>102</v>
      </c>
      <c r="L62" s="133">
        <v>350</v>
      </c>
      <c r="M62" s="133">
        <v>350</v>
      </c>
      <c r="N62" s="133">
        <v>200</v>
      </c>
      <c r="O62" s="136">
        <f t="shared" si="17"/>
        <v>0.02</v>
      </c>
      <c r="P62" s="176">
        <f t="shared" si="12"/>
        <v>25</v>
      </c>
      <c r="Q62" s="176">
        <f t="shared" si="18"/>
        <v>26</v>
      </c>
      <c r="R62" s="135" t="s">
        <v>104</v>
      </c>
      <c r="S62" s="129"/>
      <c r="U62" s="172"/>
      <c r="V62" s="172"/>
      <c r="W62" s="172"/>
      <c r="X62" s="172"/>
      <c r="Y62" s="172"/>
      <c r="Z62" s="172"/>
      <c r="AA62" s="172"/>
      <c r="AH62" s="172"/>
      <c r="AI62" s="172"/>
      <c r="AJ62" s="172"/>
      <c r="AK62" s="172"/>
      <c r="AL62" s="172"/>
    </row>
    <row r="63" spans="2:38" s="169" customFormat="1" ht="57" customHeight="1" x14ac:dyDescent="0.15">
      <c r="B63" s="124">
        <v>49</v>
      </c>
      <c r="C63" s="124" t="s">
        <v>216</v>
      </c>
      <c r="D63" s="137" t="s">
        <v>247</v>
      </c>
      <c r="E63" s="133" t="s">
        <v>160</v>
      </c>
      <c r="F63" s="124" t="s">
        <v>159</v>
      </c>
      <c r="G63" s="41" t="s">
        <v>172</v>
      </c>
      <c r="H63" s="38">
        <v>1</v>
      </c>
      <c r="I63" s="133" t="s">
        <v>37</v>
      </c>
      <c r="J63" s="174">
        <v>25</v>
      </c>
      <c r="K63" s="133" t="s">
        <v>102</v>
      </c>
      <c r="L63" s="133">
        <v>350</v>
      </c>
      <c r="M63" s="133">
        <v>350</v>
      </c>
      <c r="N63" s="133">
        <v>200</v>
      </c>
      <c r="O63" s="136">
        <f t="shared" si="17"/>
        <v>0.02</v>
      </c>
      <c r="P63" s="176">
        <f t="shared" si="12"/>
        <v>25</v>
      </c>
      <c r="Q63" s="176">
        <f t="shared" si="18"/>
        <v>26</v>
      </c>
      <c r="R63" s="135" t="s">
        <v>104</v>
      </c>
      <c r="S63" s="129"/>
      <c r="U63" s="172"/>
      <c r="V63" s="172"/>
      <c r="W63" s="172"/>
      <c r="X63" s="172"/>
      <c r="Y63" s="172"/>
      <c r="Z63" s="172"/>
      <c r="AA63" s="172"/>
      <c r="AH63" s="172"/>
      <c r="AI63" s="172"/>
      <c r="AJ63" s="172"/>
      <c r="AK63" s="172"/>
      <c r="AL63" s="172"/>
    </row>
    <row r="64" spans="2:38" s="169" customFormat="1" ht="57" customHeight="1" x14ac:dyDescent="0.15">
      <c r="B64" s="124">
        <v>50</v>
      </c>
      <c r="C64" s="124" t="s">
        <v>217</v>
      </c>
      <c r="D64" s="137" t="s">
        <v>247</v>
      </c>
      <c r="E64" s="133" t="s">
        <v>160</v>
      </c>
      <c r="F64" s="124" t="s">
        <v>159</v>
      </c>
      <c r="G64" s="41" t="s">
        <v>172</v>
      </c>
      <c r="H64" s="38">
        <v>1</v>
      </c>
      <c r="I64" s="133" t="s">
        <v>37</v>
      </c>
      <c r="J64" s="174">
        <v>25</v>
      </c>
      <c r="K64" s="133" t="s">
        <v>102</v>
      </c>
      <c r="L64" s="133">
        <v>350</v>
      </c>
      <c r="M64" s="133">
        <v>350</v>
      </c>
      <c r="N64" s="133">
        <v>200</v>
      </c>
      <c r="O64" s="136">
        <f t="shared" si="17"/>
        <v>0.02</v>
      </c>
      <c r="P64" s="176">
        <f t="shared" si="12"/>
        <v>25</v>
      </c>
      <c r="Q64" s="176">
        <f t="shared" si="18"/>
        <v>26</v>
      </c>
      <c r="R64" s="135" t="s">
        <v>104</v>
      </c>
      <c r="S64" s="129"/>
      <c r="U64" s="172"/>
      <c r="V64" s="172"/>
      <c r="W64" s="172"/>
      <c r="X64" s="172"/>
      <c r="Y64" s="172"/>
      <c r="Z64" s="172"/>
      <c r="AA64" s="172"/>
      <c r="AH64" s="172"/>
      <c r="AI64" s="172"/>
      <c r="AJ64" s="172"/>
      <c r="AK64" s="172"/>
      <c r="AL64" s="172"/>
    </row>
    <row r="65" spans="1:38" s="169" customFormat="1" ht="57" customHeight="1" x14ac:dyDescent="0.15">
      <c r="B65" s="124">
        <v>51</v>
      </c>
      <c r="C65" s="124" t="s">
        <v>218</v>
      </c>
      <c r="D65" s="137" t="s">
        <v>247</v>
      </c>
      <c r="E65" s="133" t="s">
        <v>160</v>
      </c>
      <c r="F65" s="124" t="s">
        <v>159</v>
      </c>
      <c r="G65" s="41" t="s">
        <v>172</v>
      </c>
      <c r="H65" s="38">
        <v>1</v>
      </c>
      <c r="I65" s="133" t="s">
        <v>37</v>
      </c>
      <c r="J65" s="174">
        <v>25</v>
      </c>
      <c r="K65" s="133" t="s">
        <v>102</v>
      </c>
      <c r="L65" s="133">
        <v>350</v>
      </c>
      <c r="M65" s="133">
        <v>350</v>
      </c>
      <c r="N65" s="133">
        <v>200</v>
      </c>
      <c r="O65" s="136">
        <f t="shared" ref="O65" si="19">ROUND(L65*M65*N65/1000000000,2)</f>
        <v>0.02</v>
      </c>
      <c r="P65" s="176">
        <f t="shared" si="12"/>
        <v>25</v>
      </c>
      <c r="Q65" s="176">
        <f t="shared" ref="Q65" si="20">P65+1</f>
        <v>26</v>
      </c>
      <c r="R65" s="135" t="s">
        <v>104</v>
      </c>
      <c r="S65" s="129"/>
      <c r="U65" s="172"/>
      <c r="V65" s="172"/>
      <c r="W65" s="172"/>
      <c r="X65" s="172"/>
      <c r="Y65" s="172"/>
      <c r="Z65" s="172"/>
      <c r="AA65" s="172"/>
      <c r="AH65" s="172"/>
      <c r="AI65" s="172"/>
      <c r="AJ65" s="172"/>
      <c r="AK65" s="172"/>
      <c r="AL65" s="172"/>
    </row>
    <row r="66" spans="1:38" s="179" customFormat="1" ht="21" x14ac:dyDescent="0.1">
      <c r="A66" s="146"/>
      <c r="B66" s="312" t="s">
        <v>118</v>
      </c>
      <c r="C66" s="312"/>
      <c r="D66" s="312"/>
      <c r="E66" s="312"/>
      <c r="F66" s="312"/>
      <c r="G66" s="312"/>
      <c r="H66" s="312"/>
      <c r="I66" s="312"/>
      <c r="J66" s="138"/>
      <c r="K66" s="138"/>
      <c r="L66" s="138"/>
      <c r="M66" s="138"/>
      <c r="N66" s="138"/>
      <c r="O66" s="185">
        <f>SUM(O15:O65)</f>
        <v>7.739999999999986</v>
      </c>
      <c r="P66" s="218">
        <f>SUM(P15:P65)</f>
        <v>15358</v>
      </c>
      <c r="Q66" s="218">
        <f>SUM(Q15:Q65)</f>
        <v>16054</v>
      </c>
      <c r="R66" s="178"/>
      <c r="S66" s="178"/>
      <c r="U66" s="147"/>
      <c r="V66" s="147"/>
      <c r="W66" s="147"/>
      <c r="X66" s="147"/>
      <c r="Y66" s="147"/>
      <c r="Z66" s="147"/>
      <c r="AA66" s="147"/>
      <c r="AH66" s="147"/>
      <c r="AI66" s="147"/>
      <c r="AJ66" s="147"/>
      <c r="AK66" s="147"/>
      <c r="AL66" s="147"/>
    </row>
  </sheetData>
  <mergeCells count="66">
    <mergeCell ref="O31:O32"/>
    <mergeCell ref="P31:P32"/>
    <mergeCell ref="Q31:Q32"/>
    <mergeCell ref="C33:C34"/>
    <mergeCell ref="K33:K34"/>
    <mergeCell ref="L33:L34"/>
    <mergeCell ref="M33:M34"/>
    <mergeCell ref="N33:N34"/>
    <mergeCell ref="O33:O34"/>
    <mergeCell ref="P33:P34"/>
    <mergeCell ref="Q33:Q34"/>
    <mergeCell ref="C31:C32"/>
    <mergeCell ref="K31:K32"/>
    <mergeCell ref="L31:L32"/>
    <mergeCell ref="M31:M32"/>
    <mergeCell ref="N31:N32"/>
    <mergeCell ref="O27:O28"/>
    <mergeCell ref="P27:P28"/>
    <mergeCell ref="Q27:Q28"/>
    <mergeCell ref="C29:C30"/>
    <mergeCell ref="K29:K30"/>
    <mergeCell ref="L29:L30"/>
    <mergeCell ref="M29:M30"/>
    <mergeCell ref="N29:N30"/>
    <mergeCell ref="O29:O30"/>
    <mergeCell ref="P29:P30"/>
    <mergeCell ref="Q29:Q30"/>
    <mergeCell ref="C27:C28"/>
    <mergeCell ref="K27:K28"/>
    <mergeCell ref="L27:L28"/>
    <mergeCell ref="M27:M28"/>
    <mergeCell ref="N27:N28"/>
    <mergeCell ref="N23:N24"/>
    <mergeCell ref="O23:O24"/>
    <mergeCell ref="P23:P24"/>
    <mergeCell ref="Q23:Q24"/>
    <mergeCell ref="C25:C26"/>
    <mergeCell ref="K25:K26"/>
    <mergeCell ref="L25:L26"/>
    <mergeCell ref="M25:M26"/>
    <mergeCell ref="N25:N26"/>
    <mergeCell ref="O25:O26"/>
    <mergeCell ref="P25:P26"/>
    <mergeCell ref="Q25:Q26"/>
    <mergeCell ref="B66:I66"/>
    <mergeCell ref="P13:P14"/>
    <mergeCell ref="Q13:Q14"/>
    <mergeCell ref="E13:E14"/>
    <mergeCell ref="B13:B14"/>
    <mergeCell ref="C13:C14"/>
    <mergeCell ref="D13:D14"/>
    <mergeCell ref="G13:G14"/>
    <mergeCell ref="H13:I13"/>
    <mergeCell ref="K13:K14"/>
    <mergeCell ref="L13:O13"/>
    <mergeCell ref="F13:F14"/>
    <mergeCell ref="C23:C24"/>
    <mergeCell ref="K23:K24"/>
    <mergeCell ref="L23:L24"/>
    <mergeCell ref="M23:M24"/>
    <mergeCell ref="R7:V7"/>
    <mergeCell ref="R13:R14"/>
    <mergeCell ref="B4:S4"/>
    <mergeCell ref="B1:T1"/>
    <mergeCell ref="C3:J3"/>
    <mergeCell ref="S13:S14"/>
  </mergeCells>
  <phoneticPr fontId="22" type="noConversion"/>
  <printOptions horizontalCentered="1"/>
  <pageMargins left="0.23622047244094491" right="0.23622047244094491" top="0.47244094488188981" bottom="0.51181102362204722" header="0.31496062992125984" footer="0.31496062992125984"/>
  <pageSetup paperSize="9" scale="52" fitToHeight="0" orientation="landscape" r:id="rId1"/>
  <headerFooter alignWithMargins="0">
    <oddFooter>&amp;C&amp;P/&amp;N</oddFooter>
  </headerFooter>
  <rowBreaks count="1" manualBreakCount="1">
    <brk id="30" max="18"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2D050"/>
    <pageSetUpPr fitToPage="1"/>
  </sheetPr>
  <dimension ref="A1:V48"/>
  <sheetViews>
    <sheetView showGridLines="0" view="pageBreakPreview" topLeftCell="A25" zoomScaleNormal="100" zoomScaleSheetLayoutView="100" workbookViewId="0">
      <selection activeCell="K33" sqref="K33"/>
    </sheetView>
  </sheetViews>
  <sheetFormatPr defaultColWidth="9.5859375" defaultRowHeight="17.25" customHeight="1" x14ac:dyDescent="0.1"/>
  <cols>
    <col min="1" max="1" width="4.55859375" style="39" customWidth="1"/>
    <col min="2" max="2" width="24.44140625" style="39" customWidth="1"/>
    <col min="3" max="3" width="3.5078125" style="39" customWidth="1"/>
    <col min="4" max="4" width="6.6640625" style="39" customWidth="1"/>
    <col min="5" max="5" width="7.6015625" style="39" customWidth="1"/>
    <col min="6" max="6" width="9.703125" style="39" customWidth="1"/>
    <col min="7" max="7" width="18.4765625" style="45" customWidth="1"/>
    <col min="8" max="8" width="11.57421875" style="45" customWidth="1"/>
    <col min="9" max="9" width="10.875" style="45" customWidth="1"/>
    <col min="10" max="10" width="11.109375" style="45" customWidth="1"/>
    <col min="11" max="11" width="13.5625" style="109" customWidth="1"/>
    <col min="12" max="12" width="7.71484375" style="45" customWidth="1"/>
    <col min="13" max="13" width="7.71484375" style="46" customWidth="1"/>
    <col min="14" max="14" width="7.71484375" style="40" customWidth="1"/>
    <col min="15" max="15" width="9.5859375" style="47"/>
    <col min="16" max="17" width="9.5859375" style="40"/>
    <col min="18" max="16384" width="9.5859375" style="39"/>
  </cols>
  <sheetData>
    <row r="1" spans="1:17" s="113" customFormat="1" ht="22.15" customHeight="1" x14ac:dyDescent="0.1">
      <c r="A1" s="189"/>
      <c r="B1" s="190"/>
      <c r="C1" s="190"/>
      <c r="D1" s="190"/>
      <c r="E1" s="190"/>
      <c r="F1" s="190"/>
      <c r="G1" s="191"/>
      <c r="H1" s="191"/>
      <c r="I1" s="191"/>
      <c r="J1" s="192"/>
      <c r="K1" s="193"/>
      <c r="L1" s="114"/>
      <c r="M1" s="194"/>
      <c r="N1" s="126"/>
      <c r="O1" s="195"/>
      <c r="P1" s="126"/>
      <c r="Q1" s="126"/>
    </row>
    <row r="2" spans="1:17" s="113" customFormat="1" ht="22.15" customHeight="1" x14ac:dyDescent="0.1">
      <c r="A2" s="196"/>
      <c r="G2" s="114"/>
      <c r="H2" s="114"/>
      <c r="I2" s="114"/>
      <c r="J2" s="145"/>
      <c r="K2" s="197"/>
      <c r="L2" s="114"/>
      <c r="M2" s="194"/>
      <c r="N2" s="126"/>
      <c r="O2" s="195"/>
      <c r="P2" s="126"/>
      <c r="Q2" s="126"/>
    </row>
    <row r="3" spans="1:17" s="113" customFormat="1" ht="37.5" customHeight="1" x14ac:dyDescent="0.1">
      <c r="A3" s="198"/>
      <c r="B3" s="269" t="s">
        <v>157</v>
      </c>
      <c r="C3" s="270"/>
      <c r="D3" s="270"/>
      <c r="E3" s="270"/>
      <c r="F3" s="270"/>
      <c r="G3" s="199"/>
      <c r="H3" s="271"/>
      <c r="I3" s="272"/>
      <c r="J3" s="272"/>
      <c r="K3" s="273"/>
      <c r="L3" s="114"/>
      <c r="M3" s="194"/>
      <c r="N3" s="126"/>
      <c r="O3" s="195"/>
      <c r="P3" s="126"/>
      <c r="Q3" s="126"/>
    </row>
    <row r="4" spans="1:17" s="53" customFormat="1" ht="22.15" customHeight="1" x14ac:dyDescent="0.1">
      <c r="A4" s="276" t="s">
        <v>38</v>
      </c>
      <c r="B4" s="277"/>
      <c r="C4" s="277"/>
      <c r="D4" s="277"/>
      <c r="E4" s="277"/>
      <c r="F4" s="277"/>
      <c r="G4" s="277"/>
      <c r="H4" s="277"/>
      <c r="I4" s="277"/>
      <c r="J4" s="277"/>
      <c r="K4" s="278"/>
      <c r="L4" s="50"/>
      <c r="M4" s="50"/>
      <c r="N4" s="51"/>
      <c r="O4" s="51"/>
      <c r="P4" s="52"/>
    </row>
    <row r="5" spans="1:17" s="53" customFormat="1" ht="21.6" customHeight="1" x14ac:dyDescent="0.1">
      <c r="A5" s="54" t="s">
        <v>0</v>
      </c>
      <c r="B5" s="55"/>
      <c r="C5" s="55"/>
      <c r="D5" s="55"/>
      <c r="E5" s="56"/>
      <c r="F5" s="57"/>
      <c r="G5" s="58" t="s">
        <v>39</v>
      </c>
      <c r="H5" s="110" t="s">
        <v>173</v>
      </c>
      <c r="I5"/>
      <c r="J5" s="59"/>
      <c r="K5" s="60"/>
      <c r="L5" s="61"/>
      <c r="M5" s="61"/>
      <c r="N5" s="61"/>
      <c r="O5" s="61"/>
      <c r="P5" s="61"/>
      <c r="Q5" s="61"/>
    </row>
    <row r="6" spans="1:17" s="53" customFormat="1" ht="21.6" customHeight="1" x14ac:dyDescent="0.1">
      <c r="A6" s="62"/>
      <c r="B6" s="296" t="s">
        <v>1</v>
      </c>
      <c r="C6" s="296"/>
      <c r="D6" s="296"/>
      <c r="E6" s="296"/>
      <c r="F6" s="297"/>
      <c r="G6" s="63" t="s">
        <v>2</v>
      </c>
      <c r="H6" s="111" t="s">
        <v>222</v>
      </c>
      <c r="I6" s="64"/>
      <c r="J6" s="65"/>
      <c r="K6" s="220"/>
      <c r="L6" s="61"/>
      <c r="M6" s="61"/>
      <c r="N6" s="61"/>
      <c r="O6" s="61"/>
      <c r="P6" s="61"/>
      <c r="Q6" s="61"/>
    </row>
    <row r="7" spans="1:17" ht="21.6" customHeight="1" x14ac:dyDescent="0.1">
      <c r="A7" s="48"/>
      <c r="B7" s="296"/>
      <c r="C7" s="296"/>
      <c r="D7" s="296"/>
      <c r="E7" s="296"/>
      <c r="F7" s="297"/>
      <c r="G7" s="66" t="s">
        <v>3</v>
      </c>
      <c r="H7" s="43" t="s">
        <v>150</v>
      </c>
      <c r="I7" s="43"/>
      <c r="J7" s="43"/>
      <c r="K7" s="67"/>
    </row>
    <row r="8" spans="1:17" ht="21.6" customHeight="1" x14ac:dyDescent="0.1">
      <c r="A8" s="48"/>
      <c r="B8" s="298"/>
      <c r="C8" s="298"/>
      <c r="D8" s="298"/>
      <c r="E8" s="298"/>
      <c r="F8" s="299"/>
      <c r="G8" s="63" t="s">
        <v>2</v>
      </c>
      <c r="H8" s="111" t="s">
        <v>151</v>
      </c>
      <c r="I8" s="64"/>
      <c r="J8" s="64"/>
      <c r="K8" s="67"/>
    </row>
    <row r="9" spans="1:17" ht="34.9" customHeight="1" thickBot="1" x14ac:dyDescent="0.15">
      <c r="A9" s="68" t="s">
        <v>4</v>
      </c>
      <c r="B9" s="43"/>
      <c r="C9" s="43"/>
      <c r="D9" s="43"/>
      <c r="E9" s="43"/>
      <c r="F9" s="42"/>
      <c r="G9" s="279" t="str">
        <f>[6]CI!G9</f>
        <v>SHIPPING MARK</v>
      </c>
      <c r="H9" s="280"/>
      <c r="I9" s="280"/>
      <c r="J9" s="280"/>
      <c r="K9" s="281"/>
    </row>
    <row r="10" spans="1:17" ht="17.649999999999999" customHeight="1" x14ac:dyDescent="0.1">
      <c r="A10" s="48"/>
      <c r="B10" s="291" t="s">
        <v>156</v>
      </c>
      <c r="C10" s="292"/>
      <c r="D10" s="292"/>
      <c r="E10" s="292"/>
      <c r="F10" s="293"/>
      <c r="G10" s="282" t="s">
        <v>20</v>
      </c>
      <c r="H10" s="283"/>
      <c r="I10" s="283"/>
      <c r="J10" s="283"/>
      <c r="K10" s="284"/>
    </row>
    <row r="11" spans="1:17" ht="17.649999999999999" customHeight="1" x14ac:dyDescent="0.1">
      <c r="A11" s="48"/>
      <c r="B11" s="292"/>
      <c r="C11" s="292"/>
      <c r="D11" s="292"/>
      <c r="E11" s="292"/>
      <c r="F11" s="293"/>
      <c r="G11" s="285"/>
      <c r="H11" s="286"/>
      <c r="I11" s="286"/>
      <c r="J11" s="286"/>
      <c r="K11" s="287"/>
    </row>
    <row r="12" spans="1:17" ht="24" customHeight="1" thickBot="1" x14ac:dyDescent="0.15">
      <c r="A12" s="69"/>
      <c r="B12" s="294"/>
      <c r="C12" s="294"/>
      <c r="D12" s="294"/>
      <c r="E12" s="294"/>
      <c r="F12" s="295"/>
      <c r="G12" s="288"/>
      <c r="H12" s="289"/>
      <c r="I12" s="289"/>
      <c r="J12" s="289"/>
      <c r="K12" s="290"/>
    </row>
    <row r="13" spans="1:17" ht="21.6" customHeight="1" x14ac:dyDescent="0.1">
      <c r="A13" s="70" t="s">
        <v>6</v>
      </c>
      <c r="B13" s="71"/>
      <c r="G13" s="72"/>
      <c r="H13" s="274"/>
      <c r="I13" s="274"/>
      <c r="J13" s="274"/>
      <c r="K13" s="275"/>
    </row>
    <row r="14" spans="1:17" ht="14.1" customHeight="1" x14ac:dyDescent="0.1">
      <c r="A14" s="48"/>
      <c r="B14" s="248" t="s">
        <v>7</v>
      </c>
      <c r="C14" s="249"/>
      <c r="D14" s="249"/>
      <c r="E14" s="249"/>
      <c r="F14" s="250"/>
      <c r="G14" s="74"/>
      <c r="H14" s="302"/>
      <c r="I14" s="302"/>
      <c r="J14" s="302"/>
      <c r="K14" s="303"/>
    </row>
    <row r="15" spans="1:17" ht="14.1" customHeight="1" x14ac:dyDescent="0.1">
      <c r="A15" s="48"/>
      <c r="B15" s="249"/>
      <c r="C15" s="249"/>
      <c r="D15" s="249"/>
      <c r="E15" s="249"/>
      <c r="F15" s="250"/>
      <c r="G15" s="188" t="s">
        <v>8</v>
      </c>
      <c r="H15" s="304" t="str">
        <f>H5</f>
        <v>OM4-P2-LS-0002</v>
      </c>
      <c r="I15" s="304"/>
      <c r="J15" s="304"/>
      <c r="K15" s="305"/>
    </row>
    <row r="16" spans="1:17" ht="18.600000000000001" customHeight="1" x14ac:dyDescent="0.1">
      <c r="A16" s="48"/>
      <c r="B16" s="251"/>
      <c r="C16" s="251"/>
      <c r="D16" s="251"/>
      <c r="E16" s="251"/>
      <c r="F16" s="252"/>
      <c r="G16" s="188" t="s">
        <v>9</v>
      </c>
      <c r="H16" s="253" t="s">
        <v>10</v>
      </c>
      <c r="I16" s="253"/>
      <c r="J16" s="253"/>
      <c r="K16" s="254"/>
    </row>
    <row r="17" spans="1:22" ht="18.600000000000001" customHeight="1" x14ac:dyDescent="0.1">
      <c r="A17" s="68" t="s">
        <v>11</v>
      </c>
      <c r="B17" s="75"/>
      <c r="C17" s="187" t="s">
        <v>12</v>
      </c>
      <c r="D17" s="43"/>
      <c r="E17" s="43"/>
      <c r="F17" s="42"/>
      <c r="G17" s="188" t="s">
        <v>14</v>
      </c>
      <c r="H17" s="253" t="s">
        <v>15</v>
      </c>
      <c r="I17" s="253"/>
      <c r="J17" s="253"/>
      <c r="K17" s="254"/>
    </row>
    <row r="18" spans="1:22" s="45" customFormat="1" ht="18.600000000000001" customHeight="1" x14ac:dyDescent="0.1">
      <c r="A18" s="69" t="s">
        <v>13</v>
      </c>
      <c r="B18" s="76"/>
      <c r="C18" s="44" t="s">
        <v>13</v>
      </c>
      <c r="D18" s="255"/>
      <c r="E18" s="255"/>
      <c r="F18" s="256"/>
      <c r="G18" s="74"/>
      <c r="H18" s="261"/>
      <c r="I18" s="261"/>
      <c r="J18" s="261"/>
      <c r="K18" s="262"/>
      <c r="M18" s="46"/>
      <c r="N18" s="40"/>
      <c r="O18" s="47"/>
      <c r="P18" s="40"/>
      <c r="Q18" s="40"/>
      <c r="R18" s="39"/>
      <c r="S18" s="39"/>
      <c r="T18" s="39"/>
      <c r="U18" s="39"/>
      <c r="V18" s="39"/>
    </row>
    <row r="19" spans="1:22" s="45" customFormat="1" ht="18.600000000000001" customHeight="1" x14ac:dyDescent="0.1">
      <c r="A19" s="68" t="s">
        <v>16</v>
      </c>
      <c r="B19" s="75"/>
      <c r="C19" s="187" t="s">
        <v>17</v>
      </c>
      <c r="D19" s="43"/>
      <c r="E19" s="43"/>
      <c r="F19" s="42"/>
      <c r="G19" s="74"/>
      <c r="H19" s="261"/>
      <c r="I19" s="261"/>
      <c r="J19" s="261"/>
      <c r="K19" s="262"/>
      <c r="M19" s="46"/>
      <c r="N19" s="40"/>
      <c r="O19" s="47"/>
      <c r="P19" s="40"/>
      <c r="Q19" s="40"/>
      <c r="R19" s="39"/>
      <c r="S19" s="39"/>
      <c r="T19" s="39"/>
      <c r="U19" s="39"/>
      <c r="V19" s="39"/>
    </row>
    <row r="20" spans="1:22" s="45" customFormat="1" ht="18.600000000000001" customHeight="1" x14ac:dyDescent="0.1">
      <c r="A20" s="69" t="s">
        <v>13</v>
      </c>
      <c r="B20" s="76"/>
      <c r="C20" s="44" t="s">
        <v>13</v>
      </c>
      <c r="D20" s="39"/>
      <c r="E20" s="73"/>
      <c r="F20" s="77"/>
      <c r="G20" s="74"/>
      <c r="H20" s="78"/>
      <c r="K20" s="49"/>
      <c r="M20" s="46"/>
      <c r="N20" s="40"/>
      <c r="O20" s="47"/>
      <c r="P20" s="40"/>
      <c r="Q20" s="40"/>
      <c r="R20" s="39"/>
      <c r="S20" s="39"/>
      <c r="T20" s="39"/>
      <c r="U20" s="39"/>
      <c r="V20" s="39"/>
    </row>
    <row r="21" spans="1:22" s="45" customFormat="1" ht="18.600000000000001" customHeight="1" x14ac:dyDescent="0.1">
      <c r="A21" s="68" t="s">
        <v>162</v>
      </c>
      <c r="B21" s="75"/>
      <c r="C21" s="187" t="s">
        <v>18</v>
      </c>
      <c r="D21" s="43"/>
      <c r="E21" s="43"/>
      <c r="F21" s="42"/>
      <c r="G21" s="74"/>
      <c r="H21" s="78"/>
      <c r="K21" s="49"/>
      <c r="M21" s="46"/>
      <c r="N21" s="40"/>
      <c r="O21" s="47"/>
      <c r="P21" s="40"/>
      <c r="Q21" s="40"/>
      <c r="R21" s="39"/>
      <c r="S21" s="39"/>
      <c r="T21" s="39"/>
      <c r="U21" s="39"/>
      <c r="V21" s="39"/>
    </row>
    <row r="22" spans="1:22" s="45" customFormat="1" ht="18.600000000000001" customHeight="1" x14ac:dyDescent="0.1">
      <c r="A22" s="69" t="s">
        <v>13</v>
      </c>
      <c r="B22" s="76"/>
      <c r="C22" s="44" t="s">
        <v>13</v>
      </c>
      <c r="D22" s="255"/>
      <c r="E22" s="255"/>
      <c r="F22" s="256"/>
      <c r="G22" s="74"/>
      <c r="K22" s="49"/>
      <c r="M22" s="46"/>
      <c r="N22" s="40"/>
      <c r="O22" s="47"/>
      <c r="P22" s="40"/>
      <c r="Q22" s="40"/>
      <c r="R22" s="39"/>
      <c r="S22" s="39"/>
      <c r="T22" s="39"/>
      <c r="U22" s="39"/>
      <c r="V22" s="39"/>
    </row>
    <row r="23" spans="1:22" s="45" customFormat="1" ht="18.600000000000001" customHeight="1" x14ac:dyDescent="0.1">
      <c r="A23" s="68" t="s">
        <v>19</v>
      </c>
      <c r="B23" s="43"/>
      <c r="C23" s="43"/>
      <c r="D23" s="43"/>
      <c r="E23" s="43"/>
      <c r="F23" s="43"/>
      <c r="G23" s="79"/>
      <c r="H23" s="80"/>
      <c r="I23" s="80"/>
      <c r="J23" s="80"/>
      <c r="K23" s="81"/>
      <c r="M23" s="46"/>
      <c r="N23" s="40"/>
      <c r="O23" s="47"/>
      <c r="P23" s="40"/>
      <c r="Q23" s="40"/>
      <c r="R23" s="39"/>
      <c r="S23" s="39"/>
      <c r="T23" s="39"/>
      <c r="U23" s="39"/>
      <c r="V23" s="39"/>
    </row>
    <row r="24" spans="1:22" s="45" customFormat="1" ht="25.15" customHeight="1" x14ac:dyDescent="0.1">
      <c r="A24" s="48"/>
      <c r="B24" s="71" t="s">
        <v>20</v>
      </c>
      <c r="C24" s="39"/>
      <c r="D24" s="39"/>
      <c r="E24" s="39"/>
      <c r="F24" s="39"/>
      <c r="G24" s="74"/>
      <c r="K24" s="49"/>
      <c r="M24" s="46"/>
      <c r="N24" s="40"/>
      <c r="O24" s="47"/>
      <c r="P24" s="40"/>
      <c r="Q24" s="40"/>
      <c r="R24" s="39"/>
      <c r="S24" s="39"/>
      <c r="T24" s="39"/>
      <c r="U24" s="39"/>
      <c r="V24" s="39"/>
    </row>
    <row r="25" spans="1:22" s="45" customFormat="1" ht="24" customHeight="1" x14ac:dyDescent="0.1">
      <c r="A25" s="69"/>
      <c r="B25" s="257" t="s">
        <v>21</v>
      </c>
      <c r="C25" s="257"/>
      <c r="D25" s="257"/>
      <c r="E25" s="257"/>
      <c r="F25" s="258"/>
      <c r="G25" s="82"/>
      <c r="H25" s="83"/>
      <c r="I25" s="83"/>
      <c r="J25" s="83"/>
      <c r="K25" s="84"/>
      <c r="M25" s="46"/>
      <c r="N25" s="40"/>
      <c r="O25" s="47"/>
      <c r="P25" s="40"/>
      <c r="Q25" s="40"/>
      <c r="R25" s="39"/>
      <c r="S25" s="39"/>
      <c r="T25" s="39"/>
      <c r="U25" s="39"/>
      <c r="V25" s="39"/>
    </row>
    <row r="26" spans="1:22" s="71" customFormat="1" ht="48.6" customHeight="1" x14ac:dyDescent="0.15">
      <c r="A26" s="259" t="s">
        <v>22</v>
      </c>
      <c r="B26" s="260"/>
      <c r="C26" s="260"/>
      <c r="D26" s="260"/>
      <c r="E26" s="260"/>
      <c r="F26" s="260"/>
      <c r="G26" s="85" t="s">
        <v>23</v>
      </c>
      <c r="H26" s="85" t="s">
        <v>24</v>
      </c>
      <c r="I26" s="86" t="s">
        <v>40</v>
      </c>
      <c r="J26" s="86" t="s">
        <v>41</v>
      </c>
      <c r="K26" s="87" t="s">
        <v>42</v>
      </c>
      <c r="L26" s="88"/>
      <c r="M26" s="89"/>
      <c r="N26" s="90"/>
      <c r="O26" s="91"/>
      <c r="P26" s="90"/>
      <c r="Q26" s="90"/>
    </row>
    <row r="27" spans="1:22" ht="42" customHeight="1" x14ac:dyDescent="0.1">
      <c r="A27" s="70"/>
      <c r="B27" s="263" t="s">
        <v>43</v>
      </c>
      <c r="C27" s="263"/>
      <c r="D27" s="263"/>
      <c r="E27" s="263"/>
      <c r="F27" s="264"/>
      <c r="G27" s="92"/>
      <c r="H27" s="92"/>
      <c r="I27" s="93"/>
      <c r="J27" s="93"/>
      <c r="K27" s="94"/>
    </row>
    <row r="28" spans="1:22" ht="14.1" customHeight="1" x14ac:dyDescent="0.1">
      <c r="A28" s="70"/>
      <c r="B28" s="71"/>
      <c r="G28" s="92"/>
      <c r="H28" s="92"/>
      <c r="I28" s="92"/>
      <c r="J28" s="92"/>
      <c r="K28" s="94"/>
    </row>
    <row r="29" spans="1:22" ht="14.1" customHeight="1" x14ac:dyDescent="0.1">
      <c r="A29" s="70"/>
      <c r="G29" s="92"/>
      <c r="H29" s="92"/>
      <c r="I29" s="92"/>
      <c r="J29" s="92"/>
      <c r="K29" s="94"/>
    </row>
    <row r="30" spans="1:22" ht="14.1" customHeight="1" x14ac:dyDescent="0.1">
      <c r="A30" s="70"/>
      <c r="B30" s="265" t="s">
        <v>25</v>
      </c>
      <c r="C30" s="265"/>
      <c r="D30" s="265"/>
      <c r="E30" s="265"/>
      <c r="F30" s="266"/>
      <c r="G30" s="92"/>
      <c r="H30" s="92"/>
      <c r="I30" s="92"/>
      <c r="J30" s="92"/>
      <c r="K30" s="94"/>
    </row>
    <row r="31" spans="1:22" ht="14.1" customHeight="1" x14ac:dyDescent="0.1">
      <c r="A31" s="70"/>
      <c r="B31" s="39" t="s">
        <v>219</v>
      </c>
      <c r="C31" s="219"/>
      <c r="D31" s="219"/>
      <c r="E31" s="219"/>
      <c r="F31" s="221"/>
      <c r="G31" s="95">
        <v>45</v>
      </c>
      <c r="H31" s="92" t="s">
        <v>44</v>
      </c>
      <c r="I31" s="92">
        <f>'PL(2_2)'!N66</f>
        <v>15358</v>
      </c>
      <c r="J31" s="92">
        <f>'PL(2_2)'!O66</f>
        <v>16054</v>
      </c>
      <c r="K31" s="94">
        <f>'Detailed PL'!O66</f>
        <v>7.739999999999986</v>
      </c>
    </row>
    <row r="32" spans="1:22" ht="14.1" customHeight="1" x14ac:dyDescent="0.1">
      <c r="A32" s="70"/>
      <c r="G32" s="92"/>
      <c r="H32" s="92"/>
      <c r="I32" s="92"/>
      <c r="J32" s="92"/>
      <c r="K32" s="94"/>
    </row>
    <row r="33" spans="1:22" ht="14.1" customHeight="1" x14ac:dyDescent="0.1">
      <c r="A33" s="70"/>
      <c r="B33" s="96"/>
      <c r="G33" s="92"/>
      <c r="H33" s="92"/>
      <c r="I33" s="92"/>
      <c r="J33" s="92"/>
      <c r="K33" s="94"/>
    </row>
    <row r="34" spans="1:22" ht="14.1" customHeight="1" x14ac:dyDescent="0.1">
      <c r="A34" s="70"/>
      <c r="G34" s="92"/>
      <c r="H34" s="92"/>
      <c r="I34" s="92"/>
      <c r="J34" s="92"/>
      <c r="K34" s="94"/>
    </row>
    <row r="35" spans="1:22" ht="14.1" customHeight="1" x14ac:dyDescent="0.1">
      <c r="A35" s="70"/>
      <c r="B35" s="97"/>
      <c r="G35" s="92"/>
      <c r="H35" s="92"/>
      <c r="I35" s="92"/>
      <c r="J35" s="92"/>
      <c r="K35" s="94"/>
    </row>
    <row r="36" spans="1:22" ht="14.1" customHeight="1" x14ac:dyDescent="0.1">
      <c r="A36" s="70"/>
      <c r="B36" s="97" t="s">
        <v>27</v>
      </c>
      <c r="D36" s="39">
        <v>45</v>
      </c>
      <c r="E36" s="39" t="s">
        <v>26</v>
      </c>
      <c r="G36" s="92"/>
      <c r="H36" s="92"/>
      <c r="I36" s="92"/>
      <c r="J36" s="92"/>
      <c r="K36" s="94"/>
    </row>
    <row r="37" spans="1:22" ht="14.1" customHeight="1" x14ac:dyDescent="0.1">
      <c r="A37" s="70"/>
      <c r="B37" s="97"/>
      <c r="G37" s="92"/>
      <c r="H37" s="92"/>
      <c r="I37" s="92"/>
      <c r="J37" s="92"/>
      <c r="K37" s="94"/>
    </row>
    <row r="38" spans="1:22" ht="14.1" customHeight="1" x14ac:dyDescent="0.1">
      <c r="A38" s="70"/>
      <c r="G38" s="92"/>
      <c r="H38" s="92"/>
      <c r="I38" s="92"/>
      <c r="J38" s="92"/>
      <c r="K38" s="94"/>
    </row>
    <row r="39" spans="1:22" s="88" customFormat="1" ht="22.9" customHeight="1" x14ac:dyDescent="0.1">
      <c r="A39" s="98"/>
      <c r="B39" s="99"/>
      <c r="C39" s="99"/>
      <c r="D39" s="99"/>
      <c r="E39" s="99"/>
      <c r="F39" s="99"/>
      <c r="G39" s="300" t="s">
        <v>45</v>
      </c>
      <c r="H39" s="301"/>
      <c r="I39" s="100">
        <f>SUM(I27:I38)</f>
        <v>15358</v>
      </c>
      <c r="J39" s="100">
        <f>SUM(J27:J38)</f>
        <v>16054</v>
      </c>
      <c r="K39" s="101">
        <f>SUM(K27:K38)</f>
        <v>7.739999999999986</v>
      </c>
      <c r="M39" s="89"/>
      <c r="N39" s="90"/>
      <c r="O39" s="91"/>
      <c r="P39" s="90"/>
      <c r="Q39" s="90"/>
      <c r="R39" s="71"/>
      <c r="S39" s="71"/>
      <c r="T39" s="71"/>
      <c r="U39" s="71"/>
      <c r="V39" s="71"/>
    </row>
    <row r="40" spans="1:22" s="45" customFormat="1" ht="14.1" customHeight="1" x14ac:dyDescent="0.1">
      <c r="A40" s="70"/>
      <c r="B40" s="39"/>
      <c r="C40" s="39"/>
      <c r="D40" s="39"/>
      <c r="E40" s="39"/>
      <c r="F40" s="39"/>
      <c r="K40" s="49"/>
      <c r="M40" s="46"/>
      <c r="N40" s="40"/>
      <c r="O40" s="47"/>
      <c r="P40" s="40"/>
      <c r="Q40" s="40"/>
      <c r="R40" s="39"/>
      <c r="S40" s="39"/>
      <c r="T40" s="39"/>
      <c r="U40" s="39"/>
      <c r="V40" s="39"/>
    </row>
    <row r="41" spans="1:22" s="45" customFormat="1" ht="14.1" customHeight="1" x14ac:dyDescent="0.1">
      <c r="A41" s="70"/>
      <c r="B41" s="39"/>
      <c r="C41" s="39"/>
      <c r="D41" s="39"/>
      <c r="E41" s="39"/>
      <c r="F41" s="39"/>
      <c r="K41" s="49"/>
      <c r="M41" s="46"/>
      <c r="N41" s="40"/>
      <c r="O41" s="47"/>
      <c r="P41" s="40"/>
      <c r="Q41" s="40"/>
      <c r="R41" s="39"/>
      <c r="S41" s="39"/>
      <c r="T41" s="39"/>
      <c r="U41" s="39"/>
      <c r="V41" s="39"/>
    </row>
    <row r="42" spans="1:22" s="45" customFormat="1" ht="14.1" customHeight="1" x14ac:dyDescent="0.1">
      <c r="A42" s="70"/>
      <c r="B42" s="39"/>
      <c r="C42" s="39"/>
      <c r="D42" s="39"/>
      <c r="E42" s="39"/>
      <c r="F42" s="39"/>
      <c r="K42" s="49"/>
      <c r="M42" s="46"/>
      <c r="N42" s="40"/>
      <c r="O42" s="47"/>
      <c r="P42" s="40"/>
      <c r="Q42" s="40"/>
      <c r="R42" s="39"/>
      <c r="S42" s="39"/>
      <c r="T42" s="39"/>
      <c r="U42" s="39"/>
      <c r="V42" s="39"/>
    </row>
    <row r="43" spans="1:22" s="45" customFormat="1" ht="14.1" customHeight="1" x14ac:dyDescent="0.1">
      <c r="A43" s="70"/>
      <c r="B43" s="39"/>
      <c r="C43" s="39"/>
      <c r="D43" s="39"/>
      <c r="E43" s="39"/>
      <c r="F43" s="39"/>
      <c r="K43" s="49"/>
      <c r="M43" s="46"/>
      <c r="N43" s="40"/>
      <c r="O43" s="47"/>
      <c r="P43" s="40"/>
      <c r="Q43" s="40"/>
      <c r="R43" s="39"/>
      <c r="S43" s="39"/>
      <c r="T43" s="39"/>
      <c r="U43" s="39"/>
      <c r="V43" s="39"/>
    </row>
    <row r="44" spans="1:22" s="45" customFormat="1" ht="14.1" customHeight="1" x14ac:dyDescent="0.1">
      <c r="A44" s="48"/>
      <c r="B44" s="39"/>
      <c r="C44" s="39"/>
      <c r="D44" s="39"/>
      <c r="E44" s="39"/>
      <c r="F44" s="39"/>
      <c r="K44" s="49"/>
      <c r="M44" s="46"/>
      <c r="N44" s="40"/>
      <c r="O44" s="47"/>
      <c r="P44" s="40"/>
      <c r="Q44" s="40"/>
      <c r="R44" s="39"/>
      <c r="S44" s="39"/>
      <c r="T44" s="39"/>
      <c r="U44" s="39"/>
      <c r="V44" s="39"/>
    </row>
    <row r="45" spans="1:22" s="45" customFormat="1" ht="14.1" customHeight="1" x14ac:dyDescent="0.1">
      <c r="A45" s="102"/>
      <c r="B45" s="39"/>
      <c r="C45" s="39"/>
      <c r="D45" s="39"/>
      <c r="E45" s="39"/>
      <c r="F45" s="39"/>
      <c r="K45" s="49"/>
      <c r="M45" s="46"/>
      <c r="N45" s="40"/>
      <c r="O45" s="47"/>
      <c r="P45" s="40"/>
      <c r="Q45" s="40"/>
      <c r="R45" s="39"/>
      <c r="S45" s="39"/>
      <c r="T45" s="39"/>
      <c r="U45" s="39"/>
      <c r="V45" s="39"/>
    </row>
    <row r="46" spans="1:22" s="45" customFormat="1" ht="14.1" customHeight="1" x14ac:dyDescent="0.1">
      <c r="A46" s="48"/>
      <c r="B46" s="39"/>
      <c r="C46" s="39"/>
      <c r="D46" s="39"/>
      <c r="E46" s="39"/>
      <c r="F46" s="39"/>
      <c r="K46" s="49"/>
      <c r="M46" s="46"/>
      <c r="N46" s="40"/>
      <c r="O46" s="47"/>
      <c r="P46" s="40"/>
      <c r="Q46" s="40"/>
      <c r="R46" s="39"/>
      <c r="S46" s="39"/>
      <c r="T46" s="39"/>
      <c r="U46" s="39"/>
      <c r="V46" s="39"/>
    </row>
    <row r="47" spans="1:22" s="45" customFormat="1" ht="14.1" customHeight="1" x14ac:dyDescent="0.1">
      <c r="A47" s="48"/>
      <c r="B47" s="103"/>
      <c r="C47" s="39"/>
      <c r="D47" s="39"/>
      <c r="E47" s="39"/>
      <c r="F47" s="39"/>
      <c r="G47" s="40" t="s">
        <v>28</v>
      </c>
      <c r="H47" s="83"/>
      <c r="I47" s="83"/>
      <c r="J47" s="83"/>
      <c r="K47" s="49"/>
      <c r="M47" s="46"/>
      <c r="N47" s="40"/>
      <c r="O47" s="47"/>
      <c r="P47" s="40"/>
      <c r="Q47" s="40"/>
      <c r="R47" s="39"/>
      <c r="S47" s="39"/>
      <c r="T47" s="39"/>
      <c r="U47" s="39"/>
      <c r="V47" s="39"/>
    </row>
    <row r="48" spans="1:22" s="45" customFormat="1" ht="35.450000000000003" customHeight="1" thickBot="1" x14ac:dyDescent="0.15">
      <c r="A48" s="104"/>
      <c r="B48" s="105"/>
      <c r="C48" s="106"/>
      <c r="D48" s="106"/>
      <c r="E48" s="106"/>
      <c r="F48" s="106"/>
      <c r="G48" s="107"/>
      <c r="H48" s="267" t="s">
        <v>221</v>
      </c>
      <c r="I48" s="268"/>
      <c r="J48" s="268"/>
      <c r="K48" s="108"/>
      <c r="M48" s="46"/>
      <c r="N48" s="40"/>
      <c r="O48" s="47"/>
      <c r="P48" s="40"/>
      <c r="Q48" s="40"/>
      <c r="R48" s="39"/>
      <c r="S48" s="39"/>
      <c r="T48" s="39"/>
      <c r="U48" s="39"/>
      <c r="V48" s="39"/>
    </row>
  </sheetData>
  <mergeCells count="23">
    <mergeCell ref="B27:F27"/>
    <mergeCell ref="B30:F30"/>
    <mergeCell ref="H48:J48"/>
    <mergeCell ref="B3:F3"/>
    <mergeCell ref="H3:K3"/>
    <mergeCell ref="H13:K13"/>
    <mergeCell ref="A4:K4"/>
    <mergeCell ref="G9:K9"/>
    <mergeCell ref="G10:K12"/>
    <mergeCell ref="B10:F12"/>
    <mergeCell ref="B6:F8"/>
    <mergeCell ref="G39:H39"/>
    <mergeCell ref="H14:K14"/>
    <mergeCell ref="H15:K15"/>
    <mergeCell ref="H17:K17"/>
    <mergeCell ref="D18:F18"/>
    <mergeCell ref="B14:F16"/>
    <mergeCell ref="H16:K16"/>
    <mergeCell ref="D22:F22"/>
    <mergeCell ref="B25:F25"/>
    <mergeCell ref="A26:F26"/>
    <mergeCell ref="H18:K18"/>
    <mergeCell ref="H19:K19"/>
  </mergeCells>
  <phoneticPr fontId="22" type="noConversion"/>
  <printOptions horizontalCentered="1"/>
  <pageMargins left="0.70866141732283505" right="0.52" top="0.59" bottom="0.74803149606299202" header="0.31496062992126" footer="0.31496062992126"/>
  <pageSetup paperSize="9" scale="63" fitToHeight="0" orientation="portrait"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sheetPr>
  <dimension ref="B1:U66"/>
  <sheetViews>
    <sheetView showGridLines="0" view="pageBreakPreview" zoomScale="50" zoomScaleNormal="100" zoomScaleSheetLayoutView="50" zoomScalePageLayoutView="70" workbookViewId="0">
      <pane xSplit="4" ySplit="14" topLeftCell="E50" activePane="bottomRight" state="frozen"/>
      <selection pane="bottomLeft" activeCell="A14" sqref="A14"/>
      <selection pane="topRight" activeCell="E1" sqref="E1"/>
      <selection pane="bottomRight" activeCell="R62" sqref="R62:R65"/>
    </sheetView>
  </sheetViews>
  <sheetFormatPr defaultColWidth="8.65234375" defaultRowHeight="18" customHeight="1" x14ac:dyDescent="0.1"/>
  <cols>
    <col min="1" max="1" width="1.05078125" style="115" customWidth="1"/>
    <col min="2" max="2" width="6.4296875" style="126" customWidth="1"/>
    <col min="3" max="3" width="22.3359375" style="139" customWidth="1"/>
    <col min="4" max="4" width="54.26171875" style="2" customWidth="1"/>
    <col min="5" max="5" width="16.60546875" style="2" customWidth="1"/>
    <col min="6" max="6" width="23.26953125" style="2" hidden="1" customWidth="1"/>
    <col min="7" max="7" width="10.40625" style="113" customWidth="1"/>
    <col min="8" max="8" width="10.875" style="140" customWidth="1"/>
    <col min="9" max="9" width="9.9375" style="113" customWidth="1"/>
    <col min="10" max="10" width="8.30078125" style="113" customWidth="1"/>
    <col min="11" max="12" width="7.3671875" style="113" customWidth="1"/>
    <col min="13" max="13" width="10.5234375" style="113" customWidth="1"/>
    <col min="14" max="14" width="12.39453125" style="113" customWidth="1"/>
    <col min="15" max="16" width="11.2265625" style="113" bestFit="1" customWidth="1"/>
    <col min="17" max="17" width="14.3828125" style="113" customWidth="1"/>
    <col min="18" max="18" width="14.6171875" style="126" customWidth="1"/>
    <col min="19" max="19" width="10.9921875" style="3" customWidth="1"/>
    <col min="20" max="20" width="7.25" style="115" customWidth="1"/>
    <col min="21" max="16384" width="8.65234375" style="115"/>
  </cols>
  <sheetData>
    <row r="1" spans="2:21" ht="9" customHeight="1" x14ac:dyDescent="0.1">
      <c r="B1" s="200"/>
      <c r="C1" s="113"/>
      <c r="D1" s="113"/>
      <c r="E1" s="113"/>
      <c r="F1" s="113"/>
      <c r="H1" s="113"/>
      <c r="I1" s="114"/>
      <c r="J1" s="114"/>
      <c r="K1" s="114"/>
      <c r="L1" s="145"/>
      <c r="M1" s="1"/>
      <c r="N1" s="200"/>
      <c r="O1" s="200"/>
      <c r="P1" s="200"/>
      <c r="Q1" s="200"/>
      <c r="R1" s="200"/>
      <c r="S1" s="200"/>
      <c r="T1" s="200"/>
      <c r="U1" s="200"/>
    </row>
    <row r="2" spans="2:21" ht="4.5" customHeight="1" x14ac:dyDescent="0.1">
      <c r="B2" s="112"/>
      <c r="C2" s="113"/>
      <c r="D2" s="113"/>
      <c r="E2" s="113"/>
      <c r="F2" s="113"/>
      <c r="H2" s="113"/>
      <c r="I2" s="114"/>
      <c r="J2" s="114"/>
      <c r="K2" s="114"/>
      <c r="L2" s="145"/>
      <c r="M2" s="1"/>
      <c r="N2" s="112"/>
      <c r="O2" s="112"/>
      <c r="P2" s="112"/>
      <c r="Q2" s="112"/>
      <c r="R2" s="112"/>
      <c r="S2" s="112"/>
      <c r="T2" s="112"/>
      <c r="U2" s="112"/>
    </row>
    <row r="3" spans="2:21" ht="27" customHeight="1" thickBot="1" x14ac:dyDescent="0.15">
      <c r="B3" s="112"/>
      <c r="C3" s="226" t="s">
        <v>158</v>
      </c>
      <c r="D3" s="226"/>
      <c r="E3" s="226"/>
      <c r="F3" s="226"/>
      <c r="G3" s="226"/>
      <c r="H3" s="226"/>
      <c r="I3" s="226"/>
      <c r="J3" s="226"/>
      <c r="K3" s="114"/>
      <c r="L3" s="145"/>
      <c r="M3" s="1"/>
      <c r="N3" s="201"/>
      <c r="O3" s="112"/>
      <c r="P3" s="112"/>
      <c r="Q3" s="112"/>
      <c r="R3" s="112"/>
      <c r="S3" s="112"/>
      <c r="T3" s="112"/>
      <c r="U3" s="112"/>
    </row>
    <row r="4" spans="2:21" ht="39.75" customHeight="1" thickTop="1" thickBot="1" x14ac:dyDescent="0.15">
      <c r="B4" s="233" t="s">
        <v>46</v>
      </c>
      <c r="C4" s="234"/>
      <c r="D4" s="234"/>
      <c r="E4" s="234"/>
      <c r="F4" s="234"/>
      <c r="G4" s="234"/>
      <c r="H4" s="234"/>
      <c r="I4" s="234"/>
      <c r="J4" s="234"/>
      <c r="K4" s="234"/>
      <c r="L4" s="234"/>
      <c r="M4" s="234"/>
      <c r="N4" s="234"/>
      <c r="O4" s="234"/>
      <c r="P4" s="234"/>
      <c r="Q4" s="234"/>
      <c r="R4" s="234"/>
      <c r="S4" s="235"/>
    </row>
    <row r="5" spans="2:21" s="113" customFormat="1" ht="22.5" customHeight="1" thickTop="1" x14ac:dyDescent="0.1">
      <c r="B5" s="116"/>
      <c r="C5" s="117" t="s">
        <v>47</v>
      </c>
      <c r="D5" s="118" t="str">
        <f>'Packing List (1_2)'!H5</f>
        <v>OM4-P2-LS-0002</v>
      </c>
      <c r="E5" s="118"/>
      <c r="F5" s="118"/>
      <c r="G5" s="116"/>
      <c r="H5" s="116"/>
      <c r="I5" s="116"/>
      <c r="J5" s="116"/>
      <c r="K5" s="116"/>
      <c r="L5" s="116"/>
      <c r="M5" s="116"/>
      <c r="N5" s="116"/>
      <c r="O5" s="116"/>
      <c r="P5" s="116"/>
      <c r="Q5" s="116"/>
      <c r="R5" s="119"/>
      <c r="S5" s="116"/>
    </row>
    <row r="6" spans="2:21" s="113" customFormat="1" ht="22.5" customHeight="1" x14ac:dyDescent="0.1">
      <c r="B6" s="116"/>
      <c r="C6" s="117" t="s">
        <v>48</v>
      </c>
      <c r="D6" s="120" t="str">
        <f>'Packing List (1_2)'!H6</f>
        <v>June 10th, 2026</v>
      </c>
      <c r="E6" s="120"/>
      <c r="F6" s="120"/>
      <c r="G6" s="116"/>
      <c r="H6" s="116"/>
      <c r="I6" s="121" t="s">
        <v>49</v>
      </c>
      <c r="J6" s="116"/>
      <c r="K6" s="116"/>
      <c r="L6" s="116"/>
      <c r="M6" s="116"/>
      <c r="N6" s="121" t="s">
        <v>50</v>
      </c>
      <c r="O6" s="116"/>
      <c r="P6" s="116"/>
      <c r="Q6" s="116"/>
      <c r="R6" s="116"/>
      <c r="S6" s="116"/>
    </row>
    <row r="7" spans="2:21" s="113" customFormat="1" ht="22.5" customHeight="1" x14ac:dyDescent="0.1">
      <c r="B7" s="116"/>
      <c r="C7" s="117" t="s">
        <v>51</v>
      </c>
      <c r="D7" s="122" t="s">
        <v>5</v>
      </c>
      <c r="E7" s="122"/>
      <c r="F7" s="122"/>
      <c r="G7" s="116"/>
      <c r="H7" s="116"/>
      <c r="I7" s="184" t="s">
        <v>52</v>
      </c>
      <c r="J7" s="121" t="s">
        <v>53</v>
      </c>
      <c r="K7" s="116"/>
      <c r="L7" s="116"/>
      <c r="M7" s="116"/>
      <c r="N7" s="123"/>
      <c r="O7" s="124" t="s">
        <v>54</v>
      </c>
      <c r="P7" s="124" t="s">
        <v>55</v>
      </c>
      <c r="Q7" s="124" t="s">
        <v>56</v>
      </c>
      <c r="R7" s="124" t="s">
        <v>57</v>
      </c>
      <c r="S7" s="116"/>
    </row>
    <row r="8" spans="2:21" s="113" customFormat="1" ht="17.25" customHeight="1" x14ac:dyDescent="0.1">
      <c r="B8" s="116"/>
      <c r="C8" s="125"/>
      <c r="D8" s="117"/>
      <c r="E8" s="117"/>
      <c r="F8" s="117"/>
      <c r="G8" s="116"/>
      <c r="H8" s="116"/>
      <c r="I8" s="184" t="s">
        <v>58</v>
      </c>
      <c r="J8" s="121" t="s">
        <v>59</v>
      </c>
      <c r="K8" s="116"/>
      <c r="L8" s="116"/>
      <c r="M8" s="116"/>
      <c r="N8" s="124" t="s">
        <v>60</v>
      </c>
      <c r="O8" s="124" t="s">
        <v>61</v>
      </c>
      <c r="P8" s="124" t="s">
        <v>62</v>
      </c>
      <c r="Q8" s="124" t="s">
        <v>63</v>
      </c>
      <c r="R8" s="124" t="s">
        <v>64</v>
      </c>
      <c r="S8" s="116"/>
    </row>
    <row r="9" spans="2:21" s="113" customFormat="1" ht="17.25" customHeight="1" x14ac:dyDescent="0.1">
      <c r="B9" s="116"/>
      <c r="C9" s="117"/>
      <c r="D9" s="117"/>
      <c r="E9" s="117"/>
      <c r="F9" s="117"/>
      <c r="G9" s="116"/>
      <c r="H9" s="116"/>
      <c r="I9" s="184" t="s">
        <v>65</v>
      </c>
      <c r="J9" s="121" t="s">
        <v>66</v>
      </c>
      <c r="K9" s="116"/>
      <c r="L9" s="116"/>
      <c r="M9" s="116"/>
      <c r="N9" s="124" t="s">
        <v>67</v>
      </c>
      <c r="O9" s="124" t="s">
        <v>68</v>
      </c>
      <c r="P9" s="124" t="s">
        <v>69</v>
      </c>
      <c r="Q9" s="124" t="s">
        <v>70</v>
      </c>
      <c r="R9" s="124" t="s">
        <v>71</v>
      </c>
      <c r="S9" s="116"/>
    </row>
    <row r="10" spans="2:21" s="113" customFormat="1" ht="17.25" customHeight="1" x14ac:dyDescent="0.1">
      <c r="B10" s="116"/>
      <c r="C10" s="125"/>
      <c r="D10" s="117"/>
      <c r="E10" s="117"/>
      <c r="F10" s="117"/>
      <c r="G10" s="116"/>
      <c r="H10" s="116"/>
      <c r="I10" s="184" t="s">
        <v>72</v>
      </c>
      <c r="J10" s="121" t="s">
        <v>73</v>
      </c>
      <c r="K10" s="116"/>
      <c r="L10" s="116"/>
      <c r="M10" s="116"/>
      <c r="N10" s="124" t="s">
        <v>74</v>
      </c>
      <c r="O10" s="124" t="s">
        <v>75</v>
      </c>
      <c r="P10" s="124" t="s">
        <v>76</v>
      </c>
      <c r="Q10" s="124" t="s">
        <v>77</v>
      </c>
      <c r="R10" s="124" t="s">
        <v>78</v>
      </c>
      <c r="S10" s="116"/>
    </row>
    <row r="11" spans="2:21" s="113" customFormat="1" ht="17.25" customHeight="1" x14ac:dyDescent="0.1">
      <c r="B11" s="116"/>
      <c r="C11" s="125"/>
      <c r="D11" s="117"/>
      <c r="E11" s="117"/>
      <c r="F11" s="117"/>
      <c r="G11" s="116"/>
      <c r="H11" s="116"/>
      <c r="I11" s="184" t="s">
        <v>79</v>
      </c>
      <c r="J11" s="121" t="s">
        <v>80</v>
      </c>
      <c r="K11" s="116"/>
      <c r="L11" s="116"/>
      <c r="M11" s="116"/>
      <c r="N11" s="116"/>
      <c r="O11" s="116"/>
      <c r="P11" s="116"/>
      <c r="Q11" s="116"/>
      <c r="R11" s="116"/>
      <c r="S11" s="116"/>
    </row>
    <row r="12" spans="2:21" s="113" customFormat="1" ht="17.25" customHeight="1" x14ac:dyDescent="0.1">
      <c r="B12" s="126"/>
      <c r="C12" s="127"/>
      <c r="D12" s="126"/>
      <c r="E12" s="126"/>
      <c r="F12" s="126"/>
      <c r="G12" s="126"/>
      <c r="H12" s="126"/>
      <c r="K12" s="126"/>
      <c r="L12" s="126"/>
      <c r="M12" s="126"/>
      <c r="N12" s="126"/>
      <c r="O12" s="126"/>
      <c r="P12" s="126"/>
      <c r="Q12" s="126"/>
      <c r="R12" s="126"/>
      <c r="S12" s="126"/>
    </row>
    <row r="13" spans="2:21" s="128" customFormat="1" ht="51.75" customHeight="1" x14ac:dyDescent="0.1">
      <c r="B13" s="224" t="s">
        <v>29</v>
      </c>
      <c r="C13" s="236" t="s">
        <v>30</v>
      </c>
      <c r="D13" s="238" t="s">
        <v>81</v>
      </c>
      <c r="E13" s="224" t="s">
        <v>240</v>
      </c>
      <c r="F13" s="224" t="s">
        <v>220</v>
      </c>
      <c r="G13" s="227" t="s">
        <v>83</v>
      </c>
      <c r="H13" s="229"/>
      <c r="I13" s="224" t="s">
        <v>84</v>
      </c>
      <c r="J13" s="227" t="s">
        <v>152</v>
      </c>
      <c r="K13" s="228"/>
      <c r="L13" s="228"/>
      <c r="M13" s="229"/>
      <c r="N13" s="224" t="s">
        <v>85</v>
      </c>
      <c r="O13" s="224" t="s">
        <v>86</v>
      </c>
      <c r="P13" s="224" t="s">
        <v>87</v>
      </c>
      <c r="Q13" s="224" t="s">
        <v>88</v>
      </c>
      <c r="R13" s="242" t="s">
        <v>154</v>
      </c>
      <c r="S13" s="224" t="s">
        <v>89</v>
      </c>
    </row>
    <row r="14" spans="2:21" s="128" customFormat="1" ht="51.75" customHeight="1" x14ac:dyDescent="0.15">
      <c r="B14" s="225"/>
      <c r="C14" s="237"/>
      <c r="D14" s="239"/>
      <c r="E14" s="225"/>
      <c r="F14" s="225"/>
      <c r="G14" s="131" t="s">
        <v>90</v>
      </c>
      <c r="H14" s="131" t="s">
        <v>91</v>
      </c>
      <c r="I14" s="225"/>
      <c r="J14" s="132" t="s">
        <v>92</v>
      </c>
      <c r="K14" s="132" t="s">
        <v>93</v>
      </c>
      <c r="L14" s="132" t="s">
        <v>94</v>
      </c>
      <c r="M14" s="132" t="s">
        <v>95</v>
      </c>
      <c r="N14" s="225"/>
      <c r="O14" s="225"/>
      <c r="P14" s="225"/>
      <c r="Q14" s="225"/>
      <c r="R14" s="243"/>
      <c r="S14" s="225"/>
    </row>
    <row r="15" spans="2:21" s="113" customFormat="1" ht="48.75" customHeight="1" x14ac:dyDescent="0.15">
      <c r="B15" s="124">
        <v>1</v>
      </c>
      <c r="C15" s="124" t="s">
        <v>174</v>
      </c>
      <c r="D15" s="137" t="s">
        <v>31</v>
      </c>
      <c r="E15" s="41" t="s">
        <v>153</v>
      </c>
      <c r="F15" s="208" t="s">
        <v>153</v>
      </c>
      <c r="G15" s="38">
        <f>'Detailed PL'!H15</f>
        <v>1000</v>
      </c>
      <c r="H15" s="133" t="s">
        <v>32</v>
      </c>
      <c r="I15" s="134" t="s">
        <v>96</v>
      </c>
      <c r="J15" s="124">
        <f>'Detailed PL'!L15</f>
        <v>1300</v>
      </c>
      <c r="K15" s="124">
        <f>'Detailed PL'!M15</f>
        <v>800</v>
      </c>
      <c r="L15" s="124">
        <f>'Detailed PL'!N15</f>
        <v>800</v>
      </c>
      <c r="M15" s="213">
        <f t="shared" ref="M15:M23" si="0">ROUND(J15*K15*L15/1000000000,2)</f>
        <v>0.83</v>
      </c>
      <c r="N15" s="214">
        <f>'Detailed PL'!P15</f>
        <v>2257</v>
      </c>
      <c r="O15" s="176">
        <f>'Detailed PL'!Q15</f>
        <v>2340</v>
      </c>
      <c r="P15" s="133" t="s">
        <v>13</v>
      </c>
      <c r="Q15" s="133" t="s">
        <v>97</v>
      </c>
      <c r="R15" s="135" t="s">
        <v>98</v>
      </c>
      <c r="S15" s="209"/>
    </row>
    <row r="16" spans="2:21" s="113" customFormat="1" ht="48.75" customHeight="1" x14ac:dyDescent="0.15">
      <c r="B16" s="124">
        <v>2</v>
      </c>
      <c r="C16" s="124" t="s">
        <v>175</v>
      </c>
      <c r="D16" s="137" t="s">
        <v>31</v>
      </c>
      <c r="E16" s="41" t="s">
        <v>153</v>
      </c>
      <c r="F16" s="208" t="s">
        <v>153</v>
      </c>
      <c r="G16" s="41">
        <f>'Detailed PL'!H16</f>
        <v>1000</v>
      </c>
      <c r="H16" s="133" t="s">
        <v>32</v>
      </c>
      <c r="I16" s="134" t="s">
        <v>96</v>
      </c>
      <c r="J16" s="124">
        <f>'Detailed PL'!L16</f>
        <v>1300</v>
      </c>
      <c r="K16" s="124">
        <f>'Detailed PL'!M16</f>
        <v>800</v>
      </c>
      <c r="L16" s="124">
        <f>'Detailed PL'!N16</f>
        <v>800</v>
      </c>
      <c r="M16" s="213">
        <f t="shared" si="0"/>
        <v>0.83</v>
      </c>
      <c r="N16" s="214">
        <f>'Detailed PL'!P16</f>
        <v>2257</v>
      </c>
      <c r="O16" s="176">
        <f>'Detailed PL'!Q16</f>
        <v>2340</v>
      </c>
      <c r="P16" s="133" t="s">
        <v>13</v>
      </c>
      <c r="Q16" s="133" t="s">
        <v>97</v>
      </c>
      <c r="R16" s="135" t="s">
        <v>98</v>
      </c>
      <c r="S16" s="133"/>
    </row>
    <row r="17" spans="2:19" s="113" customFormat="1" ht="48.75" customHeight="1" x14ac:dyDescent="0.15">
      <c r="B17" s="124">
        <v>3</v>
      </c>
      <c r="C17" s="124" t="s">
        <v>176</v>
      </c>
      <c r="D17" s="137" t="s">
        <v>31</v>
      </c>
      <c r="E17" s="41" t="s">
        <v>153</v>
      </c>
      <c r="F17" s="208" t="s">
        <v>153</v>
      </c>
      <c r="G17" s="41">
        <f>'Detailed PL'!H17</f>
        <v>1000</v>
      </c>
      <c r="H17" s="133" t="s">
        <v>32</v>
      </c>
      <c r="I17" s="134" t="s">
        <v>96</v>
      </c>
      <c r="J17" s="124">
        <f>'Detailed PL'!L17</f>
        <v>1300</v>
      </c>
      <c r="K17" s="124">
        <f>'Detailed PL'!M17</f>
        <v>800</v>
      </c>
      <c r="L17" s="124">
        <f>'Detailed PL'!N17</f>
        <v>800</v>
      </c>
      <c r="M17" s="213">
        <f t="shared" si="0"/>
        <v>0.83</v>
      </c>
      <c r="N17" s="214">
        <f>'Detailed PL'!P17</f>
        <v>2257</v>
      </c>
      <c r="O17" s="176">
        <f>'Detailed PL'!Q17</f>
        <v>2340</v>
      </c>
      <c r="P17" s="133" t="s">
        <v>13</v>
      </c>
      <c r="Q17" s="133" t="s">
        <v>97</v>
      </c>
      <c r="R17" s="135" t="s">
        <v>98</v>
      </c>
      <c r="S17" s="133"/>
    </row>
    <row r="18" spans="2:19" s="113" customFormat="1" ht="48.75" customHeight="1" x14ac:dyDescent="0.15">
      <c r="B18" s="124">
        <v>4</v>
      </c>
      <c r="C18" s="124" t="s">
        <v>177</v>
      </c>
      <c r="D18" s="137" t="s">
        <v>31</v>
      </c>
      <c r="E18" s="41" t="s">
        <v>153</v>
      </c>
      <c r="F18" s="208" t="s">
        <v>153</v>
      </c>
      <c r="G18" s="41">
        <f>'Detailed PL'!H18</f>
        <v>1000</v>
      </c>
      <c r="H18" s="133" t="s">
        <v>32</v>
      </c>
      <c r="I18" s="134" t="s">
        <v>96</v>
      </c>
      <c r="J18" s="124">
        <f>'Detailed PL'!L18</f>
        <v>1300</v>
      </c>
      <c r="K18" s="124">
        <f>'Detailed PL'!M18</f>
        <v>800</v>
      </c>
      <c r="L18" s="124">
        <f>'Detailed PL'!N18</f>
        <v>800</v>
      </c>
      <c r="M18" s="213">
        <f t="shared" si="0"/>
        <v>0.83</v>
      </c>
      <c r="N18" s="214">
        <f>'Detailed PL'!P18</f>
        <v>2257</v>
      </c>
      <c r="O18" s="176">
        <f>'Detailed PL'!Q18</f>
        <v>2340</v>
      </c>
      <c r="P18" s="133" t="s">
        <v>13</v>
      </c>
      <c r="Q18" s="133" t="s">
        <v>97</v>
      </c>
      <c r="R18" s="135" t="s">
        <v>98</v>
      </c>
      <c r="S18" s="133"/>
    </row>
    <row r="19" spans="2:19" s="113" customFormat="1" ht="48.75" customHeight="1" x14ac:dyDescent="0.15">
      <c r="B19" s="124">
        <v>5</v>
      </c>
      <c r="C19" s="124" t="s">
        <v>178</v>
      </c>
      <c r="D19" s="137" t="s">
        <v>31</v>
      </c>
      <c r="E19" s="41" t="s">
        <v>153</v>
      </c>
      <c r="F19" s="208" t="s">
        <v>153</v>
      </c>
      <c r="G19" s="41">
        <f>'Detailed PL'!H19</f>
        <v>1300</v>
      </c>
      <c r="H19" s="133" t="s">
        <v>32</v>
      </c>
      <c r="I19" s="134" t="s">
        <v>96</v>
      </c>
      <c r="J19" s="124">
        <f>'Detailed PL'!L19</f>
        <v>1300</v>
      </c>
      <c r="K19" s="124">
        <f>'Detailed PL'!M19</f>
        <v>800</v>
      </c>
      <c r="L19" s="124">
        <f>'Detailed PL'!N19</f>
        <v>800</v>
      </c>
      <c r="M19" s="213">
        <f t="shared" si="0"/>
        <v>0.83</v>
      </c>
      <c r="N19" s="214">
        <f>'Detailed PL'!P19</f>
        <v>2817</v>
      </c>
      <c r="O19" s="176">
        <f>'Detailed PL'!Q19</f>
        <v>2900</v>
      </c>
      <c r="P19" s="133" t="s">
        <v>13</v>
      </c>
      <c r="Q19" s="133" t="s">
        <v>97</v>
      </c>
      <c r="R19" s="135" t="s">
        <v>98</v>
      </c>
      <c r="S19" s="133"/>
    </row>
    <row r="20" spans="2:19" s="113" customFormat="1" ht="48.75" customHeight="1" x14ac:dyDescent="0.15">
      <c r="B20" s="124">
        <v>6</v>
      </c>
      <c r="C20" s="124" t="s">
        <v>179</v>
      </c>
      <c r="D20" s="137" t="s">
        <v>33</v>
      </c>
      <c r="E20" s="41" t="s">
        <v>153</v>
      </c>
      <c r="F20" s="208" t="s">
        <v>153</v>
      </c>
      <c r="G20" s="41">
        <f>'Detailed PL'!H20</f>
        <v>500</v>
      </c>
      <c r="H20" s="133" t="s">
        <v>32</v>
      </c>
      <c r="I20" s="134" t="s">
        <v>96</v>
      </c>
      <c r="J20" s="124">
        <f>'Detailed PL'!L20</f>
        <v>1200</v>
      </c>
      <c r="K20" s="124">
        <f>'Detailed PL'!M20</f>
        <v>800</v>
      </c>
      <c r="L20" s="124">
        <f>'Detailed PL'!N20</f>
        <v>800</v>
      </c>
      <c r="M20" s="213">
        <f t="shared" si="0"/>
        <v>0.77</v>
      </c>
      <c r="N20" s="214">
        <f>'Detailed PL'!P20</f>
        <v>1220</v>
      </c>
      <c r="O20" s="176">
        <f>'Detailed PL'!Q20</f>
        <v>1290</v>
      </c>
      <c r="P20" s="133" t="s">
        <v>13</v>
      </c>
      <c r="Q20" s="133" t="s">
        <v>97</v>
      </c>
      <c r="R20" s="135" t="s">
        <v>99</v>
      </c>
      <c r="S20" s="133"/>
    </row>
    <row r="21" spans="2:19" s="113" customFormat="1" ht="48.75" customHeight="1" x14ac:dyDescent="0.15">
      <c r="B21" s="124">
        <v>7</v>
      </c>
      <c r="C21" s="124" t="s">
        <v>180</v>
      </c>
      <c r="D21" s="137" t="s">
        <v>34</v>
      </c>
      <c r="E21" s="41" t="s">
        <v>153</v>
      </c>
      <c r="F21" s="41" t="s">
        <v>163</v>
      </c>
      <c r="G21" s="41">
        <f>'Detailed PL'!H21</f>
        <v>500</v>
      </c>
      <c r="H21" s="133" t="s">
        <v>32</v>
      </c>
      <c r="I21" s="134" t="s">
        <v>96</v>
      </c>
      <c r="J21" s="124">
        <f>'Detailed PL'!L21</f>
        <v>1200</v>
      </c>
      <c r="K21" s="124">
        <f>'Detailed PL'!M21</f>
        <v>800</v>
      </c>
      <c r="L21" s="124">
        <f>'Detailed PL'!N21</f>
        <v>800</v>
      </c>
      <c r="M21" s="213">
        <f t="shared" si="0"/>
        <v>0.77</v>
      </c>
      <c r="N21" s="214">
        <f>'Detailed PL'!P21</f>
        <v>733</v>
      </c>
      <c r="O21" s="176">
        <f>'Detailed PL'!Q21</f>
        <v>820</v>
      </c>
      <c r="P21" s="133" t="s">
        <v>13</v>
      </c>
      <c r="Q21" s="133" t="s">
        <v>97</v>
      </c>
      <c r="R21" s="133" t="s">
        <v>100</v>
      </c>
      <c r="S21" s="133"/>
    </row>
    <row r="22" spans="2:19" s="113" customFormat="1" ht="41.25" customHeight="1" x14ac:dyDescent="0.15">
      <c r="B22" s="124">
        <v>8</v>
      </c>
      <c r="C22" s="124" t="s">
        <v>181</v>
      </c>
      <c r="D22" s="137" t="s">
        <v>35</v>
      </c>
      <c r="E22" s="41" t="s">
        <v>153</v>
      </c>
      <c r="F22" s="41" t="s">
        <v>164</v>
      </c>
      <c r="G22" s="41">
        <f>'Detailed PL'!H22</f>
        <v>500</v>
      </c>
      <c r="H22" s="133" t="s">
        <v>32</v>
      </c>
      <c r="I22" s="134" t="s">
        <v>96</v>
      </c>
      <c r="J22" s="124">
        <f>'Detailed PL'!L22</f>
        <v>1000</v>
      </c>
      <c r="K22" s="124">
        <f>'Detailed PL'!M22</f>
        <v>700</v>
      </c>
      <c r="L22" s="124">
        <f>'Detailed PL'!N22</f>
        <v>700</v>
      </c>
      <c r="M22" s="213">
        <f t="shared" si="0"/>
        <v>0.49</v>
      </c>
      <c r="N22" s="214">
        <f>'Detailed PL'!P22</f>
        <v>493</v>
      </c>
      <c r="O22" s="176">
        <f>'Detailed PL'!Q22</f>
        <v>580</v>
      </c>
      <c r="P22" s="133" t="s">
        <v>13</v>
      </c>
      <c r="Q22" s="133" t="s">
        <v>97</v>
      </c>
      <c r="R22" s="133" t="s">
        <v>101</v>
      </c>
      <c r="S22" s="133"/>
    </row>
    <row r="23" spans="2:19" s="210" customFormat="1" ht="50.25" customHeight="1" x14ac:dyDescent="0.15">
      <c r="B23" s="124">
        <v>9</v>
      </c>
      <c r="C23" s="240" t="s">
        <v>182</v>
      </c>
      <c r="D23" s="137" t="s">
        <v>239</v>
      </c>
      <c r="E23" s="41" t="s">
        <v>153</v>
      </c>
      <c r="F23" s="41" t="s">
        <v>165</v>
      </c>
      <c r="G23" s="41">
        <f>'Detailed PL'!H23</f>
        <v>2</v>
      </c>
      <c r="H23" s="133" t="s">
        <v>37</v>
      </c>
      <c r="I23" s="222" t="s">
        <v>105</v>
      </c>
      <c r="J23" s="222">
        <v>500</v>
      </c>
      <c r="K23" s="222">
        <v>500</v>
      </c>
      <c r="L23" s="222">
        <v>500</v>
      </c>
      <c r="M23" s="222">
        <f t="shared" si="0"/>
        <v>0.13</v>
      </c>
      <c r="N23" s="244">
        <f>'Detailed PL'!P23</f>
        <v>80</v>
      </c>
      <c r="O23" s="246">
        <f>'Detailed PL'!Q23</f>
        <v>81</v>
      </c>
      <c r="P23" s="222" t="s">
        <v>13</v>
      </c>
      <c r="Q23" s="133" t="s">
        <v>161</v>
      </c>
      <c r="R23" s="135" t="s">
        <v>223</v>
      </c>
      <c r="S23" s="133"/>
    </row>
    <row r="24" spans="2:19" s="210" customFormat="1" ht="73.5" customHeight="1" x14ac:dyDescent="0.15">
      <c r="B24" s="124">
        <v>10</v>
      </c>
      <c r="C24" s="241"/>
      <c r="D24" s="215" t="s">
        <v>241</v>
      </c>
      <c r="E24" s="41" t="s">
        <v>153</v>
      </c>
      <c r="F24" s="41" t="s">
        <v>165</v>
      </c>
      <c r="G24" s="41">
        <f>'Detailed PL'!H24</f>
        <v>400</v>
      </c>
      <c r="H24" s="133" t="s">
        <v>37</v>
      </c>
      <c r="I24" s="223"/>
      <c r="J24" s="223"/>
      <c r="K24" s="223"/>
      <c r="L24" s="223"/>
      <c r="M24" s="223"/>
      <c r="N24" s="245"/>
      <c r="O24" s="247"/>
      <c r="P24" s="223"/>
      <c r="Q24" s="133" t="s">
        <v>161</v>
      </c>
      <c r="R24" s="135" t="s">
        <v>224</v>
      </c>
      <c r="S24" s="133"/>
    </row>
    <row r="25" spans="2:19" s="113" customFormat="1" ht="48.75" customHeight="1" x14ac:dyDescent="0.15">
      <c r="B25" s="124">
        <v>11</v>
      </c>
      <c r="C25" s="240" t="s">
        <v>183</v>
      </c>
      <c r="D25" s="137" t="s">
        <v>238</v>
      </c>
      <c r="E25" s="41" t="s">
        <v>153</v>
      </c>
      <c r="F25" s="41" t="s">
        <v>166</v>
      </c>
      <c r="G25" s="41">
        <f>'Detailed PL'!H25</f>
        <v>1</v>
      </c>
      <c r="H25" s="133" t="s">
        <v>37</v>
      </c>
      <c r="I25" s="222" t="s">
        <v>105</v>
      </c>
      <c r="J25" s="222">
        <v>500</v>
      </c>
      <c r="K25" s="222">
        <v>500</v>
      </c>
      <c r="L25" s="222">
        <v>500</v>
      </c>
      <c r="M25" s="222">
        <f t="shared" ref="M25" si="1">ROUND(J25*K25*L25/1000000000,2)</f>
        <v>0.13</v>
      </c>
      <c r="N25" s="244">
        <f>'Detailed PL'!P25</f>
        <v>30</v>
      </c>
      <c r="O25" s="246">
        <f>'Detailed PL'!Q25</f>
        <v>31</v>
      </c>
      <c r="P25" s="222" t="s">
        <v>13</v>
      </c>
      <c r="Q25" s="133" t="s">
        <v>161</v>
      </c>
      <c r="R25" s="135" t="s">
        <v>225</v>
      </c>
      <c r="S25" s="133"/>
    </row>
    <row r="26" spans="2:19" s="113" customFormat="1" ht="71.25" customHeight="1" x14ac:dyDescent="0.15">
      <c r="B26" s="124">
        <v>12</v>
      </c>
      <c r="C26" s="241"/>
      <c r="D26" s="215" t="s">
        <v>242</v>
      </c>
      <c r="E26" s="41" t="s">
        <v>153</v>
      </c>
      <c r="F26" s="41" t="s">
        <v>166</v>
      </c>
      <c r="G26" s="41">
        <f>'Detailed PL'!H26</f>
        <v>100</v>
      </c>
      <c r="H26" s="133" t="s">
        <v>37</v>
      </c>
      <c r="I26" s="223"/>
      <c r="J26" s="223"/>
      <c r="K26" s="223"/>
      <c r="L26" s="223"/>
      <c r="M26" s="223"/>
      <c r="N26" s="245"/>
      <c r="O26" s="247"/>
      <c r="P26" s="223"/>
      <c r="Q26" s="133" t="s">
        <v>161</v>
      </c>
      <c r="R26" s="135" t="s">
        <v>226</v>
      </c>
      <c r="S26" s="133"/>
    </row>
    <row r="27" spans="2:19" s="113" customFormat="1" ht="45" customHeight="1" x14ac:dyDescent="0.15">
      <c r="B27" s="124">
        <v>13</v>
      </c>
      <c r="C27" s="240" t="s">
        <v>184</v>
      </c>
      <c r="D27" s="137" t="s">
        <v>237</v>
      </c>
      <c r="E27" s="41" t="s">
        <v>153</v>
      </c>
      <c r="F27" s="41" t="s">
        <v>167</v>
      </c>
      <c r="G27" s="41">
        <f>'Detailed PL'!H27</f>
        <v>1</v>
      </c>
      <c r="H27" s="133" t="s">
        <v>37</v>
      </c>
      <c r="I27" s="222" t="s">
        <v>105</v>
      </c>
      <c r="J27" s="222">
        <v>500</v>
      </c>
      <c r="K27" s="222">
        <v>500</v>
      </c>
      <c r="L27" s="222">
        <v>500</v>
      </c>
      <c r="M27" s="222">
        <f t="shared" ref="M27" si="2">ROUND(J27*K27*L27/1000000000,2)</f>
        <v>0.13</v>
      </c>
      <c r="N27" s="244">
        <f>'Detailed PL'!P27</f>
        <v>25</v>
      </c>
      <c r="O27" s="246">
        <f>'Detailed PL'!Q27</f>
        <v>26</v>
      </c>
      <c r="P27" s="222" t="s">
        <v>13</v>
      </c>
      <c r="Q27" s="133" t="s">
        <v>161</v>
      </c>
      <c r="R27" s="135" t="s">
        <v>227</v>
      </c>
      <c r="S27" s="133"/>
    </row>
    <row r="28" spans="2:19" s="113" customFormat="1" ht="68.25" customHeight="1" x14ac:dyDescent="0.15">
      <c r="B28" s="124">
        <v>14</v>
      </c>
      <c r="C28" s="241"/>
      <c r="D28" s="137" t="s">
        <v>248</v>
      </c>
      <c r="E28" s="41" t="s">
        <v>153</v>
      </c>
      <c r="F28" s="41" t="s">
        <v>167</v>
      </c>
      <c r="G28" s="41">
        <f>'Detailed PL'!H28</f>
        <v>100</v>
      </c>
      <c r="H28" s="133" t="s">
        <v>37</v>
      </c>
      <c r="I28" s="223"/>
      <c r="J28" s="223"/>
      <c r="K28" s="223"/>
      <c r="L28" s="223"/>
      <c r="M28" s="223"/>
      <c r="N28" s="245"/>
      <c r="O28" s="247"/>
      <c r="P28" s="223"/>
      <c r="Q28" s="133" t="s">
        <v>161</v>
      </c>
      <c r="R28" s="135" t="s">
        <v>228</v>
      </c>
      <c r="S28" s="133"/>
    </row>
    <row r="29" spans="2:19" s="113" customFormat="1" ht="48" customHeight="1" x14ac:dyDescent="0.15">
      <c r="B29" s="124">
        <v>15</v>
      </c>
      <c r="C29" s="240" t="s">
        <v>185</v>
      </c>
      <c r="D29" s="137" t="s">
        <v>236</v>
      </c>
      <c r="E29" s="41" t="s">
        <v>153</v>
      </c>
      <c r="F29" s="41" t="s">
        <v>168</v>
      </c>
      <c r="G29" s="41">
        <f>'Detailed PL'!H29</f>
        <v>1</v>
      </c>
      <c r="H29" s="133" t="s">
        <v>37</v>
      </c>
      <c r="I29" s="222" t="s">
        <v>105</v>
      </c>
      <c r="J29" s="222">
        <v>500</v>
      </c>
      <c r="K29" s="222">
        <v>500</v>
      </c>
      <c r="L29" s="222">
        <v>500</v>
      </c>
      <c r="M29" s="222">
        <f t="shared" ref="M29" si="3">ROUND(J29*K29*L29/1000000000,2)</f>
        <v>0.13</v>
      </c>
      <c r="N29" s="244">
        <f>'Detailed PL'!P29</f>
        <v>10</v>
      </c>
      <c r="O29" s="246">
        <f>'Detailed PL'!Q29</f>
        <v>11</v>
      </c>
      <c r="P29" s="222" t="s">
        <v>13</v>
      </c>
      <c r="Q29" s="133" t="s">
        <v>161</v>
      </c>
      <c r="R29" s="135" t="s">
        <v>229</v>
      </c>
      <c r="S29" s="133"/>
    </row>
    <row r="30" spans="2:19" s="113" customFormat="1" ht="75" customHeight="1" x14ac:dyDescent="0.15">
      <c r="B30" s="124">
        <v>16</v>
      </c>
      <c r="C30" s="241"/>
      <c r="D30" s="215" t="s">
        <v>244</v>
      </c>
      <c r="E30" s="41" t="s">
        <v>153</v>
      </c>
      <c r="F30" s="41" t="s">
        <v>168</v>
      </c>
      <c r="G30" s="41">
        <f>'Detailed PL'!H30</f>
        <v>50</v>
      </c>
      <c r="H30" s="133" t="s">
        <v>37</v>
      </c>
      <c r="I30" s="223"/>
      <c r="J30" s="223"/>
      <c r="K30" s="223"/>
      <c r="L30" s="223"/>
      <c r="M30" s="223"/>
      <c r="N30" s="245"/>
      <c r="O30" s="247"/>
      <c r="P30" s="223"/>
      <c r="Q30" s="133" t="s">
        <v>161</v>
      </c>
      <c r="R30" s="135" t="s">
        <v>230</v>
      </c>
      <c r="S30" s="133"/>
    </row>
    <row r="31" spans="2:19" s="113" customFormat="1" ht="46.5" customHeight="1" x14ac:dyDescent="0.15">
      <c r="B31" s="124">
        <v>17</v>
      </c>
      <c r="C31" s="240" t="s">
        <v>186</v>
      </c>
      <c r="D31" s="137" t="s">
        <v>235</v>
      </c>
      <c r="E31" s="41" t="s">
        <v>153</v>
      </c>
      <c r="F31" s="41" t="s">
        <v>169</v>
      </c>
      <c r="G31" s="41">
        <f>'Detailed PL'!H31</f>
        <v>1</v>
      </c>
      <c r="H31" s="133" t="s">
        <v>37</v>
      </c>
      <c r="I31" s="222" t="s">
        <v>105</v>
      </c>
      <c r="J31" s="222">
        <v>500</v>
      </c>
      <c r="K31" s="222">
        <v>500</v>
      </c>
      <c r="L31" s="222">
        <v>500</v>
      </c>
      <c r="M31" s="222">
        <f t="shared" ref="M31" si="4">ROUND(J31*K31*L31/1000000000,2)</f>
        <v>0.13</v>
      </c>
      <c r="N31" s="244">
        <f>'Detailed PL'!P31</f>
        <v>10</v>
      </c>
      <c r="O31" s="246">
        <f>'Detailed PL'!Q31</f>
        <v>11</v>
      </c>
      <c r="P31" s="222" t="s">
        <v>13</v>
      </c>
      <c r="Q31" s="133" t="s">
        <v>161</v>
      </c>
      <c r="R31" s="135" t="s">
        <v>231</v>
      </c>
      <c r="S31" s="133"/>
    </row>
    <row r="32" spans="2:19" s="113" customFormat="1" ht="77.25" customHeight="1" x14ac:dyDescent="0.15">
      <c r="B32" s="124">
        <v>18</v>
      </c>
      <c r="C32" s="241"/>
      <c r="D32" s="215" t="s">
        <v>245</v>
      </c>
      <c r="E32" s="41" t="s">
        <v>153</v>
      </c>
      <c r="F32" s="41" t="s">
        <v>169</v>
      </c>
      <c r="G32" s="41">
        <f>'Detailed PL'!H32</f>
        <v>50</v>
      </c>
      <c r="H32" s="133" t="s">
        <v>37</v>
      </c>
      <c r="I32" s="223"/>
      <c r="J32" s="223"/>
      <c r="K32" s="223"/>
      <c r="L32" s="223"/>
      <c r="M32" s="223"/>
      <c r="N32" s="245"/>
      <c r="O32" s="247"/>
      <c r="P32" s="223"/>
      <c r="Q32" s="133" t="s">
        <v>161</v>
      </c>
      <c r="R32" s="135" t="s">
        <v>230</v>
      </c>
      <c r="S32" s="133"/>
    </row>
    <row r="33" spans="2:19" s="113" customFormat="1" ht="54" customHeight="1" x14ac:dyDescent="0.15">
      <c r="B33" s="124">
        <v>19</v>
      </c>
      <c r="C33" s="240" t="s">
        <v>187</v>
      </c>
      <c r="D33" s="137" t="s">
        <v>234</v>
      </c>
      <c r="E33" s="41" t="s">
        <v>153</v>
      </c>
      <c r="F33" s="41" t="s">
        <v>170</v>
      </c>
      <c r="G33" s="41">
        <f>'Detailed PL'!H33</f>
        <v>1</v>
      </c>
      <c r="H33" s="133" t="s">
        <v>37</v>
      </c>
      <c r="I33" s="222" t="s">
        <v>105</v>
      </c>
      <c r="J33" s="222">
        <v>500</v>
      </c>
      <c r="K33" s="222">
        <v>500</v>
      </c>
      <c r="L33" s="222">
        <v>500</v>
      </c>
      <c r="M33" s="222">
        <f t="shared" ref="M33" si="5">ROUND(J33*K33*L33/1000000000,2)</f>
        <v>0.13</v>
      </c>
      <c r="N33" s="244">
        <f>'Detailed PL'!P33</f>
        <v>12</v>
      </c>
      <c r="O33" s="246">
        <f>'Detailed PL'!Q33</f>
        <v>13</v>
      </c>
      <c r="P33" s="222" t="s">
        <v>13</v>
      </c>
      <c r="Q33" s="133" t="s">
        <v>161</v>
      </c>
      <c r="R33" s="135" t="s">
        <v>232</v>
      </c>
      <c r="S33" s="133"/>
    </row>
    <row r="34" spans="2:19" s="113" customFormat="1" ht="83.25" customHeight="1" x14ac:dyDescent="0.15">
      <c r="B34" s="124">
        <v>20</v>
      </c>
      <c r="C34" s="241"/>
      <c r="D34" s="215" t="s">
        <v>246</v>
      </c>
      <c r="E34" s="41" t="s">
        <v>153</v>
      </c>
      <c r="F34" s="41" t="s">
        <v>170</v>
      </c>
      <c r="G34" s="41">
        <f>'Detailed PL'!H34</f>
        <v>30</v>
      </c>
      <c r="H34" s="133" t="s">
        <v>37</v>
      </c>
      <c r="I34" s="223"/>
      <c r="J34" s="223"/>
      <c r="K34" s="223"/>
      <c r="L34" s="223"/>
      <c r="M34" s="223"/>
      <c r="N34" s="245"/>
      <c r="O34" s="247"/>
      <c r="P34" s="223"/>
      <c r="Q34" s="133" t="s">
        <v>161</v>
      </c>
      <c r="R34" s="135" t="s">
        <v>233</v>
      </c>
      <c r="S34" s="133"/>
    </row>
    <row r="35" spans="2:19" s="113" customFormat="1" ht="83.25" customHeight="1" x14ac:dyDescent="0.15">
      <c r="B35" s="124">
        <v>21</v>
      </c>
      <c r="C35" s="124" t="s">
        <v>188</v>
      </c>
      <c r="D35" s="137" t="s">
        <v>36</v>
      </c>
      <c r="E35" s="41" t="s">
        <v>153</v>
      </c>
      <c r="F35" s="41" t="s">
        <v>171</v>
      </c>
      <c r="G35" s="41">
        <f>'Detailed PL'!H35</f>
        <v>30</v>
      </c>
      <c r="H35" s="133" t="s">
        <v>37</v>
      </c>
      <c r="I35" s="133" t="s">
        <v>102</v>
      </c>
      <c r="J35" s="124">
        <f>'Detailed PL'!L35</f>
        <v>3000</v>
      </c>
      <c r="K35" s="124">
        <f>'Detailed PL'!M35</f>
        <v>300</v>
      </c>
      <c r="L35" s="124">
        <f>'Detailed PL'!N35</f>
        <v>200</v>
      </c>
      <c r="M35" s="136">
        <f t="shared" ref="M35:M36" si="6">ROUND(J35*K35*L35/1000000000,2)</f>
        <v>0.18</v>
      </c>
      <c r="N35" s="214">
        <f>'Detailed PL'!P35</f>
        <v>150</v>
      </c>
      <c r="O35" s="216">
        <f>'Detailed PL'!Q35</f>
        <v>151</v>
      </c>
      <c r="P35" s="133" t="s">
        <v>13</v>
      </c>
      <c r="Q35" s="133" t="s">
        <v>97</v>
      </c>
      <c r="R35" s="135" t="s">
        <v>103</v>
      </c>
      <c r="S35" s="133"/>
    </row>
    <row r="36" spans="2:19" s="113" customFormat="1" ht="60.75" customHeight="1" x14ac:dyDescent="0.15">
      <c r="B36" s="124">
        <v>22</v>
      </c>
      <c r="C36" s="124" t="s">
        <v>189</v>
      </c>
      <c r="D36" s="137" t="s">
        <v>247</v>
      </c>
      <c r="E36" s="41" t="s">
        <v>153</v>
      </c>
      <c r="F36" s="41" t="s">
        <v>172</v>
      </c>
      <c r="G36" s="41">
        <f>'Detailed PL'!H36</f>
        <v>1</v>
      </c>
      <c r="H36" s="133" t="s">
        <v>37</v>
      </c>
      <c r="I36" s="133" t="s">
        <v>102</v>
      </c>
      <c r="J36" s="124">
        <f>'Detailed PL'!L36</f>
        <v>350</v>
      </c>
      <c r="K36" s="124">
        <f>'Detailed PL'!M36</f>
        <v>350</v>
      </c>
      <c r="L36" s="124">
        <f>'Detailed PL'!N36</f>
        <v>200</v>
      </c>
      <c r="M36" s="136">
        <f t="shared" si="6"/>
        <v>0.02</v>
      </c>
      <c r="N36" s="214">
        <f>'Detailed PL'!P36</f>
        <v>25</v>
      </c>
      <c r="O36" s="216">
        <f>'Detailed PL'!Q36</f>
        <v>26</v>
      </c>
      <c r="P36" s="133" t="s">
        <v>13</v>
      </c>
      <c r="Q36" s="133" t="s">
        <v>97</v>
      </c>
      <c r="R36" s="135" t="s">
        <v>104</v>
      </c>
      <c r="S36" s="133"/>
    </row>
    <row r="37" spans="2:19" s="113" customFormat="1" ht="60.75" customHeight="1" x14ac:dyDescent="0.15">
      <c r="B37" s="124">
        <v>23</v>
      </c>
      <c r="C37" s="124" t="s">
        <v>190</v>
      </c>
      <c r="D37" s="137" t="s">
        <v>247</v>
      </c>
      <c r="E37" s="41" t="s">
        <v>153</v>
      </c>
      <c r="F37" s="41" t="s">
        <v>172</v>
      </c>
      <c r="G37" s="41">
        <f>'Detailed PL'!H37</f>
        <v>1</v>
      </c>
      <c r="H37" s="133" t="s">
        <v>37</v>
      </c>
      <c r="I37" s="133" t="s">
        <v>102</v>
      </c>
      <c r="J37" s="124">
        <f>'Detailed PL'!L37</f>
        <v>350</v>
      </c>
      <c r="K37" s="124">
        <f>'Detailed PL'!M37</f>
        <v>350</v>
      </c>
      <c r="L37" s="124">
        <f>'Detailed PL'!N37</f>
        <v>200</v>
      </c>
      <c r="M37" s="136">
        <f t="shared" ref="M37:M61" si="7">ROUND(J37*K37*L37/1000000000,2)</f>
        <v>0.02</v>
      </c>
      <c r="N37" s="214">
        <f>'Detailed PL'!P37</f>
        <v>25</v>
      </c>
      <c r="O37" s="216">
        <f>'Detailed PL'!Q37</f>
        <v>26</v>
      </c>
      <c r="P37" s="133" t="s">
        <v>13</v>
      </c>
      <c r="Q37" s="133" t="s">
        <v>97</v>
      </c>
      <c r="R37" s="135" t="s">
        <v>104</v>
      </c>
      <c r="S37" s="133"/>
    </row>
    <row r="38" spans="2:19" s="113" customFormat="1" ht="60.75" customHeight="1" x14ac:dyDescent="0.15">
      <c r="B38" s="124">
        <v>24</v>
      </c>
      <c r="C38" s="124" t="s">
        <v>191</v>
      </c>
      <c r="D38" s="137" t="s">
        <v>247</v>
      </c>
      <c r="E38" s="41" t="s">
        <v>153</v>
      </c>
      <c r="F38" s="41" t="s">
        <v>172</v>
      </c>
      <c r="G38" s="41">
        <f>'Detailed PL'!H38</f>
        <v>1</v>
      </c>
      <c r="H38" s="133" t="s">
        <v>37</v>
      </c>
      <c r="I38" s="133" t="s">
        <v>102</v>
      </c>
      <c r="J38" s="124">
        <f>'Detailed PL'!L38</f>
        <v>350</v>
      </c>
      <c r="K38" s="124">
        <f>'Detailed PL'!M38</f>
        <v>350</v>
      </c>
      <c r="L38" s="124">
        <f>'Detailed PL'!N38</f>
        <v>200</v>
      </c>
      <c r="M38" s="136">
        <f t="shared" si="7"/>
        <v>0.02</v>
      </c>
      <c r="N38" s="214">
        <f>'Detailed PL'!P38</f>
        <v>25</v>
      </c>
      <c r="O38" s="216">
        <f>'Detailed PL'!Q38</f>
        <v>26</v>
      </c>
      <c r="P38" s="133" t="s">
        <v>13</v>
      </c>
      <c r="Q38" s="133" t="s">
        <v>97</v>
      </c>
      <c r="R38" s="135" t="s">
        <v>104</v>
      </c>
      <c r="S38" s="133"/>
    </row>
    <row r="39" spans="2:19" s="113" customFormat="1" ht="60.75" customHeight="1" x14ac:dyDescent="0.15">
      <c r="B39" s="124">
        <v>25</v>
      </c>
      <c r="C39" s="124" t="s">
        <v>192</v>
      </c>
      <c r="D39" s="137" t="s">
        <v>247</v>
      </c>
      <c r="E39" s="41" t="s">
        <v>153</v>
      </c>
      <c r="F39" s="41" t="s">
        <v>172</v>
      </c>
      <c r="G39" s="41">
        <f>'Detailed PL'!H39</f>
        <v>1</v>
      </c>
      <c r="H39" s="133" t="s">
        <v>37</v>
      </c>
      <c r="I39" s="133" t="s">
        <v>102</v>
      </c>
      <c r="J39" s="124">
        <f>'Detailed PL'!L39</f>
        <v>350</v>
      </c>
      <c r="K39" s="124">
        <f>'Detailed PL'!M39</f>
        <v>350</v>
      </c>
      <c r="L39" s="124">
        <f>'Detailed PL'!N39</f>
        <v>200</v>
      </c>
      <c r="M39" s="136">
        <f t="shared" si="7"/>
        <v>0.02</v>
      </c>
      <c r="N39" s="214">
        <f>'Detailed PL'!P39</f>
        <v>25</v>
      </c>
      <c r="O39" s="216">
        <f>'Detailed PL'!Q39</f>
        <v>26</v>
      </c>
      <c r="P39" s="133" t="s">
        <v>13</v>
      </c>
      <c r="Q39" s="133" t="s">
        <v>97</v>
      </c>
      <c r="R39" s="135" t="s">
        <v>104</v>
      </c>
      <c r="S39" s="133"/>
    </row>
    <row r="40" spans="2:19" s="113" customFormat="1" ht="60.75" customHeight="1" x14ac:dyDescent="0.15">
      <c r="B40" s="124">
        <v>26</v>
      </c>
      <c r="C40" s="124" t="s">
        <v>193</v>
      </c>
      <c r="D40" s="137" t="s">
        <v>247</v>
      </c>
      <c r="E40" s="41" t="s">
        <v>153</v>
      </c>
      <c r="F40" s="41" t="s">
        <v>172</v>
      </c>
      <c r="G40" s="41">
        <f>'Detailed PL'!H40</f>
        <v>1</v>
      </c>
      <c r="H40" s="133" t="s">
        <v>37</v>
      </c>
      <c r="I40" s="133" t="s">
        <v>102</v>
      </c>
      <c r="J40" s="124">
        <f>'Detailed PL'!L40</f>
        <v>350</v>
      </c>
      <c r="K40" s="124">
        <f>'Detailed PL'!M40</f>
        <v>350</v>
      </c>
      <c r="L40" s="124">
        <f>'Detailed PL'!N40</f>
        <v>200</v>
      </c>
      <c r="M40" s="136">
        <f t="shared" si="7"/>
        <v>0.02</v>
      </c>
      <c r="N40" s="214">
        <f>'Detailed PL'!P40</f>
        <v>25</v>
      </c>
      <c r="O40" s="216">
        <f>'Detailed PL'!Q40</f>
        <v>26</v>
      </c>
      <c r="P40" s="133" t="s">
        <v>13</v>
      </c>
      <c r="Q40" s="133" t="s">
        <v>97</v>
      </c>
      <c r="R40" s="135" t="s">
        <v>104</v>
      </c>
      <c r="S40" s="133"/>
    </row>
    <row r="41" spans="2:19" s="113" customFormat="1" ht="60.75" customHeight="1" x14ac:dyDescent="0.15">
      <c r="B41" s="124">
        <v>27</v>
      </c>
      <c r="C41" s="124" t="s">
        <v>194</v>
      </c>
      <c r="D41" s="137" t="s">
        <v>247</v>
      </c>
      <c r="E41" s="41" t="s">
        <v>153</v>
      </c>
      <c r="F41" s="41" t="s">
        <v>172</v>
      </c>
      <c r="G41" s="41">
        <f>'Detailed PL'!H41</f>
        <v>1</v>
      </c>
      <c r="H41" s="133" t="s">
        <v>37</v>
      </c>
      <c r="I41" s="133" t="s">
        <v>102</v>
      </c>
      <c r="J41" s="124">
        <f>'Detailed PL'!L41</f>
        <v>350</v>
      </c>
      <c r="K41" s="124">
        <f>'Detailed PL'!M41</f>
        <v>350</v>
      </c>
      <c r="L41" s="124">
        <f>'Detailed PL'!N41</f>
        <v>200</v>
      </c>
      <c r="M41" s="136">
        <f t="shared" si="7"/>
        <v>0.02</v>
      </c>
      <c r="N41" s="214">
        <f>'Detailed PL'!P41</f>
        <v>25</v>
      </c>
      <c r="O41" s="216">
        <f>'Detailed PL'!Q41</f>
        <v>26</v>
      </c>
      <c r="P41" s="133" t="s">
        <v>13</v>
      </c>
      <c r="Q41" s="133" t="s">
        <v>97</v>
      </c>
      <c r="R41" s="135" t="s">
        <v>104</v>
      </c>
      <c r="S41" s="133"/>
    </row>
    <row r="42" spans="2:19" s="113" customFormat="1" ht="60.75" customHeight="1" x14ac:dyDescent="0.15">
      <c r="B42" s="124">
        <v>28</v>
      </c>
      <c r="C42" s="124" t="s">
        <v>195</v>
      </c>
      <c r="D42" s="137" t="s">
        <v>247</v>
      </c>
      <c r="E42" s="41" t="s">
        <v>153</v>
      </c>
      <c r="F42" s="41" t="s">
        <v>172</v>
      </c>
      <c r="G42" s="41">
        <f>'Detailed PL'!H42</f>
        <v>1</v>
      </c>
      <c r="H42" s="133" t="s">
        <v>37</v>
      </c>
      <c r="I42" s="133" t="s">
        <v>102</v>
      </c>
      <c r="J42" s="124">
        <f>'Detailed PL'!L42</f>
        <v>350</v>
      </c>
      <c r="K42" s="124">
        <f>'Detailed PL'!M42</f>
        <v>350</v>
      </c>
      <c r="L42" s="124">
        <f>'Detailed PL'!N42</f>
        <v>200</v>
      </c>
      <c r="M42" s="136">
        <f t="shared" si="7"/>
        <v>0.02</v>
      </c>
      <c r="N42" s="214">
        <f>'Detailed PL'!P42</f>
        <v>25</v>
      </c>
      <c r="O42" s="216">
        <f>'Detailed PL'!Q42</f>
        <v>26</v>
      </c>
      <c r="P42" s="133" t="s">
        <v>13</v>
      </c>
      <c r="Q42" s="133" t="s">
        <v>97</v>
      </c>
      <c r="R42" s="135" t="s">
        <v>104</v>
      </c>
      <c r="S42" s="133"/>
    </row>
    <row r="43" spans="2:19" s="113" customFormat="1" ht="60.75" customHeight="1" x14ac:dyDescent="0.15">
      <c r="B43" s="124">
        <v>29</v>
      </c>
      <c r="C43" s="124" t="s">
        <v>196</v>
      </c>
      <c r="D43" s="137" t="s">
        <v>247</v>
      </c>
      <c r="E43" s="41" t="s">
        <v>153</v>
      </c>
      <c r="F43" s="41" t="s">
        <v>172</v>
      </c>
      <c r="G43" s="41">
        <f>'Detailed PL'!H43</f>
        <v>1</v>
      </c>
      <c r="H43" s="133" t="s">
        <v>37</v>
      </c>
      <c r="I43" s="133" t="s">
        <v>102</v>
      </c>
      <c r="J43" s="124">
        <f>'Detailed PL'!L43</f>
        <v>350</v>
      </c>
      <c r="K43" s="124">
        <f>'Detailed PL'!M43</f>
        <v>350</v>
      </c>
      <c r="L43" s="124">
        <f>'Detailed PL'!N43</f>
        <v>200</v>
      </c>
      <c r="M43" s="136">
        <f t="shared" si="7"/>
        <v>0.02</v>
      </c>
      <c r="N43" s="214">
        <f>'Detailed PL'!P43</f>
        <v>25</v>
      </c>
      <c r="O43" s="216">
        <f>'Detailed PL'!Q43</f>
        <v>26</v>
      </c>
      <c r="P43" s="133" t="s">
        <v>13</v>
      </c>
      <c r="Q43" s="133" t="s">
        <v>97</v>
      </c>
      <c r="R43" s="135" t="s">
        <v>104</v>
      </c>
      <c r="S43" s="133"/>
    </row>
    <row r="44" spans="2:19" s="113" customFormat="1" ht="60.75" customHeight="1" x14ac:dyDescent="0.15">
      <c r="B44" s="124">
        <v>30</v>
      </c>
      <c r="C44" s="124" t="s">
        <v>197</v>
      </c>
      <c r="D44" s="137" t="s">
        <v>247</v>
      </c>
      <c r="E44" s="41" t="s">
        <v>153</v>
      </c>
      <c r="F44" s="41" t="s">
        <v>172</v>
      </c>
      <c r="G44" s="41">
        <f>'Detailed PL'!H44</f>
        <v>1</v>
      </c>
      <c r="H44" s="133" t="s">
        <v>37</v>
      </c>
      <c r="I44" s="133" t="s">
        <v>102</v>
      </c>
      <c r="J44" s="124">
        <f>'Detailed PL'!L44</f>
        <v>350</v>
      </c>
      <c r="K44" s="124">
        <f>'Detailed PL'!M44</f>
        <v>350</v>
      </c>
      <c r="L44" s="124">
        <f>'Detailed PL'!N44</f>
        <v>200</v>
      </c>
      <c r="M44" s="136">
        <f t="shared" si="7"/>
        <v>0.02</v>
      </c>
      <c r="N44" s="214">
        <f>'Detailed PL'!P44</f>
        <v>25</v>
      </c>
      <c r="O44" s="216">
        <f>'Detailed PL'!Q44</f>
        <v>26</v>
      </c>
      <c r="P44" s="133" t="s">
        <v>13</v>
      </c>
      <c r="Q44" s="133" t="s">
        <v>97</v>
      </c>
      <c r="R44" s="135" t="s">
        <v>104</v>
      </c>
      <c r="S44" s="133"/>
    </row>
    <row r="45" spans="2:19" s="113" customFormat="1" ht="60.75" customHeight="1" x14ac:dyDescent="0.15">
      <c r="B45" s="124">
        <v>31</v>
      </c>
      <c r="C45" s="124" t="s">
        <v>198</v>
      </c>
      <c r="D45" s="137" t="s">
        <v>247</v>
      </c>
      <c r="E45" s="41" t="s">
        <v>153</v>
      </c>
      <c r="F45" s="41" t="s">
        <v>172</v>
      </c>
      <c r="G45" s="41">
        <f>'Detailed PL'!H45</f>
        <v>1</v>
      </c>
      <c r="H45" s="133" t="s">
        <v>37</v>
      </c>
      <c r="I45" s="133" t="s">
        <v>102</v>
      </c>
      <c r="J45" s="124">
        <f>'Detailed PL'!L45</f>
        <v>350</v>
      </c>
      <c r="K45" s="124">
        <f>'Detailed PL'!M45</f>
        <v>350</v>
      </c>
      <c r="L45" s="124">
        <f>'Detailed PL'!N45</f>
        <v>200</v>
      </c>
      <c r="M45" s="136">
        <f t="shared" si="7"/>
        <v>0.02</v>
      </c>
      <c r="N45" s="214">
        <f>'Detailed PL'!P45</f>
        <v>25</v>
      </c>
      <c r="O45" s="216">
        <f>'Detailed PL'!Q45</f>
        <v>26</v>
      </c>
      <c r="P45" s="133" t="s">
        <v>13</v>
      </c>
      <c r="Q45" s="133" t="s">
        <v>97</v>
      </c>
      <c r="R45" s="135" t="s">
        <v>104</v>
      </c>
      <c r="S45" s="133"/>
    </row>
    <row r="46" spans="2:19" s="113" customFormat="1" ht="60.75" customHeight="1" x14ac:dyDescent="0.15">
      <c r="B46" s="124">
        <v>32</v>
      </c>
      <c r="C46" s="124" t="s">
        <v>199</v>
      </c>
      <c r="D46" s="137" t="s">
        <v>247</v>
      </c>
      <c r="E46" s="41" t="s">
        <v>153</v>
      </c>
      <c r="F46" s="41" t="s">
        <v>172</v>
      </c>
      <c r="G46" s="41">
        <f>'Detailed PL'!H46</f>
        <v>1</v>
      </c>
      <c r="H46" s="133" t="s">
        <v>37</v>
      </c>
      <c r="I46" s="133" t="s">
        <v>102</v>
      </c>
      <c r="J46" s="124">
        <f>'Detailed PL'!L46</f>
        <v>350</v>
      </c>
      <c r="K46" s="124">
        <f>'Detailed PL'!M46</f>
        <v>350</v>
      </c>
      <c r="L46" s="124">
        <f>'Detailed PL'!N46</f>
        <v>200</v>
      </c>
      <c r="M46" s="136">
        <f t="shared" si="7"/>
        <v>0.02</v>
      </c>
      <c r="N46" s="214">
        <f>'Detailed PL'!P46</f>
        <v>25</v>
      </c>
      <c r="O46" s="216">
        <f>'Detailed PL'!Q46</f>
        <v>26</v>
      </c>
      <c r="P46" s="133" t="s">
        <v>13</v>
      </c>
      <c r="Q46" s="133" t="s">
        <v>97</v>
      </c>
      <c r="R46" s="135" t="s">
        <v>104</v>
      </c>
      <c r="S46" s="133"/>
    </row>
    <row r="47" spans="2:19" s="113" customFormat="1" ht="60.75" customHeight="1" x14ac:dyDescent="0.15">
      <c r="B47" s="124">
        <v>33</v>
      </c>
      <c r="C47" s="124" t="s">
        <v>200</v>
      </c>
      <c r="D47" s="137" t="s">
        <v>247</v>
      </c>
      <c r="E47" s="41" t="s">
        <v>153</v>
      </c>
      <c r="F47" s="41" t="s">
        <v>172</v>
      </c>
      <c r="G47" s="41">
        <f>'Detailed PL'!H47</f>
        <v>1</v>
      </c>
      <c r="H47" s="133" t="s">
        <v>37</v>
      </c>
      <c r="I47" s="133" t="s">
        <v>102</v>
      </c>
      <c r="J47" s="124">
        <f>'Detailed PL'!L47</f>
        <v>350</v>
      </c>
      <c r="K47" s="124">
        <f>'Detailed PL'!M47</f>
        <v>350</v>
      </c>
      <c r="L47" s="124">
        <f>'Detailed PL'!N47</f>
        <v>200</v>
      </c>
      <c r="M47" s="136">
        <f t="shared" si="7"/>
        <v>0.02</v>
      </c>
      <c r="N47" s="214">
        <f>'Detailed PL'!P47</f>
        <v>25</v>
      </c>
      <c r="O47" s="216">
        <f>'Detailed PL'!Q47</f>
        <v>26</v>
      </c>
      <c r="P47" s="133" t="s">
        <v>13</v>
      </c>
      <c r="Q47" s="133" t="s">
        <v>97</v>
      </c>
      <c r="R47" s="135" t="s">
        <v>104</v>
      </c>
      <c r="S47" s="133"/>
    </row>
    <row r="48" spans="2:19" s="113" customFormat="1" ht="56.25" customHeight="1" x14ac:dyDescent="0.15">
      <c r="B48" s="124">
        <v>34</v>
      </c>
      <c r="C48" s="124" t="s">
        <v>201</v>
      </c>
      <c r="D48" s="137" t="s">
        <v>247</v>
      </c>
      <c r="E48" s="41" t="s">
        <v>153</v>
      </c>
      <c r="F48" s="41" t="s">
        <v>172</v>
      </c>
      <c r="G48" s="41">
        <f>'Detailed PL'!H48</f>
        <v>1</v>
      </c>
      <c r="H48" s="133" t="s">
        <v>37</v>
      </c>
      <c r="I48" s="133" t="s">
        <v>102</v>
      </c>
      <c r="J48" s="124">
        <f>'Detailed PL'!L48</f>
        <v>350</v>
      </c>
      <c r="K48" s="124">
        <f>'Detailed PL'!M48</f>
        <v>350</v>
      </c>
      <c r="L48" s="124">
        <f>'Detailed PL'!N48</f>
        <v>200</v>
      </c>
      <c r="M48" s="136">
        <f t="shared" si="7"/>
        <v>0.02</v>
      </c>
      <c r="N48" s="214">
        <f>'Detailed PL'!P48</f>
        <v>25</v>
      </c>
      <c r="O48" s="216">
        <f>'Detailed PL'!Q48</f>
        <v>26</v>
      </c>
      <c r="P48" s="133" t="s">
        <v>13</v>
      </c>
      <c r="Q48" s="133" t="s">
        <v>97</v>
      </c>
      <c r="R48" s="135" t="s">
        <v>104</v>
      </c>
      <c r="S48" s="133"/>
    </row>
    <row r="49" spans="2:19" s="113" customFormat="1" ht="56.25" customHeight="1" x14ac:dyDescent="0.15">
      <c r="B49" s="124">
        <v>35</v>
      </c>
      <c r="C49" s="124" t="s">
        <v>202</v>
      </c>
      <c r="D49" s="137" t="s">
        <v>247</v>
      </c>
      <c r="E49" s="41" t="s">
        <v>153</v>
      </c>
      <c r="F49" s="41" t="s">
        <v>172</v>
      </c>
      <c r="G49" s="41">
        <f>'Detailed PL'!H49</f>
        <v>1</v>
      </c>
      <c r="H49" s="133" t="s">
        <v>37</v>
      </c>
      <c r="I49" s="133" t="s">
        <v>102</v>
      </c>
      <c r="J49" s="124">
        <f>'Detailed PL'!L49</f>
        <v>350</v>
      </c>
      <c r="K49" s="124">
        <f>'Detailed PL'!M49</f>
        <v>350</v>
      </c>
      <c r="L49" s="124">
        <f>'Detailed PL'!N49</f>
        <v>200</v>
      </c>
      <c r="M49" s="136">
        <f t="shared" si="7"/>
        <v>0.02</v>
      </c>
      <c r="N49" s="214">
        <f>'Detailed PL'!P49</f>
        <v>25</v>
      </c>
      <c r="O49" s="216">
        <f>'Detailed PL'!Q49</f>
        <v>26</v>
      </c>
      <c r="P49" s="133" t="s">
        <v>13</v>
      </c>
      <c r="Q49" s="133" t="s">
        <v>97</v>
      </c>
      <c r="R49" s="135" t="s">
        <v>104</v>
      </c>
      <c r="S49" s="133"/>
    </row>
    <row r="50" spans="2:19" s="113" customFormat="1" ht="56.25" customHeight="1" x14ac:dyDescent="0.15">
      <c r="B50" s="124">
        <v>36</v>
      </c>
      <c r="C50" s="124" t="s">
        <v>203</v>
      </c>
      <c r="D50" s="137" t="s">
        <v>247</v>
      </c>
      <c r="E50" s="41" t="s">
        <v>153</v>
      </c>
      <c r="F50" s="41" t="s">
        <v>172</v>
      </c>
      <c r="G50" s="41">
        <f>'Detailed PL'!H50</f>
        <v>1</v>
      </c>
      <c r="H50" s="133" t="s">
        <v>37</v>
      </c>
      <c r="I50" s="133" t="s">
        <v>102</v>
      </c>
      <c r="J50" s="124">
        <f>'Detailed PL'!L50</f>
        <v>350</v>
      </c>
      <c r="K50" s="124">
        <f>'Detailed PL'!M50</f>
        <v>350</v>
      </c>
      <c r="L50" s="124">
        <f>'Detailed PL'!N50</f>
        <v>200</v>
      </c>
      <c r="M50" s="136">
        <f t="shared" si="7"/>
        <v>0.02</v>
      </c>
      <c r="N50" s="214">
        <f>'Detailed PL'!P50</f>
        <v>25</v>
      </c>
      <c r="O50" s="216">
        <f>'Detailed PL'!Q50</f>
        <v>26</v>
      </c>
      <c r="P50" s="133" t="s">
        <v>13</v>
      </c>
      <c r="Q50" s="133" t="s">
        <v>97</v>
      </c>
      <c r="R50" s="135" t="s">
        <v>104</v>
      </c>
      <c r="S50" s="133"/>
    </row>
    <row r="51" spans="2:19" s="113" customFormat="1" ht="56.25" customHeight="1" x14ac:dyDescent="0.15">
      <c r="B51" s="124">
        <v>37</v>
      </c>
      <c r="C51" s="124" t="s">
        <v>204</v>
      </c>
      <c r="D51" s="137" t="s">
        <v>247</v>
      </c>
      <c r="E51" s="41" t="s">
        <v>153</v>
      </c>
      <c r="F51" s="41" t="s">
        <v>172</v>
      </c>
      <c r="G51" s="41">
        <f>'Detailed PL'!H51</f>
        <v>1</v>
      </c>
      <c r="H51" s="133" t="s">
        <v>37</v>
      </c>
      <c r="I51" s="133" t="s">
        <v>102</v>
      </c>
      <c r="J51" s="124">
        <f>'Detailed PL'!L51</f>
        <v>350</v>
      </c>
      <c r="K51" s="124">
        <f>'Detailed PL'!M51</f>
        <v>350</v>
      </c>
      <c r="L51" s="124">
        <f>'Detailed PL'!N51</f>
        <v>200</v>
      </c>
      <c r="M51" s="136">
        <f t="shared" si="7"/>
        <v>0.02</v>
      </c>
      <c r="N51" s="214">
        <f>'Detailed PL'!P51</f>
        <v>25</v>
      </c>
      <c r="O51" s="216">
        <f>'Detailed PL'!Q51</f>
        <v>26</v>
      </c>
      <c r="P51" s="133" t="s">
        <v>13</v>
      </c>
      <c r="Q51" s="133" t="s">
        <v>97</v>
      </c>
      <c r="R51" s="135" t="s">
        <v>104</v>
      </c>
      <c r="S51" s="133"/>
    </row>
    <row r="52" spans="2:19" s="113" customFormat="1" ht="56.25" customHeight="1" x14ac:dyDescent="0.15">
      <c r="B52" s="124">
        <v>38</v>
      </c>
      <c r="C52" s="124" t="s">
        <v>205</v>
      </c>
      <c r="D52" s="137" t="s">
        <v>247</v>
      </c>
      <c r="E52" s="41" t="s">
        <v>153</v>
      </c>
      <c r="F52" s="41" t="s">
        <v>172</v>
      </c>
      <c r="G52" s="41">
        <f>'Detailed PL'!H52</f>
        <v>1</v>
      </c>
      <c r="H52" s="133" t="s">
        <v>37</v>
      </c>
      <c r="I52" s="133" t="s">
        <v>102</v>
      </c>
      <c r="J52" s="124">
        <f>'Detailed PL'!L52</f>
        <v>350</v>
      </c>
      <c r="K52" s="124">
        <f>'Detailed PL'!M52</f>
        <v>350</v>
      </c>
      <c r="L52" s="124">
        <f>'Detailed PL'!N52</f>
        <v>200</v>
      </c>
      <c r="M52" s="136">
        <f t="shared" si="7"/>
        <v>0.02</v>
      </c>
      <c r="N52" s="214">
        <f>'Detailed PL'!P52</f>
        <v>25</v>
      </c>
      <c r="O52" s="216">
        <f>'Detailed PL'!Q52</f>
        <v>26</v>
      </c>
      <c r="P52" s="133" t="s">
        <v>13</v>
      </c>
      <c r="Q52" s="133" t="s">
        <v>97</v>
      </c>
      <c r="R52" s="135" t="s">
        <v>104</v>
      </c>
      <c r="S52" s="133"/>
    </row>
    <row r="53" spans="2:19" s="113" customFormat="1" ht="56.25" customHeight="1" x14ac:dyDescent="0.15">
      <c r="B53" s="124">
        <v>39</v>
      </c>
      <c r="C53" s="124" t="s">
        <v>206</v>
      </c>
      <c r="D53" s="137" t="s">
        <v>247</v>
      </c>
      <c r="E53" s="41" t="s">
        <v>153</v>
      </c>
      <c r="F53" s="41" t="s">
        <v>172</v>
      </c>
      <c r="G53" s="41">
        <f>'Detailed PL'!H53</f>
        <v>1</v>
      </c>
      <c r="H53" s="133" t="s">
        <v>37</v>
      </c>
      <c r="I53" s="133" t="s">
        <v>102</v>
      </c>
      <c r="J53" s="124">
        <f>'Detailed PL'!L53</f>
        <v>350</v>
      </c>
      <c r="K53" s="124">
        <f>'Detailed PL'!M53</f>
        <v>350</v>
      </c>
      <c r="L53" s="124">
        <f>'Detailed PL'!N53</f>
        <v>200</v>
      </c>
      <c r="M53" s="136">
        <f t="shared" si="7"/>
        <v>0.02</v>
      </c>
      <c r="N53" s="214">
        <f>'Detailed PL'!P53</f>
        <v>25</v>
      </c>
      <c r="O53" s="216">
        <f>'Detailed PL'!Q53</f>
        <v>26</v>
      </c>
      <c r="P53" s="133" t="s">
        <v>13</v>
      </c>
      <c r="Q53" s="133" t="s">
        <v>97</v>
      </c>
      <c r="R53" s="135" t="s">
        <v>104</v>
      </c>
      <c r="S53" s="133"/>
    </row>
    <row r="54" spans="2:19" s="113" customFormat="1" ht="56.25" customHeight="1" x14ac:dyDescent="0.15">
      <c r="B54" s="124">
        <v>40</v>
      </c>
      <c r="C54" s="124" t="s">
        <v>207</v>
      </c>
      <c r="D54" s="137" t="s">
        <v>247</v>
      </c>
      <c r="E54" s="41" t="s">
        <v>153</v>
      </c>
      <c r="F54" s="41" t="s">
        <v>172</v>
      </c>
      <c r="G54" s="41">
        <f>'Detailed PL'!H54</f>
        <v>1</v>
      </c>
      <c r="H54" s="133" t="s">
        <v>37</v>
      </c>
      <c r="I54" s="133" t="s">
        <v>102</v>
      </c>
      <c r="J54" s="124">
        <f>'Detailed PL'!L54</f>
        <v>350</v>
      </c>
      <c r="K54" s="124">
        <f>'Detailed PL'!M54</f>
        <v>350</v>
      </c>
      <c r="L54" s="124">
        <f>'Detailed PL'!N54</f>
        <v>200</v>
      </c>
      <c r="M54" s="136">
        <f t="shared" si="7"/>
        <v>0.02</v>
      </c>
      <c r="N54" s="214">
        <f>'Detailed PL'!P54</f>
        <v>25</v>
      </c>
      <c r="O54" s="216">
        <f>'Detailed PL'!Q54</f>
        <v>26</v>
      </c>
      <c r="P54" s="133" t="s">
        <v>13</v>
      </c>
      <c r="Q54" s="133" t="s">
        <v>97</v>
      </c>
      <c r="R54" s="135" t="s">
        <v>104</v>
      </c>
      <c r="S54" s="133"/>
    </row>
    <row r="55" spans="2:19" s="113" customFormat="1" ht="56.25" customHeight="1" x14ac:dyDescent="0.15">
      <c r="B55" s="124">
        <v>41</v>
      </c>
      <c r="C55" s="124" t="s">
        <v>208</v>
      </c>
      <c r="D55" s="137" t="s">
        <v>247</v>
      </c>
      <c r="E55" s="41" t="s">
        <v>153</v>
      </c>
      <c r="F55" s="41" t="s">
        <v>172</v>
      </c>
      <c r="G55" s="41">
        <f>'Detailed PL'!H55</f>
        <v>1</v>
      </c>
      <c r="H55" s="133" t="s">
        <v>37</v>
      </c>
      <c r="I55" s="133" t="s">
        <v>102</v>
      </c>
      <c r="J55" s="124">
        <f>'Detailed PL'!L55</f>
        <v>350</v>
      </c>
      <c r="K55" s="124">
        <f>'Detailed PL'!M55</f>
        <v>350</v>
      </c>
      <c r="L55" s="124">
        <f>'Detailed PL'!N55</f>
        <v>200</v>
      </c>
      <c r="M55" s="136">
        <f t="shared" si="7"/>
        <v>0.02</v>
      </c>
      <c r="N55" s="214">
        <f>'Detailed PL'!P55</f>
        <v>25</v>
      </c>
      <c r="O55" s="216">
        <f>'Detailed PL'!Q55</f>
        <v>26</v>
      </c>
      <c r="P55" s="133" t="s">
        <v>13</v>
      </c>
      <c r="Q55" s="133" t="s">
        <v>97</v>
      </c>
      <c r="R55" s="135" t="s">
        <v>104</v>
      </c>
      <c r="S55" s="133"/>
    </row>
    <row r="56" spans="2:19" s="113" customFormat="1" ht="56.25" customHeight="1" x14ac:dyDescent="0.15">
      <c r="B56" s="124">
        <v>42</v>
      </c>
      <c r="C56" s="124" t="s">
        <v>209</v>
      </c>
      <c r="D56" s="137" t="s">
        <v>247</v>
      </c>
      <c r="E56" s="41" t="s">
        <v>153</v>
      </c>
      <c r="F56" s="41" t="s">
        <v>172</v>
      </c>
      <c r="G56" s="41">
        <f>'Detailed PL'!H56</f>
        <v>1</v>
      </c>
      <c r="H56" s="133" t="s">
        <v>37</v>
      </c>
      <c r="I56" s="133" t="s">
        <v>102</v>
      </c>
      <c r="J56" s="124">
        <f>'Detailed PL'!L56</f>
        <v>350</v>
      </c>
      <c r="K56" s="124">
        <f>'Detailed PL'!M56</f>
        <v>350</v>
      </c>
      <c r="L56" s="124">
        <f>'Detailed PL'!N56</f>
        <v>200</v>
      </c>
      <c r="M56" s="136">
        <f t="shared" si="7"/>
        <v>0.02</v>
      </c>
      <c r="N56" s="214">
        <f>'Detailed PL'!P56</f>
        <v>25</v>
      </c>
      <c r="O56" s="216">
        <f>'Detailed PL'!Q56</f>
        <v>26</v>
      </c>
      <c r="P56" s="133" t="s">
        <v>13</v>
      </c>
      <c r="Q56" s="133" t="s">
        <v>97</v>
      </c>
      <c r="R56" s="135" t="s">
        <v>104</v>
      </c>
      <c r="S56" s="133"/>
    </row>
    <row r="57" spans="2:19" s="113" customFormat="1" ht="56.25" customHeight="1" x14ac:dyDescent="0.15">
      <c r="B57" s="124">
        <v>43</v>
      </c>
      <c r="C57" s="124" t="s">
        <v>210</v>
      </c>
      <c r="D57" s="137" t="s">
        <v>247</v>
      </c>
      <c r="E57" s="41" t="s">
        <v>153</v>
      </c>
      <c r="F57" s="41" t="s">
        <v>172</v>
      </c>
      <c r="G57" s="41">
        <f>'Detailed PL'!H57</f>
        <v>1</v>
      </c>
      <c r="H57" s="133" t="s">
        <v>37</v>
      </c>
      <c r="I57" s="133" t="s">
        <v>102</v>
      </c>
      <c r="J57" s="124">
        <f>'Detailed PL'!L57</f>
        <v>350</v>
      </c>
      <c r="K57" s="124">
        <f>'Detailed PL'!M57</f>
        <v>350</v>
      </c>
      <c r="L57" s="124">
        <f>'Detailed PL'!N57</f>
        <v>200</v>
      </c>
      <c r="M57" s="136">
        <f t="shared" si="7"/>
        <v>0.02</v>
      </c>
      <c r="N57" s="214">
        <f>'Detailed PL'!P57</f>
        <v>25</v>
      </c>
      <c r="O57" s="216">
        <f>'Detailed PL'!Q57</f>
        <v>26</v>
      </c>
      <c r="P57" s="133" t="s">
        <v>13</v>
      </c>
      <c r="Q57" s="133" t="s">
        <v>97</v>
      </c>
      <c r="R57" s="135" t="s">
        <v>104</v>
      </c>
      <c r="S57" s="133"/>
    </row>
    <row r="58" spans="2:19" s="113" customFormat="1" ht="56.25" customHeight="1" x14ac:dyDescent="0.15">
      <c r="B58" s="124">
        <v>44</v>
      </c>
      <c r="C58" s="124" t="s">
        <v>211</v>
      </c>
      <c r="D58" s="137" t="s">
        <v>247</v>
      </c>
      <c r="E58" s="41" t="s">
        <v>153</v>
      </c>
      <c r="F58" s="41" t="s">
        <v>172</v>
      </c>
      <c r="G58" s="41">
        <f>'Detailed PL'!H58</f>
        <v>1</v>
      </c>
      <c r="H58" s="133" t="s">
        <v>37</v>
      </c>
      <c r="I58" s="133" t="s">
        <v>102</v>
      </c>
      <c r="J58" s="124">
        <f>'Detailed PL'!L58</f>
        <v>350</v>
      </c>
      <c r="K58" s="124">
        <f>'Detailed PL'!M58</f>
        <v>350</v>
      </c>
      <c r="L58" s="124">
        <f>'Detailed PL'!N58</f>
        <v>200</v>
      </c>
      <c r="M58" s="136">
        <f t="shared" si="7"/>
        <v>0.02</v>
      </c>
      <c r="N58" s="214">
        <f>'Detailed PL'!P58</f>
        <v>25</v>
      </c>
      <c r="O58" s="216">
        <f>'Detailed PL'!Q58</f>
        <v>26</v>
      </c>
      <c r="P58" s="133" t="s">
        <v>13</v>
      </c>
      <c r="Q58" s="133" t="s">
        <v>97</v>
      </c>
      <c r="R58" s="135" t="s">
        <v>104</v>
      </c>
      <c r="S58" s="133"/>
    </row>
    <row r="59" spans="2:19" s="113" customFormat="1" ht="56.25" customHeight="1" x14ac:dyDescent="0.15">
      <c r="B59" s="124">
        <v>45</v>
      </c>
      <c r="C59" s="124" t="s">
        <v>212</v>
      </c>
      <c r="D59" s="137" t="s">
        <v>247</v>
      </c>
      <c r="E59" s="41" t="s">
        <v>153</v>
      </c>
      <c r="F59" s="41" t="s">
        <v>172</v>
      </c>
      <c r="G59" s="41">
        <f>'Detailed PL'!H59</f>
        <v>1</v>
      </c>
      <c r="H59" s="133" t="s">
        <v>37</v>
      </c>
      <c r="I59" s="133" t="s">
        <v>102</v>
      </c>
      <c r="J59" s="124">
        <f>'Detailed PL'!L59</f>
        <v>350</v>
      </c>
      <c r="K59" s="124">
        <f>'Detailed PL'!M59</f>
        <v>350</v>
      </c>
      <c r="L59" s="124">
        <f>'Detailed PL'!N59</f>
        <v>200</v>
      </c>
      <c r="M59" s="136">
        <f t="shared" si="7"/>
        <v>0.02</v>
      </c>
      <c r="N59" s="214">
        <f>'Detailed PL'!P59</f>
        <v>25</v>
      </c>
      <c r="O59" s="216">
        <f>'Detailed PL'!Q59</f>
        <v>26</v>
      </c>
      <c r="P59" s="133" t="s">
        <v>13</v>
      </c>
      <c r="Q59" s="133" t="s">
        <v>97</v>
      </c>
      <c r="R59" s="135" t="s">
        <v>104</v>
      </c>
      <c r="S59" s="133"/>
    </row>
    <row r="60" spans="2:19" s="113" customFormat="1" ht="56.25" customHeight="1" x14ac:dyDescent="0.15">
      <c r="B60" s="124">
        <v>46</v>
      </c>
      <c r="C60" s="124" t="s">
        <v>213</v>
      </c>
      <c r="D60" s="137" t="s">
        <v>247</v>
      </c>
      <c r="E60" s="41" t="s">
        <v>153</v>
      </c>
      <c r="F60" s="41" t="s">
        <v>172</v>
      </c>
      <c r="G60" s="41">
        <f>'Detailed PL'!H60</f>
        <v>1</v>
      </c>
      <c r="H60" s="133" t="s">
        <v>37</v>
      </c>
      <c r="I60" s="133" t="s">
        <v>102</v>
      </c>
      <c r="J60" s="124">
        <f>'Detailed PL'!L60</f>
        <v>350</v>
      </c>
      <c r="K60" s="124">
        <f>'Detailed PL'!M60</f>
        <v>350</v>
      </c>
      <c r="L60" s="124">
        <f>'Detailed PL'!N60</f>
        <v>200</v>
      </c>
      <c r="M60" s="136">
        <f t="shared" si="7"/>
        <v>0.02</v>
      </c>
      <c r="N60" s="214">
        <f>'Detailed PL'!P60</f>
        <v>25</v>
      </c>
      <c r="O60" s="216">
        <f>'Detailed PL'!Q60</f>
        <v>26</v>
      </c>
      <c r="P60" s="133" t="s">
        <v>13</v>
      </c>
      <c r="Q60" s="133" t="s">
        <v>97</v>
      </c>
      <c r="R60" s="135" t="s">
        <v>104</v>
      </c>
      <c r="S60" s="133"/>
    </row>
    <row r="61" spans="2:19" s="113" customFormat="1" ht="56.25" customHeight="1" x14ac:dyDescent="0.15">
      <c r="B61" s="124">
        <v>47</v>
      </c>
      <c r="C61" s="124" t="s">
        <v>214</v>
      </c>
      <c r="D61" s="137" t="s">
        <v>247</v>
      </c>
      <c r="E61" s="41" t="s">
        <v>153</v>
      </c>
      <c r="F61" s="41" t="s">
        <v>172</v>
      </c>
      <c r="G61" s="41">
        <f>'Detailed PL'!H61</f>
        <v>1</v>
      </c>
      <c r="H61" s="133" t="s">
        <v>37</v>
      </c>
      <c r="I61" s="133" t="s">
        <v>102</v>
      </c>
      <c r="J61" s="124">
        <f>'Detailed PL'!L61</f>
        <v>350</v>
      </c>
      <c r="K61" s="124">
        <f>'Detailed PL'!M61</f>
        <v>350</v>
      </c>
      <c r="L61" s="124">
        <f>'Detailed PL'!N61</f>
        <v>200</v>
      </c>
      <c r="M61" s="136">
        <f t="shared" si="7"/>
        <v>0.02</v>
      </c>
      <c r="N61" s="214">
        <f>'Detailed PL'!P61</f>
        <v>25</v>
      </c>
      <c r="O61" s="216">
        <f>'Detailed PL'!Q61</f>
        <v>26</v>
      </c>
      <c r="P61" s="133" t="s">
        <v>13</v>
      </c>
      <c r="Q61" s="133" t="s">
        <v>97</v>
      </c>
      <c r="R61" s="135" t="s">
        <v>104</v>
      </c>
      <c r="S61" s="133"/>
    </row>
    <row r="62" spans="2:19" s="113" customFormat="1" ht="56.25" customHeight="1" x14ac:dyDescent="0.15">
      <c r="B62" s="124">
        <v>48</v>
      </c>
      <c r="C62" s="124" t="s">
        <v>215</v>
      </c>
      <c r="D62" s="137" t="s">
        <v>247</v>
      </c>
      <c r="E62" s="41" t="s">
        <v>153</v>
      </c>
      <c r="F62" s="41" t="s">
        <v>172</v>
      </c>
      <c r="G62" s="41">
        <f>'Detailed PL'!H62</f>
        <v>1</v>
      </c>
      <c r="H62" s="133" t="s">
        <v>37</v>
      </c>
      <c r="I62" s="133" t="s">
        <v>102</v>
      </c>
      <c r="J62" s="124">
        <f>'Detailed PL'!L62</f>
        <v>350</v>
      </c>
      <c r="K62" s="124">
        <f>'Detailed PL'!M62</f>
        <v>350</v>
      </c>
      <c r="L62" s="124">
        <f>'Detailed PL'!N62</f>
        <v>200</v>
      </c>
      <c r="M62" s="136">
        <f t="shared" ref="M62" si="8">ROUND(J62*K62*L62/1000000000,2)</f>
        <v>0.02</v>
      </c>
      <c r="N62" s="214">
        <f>'Detailed PL'!P62</f>
        <v>25</v>
      </c>
      <c r="O62" s="216">
        <f>'Detailed PL'!Q62</f>
        <v>26</v>
      </c>
      <c r="P62" s="133" t="s">
        <v>13</v>
      </c>
      <c r="Q62" s="133" t="s">
        <v>97</v>
      </c>
      <c r="R62" s="135" t="s">
        <v>104</v>
      </c>
      <c r="S62" s="133"/>
    </row>
    <row r="63" spans="2:19" s="113" customFormat="1" ht="56.25" customHeight="1" x14ac:dyDescent="0.15">
      <c r="B63" s="124">
        <v>49</v>
      </c>
      <c r="C63" s="124" t="s">
        <v>216</v>
      </c>
      <c r="D63" s="137" t="s">
        <v>247</v>
      </c>
      <c r="E63" s="41" t="s">
        <v>153</v>
      </c>
      <c r="F63" s="41" t="s">
        <v>172</v>
      </c>
      <c r="G63" s="41">
        <f>'Detailed PL'!H63</f>
        <v>1</v>
      </c>
      <c r="H63" s="133" t="s">
        <v>37</v>
      </c>
      <c r="I63" s="133" t="s">
        <v>102</v>
      </c>
      <c r="J63" s="124">
        <f>'Detailed PL'!L63</f>
        <v>350</v>
      </c>
      <c r="K63" s="124">
        <f>'Detailed PL'!M63</f>
        <v>350</v>
      </c>
      <c r="L63" s="124">
        <f>'Detailed PL'!N63</f>
        <v>200</v>
      </c>
      <c r="M63" s="136">
        <f t="shared" ref="M63:M65" si="9">ROUND(J63*K63*L63/1000000000,2)</f>
        <v>0.02</v>
      </c>
      <c r="N63" s="214">
        <f>'Detailed PL'!P63</f>
        <v>25</v>
      </c>
      <c r="O63" s="216">
        <f>'Detailed PL'!Q63</f>
        <v>26</v>
      </c>
      <c r="P63" s="133" t="s">
        <v>13</v>
      </c>
      <c r="Q63" s="133" t="s">
        <v>97</v>
      </c>
      <c r="R63" s="135" t="s">
        <v>104</v>
      </c>
      <c r="S63" s="133"/>
    </row>
    <row r="64" spans="2:19" s="113" customFormat="1" ht="56.25" customHeight="1" x14ac:dyDescent="0.15">
      <c r="B64" s="124">
        <v>50</v>
      </c>
      <c r="C64" s="124" t="s">
        <v>217</v>
      </c>
      <c r="D64" s="137" t="s">
        <v>247</v>
      </c>
      <c r="E64" s="41" t="s">
        <v>153</v>
      </c>
      <c r="F64" s="41" t="s">
        <v>172</v>
      </c>
      <c r="G64" s="41">
        <f>'Detailed PL'!H64</f>
        <v>1</v>
      </c>
      <c r="H64" s="133" t="s">
        <v>37</v>
      </c>
      <c r="I64" s="133" t="s">
        <v>102</v>
      </c>
      <c r="J64" s="124">
        <f>'Detailed PL'!L64</f>
        <v>350</v>
      </c>
      <c r="K64" s="124">
        <f>'Detailed PL'!M64</f>
        <v>350</v>
      </c>
      <c r="L64" s="124">
        <f>'Detailed PL'!N64</f>
        <v>200</v>
      </c>
      <c r="M64" s="136">
        <f t="shared" si="9"/>
        <v>0.02</v>
      </c>
      <c r="N64" s="214">
        <f>'Detailed PL'!P64</f>
        <v>25</v>
      </c>
      <c r="O64" s="216">
        <f>'Detailed PL'!Q64</f>
        <v>26</v>
      </c>
      <c r="P64" s="133" t="s">
        <v>13</v>
      </c>
      <c r="Q64" s="133" t="s">
        <v>97</v>
      </c>
      <c r="R64" s="135" t="s">
        <v>104</v>
      </c>
      <c r="S64" s="133"/>
    </row>
    <row r="65" spans="2:19" s="113" customFormat="1" ht="56.25" customHeight="1" x14ac:dyDescent="0.15">
      <c r="B65" s="124">
        <v>51</v>
      </c>
      <c r="C65" s="124" t="s">
        <v>218</v>
      </c>
      <c r="D65" s="137" t="s">
        <v>247</v>
      </c>
      <c r="E65" s="41" t="s">
        <v>153</v>
      </c>
      <c r="F65" s="41" t="s">
        <v>172</v>
      </c>
      <c r="G65" s="41">
        <f>'Detailed PL'!H65</f>
        <v>1</v>
      </c>
      <c r="H65" s="133" t="s">
        <v>37</v>
      </c>
      <c r="I65" s="133" t="s">
        <v>102</v>
      </c>
      <c r="J65" s="124">
        <f>'Detailed PL'!L65</f>
        <v>350</v>
      </c>
      <c r="K65" s="124">
        <f>'Detailed PL'!M65</f>
        <v>350</v>
      </c>
      <c r="L65" s="124">
        <f>'Detailed PL'!N65</f>
        <v>200</v>
      </c>
      <c r="M65" s="136">
        <f t="shared" si="9"/>
        <v>0.02</v>
      </c>
      <c r="N65" s="214">
        <f>'Detailed PL'!P65</f>
        <v>25</v>
      </c>
      <c r="O65" s="216">
        <f>'Detailed PL'!Q65</f>
        <v>26</v>
      </c>
      <c r="P65" s="133" t="s">
        <v>13</v>
      </c>
      <c r="Q65" s="133" t="s">
        <v>97</v>
      </c>
      <c r="R65" s="135" t="s">
        <v>104</v>
      </c>
      <c r="S65" s="133"/>
    </row>
    <row r="66" spans="2:19" s="179" customFormat="1" ht="36.6" customHeight="1" x14ac:dyDescent="0.1">
      <c r="B66" s="230" t="s">
        <v>106</v>
      </c>
      <c r="C66" s="231"/>
      <c r="D66" s="231"/>
      <c r="E66" s="231"/>
      <c r="F66" s="231"/>
      <c r="G66" s="231"/>
      <c r="H66" s="231"/>
      <c r="I66" s="231"/>
      <c r="J66" s="231"/>
      <c r="K66" s="231"/>
      <c r="L66" s="231"/>
      <c r="M66" s="232"/>
      <c r="N66" s="186">
        <f>SUM(N15:N65)</f>
        <v>15358</v>
      </c>
      <c r="O66" s="217">
        <f>SUM(O15:O65)</f>
        <v>16054</v>
      </c>
      <c r="P66" s="186">
        <f>SUM(P15:P65)</f>
        <v>0</v>
      </c>
      <c r="Q66" s="178"/>
      <c r="R66" s="178"/>
      <c r="S66" s="178"/>
    </row>
  </sheetData>
  <mergeCells count="71">
    <mergeCell ref="O33:O34"/>
    <mergeCell ref="P33:P34"/>
    <mergeCell ref="J33:J34"/>
    <mergeCell ref="K33:K34"/>
    <mergeCell ref="L33:L34"/>
    <mergeCell ref="M33:M34"/>
    <mergeCell ref="N33:N34"/>
    <mergeCell ref="P27:P28"/>
    <mergeCell ref="N29:N30"/>
    <mergeCell ref="O29:O30"/>
    <mergeCell ref="P29:P30"/>
    <mergeCell ref="C31:C32"/>
    <mergeCell ref="O27:O28"/>
    <mergeCell ref="M31:M32"/>
    <mergeCell ref="N31:N32"/>
    <mergeCell ref="O31:O32"/>
    <mergeCell ref="P31:P32"/>
    <mergeCell ref="I27:I28"/>
    <mergeCell ref="J27:J28"/>
    <mergeCell ref="K27:K28"/>
    <mergeCell ref="L27:L28"/>
    <mergeCell ref="M27:M28"/>
    <mergeCell ref="I29:I30"/>
    <mergeCell ref="C33:C34"/>
    <mergeCell ref="J31:J32"/>
    <mergeCell ref="K31:K32"/>
    <mergeCell ref="L31:L32"/>
    <mergeCell ref="R13:R14"/>
    <mergeCell ref="C23:C24"/>
    <mergeCell ref="C25:C26"/>
    <mergeCell ref="C27:C28"/>
    <mergeCell ref="C29:C30"/>
    <mergeCell ref="N23:N24"/>
    <mergeCell ref="O23:O24"/>
    <mergeCell ref="P23:P24"/>
    <mergeCell ref="N25:N26"/>
    <mergeCell ref="O25:O26"/>
    <mergeCell ref="P25:P26"/>
    <mergeCell ref="N27:N28"/>
    <mergeCell ref="F13:F14"/>
    <mergeCell ref="C3:J3"/>
    <mergeCell ref="J13:M13"/>
    <mergeCell ref="B66:M66"/>
    <mergeCell ref="B4:S4"/>
    <mergeCell ref="B13:B14"/>
    <mergeCell ref="C13:C14"/>
    <mergeCell ref="D13:D14"/>
    <mergeCell ref="E13:E14"/>
    <mergeCell ref="G13:H13"/>
    <mergeCell ref="I13:I14"/>
    <mergeCell ref="N13:N14"/>
    <mergeCell ref="O13:O14"/>
    <mergeCell ref="P13:P14"/>
    <mergeCell ref="Q13:Q14"/>
    <mergeCell ref="S13:S14"/>
    <mergeCell ref="J23:J24"/>
    <mergeCell ref="I23:I24"/>
    <mergeCell ref="K23:K24"/>
    <mergeCell ref="L23:L24"/>
    <mergeCell ref="M23:M24"/>
    <mergeCell ref="I25:I26"/>
    <mergeCell ref="J25:J26"/>
    <mergeCell ref="K25:K26"/>
    <mergeCell ref="L25:L26"/>
    <mergeCell ref="M25:M26"/>
    <mergeCell ref="I33:I34"/>
    <mergeCell ref="J29:J30"/>
    <mergeCell ref="K29:K30"/>
    <mergeCell ref="L29:L30"/>
    <mergeCell ref="M29:M30"/>
    <mergeCell ref="I31:I32"/>
  </mergeCells>
  <phoneticPr fontId="22" type="noConversion"/>
  <printOptions horizontalCentered="1"/>
  <pageMargins left="0.5" right="0.4" top="0.7" bottom="0.5" header="0.31496062992126" footer="0.31496062992126"/>
  <pageSetup paperSize="9" scale="50" fitToHeight="0" orientation="landscape" r:id="rId1"/>
  <headerFooter alignWithMargins="0">
    <oddFooter>&amp;C&amp;P/&amp;N</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A6859-5D1F-4CD8-8651-8C57AA6962F4}">
  <sheetPr>
    <tabColor rgb="FF00B050"/>
    <pageSetUpPr fitToPage="1"/>
  </sheetPr>
  <dimension ref="A1:M42"/>
  <sheetViews>
    <sheetView showGridLines="0" view="pageBreakPreview" zoomScale="55" zoomScaleNormal="70" zoomScaleSheetLayoutView="55" workbookViewId="0">
      <selection activeCell="P41" sqref="P41"/>
    </sheetView>
  </sheetViews>
  <sheetFormatPr defaultColWidth="7.71484375" defaultRowHeight="23.25" x14ac:dyDescent="0.1"/>
  <cols>
    <col min="1" max="1" width="43.15234375" style="5" customWidth="1"/>
    <col min="2" max="2" width="2.5703125" style="6" customWidth="1"/>
    <col min="3" max="3" width="11.109375" style="5" customWidth="1"/>
    <col min="4" max="4" width="10.0546875" style="5" customWidth="1"/>
    <col min="5" max="5" width="6.6640625" style="5" customWidth="1"/>
    <col min="6" max="6" width="10.0546875" style="5" customWidth="1"/>
    <col min="7" max="7" width="9.00390625" style="5" customWidth="1"/>
    <col min="8" max="8" width="10.0546875" style="5" customWidth="1"/>
    <col min="9" max="9" width="12.16015625" style="5" customWidth="1"/>
    <col min="10" max="10" width="9.5859375" style="5" customWidth="1"/>
    <col min="11" max="11" width="0.69921875" style="5" customWidth="1"/>
    <col min="12" max="12" width="7.71484375" style="5"/>
    <col min="13" max="13" width="14.3828125" style="5" bestFit="1" customWidth="1"/>
    <col min="14" max="16384" width="7.71484375" style="5"/>
  </cols>
  <sheetData>
    <row r="1" spans="1:13" ht="91.15" customHeight="1" thickBot="1" x14ac:dyDescent="0.15">
      <c r="A1" s="320" t="s">
        <v>119</v>
      </c>
      <c r="B1" s="320"/>
      <c r="C1" s="320"/>
      <c r="D1" s="320"/>
      <c r="E1" s="320"/>
      <c r="F1" s="320"/>
      <c r="G1" s="320"/>
      <c r="H1" s="320"/>
      <c r="I1" s="320"/>
      <c r="J1" s="320"/>
    </row>
    <row r="2" spans="1:13" ht="32.65" customHeight="1" x14ac:dyDescent="0.1">
      <c r="A2" s="321" t="s">
        <v>120</v>
      </c>
      <c r="B2" s="322"/>
      <c r="C2" s="322"/>
      <c r="D2" s="322"/>
      <c r="E2" s="322"/>
      <c r="F2" s="322"/>
      <c r="G2" s="322"/>
      <c r="H2" s="322"/>
      <c r="I2" s="322"/>
      <c r="J2" s="323"/>
    </row>
    <row r="3" spans="1:13" ht="28.15" customHeight="1" x14ac:dyDescent="0.1">
      <c r="A3" s="324" t="str">
        <f>[6]CI!B26</f>
        <v>Address: O Mon Power Complex at Phuoc Thoi wards, O Mon district, Can Tho city</v>
      </c>
      <c r="B3" s="325"/>
      <c r="C3" s="325"/>
      <c r="D3" s="325"/>
      <c r="E3" s="325"/>
      <c r="F3" s="325"/>
      <c r="G3" s="325"/>
      <c r="H3" s="325"/>
      <c r="I3" s="325"/>
      <c r="J3" s="326"/>
    </row>
    <row r="4" spans="1:13" ht="57.4" customHeight="1" x14ac:dyDescent="0.1"/>
    <row r="5" spans="1:13" s="8" customFormat="1" ht="40.15" customHeight="1" x14ac:dyDescent="0.1">
      <c r="A5" s="32" t="s">
        <v>121</v>
      </c>
      <c r="B5" s="7" t="s">
        <v>122</v>
      </c>
      <c r="C5" s="327"/>
      <c r="D5" s="327"/>
      <c r="E5" s="327"/>
      <c r="F5" s="327"/>
      <c r="G5" s="327"/>
      <c r="H5" s="327"/>
      <c r="I5" s="327"/>
      <c r="J5" s="328"/>
    </row>
    <row r="6" spans="1:13" s="8" customFormat="1" ht="55.5" customHeight="1" x14ac:dyDescent="0.1">
      <c r="A6" s="33" t="s">
        <v>123</v>
      </c>
      <c r="B6" s="9" t="s">
        <v>122</v>
      </c>
      <c r="C6" s="315"/>
      <c r="D6" s="315"/>
      <c r="E6" s="315"/>
      <c r="F6" s="315"/>
      <c r="G6" s="315"/>
      <c r="H6" s="315"/>
      <c r="I6" s="315"/>
      <c r="J6" s="316"/>
    </row>
    <row r="7" spans="1:13" s="8" customFormat="1" ht="42" customHeight="1" x14ac:dyDescent="0.1">
      <c r="A7" s="33" t="s">
        <v>124</v>
      </c>
      <c r="B7" s="12" t="s">
        <v>122</v>
      </c>
      <c r="C7" s="317" t="s">
        <v>125</v>
      </c>
      <c r="D7" s="318"/>
      <c r="E7" s="318"/>
      <c r="F7" s="318"/>
      <c r="G7" s="318"/>
      <c r="H7" s="318"/>
      <c r="I7" s="318"/>
      <c r="J7" s="319"/>
    </row>
    <row r="8" spans="1:13" s="8" customFormat="1" ht="20.65" customHeight="1" x14ac:dyDescent="0.1">
      <c r="A8" s="33" t="s">
        <v>126</v>
      </c>
      <c r="B8" s="12" t="s">
        <v>127</v>
      </c>
      <c r="C8" s="315"/>
      <c r="D8" s="315"/>
      <c r="E8" s="315"/>
      <c r="F8" s="315"/>
      <c r="G8" s="315"/>
      <c r="H8" s="315"/>
      <c r="I8" s="315"/>
      <c r="J8" s="316"/>
    </row>
    <row r="9" spans="1:13" s="8" customFormat="1" ht="20.65" customHeight="1" x14ac:dyDescent="0.1">
      <c r="A9" s="33"/>
      <c r="B9" s="12"/>
      <c r="C9" s="315"/>
      <c r="D9" s="315"/>
      <c r="E9" s="315"/>
      <c r="F9" s="315"/>
      <c r="G9" s="315"/>
      <c r="H9" s="315"/>
      <c r="I9" s="315"/>
      <c r="J9" s="316"/>
    </row>
    <row r="10" spans="1:13" s="8" customFormat="1" ht="20.65" customHeight="1" x14ac:dyDescent="0.1">
      <c r="A10" s="33"/>
      <c r="B10" s="12"/>
      <c r="C10" s="315"/>
      <c r="D10" s="315"/>
      <c r="E10" s="315"/>
      <c r="F10" s="315"/>
      <c r="G10" s="315"/>
      <c r="H10" s="315"/>
      <c r="I10" s="315"/>
      <c r="J10" s="316"/>
    </row>
    <row r="11" spans="1:13" s="8" customFormat="1" ht="24.4" customHeight="1" x14ac:dyDescent="0.1">
      <c r="A11" s="33"/>
      <c r="B11" s="12"/>
      <c r="C11" s="315"/>
      <c r="D11" s="315"/>
      <c r="E11" s="315"/>
      <c r="F11" s="315"/>
      <c r="G11" s="315"/>
      <c r="H11" s="315"/>
      <c r="I11" s="315"/>
      <c r="J11" s="316"/>
    </row>
    <row r="12" spans="1:13" s="8" customFormat="1" ht="42.4" customHeight="1" x14ac:dyDescent="0.1">
      <c r="A12" s="33" t="s">
        <v>128</v>
      </c>
      <c r="B12" s="9" t="s">
        <v>122</v>
      </c>
      <c r="C12" s="37" t="s">
        <v>129</v>
      </c>
      <c r="D12" s="13"/>
      <c r="E12" s="13"/>
      <c r="F12" s="13"/>
      <c r="G12" s="13"/>
      <c r="H12" s="14" t="str">
        <f>[6]CI!G8</f>
        <v>DATE:</v>
      </c>
      <c r="I12" s="15"/>
      <c r="J12" s="16"/>
    </row>
    <row r="13" spans="1:13" s="8" customFormat="1" ht="40.15" customHeight="1" x14ac:dyDescent="0.1">
      <c r="A13" s="33" t="s">
        <v>130</v>
      </c>
      <c r="B13" s="9" t="s">
        <v>127</v>
      </c>
      <c r="C13" s="317" t="s">
        <v>131</v>
      </c>
      <c r="D13" s="318"/>
      <c r="E13" s="318"/>
      <c r="F13" s="318"/>
      <c r="G13" s="318"/>
      <c r="H13" s="318"/>
      <c r="I13" s="318"/>
      <c r="J13" s="319"/>
    </row>
    <row r="14" spans="1:13" s="8" customFormat="1" ht="55.15" customHeight="1" x14ac:dyDescent="0.1">
      <c r="A14" s="33" t="s">
        <v>132</v>
      </c>
      <c r="B14" s="9" t="s">
        <v>122</v>
      </c>
      <c r="C14" s="315" t="str">
        <f>[6]CI!B28</f>
        <v>PLANT/ EQUIPMENT AND MATERIALS FOR O MON IV THERMAL</v>
      </c>
      <c r="D14" s="315"/>
      <c r="E14" s="315"/>
      <c r="F14" s="315"/>
      <c r="G14" s="315"/>
      <c r="H14" s="315"/>
      <c r="I14" s="315"/>
      <c r="J14" s="316"/>
    </row>
    <row r="15" spans="1:13" s="8" customFormat="1" ht="55.5" customHeight="1" x14ac:dyDescent="0.3">
      <c r="A15" s="33" t="s">
        <v>133</v>
      </c>
      <c r="B15" s="12" t="s">
        <v>127</v>
      </c>
      <c r="C15" s="18"/>
      <c r="D15" s="10"/>
      <c r="E15" s="10"/>
      <c r="F15" s="10"/>
      <c r="G15" s="10"/>
      <c r="H15" s="10"/>
      <c r="I15" s="10"/>
      <c r="J15" s="11"/>
      <c r="M15" s="19"/>
    </row>
    <row r="16" spans="1:13" s="8" customFormat="1" ht="55.5" customHeight="1" x14ac:dyDescent="0.3">
      <c r="A16" s="33" t="s">
        <v>134</v>
      </c>
      <c r="B16" s="12" t="s">
        <v>127</v>
      </c>
      <c r="C16" s="18"/>
      <c r="D16" s="10"/>
      <c r="E16" s="10"/>
      <c r="F16" s="10"/>
      <c r="G16" s="10"/>
      <c r="H16" s="10"/>
      <c r="I16" s="10"/>
      <c r="J16" s="11"/>
      <c r="M16" s="19"/>
    </row>
    <row r="17" spans="1:10" s="8" customFormat="1" ht="49.9" customHeight="1" x14ac:dyDescent="0.3">
      <c r="A17" s="33" t="s">
        <v>135</v>
      </c>
      <c r="B17" s="9" t="s">
        <v>122</v>
      </c>
      <c r="C17" s="20"/>
      <c r="D17" s="21" t="s">
        <v>136</v>
      </c>
      <c r="E17" s="22"/>
      <c r="F17" s="22"/>
      <c r="G17" s="22"/>
      <c r="H17" s="22"/>
      <c r="I17" s="22"/>
      <c r="J17" s="16"/>
    </row>
    <row r="18" spans="1:10" s="8" customFormat="1" ht="57.4" customHeight="1" x14ac:dyDescent="0.3">
      <c r="A18" s="33" t="s">
        <v>137</v>
      </c>
      <c r="B18" s="9" t="s">
        <v>122</v>
      </c>
      <c r="C18" s="20"/>
      <c r="D18" s="21" t="s">
        <v>136</v>
      </c>
      <c r="E18" s="22"/>
      <c r="F18" s="17"/>
      <c r="G18" s="22"/>
      <c r="H18" s="22"/>
      <c r="I18" s="22"/>
      <c r="J18" s="23"/>
    </row>
    <row r="19" spans="1:10" s="8" customFormat="1" ht="53.65" customHeight="1" x14ac:dyDescent="0.3">
      <c r="A19" s="33" t="s">
        <v>138</v>
      </c>
      <c r="B19" s="12" t="s">
        <v>122</v>
      </c>
      <c r="C19" s="20"/>
      <c r="D19" s="24" t="s">
        <v>139</v>
      </c>
      <c r="E19" s="20"/>
      <c r="F19" s="24" t="s">
        <v>140</v>
      </c>
      <c r="G19" s="20"/>
      <c r="H19" s="24" t="s">
        <v>141</v>
      </c>
      <c r="I19" s="25"/>
      <c r="J19" s="26" t="s">
        <v>142</v>
      </c>
    </row>
    <row r="20" spans="1:10" s="8" customFormat="1" ht="31.15" customHeight="1" x14ac:dyDescent="0.3">
      <c r="A20" s="33" t="s">
        <v>143</v>
      </c>
      <c r="B20" s="12" t="s">
        <v>122</v>
      </c>
      <c r="C20" s="27"/>
      <c r="D20" s="21"/>
      <c r="E20" s="22"/>
      <c r="F20" s="21"/>
      <c r="G20" s="22"/>
      <c r="H20" s="21"/>
      <c r="I20" s="25"/>
      <c r="J20" s="26"/>
    </row>
    <row r="21" spans="1:10" s="8" customFormat="1" ht="49.15" customHeight="1" x14ac:dyDescent="0.3">
      <c r="A21" s="33" t="s">
        <v>144</v>
      </c>
      <c r="B21" s="12" t="s">
        <v>122</v>
      </c>
      <c r="C21" s="27"/>
      <c r="D21" s="21"/>
      <c r="E21" s="22"/>
      <c r="F21" s="21"/>
      <c r="G21" s="22"/>
      <c r="H21" s="21"/>
      <c r="I21" s="25"/>
      <c r="J21" s="26"/>
    </row>
    <row r="22" spans="1:10" s="8" customFormat="1" ht="40.15" customHeight="1" x14ac:dyDescent="0.1">
      <c r="A22" s="34" t="s">
        <v>145</v>
      </c>
      <c r="B22" s="12" t="s">
        <v>122</v>
      </c>
      <c r="C22" s="27"/>
      <c r="D22" s="21"/>
      <c r="E22" s="22"/>
      <c r="F22" s="21"/>
      <c r="G22" s="22"/>
      <c r="H22" s="21"/>
      <c r="I22" s="25"/>
      <c r="J22" s="26"/>
    </row>
    <row r="23" spans="1:10" s="8" customFormat="1" ht="40.15" customHeight="1" x14ac:dyDescent="0.1">
      <c r="A23" s="35" t="s">
        <v>146</v>
      </c>
      <c r="B23" s="28" t="s">
        <v>122</v>
      </c>
      <c r="C23" s="36" t="s">
        <v>147</v>
      </c>
      <c r="D23" s="29"/>
      <c r="E23" s="29"/>
      <c r="F23" s="29"/>
      <c r="G23" s="29"/>
      <c r="H23" s="29"/>
      <c r="I23" s="29"/>
      <c r="J23" s="30"/>
    </row>
    <row r="24" spans="1:10" ht="120" hidden="1" customHeight="1" thickBot="1" x14ac:dyDescent="0.15"/>
    <row r="25" spans="1:10" ht="55.15" hidden="1" customHeight="1" x14ac:dyDescent="0.1"/>
    <row r="26" spans="1:10" ht="55.15" hidden="1" customHeight="1" thickBot="1" x14ac:dyDescent="0.15"/>
    <row r="27" spans="1:10" ht="40.15" hidden="1" customHeight="1" x14ac:dyDescent="0.1"/>
    <row r="28" spans="1:10" s="8" customFormat="1" ht="40.15" hidden="1" customHeight="1" x14ac:dyDescent="0.1">
      <c r="A28" s="5"/>
      <c r="B28" s="6"/>
      <c r="C28" s="5"/>
      <c r="D28" s="5"/>
      <c r="E28" s="5"/>
      <c r="F28" s="5"/>
      <c r="G28" s="5"/>
      <c r="H28" s="5"/>
      <c r="I28" s="5"/>
      <c r="J28" s="5"/>
    </row>
    <row r="29" spans="1:10" s="8" customFormat="1" ht="55.5" hidden="1" customHeight="1" x14ac:dyDescent="0.1">
      <c r="A29" s="5"/>
      <c r="B29" s="6"/>
      <c r="C29" s="5"/>
      <c r="D29" s="5"/>
      <c r="E29" s="5"/>
      <c r="F29" s="5"/>
      <c r="G29" s="5"/>
      <c r="H29" s="5"/>
      <c r="I29" s="5"/>
      <c r="J29" s="5"/>
    </row>
    <row r="30" spans="1:10" s="8" customFormat="1" ht="53.25" hidden="1" customHeight="1" x14ac:dyDescent="0.1">
      <c r="A30" s="5"/>
      <c r="B30" s="6"/>
      <c r="C30" s="5"/>
      <c r="D30" s="5"/>
      <c r="E30" s="5"/>
      <c r="F30" s="5"/>
      <c r="G30" s="5"/>
      <c r="H30" s="5"/>
      <c r="I30" s="5"/>
      <c r="J30" s="5"/>
    </row>
    <row r="31" spans="1:10" s="8" customFormat="1" ht="99.75" hidden="1" customHeight="1" x14ac:dyDescent="0.1">
      <c r="A31" s="5"/>
      <c r="B31" s="6"/>
      <c r="C31" s="5"/>
      <c r="D31" s="5"/>
      <c r="E31" s="5"/>
      <c r="F31" s="5"/>
      <c r="G31" s="5"/>
      <c r="H31" s="5"/>
      <c r="I31" s="5"/>
      <c r="J31" s="5"/>
    </row>
    <row r="32" spans="1:10" s="8" customFormat="1" ht="40.15" hidden="1" customHeight="1" x14ac:dyDescent="0.1">
      <c r="A32" s="5"/>
      <c r="B32" s="6"/>
      <c r="C32" s="5"/>
      <c r="D32" s="5"/>
      <c r="E32" s="5"/>
      <c r="F32" s="5"/>
      <c r="G32" s="5"/>
      <c r="H32" s="5"/>
      <c r="I32" s="5"/>
      <c r="J32" s="5"/>
    </row>
    <row r="33" spans="1:13" s="8" customFormat="1" ht="40.15" hidden="1" customHeight="1" x14ac:dyDescent="0.1">
      <c r="A33" s="5"/>
      <c r="B33" s="6"/>
      <c r="C33" s="5"/>
      <c r="D33" s="5"/>
      <c r="E33" s="5"/>
      <c r="F33" s="5"/>
      <c r="G33" s="5"/>
      <c r="H33" s="5"/>
      <c r="I33" s="5"/>
      <c r="J33" s="5"/>
    </row>
    <row r="34" spans="1:13" s="8" customFormat="1" ht="75" hidden="1" customHeight="1" x14ac:dyDescent="0.1">
      <c r="A34" s="5"/>
      <c r="B34" s="6"/>
      <c r="C34" s="5"/>
      <c r="D34" s="5"/>
      <c r="E34" s="5"/>
      <c r="F34" s="5"/>
      <c r="G34" s="5"/>
      <c r="H34" s="5"/>
      <c r="I34" s="5"/>
      <c r="J34" s="5"/>
    </row>
    <row r="35" spans="1:13" s="8" customFormat="1" ht="40.15" hidden="1" customHeight="1" x14ac:dyDescent="0.1">
      <c r="A35" s="5"/>
      <c r="B35" s="6"/>
      <c r="C35" s="5"/>
      <c r="D35" s="5"/>
      <c r="E35" s="5"/>
      <c r="F35" s="5"/>
      <c r="G35" s="5"/>
      <c r="H35" s="5"/>
      <c r="I35" s="5"/>
      <c r="J35" s="5"/>
      <c r="M35" s="19"/>
    </row>
    <row r="36" spans="1:13" s="8" customFormat="1" ht="40.15" hidden="1" customHeight="1" x14ac:dyDescent="0.1">
      <c r="A36" s="5"/>
      <c r="B36" s="6"/>
      <c r="C36" s="5"/>
      <c r="D36" s="5"/>
      <c r="E36" s="5"/>
      <c r="F36" s="5"/>
      <c r="G36" s="5"/>
      <c r="H36" s="5"/>
      <c r="I36" s="5"/>
      <c r="J36" s="5"/>
    </row>
    <row r="37" spans="1:13" s="8" customFormat="1" ht="40.15" hidden="1" customHeight="1" x14ac:dyDescent="0.1">
      <c r="A37" s="5"/>
      <c r="B37" s="6"/>
      <c r="C37" s="5"/>
      <c r="D37" s="5"/>
      <c r="E37" s="5"/>
      <c r="F37" s="5"/>
      <c r="G37" s="5"/>
      <c r="H37" s="5"/>
      <c r="I37" s="5"/>
      <c r="J37" s="5"/>
    </row>
    <row r="38" spans="1:13" s="8" customFormat="1" ht="40.15" hidden="1" customHeight="1" x14ac:dyDescent="0.1">
      <c r="A38" s="5"/>
      <c r="B38" s="6"/>
      <c r="C38" s="5"/>
      <c r="D38" s="5"/>
      <c r="E38" s="5"/>
      <c r="F38" s="5"/>
      <c r="G38" s="5"/>
      <c r="H38" s="5"/>
      <c r="I38" s="5"/>
      <c r="J38" s="5"/>
    </row>
    <row r="39" spans="1:13" s="8" customFormat="1" ht="40.15" hidden="1" customHeight="1" x14ac:dyDescent="0.1">
      <c r="A39" s="5"/>
      <c r="B39" s="6"/>
      <c r="C39" s="5"/>
      <c r="D39" s="5"/>
      <c r="E39" s="5"/>
      <c r="F39" s="5"/>
      <c r="G39" s="5"/>
      <c r="H39" s="5"/>
      <c r="I39" s="5"/>
      <c r="J39" s="5"/>
    </row>
    <row r="40" spans="1:13" s="8" customFormat="1" ht="40.15" hidden="1" customHeight="1" x14ac:dyDescent="0.1">
      <c r="A40" s="5"/>
      <c r="B40" s="6"/>
      <c r="C40" s="5"/>
      <c r="D40" s="5"/>
      <c r="E40" s="5"/>
      <c r="F40" s="5"/>
      <c r="G40" s="5"/>
      <c r="H40" s="5"/>
      <c r="I40" s="5"/>
      <c r="J40" s="5"/>
    </row>
    <row r="41" spans="1:13" s="8" customFormat="1" ht="40.15" hidden="1" customHeight="1" x14ac:dyDescent="0.1">
      <c r="A41" s="5"/>
      <c r="B41" s="6"/>
      <c r="C41" s="5"/>
      <c r="D41" s="5"/>
      <c r="E41" s="5"/>
      <c r="F41" s="5"/>
      <c r="G41" s="5"/>
      <c r="H41" s="5"/>
      <c r="I41" s="5"/>
      <c r="J41" s="5"/>
    </row>
    <row r="42" spans="1:13" s="8" customFormat="1" ht="40.15" hidden="1" customHeight="1" x14ac:dyDescent="0.1">
      <c r="A42" s="5"/>
      <c r="B42" s="6"/>
      <c r="C42" s="5"/>
      <c r="D42" s="5"/>
      <c r="E42" s="5"/>
      <c r="F42" s="5"/>
      <c r="G42" s="5"/>
      <c r="H42" s="5"/>
      <c r="I42" s="5"/>
      <c r="J42" s="5"/>
    </row>
  </sheetData>
  <mergeCells count="12">
    <mergeCell ref="C14:J14"/>
    <mergeCell ref="C7:J7"/>
    <mergeCell ref="A1:J1"/>
    <mergeCell ref="A2:J2"/>
    <mergeCell ref="A3:J3"/>
    <mergeCell ref="C5:J5"/>
    <mergeCell ref="C6:J6"/>
    <mergeCell ref="C13:J13"/>
    <mergeCell ref="C8:J8"/>
    <mergeCell ref="C9:J9"/>
    <mergeCell ref="C10:J10"/>
    <mergeCell ref="C11:J11"/>
  </mergeCells>
  <phoneticPr fontId="22" type="noConversion"/>
  <printOptions horizontalCentered="1"/>
  <pageMargins left="0.25" right="0.25" top="0.75" bottom="0.75" header="0.3" footer="0.3"/>
  <pageSetup paperSize="9" scale="69" fitToHeight="0"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
  <sheetViews>
    <sheetView topLeftCell="A22" workbookViewId="0">
      <selection activeCell="P41" sqref="P41"/>
    </sheetView>
  </sheetViews>
  <sheetFormatPr defaultRowHeight="13.5" x14ac:dyDescent="0.1"/>
  <sheetData/>
  <phoneticPr fontId="22" type="noConversion"/>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70C0"/>
  </sheetPr>
  <dimension ref="A1"/>
  <sheetViews>
    <sheetView workbookViewId="0">
      <selection activeCell="P41" sqref="P41"/>
    </sheetView>
  </sheetViews>
  <sheetFormatPr defaultRowHeight="13.5" x14ac:dyDescent="0.1"/>
  <sheetData/>
  <phoneticPr fontId="22" type="noConversion"/>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2060"/>
  </sheetPr>
  <dimension ref="I3"/>
  <sheetViews>
    <sheetView zoomScale="145" zoomScaleNormal="145" workbookViewId="0">
      <selection activeCell="P41" sqref="P41"/>
    </sheetView>
  </sheetViews>
  <sheetFormatPr defaultRowHeight="13.5" x14ac:dyDescent="0.1"/>
  <cols>
    <col min="9" max="9" width="80.69140625" customWidth="1"/>
  </cols>
  <sheetData>
    <row r="3" spans="9:9" ht="57" x14ac:dyDescent="0.1">
      <c r="I3" s="31" t="s">
        <v>148</v>
      </c>
    </row>
  </sheetData>
  <phoneticPr fontId="22" type="noConversion"/>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
  <sheetViews>
    <sheetView topLeftCell="A6" zoomScale="130" zoomScaleNormal="130" workbookViewId="0">
      <selection activeCell="P41" sqref="P41"/>
    </sheetView>
  </sheetViews>
  <sheetFormatPr defaultRowHeight="13.5" x14ac:dyDescent="0.1"/>
  <sheetData>
    <row r="2" ht="24" customHeight="1" x14ac:dyDescent="0.1"/>
  </sheetData>
  <phoneticPr fontId="22" type="noConversion"/>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F578F7E343D8343BFA88033B90E0562" ma:contentTypeVersion="20" ma:contentTypeDescription="Create a new document." ma:contentTypeScope="" ma:versionID="d96a21759101388c18ea9b5221d29ca7">
  <xsd:schema xmlns:xsd="http://www.w3.org/2001/XMLSchema" xmlns:xs="http://www.w3.org/2001/XMLSchema" xmlns:p="http://schemas.microsoft.com/office/2006/metadata/properties" xmlns:ns1="http://schemas.microsoft.com/sharepoint/v3" xmlns:ns2="4133dc65-1983-422d-a502-a502350f8e77" xmlns:ns3="4f9a4399-4a18-425c-a92f-df0a86830ab4" targetNamespace="http://schemas.microsoft.com/office/2006/metadata/properties" ma:root="true" ma:fieldsID="af2e5068a03d288059cef963318c8732" ns1:_="" ns2:_="" ns3:_="">
    <xsd:import namespace="http://schemas.microsoft.com/sharepoint/v3"/>
    <xsd:import namespace="4133dc65-1983-422d-a502-a502350f8e77"/>
    <xsd:import namespace="4f9a4399-4a18-425c-a92f-df0a86830ab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1:AverageRating" minOccurs="0"/>
                <xsd:element ref="ns1:RatingCount" minOccurs="0"/>
                <xsd:element ref="ns1:RatedBy" minOccurs="0"/>
                <xsd:element ref="ns1:Ratings" minOccurs="0"/>
                <xsd:element ref="ns1:LikesCount" minOccurs="0"/>
                <xsd:element ref="ns1:LikedBy"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AverageRating" ma:index="18" nillable="true" ma:displayName="Rating (0-5)" ma:decimals="2" ma:description="Average value of all the ratings that have been submitted" ma:internalName="AverageRating" ma:readOnly="true">
      <xsd:simpleType>
        <xsd:restriction base="dms:Number"/>
      </xsd:simpleType>
    </xsd:element>
    <xsd:element name="RatingCount" ma:index="19" nillable="true" ma:displayName="Number of Ratings" ma:decimals="0" ma:description="Number of ratings submitted" ma:internalName="RatingCount" ma:readOnly="true">
      <xsd:simpleType>
        <xsd:restriction base="dms:Number"/>
      </xsd:simpleType>
    </xsd:element>
    <xsd:element name="RatedBy" ma:index="20" nillable="true" ma:displayName="Rated By" ma:description="Users rated the item." ma:hidden="true" ma:list="UserInfo" ma:internalName="RatedBy">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Ratings" ma:index="21" nillable="true" ma:displayName="User ratings" ma:description="User ratings for the item" ma:hidden="true" ma:internalName="Ratings">
      <xsd:simpleType>
        <xsd:restriction base="dms:Note"/>
      </xsd:simpleType>
    </xsd:element>
    <xsd:element name="LikesCount" ma:index="22" nillable="true" ma:displayName="Number of Likes" ma:internalName="LikesCount">
      <xsd:simpleType>
        <xsd:restriction base="dms:Unknown"/>
      </xsd:simpleType>
    </xsd:element>
    <xsd:element name="LikedBy" ma:index="23" nillable="true" ma:displayName="Liked By" ma:hidden="true" ma:list="UserInfo" ma:internalName="LikedBy">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4133dc65-1983-422d-a502-a502350f8e7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c2e831d-d9a8-4612-9548-5df55094e964"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24" nillable="true" ma:displayName="Location" ma:indexed="true" ma:internalName="MediaServiceLocation" ma:readOnly="true">
      <xsd:simpleType>
        <xsd:restriction base="dms:Text"/>
      </xsd:simpleType>
    </xsd:element>
    <xsd:element name="MediaLengthInSeconds" ma:index="25"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f9a4399-4a18-425c-a92f-df0a86830ab4"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ee6d2380-0710-410f-aacd-8421feae6ce7}" ma:internalName="TaxCatchAll" ma:showField="CatchAllData" ma:web="4f9a4399-4a18-425c-a92f-df0a86830ab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ikesCount xmlns="http://schemas.microsoft.com/sharepoint/v3" xsi:nil="true"/>
    <Ratings xmlns="http://schemas.microsoft.com/sharepoint/v3" xsi:nil="true"/>
    <LikedBy xmlns="http://schemas.microsoft.com/sharepoint/v3">
      <UserInfo>
        <DisplayName/>
        <AccountId xsi:nil="true"/>
        <AccountType/>
      </UserInfo>
    </LikedBy>
    <TaxCatchAll xmlns="4f9a4399-4a18-425c-a92f-df0a86830ab4" xsi:nil="true"/>
    <lcf76f155ced4ddcb4097134ff3c332f xmlns="4133dc65-1983-422d-a502-a502350f8e77">
      <Terms xmlns="http://schemas.microsoft.com/office/infopath/2007/PartnerControls"/>
    </lcf76f155ced4ddcb4097134ff3c332f>
    <RatedBy xmlns="http://schemas.microsoft.com/sharepoint/v3">
      <UserInfo>
        <DisplayName/>
        <AccountId xsi:nil="true"/>
        <AccountType/>
      </UserInfo>
    </RatedBy>
  </documentManagement>
</p:properties>
</file>

<file path=customXml/itemProps1.xml><?xml version="1.0" encoding="utf-8"?>
<ds:datastoreItem xmlns:ds="http://schemas.openxmlformats.org/officeDocument/2006/customXml" ds:itemID="{E1DA2D53-6590-4F69-8687-EC0CF339AFA2}">
  <ds:schemaRefs>
    <ds:schemaRef ds:uri="http://schemas.microsoft.com/office/2006/metadata/contentType"/>
    <ds:schemaRef ds:uri="http://schemas.microsoft.com/office/2006/metadata/properties/metaAttributes"/>
    <ds:schemaRef ds:uri="http://www.w3.org/2000/xmlns/"/>
    <ds:schemaRef ds:uri="http://www.w3.org/2001/XMLSchema"/>
    <ds:schemaRef ds:uri="http://schemas.microsoft.com/sharepoint/v3"/>
    <ds:schemaRef ds:uri="4133dc65-1983-422d-a502-a502350f8e77"/>
    <ds:schemaRef ds:uri="4f9a4399-4a18-425c-a92f-df0a86830ab4"/>
  </ds:schemaRefs>
</ds:datastoreItem>
</file>

<file path=customXml/itemProps2.xml><?xml version="1.0" encoding="utf-8"?>
<ds:datastoreItem xmlns:ds="http://schemas.openxmlformats.org/officeDocument/2006/customXml" ds:itemID="{9822D4E7-869C-4058-A906-785DEE591E44}">
  <ds:schemaRefs>
    <ds:schemaRef ds:uri="http://schemas.microsoft.com/sharepoint/v3/contenttype/forms"/>
  </ds:schemaRefs>
</ds:datastoreItem>
</file>

<file path=customXml/itemProps3.xml><?xml version="1.0" encoding="utf-8"?>
<ds:datastoreItem xmlns:ds="http://schemas.openxmlformats.org/officeDocument/2006/customXml" ds:itemID="{E85F076B-F13F-4C0C-8AFC-ED9D418BF6FC}">
  <ds:schemaRefs>
    <ds:schemaRef ds:uri="http://schemas.microsoft.com/office/2006/metadata/properties"/>
    <ds:schemaRef ds:uri="http://www.w3.org/2000/xmlns/"/>
    <ds:schemaRef ds:uri="http://schemas.microsoft.com/sharepoint/v3"/>
    <ds:schemaRef ds:uri="http://www.w3.org/2001/XMLSchema-instance"/>
    <ds:schemaRef ds:uri="4f9a4399-4a18-425c-a92f-df0a86830ab4"/>
    <ds:schemaRef ds:uri="4133dc65-1983-422d-a502-a502350f8e77"/>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Excel iOS</Application>
  <DocSecurity>0</DocSecurity>
  <ScaleCrop>false</ScaleCrop>
  <HeadingPairs>
    <vt:vector size="4" baseType="variant">
      <vt:variant>
        <vt:lpstr>Trang tính</vt:lpstr>
      </vt:variant>
      <vt:variant>
        <vt:i4>8</vt:i4>
      </vt:variant>
      <vt:variant>
        <vt:lpstr>Phạm vi Có tên</vt:lpstr>
      </vt:variant>
      <vt:variant>
        <vt:i4>7</vt:i4>
      </vt:variant>
    </vt:vector>
  </HeadingPairs>
  <TitlesOfParts>
    <vt:vector size="15" baseType="lpstr">
      <vt:lpstr>Detailed PL</vt:lpstr>
      <vt:lpstr>Packing List (1_2)</vt:lpstr>
      <vt:lpstr>PL(2_2)</vt:lpstr>
      <vt:lpstr>SHIPPING MARK</vt:lpstr>
      <vt:lpstr>CO</vt:lpstr>
      <vt:lpstr>CQ</vt:lpstr>
      <vt:lpstr>BL</vt:lpstr>
      <vt:lpstr>PSIC</vt:lpstr>
      <vt:lpstr>PSIC!_Hlk215568700</vt:lpstr>
      <vt:lpstr>Detailed PL!Print_Titles</vt:lpstr>
      <vt:lpstr>PL(2_2)!Print_Titles</vt:lpstr>
      <vt:lpstr>Detailed PL!Vùng_In</vt:lpstr>
      <vt:lpstr>Packing List (1_2)!Vùng_In</vt:lpstr>
      <vt:lpstr>PL(2_2)!Vùng_In</vt:lpstr>
      <vt:lpstr>SHIPPING MARK!Vùng_In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Bùi Thị Thu Nguyệt</dc:creator>
  <cp:keywords/>
  <dc:description/>
  <cp:lastModifiedBy>VU NGA</cp:lastModifiedBy>
  <cp:revision/>
  <cp:lastPrinted>2026-06-16T05:51:20Z</cp:lastPrinted>
  <dcterms:created xsi:type="dcterms:W3CDTF">2025-07-09T09:39:20Z</dcterms:created>
  <dcterms:modified xsi:type="dcterms:W3CDTF">2026-08-13T08:40:39Z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0x0101000F578F7E343D8343BFA88033B90E0562</vt:lpwstr>
  </property>
  <property fmtid="{D5CDD505-2E9C-101B-9397-08002B2CF9AE}" pid="3" name="MediaServiceImageTags">
    <vt:lpwstr/>
  </property>
</Properties>
</file>