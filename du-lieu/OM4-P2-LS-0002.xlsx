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H:\NGA 2026\Dự án\Pecc2-Ô môn\047\Phụ LụcHD\hồ sơ Omon d2\"/>
    </mc:Choice>
  </mc:AlternateContent>
  <xr:revisionPtr revIDLastSave="0" documentId="13_ncr:1_{F9D1C3F5-9E08-4281-86EB-838C9D99E284}" xr6:coauthVersionLast="47" xr6:coauthVersionMax="47" xr10:uidLastSave="{00000000-0000-0000-0000-000000000000}"/>
  <bookViews>
    <workbookView xWindow="-120" yWindow="-120" windowWidth="20730" windowHeight="11310" tabRatio="667" xr2:uid="{00000000-000D-0000-FFFF-FFFF00000000}"/>
  </bookViews>
  <sheets>
    <sheet name="Detailed PL" sheetId="5" r:id="rId1"/>
    <sheet name="SHIPPING MARK" sheetId="12" state="hidden" r:id="rId2"/>
    <sheet name="CO" sheetId="6" state="hidden" r:id="rId3"/>
    <sheet name="CQ" sheetId="10" state="hidden" r:id="rId4"/>
    <sheet name="BL" sheetId="7" state="hidden" r:id="rId5"/>
    <sheet name="PSIC" sheetId="11" state="hidden" r:id="rId6"/>
  </sheets>
  <externalReferences>
    <externalReference r:id="rId7"/>
    <externalReference r:id="rId8"/>
    <externalReference r:id="rId9"/>
    <externalReference r:id="rId10"/>
    <externalReference r:id="rId11"/>
    <externalReference r:id="rId12"/>
  </externalReferences>
  <definedNames>
    <definedName name="__123Graph_A" localSheetId="0" hidden="1">'[1]Eq. Mobilization'!#REF!</definedName>
    <definedName name="__123Graph_A" localSheetId="1" hidden="1">'[1]Eq. Mobilization'!#REF!</definedName>
    <definedName name="__123Graph_A" hidden="1">'[1]Eq. Mobilization'!#REF!</definedName>
    <definedName name="__123Graph_ACurrent" localSheetId="0" hidden="1">'[1]Eq. Mobilization'!#REF!</definedName>
    <definedName name="__123Graph_ACurrent" localSheetId="1" hidden="1">'[1]Eq. Mobilization'!#REF!</definedName>
    <definedName name="__123Graph_ACurrent" hidden="1">'[1]Eq. Mobilization'!#REF!</definedName>
    <definedName name="__123Graph_B" localSheetId="0" hidden="1">'[1]Eq. Mobilization'!#REF!</definedName>
    <definedName name="__123Graph_B" localSheetId="1" hidden="1">'[1]Eq. Mobilization'!#REF!</definedName>
    <definedName name="__123Graph_B" hidden="1">'[1]Eq. Mobilization'!#REF!</definedName>
    <definedName name="__123Graph_BCurrent" localSheetId="0" hidden="1">'[1]Eq. Mobilization'!#REF!</definedName>
    <definedName name="__123Graph_BCurrent" localSheetId="1" hidden="1">'[1]Eq. Mobilization'!#REF!</definedName>
    <definedName name="__123Graph_BCurrent" hidden="1">'[1]Eq. Mobilization'!#REF!</definedName>
    <definedName name="__123Graph_D" localSheetId="0" hidden="1">#REF!</definedName>
    <definedName name="__123Graph_D" localSheetId="1" hidden="1">#REF!</definedName>
    <definedName name="__123Graph_D" hidden="1">#REF!</definedName>
    <definedName name="__123Graph_E" localSheetId="1" hidden="1">#REF!</definedName>
    <definedName name="__123Graph_E" hidden="1">#REF!</definedName>
    <definedName name="__123Graph_LBL_A" localSheetId="0" hidden="1">'[1]Eq. Mobilization'!#REF!</definedName>
    <definedName name="__123Graph_LBL_A" localSheetId="1" hidden="1">'[1]Eq. Mobilization'!#REF!</definedName>
    <definedName name="__123Graph_LBL_A" hidden="1">'[1]Eq. Mobilization'!#REF!</definedName>
    <definedName name="__123Graph_LBL_B" localSheetId="0" hidden="1">'[1]Eq. Mobilization'!#REF!</definedName>
    <definedName name="__123Graph_LBL_B" localSheetId="1" hidden="1">'[1]Eq. Mobilization'!#REF!</definedName>
    <definedName name="__123Graph_LBL_B" hidden="1">'[1]Eq. Mobilization'!#REF!</definedName>
    <definedName name="__123Graph_X" localSheetId="0" hidden="1">'[1]Eq. Mobilization'!#REF!</definedName>
    <definedName name="__123Graph_X" localSheetId="1" hidden="1">'[1]Eq. Mobilization'!#REF!</definedName>
    <definedName name="__123Graph_X" hidden="1">'[1]Eq. Mobilization'!#REF!</definedName>
    <definedName name="__123Graph_XCurrent" localSheetId="0" hidden="1">'[1]Eq. Mobilization'!#REF!</definedName>
    <definedName name="__123Graph_XCurrent" localSheetId="1" hidden="1">'[1]Eq. Mobilization'!#REF!</definedName>
    <definedName name="__123Graph_XCurrent" hidden="1">'[1]Eq. Mobilization'!#REF!</definedName>
    <definedName name="_1__123Graph_AChart_1A" localSheetId="0" hidden="1">'[1]Eq. Mobilization'!#REF!</definedName>
    <definedName name="_1__123Graph_AChart_1A" localSheetId="1" hidden="1">'[1]Eq. Mobilization'!#REF!</definedName>
    <definedName name="_1__123Graph_AChart_1A" hidden="1">'[1]Eq. Mobilization'!#REF!</definedName>
    <definedName name="_2__123Graph_BChart_1A" localSheetId="0" hidden="1">'[1]Eq. Mobilization'!#REF!</definedName>
    <definedName name="_2__123Graph_BChart_1A" localSheetId="1" hidden="1">'[1]Eq. Mobilization'!#REF!</definedName>
    <definedName name="_2__123Graph_BChart_1A" hidden="1">'[1]Eq. Mobilization'!#REF!</definedName>
    <definedName name="_3__123Graph_XChart_1A" localSheetId="0" hidden="1">'[1]Eq. Mobilization'!#REF!</definedName>
    <definedName name="_3__123Graph_XChart_1A" localSheetId="1" hidden="1">'[1]Eq. Mobilization'!#REF!</definedName>
    <definedName name="_3__123Graph_XChart_1A" hidden="1">'[1]Eq. Mobilization'!#REF!</definedName>
    <definedName name="_Fill" localSheetId="0" hidden="1">#REF!</definedName>
    <definedName name="_Fill" localSheetId="1" hidden="1">#REF!</definedName>
    <definedName name="_Fill" hidden="1">#REF!</definedName>
    <definedName name="_xlnm._FilterDatabase" localSheetId="0" hidden="1">'Detailed PL'!$B$13:$AF$65</definedName>
    <definedName name="_xlnm._FilterDatabase" localSheetId="1" hidden="1">'SHIPPING MARK'!$A$1:$A$23</definedName>
    <definedName name="_Hlk215568700" localSheetId="5">PSIC!$B$2</definedName>
    <definedName name="_Key1" localSheetId="1" hidden="1">#REF!</definedName>
    <definedName name="_Key1" hidden="1">#REF!</definedName>
    <definedName name="_Key2" localSheetId="1" hidden="1">#REF!</definedName>
    <definedName name="_Key2" hidden="1">#REF!</definedName>
    <definedName name="_Order1" hidden="1">255</definedName>
    <definedName name="_Order2" hidden="1">255</definedName>
    <definedName name="_Parse_In" localSheetId="0" hidden="1">#REF!</definedName>
    <definedName name="_Parse_In" localSheetId="1" hidden="1">#REF!</definedName>
    <definedName name="_Parse_In" hidden="1">#REF!</definedName>
    <definedName name="_Parse_Out" localSheetId="1" hidden="1">#REF!</definedName>
    <definedName name="_Parse_Out" hidden="1">#REF!</definedName>
    <definedName name="_Sort" localSheetId="1" hidden="1">#REF!</definedName>
    <definedName name="_Sort" hidden="1">#REF!</definedName>
    <definedName name="A" localSheetId="1" hidden="1">#REF!</definedName>
    <definedName name="A" hidden="1">#REF!</definedName>
    <definedName name="ABC" localSheetId="0" hidden="1">'[2]Eq. Mobilization'!#REF!</definedName>
    <definedName name="ABC" localSheetId="1" hidden="1">'[2]Eq. Mobilization'!#REF!</definedName>
    <definedName name="ABC" hidden="1">'[2]Eq. Mobilization'!#REF!</definedName>
    <definedName name="CO" localSheetId="0" hidden="1">'[3]Eq. Mobilization'!#REF!</definedName>
    <definedName name="CO" localSheetId="1" hidden="1">'[3]Eq. Mobilization'!#REF!</definedName>
    <definedName name="CO" hidden="1">'[3]Eq. Mobilization'!#REF!</definedName>
    <definedName name="e" localSheetId="1" hidden="1">'[1]Eq. Mobilization'!#REF!</definedName>
    <definedName name="e" hidden="1">'[1]Eq. Mobilization'!#REF!</definedName>
    <definedName name="Ge" localSheetId="1" hidden="1">'[1]Eq. Mobilization'!#REF!</definedName>
    <definedName name="Ge" hidden="1">'[1]Eq. Mobilization'!#REF!</definedName>
    <definedName name="iv2dt" localSheetId="0" hidden="1">'[1]Eq. Mobilization'!#REF!</definedName>
    <definedName name="iv2dt" localSheetId="1" hidden="1">'[1]Eq. Mobilization'!#REF!</definedName>
    <definedName name="iv2dt" hidden="1">'[1]Eq. Mobilization'!#REF!</definedName>
    <definedName name="ivdt" localSheetId="0" hidden="1">'[1]Eq. Mobilization'!#REF!</definedName>
    <definedName name="ivdt" localSheetId="1" hidden="1">'[1]Eq. Mobilization'!#REF!</definedName>
    <definedName name="ivdt" hidden="1">'[1]Eq. Mobilization'!#REF!</definedName>
    <definedName name="KABOLINE" localSheetId="0" hidden="1">'[1]Eq. Mobilization'!#REF!</definedName>
    <definedName name="KABOLINE" localSheetId="1" hidden="1">'[1]Eq. Mobilization'!#REF!</definedName>
    <definedName name="KABOLINE" hidden="1">'[1]Eq. Mobilization'!#REF!</definedName>
    <definedName name="latent">'[4]steam table'!$N$5:$Q$102</definedName>
    <definedName name="_xlnm.Print_Titles" localSheetId="0">'Detailed PL'!$13:$14</definedName>
    <definedName name="SM" localSheetId="1" hidden="1">#REF!</definedName>
    <definedName name="SM" hidden="1">#REF!</definedName>
    <definedName name="tube_test_press1_12">#REF!</definedName>
    <definedName name="_xlnm.Print_Area" localSheetId="0">'Detailed PL'!$A$1:$S$66</definedName>
    <definedName name="_xlnm.Print_Area" localSheetId="1">'SHIPPING MARK'!$A$1:$J$23</definedName>
    <definedName name="weki_9701.xls" localSheetId="1" hidden="1">'[1]Eq. Mobilization'!#REF!</definedName>
    <definedName name="weki_9701.xls" hidden="1">'[1]Eq. Mobilization'!#REF!</definedName>
    <definedName name="wekir9701.xls" localSheetId="1" hidden="1">'[1]Eq. Mobilization'!#REF!</definedName>
    <definedName name="wekir9701.xls" hidden="1">'[1]Eq. Mobilization'!#REF!</definedName>
    <definedName name="X" localSheetId="1" hidden="1">'[2]Eq. Mobilization'!#REF!</definedName>
    <definedName name="X" hidden="1">'[2]Eq. Mobilization'!#REF!</definedName>
    <definedName name="Z" localSheetId="1" hidden="1">'[2]Eq. Mobilization'!#REF!</definedName>
    <definedName name="Z" hidden="1">'[2]Eq. Mobilization'!#REF!</definedName>
    <definedName name="ㄴㅇㄹㅇㄹ" localSheetId="0" hidden="1">'[2]Eq. Mobilization'!#REF!</definedName>
    <definedName name="ㄴㅇㄹㅇㄹ" localSheetId="1" hidden="1">'[2]Eq. Mobilization'!#REF!</definedName>
    <definedName name="ㄴㅇㄹㅇㄹ" hidden="1">'[2]Eq. Mobilization'!#REF!</definedName>
    <definedName name="느" localSheetId="1" hidden="1">'[1]Eq. Mobilization'!#REF!</definedName>
    <definedName name="느" hidden="1">'[1]Eq. Mobilization'!#REF!</definedName>
    <definedName name="ㅊㅌㅍㅊㅍㅊㅌㅍㅊㅌㅍㅊㅌㅍㅊㅌㅍㅊㅌㅍ" localSheetId="0" hidden="1">'[5]Eq. Mobilization'!#REF!</definedName>
    <definedName name="ㅊㅌㅍㅊㅍㅊㅌㅍㅊㅌㅍㅊㅌㅍㅊㅌㅍㅊㅌㅍ" localSheetId="1" hidden="1">'[5]Eq. Mobilization'!#REF!</definedName>
    <definedName name="ㅊㅌㅍㅊㅍㅊㅌㅍㅊㅌㅍㅊㅌㅍㅊㅌㅍㅊㅌㅍ" hidden="1">'[5]Eq. Mobilization'!#REF!</definedName>
    <definedName name="ㅊㅌㅍㅊㅍㅌㅋㅊㅍㅌㅊㅍ" localSheetId="0" hidden="1">'[5]Eq. Mobilization'!#REF!</definedName>
    <definedName name="ㅊㅌㅍㅊㅍㅌㅋㅊㅍㅌㅊㅍ" localSheetId="1" hidden="1">'[5]Eq. Mobilization'!#REF!</definedName>
    <definedName name="ㅊㅌㅍㅊㅍㅌㅋㅊㅍㅌㅊㅍ" hidden="1">'[5]Eq. Mobilization'!#REF!</definedName>
    <definedName name="ㅊㅌㅍㅋㅊㅍㅌㅊㅍㅌㅊㅍ" localSheetId="0" hidden="1">'[5]Eq. Mobilization'!#REF!</definedName>
    <definedName name="ㅊㅌㅍㅋㅊㅍㅌㅊㅍㅌㅊㅍ" localSheetId="1" hidden="1">'[5]Eq. Mobilization'!#REF!</definedName>
    <definedName name="ㅊㅌㅍㅋㅊㅍㅌㅊㅍㅌㅊㅍ" hidden="1">'[5]Eq. Mobilization'!#REF!</definedName>
    <definedName name="ㅊㅌㅍㅌㅊㅍㅊㅌㅍㅌㅊㅍㅌㅊㅍ" localSheetId="0" hidden="1">'[5]Eq. Mobilization'!#REF!</definedName>
    <definedName name="ㅊㅌㅍㅌㅊㅍㅊㅌㅍㅌㅊㅍㅌㅊㅍ" localSheetId="1" hidden="1">'[5]Eq. Mobilization'!#REF!</definedName>
    <definedName name="ㅊㅌㅍㅌㅊㅍㅊㅌㅍㅌㅊㅍㅌㅊㅍ" hidden="1">'[5]Eq. Mobilization'!#REF!</definedName>
    <definedName name="ㅋ" localSheetId="0" hidden="1">'[5]Eq. Mobilization'!#REF!</definedName>
    <definedName name="ㅋ" localSheetId="1" hidden="1">'[5]Eq. Mobilization'!#REF!</definedName>
    <definedName name="ㅋ" hidden="1">'[5]Eq. Mobilization'!#REF!</definedName>
    <definedName name="ㅋㅋㅋㅋ" localSheetId="0" hidden="1">'[5]Eq. Mobilization'!#REF!</definedName>
    <definedName name="ㅋㅋㅋㅋ" localSheetId="1" hidden="1">'[5]Eq. Mobilization'!#REF!</definedName>
    <definedName name="ㅋㅋㅋㅋ" hidden="1">'[5]Eq. Mobilization'!#REF!</definedName>
    <definedName name="ㅋㅋㅋㅋㅋㅋ" localSheetId="0" hidden="1">'[5]Eq. Mobilization'!#REF!</definedName>
    <definedName name="ㅋㅋㅋㅋㅋㅋ" localSheetId="1" hidden="1">'[5]Eq. Mobilization'!#REF!</definedName>
    <definedName name="ㅋㅋㅋㅋㅋㅋ" hidden="1">'[5]Eq. Mobilization'!#REF!</definedName>
    <definedName name="ㅋㅋㅋㅋㅋㅋㅋㅋㅋ" localSheetId="0" hidden="1">'[5]Eq. Mobilization'!#REF!</definedName>
    <definedName name="ㅋㅋㅋㅋㅋㅋㅋㅋㅋ" localSheetId="1" hidden="1">'[5]Eq. Mobilization'!#REF!</definedName>
    <definedName name="ㅋㅋㅋㅋㅋㅋㅋㅋㅋ" hidden="1">'[5]Eq. Mobilization'!#REF!</definedName>
    <definedName name="ㅌㅊㅍㅌㅊㅍㅌㅋㅊㅍㅌ" localSheetId="0" hidden="1">'[5]Eq. Mobilization'!#REF!</definedName>
    <definedName name="ㅌㅊㅍㅌㅊㅍㅌㅋㅊㅍㅌ" localSheetId="1" hidden="1">'[5]Eq. Mobilization'!#REF!</definedName>
    <definedName name="ㅌㅊㅍㅌㅊㅍㅌㅋㅊㅍㅌ" hidden="1">'[5]Eq. Mobilization'!#REF!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 i="5" l="1"/>
  <c r="Q22" i="5"/>
  <c r="Q21" i="5"/>
  <c r="Q16" i="5"/>
  <c r="Q17" i="5"/>
  <c r="Q18" i="5"/>
  <c r="Q19" i="5"/>
  <c r="Q15" i="5"/>
  <c r="P33" i="5"/>
  <c r="P31" i="5"/>
  <c r="P29" i="5"/>
  <c r="P27" i="5"/>
  <c r="P25" i="5"/>
  <c r="P23" i="5"/>
  <c r="O18" i="5"/>
  <c r="O17" i="5"/>
  <c r="O16" i="5"/>
  <c r="O15" i="5"/>
  <c r="O33" i="5"/>
  <c r="O31" i="5"/>
  <c r="O29" i="5"/>
  <c r="O27" i="5"/>
  <c r="O25" i="5"/>
  <c r="O23" i="5"/>
  <c r="O35" i="5"/>
  <c r="P35" i="5"/>
  <c r="P65" i="5"/>
  <c r="O65" i="5"/>
  <c r="P64" i="5"/>
  <c r="O64" i="5"/>
  <c r="P63" i="5"/>
  <c r="O63" i="5"/>
  <c r="P62" i="5"/>
  <c r="O62" i="5"/>
  <c r="P61" i="5"/>
  <c r="O61" i="5"/>
  <c r="P60" i="5"/>
  <c r="O60" i="5"/>
  <c r="P59" i="5"/>
  <c r="O59" i="5"/>
  <c r="P58" i="5"/>
  <c r="O58" i="5"/>
  <c r="P57" i="5"/>
  <c r="O57" i="5"/>
  <c r="P56" i="5"/>
  <c r="O56" i="5"/>
  <c r="P55" i="5"/>
  <c r="O55" i="5"/>
  <c r="P54" i="5"/>
  <c r="O54" i="5"/>
  <c r="P53" i="5"/>
  <c r="O53" i="5"/>
  <c r="P52" i="5"/>
  <c r="O52" i="5"/>
  <c r="P51" i="5"/>
  <c r="O51" i="5"/>
  <c r="P50" i="5"/>
  <c r="O50" i="5"/>
  <c r="P49" i="5"/>
  <c r="O49" i="5"/>
  <c r="P48" i="5"/>
  <c r="O48" i="5"/>
  <c r="P47" i="5"/>
  <c r="O47" i="5"/>
  <c r="P46" i="5"/>
  <c r="O46" i="5"/>
  <c r="P45" i="5"/>
  <c r="O45" i="5"/>
  <c r="P44" i="5"/>
  <c r="O44" i="5"/>
  <c r="P43" i="5"/>
  <c r="O43" i="5"/>
  <c r="P42" i="5"/>
  <c r="O42" i="5"/>
  <c r="P41" i="5"/>
  <c r="O41" i="5"/>
  <c r="P40" i="5"/>
  <c r="O40" i="5"/>
  <c r="P39" i="5"/>
  <c r="O39" i="5"/>
  <c r="P38" i="5"/>
  <c r="O38" i="5"/>
  <c r="P37" i="5"/>
  <c r="O37" i="5"/>
  <c r="Q35" i="5"/>
  <c r="Q27" i="5"/>
  <c r="Q31" i="5"/>
  <c r="Q38" i="5"/>
  <c r="Q42" i="5"/>
  <c r="Q46" i="5"/>
  <c r="Q50" i="5"/>
  <c r="Q37" i="5"/>
  <c r="Q39" i="5"/>
  <c r="Q41" i="5"/>
  <c r="Q43" i="5"/>
  <c r="Q47" i="5"/>
  <c r="Q49" i="5"/>
  <c r="Q53" i="5"/>
  <c r="Q40" i="5"/>
  <c r="Q44" i="5"/>
  <c r="Q48" i="5"/>
  <c r="Q54" i="5"/>
  <c r="Q56" i="5"/>
  <c r="Q58" i="5"/>
  <c r="Q62" i="5"/>
  <c r="Q51" i="5"/>
  <c r="Q57" i="5"/>
  <c r="Q59" i="5"/>
  <c r="Q63" i="5"/>
  <c r="Q25" i="5"/>
  <c r="Q29" i="5"/>
  <c r="Q33" i="5"/>
  <c r="Q23" i="5"/>
  <c r="Q45" i="5"/>
  <c r="Q52" i="5"/>
  <c r="Q60" i="5"/>
  <c r="Q61" i="5"/>
  <c r="Q55" i="5"/>
  <c r="Q64" i="5"/>
  <c r="Q65" i="5"/>
  <c r="O19" i="5"/>
  <c r="J18" i="5"/>
  <c r="P18" i="5"/>
  <c r="J17" i="5"/>
  <c r="P17" i="5"/>
  <c r="J16" i="5"/>
  <c r="P16" i="5"/>
  <c r="P36" i="5"/>
  <c r="O36" i="5"/>
  <c r="J15" i="5"/>
  <c r="P15" i="5"/>
  <c r="O20" i="5"/>
  <c r="O21" i="5"/>
  <c r="O22" i="5"/>
  <c r="Q36" i="5"/>
  <c r="O66" i="5"/>
  <c r="Q66" i="5"/>
  <c r="P66" i="5"/>
  <c r="D7" i="5"/>
  <c r="D5" i="5"/>
  <c r="D6" i="5"/>
  <c r="C14" i="12"/>
  <c r="H12" i="12"/>
  <c r="A3" i="12"/>
  <c r="AZ6" i="5"/>
  <c r="AY6" i="5"/>
  <c r="AX6" i="5"/>
  <c r="AW6" i="5"/>
  <c r="AU6" i="5"/>
  <c r="AT6" i="5"/>
  <c r="AS6" i="5"/>
  <c r="AR6" i="5"/>
  <c r="AQ6" i="5"/>
  <c r="AP6" i="5"/>
  <c r="AO6" i="5"/>
  <c r="AN6" i="5"/>
  <c r="AM6" i="5"/>
  <c r="AL6" i="5"/>
  <c r="AK6" i="5"/>
  <c r="AJ6" i="5"/>
  <c r="AI6" i="5"/>
  <c r="AH6" i="5"/>
  <c r="AG6" i="5"/>
  <c r="AF6" i="5"/>
  <c r="AE6" i="5"/>
  <c r="AD6" i="5"/>
  <c r="AC6" i="5"/>
  <c r="AB6" i="5"/>
  <c r="AA6" i="5"/>
  <c r="AV6" i="5"/>
</calcChain>
</file>

<file path=xl/sharedStrings.xml><?xml version="1.0" encoding="utf-8"?>
<sst xmlns="http://schemas.openxmlformats.org/spreadsheetml/2006/main" count="500" uniqueCount="187">
  <si>
    <t>SI.
No.</t>
    <phoneticPr fontId="0" type="noConversion"/>
  </si>
  <si>
    <t>Package No.</t>
    <phoneticPr fontId="0" type="noConversion"/>
  </si>
  <si>
    <t>Stranded Bare Copper Conductor 240 sq.mm
(C-240)</t>
  </si>
  <si>
    <t>m</t>
  </si>
  <si>
    <t>PVC Insulated Copper Conductor (Yellow and Green) - 240 sq.mm (CV 240,  0.6/1kV)</t>
  </si>
  <si>
    <t>PVC Insulated Copper Conductor (Yellow and Green) - 150 sq.mm (CV 150,  0.6/1kV)</t>
  </si>
  <si>
    <t>PVC Insulated Copper Conductor (Yellow and Green) - 95 sq.mm (CV 95,  0.6/1kV)</t>
  </si>
  <si>
    <t>Pure copper earth rod Φ18x3m, external thread both sides, factory tolerance.
 + Driving heads, internal thread for rod Φ18 (Black steel).
 + Driving tip, internal thread for rod Φ18 (Black steel).</t>
  </si>
  <si>
    <t>pcs</t>
  </si>
  <si>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</si>
  <si>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</si>
  <si>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</si>
  <si>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</si>
  <si>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</si>
  <si>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</si>
  <si>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BLR</t>
    <phoneticPr fontId="0" type="noConversion"/>
  </si>
  <si>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</si>
  <si>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</si>
  <si>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</si>
  <si>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</si>
  <si>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</si>
  <si>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</si>
  <si>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</si>
  <si>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</si>
  <si>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</si>
  <si>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</si>
  <si>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</si>
  <si>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</si>
  <si>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</si>
  <si>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</si>
  <si>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</si>
  <si>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</si>
  <si>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</si>
  <si>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</si>
  <si>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</si>
  <si>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</si>
  <si>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</si>
  <si>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</si>
  <si>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</si>
  <si>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</si>
  <si>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</si>
  <si>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</si>
  <si>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</si>
  <si>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</si>
  <si>
    <t>Quantity</t>
    <phoneticPr fontId="0" type="noConversion"/>
  </si>
  <si>
    <t>Package Type</t>
    <phoneticPr fontId="0" type="noConversion"/>
  </si>
  <si>
    <t>Net Weight
(kg)</t>
    <phoneticPr fontId="0" type="noConversion"/>
  </si>
  <si>
    <t>Gross Weight
(kg)</t>
    <phoneticPr fontId="0" type="noConversion"/>
  </si>
  <si>
    <t>Remark
(**)</t>
    <phoneticPr fontId="0" type="noConversion"/>
  </si>
  <si>
    <t>Nos</t>
    <phoneticPr fontId="0" type="noConversion"/>
  </si>
  <si>
    <t>Unit</t>
    <phoneticPr fontId="0" type="noConversion"/>
  </si>
  <si>
    <t>Roll</t>
  </si>
  <si>
    <t>C-240</t>
  </si>
  <si>
    <t>CV 240,  0.6/1kV</t>
  </si>
  <si>
    <t>CV 150,  0.6/1kV</t>
  </si>
  <si>
    <t>CV 95,  0.6/1kV</t>
  </si>
  <si>
    <t>Budle</t>
  </si>
  <si>
    <t>VA-CTD-1830</t>
  </si>
  <si>
    <t>VA-HKT</t>
  </si>
  <si>
    <t>Box</t>
  </si>
  <si>
    <t>DETAILED PACKING LIST</t>
    <phoneticPr fontId="0" type="noConversion"/>
  </si>
  <si>
    <t>PL No.</t>
    <phoneticPr fontId="0" type="noConversion"/>
  </si>
  <si>
    <t>Referenced DWG No.</t>
    <phoneticPr fontId="0" type="noConversion"/>
  </si>
  <si>
    <t>047.26. X021</t>
  </si>
  <si>
    <t>C/O of Goods</t>
    <phoneticPr fontId="0" type="noConversion"/>
  </si>
  <si>
    <t>kg</t>
  </si>
  <si>
    <t>Measurement</t>
    <phoneticPr fontId="0" type="noConversion"/>
  </si>
  <si>
    <t>Length
(mm)</t>
  </si>
  <si>
    <t>Width
(mm)</t>
  </si>
  <si>
    <t>Height
(mm)</t>
  </si>
  <si>
    <t>Volume
(cbm)</t>
  </si>
  <si>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</si>
  <si>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</si>
  <si>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</si>
  <si>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</si>
  <si>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</si>
  <si>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</si>
  <si>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CONSIGNEE</t>
    <phoneticPr fontId="0" type="noConversion"/>
  </si>
  <si>
    <t>As per the Contractor(Scope of Consortium)</t>
    <phoneticPr fontId="18" type="noConversion"/>
  </si>
  <si>
    <t xml:space="preserve">                    NOTIFY PARTY</t>
    <phoneticPr fontId="0" type="noConversion"/>
  </si>
  <si>
    <t>:</t>
    <phoneticPr fontId="0" type="noConversion"/>
  </si>
  <si>
    <t xml:space="preserve">                   CONTRACT NO.</t>
    <phoneticPr fontId="0" type="noConversion"/>
  </si>
  <si>
    <t>06/2025/HĐ-PVN/OM4-06</t>
    <phoneticPr fontId="18" type="noConversion"/>
  </si>
  <si>
    <t xml:space="preserve">                   SHIPMENT NO.</t>
    <phoneticPr fontId="0" type="noConversion"/>
  </si>
  <si>
    <t>Following shipment numbering</t>
    <phoneticPr fontId="18" type="noConversion"/>
  </si>
  <si>
    <t xml:space="preserve">EQUIPMENT DESCRIPTION </t>
    <phoneticPr fontId="0" type="noConversion"/>
  </si>
  <si>
    <t xml:space="preserve">                     CONSIGNOR.
            </t>
    <phoneticPr fontId="0" type="noConversion"/>
  </si>
  <si>
    <t xml:space="preserve">                     PACKAGE NO.
            </t>
    <phoneticPr fontId="0"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</si>
  <si>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</si>
  <si>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</si>
  <si>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</si>
  <si>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</si>
  <si>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</si>
  <si>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</si>
  <si>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</si>
  <si>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</si>
  <si>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</si>
  <si>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</si>
  <si>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</si>
  <si>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</si>
  <si>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</si>
  <si>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</si>
  <si>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Supplier / Manufacturer</t>
  </si>
  <si>
    <t>V.13</t>
  </si>
  <si>
    <t>Tag No./Model</t>
  </si>
  <si>
    <t>PECC2 Innovation Hub, 45 Street No.2, Truong Tho Ward, Thu Duc City, HCMC, Vietnam
Tel: +84-28-2221 6468 | Fax: +84-28-2221 0408</t>
  </si>
  <si>
    <t>Vietnam</t>
  </si>
  <si>
    <t>Truong Nam Hai</t>
  </si>
  <si>
    <t>I.1</t>
  </si>
  <si>
    <t>I.2</t>
  </si>
  <si>
    <t>I.3</t>
  </si>
  <si>
    <t>I.4</t>
  </si>
  <si>
    <t>I.5</t>
  </si>
  <si>
    <t>I.6</t>
  </si>
  <si>
    <t>I.7</t>
  </si>
  <si>
    <t>I.8</t>
  </si>
  <si>
    <t>I.9</t>
  </si>
  <si>
    <t>I.10</t>
  </si>
  <si>
    <t>OM4-P2-LS-0002-001</t>
  </si>
  <si>
    <t>OM4-P2-LS-0002-002</t>
  </si>
  <si>
    <t>OM4-P2-LS-0002-003</t>
  </si>
  <si>
    <t>OM4-P2-LS-0002-004</t>
  </si>
  <si>
    <t>OM4-P2-LS-0002-005</t>
  </si>
  <si>
    <t>OM4-P2-LS-0002-006</t>
  </si>
  <si>
    <t>OM4-P2-LS-0002-007</t>
  </si>
  <si>
    <t>OM4-P2-LS-0002-008</t>
  </si>
  <si>
    <t>OM4-P2-LS-0002-009</t>
  </si>
  <si>
    <t>OM4-P2-LS-0002-010</t>
  </si>
  <si>
    <t>OM4-P2-LS-0002-011</t>
  </si>
  <si>
    <t>OM4-P2-LS-0002-012</t>
  </si>
  <si>
    <t>OM4-P2-LS-0002-013</t>
  </si>
  <si>
    <t>OM4-P2-LS-0002-014</t>
  </si>
  <si>
    <t>OM4-P2-LS-0002-015</t>
  </si>
  <si>
    <t>OM4-P2-LS-0002-016</t>
  </si>
  <si>
    <t>OM4-P2-LS-0002-017</t>
  </si>
  <si>
    <t>OM4-P2-LS-0002-018</t>
  </si>
  <si>
    <t>OM4-P2-LS-0002-019</t>
  </si>
  <si>
    <t>OM4-P2-LS-0002-020</t>
  </si>
  <si>
    <t>OM4-P2-LS-0002-021</t>
  </si>
  <si>
    <t>OM4-P2-LS-0002-022</t>
  </si>
  <si>
    <t>OM4-P2-LS-0002-023</t>
  </si>
  <si>
    <t>OM4-P2-LS-0002-024</t>
  </si>
  <si>
    <t>OM4-P2-LS-0002-025</t>
  </si>
  <si>
    <t>OM4-P2-LS-0002-026</t>
  </si>
  <si>
    <t>OM4-P2-LS-0002-027</t>
  </si>
  <si>
    <t>OM4-P2-LS-0002-028</t>
  </si>
  <si>
    <t>OM4-P2-LS-0002-029</t>
  </si>
  <si>
    <t>OM4-P2-LS-0002-030</t>
  </si>
  <si>
    <t>OM4-P2-LS-0002-031</t>
  </si>
  <si>
    <t>OM4-P2-LS-0002-032</t>
  </si>
  <si>
    <t>OM4-P2-LS-0002-033</t>
  </si>
  <si>
    <t>OM4-P2-LS-0002-034</t>
  </si>
  <si>
    <t>OM4-P2-LS-0002-035</t>
  </si>
  <si>
    <t>OM4-P2-LS-0002-036</t>
  </si>
  <si>
    <t>OM4-P2-LS-0002-037</t>
  </si>
  <si>
    <t>OM4-P2-LS-0002-038</t>
  </si>
  <si>
    <t>OM4-P2-LS-0002-039</t>
  </si>
  <si>
    <t>OM4-P2-LS-0002-040</t>
  </si>
  <si>
    <t>OM4-P2-LS-0002-041</t>
  </si>
  <si>
    <t>OM4-P2-LS-0002-042</t>
  </si>
  <si>
    <t>OM4-P2-LS-0002-043</t>
  </si>
  <si>
    <t>OM4-P2-LS-0002-044</t>
  </si>
  <si>
    <t>OM4-P2-LS-0002-045</t>
  </si>
  <si>
    <t>CC4-D-240240</t>
  </si>
  <si>
    <t xml:space="preserve"> #250</t>
  </si>
  <si>
    <t>CC2-D-240150</t>
  </si>
  <si>
    <t xml:space="preserve"> #200</t>
  </si>
  <si>
    <t xml:space="preserve">CC2-D-24095 </t>
  </si>
  <si>
    <t xml:space="preserve"> #150</t>
  </si>
  <si>
    <t xml:space="preserve">CC2-C-24035 </t>
  </si>
  <si>
    <t xml:space="preserve"> #90</t>
  </si>
  <si>
    <t xml:space="preserve">CC2-C-24016   </t>
  </si>
  <si>
    <t xml:space="preserve">CR1-D-18240 </t>
  </si>
  <si>
    <t xml:space="preserve">   #200</t>
  </si>
  <si>
    <t>Welding mold D type (Horizontal cable 240 to rod Φ18 connection include: hand clamp, flint igniter, PVC &amp; Steel brush).</t>
  </si>
  <si>
    <t>Welding mold C type (T connection cable 240 &amp; cable 16 include: hand clamp, flint igniter, PVC &amp; Steel brush).</t>
  </si>
  <si>
    <t>Welding mold C type (T connection cable 240 &amp; cable 35 include: hand clamp, flint igniter, PVC &amp; Steel brush).</t>
  </si>
  <si>
    <t>Welding mold D type (T connection cable 240 &amp; cable 95 include: hand clamp, flint igniter, PVC &amp; Steel brush).</t>
  </si>
  <si>
    <t>Welding mold D type (T connection cable 240 &amp; cable 150 include: hand clamp, flint igniter, PVC &amp; Steel brush).</t>
  </si>
  <si>
    <t>Welding mold D type (Cross connection cable 240x240 include: hand clamp, flint igniter, PVC &amp; Steel brush).</t>
  </si>
  <si>
    <t xml:space="preserve"> + Welding powder 250g/tube (include: Steel disk, starting powder).
Using 2 tubes of 250g welding powder for each CC4-D-240240 cross-type welding joint/Vietnam</t>
  </si>
  <si>
    <t xml:space="preserve"> + Welding powder 200g/tube (include: Steel disk, starting powder).
Using 1 tube of 200gram welding powder for each CC2-D-240150 T-type  welding joint/Vietnam</t>
  </si>
  <si>
    <t xml:space="preserve"> '+ Welding powder 150g/tube (include: Steel disk, starting powder).
Using 1 tube of 150gram welding powder for each CC2-D-24095 T-type  welding joint/Vietnam</t>
  </si>
  <si>
    <t xml:space="preserve"> + Welding powder 90g/tube (include: Steel disk, starting powder).
Using 1 tube of 90gram welding powder for each CC2-D-24035 T-type  welding joint/Vietnam</t>
  </si>
  <si>
    <t xml:space="preserve"> '+ Welding powder 90g/tube (include: Steel disk, starting powder).
Using 1 tube of 90gram welding powder for each CC2-D-24016 T-type  welding joint/Vietnam</t>
  </si>
  <si>
    <t>+ Welding powder 200g/tube (include: Steel disk, starting powder).
Using 1 tube of 200gram welding powder for each CR1-D-18240 240 sq.mm to Φ18 ground rod welding joint/Vietnam</t>
  </si>
  <si>
    <t>Concrete eath pit (Dim: 310x310x170mm)
 + Copper earth bar 5 connection points Φ12, Dim: 50x5x300 c/w: SS304 bolds, nuts, spring &amp; flat washers M12x40.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</si>
</sst>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 #,##0_-;_-* &quot;-&quot;_-;_-@_-"/>
    <numFmt numFmtId="164" formatCode="_(* #,##0.00_);_(* \(#,##0.00\);_(* &quot;-&quot;??_);_(@_)"/>
    <numFmt numFmtId="165" formatCode="_-* #,##0.00_-;\-* #,##0.00_-;_-* &quot;-&quot;_-;_-@_-"/>
    <numFmt numFmtId="168" formatCode="_-* #,##0.0_-;\-* #,##0.0_-;_-* &quot;-&quot;_-;_-@_-"/>
    <numFmt numFmtId="169" formatCode="0.00_);[Red]\(0.00\)"/>
    <numFmt numFmtId="170" formatCode="&quot;#&quot;\ 00"/>
    <numFmt numFmtId="171" formatCode="&quot;#&quot;00"/>
    <numFmt numFmtId="172" formatCode="0_);[Red]\(0\)"/>
    <numFmt numFmtId="173" formatCode="_(* #,##0_);_(* \(#,##0\);_(* &quot;-&quot;??_);_(@_)"/>
    <numFmt numFmtId="174" formatCode="_-* #,##0.00\ _₫_-;\-* #,##0.00\ _₫_-;_-* &quot;-&quot;??\ _₫_-;_-@_-"/>
  </numFmts>
  <fonts count="36" x14ac:knownFonts="1">
    <font>
      <sz val="11"/>
      <name val="돋움"/>
      <family val="3"/>
      <charset val="129"/>
    </font>
    <font>
      <sz val="11"/>
      <name val="돋움"/>
      <family val="3"/>
      <charset val="129"/>
    </font>
    <font>
      <sz val="12"/>
      <name val="바탕체"/>
      <family val="1"/>
      <charset val="129"/>
    </font>
    <font>
      <sz val="10"/>
      <name val="Calibri"/>
      <family val="2"/>
    </font>
    <font>
      <b/>
      <sz val="10"/>
      <name val="Calibri"/>
      <family val="2"/>
    </font>
    <font>
      <b/>
      <sz val="16"/>
      <name val="Calibri"/>
      <family val="2"/>
    </font>
    <font>
      <sz val="11"/>
      <name val="Arial"/>
      <family val="3"/>
      <charset val="129"/>
      <scheme val="minor"/>
    </font>
    <font>
      <sz val="11"/>
      <name val="Calibri"/>
      <family val="2"/>
    </font>
    <font>
      <sz val="10"/>
      <name val="Arial"/>
      <family val="3"/>
      <charset val="129"/>
      <scheme val="minor"/>
    </font>
    <font>
      <b/>
      <sz val="10"/>
      <name val="Arial"/>
      <family val="2"/>
      <scheme val="minor"/>
    </font>
    <font>
      <sz val="11"/>
      <color indexed="8"/>
      <name val="맑은 고딕"/>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8"/>
      <color rgb="FFFF0000"/>
      <name val="Calibri"/>
      <family val="2"/>
    </font>
    <font>
      <i/>
      <sz val="20"/>
      <color rgb="FFFF0000"/>
      <name val="Calibri"/>
      <family val="2"/>
    </font>
    <font>
      <i/>
      <sz val="20"/>
      <name val="돋움"/>
      <family val="3"/>
      <charset val="129"/>
    </font>
    <font>
      <sz val="12"/>
      <name val="Times New Roman"/>
      <family val="1"/>
    </font>
    <font>
      <b/>
      <sz val="12"/>
      <name val="Times New Roman"/>
      <family val="1"/>
    </font>
    <font>
      <sz val="11"/>
      <name val="돋움"/>
      <charset val="129"/>
    </font>
    <font>
      <b/>
      <sz val="16"/>
      <name val="Times New Roman"/>
      <family val="1"/>
    </font>
    <font>
      <sz val="14"/>
      <name val="Times New Roman"/>
      <family val="1"/>
    </font>
    <font>
      <b/>
      <sz val="14"/>
      <name val="Times New Roman"/>
      <family val="1"/>
    </font>
    <font>
      <b/>
      <sz val="18"/>
      <name val="Times New Roman"/>
      <family val="1"/>
    </font>
    <font>
      <sz val="10"/>
      <name val="Times New Roman"/>
      <family val="1"/>
    </font>
    <font>
      <sz val="11"/>
      <color theme="1"/>
      <name val="Arial"/>
      <family val="3"/>
      <charset val="129"/>
      <scheme val="minor"/>
    </font>
    <font>
      <sz val="11"/>
      <name val="돋움"/>
      <family val="2"/>
    </font>
    <font>
      <b/>
      <sz val="12"/>
      <color theme="1"/>
      <name val="Times New Roman"/>
      <family val="1"/>
    </font>
    <font>
      <b/>
      <sz val="10"/>
      <name val="Times New Roman"/>
      <family val="1"/>
    </font>
    <font>
      <i/>
      <sz val="14"/>
      <color rgb="FFFF0000"/>
      <name val="Times New Roman"/>
      <family val="1"/>
    </font>
    <font>
      <sz val="10"/>
      <name val="Arial"/>
      <family val="2"/>
      <scheme val="minor"/>
    </font>
  </fonts>
  <fills count="3">
    <fill>
      <patternFill patternType="none"/>
    </fill>
    <fill>
      <patternFill patternType="gray125"/>
    </fill>
    <fill>
      <patternFill patternType="solid">
        <fgColor rgb="FFFFFF00"/>
        <bgColor indexed="64"/>
      </patternFill>
    </fill>
  </fills>
  <borders count="2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s>
  <cellStyleXfs count="19">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2" fillId="0" borderId="0"/>
    <xf numFmtId="0" fontId="10" fillId="0" borderId="0">
      <alignment vertical="center"/>
    </xf>
    <xf numFmtId="41" fontId="1" fillId="0" borderId="0" applyFont="0" applyFill="0" applyBorder="0" applyAlignment="0" applyProtection="0"/>
    <xf numFmtId="0" fontId="1" fillId="0" borderId="0">
      <alignment vertical="center"/>
    </xf>
    <xf numFmtId="0" fontId="15" fillId="0" borderId="0">
      <alignment vertical="center"/>
    </xf>
    <xf numFmtId="0" fontId="1" fillId="0" borderId="0">
      <alignment vertical="center"/>
    </xf>
    <xf numFmtId="164" fontId="1" fillId="0" borderId="0" applyFont="0" applyFill="0" applyBorder="0" applyAlignment="0" applyProtection="0"/>
    <xf numFmtId="164" fontId="22" fillId="0" borderId="0" applyFont="0" applyFill="0" applyBorder="0" applyAlignment="0" applyProtection="0"/>
    <xf numFmtId="0" fontId="24" fillId="0" borderId="0"/>
    <xf numFmtId="0" fontId="30" fillId="0" borderId="0">
      <alignment vertical="center"/>
    </xf>
    <xf numFmtId="0" fontId="30" fillId="0" borderId="0">
      <alignment vertical="center"/>
    </xf>
    <xf numFmtId="41" fontId="1" fillId="0" borderId="0" applyFont="0" applyFill="0" applyBorder="0" applyAlignment="0" applyProtection="0"/>
    <xf numFmtId="0" fontId="1" fillId="0" borderId="0"/>
    <xf numFmtId="0" fontId="1" fillId="0" borderId="0">
      <alignment vertical="center"/>
    </xf>
    <xf numFmtId="174" fontId="1" fillId="0" borderId="0" applyFont="0" applyFill="0" applyBorder="0" applyAlignment="0" applyProtection="0"/>
    <xf numFmtId="0" fontId="31" fillId="0" borderId="0">
      <alignment vertical="center"/>
    </xf>
  </cellStyleXfs>
  <cellXfs count="145">
    <xf numFmtId="0" fontId="0" fillId="0" borderId="0" xfId="0">
      <alignment vertical="center"/>
    </xf>
    <xf numFmtId="0" fontId="3" fillId="0" borderId="0" xfId="1" applyNumberFormat="1" applyFont="1" applyFill="1" applyAlignment="1">
      <alignment vertical="center"/>
    </xf>
    <xf numFmtId="0" fontId="12" fillId="0" borderId="0" xfId="6" applyFont="1">
      <alignment vertical="center"/>
    </xf>
    <xf numFmtId="0" fontId="12" fillId="0" borderId="0" xfId="6" applyFont="1" applyAlignment="1">
      <alignment horizontal="center" vertical="center"/>
    </xf>
    <xf numFmtId="0" fontId="14" fillId="0" borderId="7" xfId="6" applyFont="1" applyBorder="1" applyAlignment="1">
      <alignment horizontal="center" vertical="top" wrapText="1"/>
    </xf>
    <xf numFmtId="0" fontId="12" fillId="0" borderId="0" xfId="6" applyFont="1" applyAlignment="1">
      <alignment horizontal="left" vertical="center" indent="2"/>
    </xf>
    <xf numFmtId="0" fontId="14" fillId="0" borderId="0" xfId="6" applyFont="1" applyAlignment="1">
      <alignment horizontal="center" vertical="top" wrapText="1"/>
    </xf>
    <xf numFmtId="0" fontId="12" fillId="0" borderId="0" xfId="6" applyFont="1" applyAlignment="1">
      <alignment horizontal="left" vertical="top" wrapText="1"/>
    </xf>
    <xf numFmtId="0" fontId="12" fillId="0" borderId="10" xfId="6" applyFont="1" applyBorder="1" applyAlignment="1">
      <alignment horizontal="left" vertical="top" wrapText="1"/>
    </xf>
    <xf numFmtId="0" fontId="14" fillId="0" borderId="0" xfId="6" applyFont="1" applyAlignment="1">
      <alignment horizontal="center" vertical="top"/>
    </xf>
    <xf numFmtId="0" fontId="12" fillId="0" borderId="0" xfId="6" applyFont="1" applyAlignment="1">
      <alignment vertical="top"/>
    </xf>
    <xf numFmtId="37" fontId="12" fillId="0" borderId="0" xfId="6" applyNumberFormat="1" applyFont="1" applyAlignment="1">
      <alignment horizontal="left" vertical="top"/>
    </xf>
    <xf numFmtId="14" fontId="12" fillId="0" borderId="0" xfId="6" applyNumberFormat="1" applyFont="1" applyAlignment="1">
      <alignment vertical="top"/>
    </xf>
    <xf numFmtId="0" fontId="12" fillId="0" borderId="10" xfId="6" applyFont="1" applyBorder="1" applyAlignment="1">
      <alignment vertical="top"/>
    </xf>
    <xf numFmtId="0" fontId="12" fillId="0" borderId="0" xfId="6" applyFont="1" applyAlignment="1">
      <alignment horizontal="left" vertical="top"/>
    </xf>
    <xf numFmtId="170" fontId="12" fillId="0" borderId="0" xfId="6" applyNumberFormat="1" applyFont="1" applyAlignment="1">
      <alignment horizontal="left" vertical="top"/>
    </xf>
    <xf numFmtId="171" fontId="12" fillId="0" borderId="0" xfId="6" applyNumberFormat="1" applyFont="1" applyAlignment="1">
      <alignment horizontal="left" vertical="center" indent="2"/>
    </xf>
    <xf numFmtId="168" fontId="12" fillId="0" borderId="0" xfId="1" applyNumberFormat="1" applyFont="1" applyFill="1" applyBorder="1" applyAlignment="1">
      <alignment vertical="top"/>
    </xf>
    <xf numFmtId="41" fontId="12" fillId="0" borderId="0" xfId="1" applyFont="1" applyFill="1" applyBorder="1" applyAlignment="1">
      <alignment horizontal="left" vertical="top"/>
    </xf>
    <xf numFmtId="41" fontId="12" fillId="0" borderId="0" xfId="1" applyFont="1" applyFill="1" applyBorder="1" applyAlignment="1">
      <alignment vertical="top"/>
    </xf>
    <xf numFmtId="172" fontId="12" fillId="0" borderId="10" xfId="6" applyNumberFormat="1" applyFont="1" applyBorder="1" applyAlignment="1">
      <alignment vertical="top"/>
    </xf>
    <xf numFmtId="49" fontId="12" fillId="0" borderId="0" xfId="1" applyNumberFormat="1" applyFont="1" applyFill="1" applyBorder="1" applyAlignment="1">
      <alignment horizontal="left" vertical="top"/>
    </xf>
    <xf numFmtId="165" fontId="12" fillId="0" borderId="0" xfId="1" applyNumberFormat="1" applyFont="1" applyFill="1" applyBorder="1" applyAlignment="1">
      <alignment vertical="top"/>
    </xf>
    <xf numFmtId="49" fontId="12" fillId="0" borderId="10" xfId="6" applyNumberFormat="1" applyFont="1" applyBorder="1" applyAlignment="1">
      <alignment horizontal="left" vertical="top"/>
    </xf>
    <xf numFmtId="0" fontId="12" fillId="0" borderId="0" xfId="1" applyNumberFormat="1" applyFont="1" applyFill="1" applyBorder="1" applyAlignment="1">
      <alignment vertical="top"/>
    </xf>
    <xf numFmtId="0" fontId="14" fillId="0" borderId="5" xfId="6" applyFont="1" applyBorder="1" applyAlignment="1">
      <alignment horizontal="center" vertical="top" wrapText="1"/>
    </xf>
    <xf numFmtId="0" fontId="12" fillId="0" borderId="5" xfId="7" applyFont="1" applyBorder="1" applyAlignment="1">
      <alignment vertical="top" wrapText="1"/>
    </xf>
    <xf numFmtId="0" fontId="12" fillId="0" borderId="13" xfId="7" applyFont="1" applyBorder="1" applyAlignment="1">
      <alignment vertical="top" wrapText="1"/>
    </xf>
    <xf numFmtId="0" fontId="16" fillId="0" borderId="0" xfId="0" quotePrefix="1" applyFont="1" applyAlignment="1">
      <alignment vertical="center" wrapText="1"/>
    </xf>
    <xf numFmtId="0" fontId="12" fillId="0" borderId="16" xfId="6" applyFont="1" applyBorder="1" applyAlignment="1">
      <alignment horizontal="right" vertical="top" wrapText="1" indent="1"/>
    </xf>
    <xf numFmtId="0" fontId="12" fillId="0" borderId="15" xfId="6" applyFont="1" applyBorder="1" applyAlignment="1">
      <alignment horizontal="right" vertical="top" wrapText="1" indent="1"/>
    </xf>
    <xf numFmtId="0" fontId="12" fillId="0" borderId="15" xfId="6" applyFont="1" applyBorder="1" applyAlignment="1">
      <alignment horizontal="right" vertical="top" indent="1"/>
    </xf>
    <xf numFmtId="0" fontId="12" fillId="0" borderId="14" xfId="6" applyFont="1" applyBorder="1" applyAlignment="1">
      <alignment horizontal="right" vertical="top" wrapText="1" indent="1"/>
    </xf>
    <xf numFmtId="0" fontId="19" fillId="0" borderId="5" xfId="7" applyFont="1" applyBorder="1" applyAlignment="1">
      <alignment horizontal="left" vertical="top"/>
    </xf>
    <xf numFmtId="0" fontId="13" fillId="0" borderId="0" xfId="6" applyFont="1" applyAlignment="1">
      <alignment vertical="top"/>
    </xf>
    <xf numFmtId="173" fontId="22" fillId="0" borderId="17" xfId="10" applyNumberFormat="1" applyFont="1" applyFill="1" applyBorder="1" applyAlignment="1">
      <alignment vertical="center"/>
    </xf>
    <xf numFmtId="0" fontId="29" fillId="0" borderId="0" xfId="0" applyFont="1">
      <alignment vertical="center"/>
    </xf>
    <xf numFmtId="0" fontId="29" fillId="0" borderId="0" xfId="0" applyFont="1" applyAlignment="1">
      <alignment horizontal="center" vertical="center"/>
    </xf>
    <xf numFmtId="173" fontId="22" fillId="0" borderId="17" xfId="10" applyNumberFormat="1"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left" vertical="center"/>
    </xf>
    <xf numFmtId="0" fontId="22" fillId="0" borderId="17" xfId="0" applyFont="1" applyBorder="1" applyAlignment="1">
      <alignment horizontal="center" vertical="center"/>
    </xf>
    <xf numFmtId="0" fontId="23" fillId="0" borderId="14" xfId="0" applyFont="1" applyBorder="1" applyAlignment="1">
      <alignment horizontal="center" vertical="center" wrapText="1"/>
    </xf>
    <xf numFmtId="0" fontId="23" fillId="0" borderId="14" xfId="0" applyFont="1" applyBorder="1" applyAlignment="1">
      <alignment horizontal="center" vertical="center"/>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17" xfId="11" applyFont="1" applyBorder="1" applyAlignment="1">
      <alignment horizontal="center" vertical="center" wrapText="1"/>
    </xf>
    <xf numFmtId="0" fontId="22" fillId="0" borderId="11" xfId="0" applyFont="1" applyBorder="1" applyAlignment="1">
      <alignment horizontal="center" vertical="center" wrapText="1"/>
    </xf>
    <xf numFmtId="169" fontId="22" fillId="0" borderId="17" xfId="0" applyNumberFormat="1" applyFont="1" applyBorder="1" applyAlignment="1">
      <alignment horizontal="center" vertical="center" wrapText="1"/>
    </xf>
    <xf numFmtId="0" fontId="22" fillId="0" borderId="19" xfId="0" applyFont="1" applyBorder="1" applyAlignment="1">
      <alignment horizontal="left" vertical="center" wrapText="1"/>
    </xf>
    <xf numFmtId="0" fontId="25" fillId="0" borderId="17" xfId="0" applyFont="1" applyBorder="1" applyAlignment="1">
      <alignment horizontal="center" vertical="center"/>
    </xf>
    <xf numFmtId="0" fontId="7" fillId="0" borderId="0" xfId="0" applyFont="1">
      <alignment vertical="center"/>
    </xf>
    <xf numFmtId="0" fontId="5" fillId="0" borderId="0" xfId="0" applyFont="1" applyAlignment="1">
      <alignment horizontal="center" vertical="center"/>
    </xf>
    <xf numFmtId="0" fontId="6" fillId="0" borderId="0" xfId="0" applyFont="1">
      <alignment vertical="center"/>
    </xf>
    <xf numFmtId="0" fontId="7" fillId="0" borderId="0" xfId="0" applyFont="1" applyAlignment="1">
      <alignment horizontal="center" vertical="center"/>
    </xf>
    <xf numFmtId="0" fontId="26" fillId="0" borderId="0" xfId="0" applyFont="1">
      <alignment vertical="center"/>
    </xf>
    <xf numFmtId="0" fontId="27" fillId="0" borderId="0" xfId="0" applyFont="1" applyAlignment="1">
      <alignment horizontal="center" vertical="center"/>
    </xf>
    <xf numFmtId="0" fontId="3" fillId="0" borderId="0" xfId="0" applyFont="1">
      <alignment vertical="center"/>
    </xf>
    <xf numFmtId="0" fontId="26" fillId="0" borderId="0" xfId="0" applyFont="1" applyAlignment="1">
      <alignment horizontal="center" vertical="center"/>
    </xf>
    <xf numFmtId="0" fontId="27" fillId="0" borderId="0" xfId="0" applyFont="1" applyAlignment="1">
      <alignment horizontal="left" vertical="center"/>
    </xf>
    <xf numFmtId="37" fontId="26" fillId="0" borderId="0" xfId="0" applyNumberFormat="1" applyFont="1" applyAlignment="1">
      <alignment horizontal="left" vertical="center"/>
    </xf>
    <xf numFmtId="0" fontId="26" fillId="0" borderId="0" xfId="0" applyFont="1" applyAlignment="1">
      <alignment horizontal="right" vertical="center"/>
    </xf>
    <xf numFmtId="169" fontId="26" fillId="0" borderId="0" xfId="0" applyNumberFormat="1" applyFont="1" applyAlignment="1">
      <alignment horizontal="center" vertical="center"/>
    </xf>
    <xf numFmtId="0" fontId="26" fillId="0" borderId="0" xfId="0" applyFont="1" applyAlignment="1">
      <alignment horizontal="right" vertical="center" wrapText="1"/>
    </xf>
    <xf numFmtId="0" fontId="8" fillId="0" borderId="0" xfId="0" applyFont="1">
      <alignment vertical="center"/>
    </xf>
    <xf numFmtId="0" fontId="3" fillId="0" borderId="0" xfId="0" applyFont="1" applyAlignment="1">
      <alignment horizontal="center" vertical="center"/>
    </xf>
    <xf numFmtId="14" fontId="26" fillId="0" borderId="0" xfId="0" quotePrefix="1" applyNumberFormat="1" applyFont="1" applyAlignment="1">
      <alignment horizontal="left" vertical="center"/>
    </xf>
    <xf numFmtId="169" fontId="22" fillId="0" borderId="0" xfId="0" applyNumberFormat="1" applyFont="1" applyAlignment="1">
      <alignment horizontal="left" vertical="center"/>
    </xf>
    <xf numFmtId="0" fontId="22" fillId="0" borderId="0" xfId="0" applyFont="1" applyAlignment="1">
      <alignment horizontal="center" vertical="center" wrapText="1"/>
    </xf>
    <xf numFmtId="15" fontId="26" fillId="0" borderId="0" xfId="0" applyNumberFormat="1" applyFont="1" applyAlignment="1">
      <alignment horizontal="left" vertical="center"/>
    </xf>
    <xf numFmtId="169" fontId="22" fillId="0" borderId="17" xfId="0" applyNumberFormat="1" applyFont="1" applyBorder="1" applyAlignment="1">
      <alignment horizontal="left" vertical="center"/>
    </xf>
    <xf numFmtId="0" fontId="26" fillId="0" borderId="0" xfId="0" applyFont="1" applyAlignment="1">
      <alignment horizontal="left" vertical="center"/>
    </xf>
    <xf numFmtId="169" fontId="22" fillId="0" borderId="17" xfId="0" applyNumberFormat="1" applyFont="1" applyBorder="1" applyAlignment="1">
      <alignment horizontal="center" vertical="center"/>
    </xf>
    <xf numFmtId="0" fontId="34" fillId="0" borderId="0" xfId="0" applyFont="1">
      <alignment vertical="center"/>
    </xf>
    <xf numFmtId="169" fontId="22" fillId="0" borderId="0" xfId="0" applyNumberFormat="1" applyFont="1" applyAlignment="1">
      <alignment horizontal="center" vertical="center"/>
    </xf>
    <xf numFmtId="0" fontId="4" fillId="0" borderId="0" xfId="0" applyFont="1" applyAlignment="1">
      <alignment horizontal="left" vertical="center"/>
    </xf>
    <xf numFmtId="169" fontId="3" fillId="0" borderId="0" xfId="0" applyNumberFormat="1" applyFont="1" applyAlignment="1">
      <alignment horizontal="center" vertical="center"/>
    </xf>
    <xf numFmtId="0" fontId="3" fillId="0" borderId="0" xfId="0" applyFont="1" applyAlignment="1">
      <alignment horizontal="center" vertical="center" wrapText="1"/>
    </xf>
    <xf numFmtId="0" fontId="4" fillId="0" borderId="0" xfId="0" applyFont="1">
      <alignment vertical="center"/>
    </xf>
    <xf numFmtId="0" fontId="23" fillId="0" borderId="8" xfId="0" applyFont="1" applyBorder="1" applyAlignment="1">
      <alignment horizontal="center" vertical="center"/>
    </xf>
    <xf numFmtId="0" fontId="9" fillId="0" borderId="0" xfId="0" applyFont="1">
      <alignment vertical="center"/>
    </xf>
    <xf numFmtId="0" fontId="4" fillId="0" borderId="0" xfId="0" applyFont="1" applyAlignment="1">
      <alignment horizontal="center" vertical="center"/>
    </xf>
    <xf numFmtId="169" fontId="23" fillId="0" borderId="17" xfId="0" applyNumberFormat="1" applyFont="1" applyBorder="1" applyAlignment="1">
      <alignment horizontal="center" vertical="center" wrapText="1"/>
    </xf>
    <xf numFmtId="173" fontId="22" fillId="0" borderId="17" xfId="10" applyNumberFormat="1" applyFont="1" applyFill="1" applyBorder="1" applyAlignment="1">
      <alignment vertical="center" wrapText="1"/>
    </xf>
    <xf numFmtId="173" fontId="22" fillId="0" borderId="17" xfId="0" applyNumberFormat="1" applyFont="1" applyBorder="1" applyAlignment="1">
      <alignment horizontal="right" vertical="center" wrapText="1"/>
    </xf>
    <xf numFmtId="0" fontId="22" fillId="0" borderId="17" xfId="0" applyFont="1" applyBorder="1" applyAlignment="1">
      <alignment horizontal="right" vertical="center" wrapText="1"/>
    </xf>
    <xf numFmtId="164" fontId="22" fillId="0" borderId="17" xfId="10" applyFont="1" applyFill="1" applyBorder="1" applyAlignment="1">
      <alignment vertical="center" wrapText="1"/>
    </xf>
    <xf numFmtId="0" fontId="27" fillId="0" borderId="17" xfId="0" applyFont="1" applyBorder="1" applyAlignment="1">
      <alignment horizontal="center" vertical="center"/>
    </xf>
    <xf numFmtId="0" fontId="27" fillId="0" borderId="0" xfId="0" applyFont="1">
      <alignment vertical="center"/>
    </xf>
    <xf numFmtId="0" fontId="3" fillId="0" borderId="0" xfId="0" applyFont="1" applyAlignment="1">
      <alignment horizontal="left" vertical="center"/>
    </xf>
    <xf numFmtId="41" fontId="3" fillId="0" borderId="0" xfId="1" applyFont="1" applyFill="1" applyAlignment="1">
      <alignment vertical="center"/>
    </xf>
    <xf numFmtId="0" fontId="3" fillId="0" borderId="0" xfId="0" applyFont="1" applyAlignment="1">
      <alignment vertical="center" wrapText="1"/>
    </xf>
    <xf numFmtId="169" fontId="3" fillId="0" borderId="0" xfId="0" applyNumberFormat="1" applyFont="1">
      <alignment vertical="center"/>
    </xf>
    <xf numFmtId="0" fontId="22" fillId="0" borderId="0" xfId="0" applyFont="1" applyAlignment="1">
      <alignment horizontal="right" vertical="center" indent="1"/>
    </xf>
    <xf numFmtId="169" fontId="25" fillId="0" borderId="17" xfId="0" applyNumberFormat="1" applyFont="1" applyBorder="1" applyAlignment="1">
      <alignment horizontal="center" vertical="center"/>
    </xf>
    <xf numFmtId="0" fontId="28" fillId="0" borderId="23" xfId="0" applyFont="1" applyBorder="1">
      <alignment vertical="center"/>
    </xf>
    <xf numFmtId="0" fontId="28" fillId="0" borderId="24" xfId="0" applyFont="1" applyBorder="1">
      <alignment vertical="center"/>
    </xf>
    <xf numFmtId="41" fontId="3" fillId="0" borderId="0" xfId="0" applyNumberFormat="1" applyFont="1" applyAlignment="1">
      <alignment horizontal="center" vertical="center"/>
    </xf>
    <xf numFmtId="41" fontId="35" fillId="0" borderId="0" xfId="0" applyNumberFormat="1" applyFont="1" applyAlignment="1">
      <alignment horizontal="left" vertical="center"/>
    </xf>
    <xf numFmtId="41" fontId="3" fillId="0" borderId="0" xfId="1" applyFont="1" applyFill="1" applyBorder="1" applyAlignment="1">
      <alignment horizontal="center" vertical="center"/>
    </xf>
    <xf numFmtId="0" fontId="5" fillId="0" borderId="21" xfId="0" applyFont="1" applyBorder="1" applyAlignment="1">
      <alignment horizontal="center" vertical="center"/>
    </xf>
    <xf numFmtId="0" fontId="4" fillId="2" borderId="0" xfId="0" applyFont="1" applyFill="1">
      <alignment vertical="center"/>
    </xf>
    <xf numFmtId="0" fontId="4" fillId="2" borderId="0" xfId="0" applyFont="1" applyFill="1" applyAlignment="1">
      <alignment horizontal="center" vertical="center"/>
    </xf>
    <xf numFmtId="2" fontId="22" fillId="0" borderId="17" xfId="0" applyNumberFormat="1" applyFont="1" applyBorder="1" applyAlignment="1">
      <alignment horizontal="center" vertical="center" shrinkToFit="1"/>
    </xf>
    <xf numFmtId="0" fontId="22" fillId="0" borderId="19" xfId="0" quotePrefix="1" applyFont="1" applyBorder="1" applyAlignment="1">
      <alignment horizontal="left" vertical="center" wrapText="1"/>
    </xf>
    <xf numFmtId="173" fontId="25" fillId="0" borderId="17" xfId="9" applyNumberFormat="1" applyFont="1" applyFill="1" applyBorder="1" applyAlignment="1">
      <alignment horizontal="right" vertical="center"/>
    </xf>
    <xf numFmtId="0" fontId="22" fillId="0" borderId="16" xfId="0" applyFont="1" applyBorder="1" applyAlignment="1">
      <alignment horizontal="center" vertical="center" wrapText="1"/>
    </xf>
    <xf numFmtId="0" fontId="22" fillId="0" borderId="14"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19" xfId="0" applyFont="1" applyBorder="1" applyAlignment="1">
      <alignment horizontal="center" vertical="center"/>
    </xf>
    <xf numFmtId="0" fontId="23" fillId="0" borderId="18" xfId="0" applyFont="1" applyBorder="1" applyAlignment="1">
      <alignment horizontal="center" vertical="center"/>
    </xf>
    <xf numFmtId="0" fontId="23" fillId="0" borderId="20" xfId="0" applyFont="1" applyBorder="1" applyAlignment="1">
      <alignment horizontal="center" vertical="center"/>
    </xf>
    <xf numFmtId="0" fontId="23" fillId="0" borderId="16" xfId="0" applyFont="1" applyBorder="1" applyAlignment="1">
      <alignment horizontal="center" vertical="center"/>
    </xf>
    <xf numFmtId="0" fontId="23" fillId="0" borderId="14" xfId="0" applyFont="1" applyBorder="1" applyAlignment="1">
      <alignment horizontal="center" vertical="center"/>
    </xf>
    <xf numFmtId="0" fontId="23" fillId="0" borderId="9" xfId="0" applyFont="1" applyBorder="1" applyAlignment="1">
      <alignment horizontal="center" vertical="center"/>
    </xf>
    <xf numFmtId="0" fontId="23" fillId="0" borderId="11" xfId="0" applyFont="1" applyBorder="1" applyAlignment="1">
      <alignment horizontal="center" vertical="center"/>
    </xf>
    <xf numFmtId="0" fontId="22" fillId="0" borderId="16" xfId="0" applyFont="1" applyBorder="1" applyAlignment="1">
      <alignment horizontal="center" vertical="center"/>
    </xf>
    <xf numFmtId="0" fontId="22" fillId="0" borderId="14" xfId="0" applyFont="1" applyBorder="1" applyAlignment="1">
      <alignment horizontal="center" vertical="center"/>
    </xf>
    <xf numFmtId="0" fontId="22" fillId="0" borderId="16" xfId="0" applyFont="1" applyBorder="1" applyAlignment="1">
      <alignment horizontal="right" vertical="center" wrapText="1"/>
    </xf>
    <xf numFmtId="0" fontId="22" fillId="0" borderId="14" xfId="0" applyFont="1" applyBorder="1" applyAlignment="1">
      <alignment horizontal="right" vertical="center" wrapText="1"/>
    </xf>
    <xf numFmtId="173" fontId="33" fillId="0" borderId="0" xfId="17" applyNumberFormat="1" applyFont="1" applyFill="1" applyAlignment="1">
      <alignment horizontal="left" vertical="center" wrapText="1"/>
    </xf>
    <xf numFmtId="0" fontId="32" fillId="0" borderId="17" xfId="18" applyFont="1" applyBorder="1" applyAlignment="1">
      <alignment horizontal="center" vertical="center" wrapText="1"/>
    </xf>
    <xf numFmtId="0" fontId="28" fillId="0" borderId="22" xfId="0" applyFont="1" applyBorder="1" applyAlignment="1">
      <alignment horizontal="center" vertical="center"/>
    </xf>
    <xf numFmtId="0" fontId="28" fillId="0" borderId="23"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left" vertical="center" wrapText="1"/>
    </xf>
    <xf numFmtId="0" fontId="25" fillId="0" borderId="17" xfId="0" applyFont="1" applyBorder="1" applyAlignment="1">
      <alignment horizontal="center" vertical="center"/>
    </xf>
    <xf numFmtId="169" fontId="22" fillId="0" borderId="16" xfId="0" applyNumberFormat="1" applyFont="1" applyBorder="1" applyAlignment="1">
      <alignment horizontal="center" vertical="center" wrapText="1"/>
    </xf>
    <xf numFmtId="169" fontId="22" fillId="0" borderId="14" xfId="0" applyNumberFormat="1" applyFont="1" applyBorder="1" applyAlignment="1">
      <alignment horizontal="center" vertical="center" wrapText="1"/>
    </xf>
    <xf numFmtId="0" fontId="12" fillId="0" borderId="0" xfId="6" applyFont="1" applyAlignment="1">
      <alignment horizontal="left" vertical="top" wrapText="1"/>
    </xf>
    <xf numFmtId="0" fontId="12" fillId="0" borderId="10" xfId="6" applyFont="1" applyBorder="1" applyAlignment="1">
      <alignment horizontal="left" vertical="top" wrapText="1"/>
    </xf>
    <xf numFmtId="0" fontId="20" fillId="0" borderId="0" xfId="6" applyFont="1" applyAlignment="1">
      <alignment horizontal="left" vertical="top" wrapText="1"/>
    </xf>
    <xf numFmtId="0" fontId="21" fillId="0" borderId="0" xfId="0" applyFont="1" applyAlignment="1">
      <alignment horizontal="left" vertical="top" wrapText="1"/>
    </xf>
    <xf numFmtId="0" fontId="21" fillId="0" borderId="10" xfId="0" applyFont="1" applyBorder="1" applyAlignment="1">
      <alignment horizontal="left" vertical="top" wrapText="1"/>
    </xf>
    <xf numFmtId="0" fontId="11" fillId="0" borderId="12" xfId="6" applyFont="1" applyBorder="1" applyAlignment="1">
      <alignment horizontal="center" vertical="center"/>
    </xf>
    <xf numFmtId="0" fontId="13" fillId="0" borderId="1" xfId="6" applyFont="1" applyBorder="1" applyAlignment="1">
      <alignment horizontal="center" vertical="center" wrapText="1"/>
    </xf>
    <xf numFmtId="0" fontId="13" fillId="0" borderId="2" xfId="6" applyFont="1" applyBorder="1" applyAlignment="1">
      <alignment horizontal="center" vertical="center" wrapText="1"/>
    </xf>
    <xf numFmtId="0" fontId="13" fillId="0" borderId="3" xfId="6" applyFont="1" applyBorder="1" applyAlignment="1">
      <alignment horizontal="center" vertical="center" wrapText="1"/>
    </xf>
    <xf numFmtId="0" fontId="13" fillId="0" borderId="4" xfId="6" applyFont="1" applyBorder="1" applyAlignment="1">
      <alignment horizontal="center" vertical="center" wrapText="1"/>
    </xf>
    <xf numFmtId="0" fontId="13" fillId="0" borderId="5" xfId="6" applyFont="1" applyBorder="1" applyAlignment="1">
      <alignment horizontal="center" vertical="center" wrapText="1"/>
    </xf>
    <xf numFmtId="0" fontId="13" fillId="0" borderId="6" xfId="6" applyFont="1" applyBorder="1" applyAlignment="1">
      <alignment horizontal="center" vertical="center" wrapText="1"/>
    </xf>
    <xf numFmtId="0" fontId="12" fillId="0" borderId="7" xfId="6" applyFont="1" applyBorder="1" applyAlignment="1">
      <alignment horizontal="left" vertical="top"/>
    </xf>
    <xf numFmtId="0" fontId="12" fillId="0" borderId="8" xfId="6" applyFont="1" applyBorder="1" applyAlignment="1">
      <alignment horizontal="left" vertical="top"/>
    </xf>
  </cellXfs>
  <cellStyles count="19">
    <cellStyle name="Bình thường" xfId="0" builtinId="0"/>
    <cellStyle name="Comma 2" xfId="17" xr:uid="{988B12C7-7BF3-46BF-B5EC-7FFAA20F9E80}"/>
    <cellStyle name="Comma 2 2" xfId="10" xr:uid="{8F049BE6-76AA-4DD9-B3C7-935F26C5A65D}"/>
    <cellStyle name="Dấu phẩy" xfId="9" builtinId="3"/>
    <cellStyle name="Dấu phẩy [0]" xfId="1" builtinId="6"/>
    <cellStyle name="Normal 2" xfId="16" xr:uid="{4272126A-BCC4-4C9C-A01E-657BD760DEAE}"/>
    <cellStyle name="Normal 3" xfId="8" xr:uid="{00000000-0005-0000-0000-000002000000}"/>
    <cellStyle name="쉼표 [0] 4" xfId="14" xr:uid="{C4A52391-E6B8-4E98-A740-10A490993681}"/>
    <cellStyle name="쉼표 [0] 6" xfId="5" xr:uid="{00000000-0005-0000-0000-000003000000}"/>
    <cellStyle name="표준 2" xfId="12" xr:uid="{89E747FD-2B83-408C-AACF-61C7A6A71430}"/>
    <cellStyle name="표준 2 2" xfId="15" xr:uid="{18A7A4DF-BF23-4C0C-BE36-D5EA1AD9AB53}"/>
    <cellStyle name="표준 4 2 2 2" xfId="13" xr:uid="{28BEA4FC-9CBF-4DB4-977D-6A9EDAF0BA33}"/>
    <cellStyle name="표준 6" xfId="4" xr:uid="{00000000-0005-0000-0000-000004000000}"/>
    <cellStyle name="표준_Cirebon Grating Pk'g list(서흥)_080910_final" xfId="6" xr:uid="{00000000-0005-0000-0000-000005000000}"/>
    <cellStyle name="표준_PACKING LIST양식 (REV).xls_4월 선적분-Invoice &amp;  Packing List 2" xfId="11" xr:uid="{985A7F91-942A-4BF9-A127-B493527F0C8E}"/>
    <cellStyle name="표준_PACKINGLIST (철골_1항차)" xfId="7" xr:uid="{00000000-0005-0000-0000-000006000000}"/>
    <cellStyle name="표준_STG-PKL" xfId="3" xr:uid="{00000000-0005-0000-0000-000007000000}"/>
    <cellStyle name="常规 92" xfId="18" xr:uid="{429079C3-16E2-4894-B700-1D0CA79E169B}"/>
    <cellStyle name="標準_Proforma PL cirebon 2" xfId="2" xr:uid="{00000000-0005-0000-0000-000008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externalLink" Target="externalLinks/externalLink6.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4.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1507636</xdr:colOff>
      <xdr:row>1</xdr:row>
      <xdr:rowOff>288449</xdr:rowOff>
    </xdr:to>
    <xdr:pic>
      <xdr:nvPicPr>
        <xdr:cNvPr id="2" name="그림 2">
          <a:extLst>
            <a:ext uri="{FF2B5EF4-FFF2-40B4-BE49-F238E27FC236}">
              <a16:creationId xmlns:a16="http://schemas.microsoft.com/office/drawing/2014/main" id="{41B0B7F9-2DE7-45D5-9011-3A8DD4CA8C1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350520" y="118269"/>
          <a:ext cx="1507636" cy="28257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17</xdr:col>
      <xdr:colOff>338079</xdr:colOff>
      <xdr:row>1</xdr:row>
      <xdr:rowOff>69214</xdr:rowOff>
    </xdr:from>
    <xdr:to>
      <xdr:col>18</xdr:col>
      <xdr:colOff>593238</xdr:colOff>
      <xdr:row>2</xdr:row>
      <xdr:rowOff>121995</xdr:rowOff>
    </xdr:to>
    <xdr:pic>
      <xdr:nvPicPr>
        <xdr:cNvPr id="4" name="Picture 3">
          <a:extLst>
            <a:ext uri="{FF2B5EF4-FFF2-40B4-BE49-F238E27FC236}">
              <a16:creationId xmlns:a16="http://schemas.microsoft.com/office/drawing/2014/main" id="{2AB6E411-4FA8-4BD2-9AE7-DA45593995CC}"/>
            </a:ext>
          </a:extLst>
        </xdr:cNvPr>
        <xdr:cNvPicPr>
          <a:picLocks noChangeAspect="1"/>
        </xdr:cNvPicPr>
      </xdr:nvPicPr>
      <xdr:blipFill>
        <a:blip xmlns:r="http://schemas.openxmlformats.org/officeDocument/2006/relationships" r:embed="rId2"/>
        <a:stretch>
          <a:fillRect/>
        </a:stretch>
      </xdr:blipFill>
      <xdr:spPr>
        <a:xfrm>
          <a:off x="16250432" y="181273"/>
          <a:ext cx="1244862" cy="3771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xdr:row>
      <xdr:rowOff>66675</xdr:rowOff>
    </xdr:from>
    <xdr:to>
      <xdr:col>8</xdr:col>
      <xdr:colOff>460312</xdr:colOff>
      <xdr:row>43</xdr:row>
      <xdr:rowOff>130537</xdr:rowOff>
    </xdr:to>
    <xdr:pic>
      <xdr:nvPicPr>
        <xdr:cNvPr id="12" name="Picture 11">
          <a:extLst>
            <a:ext uri="{FF2B5EF4-FFF2-40B4-BE49-F238E27FC236}">
              <a16:creationId xmlns:a16="http://schemas.microsoft.com/office/drawing/2014/main" id="{61CEBFEC-7C16-5EF8-EF33-FBA73942A174}"/>
            </a:ext>
          </a:extLst>
        </xdr:cNvPr>
        <xdr:cNvPicPr>
          <a:picLocks noChangeAspect="1"/>
        </xdr:cNvPicPr>
      </xdr:nvPicPr>
      <xdr:blipFill>
        <a:blip xmlns:r="http://schemas.openxmlformats.org/officeDocument/2006/relationships" r:embed="rId1"/>
        <a:stretch>
          <a:fillRect/>
        </a:stretch>
      </xdr:blipFill>
      <xdr:spPr>
        <a:xfrm>
          <a:off x="209550" y="238125"/>
          <a:ext cx="5584762" cy="726476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twoCellAnchor editAs="oneCell">
    <xdr:from>
      <xdr:col>0</xdr:col>
      <xdr:colOff>179615</xdr:colOff>
      <xdr:row>3</xdr:row>
      <xdr:rowOff>70758</xdr:rowOff>
    </xdr:from>
    <xdr:to>
      <xdr:col>1</xdr:col>
      <xdr:colOff>113185</xdr:colOff>
      <xdr:row>4</xdr:row>
      <xdr:rowOff>134168</xdr:rowOff>
    </xdr:to>
    <xdr:pic>
      <xdr:nvPicPr>
        <xdr:cNvPr id="4" name="Picture 3">
          <a:extLst>
            <a:ext uri="{FF2B5EF4-FFF2-40B4-BE49-F238E27FC236}">
              <a16:creationId xmlns:a16="http://schemas.microsoft.com/office/drawing/2014/main" id="{4079F2DE-56DC-D1AD-348A-334A7A4D637E}"/>
            </a:ext>
          </a:extLst>
        </xdr:cNvPr>
        <xdr:cNvPicPr>
          <a:picLocks noChangeAspect="1"/>
        </xdr:cNvPicPr>
      </xdr:nvPicPr>
      <xdr:blipFill>
        <a:blip xmlns:r="http://schemas.openxmlformats.org/officeDocument/2006/relationships" r:embed="rId2"/>
        <a:stretch>
          <a:fillRect/>
        </a:stretch>
      </xdr:blipFill>
      <xdr:spPr>
        <a:xfrm>
          <a:off x="179615" y="1257301"/>
          <a:ext cx="603041" cy="237581"/>
        </a:xfrm>
        <a:prstGeom prst="rect">
          <a:avLst/>
        </a:prstGeom>
      </xdr:spPr>
    </xdr:pic>
    <xdr:clientData/>
  </xdr:twoCellAnchor>
  <xdr:twoCellAnchor editAs="oneCell">
    <xdr:from>
      <xdr:col>0</xdr:col>
      <xdr:colOff>182879</xdr:colOff>
      <xdr:row>2</xdr:row>
      <xdr:rowOff>315685</xdr:rowOff>
    </xdr:from>
    <xdr:to>
      <xdr:col>2</xdr:col>
      <xdr:colOff>580481</xdr:colOff>
      <xdr:row>2</xdr:row>
      <xdr:rowOff>575007</xdr:rowOff>
    </xdr:to>
    <xdr:pic>
      <xdr:nvPicPr>
        <xdr:cNvPr id="5" name="Picture 4">
          <a:extLst>
            <a:ext uri="{FF2B5EF4-FFF2-40B4-BE49-F238E27FC236}">
              <a16:creationId xmlns:a16="http://schemas.microsoft.com/office/drawing/2014/main" id="{FC745AD7-29DA-DDD7-70D2-9F03DA701E61}"/>
            </a:ext>
          </a:extLst>
        </xdr:cNvPr>
        <xdr:cNvPicPr>
          <a:picLocks noChangeAspect="1"/>
        </xdr:cNvPicPr>
      </xdr:nvPicPr>
      <xdr:blipFill>
        <a:blip xmlns:r="http://schemas.openxmlformats.org/officeDocument/2006/relationships" r:embed="rId3"/>
        <a:stretch>
          <a:fillRect/>
        </a:stretch>
      </xdr:blipFill>
      <xdr:spPr>
        <a:xfrm>
          <a:off x="182879" y="664028"/>
          <a:ext cx="1736545" cy="25932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https://pecc2epc.sharepoint.com/sites/OMonIV-EPCExecution-6.CommercialManagement/Shared%20Documents/6.%20Contract%20and%20Commercial%20Management/02.%20KOM/01.%20PAYMENT%20FORMS/OM4_Payment%20Form%2004,%2005%20-%20Commercial%20invoice%20and%20Packing%20list,%20rev%20250709.xlsx" TargetMode="External"/><Relationship Id="rId2" Type="http://schemas.microsoft.com/office/2019/04/relationships/externalLinkLongPath" Target="https://pecc2epc.sharepoint.com/sites/OMonIV-EPCExecution-6.CommercialManagement/Shared%20Documents/6.%20Contract%20and%20Commercial%20Management/02.%20KOM/01.%20PAYMENT%20FORMS/OM4_Payment%20Form%2004,%2005%20-%20Commercial%20invoice%20and%20Packing%20list,%20rev%20250709.xlsx?80C4F2C1" TargetMode="External"/><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sheetData sheetId="138"/>
      <sheetData sheetId="139"/>
      <sheetData sheetId="140"/>
      <sheetData sheetId="141"/>
      <sheetData sheetId="1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22-Plant"/>
      <sheetName val="Supervision List"/>
      <sheetName val="기계내역서"/>
      <sheetName val="사진"/>
      <sheetName val="설산1.나"/>
      <sheetName val="본사S"/>
      <sheetName val="DATA LISTS"/>
      <sheetName val="ancillary"/>
      <sheetName val="PumpSpec"/>
      <sheetName val="co-no.2"/>
      <sheetName val="h-013211-2"/>
      <sheetName val="Table"/>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sheetData sheetId="242">
        <row r="5">
          <cell r="N5">
            <v>20</v>
          </cell>
        </row>
      </sheetData>
      <sheetData sheetId="243">
        <row r="5">
          <cell r="N5">
            <v>20</v>
          </cell>
        </row>
      </sheetData>
      <sheetData sheetId="244">
        <row r="5">
          <cell r="N5">
            <v>20</v>
          </cell>
        </row>
      </sheetData>
      <sheetData sheetId="245"/>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sheetData sheetId="267"/>
      <sheetData sheetId="268"/>
      <sheetData sheetId="269">
        <row r="5">
          <cell r="N5">
            <v>20</v>
          </cell>
        </row>
      </sheetData>
      <sheetData sheetId="270"/>
      <sheetData sheetId="271"/>
      <sheetData sheetId="272"/>
      <sheetData sheetId="273">
        <row r="5">
          <cell r="N5">
            <v>20</v>
          </cell>
        </row>
      </sheetData>
      <sheetData sheetId="274"/>
      <sheetData sheetId="275"/>
      <sheetData sheetId="276"/>
      <sheetData sheetId="277">
        <row r="5">
          <cell r="N5">
            <v>20</v>
          </cell>
        </row>
      </sheetData>
      <sheetData sheetId="278"/>
      <sheetData sheetId="279"/>
      <sheetData sheetId="280">
        <row r="5">
          <cell r="N5">
            <v>20</v>
          </cell>
        </row>
      </sheetData>
      <sheetData sheetId="281"/>
      <sheetData sheetId="282">
        <row r="5">
          <cell r="N5">
            <v>20</v>
          </cell>
        </row>
      </sheetData>
      <sheetData sheetId="283"/>
      <sheetData sheetId="284">
        <row r="5">
          <cell r="N5">
            <v>20</v>
          </cell>
        </row>
      </sheetData>
      <sheetData sheetId="285"/>
      <sheetData sheetId="286"/>
      <sheetData sheetId="287"/>
      <sheetData sheetId="288">
        <row r="5">
          <cell r="N5">
            <v>20</v>
          </cell>
        </row>
      </sheetData>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ow r="14">
          <cell r="EK14" t="str">
            <v>SP-01-1</v>
          </cell>
        </row>
      </sheetData>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Lists"/>
      <sheetName val="CI "/>
      <sheetName val="CI"/>
      <sheetName val="WXY"/>
      <sheetName val="입찰안"/>
      <sheetName val="SPARE PART"/>
      <sheetName val="연환"/>
      <sheetName val="부서코드표"/>
      <sheetName val="CAU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I"/>
      <sheetName val="Break Down CI"/>
      <sheetName val="PL(1_2)"/>
      <sheetName val="PL(2_2)"/>
      <sheetName val="Detailed PL"/>
      <sheetName val="SHIPPING MARK"/>
      <sheetName val="SHIPPING MARK1"/>
      <sheetName val="SHIPPING MARK2"/>
    </sheetNames>
    <sheetDataSet>
      <sheetData sheetId="0">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A1:AZ66"/>
  <sheetViews>
    <sheetView showGridLines="0" tabSelected="1" view="pageBreakPreview" topLeftCell="O1" zoomScale="55" zoomScaleNormal="100" zoomScaleSheetLayoutView="55" workbookViewId="0">
      <selection activeCell="D15" sqref="D15"/>
    </sheetView>
  </sheetViews>
  <sheetFormatPr defaultColWidth="8.65234375" defaultRowHeight="18" customHeight="1" x14ac:dyDescent="0.1"/>
  <cols>
    <col min="1" max="1" width="1.05078125" style="52" customWidth="1"/>
    <col min="2" max="2" width="7.6015625" style="66" customWidth="1"/>
    <col min="3" max="3" width="24.44140625" style="90" customWidth="1"/>
    <col min="4" max="4" width="54.26171875" style="91" customWidth="1"/>
    <col min="5" max="5" width="14.3828125" style="66" customWidth="1"/>
    <col min="6" max="6" width="16.01953125" style="91" customWidth="1"/>
    <col min="7" max="7" width="15.31640625" style="58" customWidth="1"/>
    <col min="8" max="8" width="7.6015625" style="92" customWidth="1"/>
    <col min="9" max="9" width="6.8984375" style="58" customWidth="1"/>
    <col min="10" max="10" width="7.015625" style="58" hidden="1" customWidth="1"/>
    <col min="11" max="11" width="7.6015625" style="58" customWidth="1"/>
    <col min="12" max="14" width="8.53515625" style="58" customWidth="1"/>
    <col min="15" max="15" width="8.53515625" style="93" customWidth="1"/>
    <col min="16" max="17" width="10.171875" style="58" customWidth="1"/>
    <col min="18" max="18" width="13.09765625" style="66" customWidth="1"/>
    <col min="19" max="19" width="15.66796875" style="66" customWidth="1"/>
    <col min="20" max="21" width="15.66796875" style="78" customWidth="1"/>
    <col min="22" max="22" width="14.8515625" style="66" customWidth="1"/>
    <col min="23" max="23" width="11.69140625" style="1" customWidth="1"/>
    <col min="24" max="24" width="1.05078125" style="54" customWidth="1"/>
    <col min="25" max="31" width="8.65234375" style="55" customWidth="1"/>
    <col min="32" max="37" width="8.65234375" style="52" customWidth="1"/>
    <col min="38" max="42" width="8.65234375" style="55"/>
    <col min="43" max="16384" width="8.65234375" style="52"/>
  </cols>
  <sheetData>
    <row r="1" spans="2:52" ht="9" customHeight="1" x14ac:dyDescent="0.1">
      <c r="B1" s="126"/>
      <c r="C1" s="126"/>
      <c r="D1" s="126"/>
      <c r="E1" s="126"/>
      <c r="F1" s="126"/>
      <c r="G1" s="126"/>
      <c r="H1" s="126"/>
      <c r="I1" s="126"/>
      <c r="J1" s="126"/>
      <c r="K1" s="126"/>
      <c r="L1" s="126"/>
      <c r="M1" s="126"/>
      <c r="N1" s="126"/>
      <c r="O1" s="126"/>
      <c r="P1" s="126"/>
      <c r="Q1" s="126"/>
      <c r="R1" s="126"/>
      <c r="S1" s="126"/>
      <c r="T1" s="126"/>
      <c r="U1" s="54"/>
      <c r="V1" s="55"/>
      <c r="W1" s="55"/>
      <c r="X1" s="55"/>
      <c r="AC1" s="52"/>
      <c r="AD1" s="52"/>
      <c r="AE1" s="52"/>
      <c r="AI1" s="55"/>
      <c r="AJ1" s="55"/>
      <c r="AK1" s="55"/>
      <c r="AN1" s="52"/>
      <c r="AO1" s="52"/>
      <c r="AP1" s="52"/>
    </row>
    <row r="2" spans="2:52" ht="26.1" customHeight="1" x14ac:dyDescent="0.1">
      <c r="B2" s="53"/>
      <c r="C2" s="58"/>
      <c r="D2" s="58"/>
      <c r="E2" s="52"/>
      <c r="F2" s="58"/>
      <c r="H2" s="58"/>
      <c r="I2" s="98"/>
      <c r="J2" s="98"/>
      <c r="K2" s="98"/>
      <c r="L2" s="99"/>
      <c r="M2" s="100"/>
      <c r="N2" s="53"/>
      <c r="O2" s="53"/>
      <c r="P2" s="53"/>
      <c r="Q2" s="53"/>
      <c r="R2" s="53"/>
      <c r="S2" s="52"/>
      <c r="T2" s="52"/>
      <c r="U2" s="52"/>
      <c r="V2" s="52"/>
      <c r="W2" s="52"/>
      <c r="X2" s="52"/>
      <c r="Y2" s="52"/>
      <c r="Z2" s="52"/>
      <c r="AA2" s="52"/>
      <c r="AB2" s="52"/>
      <c r="AC2" s="52"/>
      <c r="AD2" s="52"/>
      <c r="AE2" s="52"/>
      <c r="AL2" s="52"/>
      <c r="AM2" s="52"/>
      <c r="AN2" s="52"/>
      <c r="AO2" s="52"/>
      <c r="AP2" s="52"/>
    </row>
    <row r="3" spans="2:52" ht="27.6" customHeight="1" thickBot="1" x14ac:dyDescent="0.15">
      <c r="B3" s="53"/>
      <c r="C3" s="127" t="s">
        <v>105</v>
      </c>
      <c r="D3" s="127"/>
      <c r="E3" s="127"/>
      <c r="F3" s="127"/>
      <c r="G3" s="127"/>
      <c r="H3" s="127"/>
      <c r="I3" s="127"/>
      <c r="J3" s="127"/>
      <c r="K3" s="98"/>
      <c r="L3" s="99"/>
      <c r="M3" s="100"/>
      <c r="N3" s="101"/>
      <c r="O3" s="53"/>
      <c r="P3" s="53"/>
      <c r="Q3" s="53"/>
      <c r="R3" s="53"/>
      <c r="S3" s="52"/>
      <c r="T3" s="52"/>
      <c r="U3" s="52"/>
      <c r="V3" s="52"/>
      <c r="W3" s="52"/>
      <c r="X3" s="52"/>
      <c r="Y3" s="52"/>
      <c r="Z3" s="52"/>
      <c r="AA3" s="52"/>
      <c r="AB3" s="52"/>
      <c r="AC3" s="52"/>
      <c r="AD3" s="52"/>
      <c r="AE3" s="52"/>
      <c r="AL3" s="52"/>
      <c r="AM3" s="52"/>
      <c r="AN3" s="52"/>
      <c r="AO3" s="52"/>
      <c r="AP3" s="52"/>
    </row>
    <row r="4" spans="2:52" ht="33.75" customHeight="1" thickTop="1" thickBot="1" x14ac:dyDescent="0.15">
      <c r="B4" s="124" t="s">
        <v>60</v>
      </c>
      <c r="C4" s="125"/>
      <c r="D4" s="125"/>
      <c r="E4" s="125"/>
      <c r="F4" s="125"/>
      <c r="G4" s="125"/>
      <c r="H4" s="125"/>
      <c r="I4" s="125"/>
      <c r="J4" s="125"/>
      <c r="K4" s="125"/>
      <c r="L4" s="125"/>
      <c r="M4" s="125"/>
      <c r="N4" s="125"/>
      <c r="O4" s="125"/>
      <c r="P4" s="125"/>
      <c r="Q4" s="125"/>
      <c r="R4" s="125"/>
      <c r="S4" s="125"/>
      <c r="T4" s="96"/>
      <c r="U4" s="96"/>
      <c r="V4" s="96"/>
      <c r="W4" s="97"/>
    </row>
    <row r="5" spans="2:52" s="58" customFormat="1" ht="17.25" customHeight="1" thickTop="1" x14ac:dyDescent="0.1">
      <c r="B5" s="59"/>
      <c r="C5" s="60" t="s">
        <v>61</v>
      </c>
      <c r="D5" s="61" t="e">
        <f>#REF!</f>
        <v>#REF!</v>
      </c>
      <c r="E5" s="62"/>
      <c r="F5" s="56"/>
      <c r="G5" s="59"/>
      <c r="H5" s="61"/>
      <c r="I5" s="59"/>
      <c r="J5" s="59"/>
      <c r="K5" s="59"/>
      <c r="L5" s="59"/>
      <c r="M5" s="59"/>
      <c r="N5" s="59"/>
      <c r="O5" s="63"/>
      <c r="P5" s="59"/>
      <c r="Q5" s="59"/>
      <c r="R5" s="59"/>
      <c r="S5" s="62"/>
      <c r="T5" s="64"/>
      <c r="U5" s="64"/>
      <c r="V5" s="59"/>
      <c r="W5" s="59"/>
      <c r="X5" s="65"/>
      <c r="AA5" s="58">
        <v>36</v>
      </c>
      <c r="AB5" s="58">
        <v>39</v>
      </c>
      <c r="AC5" s="58">
        <v>40</v>
      </c>
      <c r="AD5" s="58">
        <v>163</v>
      </c>
      <c r="AE5" s="58">
        <v>3</v>
      </c>
      <c r="AF5" s="58">
        <v>8</v>
      </c>
      <c r="AG5" s="58">
        <v>44</v>
      </c>
      <c r="AH5" s="58">
        <v>45</v>
      </c>
      <c r="AI5" s="58">
        <v>46</v>
      </c>
      <c r="AJ5" s="58">
        <v>60</v>
      </c>
      <c r="AK5" s="58">
        <v>66</v>
      </c>
      <c r="AL5" s="66">
        <v>68</v>
      </c>
      <c r="AM5" s="66">
        <v>69</v>
      </c>
      <c r="AN5" s="66">
        <v>70</v>
      </c>
      <c r="AO5" s="66">
        <v>71</v>
      </c>
      <c r="AP5" s="66">
        <v>170</v>
      </c>
      <c r="AQ5" s="58">
        <v>110</v>
      </c>
      <c r="AR5" s="58">
        <v>234</v>
      </c>
      <c r="AS5" s="58">
        <v>33</v>
      </c>
      <c r="AT5" s="58">
        <v>34</v>
      </c>
      <c r="AU5" s="58">
        <v>142</v>
      </c>
      <c r="AW5" s="58">
        <v>79</v>
      </c>
      <c r="AX5" s="58">
        <v>80</v>
      </c>
      <c r="AY5" s="58">
        <v>81</v>
      </c>
      <c r="AZ5" s="58">
        <v>82</v>
      </c>
    </row>
    <row r="6" spans="2:52" s="58" customFormat="1" ht="17.25" customHeight="1" x14ac:dyDescent="0.1">
      <c r="B6" s="59"/>
      <c r="C6" s="60" t="s">
        <v>9</v>
      </c>
      <c r="D6" s="67" t="e">
        <f>#REF!</f>
        <v>#REF!</v>
      </c>
      <c r="E6" s="59"/>
      <c r="F6" s="40" t="s">
        <v>10</v>
      </c>
      <c r="G6" s="40"/>
      <c r="H6" s="39"/>
      <c r="I6" s="39"/>
      <c r="J6" s="39"/>
      <c r="K6" s="39"/>
      <c r="M6" s="68" t="s">
        <v>11</v>
      </c>
      <c r="N6" s="39"/>
      <c r="O6" s="39"/>
      <c r="P6" s="39"/>
      <c r="Q6" s="39"/>
      <c r="R6" s="39"/>
      <c r="S6" s="39"/>
      <c r="T6" s="69"/>
      <c r="U6" s="69"/>
      <c r="V6" s="59"/>
      <c r="W6" s="59"/>
      <c r="X6" s="65"/>
      <c r="AA6" s="58" t="e">
        <f>SUMIF(#REF!,AA5,#REF!)</f>
        <v>#REF!</v>
      </c>
      <c r="AB6" s="58" t="e">
        <f>SUMIF(#REF!,AB5,#REF!)</f>
        <v>#REF!</v>
      </c>
      <c r="AC6" s="58" t="e">
        <f>SUMIF(#REF!,AC5,#REF!)</f>
        <v>#REF!</v>
      </c>
      <c r="AD6" s="58" t="e">
        <f>SUMIF(#REF!,AD5,#REF!)</f>
        <v>#REF!</v>
      </c>
      <c r="AE6" s="58" t="e">
        <f>SUMIF(#REF!,AE5,#REF!)</f>
        <v>#REF!</v>
      </c>
      <c r="AF6" s="58" t="e">
        <f>SUMIF(#REF!,AF5,#REF!)</f>
        <v>#REF!</v>
      </c>
      <c r="AG6" s="58" t="e">
        <f>SUMIF(#REF!,AG5,#REF!)</f>
        <v>#REF!</v>
      </c>
      <c r="AH6" s="58" t="e">
        <f>SUMIF(#REF!,AH5,#REF!)</f>
        <v>#REF!</v>
      </c>
      <c r="AI6" s="58" t="e">
        <f>SUMIF(#REF!,AI5,#REF!)</f>
        <v>#REF!</v>
      </c>
      <c r="AJ6" s="58" t="e">
        <f>SUMIF(#REF!,AJ5,#REF!)</f>
        <v>#REF!</v>
      </c>
      <c r="AK6" s="58" t="e">
        <f>SUMIF(#REF!,AK5,#REF!)</f>
        <v>#REF!</v>
      </c>
      <c r="AL6" s="66" t="e">
        <f>SUMIF(#REF!,AL5,#REF!)</f>
        <v>#REF!</v>
      </c>
      <c r="AM6" s="66" t="e">
        <f>SUMIF(#REF!,AM5,#REF!)</f>
        <v>#REF!</v>
      </c>
      <c r="AN6" s="66" t="e">
        <f>SUMIF(#REF!,AN5,#REF!)</f>
        <v>#REF!</v>
      </c>
      <c r="AO6" s="66" t="e">
        <f>SUMIF(#REF!,AO5,#REF!)</f>
        <v>#REF!</v>
      </c>
      <c r="AP6" s="66" t="e">
        <f>SUMIF(#REF!,AP5,#REF!)</f>
        <v>#REF!</v>
      </c>
      <c r="AQ6" s="58" t="e">
        <f>SUMIF(#REF!,AQ5,#REF!)</f>
        <v>#REF!</v>
      </c>
      <c r="AR6" s="58">
        <f>SUMIF($AI$66:$AI$335,AR5,$H$66:$H$335)</f>
        <v>0</v>
      </c>
      <c r="AS6" s="58">
        <f>SUMIF($AI$66:$AI$335,AS5,$H$66:$H$335)</f>
        <v>0</v>
      </c>
      <c r="AT6" s="58">
        <f>SUMIF($AI$66:$AI$335,AT5,$H$66:$H$335)</f>
        <v>0</v>
      </c>
      <c r="AU6" s="58" t="e">
        <f>SUMIF(#REF!,AU5,#REF!)</f>
        <v>#REF!</v>
      </c>
      <c r="AV6" s="58" t="e">
        <f>SUM(AA6:AU7)</f>
        <v>#REF!</v>
      </c>
      <c r="AW6" s="58" t="e">
        <f>SUMIF(#REF!,AW5,#REF!)</f>
        <v>#REF!</v>
      </c>
      <c r="AX6" s="58" t="e">
        <f>SUMIF(#REF!,AX5,#REF!)</f>
        <v>#REF!</v>
      </c>
      <c r="AY6" s="58">
        <f>SUMIF($AI$66:$AI$335,AY5,$H$66:$H$335)</f>
        <v>0</v>
      </c>
      <c r="AZ6" s="58">
        <f>SUMIF($AI$66:$AI$335,AZ5,$H$66:$H$335)</f>
        <v>0</v>
      </c>
    </row>
    <row r="7" spans="2:52" s="58" customFormat="1" ht="17.25" customHeight="1" x14ac:dyDescent="0.1">
      <c r="B7" s="59"/>
      <c r="C7" s="60" t="s">
        <v>12</v>
      </c>
      <c r="D7" s="70" t="e">
        <f>#REF!</f>
        <v>#REF!</v>
      </c>
      <c r="E7" s="59"/>
      <c r="G7" s="94" t="s">
        <v>13</v>
      </c>
      <c r="H7" s="40" t="s">
        <v>14</v>
      </c>
      <c r="I7" s="39"/>
      <c r="J7" s="39"/>
      <c r="K7" s="39"/>
      <c r="M7" s="71"/>
      <c r="N7" s="41" t="s">
        <v>15</v>
      </c>
      <c r="O7" s="41" t="s">
        <v>16</v>
      </c>
      <c r="P7" s="41" t="s">
        <v>17</v>
      </c>
      <c r="Q7" s="41" t="s">
        <v>18</v>
      </c>
      <c r="R7" s="122"/>
      <c r="S7" s="122"/>
      <c r="T7" s="122"/>
      <c r="U7" s="122"/>
      <c r="V7" s="122"/>
      <c r="W7" s="66"/>
      <c r="X7" s="66"/>
      <c r="Y7" s="66"/>
      <c r="Z7" s="66"/>
      <c r="AA7" s="66"/>
      <c r="AB7" s="66"/>
      <c r="AC7" s="66">
        <v>1</v>
      </c>
      <c r="AD7" s="58">
        <v>1</v>
      </c>
      <c r="AG7" s="58">
        <v>5</v>
      </c>
      <c r="AH7" s="58">
        <v>100</v>
      </c>
      <c r="AJ7" s="66"/>
      <c r="AK7" s="66"/>
      <c r="AL7" s="66"/>
      <c r="AM7" s="66"/>
      <c r="AN7" s="66"/>
      <c r="AS7" s="58">
        <v>2</v>
      </c>
      <c r="AU7" s="58">
        <v>105</v>
      </c>
    </row>
    <row r="8" spans="2:52" s="58" customFormat="1" ht="17.25" customHeight="1" x14ac:dyDescent="0.1">
      <c r="B8" s="59"/>
      <c r="C8" s="60" t="s">
        <v>62</v>
      </c>
      <c r="D8" s="72" t="s">
        <v>63</v>
      </c>
      <c r="E8" s="59"/>
      <c r="G8" s="94" t="s">
        <v>19</v>
      </c>
      <c r="H8" s="40" t="s">
        <v>20</v>
      </c>
      <c r="I8" s="39"/>
      <c r="J8" s="39"/>
      <c r="K8" s="39"/>
      <c r="M8" s="73" t="s">
        <v>21</v>
      </c>
      <c r="N8" s="41" t="s">
        <v>22</v>
      </c>
      <c r="O8" s="41" t="s">
        <v>23</v>
      </c>
      <c r="P8" s="41" t="s">
        <v>24</v>
      </c>
      <c r="Q8" s="41" t="s">
        <v>25</v>
      </c>
      <c r="R8" s="37"/>
      <c r="S8" s="37"/>
      <c r="T8" s="36"/>
      <c r="U8" s="36"/>
      <c r="V8" s="36"/>
      <c r="W8" s="66"/>
      <c r="X8" s="66"/>
      <c r="Y8" s="66"/>
      <c r="Z8" s="66"/>
      <c r="AA8" s="66"/>
      <c r="AB8" s="66"/>
      <c r="AC8" s="66"/>
      <c r="AJ8" s="66"/>
      <c r="AK8" s="66"/>
      <c r="AL8" s="66"/>
      <c r="AM8" s="66"/>
      <c r="AN8" s="66"/>
    </row>
    <row r="9" spans="2:52" s="58" customFormat="1" ht="17.25" customHeight="1" x14ac:dyDescent="0.1">
      <c r="B9" s="59"/>
      <c r="C9" s="56"/>
      <c r="D9" s="74"/>
      <c r="E9" s="59"/>
      <c r="G9" s="94" t="s">
        <v>26</v>
      </c>
      <c r="H9" s="40" t="s">
        <v>27</v>
      </c>
      <c r="I9" s="39"/>
      <c r="J9" s="39"/>
      <c r="K9" s="39"/>
      <c r="M9" s="73" t="s">
        <v>28</v>
      </c>
      <c r="N9" s="41" t="s">
        <v>29</v>
      </c>
      <c r="O9" s="41" t="s">
        <v>30</v>
      </c>
      <c r="P9" s="41" t="s">
        <v>31</v>
      </c>
      <c r="Q9" s="41" t="s">
        <v>32</v>
      </c>
      <c r="R9" s="37"/>
      <c r="S9" s="37"/>
      <c r="T9" s="36"/>
      <c r="U9" s="36"/>
      <c r="V9" s="36"/>
      <c r="W9" s="66"/>
      <c r="X9" s="66"/>
      <c r="Y9" s="66"/>
      <c r="Z9" s="66"/>
      <c r="AA9" s="66"/>
      <c r="AB9" s="66"/>
      <c r="AC9" s="66"/>
      <c r="AJ9" s="66"/>
      <c r="AK9" s="66"/>
      <c r="AL9" s="66"/>
      <c r="AM9" s="66"/>
      <c r="AN9" s="66"/>
    </row>
    <row r="10" spans="2:52" s="58" customFormat="1" ht="17.25" customHeight="1" x14ac:dyDescent="0.1">
      <c r="B10" s="59"/>
      <c r="C10" s="60"/>
      <c r="D10" s="60"/>
      <c r="E10" s="59"/>
      <c r="G10" s="94" t="s">
        <v>33</v>
      </c>
      <c r="H10" s="40" t="s">
        <v>34</v>
      </c>
      <c r="I10" s="39"/>
      <c r="J10" s="39"/>
      <c r="K10" s="39"/>
      <c r="M10" s="73" t="s">
        <v>35</v>
      </c>
      <c r="N10" s="41" t="s">
        <v>36</v>
      </c>
      <c r="O10" s="41" t="s">
        <v>37</v>
      </c>
      <c r="P10" s="41" t="s">
        <v>38</v>
      </c>
      <c r="Q10" s="41" t="s">
        <v>39</v>
      </c>
      <c r="R10" s="69"/>
      <c r="S10" s="69"/>
      <c r="T10" s="59"/>
      <c r="U10" s="59"/>
      <c r="V10" s="65"/>
      <c r="W10" s="66"/>
      <c r="X10" s="66"/>
      <c r="Y10" s="66"/>
      <c r="Z10" s="66"/>
      <c r="AA10" s="66"/>
      <c r="AB10" s="66"/>
      <c r="AC10" s="66"/>
      <c r="AJ10" s="66"/>
      <c r="AK10" s="66"/>
      <c r="AL10" s="66"/>
      <c r="AM10" s="66"/>
      <c r="AN10" s="66"/>
    </row>
    <row r="11" spans="2:52" s="58" customFormat="1" ht="17.25" customHeight="1" x14ac:dyDescent="0.1">
      <c r="B11" s="59"/>
      <c r="C11" s="60"/>
      <c r="D11" s="60"/>
      <c r="E11" s="59"/>
      <c r="G11" s="94" t="s">
        <v>40</v>
      </c>
      <c r="H11" s="40" t="s">
        <v>41</v>
      </c>
      <c r="I11" s="39"/>
      <c r="J11" s="39"/>
      <c r="K11" s="39"/>
      <c r="L11" s="75"/>
      <c r="M11" s="39"/>
      <c r="N11" s="39"/>
      <c r="O11" s="39"/>
      <c r="P11" s="39"/>
      <c r="R11" s="39"/>
      <c r="S11" s="39"/>
      <c r="T11" s="69"/>
      <c r="U11" s="69"/>
      <c r="V11" s="59"/>
      <c r="W11" s="59"/>
      <c r="X11" s="65"/>
      <c r="Y11" s="66"/>
      <c r="Z11" s="66"/>
      <c r="AA11" s="66"/>
      <c r="AB11" s="66"/>
      <c r="AC11" s="66"/>
      <c r="AD11" s="66"/>
      <c r="AE11" s="66"/>
      <c r="AL11" s="66"/>
      <c r="AM11" s="66"/>
      <c r="AN11" s="66"/>
      <c r="AO11" s="66"/>
      <c r="AP11" s="66"/>
    </row>
    <row r="12" spans="2:52" s="58" customFormat="1" ht="16.899999999999999" customHeight="1" x14ac:dyDescent="0.1">
      <c r="B12" s="66"/>
      <c r="C12" s="76"/>
      <c r="D12" s="66"/>
      <c r="E12" s="66"/>
      <c r="F12" s="66"/>
      <c r="G12" s="66"/>
      <c r="H12" s="66"/>
      <c r="I12" s="66"/>
      <c r="J12" s="66"/>
      <c r="K12" s="66"/>
      <c r="L12" s="66"/>
      <c r="M12" s="66"/>
      <c r="N12" s="66"/>
      <c r="O12" s="77"/>
      <c r="P12" s="66"/>
      <c r="Q12" s="66"/>
      <c r="R12" s="66"/>
      <c r="S12" s="66"/>
      <c r="T12" s="78"/>
      <c r="U12" s="78"/>
      <c r="V12" s="66"/>
      <c r="W12" s="66"/>
      <c r="X12" s="65"/>
      <c r="Y12" s="66"/>
      <c r="Z12" s="66"/>
      <c r="AA12" s="66"/>
      <c r="AB12" s="66"/>
      <c r="AC12" s="66"/>
      <c r="AD12" s="66"/>
      <c r="AE12" s="66"/>
      <c r="AL12" s="66"/>
      <c r="AM12" s="66"/>
      <c r="AN12" s="66"/>
      <c r="AO12" s="66"/>
      <c r="AP12" s="66"/>
    </row>
    <row r="13" spans="2:52" s="79" customFormat="1" ht="20.25" customHeight="1" x14ac:dyDescent="0.1">
      <c r="B13" s="109" t="s">
        <v>0</v>
      </c>
      <c r="C13" s="114" t="s">
        <v>1</v>
      </c>
      <c r="D13" s="116" t="s">
        <v>42</v>
      </c>
      <c r="E13" s="109" t="s">
        <v>102</v>
      </c>
      <c r="F13" s="114" t="s">
        <v>64</v>
      </c>
      <c r="G13" s="109" t="s">
        <v>43</v>
      </c>
      <c r="H13" s="111" t="s">
        <v>44</v>
      </c>
      <c r="I13" s="113"/>
      <c r="J13" s="80" t="s">
        <v>65</v>
      </c>
      <c r="K13" s="109" t="s">
        <v>45</v>
      </c>
      <c r="L13" s="111" t="s">
        <v>66</v>
      </c>
      <c r="M13" s="112"/>
      <c r="N13" s="112"/>
      <c r="O13" s="113"/>
      <c r="P13" s="109" t="s">
        <v>46</v>
      </c>
      <c r="Q13" s="109" t="s">
        <v>47</v>
      </c>
      <c r="R13" s="123" t="s">
        <v>104</v>
      </c>
      <c r="S13" s="109" t="s">
        <v>48</v>
      </c>
      <c r="T13" s="81"/>
      <c r="U13" s="82"/>
      <c r="V13" s="82"/>
      <c r="W13" s="82"/>
      <c r="X13" s="82"/>
      <c r="Y13" s="82"/>
      <c r="Z13" s="82"/>
      <c r="AA13" s="82"/>
      <c r="AH13" s="82"/>
      <c r="AI13" s="82"/>
      <c r="AJ13" s="82"/>
      <c r="AK13" s="82"/>
      <c r="AL13" s="82"/>
    </row>
    <row r="14" spans="2:52" s="79" customFormat="1" ht="39.75" customHeight="1" x14ac:dyDescent="0.15">
      <c r="B14" s="115"/>
      <c r="C14" s="115"/>
      <c r="D14" s="117"/>
      <c r="E14" s="110"/>
      <c r="F14" s="115"/>
      <c r="G14" s="110"/>
      <c r="H14" s="44" t="s">
        <v>49</v>
      </c>
      <c r="I14" s="44" t="s">
        <v>50</v>
      </c>
      <c r="J14" s="43"/>
      <c r="K14" s="110"/>
      <c r="L14" s="45" t="s">
        <v>67</v>
      </c>
      <c r="M14" s="45" t="s">
        <v>68</v>
      </c>
      <c r="N14" s="45" t="s">
        <v>69</v>
      </c>
      <c r="O14" s="83" t="s">
        <v>70</v>
      </c>
      <c r="P14" s="110"/>
      <c r="Q14" s="110"/>
      <c r="R14" s="123"/>
      <c r="S14" s="110"/>
      <c r="U14" s="82"/>
      <c r="V14" s="82"/>
      <c r="W14" s="82"/>
      <c r="X14" s="82"/>
      <c r="Y14" s="82"/>
      <c r="Z14" s="82"/>
      <c r="AA14" s="82"/>
      <c r="AH14" s="82"/>
      <c r="AI14" s="82"/>
      <c r="AJ14" s="82"/>
      <c r="AK14" s="82"/>
      <c r="AL14" s="82"/>
    </row>
    <row r="15" spans="2:52" s="79" customFormat="1" ht="36.75" customHeight="1" x14ac:dyDescent="0.15">
      <c r="B15" s="41">
        <v>1</v>
      </c>
      <c r="C15" s="41" t="s">
        <v>118</v>
      </c>
      <c r="D15" s="50" t="s">
        <v>2</v>
      </c>
      <c r="E15" s="46" t="s">
        <v>107</v>
      </c>
      <c r="F15" s="41" t="s">
        <v>106</v>
      </c>
      <c r="G15" s="38" t="s">
        <v>103</v>
      </c>
      <c r="H15" s="35">
        <v>1000</v>
      </c>
      <c r="I15" s="46" t="s">
        <v>3</v>
      </c>
      <c r="J15" s="84">
        <f t="shared" ref="J15:J18" si="0">2122+135</f>
        <v>2257</v>
      </c>
      <c r="K15" s="47" t="s">
        <v>51</v>
      </c>
      <c r="L15" s="41">
        <v>1300</v>
      </c>
      <c r="M15" s="41">
        <v>800</v>
      </c>
      <c r="N15" s="41">
        <v>800</v>
      </c>
      <c r="O15" s="104">
        <f t="shared" ref="O15" si="1">ROUND(L15*M15*N15/1000000000,2)</f>
        <v>0.83</v>
      </c>
      <c r="P15" s="85">
        <f t="shared" ref="P15" si="2">1*J15</f>
        <v>2257</v>
      </c>
      <c r="Q15" s="85">
        <f>P15+83</f>
        <v>2340</v>
      </c>
      <c r="R15" s="48" t="s">
        <v>52</v>
      </c>
      <c r="S15" s="42"/>
      <c r="U15" s="82"/>
      <c r="V15" s="82"/>
      <c r="W15" s="82"/>
      <c r="X15" s="82"/>
      <c r="Y15" s="82"/>
      <c r="Z15" s="82"/>
      <c r="AA15" s="82"/>
      <c r="AH15" s="82"/>
      <c r="AI15" s="82"/>
      <c r="AJ15" s="82"/>
      <c r="AK15" s="82"/>
      <c r="AL15" s="82"/>
    </row>
    <row r="16" spans="2:52" s="79" customFormat="1" ht="36.75" customHeight="1" x14ac:dyDescent="0.15">
      <c r="B16" s="41">
        <v>2</v>
      </c>
      <c r="C16" s="41" t="s">
        <v>119</v>
      </c>
      <c r="D16" s="50" t="s">
        <v>2</v>
      </c>
      <c r="E16" s="46" t="s">
        <v>107</v>
      </c>
      <c r="F16" s="41" t="s">
        <v>106</v>
      </c>
      <c r="G16" s="38" t="s">
        <v>103</v>
      </c>
      <c r="H16" s="35">
        <v>1000</v>
      </c>
      <c r="I16" s="46" t="s">
        <v>3</v>
      </c>
      <c r="J16" s="84">
        <f t="shared" si="0"/>
        <v>2257</v>
      </c>
      <c r="K16" s="47" t="s">
        <v>51</v>
      </c>
      <c r="L16" s="41">
        <v>1300</v>
      </c>
      <c r="M16" s="41">
        <v>800</v>
      </c>
      <c r="N16" s="41">
        <v>800</v>
      </c>
      <c r="O16" s="104">
        <f t="shared" ref="O16:O18" si="3">ROUND(L16*M16*N16/1000000000,2)</f>
        <v>0.83</v>
      </c>
      <c r="P16" s="85">
        <f t="shared" ref="P16:P18" si="4">1*J16</f>
        <v>2257</v>
      </c>
      <c r="Q16" s="85">
        <f t="shared" ref="Q16:Q19" si="5">P16+83</f>
        <v>2340</v>
      </c>
      <c r="R16" s="48" t="s">
        <v>52</v>
      </c>
      <c r="S16" s="42"/>
      <c r="U16" s="82"/>
      <c r="V16" s="82"/>
      <c r="W16" s="82"/>
      <c r="X16" s="82"/>
      <c r="Y16" s="82"/>
      <c r="Z16" s="82"/>
      <c r="AA16" s="82"/>
      <c r="AH16" s="82"/>
      <c r="AI16" s="82"/>
      <c r="AJ16" s="82"/>
      <c r="AK16" s="82"/>
      <c r="AL16" s="82"/>
    </row>
    <row r="17" spans="1:38" s="79" customFormat="1" ht="36.75" customHeight="1" x14ac:dyDescent="0.15">
      <c r="B17" s="41">
        <v>3</v>
      </c>
      <c r="C17" s="41" t="s">
        <v>120</v>
      </c>
      <c r="D17" s="50" t="s">
        <v>2</v>
      </c>
      <c r="E17" s="46" t="s">
        <v>107</v>
      </c>
      <c r="F17" s="41" t="s">
        <v>106</v>
      </c>
      <c r="G17" s="38" t="s">
        <v>103</v>
      </c>
      <c r="H17" s="35">
        <v>1000</v>
      </c>
      <c r="I17" s="46" t="s">
        <v>3</v>
      </c>
      <c r="J17" s="84">
        <f t="shared" si="0"/>
        <v>2257</v>
      </c>
      <c r="K17" s="47" t="s">
        <v>51</v>
      </c>
      <c r="L17" s="41">
        <v>1300</v>
      </c>
      <c r="M17" s="41">
        <v>800</v>
      </c>
      <c r="N17" s="41">
        <v>800</v>
      </c>
      <c r="O17" s="104">
        <f t="shared" si="3"/>
        <v>0.83</v>
      </c>
      <c r="P17" s="85">
        <f t="shared" si="4"/>
        <v>2257</v>
      </c>
      <c r="Q17" s="85">
        <f t="shared" si="5"/>
        <v>2340</v>
      </c>
      <c r="R17" s="48" t="s">
        <v>52</v>
      </c>
      <c r="S17" s="42"/>
      <c r="U17" s="82"/>
      <c r="V17" s="82"/>
      <c r="W17" s="82"/>
      <c r="X17" s="82"/>
      <c r="Y17" s="82"/>
      <c r="Z17" s="82"/>
      <c r="AA17" s="82"/>
      <c r="AH17" s="82"/>
      <c r="AI17" s="82"/>
      <c r="AJ17" s="82"/>
      <c r="AK17" s="82"/>
      <c r="AL17" s="82"/>
    </row>
    <row r="18" spans="1:38" s="79" customFormat="1" ht="36.75" customHeight="1" x14ac:dyDescent="0.15">
      <c r="B18" s="41">
        <v>4</v>
      </c>
      <c r="C18" s="41" t="s">
        <v>121</v>
      </c>
      <c r="D18" s="50" t="s">
        <v>2</v>
      </c>
      <c r="E18" s="46" t="s">
        <v>107</v>
      </c>
      <c r="F18" s="41" t="s">
        <v>106</v>
      </c>
      <c r="G18" s="38" t="s">
        <v>103</v>
      </c>
      <c r="H18" s="35">
        <v>1000</v>
      </c>
      <c r="I18" s="46" t="s">
        <v>3</v>
      </c>
      <c r="J18" s="84">
        <f t="shared" si="0"/>
        <v>2257</v>
      </c>
      <c r="K18" s="47" t="s">
        <v>51</v>
      </c>
      <c r="L18" s="41">
        <v>1300</v>
      </c>
      <c r="M18" s="41">
        <v>800</v>
      </c>
      <c r="N18" s="41">
        <v>800</v>
      </c>
      <c r="O18" s="104">
        <f t="shared" si="3"/>
        <v>0.83</v>
      </c>
      <c r="P18" s="85">
        <f t="shared" si="4"/>
        <v>2257</v>
      </c>
      <c r="Q18" s="85">
        <f t="shared" si="5"/>
        <v>2340</v>
      </c>
      <c r="R18" s="48" t="s">
        <v>52</v>
      </c>
      <c r="S18" s="42"/>
      <c r="U18" s="82"/>
      <c r="V18" s="82"/>
      <c r="W18" s="82"/>
      <c r="X18" s="82"/>
      <c r="Y18" s="82"/>
      <c r="Z18" s="82"/>
      <c r="AA18" s="82"/>
      <c r="AH18" s="82"/>
      <c r="AI18" s="82"/>
      <c r="AJ18" s="82"/>
      <c r="AK18" s="82"/>
      <c r="AL18" s="82"/>
    </row>
    <row r="19" spans="1:38" s="79" customFormat="1" ht="36.75" customHeight="1" x14ac:dyDescent="0.15">
      <c r="B19" s="41">
        <v>5</v>
      </c>
      <c r="C19" s="41" t="s">
        <v>122</v>
      </c>
      <c r="D19" s="50" t="s">
        <v>2</v>
      </c>
      <c r="E19" s="46" t="s">
        <v>107</v>
      </c>
      <c r="F19" s="41" t="s">
        <v>106</v>
      </c>
      <c r="G19" s="38" t="s">
        <v>103</v>
      </c>
      <c r="H19" s="35">
        <v>1300</v>
      </c>
      <c r="I19" s="46" t="s">
        <v>3</v>
      </c>
      <c r="J19" s="84">
        <v>2817</v>
      </c>
      <c r="K19" s="47" t="s">
        <v>51</v>
      </c>
      <c r="L19" s="41">
        <v>1300</v>
      </c>
      <c r="M19" s="41">
        <v>800</v>
      </c>
      <c r="N19" s="41">
        <v>800</v>
      </c>
      <c r="O19" s="104">
        <f t="shared" ref="O19" si="6">ROUND(L19*M19*N19/1000000000,2)</f>
        <v>0.83</v>
      </c>
      <c r="P19" s="85">
        <v>2817</v>
      </c>
      <c r="Q19" s="85">
        <f t="shared" si="5"/>
        <v>2900</v>
      </c>
      <c r="R19" s="48" t="s">
        <v>52</v>
      </c>
      <c r="S19" s="42"/>
      <c r="U19" s="82"/>
      <c r="V19" s="82"/>
      <c r="W19" s="82"/>
      <c r="X19" s="82"/>
      <c r="Y19" s="82"/>
      <c r="Z19" s="82"/>
      <c r="AA19" s="82"/>
      <c r="AH19" s="82"/>
      <c r="AI19" s="82"/>
      <c r="AJ19" s="82"/>
      <c r="AK19" s="82"/>
      <c r="AL19" s="82"/>
    </row>
    <row r="20" spans="1:38" s="79" customFormat="1" ht="36.75" customHeight="1" x14ac:dyDescent="0.15">
      <c r="B20" s="41">
        <v>6</v>
      </c>
      <c r="C20" s="41" t="s">
        <v>123</v>
      </c>
      <c r="D20" s="50" t="s">
        <v>4</v>
      </c>
      <c r="E20" s="46" t="s">
        <v>107</v>
      </c>
      <c r="F20" s="41" t="s">
        <v>106</v>
      </c>
      <c r="G20" s="38" t="s">
        <v>103</v>
      </c>
      <c r="H20" s="35">
        <v>500</v>
      </c>
      <c r="I20" s="46" t="s">
        <v>3</v>
      </c>
      <c r="J20" s="84">
        <v>1220</v>
      </c>
      <c r="K20" s="47" t="s">
        <v>51</v>
      </c>
      <c r="L20" s="46">
        <v>1200</v>
      </c>
      <c r="M20" s="46">
        <v>800</v>
      </c>
      <c r="N20" s="41">
        <v>800</v>
      </c>
      <c r="O20" s="104">
        <f t="shared" ref="O20:O36" si="7">ROUND(L20*M20*N20/1000000000,2)</f>
        <v>0.77</v>
      </c>
      <c r="P20" s="85">
        <v>1220</v>
      </c>
      <c r="Q20" s="85">
        <f>P20+70</f>
        <v>1290</v>
      </c>
      <c r="R20" s="48" t="s">
        <v>53</v>
      </c>
      <c r="S20" s="42"/>
      <c r="U20" s="82"/>
      <c r="V20" s="82"/>
      <c r="W20" s="82"/>
      <c r="X20" s="82"/>
      <c r="Y20" s="82"/>
      <c r="Z20" s="82"/>
      <c r="AA20" s="82"/>
      <c r="AH20" s="82"/>
      <c r="AI20" s="82"/>
      <c r="AJ20" s="82"/>
      <c r="AK20" s="82"/>
      <c r="AL20" s="82"/>
    </row>
    <row r="21" spans="1:38" s="79" customFormat="1" ht="36.75" customHeight="1" x14ac:dyDescent="0.15">
      <c r="B21" s="41">
        <v>7</v>
      </c>
      <c r="C21" s="41" t="s">
        <v>124</v>
      </c>
      <c r="D21" s="50" t="s">
        <v>5</v>
      </c>
      <c r="E21" s="46" t="s">
        <v>107</v>
      </c>
      <c r="F21" s="41" t="s">
        <v>106</v>
      </c>
      <c r="G21" s="38" t="s">
        <v>108</v>
      </c>
      <c r="H21" s="35">
        <v>500</v>
      </c>
      <c r="I21" s="46" t="s">
        <v>3</v>
      </c>
      <c r="J21" s="84">
        <v>733</v>
      </c>
      <c r="K21" s="47" t="s">
        <v>51</v>
      </c>
      <c r="L21" s="46">
        <v>1200</v>
      </c>
      <c r="M21" s="46">
        <v>800</v>
      </c>
      <c r="N21" s="41">
        <v>800</v>
      </c>
      <c r="O21" s="104">
        <f t="shared" si="7"/>
        <v>0.77</v>
      </c>
      <c r="P21" s="85">
        <v>733</v>
      </c>
      <c r="Q21" s="85">
        <f>P21+87</f>
        <v>820</v>
      </c>
      <c r="R21" s="46" t="s">
        <v>54</v>
      </c>
      <c r="S21" s="42"/>
      <c r="U21" s="82"/>
      <c r="V21" s="82"/>
      <c r="W21" s="82"/>
      <c r="X21" s="82"/>
      <c r="Y21" s="82"/>
      <c r="Z21" s="82"/>
      <c r="AA21" s="82"/>
      <c r="AH21" s="82"/>
      <c r="AI21" s="82"/>
      <c r="AJ21" s="82"/>
      <c r="AK21" s="82"/>
      <c r="AL21" s="82"/>
    </row>
    <row r="22" spans="1:38" s="79" customFormat="1" ht="36.75" customHeight="1" x14ac:dyDescent="0.15">
      <c r="B22" s="41">
        <v>8</v>
      </c>
      <c r="C22" s="41" t="s">
        <v>125</v>
      </c>
      <c r="D22" s="50" t="s">
        <v>6</v>
      </c>
      <c r="E22" s="46" t="s">
        <v>107</v>
      </c>
      <c r="F22" s="41" t="s">
        <v>106</v>
      </c>
      <c r="G22" s="38" t="s">
        <v>109</v>
      </c>
      <c r="H22" s="35">
        <v>500</v>
      </c>
      <c r="I22" s="46" t="s">
        <v>3</v>
      </c>
      <c r="J22" s="84">
        <v>493</v>
      </c>
      <c r="K22" s="47" t="s">
        <v>51</v>
      </c>
      <c r="L22" s="46">
        <v>1000</v>
      </c>
      <c r="M22" s="46">
        <v>700</v>
      </c>
      <c r="N22" s="46">
        <v>700</v>
      </c>
      <c r="O22" s="104">
        <f t="shared" si="7"/>
        <v>0.49</v>
      </c>
      <c r="P22" s="85">
        <v>493</v>
      </c>
      <c r="Q22" s="85">
        <f>P22+87</f>
        <v>580</v>
      </c>
      <c r="R22" s="46" t="s">
        <v>55</v>
      </c>
      <c r="S22" s="42"/>
      <c r="U22" s="82"/>
      <c r="V22" s="82"/>
      <c r="W22" s="82"/>
      <c r="X22" s="82"/>
      <c r="Y22" s="82"/>
      <c r="Z22" s="82"/>
      <c r="AA22" s="82"/>
      <c r="AH22" s="82"/>
      <c r="AI22" s="82"/>
      <c r="AJ22" s="82"/>
      <c r="AK22" s="82"/>
      <c r="AL22" s="82"/>
    </row>
    <row r="23" spans="1:38" s="102" customFormat="1" ht="41.25" customHeight="1" x14ac:dyDescent="0.15">
      <c r="A23" s="79"/>
      <c r="B23" s="41">
        <v>9</v>
      </c>
      <c r="C23" s="118" t="s">
        <v>126</v>
      </c>
      <c r="D23" s="50" t="s">
        <v>179</v>
      </c>
      <c r="E23" s="46" t="s">
        <v>107</v>
      </c>
      <c r="F23" s="41" t="s">
        <v>106</v>
      </c>
      <c r="G23" s="38" t="s">
        <v>110</v>
      </c>
      <c r="H23" s="35">
        <v>2</v>
      </c>
      <c r="I23" s="46" t="s">
        <v>8</v>
      </c>
      <c r="J23" s="87"/>
      <c r="K23" s="107" t="s">
        <v>59</v>
      </c>
      <c r="L23" s="107">
        <v>500</v>
      </c>
      <c r="M23" s="107">
        <v>500</v>
      </c>
      <c r="N23" s="107">
        <v>500</v>
      </c>
      <c r="O23" s="129">
        <f t="shared" ref="O23:O33" si="8">ROUND(L23*M23*N23/1000000000,2)</f>
        <v>0.13</v>
      </c>
      <c r="P23" s="120">
        <f>H24*J24</f>
        <v>80</v>
      </c>
      <c r="Q23" s="120">
        <f t="shared" ref="Q23:Q33" si="9">P23+1</f>
        <v>81</v>
      </c>
      <c r="R23" s="48" t="s">
        <v>163</v>
      </c>
      <c r="S23" s="42"/>
      <c r="U23" s="103"/>
      <c r="V23" s="103"/>
      <c r="W23" s="103"/>
      <c r="X23" s="103"/>
      <c r="Y23" s="103"/>
      <c r="Z23" s="103"/>
      <c r="AA23" s="103"/>
      <c r="AH23" s="103"/>
      <c r="AI23" s="103"/>
      <c r="AJ23" s="103"/>
      <c r="AK23" s="103"/>
      <c r="AL23" s="103"/>
    </row>
    <row r="24" spans="1:38" s="102" customFormat="1" ht="79.5" customHeight="1" x14ac:dyDescent="0.15">
      <c r="A24" s="79"/>
      <c r="B24" s="41">
        <v>10</v>
      </c>
      <c r="C24" s="119"/>
      <c r="D24" s="105" t="s">
        <v>180</v>
      </c>
      <c r="E24" s="46" t="s">
        <v>107</v>
      </c>
      <c r="F24" s="41" t="s">
        <v>106</v>
      </c>
      <c r="G24" s="38" t="s">
        <v>110</v>
      </c>
      <c r="H24" s="35">
        <v>400</v>
      </c>
      <c r="I24" s="46" t="s">
        <v>8</v>
      </c>
      <c r="J24" s="87">
        <v>0.2</v>
      </c>
      <c r="K24" s="108"/>
      <c r="L24" s="108"/>
      <c r="M24" s="108"/>
      <c r="N24" s="108"/>
      <c r="O24" s="130"/>
      <c r="P24" s="121"/>
      <c r="Q24" s="121"/>
      <c r="R24" s="48" t="s">
        <v>164</v>
      </c>
      <c r="S24" s="42"/>
      <c r="U24" s="103"/>
      <c r="V24" s="103"/>
      <c r="W24" s="103"/>
      <c r="X24" s="103"/>
      <c r="Y24" s="103"/>
      <c r="Z24" s="103"/>
      <c r="AA24" s="103"/>
      <c r="AH24" s="103"/>
      <c r="AI24" s="103"/>
      <c r="AJ24" s="103"/>
      <c r="AK24" s="103"/>
      <c r="AL24" s="103"/>
    </row>
    <row r="25" spans="1:38" s="79" customFormat="1" ht="50.25" customHeight="1" x14ac:dyDescent="0.15">
      <c r="B25" s="41">
        <v>11</v>
      </c>
      <c r="C25" s="118" t="s">
        <v>127</v>
      </c>
      <c r="D25" s="50" t="s">
        <v>178</v>
      </c>
      <c r="E25" s="46" t="s">
        <v>107</v>
      </c>
      <c r="F25" s="41" t="s">
        <v>106</v>
      </c>
      <c r="G25" s="38" t="s">
        <v>111</v>
      </c>
      <c r="H25" s="35">
        <v>1</v>
      </c>
      <c r="I25" s="46" t="s">
        <v>8</v>
      </c>
      <c r="J25" s="87"/>
      <c r="K25" s="107" t="s">
        <v>59</v>
      </c>
      <c r="L25" s="107">
        <v>500</v>
      </c>
      <c r="M25" s="107">
        <v>500</v>
      </c>
      <c r="N25" s="107">
        <v>500</v>
      </c>
      <c r="O25" s="129">
        <f t="shared" si="8"/>
        <v>0.13</v>
      </c>
      <c r="P25" s="120">
        <f>H26*J26</f>
        <v>30</v>
      </c>
      <c r="Q25" s="120">
        <f t="shared" si="9"/>
        <v>31</v>
      </c>
      <c r="R25" s="48" t="s">
        <v>165</v>
      </c>
      <c r="S25" s="42"/>
      <c r="U25" s="82"/>
      <c r="V25" s="82"/>
      <c r="W25" s="82"/>
      <c r="X25" s="82"/>
      <c r="Y25" s="82"/>
      <c r="Z25" s="82"/>
      <c r="AA25" s="82"/>
      <c r="AH25" s="82"/>
      <c r="AI25" s="82"/>
      <c r="AJ25" s="82"/>
      <c r="AK25" s="82"/>
      <c r="AL25" s="82"/>
    </row>
    <row r="26" spans="1:38" s="79" customFormat="1" ht="75.75" customHeight="1" x14ac:dyDescent="0.15">
      <c r="B26" s="41">
        <v>12</v>
      </c>
      <c r="C26" s="119"/>
      <c r="D26" s="105" t="s">
        <v>181</v>
      </c>
      <c r="E26" s="46" t="s">
        <v>107</v>
      </c>
      <c r="F26" s="41" t="s">
        <v>106</v>
      </c>
      <c r="G26" s="38" t="s">
        <v>111</v>
      </c>
      <c r="H26" s="35">
        <v>100</v>
      </c>
      <c r="I26" s="46" t="s">
        <v>8</v>
      </c>
      <c r="J26" s="87">
        <v>0.3</v>
      </c>
      <c r="K26" s="108"/>
      <c r="L26" s="108"/>
      <c r="M26" s="108"/>
      <c r="N26" s="108"/>
      <c r="O26" s="130"/>
      <c r="P26" s="121"/>
      <c r="Q26" s="121"/>
      <c r="R26" s="48" t="s">
        <v>166</v>
      </c>
      <c r="S26" s="42"/>
      <c r="U26" s="82"/>
      <c r="V26" s="82"/>
      <c r="W26" s="82"/>
      <c r="X26" s="82"/>
      <c r="Y26" s="82"/>
      <c r="Z26" s="82"/>
      <c r="AA26" s="82"/>
      <c r="AH26" s="82"/>
      <c r="AI26" s="82"/>
      <c r="AJ26" s="82"/>
      <c r="AK26" s="82"/>
      <c r="AL26" s="82"/>
    </row>
    <row r="27" spans="1:38" s="79" customFormat="1" ht="43.5" customHeight="1" x14ac:dyDescent="0.15">
      <c r="B27" s="41">
        <v>13</v>
      </c>
      <c r="C27" s="118" t="s">
        <v>128</v>
      </c>
      <c r="D27" s="50" t="s">
        <v>177</v>
      </c>
      <c r="E27" s="46" t="s">
        <v>107</v>
      </c>
      <c r="F27" s="41" t="s">
        <v>106</v>
      </c>
      <c r="G27" s="38" t="s">
        <v>112</v>
      </c>
      <c r="H27" s="35">
        <v>1</v>
      </c>
      <c r="I27" s="46" t="s">
        <v>8</v>
      </c>
      <c r="J27" s="87"/>
      <c r="K27" s="107" t="s">
        <v>59</v>
      </c>
      <c r="L27" s="107">
        <v>500</v>
      </c>
      <c r="M27" s="107">
        <v>500</v>
      </c>
      <c r="N27" s="107">
        <v>500</v>
      </c>
      <c r="O27" s="129">
        <f t="shared" si="8"/>
        <v>0.13</v>
      </c>
      <c r="P27" s="120">
        <f>H28*J28</f>
        <v>25</v>
      </c>
      <c r="Q27" s="120">
        <f t="shared" si="9"/>
        <v>26</v>
      </c>
      <c r="R27" s="48" t="s">
        <v>167</v>
      </c>
      <c r="S27" s="42"/>
      <c r="U27" s="82"/>
      <c r="V27" s="82"/>
      <c r="W27" s="82"/>
      <c r="X27" s="82"/>
      <c r="Y27" s="82"/>
      <c r="Z27" s="82"/>
      <c r="AA27" s="82"/>
      <c r="AH27" s="82"/>
      <c r="AI27" s="82"/>
      <c r="AJ27" s="82"/>
      <c r="AK27" s="82"/>
      <c r="AL27" s="82"/>
    </row>
    <row r="28" spans="1:38" s="79" customFormat="1" ht="75.75" customHeight="1" x14ac:dyDescent="0.15">
      <c r="B28" s="41">
        <v>14</v>
      </c>
      <c r="C28" s="119"/>
      <c r="D28" s="50" t="s">
        <v>182</v>
      </c>
      <c r="E28" s="46" t="s">
        <v>107</v>
      </c>
      <c r="F28" s="41" t="s">
        <v>106</v>
      </c>
      <c r="G28" s="38" t="s">
        <v>112</v>
      </c>
      <c r="H28" s="35">
        <v>100</v>
      </c>
      <c r="I28" s="46" t="s">
        <v>8</v>
      </c>
      <c r="J28" s="87">
        <v>0.25</v>
      </c>
      <c r="K28" s="108"/>
      <c r="L28" s="108"/>
      <c r="M28" s="108"/>
      <c r="N28" s="108"/>
      <c r="O28" s="130"/>
      <c r="P28" s="121"/>
      <c r="Q28" s="121"/>
      <c r="R28" s="48" t="s">
        <v>168</v>
      </c>
      <c r="S28" s="42"/>
      <c r="U28" s="82"/>
      <c r="V28" s="82"/>
      <c r="W28" s="82"/>
      <c r="X28" s="82"/>
      <c r="Y28" s="82"/>
      <c r="Z28" s="82"/>
      <c r="AA28" s="82"/>
      <c r="AH28" s="82"/>
      <c r="AI28" s="82"/>
      <c r="AJ28" s="82"/>
      <c r="AK28" s="82"/>
      <c r="AL28" s="82"/>
    </row>
    <row r="29" spans="1:38" s="79" customFormat="1" ht="48" customHeight="1" x14ac:dyDescent="0.15">
      <c r="B29" s="41">
        <v>15</v>
      </c>
      <c r="C29" s="118" t="s">
        <v>129</v>
      </c>
      <c r="D29" s="50" t="s">
        <v>176</v>
      </c>
      <c r="E29" s="46" t="s">
        <v>107</v>
      </c>
      <c r="F29" s="41" t="s">
        <v>106</v>
      </c>
      <c r="G29" s="38" t="s">
        <v>113</v>
      </c>
      <c r="H29" s="35">
        <v>1</v>
      </c>
      <c r="I29" s="46" t="s">
        <v>8</v>
      </c>
      <c r="J29" s="87"/>
      <c r="K29" s="107" t="s">
        <v>59</v>
      </c>
      <c r="L29" s="107">
        <v>500</v>
      </c>
      <c r="M29" s="107">
        <v>500</v>
      </c>
      <c r="N29" s="107">
        <v>500</v>
      </c>
      <c r="O29" s="129">
        <f t="shared" si="8"/>
        <v>0.13</v>
      </c>
      <c r="P29" s="120">
        <f>H30*J30</f>
        <v>10</v>
      </c>
      <c r="Q29" s="120">
        <f t="shared" si="9"/>
        <v>11</v>
      </c>
      <c r="R29" s="48" t="s">
        <v>169</v>
      </c>
      <c r="S29" s="42"/>
      <c r="U29" s="82"/>
      <c r="V29" s="82"/>
      <c r="W29" s="82"/>
      <c r="X29" s="82"/>
      <c r="Y29" s="82"/>
      <c r="Z29" s="82"/>
      <c r="AA29" s="82"/>
      <c r="AH29" s="82"/>
      <c r="AI29" s="82"/>
      <c r="AJ29" s="82"/>
      <c r="AK29" s="82"/>
      <c r="AL29" s="82"/>
    </row>
    <row r="30" spans="1:38" s="79" customFormat="1" ht="63.75" customHeight="1" x14ac:dyDescent="0.15">
      <c r="B30" s="41">
        <v>16</v>
      </c>
      <c r="C30" s="119"/>
      <c r="D30" s="105" t="s">
        <v>183</v>
      </c>
      <c r="E30" s="46" t="s">
        <v>107</v>
      </c>
      <c r="F30" s="41" t="s">
        <v>106</v>
      </c>
      <c r="G30" s="38" t="s">
        <v>113</v>
      </c>
      <c r="H30" s="35">
        <v>50</v>
      </c>
      <c r="I30" s="46" t="s">
        <v>8</v>
      </c>
      <c r="J30" s="87">
        <v>0.2</v>
      </c>
      <c r="K30" s="108"/>
      <c r="L30" s="108"/>
      <c r="M30" s="108"/>
      <c r="N30" s="108"/>
      <c r="O30" s="130"/>
      <c r="P30" s="121"/>
      <c r="Q30" s="121"/>
      <c r="R30" s="48" t="s">
        <v>170</v>
      </c>
      <c r="S30" s="42"/>
      <c r="U30" s="82"/>
      <c r="V30" s="82"/>
      <c r="W30" s="82"/>
      <c r="X30" s="82"/>
      <c r="Y30" s="82"/>
      <c r="Z30" s="82"/>
      <c r="AA30" s="82"/>
      <c r="AH30" s="82"/>
      <c r="AI30" s="82"/>
      <c r="AJ30" s="82"/>
      <c r="AK30" s="82"/>
      <c r="AL30" s="82"/>
    </row>
    <row r="31" spans="1:38" s="79" customFormat="1" ht="51.75" customHeight="1" x14ac:dyDescent="0.15">
      <c r="B31" s="41">
        <v>17</v>
      </c>
      <c r="C31" s="118" t="s">
        <v>130</v>
      </c>
      <c r="D31" s="50" t="s">
        <v>175</v>
      </c>
      <c r="E31" s="46" t="s">
        <v>107</v>
      </c>
      <c r="F31" s="41" t="s">
        <v>106</v>
      </c>
      <c r="G31" s="38" t="s">
        <v>114</v>
      </c>
      <c r="H31" s="35">
        <v>1</v>
      </c>
      <c r="I31" s="46" t="s">
        <v>8</v>
      </c>
      <c r="J31" s="87"/>
      <c r="K31" s="107" t="s">
        <v>59</v>
      </c>
      <c r="L31" s="107">
        <v>500</v>
      </c>
      <c r="M31" s="107">
        <v>500</v>
      </c>
      <c r="N31" s="107">
        <v>500</v>
      </c>
      <c r="O31" s="129">
        <f t="shared" si="8"/>
        <v>0.13</v>
      </c>
      <c r="P31" s="120">
        <f>H32*J32</f>
        <v>10</v>
      </c>
      <c r="Q31" s="120">
        <f t="shared" si="9"/>
        <v>11</v>
      </c>
      <c r="R31" s="48" t="s">
        <v>171</v>
      </c>
      <c r="S31" s="42"/>
      <c r="U31" s="82"/>
      <c r="V31" s="82"/>
      <c r="W31" s="82"/>
      <c r="X31" s="82"/>
      <c r="Y31" s="82"/>
      <c r="Z31" s="82"/>
      <c r="AA31" s="82"/>
      <c r="AH31" s="82"/>
      <c r="AI31" s="82"/>
      <c r="AJ31" s="82"/>
      <c r="AK31" s="82"/>
      <c r="AL31" s="82"/>
    </row>
    <row r="32" spans="1:38" s="79" customFormat="1" ht="65.25" customHeight="1" x14ac:dyDescent="0.15">
      <c r="B32" s="41">
        <v>18</v>
      </c>
      <c r="C32" s="119"/>
      <c r="D32" s="105" t="s">
        <v>184</v>
      </c>
      <c r="E32" s="46" t="s">
        <v>107</v>
      </c>
      <c r="F32" s="41" t="s">
        <v>106</v>
      </c>
      <c r="G32" s="38" t="s">
        <v>114</v>
      </c>
      <c r="H32" s="35">
        <v>50</v>
      </c>
      <c r="I32" s="46" t="s">
        <v>8</v>
      </c>
      <c r="J32" s="87">
        <v>0.2</v>
      </c>
      <c r="K32" s="108"/>
      <c r="L32" s="108"/>
      <c r="M32" s="108"/>
      <c r="N32" s="108"/>
      <c r="O32" s="130"/>
      <c r="P32" s="121"/>
      <c r="Q32" s="121"/>
      <c r="R32" s="48" t="s">
        <v>170</v>
      </c>
      <c r="S32" s="42"/>
      <c r="U32" s="82"/>
      <c r="V32" s="82"/>
      <c r="W32" s="82"/>
      <c r="X32" s="82"/>
      <c r="Y32" s="82"/>
      <c r="Z32" s="82"/>
      <c r="AA32" s="82"/>
      <c r="AH32" s="82"/>
      <c r="AI32" s="82"/>
      <c r="AJ32" s="82"/>
      <c r="AK32" s="82"/>
      <c r="AL32" s="82"/>
    </row>
    <row r="33" spans="2:38" s="79" customFormat="1" ht="54.75" customHeight="1" x14ac:dyDescent="0.15">
      <c r="B33" s="41">
        <v>19</v>
      </c>
      <c r="C33" s="118" t="s">
        <v>131</v>
      </c>
      <c r="D33" s="50" t="s">
        <v>174</v>
      </c>
      <c r="E33" s="46" t="s">
        <v>107</v>
      </c>
      <c r="F33" s="41" t="s">
        <v>106</v>
      </c>
      <c r="G33" s="38" t="s">
        <v>115</v>
      </c>
      <c r="H33" s="35">
        <v>1</v>
      </c>
      <c r="I33" s="46" t="s">
        <v>8</v>
      </c>
      <c r="J33" s="87"/>
      <c r="K33" s="107" t="s">
        <v>59</v>
      </c>
      <c r="L33" s="107">
        <v>500</v>
      </c>
      <c r="M33" s="107">
        <v>500</v>
      </c>
      <c r="N33" s="107">
        <v>500</v>
      </c>
      <c r="O33" s="129">
        <f t="shared" si="8"/>
        <v>0.13</v>
      </c>
      <c r="P33" s="120">
        <f>H34*J34</f>
        <v>12</v>
      </c>
      <c r="Q33" s="120">
        <f t="shared" si="9"/>
        <v>13</v>
      </c>
      <c r="R33" s="48" t="s">
        <v>172</v>
      </c>
      <c r="S33" s="42"/>
      <c r="U33" s="82"/>
      <c r="V33" s="82"/>
      <c r="W33" s="82"/>
      <c r="X33" s="82"/>
      <c r="Y33" s="82"/>
      <c r="Z33" s="82"/>
      <c r="AA33" s="82"/>
      <c r="AH33" s="82"/>
      <c r="AI33" s="82"/>
      <c r="AJ33" s="82"/>
      <c r="AK33" s="82"/>
      <c r="AL33" s="82"/>
    </row>
    <row r="34" spans="2:38" s="79" customFormat="1" ht="70.5" customHeight="1" x14ac:dyDescent="0.15">
      <c r="B34" s="41">
        <v>20</v>
      </c>
      <c r="C34" s="119"/>
      <c r="D34" s="105" t="s">
        <v>185</v>
      </c>
      <c r="E34" s="46" t="s">
        <v>107</v>
      </c>
      <c r="F34" s="41" t="s">
        <v>106</v>
      </c>
      <c r="G34" s="38" t="s">
        <v>115</v>
      </c>
      <c r="H34" s="35">
        <v>30</v>
      </c>
      <c r="I34" s="46" t="s">
        <v>8</v>
      </c>
      <c r="J34" s="87">
        <v>0.4</v>
      </c>
      <c r="K34" s="108"/>
      <c r="L34" s="108"/>
      <c r="M34" s="108"/>
      <c r="N34" s="108"/>
      <c r="O34" s="130"/>
      <c r="P34" s="121"/>
      <c r="Q34" s="121"/>
      <c r="R34" s="48" t="s">
        <v>173</v>
      </c>
      <c r="S34" s="42"/>
      <c r="U34" s="82"/>
      <c r="V34" s="82"/>
      <c r="W34" s="82"/>
      <c r="X34" s="82"/>
      <c r="Y34" s="82"/>
      <c r="Z34" s="82"/>
      <c r="AA34" s="82"/>
      <c r="AH34" s="82"/>
      <c r="AI34" s="82"/>
      <c r="AJ34" s="82"/>
      <c r="AK34" s="82"/>
      <c r="AL34" s="82"/>
    </row>
    <row r="35" spans="2:38" s="79" customFormat="1" ht="83.25" customHeight="1" x14ac:dyDescent="0.15">
      <c r="B35" s="41">
        <v>21</v>
      </c>
      <c r="C35" s="41" t="s">
        <v>132</v>
      </c>
      <c r="D35" s="50" t="s">
        <v>7</v>
      </c>
      <c r="E35" s="46" t="s">
        <v>107</v>
      </c>
      <c r="F35" s="41" t="s">
        <v>106</v>
      </c>
      <c r="G35" s="38" t="s">
        <v>116</v>
      </c>
      <c r="H35" s="35">
        <v>30</v>
      </c>
      <c r="I35" s="46" t="s">
        <v>8</v>
      </c>
      <c r="J35" s="84">
        <v>5</v>
      </c>
      <c r="K35" s="46" t="s">
        <v>56</v>
      </c>
      <c r="L35" s="46">
        <v>3000</v>
      </c>
      <c r="M35" s="46">
        <v>300</v>
      </c>
      <c r="N35" s="46">
        <v>200</v>
      </c>
      <c r="O35" s="49">
        <f t="shared" si="7"/>
        <v>0.18</v>
      </c>
      <c r="P35" s="86">
        <f t="shared" ref="P35" si="10">H35*J35</f>
        <v>150</v>
      </c>
      <c r="Q35" s="86">
        <f t="shared" ref="Q35:Q36" si="11">P35+1</f>
        <v>151</v>
      </c>
      <c r="R35" s="48" t="s">
        <v>57</v>
      </c>
      <c r="S35" s="42"/>
      <c r="U35" s="82"/>
      <c r="V35" s="82"/>
      <c r="W35" s="82"/>
      <c r="X35" s="82"/>
      <c r="Y35" s="82"/>
      <c r="Z35" s="82"/>
      <c r="AA35" s="82"/>
      <c r="AH35" s="82"/>
      <c r="AI35" s="82"/>
      <c r="AJ35" s="82"/>
      <c r="AK35" s="82"/>
      <c r="AL35" s="82"/>
    </row>
    <row r="36" spans="2:38" s="79" customFormat="1" ht="57" customHeight="1" x14ac:dyDescent="0.15">
      <c r="B36" s="41">
        <v>22</v>
      </c>
      <c r="C36" s="41" t="s">
        <v>133</v>
      </c>
      <c r="D36" s="50" t="s">
        <v>186</v>
      </c>
      <c r="E36" s="46" t="s">
        <v>107</v>
      </c>
      <c r="F36" s="41" t="s">
        <v>106</v>
      </c>
      <c r="G36" s="38" t="s">
        <v>117</v>
      </c>
      <c r="H36" s="35">
        <v>1</v>
      </c>
      <c r="I36" s="46" t="s">
        <v>8</v>
      </c>
      <c r="J36" s="84">
        <v>25</v>
      </c>
      <c r="K36" s="46" t="s">
        <v>56</v>
      </c>
      <c r="L36" s="46">
        <v>350</v>
      </c>
      <c r="M36" s="46">
        <v>350</v>
      </c>
      <c r="N36" s="46">
        <v>200</v>
      </c>
      <c r="O36" s="49">
        <f t="shared" si="7"/>
        <v>0.02</v>
      </c>
      <c r="P36" s="86">
        <f t="shared" ref="P36:P65" si="12">H36*J36</f>
        <v>25</v>
      </c>
      <c r="Q36" s="86">
        <f t="shared" si="11"/>
        <v>26</v>
      </c>
      <c r="R36" s="48" t="s">
        <v>58</v>
      </c>
      <c r="S36" s="42"/>
      <c r="U36" s="82"/>
      <c r="V36" s="82"/>
      <c r="W36" s="82"/>
      <c r="X36" s="82"/>
      <c r="Y36" s="82"/>
      <c r="Z36" s="82"/>
      <c r="AA36" s="82"/>
      <c r="AH36" s="82"/>
      <c r="AI36" s="82"/>
      <c r="AJ36" s="82"/>
      <c r="AK36" s="82"/>
      <c r="AL36" s="82"/>
    </row>
    <row r="37" spans="2:38" s="79" customFormat="1" ht="57" customHeight="1" x14ac:dyDescent="0.15">
      <c r="B37" s="41">
        <v>23</v>
      </c>
      <c r="C37" s="41" t="s">
        <v>134</v>
      </c>
      <c r="D37" s="50" t="s">
        <v>186</v>
      </c>
      <c r="E37" s="46" t="s">
        <v>107</v>
      </c>
      <c r="F37" s="41" t="s">
        <v>106</v>
      </c>
      <c r="G37" s="38" t="s">
        <v>117</v>
      </c>
      <c r="H37" s="35">
        <v>1</v>
      </c>
      <c r="I37" s="46" t="s">
        <v>8</v>
      </c>
      <c r="J37" s="84">
        <v>25</v>
      </c>
      <c r="K37" s="46" t="s">
        <v>56</v>
      </c>
      <c r="L37" s="46">
        <v>350</v>
      </c>
      <c r="M37" s="46">
        <v>350</v>
      </c>
      <c r="N37" s="46">
        <v>200</v>
      </c>
      <c r="O37" s="49">
        <f t="shared" ref="O37:O40" si="13">ROUND(L37*M37*N37/1000000000,2)</f>
        <v>0.02</v>
      </c>
      <c r="P37" s="86">
        <f t="shared" si="12"/>
        <v>25</v>
      </c>
      <c r="Q37" s="86">
        <f t="shared" ref="Q37:Q40" si="14">P37+1</f>
        <v>26</v>
      </c>
      <c r="R37" s="48" t="s">
        <v>58</v>
      </c>
      <c r="S37" s="42"/>
      <c r="U37" s="82"/>
      <c r="V37" s="82"/>
      <c r="W37" s="82"/>
      <c r="X37" s="82"/>
      <c r="Y37" s="82"/>
      <c r="Z37" s="82"/>
      <c r="AA37" s="82"/>
      <c r="AH37" s="82"/>
      <c r="AI37" s="82"/>
      <c r="AJ37" s="82"/>
      <c r="AK37" s="82"/>
      <c r="AL37" s="82"/>
    </row>
    <row r="38" spans="2:38" s="79" customFormat="1" ht="57" customHeight="1" x14ac:dyDescent="0.15">
      <c r="B38" s="41">
        <v>24</v>
      </c>
      <c r="C38" s="41" t="s">
        <v>135</v>
      </c>
      <c r="D38" s="50" t="s">
        <v>186</v>
      </c>
      <c r="E38" s="46" t="s">
        <v>107</v>
      </c>
      <c r="F38" s="41" t="s">
        <v>106</v>
      </c>
      <c r="G38" s="38" t="s">
        <v>117</v>
      </c>
      <c r="H38" s="35">
        <v>1</v>
      </c>
      <c r="I38" s="46" t="s">
        <v>8</v>
      </c>
      <c r="J38" s="84">
        <v>25</v>
      </c>
      <c r="K38" s="46" t="s">
        <v>56</v>
      </c>
      <c r="L38" s="46">
        <v>350</v>
      </c>
      <c r="M38" s="46">
        <v>350</v>
      </c>
      <c r="N38" s="46">
        <v>200</v>
      </c>
      <c r="O38" s="49">
        <f t="shared" si="13"/>
        <v>0.02</v>
      </c>
      <c r="P38" s="86">
        <f t="shared" si="12"/>
        <v>25</v>
      </c>
      <c r="Q38" s="86">
        <f t="shared" si="14"/>
        <v>26</v>
      </c>
      <c r="R38" s="48" t="s">
        <v>58</v>
      </c>
      <c r="S38" s="42"/>
      <c r="U38" s="82"/>
      <c r="V38" s="82"/>
      <c r="W38" s="82"/>
      <c r="X38" s="82"/>
      <c r="Y38" s="82"/>
      <c r="Z38" s="82"/>
      <c r="AA38" s="82"/>
      <c r="AH38" s="82"/>
      <c r="AI38" s="82"/>
      <c r="AJ38" s="82"/>
      <c r="AK38" s="82"/>
      <c r="AL38" s="82"/>
    </row>
    <row r="39" spans="2:38" s="79" customFormat="1" ht="57" customHeight="1" x14ac:dyDescent="0.15">
      <c r="B39" s="41">
        <v>25</v>
      </c>
      <c r="C39" s="41" t="s">
        <v>136</v>
      </c>
      <c r="D39" s="50" t="s">
        <v>186</v>
      </c>
      <c r="E39" s="46" t="s">
        <v>107</v>
      </c>
      <c r="F39" s="41" t="s">
        <v>106</v>
      </c>
      <c r="G39" s="38" t="s">
        <v>117</v>
      </c>
      <c r="H39" s="35">
        <v>1</v>
      </c>
      <c r="I39" s="46" t="s">
        <v>8</v>
      </c>
      <c r="J39" s="84">
        <v>25</v>
      </c>
      <c r="K39" s="46" t="s">
        <v>56</v>
      </c>
      <c r="L39" s="46">
        <v>350</v>
      </c>
      <c r="M39" s="46">
        <v>350</v>
      </c>
      <c r="N39" s="46">
        <v>200</v>
      </c>
      <c r="O39" s="49">
        <f t="shared" si="13"/>
        <v>0.02</v>
      </c>
      <c r="P39" s="86">
        <f t="shared" si="12"/>
        <v>25</v>
      </c>
      <c r="Q39" s="86">
        <f t="shared" si="14"/>
        <v>26</v>
      </c>
      <c r="R39" s="48" t="s">
        <v>58</v>
      </c>
      <c r="S39" s="42"/>
      <c r="U39" s="82"/>
      <c r="V39" s="82"/>
      <c r="W39" s="82"/>
      <c r="X39" s="82"/>
      <c r="Y39" s="82"/>
      <c r="Z39" s="82"/>
      <c r="AA39" s="82"/>
      <c r="AH39" s="82"/>
      <c r="AI39" s="82"/>
      <c r="AJ39" s="82"/>
      <c r="AK39" s="82"/>
      <c r="AL39" s="82"/>
    </row>
    <row r="40" spans="2:38" s="79" customFormat="1" ht="57" customHeight="1" x14ac:dyDescent="0.15">
      <c r="B40" s="41">
        <v>26</v>
      </c>
      <c r="C40" s="41" t="s">
        <v>137</v>
      </c>
      <c r="D40" s="50" t="s">
        <v>186</v>
      </c>
      <c r="E40" s="46" t="s">
        <v>107</v>
      </c>
      <c r="F40" s="41" t="s">
        <v>106</v>
      </c>
      <c r="G40" s="38" t="s">
        <v>117</v>
      </c>
      <c r="H40" s="35">
        <v>1</v>
      </c>
      <c r="I40" s="46" t="s">
        <v>8</v>
      </c>
      <c r="J40" s="84">
        <v>25</v>
      </c>
      <c r="K40" s="46" t="s">
        <v>56</v>
      </c>
      <c r="L40" s="46">
        <v>350</v>
      </c>
      <c r="M40" s="46">
        <v>350</v>
      </c>
      <c r="N40" s="46">
        <v>200</v>
      </c>
      <c r="O40" s="49">
        <f t="shared" si="13"/>
        <v>0.02</v>
      </c>
      <c r="P40" s="86">
        <f t="shared" si="12"/>
        <v>25</v>
      </c>
      <c r="Q40" s="86">
        <f t="shared" si="14"/>
        <v>26</v>
      </c>
      <c r="R40" s="48" t="s">
        <v>58</v>
      </c>
      <c r="S40" s="42"/>
      <c r="U40" s="82"/>
      <c r="V40" s="82"/>
      <c r="W40" s="82"/>
      <c r="X40" s="82"/>
      <c r="Y40" s="82"/>
      <c r="Z40" s="82"/>
      <c r="AA40" s="82"/>
      <c r="AH40" s="82"/>
      <c r="AI40" s="82"/>
      <c r="AJ40" s="82"/>
      <c r="AK40" s="82"/>
      <c r="AL40" s="82"/>
    </row>
    <row r="41" spans="2:38" s="79" customFormat="1" ht="57" customHeight="1" x14ac:dyDescent="0.15">
      <c r="B41" s="41">
        <v>27</v>
      </c>
      <c r="C41" s="41" t="s">
        <v>138</v>
      </c>
      <c r="D41" s="50" t="s">
        <v>186</v>
      </c>
      <c r="E41" s="46" t="s">
        <v>107</v>
      </c>
      <c r="F41" s="41" t="s">
        <v>106</v>
      </c>
      <c r="G41" s="38" t="s">
        <v>117</v>
      </c>
      <c r="H41" s="35">
        <v>1</v>
      </c>
      <c r="I41" s="46" t="s">
        <v>8</v>
      </c>
      <c r="J41" s="84">
        <v>25</v>
      </c>
      <c r="K41" s="46" t="s">
        <v>56</v>
      </c>
      <c r="L41" s="46">
        <v>350</v>
      </c>
      <c r="M41" s="46">
        <v>350</v>
      </c>
      <c r="N41" s="46">
        <v>200</v>
      </c>
      <c r="O41" s="49">
        <f t="shared" ref="O41:O43" si="15">ROUND(L41*M41*N41/1000000000,2)</f>
        <v>0.02</v>
      </c>
      <c r="P41" s="86">
        <f t="shared" si="12"/>
        <v>25</v>
      </c>
      <c r="Q41" s="86">
        <f t="shared" ref="Q41:Q43" si="16">P41+1</f>
        <v>26</v>
      </c>
      <c r="R41" s="48" t="s">
        <v>58</v>
      </c>
      <c r="S41" s="42"/>
      <c r="U41" s="82"/>
      <c r="V41" s="82"/>
      <c r="W41" s="82"/>
      <c r="X41" s="82"/>
      <c r="Y41" s="82"/>
      <c r="Z41" s="82"/>
      <c r="AA41" s="82"/>
      <c r="AH41" s="82"/>
      <c r="AI41" s="82"/>
      <c r="AJ41" s="82"/>
      <c r="AK41" s="82"/>
      <c r="AL41" s="82"/>
    </row>
    <row r="42" spans="2:38" s="79" customFormat="1" ht="57" customHeight="1" x14ac:dyDescent="0.15">
      <c r="B42" s="41">
        <v>28</v>
      </c>
      <c r="C42" s="41" t="s">
        <v>139</v>
      </c>
      <c r="D42" s="50" t="s">
        <v>186</v>
      </c>
      <c r="E42" s="46" t="s">
        <v>107</v>
      </c>
      <c r="F42" s="41" t="s">
        <v>106</v>
      </c>
      <c r="G42" s="38" t="s">
        <v>117</v>
      </c>
      <c r="H42" s="35">
        <v>1</v>
      </c>
      <c r="I42" s="46" t="s">
        <v>8</v>
      </c>
      <c r="J42" s="84">
        <v>25</v>
      </c>
      <c r="K42" s="46" t="s">
        <v>56</v>
      </c>
      <c r="L42" s="46">
        <v>350</v>
      </c>
      <c r="M42" s="46">
        <v>350</v>
      </c>
      <c r="N42" s="46">
        <v>200</v>
      </c>
      <c r="O42" s="49">
        <f t="shared" si="15"/>
        <v>0.02</v>
      </c>
      <c r="P42" s="86">
        <f t="shared" si="12"/>
        <v>25</v>
      </c>
      <c r="Q42" s="86">
        <f t="shared" si="16"/>
        <v>26</v>
      </c>
      <c r="R42" s="48" t="s">
        <v>58</v>
      </c>
      <c r="S42" s="42"/>
      <c r="U42" s="82"/>
      <c r="V42" s="82"/>
      <c r="W42" s="82"/>
      <c r="X42" s="82"/>
      <c r="Y42" s="82"/>
      <c r="Z42" s="82"/>
      <c r="AA42" s="82"/>
      <c r="AH42" s="82"/>
      <c r="AI42" s="82"/>
      <c r="AJ42" s="82"/>
      <c r="AK42" s="82"/>
      <c r="AL42" s="82"/>
    </row>
    <row r="43" spans="2:38" s="79" customFormat="1" ht="57" customHeight="1" x14ac:dyDescent="0.15">
      <c r="B43" s="41">
        <v>29</v>
      </c>
      <c r="C43" s="41" t="s">
        <v>140</v>
      </c>
      <c r="D43" s="50" t="s">
        <v>186</v>
      </c>
      <c r="E43" s="46" t="s">
        <v>107</v>
      </c>
      <c r="F43" s="41" t="s">
        <v>106</v>
      </c>
      <c r="G43" s="38" t="s">
        <v>117</v>
      </c>
      <c r="H43" s="35">
        <v>1</v>
      </c>
      <c r="I43" s="46" t="s">
        <v>8</v>
      </c>
      <c r="J43" s="84">
        <v>25</v>
      </c>
      <c r="K43" s="46" t="s">
        <v>56</v>
      </c>
      <c r="L43" s="46">
        <v>350</v>
      </c>
      <c r="M43" s="46">
        <v>350</v>
      </c>
      <c r="N43" s="46">
        <v>200</v>
      </c>
      <c r="O43" s="49">
        <f t="shared" si="15"/>
        <v>0.02</v>
      </c>
      <c r="P43" s="86">
        <f t="shared" si="12"/>
        <v>25</v>
      </c>
      <c r="Q43" s="86">
        <f t="shared" si="16"/>
        <v>26</v>
      </c>
      <c r="R43" s="48" t="s">
        <v>58</v>
      </c>
      <c r="S43" s="42"/>
      <c r="U43" s="82"/>
      <c r="V43" s="82"/>
      <c r="W43" s="82"/>
      <c r="X43" s="82"/>
      <c r="Y43" s="82"/>
      <c r="Z43" s="82"/>
      <c r="AA43" s="82"/>
      <c r="AH43" s="82"/>
      <c r="AI43" s="82"/>
      <c r="AJ43" s="82"/>
      <c r="AK43" s="82"/>
      <c r="AL43" s="82"/>
    </row>
    <row r="44" spans="2:38" s="79" customFormat="1" ht="57" customHeight="1" x14ac:dyDescent="0.15">
      <c r="B44" s="41">
        <v>30</v>
      </c>
      <c r="C44" s="41" t="s">
        <v>141</v>
      </c>
      <c r="D44" s="50" t="s">
        <v>186</v>
      </c>
      <c r="E44" s="46" t="s">
        <v>107</v>
      </c>
      <c r="F44" s="41" t="s">
        <v>106</v>
      </c>
      <c r="G44" s="38" t="s">
        <v>117</v>
      </c>
      <c r="H44" s="35">
        <v>1</v>
      </c>
      <c r="I44" s="46" t="s">
        <v>8</v>
      </c>
      <c r="J44" s="84">
        <v>25</v>
      </c>
      <c r="K44" s="46" t="s">
        <v>56</v>
      </c>
      <c r="L44" s="46">
        <v>350</v>
      </c>
      <c r="M44" s="46">
        <v>350</v>
      </c>
      <c r="N44" s="46">
        <v>200</v>
      </c>
      <c r="O44" s="49">
        <f t="shared" ref="O44:O64" si="17">ROUND(L44*M44*N44/1000000000,2)</f>
        <v>0.02</v>
      </c>
      <c r="P44" s="86">
        <f t="shared" si="12"/>
        <v>25</v>
      </c>
      <c r="Q44" s="86">
        <f t="shared" ref="Q44:Q64" si="18">P44+1</f>
        <v>26</v>
      </c>
      <c r="R44" s="48" t="s">
        <v>58</v>
      </c>
      <c r="S44" s="42"/>
      <c r="U44" s="82"/>
      <c r="V44" s="82"/>
      <c r="W44" s="82"/>
      <c r="X44" s="82"/>
      <c r="Y44" s="82"/>
      <c r="Z44" s="82"/>
      <c r="AA44" s="82"/>
      <c r="AH44" s="82"/>
      <c r="AI44" s="82"/>
      <c r="AJ44" s="82"/>
      <c r="AK44" s="82"/>
      <c r="AL44" s="82"/>
    </row>
    <row r="45" spans="2:38" s="79" customFormat="1" ht="57" customHeight="1" x14ac:dyDescent="0.15">
      <c r="B45" s="41">
        <v>31</v>
      </c>
      <c r="C45" s="41" t="s">
        <v>142</v>
      </c>
      <c r="D45" s="50" t="s">
        <v>186</v>
      </c>
      <c r="E45" s="46" t="s">
        <v>107</v>
      </c>
      <c r="F45" s="41" t="s">
        <v>106</v>
      </c>
      <c r="G45" s="38" t="s">
        <v>117</v>
      </c>
      <c r="H45" s="35">
        <v>1</v>
      </c>
      <c r="I45" s="46" t="s">
        <v>8</v>
      </c>
      <c r="J45" s="84">
        <v>25</v>
      </c>
      <c r="K45" s="46" t="s">
        <v>56</v>
      </c>
      <c r="L45" s="46">
        <v>350</v>
      </c>
      <c r="M45" s="46">
        <v>350</v>
      </c>
      <c r="N45" s="46">
        <v>200</v>
      </c>
      <c r="O45" s="49">
        <f t="shared" si="17"/>
        <v>0.02</v>
      </c>
      <c r="P45" s="86">
        <f t="shared" si="12"/>
        <v>25</v>
      </c>
      <c r="Q45" s="86">
        <f t="shared" si="18"/>
        <v>26</v>
      </c>
      <c r="R45" s="48" t="s">
        <v>58</v>
      </c>
      <c r="S45" s="42"/>
      <c r="U45" s="82"/>
      <c r="V45" s="82"/>
      <c r="W45" s="82"/>
      <c r="X45" s="82"/>
      <c r="Y45" s="82"/>
      <c r="Z45" s="82"/>
      <c r="AA45" s="82"/>
      <c r="AH45" s="82"/>
      <c r="AI45" s="82"/>
      <c r="AJ45" s="82"/>
      <c r="AK45" s="82"/>
      <c r="AL45" s="82"/>
    </row>
    <row r="46" spans="2:38" s="79" customFormat="1" ht="57" customHeight="1" x14ac:dyDescent="0.15">
      <c r="B46" s="41">
        <v>32</v>
      </c>
      <c r="C46" s="41" t="s">
        <v>143</v>
      </c>
      <c r="D46" s="50" t="s">
        <v>186</v>
      </c>
      <c r="E46" s="46" t="s">
        <v>107</v>
      </c>
      <c r="F46" s="41" t="s">
        <v>106</v>
      </c>
      <c r="G46" s="38" t="s">
        <v>117</v>
      </c>
      <c r="H46" s="35">
        <v>1</v>
      </c>
      <c r="I46" s="46" t="s">
        <v>8</v>
      </c>
      <c r="J46" s="84">
        <v>25</v>
      </c>
      <c r="K46" s="46" t="s">
        <v>56</v>
      </c>
      <c r="L46" s="46">
        <v>350</v>
      </c>
      <c r="M46" s="46">
        <v>350</v>
      </c>
      <c r="N46" s="46">
        <v>200</v>
      </c>
      <c r="O46" s="49">
        <f t="shared" si="17"/>
        <v>0.02</v>
      </c>
      <c r="P46" s="86">
        <f t="shared" si="12"/>
        <v>25</v>
      </c>
      <c r="Q46" s="86">
        <f t="shared" si="18"/>
        <v>26</v>
      </c>
      <c r="R46" s="48" t="s">
        <v>58</v>
      </c>
      <c r="S46" s="42"/>
      <c r="U46" s="82"/>
      <c r="V46" s="82"/>
      <c r="W46" s="82"/>
      <c r="X46" s="82"/>
      <c r="Y46" s="82"/>
      <c r="Z46" s="82"/>
      <c r="AA46" s="82"/>
      <c r="AH46" s="82"/>
      <c r="AI46" s="82"/>
      <c r="AJ46" s="82"/>
      <c r="AK46" s="82"/>
      <c r="AL46" s="82"/>
    </row>
    <row r="47" spans="2:38" s="79" customFormat="1" ht="57" customHeight="1" x14ac:dyDescent="0.15">
      <c r="B47" s="41">
        <v>33</v>
      </c>
      <c r="C47" s="41" t="s">
        <v>144</v>
      </c>
      <c r="D47" s="50" t="s">
        <v>186</v>
      </c>
      <c r="E47" s="46" t="s">
        <v>107</v>
      </c>
      <c r="F47" s="41" t="s">
        <v>106</v>
      </c>
      <c r="G47" s="38" t="s">
        <v>117</v>
      </c>
      <c r="H47" s="35">
        <v>1</v>
      </c>
      <c r="I47" s="46" t="s">
        <v>8</v>
      </c>
      <c r="J47" s="84">
        <v>25</v>
      </c>
      <c r="K47" s="46" t="s">
        <v>56</v>
      </c>
      <c r="L47" s="46">
        <v>350</v>
      </c>
      <c r="M47" s="46">
        <v>350</v>
      </c>
      <c r="N47" s="46">
        <v>200</v>
      </c>
      <c r="O47" s="49">
        <f t="shared" si="17"/>
        <v>0.02</v>
      </c>
      <c r="P47" s="86">
        <f t="shared" si="12"/>
        <v>25</v>
      </c>
      <c r="Q47" s="86">
        <f t="shared" si="18"/>
        <v>26</v>
      </c>
      <c r="R47" s="48" t="s">
        <v>58</v>
      </c>
      <c r="S47" s="42"/>
      <c r="U47" s="82"/>
      <c r="V47" s="82"/>
      <c r="W47" s="82"/>
      <c r="X47" s="82"/>
      <c r="Y47" s="82"/>
      <c r="Z47" s="82"/>
      <c r="AA47" s="82"/>
      <c r="AH47" s="82"/>
      <c r="AI47" s="82"/>
      <c r="AJ47" s="82"/>
      <c r="AK47" s="82"/>
      <c r="AL47" s="82"/>
    </row>
    <row r="48" spans="2:38" s="79" customFormat="1" ht="57" customHeight="1" x14ac:dyDescent="0.15">
      <c r="B48" s="41">
        <v>34</v>
      </c>
      <c r="C48" s="41" t="s">
        <v>145</v>
      </c>
      <c r="D48" s="50" t="s">
        <v>186</v>
      </c>
      <c r="E48" s="46" t="s">
        <v>107</v>
      </c>
      <c r="F48" s="41" t="s">
        <v>106</v>
      </c>
      <c r="G48" s="38" t="s">
        <v>117</v>
      </c>
      <c r="H48" s="35">
        <v>1</v>
      </c>
      <c r="I48" s="46" t="s">
        <v>8</v>
      </c>
      <c r="J48" s="84">
        <v>25</v>
      </c>
      <c r="K48" s="46" t="s">
        <v>56</v>
      </c>
      <c r="L48" s="46">
        <v>350</v>
      </c>
      <c r="M48" s="46">
        <v>350</v>
      </c>
      <c r="N48" s="46">
        <v>200</v>
      </c>
      <c r="O48" s="49">
        <f t="shared" si="17"/>
        <v>0.02</v>
      </c>
      <c r="P48" s="86">
        <f t="shared" si="12"/>
        <v>25</v>
      </c>
      <c r="Q48" s="86">
        <f t="shared" si="18"/>
        <v>26</v>
      </c>
      <c r="R48" s="48" t="s">
        <v>58</v>
      </c>
      <c r="S48" s="42"/>
      <c r="U48" s="82"/>
      <c r="V48" s="82"/>
      <c r="W48" s="82"/>
      <c r="X48" s="82"/>
      <c r="Y48" s="82"/>
      <c r="Z48" s="82"/>
      <c r="AA48" s="82"/>
      <c r="AH48" s="82"/>
      <c r="AI48" s="82"/>
      <c r="AJ48" s="82"/>
      <c r="AK48" s="82"/>
      <c r="AL48" s="82"/>
    </row>
    <row r="49" spans="2:38" s="79" customFormat="1" ht="57" customHeight="1" x14ac:dyDescent="0.15">
      <c r="B49" s="41">
        <v>35</v>
      </c>
      <c r="C49" s="41" t="s">
        <v>146</v>
      </c>
      <c r="D49" s="50" t="s">
        <v>186</v>
      </c>
      <c r="E49" s="46" t="s">
        <v>107</v>
      </c>
      <c r="F49" s="41" t="s">
        <v>106</v>
      </c>
      <c r="G49" s="38" t="s">
        <v>117</v>
      </c>
      <c r="H49" s="35">
        <v>1</v>
      </c>
      <c r="I49" s="46" t="s">
        <v>8</v>
      </c>
      <c r="J49" s="84">
        <v>25</v>
      </c>
      <c r="K49" s="46" t="s">
        <v>56</v>
      </c>
      <c r="L49" s="46">
        <v>350</v>
      </c>
      <c r="M49" s="46">
        <v>350</v>
      </c>
      <c r="N49" s="46">
        <v>200</v>
      </c>
      <c r="O49" s="49">
        <f t="shared" si="17"/>
        <v>0.02</v>
      </c>
      <c r="P49" s="86">
        <f t="shared" si="12"/>
        <v>25</v>
      </c>
      <c r="Q49" s="86">
        <f t="shared" si="18"/>
        <v>26</v>
      </c>
      <c r="R49" s="48" t="s">
        <v>58</v>
      </c>
      <c r="S49" s="42"/>
      <c r="U49" s="82"/>
      <c r="V49" s="82"/>
      <c r="W49" s="82"/>
      <c r="X49" s="82"/>
      <c r="Y49" s="82"/>
      <c r="Z49" s="82"/>
      <c r="AA49" s="82"/>
      <c r="AH49" s="82"/>
      <c r="AI49" s="82"/>
      <c r="AJ49" s="82"/>
      <c r="AK49" s="82"/>
      <c r="AL49" s="82"/>
    </row>
    <row r="50" spans="2:38" s="79" customFormat="1" ht="57" customHeight="1" x14ac:dyDescent="0.15">
      <c r="B50" s="41">
        <v>36</v>
      </c>
      <c r="C50" s="41" t="s">
        <v>147</v>
      </c>
      <c r="D50" s="50" t="s">
        <v>186</v>
      </c>
      <c r="E50" s="46" t="s">
        <v>107</v>
      </c>
      <c r="F50" s="41" t="s">
        <v>106</v>
      </c>
      <c r="G50" s="38" t="s">
        <v>117</v>
      </c>
      <c r="H50" s="35">
        <v>1</v>
      </c>
      <c r="I50" s="46" t="s">
        <v>8</v>
      </c>
      <c r="J50" s="84">
        <v>25</v>
      </c>
      <c r="K50" s="46" t="s">
        <v>56</v>
      </c>
      <c r="L50" s="46">
        <v>350</v>
      </c>
      <c r="M50" s="46">
        <v>350</v>
      </c>
      <c r="N50" s="46">
        <v>200</v>
      </c>
      <c r="O50" s="49">
        <f t="shared" si="17"/>
        <v>0.02</v>
      </c>
      <c r="P50" s="86">
        <f t="shared" si="12"/>
        <v>25</v>
      </c>
      <c r="Q50" s="86">
        <f t="shared" si="18"/>
        <v>26</v>
      </c>
      <c r="R50" s="48" t="s">
        <v>58</v>
      </c>
      <c r="S50" s="42"/>
      <c r="U50" s="82"/>
      <c r="V50" s="82"/>
      <c r="W50" s="82"/>
      <c r="X50" s="82"/>
      <c r="Y50" s="82"/>
      <c r="Z50" s="82"/>
      <c r="AA50" s="82"/>
      <c r="AH50" s="82"/>
      <c r="AI50" s="82"/>
      <c r="AJ50" s="82"/>
      <c r="AK50" s="82"/>
      <c r="AL50" s="82"/>
    </row>
    <row r="51" spans="2:38" s="79" customFormat="1" ht="57" customHeight="1" x14ac:dyDescent="0.15">
      <c r="B51" s="41">
        <v>37</v>
      </c>
      <c r="C51" s="41" t="s">
        <v>148</v>
      </c>
      <c r="D51" s="50" t="s">
        <v>186</v>
      </c>
      <c r="E51" s="46" t="s">
        <v>107</v>
      </c>
      <c r="F51" s="41" t="s">
        <v>106</v>
      </c>
      <c r="G51" s="38" t="s">
        <v>117</v>
      </c>
      <c r="H51" s="35">
        <v>1</v>
      </c>
      <c r="I51" s="46" t="s">
        <v>8</v>
      </c>
      <c r="J51" s="84">
        <v>25</v>
      </c>
      <c r="K51" s="46" t="s">
        <v>56</v>
      </c>
      <c r="L51" s="46">
        <v>350</v>
      </c>
      <c r="M51" s="46">
        <v>350</v>
      </c>
      <c r="N51" s="46">
        <v>200</v>
      </c>
      <c r="O51" s="49">
        <f t="shared" si="17"/>
        <v>0.02</v>
      </c>
      <c r="P51" s="86">
        <f t="shared" si="12"/>
        <v>25</v>
      </c>
      <c r="Q51" s="86">
        <f t="shared" si="18"/>
        <v>26</v>
      </c>
      <c r="R51" s="48" t="s">
        <v>58</v>
      </c>
      <c r="S51" s="42"/>
      <c r="U51" s="82"/>
      <c r="V51" s="82"/>
      <c r="W51" s="82"/>
      <c r="X51" s="82"/>
      <c r="Y51" s="82"/>
      <c r="Z51" s="82"/>
      <c r="AA51" s="82"/>
      <c r="AH51" s="82"/>
      <c r="AI51" s="82"/>
      <c r="AJ51" s="82"/>
      <c r="AK51" s="82"/>
      <c r="AL51" s="82"/>
    </row>
    <row r="52" spans="2:38" s="79" customFormat="1" ht="57" customHeight="1" x14ac:dyDescent="0.15">
      <c r="B52" s="41">
        <v>38</v>
      </c>
      <c r="C52" s="41" t="s">
        <v>149</v>
      </c>
      <c r="D52" s="50" t="s">
        <v>186</v>
      </c>
      <c r="E52" s="46" t="s">
        <v>107</v>
      </c>
      <c r="F52" s="41" t="s">
        <v>106</v>
      </c>
      <c r="G52" s="38" t="s">
        <v>117</v>
      </c>
      <c r="H52" s="35">
        <v>1</v>
      </c>
      <c r="I52" s="46" t="s">
        <v>8</v>
      </c>
      <c r="J52" s="84">
        <v>25</v>
      </c>
      <c r="K52" s="46" t="s">
        <v>56</v>
      </c>
      <c r="L52" s="46">
        <v>350</v>
      </c>
      <c r="M52" s="46">
        <v>350</v>
      </c>
      <c r="N52" s="46">
        <v>200</v>
      </c>
      <c r="O52" s="49">
        <f t="shared" si="17"/>
        <v>0.02</v>
      </c>
      <c r="P52" s="86">
        <f t="shared" si="12"/>
        <v>25</v>
      </c>
      <c r="Q52" s="86">
        <f t="shared" si="18"/>
        <v>26</v>
      </c>
      <c r="R52" s="48" t="s">
        <v>58</v>
      </c>
      <c r="S52" s="42"/>
      <c r="U52" s="82"/>
      <c r="V52" s="82"/>
      <c r="W52" s="82"/>
      <c r="X52" s="82"/>
      <c r="Y52" s="82"/>
      <c r="Z52" s="82"/>
      <c r="AA52" s="82"/>
      <c r="AH52" s="82"/>
      <c r="AI52" s="82"/>
      <c r="AJ52" s="82"/>
      <c r="AK52" s="82"/>
      <c r="AL52" s="82"/>
    </row>
    <row r="53" spans="2:38" s="79" customFormat="1" ht="57" customHeight="1" x14ac:dyDescent="0.15">
      <c r="B53" s="41">
        <v>39</v>
      </c>
      <c r="C53" s="41" t="s">
        <v>150</v>
      </c>
      <c r="D53" s="50" t="s">
        <v>186</v>
      </c>
      <c r="E53" s="46" t="s">
        <v>107</v>
      </c>
      <c r="F53" s="41" t="s">
        <v>106</v>
      </c>
      <c r="G53" s="38" t="s">
        <v>117</v>
      </c>
      <c r="H53" s="35">
        <v>1</v>
      </c>
      <c r="I53" s="46" t="s">
        <v>8</v>
      </c>
      <c r="J53" s="84">
        <v>25</v>
      </c>
      <c r="K53" s="46" t="s">
        <v>56</v>
      </c>
      <c r="L53" s="46">
        <v>350</v>
      </c>
      <c r="M53" s="46">
        <v>350</v>
      </c>
      <c r="N53" s="46">
        <v>200</v>
      </c>
      <c r="O53" s="49">
        <f t="shared" si="17"/>
        <v>0.02</v>
      </c>
      <c r="P53" s="86">
        <f t="shared" si="12"/>
        <v>25</v>
      </c>
      <c r="Q53" s="86">
        <f t="shared" si="18"/>
        <v>26</v>
      </c>
      <c r="R53" s="48" t="s">
        <v>58</v>
      </c>
      <c r="S53" s="42"/>
      <c r="U53" s="82"/>
      <c r="V53" s="82"/>
      <c r="W53" s="82"/>
      <c r="X53" s="82"/>
      <c r="Y53" s="82"/>
      <c r="Z53" s="82"/>
      <c r="AA53" s="82"/>
      <c r="AH53" s="82"/>
      <c r="AI53" s="82"/>
      <c r="AJ53" s="82"/>
      <c r="AK53" s="82"/>
      <c r="AL53" s="82"/>
    </row>
    <row r="54" spans="2:38" s="79" customFormat="1" ht="57" customHeight="1" x14ac:dyDescent="0.15">
      <c r="B54" s="41">
        <v>40</v>
      </c>
      <c r="C54" s="41" t="s">
        <v>151</v>
      </c>
      <c r="D54" s="50" t="s">
        <v>186</v>
      </c>
      <c r="E54" s="46" t="s">
        <v>107</v>
      </c>
      <c r="F54" s="41" t="s">
        <v>106</v>
      </c>
      <c r="G54" s="38" t="s">
        <v>117</v>
      </c>
      <c r="H54" s="35">
        <v>1</v>
      </c>
      <c r="I54" s="46" t="s">
        <v>8</v>
      </c>
      <c r="J54" s="84">
        <v>25</v>
      </c>
      <c r="K54" s="46" t="s">
        <v>56</v>
      </c>
      <c r="L54" s="46">
        <v>350</v>
      </c>
      <c r="M54" s="46">
        <v>350</v>
      </c>
      <c r="N54" s="46">
        <v>200</v>
      </c>
      <c r="O54" s="49">
        <f t="shared" si="17"/>
        <v>0.02</v>
      </c>
      <c r="P54" s="86">
        <f t="shared" si="12"/>
        <v>25</v>
      </c>
      <c r="Q54" s="86">
        <f t="shared" si="18"/>
        <v>26</v>
      </c>
      <c r="R54" s="48" t="s">
        <v>58</v>
      </c>
      <c r="S54" s="42"/>
      <c r="U54" s="82"/>
      <c r="V54" s="82"/>
      <c r="W54" s="82"/>
      <c r="X54" s="82"/>
      <c r="Y54" s="82"/>
      <c r="Z54" s="82"/>
      <c r="AA54" s="82"/>
      <c r="AH54" s="82"/>
      <c r="AI54" s="82"/>
      <c r="AJ54" s="82"/>
      <c r="AK54" s="82"/>
      <c r="AL54" s="82"/>
    </row>
    <row r="55" spans="2:38" s="79" customFormat="1" ht="57" customHeight="1" x14ac:dyDescent="0.15">
      <c r="B55" s="41">
        <v>41</v>
      </c>
      <c r="C55" s="41" t="s">
        <v>152</v>
      </c>
      <c r="D55" s="50" t="s">
        <v>186</v>
      </c>
      <c r="E55" s="46" t="s">
        <v>107</v>
      </c>
      <c r="F55" s="41" t="s">
        <v>106</v>
      </c>
      <c r="G55" s="38" t="s">
        <v>117</v>
      </c>
      <c r="H55" s="35">
        <v>1</v>
      </c>
      <c r="I55" s="46" t="s">
        <v>8</v>
      </c>
      <c r="J55" s="84">
        <v>25</v>
      </c>
      <c r="K55" s="46" t="s">
        <v>56</v>
      </c>
      <c r="L55" s="46">
        <v>350</v>
      </c>
      <c r="M55" s="46">
        <v>350</v>
      </c>
      <c r="N55" s="46">
        <v>200</v>
      </c>
      <c r="O55" s="49">
        <f t="shared" si="17"/>
        <v>0.02</v>
      </c>
      <c r="P55" s="86">
        <f t="shared" si="12"/>
        <v>25</v>
      </c>
      <c r="Q55" s="86">
        <f t="shared" si="18"/>
        <v>26</v>
      </c>
      <c r="R55" s="48" t="s">
        <v>58</v>
      </c>
      <c r="S55" s="42"/>
      <c r="U55" s="82"/>
      <c r="V55" s="82"/>
      <c r="W55" s="82"/>
      <c r="X55" s="82"/>
      <c r="Y55" s="82"/>
      <c r="Z55" s="82"/>
      <c r="AA55" s="82"/>
      <c r="AH55" s="82"/>
      <c r="AI55" s="82"/>
      <c r="AJ55" s="82"/>
      <c r="AK55" s="82"/>
      <c r="AL55" s="82"/>
    </row>
    <row r="56" spans="2:38" s="79" customFormat="1" ht="57" customHeight="1" x14ac:dyDescent="0.15">
      <c r="B56" s="41">
        <v>42</v>
      </c>
      <c r="C56" s="41" t="s">
        <v>153</v>
      </c>
      <c r="D56" s="50" t="s">
        <v>186</v>
      </c>
      <c r="E56" s="46" t="s">
        <v>107</v>
      </c>
      <c r="F56" s="41" t="s">
        <v>106</v>
      </c>
      <c r="G56" s="38" t="s">
        <v>117</v>
      </c>
      <c r="H56" s="35">
        <v>1</v>
      </c>
      <c r="I56" s="46" t="s">
        <v>8</v>
      </c>
      <c r="J56" s="84">
        <v>25</v>
      </c>
      <c r="K56" s="46" t="s">
        <v>56</v>
      </c>
      <c r="L56" s="46">
        <v>350</v>
      </c>
      <c r="M56" s="46">
        <v>350</v>
      </c>
      <c r="N56" s="46">
        <v>200</v>
      </c>
      <c r="O56" s="49">
        <f t="shared" si="17"/>
        <v>0.02</v>
      </c>
      <c r="P56" s="86">
        <f t="shared" si="12"/>
        <v>25</v>
      </c>
      <c r="Q56" s="86">
        <f t="shared" si="18"/>
        <v>26</v>
      </c>
      <c r="R56" s="48" t="s">
        <v>58</v>
      </c>
      <c r="S56" s="42"/>
      <c r="U56" s="82"/>
      <c r="V56" s="82"/>
      <c r="W56" s="82"/>
      <c r="X56" s="82"/>
      <c r="Y56" s="82"/>
      <c r="Z56" s="82"/>
      <c r="AA56" s="82"/>
      <c r="AH56" s="82"/>
      <c r="AI56" s="82"/>
      <c r="AJ56" s="82"/>
      <c r="AK56" s="82"/>
      <c r="AL56" s="82"/>
    </row>
    <row r="57" spans="2:38" s="79" customFormat="1" ht="57" customHeight="1" x14ac:dyDescent="0.15">
      <c r="B57" s="41">
        <v>43</v>
      </c>
      <c r="C57" s="41" t="s">
        <v>154</v>
      </c>
      <c r="D57" s="50" t="s">
        <v>186</v>
      </c>
      <c r="E57" s="46" t="s">
        <v>107</v>
      </c>
      <c r="F57" s="41" t="s">
        <v>106</v>
      </c>
      <c r="G57" s="38" t="s">
        <v>117</v>
      </c>
      <c r="H57" s="35">
        <v>1</v>
      </c>
      <c r="I57" s="46" t="s">
        <v>8</v>
      </c>
      <c r="J57" s="84">
        <v>25</v>
      </c>
      <c r="K57" s="46" t="s">
        <v>56</v>
      </c>
      <c r="L57" s="46">
        <v>350</v>
      </c>
      <c r="M57" s="46">
        <v>350</v>
      </c>
      <c r="N57" s="46">
        <v>200</v>
      </c>
      <c r="O57" s="49">
        <f t="shared" si="17"/>
        <v>0.02</v>
      </c>
      <c r="P57" s="86">
        <f t="shared" si="12"/>
        <v>25</v>
      </c>
      <c r="Q57" s="86">
        <f t="shared" si="18"/>
        <v>26</v>
      </c>
      <c r="R57" s="48" t="s">
        <v>58</v>
      </c>
      <c r="S57" s="42"/>
      <c r="U57" s="82"/>
      <c r="V57" s="82"/>
      <c r="W57" s="82"/>
      <c r="X57" s="82"/>
      <c r="Y57" s="82"/>
      <c r="Z57" s="82"/>
      <c r="AA57" s="82"/>
      <c r="AH57" s="82"/>
      <c r="AI57" s="82"/>
      <c r="AJ57" s="82"/>
      <c r="AK57" s="82"/>
      <c r="AL57" s="82"/>
    </row>
    <row r="58" spans="2:38" s="79" customFormat="1" ht="57" customHeight="1" x14ac:dyDescent="0.15">
      <c r="B58" s="41">
        <v>44</v>
      </c>
      <c r="C58" s="41" t="s">
        <v>155</v>
      </c>
      <c r="D58" s="50" t="s">
        <v>186</v>
      </c>
      <c r="E58" s="46" t="s">
        <v>107</v>
      </c>
      <c r="F58" s="41" t="s">
        <v>106</v>
      </c>
      <c r="G58" s="38" t="s">
        <v>117</v>
      </c>
      <c r="H58" s="35">
        <v>1</v>
      </c>
      <c r="I58" s="46" t="s">
        <v>8</v>
      </c>
      <c r="J58" s="84">
        <v>25</v>
      </c>
      <c r="K58" s="46" t="s">
        <v>56</v>
      </c>
      <c r="L58" s="46">
        <v>350</v>
      </c>
      <c r="M58" s="46">
        <v>350</v>
      </c>
      <c r="N58" s="46">
        <v>200</v>
      </c>
      <c r="O58" s="49">
        <f t="shared" si="17"/>
        <v>0.02</v>
      </c>
      <c r="P58" s="86">
        <f t="shared" si="12"/>
        <v>25</v>
      </c>
      <c r="Q58" s="86">
        <f t="shared" si="18"/>
        <v>26</v>
      </c>
      <c r="R58" s="48" t="s">
        <v>58</v>
      </c>
      <c r="S58" s="42"/>
      <c r="U58" s="82"/>
      <c r="V58" s="82"/>
      <c r="W58" s="82"/>
      <c r="X58" s="82"/>
      <c r="Y58" s="82"/>
      <c r="Z58" s="82"/>
      <c r="AA58" s="82"/>
      <c r="AH58" s="82"/>
      <c r="AI58" s="82"/>
      <c r="AJ58" s="82"/>
      <c r="AK58" s="82"/>
      <c r="AL58" s="82"/>
    </row>
    <row r="59" spans="2:38" s="79" customFormat="1" ht="57" customHeight="1" x14ac:dyDescent="0.15">
      <c r="B59" s="41">
        <v>45</v>
      </c>
      <c r="C59" s="41" t="s">
        <v>156</v>
      </c>
      <c r="D59" s="50" t="s">
        <v>186</v>
      </c>
      <c r="E59" s="46" t="s">
        <v>107</v>
      </c>
      <c r="F59" s="41" t="s">
        <v>106</v>
      </c>
      <c r="G59" s="38" t="s">
        <v>117</v>
      </c>
      <c r="H59" s="35">
        <v>1</v>
      </c>
      <c r="I59" s="46" t="s">
        <v>8</v>
      </c>
      <c r="J59" s="84">
        <v>25</v>
      </c>
      <c r="K59" s="46" t="s">
        <v>56</v>
      </c>
      <c r="L59" s="46">
        <v>350</v>
      </c>
      <c r="M59" s="46">
        <v>350</v>
      </c>
      <c r="N59" s="46">
        <v>200</v>
      </c>
      <c r="O59" s="49">
        <f t="shared" si="17"/>
        <v>0.02</v>
      </c>
      <c r="P59" s="86">
        <f t="shared" si="12"/>
        <v>25</v>
      </c>
      <c r="Q59" s="86">
        <f t="shared" si="18"/>
        <v>26</v>
      </c>
      <c r="R59" s="48" t="s">
        <v>58</v>
      </c>
      <c r="S59" s="42"/>
      <c r="U59" s="82"/>
      <c r="V59" s="82"/>
      <c r="W59" s="82"/>
      <c r="X59" s="82"/>
      <c r="Y59" s="82"/>
      <c r="Z59" s="82"/>
      <c r="AA59" s="82"/>
      <c r="AH59" s="82"/>
      <c r="AI59" s="82"/>
      <c r="AJ59" s="82"/>
      <c r="AK59" s="82"/>
      <c r="AL59" s="82"/>
    </row>
    <row r="60" spans="2:38" s="79" customFormat="1" ht="57" customHeight="1" x14ac:dyDescent="0.15">
      <c r="B60" s="41">
        <v>46</v>
      </c>
      <c r="C60" s="41" t="s">
        <v>157</v>
      </c>
      <c r="D60" s="50" t="s">
        <v>186</v>
      </c>
      <c r="E60" s="46" t="s">
        <v>107</v>
      </c>
      <c r="F60" s="41" t="s">
        <v>106</v>
      </c>
      <c r="G60" s="38" t="s">
        <v>117</v>
      </c>
      <c r="H60" s="35">
        <v>1</v>
      </c>
      <c r="I60" s="46" t="s">
        <v>8</v>
      </c>
      <c r="J60" s="84">
        <v>25</v>
      </c>
      <c r="K60" s="46" t="s">
        <v>56</v>
      </c>
      <c r="L60" s="46">
        <v>350</v>
      </c>
      <c r="M60" s="46">
        <v>350</v>
      </c>
      <c r="N60" s="46">
        <v>200</v>
      </c>
      <c r="O60" s="49">
        <f t="shared" si="17"/>
        <v>0.02</v>
      </c>
      <c r="P60" s="86">
        <f t="shared" si="12"/>
        <v>25</v>
      </c>
      <c r="Q60" s="86">
        <f t="shared" si="18"/>
        <v>26</v>
      </c>
      <c r="R60" s="48" t="s">
        <v>58</v>
      </c>
      <c r="S60" s="42"/>
      <c r="U60" s="82"/>
      <c r="V60" s="82"/>
      <c r="W60" s="82"/>
      <c r="X60" s="82"/>
      <c r="Y60" s="82"/>
      <c r="Z60" s="82"/>
      <c r="AA60" s="82"/>
      <c r="AH60" s="82"/>
      <c r="AI60" s="82"/>
      <c r="AJ60" s="82"/>
      <c r="AK60" s="82"/>
      <c r="AL60" s="82"/>
    </row>
    <row r="61" spans="2:38" s="79" customFormat="1" ht="57" customHeight="1" x14ac:dyDescent="0.15">
      <c r="B61" s="41">
        <v>47</v>
      </c>
      <c r="C61" s="41" t="s">
        <v>158</v>
      </c>
      <c r="D61" s="50" t="s">
        <v>186</v>
      </c>
      <c r="E61" s="46" t="s">
        <v>107</v>
      </c>
      <c r="F61" s="41" t="s">
        <v>106</v>
      </c>
      <c r="G61" s="38" t="s">
        <v>117</v>
      </c>
      <c r="H61" s="35">
        <v>1</v>
      </c>
      <c r="I61" s="46" t="s">
        <v>8</v>
      </c>
      <c r="J61" s="84">
        <v>25</v>
      </c>
      <c r="K61" s="46" t="s">
        <v>56</v>
      </c>
      <c r="L61" s="46">
        <v>350</v>
      </c>
      <c r="M61" s="46">
        <v>350</v>
      </c>
      <c r="N61" s="46">
        <v>200</v>
      </c>
      <c r="O61" s="49">
        <f t="shared" si="17"/>
        <v>0.02</v>
      </c>
      <c r="P61" s="86">
        <f t="shared" si="12"/>
        <v>25</v>
      </c>
      <c r="Q61" s="86">
        <f t="shared" si="18"/>
        <v>26</v>
      </c>
      <c r="R61" s="48" t="s">
        <v>58</v>
      </c>
      <c r="S61" s="42"/>
      <c r="U61" s="82"/>
      <c r="V61" s="82"/>
      <c r="W61" s="82"/>
      <c r="X61" s="82"/>
      <c r="Y61" s="82"/>
      <c r="Z61" s="82"/>
      <c r="AA61" s="82"/>
      <c r="AH61" s="82"/>
      <c r="AI61" s="82"/>
      <c r="AJ61" s="82"/>
      <c r="AK61" s="82"/>
      <c r="AL61" s="82"/>
    </row>
    <row r="62" spans="2:38" s="79" customFormat="1" ht="57" customHeight="1" x14ac:dyDescent="0.15">
      <c r="B62" s="41">
        <v>48</v>
      </c>
      <c r="C62" s="41" t="s">
        <v>159</v>
      </c>
      <c r="D62" s="50" t="s">
        <v>186</v>
      </c>
      <c r="E62" s="46" t="s">
        <v>107</v>
      </c>
      <c r="F62" s="41" t="s">
        <v>106</v>
      </c>
      <c r="G62" s="38" t="s">
        <v>117</v>
      </c>
      <c r="H62" s="35">
        <v>1</v>
      </c>
      <c r="I62" s="46" t="s">
        <v>8</v>
      </c>
      <c r="J62" s="84">
        <v>25</v>
      </c>
      <c r="K62" s="46" t="s">
        <v>56</v>
      </c>
      <c r="L62" s="46">
        <v>350</v>
      </c>
      <c r="M62" s="46">
        <v>350</v>
      </c>
      <c r="N62" s="46">
        <v>200</v>
      </c>
      <c r="O62" s="49">
        <f t="shared" si="17"/>
        <v>0.02</v>
      </c>
      <c r="P62" s="86">
        <f t="shared" si="12"/>
        <v>25</v>
      </c>
      <c r="Q62" s="86">
        <f t="shared" si="18"/>
        <v>26</v>
      </c>
      <c r="R62" s="48" t="s">
        <v>58</v>
      </c>
      <c r="S62" s="42"/>
      <c r="U62" s="82"/>
      <c r="V62" s="82"/>
      <c r="W62" s="82"/>
      <c r="X62" s="82"/>
      <c r="Y62" s="82"/>
      <c r="Z62" s="82"/>
      <c r="AA62" s="82"/>
      <c r="AH62" s="82"/>
      <c r="AI62" s="82"/>
      <c r="AJ62" s="82"/>
      <c r="AK62" s="82"/>
      <c r="AL62" s="82"/>
    </row>
    <row r="63" spans="2:38" s="79" customFormat="1" ht="57" customHeight="1" x14ac:dyDescent="0.15">
      <c r="B63" s="41">
        <v>49</v>
      </c>
      <c r="C63" s="41" t="s">
        <v>160</v>
      </c>
      <c r="D63" s="50" t="s">
        <v>186</v>
      </c>
      <c r="E63" s="46" t="s">
        <v>107</v>
      </c>
      <c r="F63" s="41" t="s">
        <v>106</v>
      </c>
      <c r="G63" s="38" t="s">
        <v>117</v>
      </c>
      <c r="H63" s="35">
        <v>1</v>
      </c>
      <c r="I63" s="46" t="s">
        <v>8</v>
      </c>
      <c r="J63" s="84">
        <v>25</v>
      </c>
      <c r="K63" s="46" t="s">
        <v>56</v>
      </c>
      <c r="L63" s="46">
        <v>350</v>
      </c>
      <c r="M63" s="46">
        <v>350</v>
      </c>
      <c r="N63" s="46">
        <v>200</v>
      </c>
      <c r="O63" s="49">
        <f t="shared" si="17"/>
        <v>0.02</v>
      </c>
      <c r="P63" s="86">
        <f t="shared" si="12"/>
        <v>25</v>
      </c>
      <c r="Q63" s="86">
        <f t="shared" si="18"/>
        <v>26</v>
      </c>
      <c r="R63" s="48" t="s">
        <v>58</v>
      </c>
      <c r="S63" s="42"/>
      <c r="U63" s="82"/>
      <c r="V63" s="82"/>
      <c r="W63" s="82"/>
      <c r="X63" s="82"/>
      <c r="Y63" s="82"/>
      <c r="Z63" s="82"/>
      <c r="AA63" s="82"/>
      <c r="AH63" s="82"/>
      <c r="AI63" s="82"/>
      <c r="AJ63" s="82"/>
      <c r="AK63" s="82"/>
      <c r="AL63" s="82"/>
    </row>
    <row r="64" spans="2:38" s="79" customFormat="1" ht="57" customHeight="1" x14ac:dyDescent="0.15">
      <c r="B64" s="41">
        <v>50</v>
      </c>
      <c r="C64" s="41" t="s">
        <v>161</v>
      </c>
      <c r="D64" s="50" t="s">
        <v>186</v>
      </c>
      <c r="E64" s="46" t="s">
        <v>107</v>
      </c>
      <c r="F64" s="41" t="s">
        <v>106</v>
      </c>
      <c r="G64" s="38" t="s">
        <v>117</v>
      </c>
      <c r="H64" s="35">
        <v>1</v>
      </c>
      <c r="I64" s="46" t="s">
        <v>8</v>
      </c>
      <c r="J64" s="84">
        <v>25</v>
      </c>
      <c r="K64" s="46" t="s">
        <v>56</v>
      </c>
      <c r="L64" s="46">
        <v>350</v>
      </c>
      <c r="M64" s="46">
        <v>350</v>
      </c>
      <c r="N64" s="46">
        <v>200</v>
      </c>
      <c r="O64" s="49">
        <f t="shared" si="17"/>
        <v>0.02</v>
      </c>
      <c r="P64" s="86">
        <f t="shared" si="12"/>
        <v>25</v>
      </c>
      <c r="Q64" s="86">
        <f t="shared" si="18"/>
        <v>26</v>
      </c>
      <c r="R64" s="48" t="s">
        <v>58</v>
      </c>
      <c r="S64" s="42"/>
      <c r="U64" s="82"/>
      <c r="V64" s="82"/>
      <c r="W64" s="82"/>
      <c r="X64" s="82"/>
      <c r="Y64" s="82"/>
      <c r="Z64" s="82"/>
      <c r="AA64" s="82"/>
      <c r="AH64" s="82"/>
      <c r="AI64" s="82"/>
      <c r="AJ64" s="82"/>
      <c r="AK64" s="82"/>
      <c r="AL64" s="82"/>
    </row>
    <row r="65" spans="1:38" s="79" customFormat="1" ht="57" customHeight="1" x14ac:dyDescent="0.15">
      <c r="B65" s="41">
        <v>51</v>
      </c>
      <c r="C65" s="41" t="s">
        <v>162</v>
      </c>
      <c r="D65" s="50" t="s">
        <v>186</v>
      </c>
      <c r="E65" s="46" t="s">
        <v>107</v>
      </c>
      <c r="F65" s="41" t="s">
        <v>106</v>
      </c>
      <c r="G65" s="38" t="s">
        <v>117</v>
      </c>
      <c r="H65" s="35">
        <v>1</v>
      </c>
      <c r="I65" s="46" t="s">
        <v>8</v>
      </c>
      <c r="J65" s="84">
        <v>25</v>
      </c>
      <c r="K65" s="46" t="s">
        <v>56</v>
      </c>
      <c r="L65" s="46">
        <v>350</v>
      </c>
      <c r="M65" s="46">
        <v>350</v>
      </c>
      <c r="N65" s="46">
        <v>200</v>
      </c>
      <c r="O65" s="49">
        <f t="shared" ref="O65" si="19">ROUND(L65*M65*N65/1000000000,2)</f>
        <v>0.02</v>
      </c>
      <c r="P65" s="86">
        <f t="shared" si="12"/>
        <v>25</v>
      </c>
      <c r="Q65" s="86">
        <f t="shared" ref="Q65" si="20">P65+1</f>
        <v>26</v>
      </c>
      <c r="R65" s="48" t="s">
        <v>58</v>
      </c>
      <c r="S65" s="42"/>
      <c r="U65" s="82"/>
      <c r="V65" s="82"/>
      <c r="W65" s="82"/>
      <c r="X65" s="82"/>
      <c r="Y65" s="82"/>
      <c r="Z65" s="82"/>
      <c r="AA65" s="82"/>
      <c r="AH65" s="82"/>
      <c r="AI65" s="82"/>
      <c r="AJ65" s="82"/>
      <c r="AK65" s="82"/>
      <c r="AL65" s="82"/>
    </row>
    <row r="66" spans="1:38" s="89" customFormat="1" ht="21" x14ac:dyDescent="0.1">
      <c r="A66" s="56"/>
      <c r="B66" s="128" t="s">
        <v>71</v>
      </c>
      <c r="C66" s="128"/>
      <c r="D66" s="128"/>
      <c r="E66" s="128"/>
      <c r="F66" s="128"/>
      <c r="G66" s="128"/>
      <c r="H66" s="128"/>
      <c r="I66" s="128"/>
      <c r="J66" s="51"/>
      <c r="K66" s="51"/>
      <c r="L66" s="51"/>
      <c r="M66" s="51"/>
      <c r="N66" s="51"/>
      <c r="O66" s="95">
        <f>SUM(O15:O65)</f>
        <v>7.739999999999986</v>
      </c>
      <c r="P66" s="106">
        <f>SUM(P15:P65)</f>
        <v>15358</v>
      </c>
      <c r="Q66" s="106">
        <f>SUM(Q15:Q65)</f>
        <v>16054</v>
      </c>
      <c r="R66" s="88"/>
      <c r="S66" s="88"/>
      <c r="U66" s="57"/>
      <c r="V66" s="57"/>
      <c r="W66" s="57"/>
      <c r="X66" s="57"/>
      <c r="Y66" s="57"/>
      <c r="Z66" s="57"/>
      <c r="AA66" s="57"/>
      <c r="AH66" s="57"/>
      <c r="AI66" s="57"/>
      <c r="AJ66" s="57"/>
      <c r="AK66" s="57"/>
      <c r="AL66" s="57"/>
    </row>
  </sheetData>
  <mergeCells count="66">
    <mergeCell ref="O31:O32"/>
    <mergeCell ref="P31:P32"/>
    <mergeCell ref="Q31:Q32"/>
    <mergeCell ref="C33:C34"/>
    <mergeCell ref="K33:K34"/>
    <mergeCell ref="L33:L34"/>
    <mergeCell ref="M33:M34"/>
    <mergeCell ref="N33:N34"/>
    <mergeCell ref="O33:O34"/>
    <mergeCell ref="P33:P34"/>
    <mergeCell ref="Q33:Q34"/>
    <mergeCell ref="C31:C32"/>
    <mergeCell ref="K31:K32"/>
    <mergeCell ref="L31:L32"/>
    <mergeCell ref="M31:M32"/>
    <mergeCell ref="N31:N32"/>
    <mergeCell ref="O27:O28"/>
    <mergeCell ref="P27:P28"/>
    <mergeCell ref="Q27:Q28"/>
    <mergeCell ref="C29:C30"/>
    <mergeCell ref="K29:K30"/>
    <mergeCell ref="L29:L30"/>
    <mergeCell ref="M29:M30"/>
    <mergeCell ref="N29:N30"/>
    <mergeCell ref="O29:O30"/>
    <mergeCell ref="P29:P30"/>
    <mergeCell ref="Q29:Q30"/>
    <mergeCell ref="C27:C28"/>
    <mergeCell ref="K27:K28"/>
    <mergeCell ref="L27:L28"/>
    <mergeCell ref="M27:M28"/>
    <mergeCell ref="N27:N28"/>
    <mergeCell ref="N23:N24"/>
    <mergeCell ref="O23:O24"/>
    <mergeCell ref="P23:P24"/>
    <mergeCell ref="Q23:Q24"/>
    <mergeCell ref="C25:C26"/>
    <mergeCell ref="K25:K26"/>
    <mergeCell ref="L25:L26"/>
    <mergeCell ref="M25:M26"/>
    <mergeCell ref="N25:N26"/>
    <mergeCell ref="O25:O26"/>
    <mergeCell ref="P25:P26"/>
    <mergeCell ref="Q25:Q26"/>
    <mergeCell ref="B66:I66"/>
    <mergeCell ref="P13:P14"/>
    <mergeCell ref="Q13:Q14"/>
    <mergeCell ref="E13:E14"/>
    <mergeCell ref="B13:B14"/>
    <mergeCell ref="C13:C14"/>
    <mergeCell ref="D13:D14"/>
    <mergeCell ref="G13:G14"/>
    <mergeCell ref="H13:I13"/>
    <mergeCell ref="K13:K14"/>
    <mergeCell ref="L13:O13"/>
    <mergeCell ref="F13:F14"/>
    <mergeCell ref="C23:C24"/>
    <mergeCell ref="K23:K24"/>
    <mergeCell ref="L23:L24"/>
    <mergeCell ref="M23:M24"/>
    <mergeCell ref="R7:V7"/>
    <mergeCell ref="R13:R14"/>
    <mergeCell ref="B4:S4"/>
    <mergeCell ref="B1:T1"/>
    <mergeCell ref="C3:J3"/>
    <mergeCell ref="S13:S14"/>
  </mergeCells>
  <phoneticPr fontId="18" type="noConversion"/>
  <printOptions horizontalCentered="1"/>
  <pageMargins left="0.23622047244094491" right="0.23622047244094491" top="0.47244094488188981" bottom="0.51181102362204722" header="0.31496062992125984" footer="0.31496062992125984"/>
  <pageSetup paperSize="9" scale="52" fitToHeight="0" orientation="landscape" r:id="rId1"/>
  <headerFooter alignWithMargins="0">
    <oddFooter>&amp;C&amp;P/&amp;N</oddFooter>
  </headerFooter>
  <rowBreaks count="1" manualBreakCount="1">
    <brk id="30" max="18"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6859-5D1F-4CD8-8651-8C57AA6962F4}">
  <sheetPr>
    <tabColor rgb="FF00B050"/>
    <pageSetUpPr fitToPage="1"/>
  </sheetPr>
  <dimension ref="A1:M42"/>
  <sheetViews>
    <sheetView showGridLines="0" view="pageBreakPreview" zoomScale="55" zoomScaleNormal="70" zoomScaleSheetLayoutView="55" workbookViewId="0">
      <selection activeCell="P41" sqref="P41"/>
    </sheetView>
  </sheetViews>
  <sheetFormatPr defaultColWidth="7.71484375" defaultRowHeight="23.25" x14ac:dyDescent="0.1"/>
  <cols>
    <col min="1" max="1" width="43.15234375" style="2" customWidth="1"/>
    <col min="2" max="2" width="2.5703125" style="3" customWidth="1"/>
    <col min="3" max="3" width="11.109375" style="2" customWidth="1"/>
    <col min="4" max="4" width="10.0546875" style="2" customWidth="1"/>
    <col min="5" max="5" width="6.6640625" style="2" customWidth="1"/>
    <col min="6" max="6" width="10.0546875" style="2" customWidth="1"/>
    <col min="7" max="7" width="9.00390625" style="2" customWidth="1"/>
    <col min="8" max="8" width="10.0546875" style="2" customWidth="1"/>
    <col min="9" max="9" width="12.16015625" style="2" customWidth="1"/>
    <col min="10" max="10" width="9.5859375" style="2" customWidth="1"/>
    <col min="11" max="11" width="0.69921875" style="2" customWidth="1"/>
    <col min="12" max="12" width="7.71484375" style="2"/>
    <col min="13" max="13" width="14.3828125" style="2" bestFit="1" customWidth="1"/>
    <col min="14" max="16384" width="7.71484375" style="2"/>
  </cols>
  <sheetData>
    <row r="1" spans="1:13" ht="91.15" customHeight="1" thickBot="1" x14ac:dyDescent="0.15">
      <c r="A1" s="136" t="s">
        <v>72</v>
      </c>
      <c r="B1" s="136"/>
      <c r="C1" s="136"/>
      <c r="D1" s="136"/>
      <c r="E1" s="136"/>
      <c r="F1" s="136"/>
      <c r="G1" s="136"/>
      <c r="H1" s="136"/>
      <c r="I1" s="136"/>
      <c r="J1" s="136"/>
    </row>
    <row r="2" spans="1:13" ht="32.65" customHeight="1" x14ac:dyDescent="0.1">
      <c r="A2" s="137" t="s">
        <v>73</v>
      </c>
      <c r="B2" s="138"/>
      <c r="C2" s="138"/>
      <c r="D2" s="138"/>
      <c r="E2" s="138"/>
      <c r="F2" s="138"/>
      <c r="G2" s="138"/>
      <c r="H2" s="138"/>
      <c r="I2" s="138"/>
      <c r="J2" s="139"/>
    </row>
    <row r="3" spans="1:13" ht="28.15" customHeight="1" x14ac:dyDescent="0.1">
      <c r="A3" s="140" t="str">
        <f>[6]CI!B26</f>
        <v>Address: O Mon Power Complex at Phuoc Thoi wards, O Mon district, Can Tho city</v>
      </c>
      <c r="B3" s="141"/>
      <c r="C3" s="141"/>
      <c r="D3" s="141"/>
      <c r="E3" s="141"/>
      <c r="F3" s="141"/>
      <c r="G3" s="141"/>
      <c r="H3" s="141"/>
      <c r="I3" s="141"/>
      <c r="J3" s="142"/>
    </row>
    <row r="4" spans="1:13" ht="57.4" customHeight="1" x14ac:dyDescent="0.1"/>
    <row r="5" spans="1:13" s="5" customFormat="1" ht="40.15" customHeight="1" x14ac:dyDescent="0.1">
      <c r="A5" s="29" t="s">
        <v>74</v>
      </c>
      <c r="B5" s="4" t="s">
        <v>75</v>
      </c>
      <c r="C5" s="143"/>
      <c r="D5" s="143"/>
      <c r="E5" s="143"/>
      <c r="F5" s="143"/>
      <c r="G5" s="143"/>
      <c r="H5" s="143"/>
      <c r="I5" s="143"/>
      <c r="J5" s="144"/>
    </row>
    <row r="6" spans="1:13" s="5" customFormat="1" ht="55.5" customHeight="1" x14ac:dyDescent="0.1">
      <c r="A6" s="30" t="s">
        <v>76</v>
      </c>
      <c r="B6" s="6" t="s">
        <v>75</v>
      </c>
      <c r="C6" s="131"/>
      <c r="D6" s="131"/>
      <c r="E6" s="131"/>
      <c r="F6" s="131"/>
      <c r="G6" s="131"/>
      <c r="H6" s="131"/>
      <c r="I6" s="131"/>
      <c r="J6" s="132"/>
    </row>
    <row r="7" spans="1:13" s="5" customFormat="1" ht="42" customHeight="1" x14ac:dyDescent="0.1">
      <c r="A7" s="30" t="s">
        <v>77</v>
      </c>
      <c r="B7" s="9" t="s">
        <v>75</v>
      </c>
      <c r="C7" s="133" t="s">
        <v>78</v>
      </c>
      <c r="D7" s="134"/>
      <c r="E7" s="134"/>
      <c r="F7" s="134"/>
      <c r="G7" s="134"/>
      <c r="H7" s="134"/>
      <c r="I7" s="134"/>
      <c r="J7" s="135"/>
    </row>
    <row r="8" spans="1:13" s="5" customFormat="1" ht="20.65" customHeight="1" x14ac:dyDescent="0.1">
      <c r="A8" s="30" t="s">
        <v>79</v>
      </c>
      <c r="B8" s="9" t="s">
        <v>80</v>
      </c>
      <c r="C8" s="131"/>
      <c r="D8" s="131"/>
      <c r="E8" s="131"/>
      <c r="F8" s="131"/>
      <c r="G8" s="131"/>
      <c r="H8" s="131"/>
      <c r="I8" s="131"/>
      <c r="J8" s="132"/>
    </row>
    <row r="9" spans="1:13" s="5" customFormat="1" ht="20.65" customHeight="1" x14ac:dyDescent="0.1">
      <c r="A9" s="30"/>
      <c r="B9" s="9"/>
      <c r="C9" s="131"/>
      <c r="D9" s="131"/>
      <c r="E9" s="131"/>
      <c r="F9" s="131"/>
      <c r="G9" s="131"/>
      <c r="H9" s="131"/>
      <c r="I9" s="131"/>
      <c r="J9" s="132"/>
    </row>
    <row r="10" spans="1:13" s="5" customFormat="1" ht="20.65" customHeight="1" x14ac:dyDescent="0.1">
      <c r="A10" s="30"/>
      <c r="B10" s="9"/>
      <c r="C10" s="131"/>
      <c r="D10" s="131"/>
      <c r="E10" s="131"/>
      <c r="F10" s="131"/>
      <c r="G10" s="131"/>
      <c r="H10" s="131"/>
      <c r="I10" s="131"/>
      <c r="J10" s="132"/>
    </row>
    <row r="11" spans="1:13" s="5" customFormat="1" ht="24.4" customHeight="1" x14ac:dyDescent="0.1">
      <c r="A11" s="30"/>
      <c r="B11" s="9"/>
      <c r="C11" s="131"/>
      <c r="D11" s="131"/>
      <c r="E11" s="131"/>
      <c r="F11" s="131"/>
      <c r="G11" s="131"/>
      <c r="H11" s="131"/>
      <c r="I11" s="131"/>
      <c r="J11" s="132"/>
    </row>
    <row r="12" spans="1:13" s="5" customFormat="1" ht="42.4" customHeight="1" x14ac:dyDescent="0.1">
      <c r="A12" s="30" t="s">
        <v>81</v>
      </c>
      <c r="B12" s="6" t="s">
        <v>75</v>
      </c>
      <c r="C12" s="34" t="s">
        <v>82</v>
      </c>
      <c r="D12" s="10"/>
      <c r="E12" s="10"/>
      <c r="F12" s="10"/>
      <c r="G12" s="10"/>
      <c r="H12" s="11" t="str">
        <f>[6]CI!G8</f>
        <v>DATE:</v>
      </c>
      <c r="I12" s="12"/>
      <c r="J12" s="13"/>
    </row>
    <row r="13" spans="1:13" s="5" customFormat="1" ht="40.15" customHeight="1" x14ac:dyDescent="0.1">
      <c r="A13" s="30" t="s">
        <v>83</v>
      </c>
      <c r="B13" s="6" t="s">
        <v>80</v>
      </c>
      <c r="C13" s="133" t="s">
        <v>84</v>
      </c>
      <c r="D13" s="134"/>
      <c r="E13" s="134"/>
      <c r="F13" s="134"/>
      <c r="G13" s="134"/>
      <c r="H13" s="134"/>
      <c r="I13" s="134"/>
      <c r="J13" s="135"/>
    </row>
    <row r="14" spans="1:13" s="5" customFormat="1" ht="55.15" customHeight="1" x14ac:dyDescent="0.1">
      <c r="A14" s="30" t="s">
        <v>85</v>
      </c>
      <c r="B14" s="6" t="s">
        <v>75</v>
      </c>
      <c r="C14" s="131" t="str">
        <f>[6]CI!B28</f>
        <v>PLANT/ EQUIPMENT AND MATERIALS FOR O MON IV THERMAL</v>
      </c>
      <c r="D14" s="131"/>
      <c r="E14" s="131"/>
      <c r="F14" s="131"/>
      <c r="G14" s="131"/>
      <c r="H14" s="131"/>
      <c r="I14" s="131"/>
      <c r="J14" s="132"/>
    </row>
    <row r="15" spans="1:13" s="5" customFormat="1" ht="55.5" customHeight="1" x14ac:dyDescent="0.3">
      <c r="A15" s="30" t="s">
        <v>86</v>
      </c>
      <c r="B15" s="9" t="s">
        <v>80</v>
      </c>
      <c r="C15" s="15"/>
      <c r="D15" s="7"/>
      <c r="E15" s="7"/>
      <c r="F15" s="7"/>
      <c r="G15" s="7"/>
      <c r="H15" s="7"/>
      <c r="I15" s="7"/>
      <c r="J15" s="8"/>
      <c r="M15" s="16"/>
    </row>
    <row r="16" spans="1:13" s="5" customFormat="1" ht="55.5" customHeight="1" x14ac:dyDescent="0.3">
      <c r="A16" s="30" t="s">
        <v>87</v>
      </c>
      <c r="B16" s="9" t="s">
        <v>80</v>
      </c>
      <c r="C16" s="15"/>
      <c r="D16" s="7"/>
      <c r="E16" s="7"/>
      <c r="F16" s="7"/>
      <c r="G16" s="7"/>
      <c r="H16" s="7"/>
      <c r="I16" s="7"/>
      <c r="J16" s="8"/>
      <c r="M16" s="16"/>
    </row>
    <row r="17" spans="1:10" s="5" customFormat="1" ht="49.9" customHeight="1" x14ac:dyDescent="0.3">
      <c r="A17" s="30" t="s">
        <v>88</v>
      </c>
      <c r="B17" s="6" t="s">
        <v>75</v>
      </c>
      <c r="C17" s="17"/>
      <c r="D17" s="18" t="s">
        <v>89</v>
      </c>
      <c r="E17" s="19"/>
      <c r="F17" s="19"/>
      <c r="G17" s="19"/>
      <c r="H17" s="19"/>
      <c r="I17" s="19"/>
      <c r="J17" s="13"/>
    </row>
    <row r="18" spans="1:10" s="5" customFormat="1" ht="57.4" customHeight="1" x14ac:dyDescent="0.3">
      <c r="A18" s="30" t="s">
        <v>90</v>
      </c>
      <c r="B18" s="6" t="s">
        <v>75</v>
      </c>
      <c r="C18" s="17"/>
      <c r="D18" s="18" t="s">
        <v>89</v>
      </c>
      <c r="E18" s="19"/>
      <c r="F18" s="14"/>
      <c r="G18" s="19"/>
      <c r="H18" s="19"/>
      <c r="I18" s="19"/>
      <c r="J18" s="20"/>
    </row>
    <row r="19" spans="1:10" s="5" customFormat="1" ht="53.65" customHeight="1" x14ac:dyDescent="0.3">
      <c r="A19" s="30" t="s">
        <v>91</v>
      </c>
      <c r="B19" s="9" t="s">
        <v>75</v>
      </c>
      <c r="C19" s="17"/>
      <c r="D19" s="21" t="s">
        <v>92</v>
      </c>
      <c r="E19" s="17"/>
      <c r="F19" s="21" t="s">
        <v>93</v>
      </c>
      <c r="G19" s="17"/>
      <c r="H19" s="21" t="s">
        <v>94</v>
      </c>
      <c r="I19" s="22"/>
      <c r="J19" s="23" t="s">
        <v>95</v>
      </c>
    </row>
    <row r="20" spans="1:10" s="5" customFormat="1" ht="31.15" customHeight="1" x14ac:dyDescent="0.3">
      <c r="A20" s="30" t="s">
        <v>96</v>
      </c>
      <c r="B20" s="9" t="s">
        <v>75</v>
      </c>
      <c r="C20" s="24"/>
      <c r="D20" s="18"/>
      <c r="E20" s="19"/>
      <c r="F20" s="18"/>
      <c r="G20" s="19"/>
      <c r="H20" s="18"/>
      <c r="I20" s="22"/>
      <c r="J20" s="23"/>
    </row>
    <row r="21" spans="1:10" s="5" customFormat="1" ht="49.15" customHeight="1" x14ac:dyDescent="0.3">
      <c r="A21" s="30" t="s">
        <v>97</v>
      </c>
      <c r="B21" s="9" t="s">
        <v>75</v>
      </c>
      <c r="C21" s="24"/>
      <c r="D21" s="18"/>
      <c r="E21" s="19"/>
      <c r="F21" s="18"/>
      <c r="G21" s="19"/>
      <c r="H21" s="18"/>
      <c r="I21" s="22"/>
      <c r="J21" s="23"/>
    </row>
    <row r="22" spans="1:10" s="5" customFormat="1" ht="40.15" customHeight="1" x14ac:dyDescent="0.1">
      <c r="A22" s="31" t="s">
        <v>98</v>
      </c>
      <c r="B22" s="9" t="s">
        <v>75</v>
      </c>
      <c r="C22" s="24"/>
      <c r="D22" s="18"/>
      <c r="E22" s="19"/>
      <c r="F22" s="18"/>
      <c r="G22" s="19"/>
      <c r="H22" s="18"/>
      <c r="I22" s="22"/>
      <c r="J22" s="23"/>
    </row>
    <row r="23" spans="1:10" s="5" customFormat="1" ht="40.15" customHeight="1" x14ac:dyDescent="0.1">
      <c r="A23" s="32" t="s">
        <v>99</v>
      </c>
      <c r="B23" s="25" t="s">
        <v>75</v>
      </c>
      <c r="C23" s="33" t="s">
        <v>100</v>
      </c>
      <c r="D23" s="26"/>
      <c r="E23" s="26"/>
      <c r="F23" s="26"/>
      <c r="G23" s="26"/>
      <c r="H23" s="26"/>
      <c r="I23" s="26"/>
      <c r="J23" s="27"/>
    </row>
    <row r="24" spans="1:10" ht="120" hidden="1" customHeight="1" thickBot="1" x14ac:dyDescent="0.15"/>
    <row r="25" spans="1:10" ht="55.15" hidden="1" customHeight="1" x14ac:dyDescent="0.1"/>
    <row r="26" spans="1:10" ht="55.15" hidden="1" customHeight="1" thickBot="1" x14ac:dyDescent="0.15"/>
    <row r="27" spans="1:10" ht="40.15" hidden="1" customHeight="1" x14ac:dyDescent="0.1"/>
    <row r="28" spans="1:10" s="5" customFormat="1" ht="40.15" hidden="1" customHeight="1" x14ac:dyDescent="0.1">
      <c r="A28" s="2"/>
      <c r="B28" s="3"/>
      <c r="C28" s="2"/>
      <c r="D28" s="2"/>
      <c r="E28" s="2"/>
      <c r="F28" s="2"/>
      <c r="G28" s="2"/>
      <c r="H28" s="2"/>
      <c r="I28" s="2"/>
      <c r="J28" s="2"/>
    </row>
    <row r="29" spans="1:10" s="5" customFormat="1" ht="55.5" hidden="1" customHeight="1" x14ac:dyDescent="0.1">
      <c r="A29" s="2"/>
      <c r="B29" s="3"/>
      <c r="C29" s="2"/>
      <c r="D29" s="2"/>
      <c r="E29" s="2"/>
      <c r="F29" s="2"/>
      <c r="G29" s="2"/>
      <c r="H29" s="2"/>
      <c r="I29" s="2"/>
      <c r="J29" s="2"/>
    </row>
    <row r="30" spans="1:10" s="5" customFormat="1" ht="53.25" hidden="1" customHeight="1" x14ac:dyDescent="0.1">
      <c r="A30" s="2"/>
      <c r="B30" s="3"/>
      <c r="C30" s="2"/>
      <c r="D30" s="2"/>
      <c r="E30" s="2"/>
      <c r="F30" s="2"/>
      <c r="G30" s="2"/>
      <c r="H30" s="2"/>
      <c r="I30" s="2"/>
      <c r="J30" s="2"/>
    </row>
    <row r="31" spans="1:10" s="5" customFormat="1" ht="99.75" hidden="1" customHeight="1" x14ac:dyDescent="0.1">
      <c r="A31" s="2"/>
      <c r="B31" s="3"/>
      <c r="C31" s="2"/>
      <c r="D31" s="2"/>
      <c r="E31" s="2"/>
      <c r="F31" s="2"/>
      <c r="G31" s="2"/>
      <c r="H31" s="2"/>
      <c r="I31" s="2"/>
      <c r="J31" s="2"/>
    </row>
    <row r="32" spans="1:10" s="5" customFormat="1" ht="40.15" hidden="1" customHeight="1" x14ac:dyDescent="0.1">
      <c r="A32" s="2"/>
      <c r="B32" s="3"/>
      <c r="C32" s="2"/>
      <c r="D32" s="2"/>
      <c r="E32" s="2"/>
      <c r="F32" s="2"/>
      <c r="G32" s="2"/>
      <c r="H32" s="2"/>
      <c r="I32" s="2"/>
      <c r="J32" s="2"/>
    </row>
    <row r="33" spans="1:13" s="5" customFormat="1" ht="40.15" hidden="1" customHeight="1" x14ac:dyDescent="0.1">
      <c r="A33" s="2"/>
      <c r="B33" s="3"/>
      <c r="C33" s="2"/>
      <c r="D33" s="2"/>
      <c r="E33" s="2"/>
      <c r="F33" s="2"/>
      <c r="G33" s="2"/>
      <c r="H33" s="2"/>
      <c r="I33" s="2"/>
      <c r="J33" s="2"/>
    </row>
    <row r="34" spans="1:13" s="5" customFormat="1" ht="75" hidden="1" customHeight="1" x14ac:dyDescent="0.1">
      <c r="A34" s="2"/>
      <c r="B34" s="3"/>
      <c r="C34" s="2"/>
      <c r="D34" s="2"/>
      <c r="E34" s="2"/>
      <c r="F34" s="2"/>
      <c r="G34" s="2"/>
      <c r="H34" s="2"/>
      <c r="I34" s="2"/>
      <c r="J34" s="2"/>
    </row>
    <row r="35" spans="1:13" s="5" customFormat="1" ht="40.15" hidden="1" customHeight="1" x14ac:dyDescent="0.1">
      <c r="A35" s="2"/>
      <c r="B35" s="3"/>
      <c r="C35" s="2"/>
      <c r="D35" s="2"/>
      <c r="E35" s="2"/>
      <c r="F35" s="2"/>
      <c r="G35" s="2"/>
      <c r="H35" s="2"/>
      <c r="I35" s="2"/>
      <c r="J35" s="2"/>
      <c r="M35" s="16"/>
    </row>
    <row r="36" spans="1:13" s="5" customFormat="1" ht="40.15" hidden="1" customHeight="1" x14ac:dyDescent="0.1">
      <c r="A36" s="2"/>
      <c r="B36" s="3"/>
      <c r="C36" s="2"/>
      <c r="D36" s="2"/>
      <c r="E36" s="2"/>
      <c r="F36" s="2"/>
      <c r="G36" s="2"/>
      <c r="H36" s="2"/>
      <c r="I36" s="2"/>
      <c r="J36" s="2"/>
    </row>
    <row r="37" spans="1:13" s="5" customFormat="1" ht="40.15" hidden="1" customHeight="1" x14ac:dyDescent="0.1">
      <c r="A37" s="2"/>
      <c r="B37" s="3"/>
      <c r="C37" s="2"/>
      <c r="D37" s="2"/>
      <c r="E37" s="2"/>
      <c r="F37" s="2"/>
      <c r="G37" s="2"/>
      <c r="H37" s="2"/>
      <c r="I37" s="2"/>
      <c r="J37" s="2"/>
    </row>
    <row r="38" spans="1:13" s="5" customFormat="1" ht="40.15" hidden="1" customHeight="1" x14ac:dyDescent="0.1">
      <c r="A38" s="2"/>
      <c r="B38" s="3"/>
      <c r="C38" s="2"/>
      <c r="D38" s="2"/>
      <c r="E38" s="2"/>
      <c r="F38" s="2"/>
      <c r="G38" s="2"/>
      <c r="H38" s="2"/>
      <c r="I38" s="2"/>
      <c r="J38" s="2"/>
    </row>
    <row r="39" spans="1:13" s="5" customFormat="1" ht="40.15" hidden="1" customHeight="1" x14ac:dyDescent="0.1">
      <c r="A39" s="2"/>
      <c r="B39" s="3"/>
      <c r="C39" s="2"/>
      <c r="D39" s="2"/>
      <c r="E39" s="2"/>
      <c r="F39" s="2"/>
      <c r="G39" s="2"/>
      <c r="H39" s="2"/>
      <c r="I39" s="2"/>
      <c r="J39" s="2"/>
    </row>
    <row r="40" spans="1:13" s="5" customFormat="1" ht="40.15" hidden="1" customHeight="1" x14ac:dyDescent="0.1">
      <c r="A40" s="2"/>
      <c r="B40" s="3"/>
      <c r="C40" s="2"/>
      <c r="D40" s="2"/>
      <c r="E40" s="2"/>
      <c r="F40" s="2"/>
      <c r="G40" s="2"/>
      <c r="H40" s="2"/>
      <c r="I40" s="2"/>
      <c r="J40" s="2"/>
    </row>
    <row r="41" spans="1:13" s="5" customFormat="1" ht="40.15" hidden="1" customHeight="1" x14ac:dyDescent="0.1">
      <c r="A41" s="2"/>
      <c r="B41" s="3"/>
      <c r="C41" s="2"/>
      <c r="D41" s="2"/>
      <c r="E41" s="2"/>
      <c r="F41" s="2"/>
      <c r="G41" s="2"/>
      <c r="H41" s="2"/>
      <c r="I41" s="2"/>
      <c r="J41" s="2"/>
    </row>
    <row r="42" spans="1:13" s="5" customFormat="1" ht="40.15" hidden="1" customHeight="1" x14ac:dyDescent="0.1">
      <c r="A42" s="2"/>
      <c r="B42" s="3"/>
      <c r="C42" s="2"/>
      <c r="D42" s="2"/>
      <c r="E42" s="2"/>
      <c r="F42" s="2"/>
      <c r="G42" s="2"/>
      <c r="H42" s="2"/>
      <c r="I42" s="2"/>
      <c r="J42" s="2"/>
    </row>
  </sheetData>
  <mergeCells count="12">
    <mergeCell ref="C14:J14"/>
    <mergeCell ref="C7:J7"/>
    <mergeCell ref="A1:J1"/>
    <mergeCell ref="A2:J2"/>
    <mergeCell ref="A3:J3"/>
    <mergeCell ref="C5:J5"/>
    <mergeCell ref="C6:J6"/>
    <mergeCell ref="C13:J13"/>
    <mergeCell ref="C8:J8"/>
    <mergeCell ref="C9:J9"/>
    <mergeCell ref="C10:J10"/>
    <mergeCell ref="C11:J11"/>
  </mergeCells>
  <phoneticPr fontId="18" type="noConversion"/>
  <printOptions horizontalCentered="1"/>
  <pageMargins left="0.25" right="0.25" top="0.75" bottom="0.75" header="0.3" footer="0.3"/>
  <pageSetup paperSize="9" scale="6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
  <sheetViews>
    <sheetView topLeftCell="A22" workbookViewId="0">
      <selection activeCell="P41" sqref="P41"/>
    </sheetView>
  </sheetViews>
  <sheetFormatPr defaultRowHeight="13.5" x14ac:dyDescent="0.1"/>
  <sheetData/>
  <phoneticPr fontId="18"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
  <sheetViews>
    <sheetView workbookViewId="0">
      <selection activeCell="P41" sqref="P41"/>
    </sheetView>
  </sheetViews>
  <sheetFormatPr defaultRowHeight="13.5" x14ac:dyDescent="0.1"/>
  <sheetData/>
  <phoneticPr fontId="18"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I3"/>
  <sheetViews>
    <sheetView zoomScale="145" zoomScaleNormal="145" workbookViewId="0">
      <selection activeCell="P41" sqref="P41"/>
    </sheetView>
  </sheetViews>
  <sheetFormatPr defaultRowHeight="13.5" x14ac:dyDescent="0.1"/>
  <cols>
    <col min="9" max="9" width="80.69140625" customWidth="1"/>
  </cols>
  <sheetData>
    <row r="3" spans="9:9" ht="57" x14ac:dyDescent="0.1">
      <c r="I3" s="28" t="s">
        <v>101</v>
      </c>
    </row>
  </sheetData>
  <phoneticPr fontId="18"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
  <sheetViews>
    <sheetView topLeftCell="A6" zoomScale="130" zoomScaleNormal="130" workbookViewId="0">
      <selection activeCell="P41" sqref="P41"/>
    </sheetView>
  </sheetViews>
  <sheetFormatPr defaultRowHeight="13.5" x14ac:dyDescent="0.1"/>
  <sheetData>
    <row r="2" ht="24" customHeight="1" x14ac:dyDescent="0.1"/>
  </sheetData>
  <phoneticPr fontId="18"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578F7E343D8343BFA88033B90E0562" ma:contentTypeVersion="20" ma:contentTypeDescription="Create a new document." ma:contentTypeScope="" ma:versionID="d96a21759101388c18ea9b5221d29ca7">
  <xsd:schema xmlns:xsd="http://www.w3.org/2001/XMLSchema" xmlns:xs="http://www.w3.org/2001/XMLSchema" xmlns:p="http://schemas.microsoft.com/office/2006/metadata/properties" xmlns:ns1="http://schemas.microsoft.com/sharepoint/v3" xmlns:ns2="4133dc65-1983-422d-a502-a502350f8e77" xmlns:ns3="4f9a4399-4a18-425c-a92f-df0a86830ab4" targetNamespace="http://schemas.microsoft.com/office/2006/metadata/properties" ma:root="true" ma:fieldsID="af2e5068a03d288059cef963318c8732" ns1:_="" ns2:_="" ns3:_="">
    <xsd:import namespace="http://schemas.microsoft.com/sharepoint/v3"/>
    <xsd:import namespace="4133dc65-1983-422d-a502-a502350f8e77"/>
    <xsd:import namespace="4f9a4399-4a18-425c-a92f-df0a86830ab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AverageRating" minOccurs="0"/>
                <xsd:element ref="ns1:RatingCount" minOccurs="0"/>
                <xsd:element ref="ns1:RatedBy" minOccurs="0"/>
                <xsd:element ref="ns1:Ratings" minOccurs="0"/>
                <xsd:element ref="ns1:LikesCount" minOccurs="0"/>
                <xsd:element ref="ns1:LikedBy"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AverageRating" ma:index="18" nillable="true" ma:displayName="Rating (0-5)" ma:decimals="2" ma:description="Average value of all the ratings that have been submitted" ma:internalName="AverageRating" ma:readOnly="true">
      <xsd:simpleType>
        <xsd:restriction base="dms:Number"/>
      </xsd:simpleType>
    </xsd:element>
    <xsd:element name="RatingCount" ma:index="19" nillable="true" ma:displayName="Number of Ratings" ma:decimals="0" ma:description="Number of ratings submitted" ma:internalName="RatingCount" ma:readOnly="true">
      <xsd:simpleType>
        <xsd:restriction base="dms:Number"/>
      </xsd:simpleType>
    </xsd:element>
    <xsd:element name="RatedBy" ma:index="20" nillable="true" ma:displayName="Rated By" ma:description="Users rated the item." ma:hidden="true" ma:list="UserInfo" ma:internalName="Rat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Ratings" ma:index="21" nillable="true" ma:displayName="User ratings" ma:description="User ratings for the item" ma:hidden="true" ma:internalName="Ratings">
      <xsd:simpleType>
        <xsd:restriction base="dms:Note"/>
      </xsd:simpleType>
    </xsd:element>
    <xsd:element name="LikesCount" ma:index="22" nillable="true" ma:displayName="Number of Likes" ma:internalName="LikesCount">
      <xsd:simpleType>
        <xsd:restriction base="dms:Unknown"/>
      </xsd:simpleType>
    </xsd:element>
    <xsd:element name="LikedBy" ma:index="23" nillable="true" ma:displayName="Liked By" ma:hidden="true" ma:list="UserInfo" ma:internalName="Lik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133dc65-1983-422d-a502-a502350f8e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2e831d-d9a8-4612-9548-5df55094e96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f9a4399-4a18-425c-a92f-df0a86830ab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e6d2380-0710-410f-aacd-8421feae6ce7}" ma:internalName="TaxCatchAll" ma:showField="CatchAllData" ma:web="4f9a4399-4a18-425c-a92f-df0a86830ab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ikesCount xmlns="http://schemas.microsoft.com/sharepoint/v3" xsi:nil="true"/>
    <Ratings xmlns="http://schemas.microsoft.com/sharepoint/v3" xsi:nil="true"/>
    <LikedBy xmlns="http://schemas.microsoft.com/sharepoint/v3">
      <UserInfo>
        <DisplayName/>
        <AccountId xsi:nil="true"/>
        <AccountType/>
      </UserInfo>
    </LikedBy>
    <TaxCatchAll xmlns="4f9a4399-4a18-425c-a92f-df0a86830ab4" xsi:nil="true"/>
    <lcf76f155ced4ddcb4097134ff3c332f xmlns="4133dc65-1983-422d-a502-a502350f8e77">
      <Terms xmlns="http://schemas.microsoft.com/office/infopath/2007/PartnerControls"/>
    </lcf76f155ced4ddcb4097134ff3c332f>
    <RatedBy xmlns="http://schemas.microsoft.com/sharepoint/v3">
      <UserInfo>
        <DisplayName/>
        <AccountId xsi:nil="true"/>
        <AccountType/>
      </UserInfo>
    </RatedBy>
  </documentManagement>
</p:properties>
</file>

<file path=customXml/itemProps1.xml><?xml version="1.0" encoding="utf-8"?>
<ds:datastoreItem xmlns:ds="http://schemas.openxmlformats.org/officeDocument/2006/customXml" ds:itemID="{E1DA2D53-6590-4F69-8687-EC0CF339AFA2}">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4133dc65-1983-422d-a502-a502350f8e77"/>
    <ds:schemaRef ds:uri="4f9a4399-4a18-425c-a92f-df0a86830ab4"/>
  </ds:schemaRefs>
</ds:datastoreItem>
</file>

<file path=customXml/itemProps2.xml><?xml version="1.0" encoding="utf-8"?>
<ds:datastoreItem xmlns:ds="http://schemas.openxmlformats.org/officeDocument/2006/customXml" ds:itemID="{9822D4E7-869C-4058-A906-785DEE591E44}">
  <ds:schemaRefs>
    <ds:schemaRef ds:uri="http://schemas.microsoft.com/sharepoint/v3/contenttype/forms"/>
  </ds:schemaRefs>
</ds:datastoreItem>
</file>

<file path=customXml/itemProps3.xml><?xml version="1.0" encoding="utf-8"?>
<ds:datastoreItem xmlns:ds="http://schemas.openxmlformats.org/officeDocument/2006/customXml" ds:itemID="{E85F076B-F13F-4C0C-8AFC-ED9D418BF6FC}">
  <ds:schemaRefs>
    <ds:schemaRef ds:uri="http://schemas.microsoft.com/office/2006/metadata/properties"/>
    <ds:schemaRef ds:uri="http://www.w3.org/2000/xmlns/"/>
    <ds:schemaRef ds:uri="http://schemas.microsoft.com/sharepoint/v3"/>
    <ds:schemaRef ds:uri="http://www.w3.org/2001/XMLSchema-instance"/>
    <ds:schemaRef ds:uri="4f9a4399-4a18-425c-a92f-df0a86830ab4"/>
    <ds:schemaRef ds:uri="4133dc65-1983-422d-a502-a502350f8e77"/>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6</vt:i4>
      </vt:variant>
      <vt:variant>
        <vt:lpstr>Phạm vi Có tên</vt:lpstr>
      </vt:variant>
      <vt:variant>
        <vt:i4>4</vt:i4>
      </vt:variant>
    </vt:vector>
  </HeadingPairs>
  <TitlesOfParts>
    <vt:vector size="10" baseType="lpstr">
      <vt:lpstr>Detailed PL</vt:lpstr>
      <vt:lpstr>SHIPPING MARK</vt:lpstr>
      <vt:lpstr>CO</vt:lpstr>
      <vt:lpstr>CQ</vt:lpstr>
      <vt:lpstr>BL</vt:lpstr>
      <vt:lpstr>PSIC</vt:lpstr>
      <vt:lpstr>PSIC!_Hlk215568700</vt:lpstr>
      <vt:lpstr>Detailed PL!Print_Titles</vt:lpstr>
      <vt:lpstr>Detailed PL!Vùng_In</vt:lpstr>
      <vt:lpstr>SHIPPING MARK!Vùng_In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VU NGA</cp:lastModifiedBy>
  <cp:revision/>
  <cp:lastPrinted>2026-06-16T05:51:20Z</cp:lastPrinted>
  <dcterms:created xsi:type="dcterms:W3CDTF">2025-07-09T09:39:20Z</dcterms:created>
  <dcterms:modified xsi:type="dcterms:W3CDTF">2026-08-13T08:40:39Z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0x0101000F578F7E343D8343BFA88033B90E0562</vt:lpwstr>
  </property>
  <property fmtid="{D5CDD505-2E9C-101B-9397-08002B2CF9AE}" pid="3" name="MediaServiceImageTags">
    <vt:lpwstr/>
  </property>
</Properties>
</file>