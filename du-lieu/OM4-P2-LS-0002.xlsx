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NGA 2026\Dự án\Pecc2-Ô môn\047\Phụ LụcHD\hồ sơ Omon d2\"/>
    </mc:Choice>
  </mc:AlternateContent>
  <xr:revisionPtr revIDLastSave="0" documentId="13_ncr:1_{F9D1C3F5-9E08-4281-86EB-838C9D99E284}" xr6:coauthVersionLast="47" xr6:coauthVersionMax="47" xr10:uidLastSave="{00000000-0000-0000-0000-000000000000}"/>
  <bookViews>
    <workbookView xWindow="-120" yWindow="-120" windowWidth="20730" windowHeight="11310" tabRatio="667" activeTab="1" xr2:uid="{00000000-000D-0000-FFFF-FFFF00000000}"/>
  </bookViews>
  <sheets>
    <sheet name="Packing List (1_2)" sheetId="3" r:id="rId1"/>
    <sheet name="PL(2_2)" sheetId="4" r:id="rId2"/>
    <sheet name="Detailed PL" sheetId="5" r:id="rId3"/>
    <sheet name="SHIPPING MARK" sheetId="12" state="hidden" r:id="rId4"/>
    <sheet name="CO" sheetId="6" state="hidden" r:id="rId5"/>
    <sheet name="CQ" sheetId="10" state="hidden" r:id="rId6"/>
    <sheet name="BL" sheetId="7" state="hidden" r:id="rId7"/>
    <sheet name="PSIC" sheetId="11" state="hidden" r:id="rId8"/>
  </sheets>
  <externalReferences>
    <externalReference r:id="rId9"/>
    <externalReference r:id="rId10"/>
    <externalReference r:id="rId11"/>
    <externalReference r:id="rId12"/>
    <externalReference r:id="rId13"/>
    <externalReference r:id="rId14"/>
  </externalReferences>
  <definedNames>
    <definedName name="__123Graph_A" localSheetId="2" hidden="1">'[1]Eq. Mobilization'!#REF!</definedName>
    <definedName name="__123Graph_A" localSheetId="0" hidden="1">'[1]Eq. Mobilization'!#REF!</definedName>
    <definedName name="__123Graph_A" localSheetId="3" hidden="1">'[1]Eq. Mobilization'!#REF!</definedName>
    <definedName name="__123Graph_A" hidden="1">'[1]Eq. Mobilization'!#REF!</definedName>
    <definedName name="__123Graph_ACurrent" localSheetId="2" hidden="1">'[1]Eq. Mobilization'!#REF!</definedName>
    <definedName name="__123Graph_ACurrent" localSheetId="0" hidden="1">'[1]Eq. Mobilization'!#REF!</definedName>
    <definedName name="__123Graph_ACurrent" localSheetId="3" hidden="1">'[1]Eq. Mobilization'!#REF!</definedName>
    <definedName name="__123Graph_ACurrent" hidden="1">'[1]Eq. Mobilization'!#REF!</definedName>
    <definedName name="__123Graph_B" localSheetId="2" hidden="1">'[1]Eq. Mobilization'!#REF!</definedName>
    <definedName name="__123Graph_B" localSheetId="0" hidden="1">'[1]Eq. Mobilization'!#REF!</definedName>
    <definedName name="__123Graph_B" localSheetId="3" hidden="1">'[1]Eq. Mobilization'!#REF!</definedName>
    <definedName name="__123Graph_B" hidden="1">'[1]Eq. Mobilization'!#REF!</definedName>
    <definedName name="__123Graph_BCurrent" localSheetId="2" hidden="1">'[1]Eq. Mobilization'!#REF!</definedName>
    <definedName name="__123Graph_BCurrent" localSheetId="0" hidden="1">'[1]Eq. Mobilization'!#REF!</definedName>
    <definedName name="__123Graph_BCurrent" localSheetId="3" hidden="1">'[1]Eq. Mobilization'!#REF!</definedName>
    <definedName name="__123Graph_BCurrent" hidden="1">'[1]Eq. Mobilization'!#REF!</definedName>
    <definedName name="__123Graph_D" localSheetId="2" hidden="1">#REF!</definedName>
    <definedName name="__123Graph_D" localSheetId="0" hidden="1">#REF!</definedName>
    <definedName name="__123Graph_D" localSheetId="3" hidden="1">#REF!</definedName>
    <definedName name="__123Graph_D" hidden="1">#REF!</definedName>
    <definedName name="__123Graph_E" localSheetId="0" hidden="1">#REF!</definedName>
    <definedName name="__123Graph_E" localSheetId="3" hidden="1">#REF!</definedName>
    <definedName name="__123Graph_E" hidden="1">#REF!</definedName>
    <definedName name="__123Graph_LBL_A" localSheetId="2" hidden="1">'[1]Eq. Mobilization'!#REF!</definedName>
    <definedName name="__123Graph_LBL_A" localSheetId="0" hidden="1">'[1]Eq. Mobilization'!#REF!</definedName>
    <definedName name="__123Graph_LBL_A" localSheetId="3" hidden="1">'[1]Eq. Mobilization'!#REF!</definedName>
    <definedName name="__123Graph_LBL_A" hidden="1">'[1]Eq. Mobilization'!#REF!</definedName>
    <definedName name="__123Graph_LBL_B" localSheetId="2" hidden="1">'[1]Eq. Mobilization'!#REF!</definedName>
    <definedName name="__123Graph_LBL_B" localSheetId="0" hidden="1">'[1]Eq. Mobilization'!#REF!</definedName>
    <definedName name="__123Graph_LBL_B" localSheetId="3" hidden="1">'[1]Eq. Mobilization'!#REF!</definedName>
    <definedName name="__123Graph_LBL_B" hidden="1">'[1]Eq. Mobilization'!#REF!</definedName>
    <definedName name="__123Graph_X" localSheetId="2" hidden="1">'[1]Eq. Mobilization'!#REF!</definedName>
    <definedName name="__123Graph_X" localSheetId="0" hidden="1">'[1]Eq. Mobilization'!#REF!</definedName>
    <definedName name="__123Graph_X" localSheetId="3" hidden="1">'[1]Eq. Mobilization'!#REF!</definedName>
    <definedName name="__123Graph_X" hidden="1">'[1]Eq. Mobilization'!#REF!</definedName>
    <definedName name="__123Graph_XCurrent" localSheetId="2" hidden="1">'[1]Eq. Mobilization'!#REF!</definedName>
    <definedName name="__123Graph_XCurrent" localSheetId="0" hidden="1">'[1]Eq. Mobilization'!#REF!</definedName>
    <definedName name="__123Graph_XCurrent" localSheetId="3" hidden="1">'[1]Eq. Mobilization'!#REF!</definedName>
    <definedName name="__123Graph_XCurrent" hidden="1">'[1]Eq. Mobilization'!#REF!</definedName>
    <definedName name="_1__123Graph_AChart_1A" localSheetId="2" hidden="1">'[1]Eq. Mobilization'!#REF!</definedName>
    <definedName name="_1__123Graph_AChart_1A" localSheetId="0" hidden="1">'[1]Eq. Mobilization'!#REF!</definedName>
    <definedName name="_1__123Graph_AChart_1A" localSheetId="3" hidden="1">'[1]Eq. Mobilization'!#REF!</definedName>
    <definedName name="_1__123Graph_AChart_1A" hidden="1">'[1]Eq. Mobilization'!#REF!</definedName>
    <definedName name="_2__123Graph_BChart_1A" localSheetId="2" hidden="1">'[1]Eq. Mobilization'!#REF!</definedName>
    <definedName name="_2__123Graph_BChart_1A" localSheetId="0" hidden="1">'[1]Eq. Mobilization'!#REF!</definedName>
    <definedName name="_2__123Graph_BChart_1A" localSheetId="3" hidden="1">'[1]Eq. Mobilization'!#REF!</definedName>
    <definedName name="_2__123Graph_BChart_1A" hidden="1">'[1]Eq. Mobilization'!#REF!</definedName>
    <definedName name="_3__123Graph_XChart_1A" localSheetId="2" hidden="1">'[1]Eq. Mobilization'!#REF!</definedName>
    <definedName name="_3__123Graph_XChart_1A" localSheetId="0" hidden="1">'[1]Eq. Mobilization'!#REF!</definedName>
    <definedName name="_3__123Graph_XChart_1A" localSheetId="3" hidden="1">'[1]Eq. Mobilization'!#REF!</definedName>
    <definedName name="_3__123Graph_XChart_1A" hidden="1">'[1]Eq. Mobilization'!#REF!</definedName>
    <definedName name="_Fill" localSheetId="2" hidden="1">#REF!</definedName>
    <definedName name="_Fill" localSheetId="0" hidden="1">#REF!</definedName>
    <definedName name="_Fill" localSheetId="3" hidden="1">#REF!</definedName>
    <definedName name="_Fill" hidden="1">#REF!</definedName>
    <definedName name="_xlnm._FilterDatabase" localSheetId="2" hidden="1">'Detailed PL'!$B$13:$AF$65</definedName>
    <definedName name="_xlnm._FilterDatabase" localSheetId="3" hidden="1">'SHIPPING MARK'!$A$1:$A$23</definedName>
    <definedName name="_Hlk215568700" localSheetId="7">PSIC!$B$2</definedName>
    <definedName name="_Key1" localSheetId="0" hidden="1">#REF!</definedName>
    <definedName name="_Key1" localSheetId="3" hidden="1">#REF!</definedName>
    <definedName name="_Key1" hidden="1">#REF!</definedName>
    <definedName name="_Key2" localSheetId="0" hidden="1">#REF!</definedName>
    <definedName name="_Key2" localSheetId="3" hidden="1">#REF!</definedName>
    <definedName name="_Key2" hidden="1">#REF!</definedName>
    <definedName name="_Order1" hidden="1">255</definedName>
    <definedName name="_Order2" hidden="1">255</definedName>
    <definedName name="_Parse_In" localSheetId="2" hidden="1">#REF!</definedName>
    <definedName name="_Parse_In" localSheetId="0" hidden="1">#REF!</definedName>
    <definedName name="_Parse_In" localSheetId="3" hidden="1">#REF!</definedName>
    <definedName name="_Parse_In" hidden="1">#REF!</definedName>
    <definedName name="_Parse_Out" localSheetId="0" hidden="1">#REF!</definedName>
    <definedName name="_Parse_Out" localSheetId="3" hidden="1">#REF!</definedName>
    <definedName name="_Parse_Out" hidden="1">#REF!</definedName>
    <definedName name="_Sort" localSheetId="0" hidden="1">#REF!</definedName>
    <definedName name="_Sort" localSheetId="3" hidden="1">#REF!</definedName>
    <definedName name="_Sort" hidden="1">#REF!</definedName>
    <definedName name="A" localSheetId="0" hidden="1">#REF!</definedName>
    <definedName name="A" localSheetId="3" hidden="1">#REF!</definedName>
    <definedName name="A" hidden="1">#REF!</definedName>
    <definedName name="ABC" localSheetId="2" hidden="1">'[2]Eq. Mobilization'!#REF!</definedName>
    <definedName name="ABC" localSheetId="0" hidden="1">'[2]Eq. Mobilization'!#REF!</definedName>
    <definedName name="ABC" localSheetId="3" hidden="1">'[2]Eq. Mobilization'!#REF!</definedName>
    <definedName name="ABC" hidden="1">'[2]Eq. Mobilization'!#REF!</definedName>
    <definedName name="CO" localSheetId="2" hidden="1">'[3]Eq. Mobilization'!#REF!</definedName>
    <definedName name="CO" localSheetId="0" hidden="1">'[3]Eq. Mobilization'!#REF!</definedName>
    <definedName name="CO" localSheetId="3" hidden="1">'[3]Eq. Mobilization'!#REF!</definedName>
    <definedName name="CO" hidden="1">'[3]Eq. Mobilization'!#REF!</definedName>
    <definedName name="e" localSheetId="3" hidden="1">'[1]Eq. Mobilization'!#REF!</definedName>
    <definedName name="e" hidden="1">'[1]Eq. Mobilization'!#REF!</definedName>
    <definedName name="Ge" localSheetId="3" hidden="1">'[1]Eq. Mobilization'!#REF!</definedName>
    <definedName name="Ge" hidden="1">'[1]Eq. Mobilization'!#REF!</definedName>
    <definedName name="iv2dt" localSheetId="2" hidden="1">'[1]Eq. Mobilization'!#REF!</definedName>
    <definedName name="iv2dt" localSheetId="0" hidden="1">'[1]Eq. Mobilization'!#REF!</definedName>
    <definedName name="iv2dt" localSheetId="3" hidden="1">'[1]Eq. Mobilization'!#REF!</definedName>
    <definedName name="iv2dt" hidden="1">'[1]Eq. Mobilization'!#REF!</definedName>
    <definedName name="ivdt" localSheetId="2" hidden="1">'[1]Eq. Mobilization'!#REF!</definedName>
    <definedName name="ivdt" localSheetId="0" hidden="1">'[1]Eq. Mobilization'!#REF!</definedName>
    <definedName name="ivdt" localSheetId="3" hidden="1">'[1]Eq. Mobilization'!#REF!</definedName>
    <definedName name="ivdt" hidden="1">'[1]Eq. Mobilization'!#REF!</definedName>
    <definedName name="KABOLINE" localSheetId="2" hidden="1">'[1]Eq. Mobilization'!#REF!</definedName>
    <definedName name="KABOLINE" localSheetId="0" hidden="1">'[1]Eq. Mobilization'!#REF!</definedName>
    <definedName name="KABOLINE" localSheetId="3" hidden="1">'[1]Eq. Mobilization'!#REF!</definedName>
    <definedName name="KABOLINE" hidden="1">'[1]Eq. Mobilization'!#REF!</definedName>
    <definedName name="latent">'[4]steam table'!$N$5:$Q$102</definedName>
    <definedName name="_xlnm.Print_Area" localSheetId="2">'Detailed PL'!$A$1:$S$66</definedName>
    <definedName name="_xlnm.Print_Area" localSheetId="0">'Packing List (1_2)'!$A$1:$K$48</definedName>
    <definedName name="_xlnm.Print_Area" localSheetId="1">'PL(2_2)'!$B$1:$S$66</definedName>
    <definedName name="_xlnm.Print_Area" localSheetId="3">'SHIPPING MARK'!$A$1:$J$23</definedName>
    <definedName name="_xlnm.Print_Titles" localSheetId="2">'Detailed PL'!$13:$14</definedName>
    <definedName name="_xlnm.Print_Titles" localSheetId="1">'PL(2_2)'!$13:$14</definedName>
    <definedName name="SM" localSheetId="3" hidden="1">#REF!</definedName>
    <definedName name="SM" hidden="1">#REF!</definedName>
    <definedName name="tube_test_press1_12">#REF!</definedName>
    <definedName name="weki_9701.xls" localSheetId="0" hidden="1">'[1]Eq. Mobilization'!#REF!</definedName>
    <definedName name="weki_9701.xls" localSheetId="3" hidden="1">'[1]Eq. Mobilization'!#REF!</definedName>
    <definedName name="weki_9701.xls" hidden="1">'[1]Eq. Mobilization'!#REF!</definedName>
    <definedName name="wekir9701.xls" localSheetId="0" hidden="1">'[1]Eq. Mobilization'!#REF!</definedName>
    <definedName name="wekir9701.xls" localSheetId="3" hidden="1">'[1]Eq. Mobilization'!#REF!</definedName>
    <definedName name="wekir9701.xls" hidden="1">'[1]Eq. Mobilization'!#REF!</definedName>
    <definedName name="X" localSheetId="0" hidden="1">'[2]Eq. Mobilization'!#REF!</definedName>
    <definedName name="X" localSheetId="3" hidden="1">'[2]Eq. Mobilization'!#REF!</definedName>
    <definedName name="X" hidden="1">'[2]Eq. Mobilization'!#REF!</definedName>
    <definedName name="Z" localSheetId="0" hidden="1">'[2]Eq. Mobilization'!#REF!</definedName>
    <definedName name="Z" localSheetId="3" hidden="1">'[2]Eq. Mobilization'!#REF!</definedName>
    <definedName name="Z" hidden="1">'[2]Eq. Mobilization'!#REF!</definedName>
    <definedName name="ㄴㅇㄹㅇㄹ" localSheetId="2" hidden="1">'[2]Eq. Mobilization'!#REF!</definedName>
    <definedName name="ㄴㅇㄹㅇㄹ" localSheetId="0" hidden="1">'[2]Eq. Mobilization'!#REF!</definedName>
    <definedName name="ㄴㅇㄹㅇㄹ" localSheetId="3" hidden="1">'[2]Eq. Mobilization'!#REF!</definedName>
    <definedName name="ㄴㅇㄹㅇㄹ" hidden="1">'[2]Eq. Mobilization'!#REF!</definedName>
    <definedName name="느" localSheetId="3" hidden="1">'[1]Eq. Mobilization'!#REF!</definedName>
    <definedName name="느" hidden="1">'[1]Eq. Mobilization'!#REF!</definedName>
    <definedName name="ㅊㅌㅍㅊㅍㅊㅌㅍㅊㅌㅍㅊㅌㅍㅊㅌㅍㅊㅌㅍ" localSheetId="2" hidden="1">'[5]Eq. Mobilization'!#REF!</definedName>
    <definedName name="ㅊㅌㅍㅊㅍㅊㅌㅍㅊㅌㅍㅊㅌㅍㅊㅌㅍㅊㅌㅍ" localSheetId="0" hidden="1">'[5]Eq. Mobilization'!#REF!</definedName>
    <definedName name="ㅊㅌㅍㅊㅍㅊㅌㅍㅊㅌㅍㅊㅌㅍㅊㅌㅍㅊㅌㅍ" localSheetId="3" hidden="1">'[5]Eq. Mobilization'!#REF!</definedName>
    <definedName name="ㅊㅌㅍㅊㅍㅊㅌㅍㅊㅌㅍㅊㅌㅍㅊㅌㅍㅊㅌㅍ" hidden="1">'[5]Eq. Mobilization'!#REF!</definedName>
    <definedName name="ㅊㅌㅍㅊㅍㅌㅋㅊㅍㅌㅊㅍ" localSheetId="2" hidden="1">'[5]Eq. Mobilization'!#REF!</definedName>
    <definedName name="ㅊㅌㅍㅊㅍㅌㅋㅊㅍㅌㅊㅍ" localSheetId="0" hidden="1">'[5]Eq. Mobilization'!#REF!</definedName>
    <definedName name="ㅊㅌㅍㅊㅍㅌㅋㅊㅍㅌㅊㅍ" localSheetId="3" hidden="1">'[5]Eq. Mobilization'!#REF!</definedName>
    <definedName name="ㅊㅌㅍㅊㅍㅌㅋㅊㅍㅌㅊㅍ" hidden="1">'[5]Eq. Mobilization'!#REF!</definedName>
    <definedName name="ㅊㅌㅍㅋㅊㅍㅌㅊㅍㅌㅊㅍ" localSheetId="2" hidden="1">'[5]Eq. Mobilization'!#REF!</definedName>
    <definedName name="ㅊㅌㅍㅋㅊㅍㅌㅊㅍㅌㅊㅍ" localSheetId="0" hidden="1">'[5]Eq. Mobilization'!#REF!</definedName>
    <definedName name="ㅊㅌㅍㅋㅊㅍㅌㅊㅍㅌㅊㅍ" localSheetId="3" hidden="1">'[5]Eq. Mobilization'!#REF!</definedName>
    <definedName name="ㅊㅌㅍㅋㅊㅍㅌㅊㅍㅌㅊㅍ" hidden="1">'[5]Eq. Mobilization'!#REF!</definedName>
    <definedName name="ㅊㅌㅍㅌㅊㅍㅊㅌㅍㅌㅊㅍㅌㅊㅍ" localSheetId="2" hidden="1">'[5]Eq. Mobilization'!#REF!</definedName>
    <definedName name="ㅊㅌㅍㅌㅊㅍㅊㅌㅍㅌㅊㅍㅌㅊㅍ" localSheetId="0" hidden="1">'[5]Eq. Mobilization'!#REF!</definedName>
    <definedName name="ㅊㅌㅍㅌㅊㅍㅊㅌㅍㅌㅊㅍㅌㅊㅍ" localSheetId="3" hidden="1">'[5]Eq. Mobilization'!#REF!</definedName>
    <definedName name="ㅊㅌㅍㅌㅊㅍㅊㅌㅍㅌㅊㅍㅌㅊㅍ" hidden="1">'[5]Eq. Mobilization'!#REF!</definedName>
    <definedName name="ㅋ" localSheetId="2" hidden="1">'[5]Eq. Mobilization'!#REF!</definedName>
    <definedName name="ㅋ" localSheetId="0" hidden="1">'[5]Eq. Mobilization'!#REF!</definedName>
    <definedName name="ㅋ" localSheetId="3" hidden="1">'[5]Eq. Mobilization'!#REF!</definedName>
    <definedName name="ㅋ" hidden="1">'[5]Eq. Mobilization'!#REF!</definedName>
    <definedName name="ㅋㅋㅋㅋ" localSheetId="2" hidden="1">'[5]Eq. Mobilization'!#REF!</definedName>
    <definedName name="ㅋㅋㅋㅋ" localSheetId="0" hidden="1">'[5]Eq. Mobilization'!#REF!</definedName>
    <definedName name="ㅋㅋㅋㅋ" localSheetId="3" hidden="1">'[5]Eq. Mobilization'!#REF!</definedName>
    <definedName name="ㅋㅋㅋㅋ" hidden="1">'[5]Eq. Mobilization'!#REF!</definedName>
    <definedName name="ㅋㅋㅋㅋㅋㅋ" localSheetId="2" hidden="1">'[5]Eq. Mobilization'!#REF!</definedName>
    <definedName name="ㅋㅋㅋㅋㅋㅋ" localSheetId="0" hidden="1">'[5]Eq. Mobilization'!#REF!</definedName>
    <definedName name="ㅋㅋㅋㅋㅋㅋ" localSheetId="3" hidden="1">'[5]Eq. Mobilization'!#REF!</definedName>
    <definedName name="ㅋㅋㅋㅋㅋㅋ" hidden="1">'[5]Eq. Mobilization'!#REF!</definedName>
    <definedName name="ㅋㅋㅋㅋㅋㅋㅋㅋㅋ" localSheetId="2" hidden="1">'[5]Eq. Mobilization'!#REF!</definedName>
    <definedName name="ㅋㅋㅋㅋㅋㅋㅋㅋㅋ" localSheetId="0" hidden="1">'[5]Eq. Mobilization'!#REF!</definedName>
    <definedName name="ㅋㅋㅋㅋㅋㅋㅋㅋㅋ" localSheetId="3" hidden="1">'[5]Eq. Mobilization'!#REF!</definedName>
    <definedName name="ㅋㅋㅋㅋㅋㅋㅋㅋㅋ" hidden="1">'[5]Eq. Mobilization'!#REF!</definedName>
    <definedName name="ㅌㅊㅍㅌㅊㅍㅌㅋㅊㅍㅌ" localSheetId="2" hidden="1">'[5]Eq. Mobilization'!#REF!</definedName>
    <definedName name="ㅌㅊㅍㅌㅊㅍㅌㅋㅊㅍㅌ" localSheetId="0" hidden="1">'[5]Eq. Mobilization'!#REF!</definedName>
    <definedName name="ㅌㅊㅍㅌㅊㅍㅌㅋㅊㅍㅌ" localSheetId="3" hidden="1">'[5]Eq. Mobilization'!#REF!</definedName>
    <definedName name="ㅌㅊㅍㅌㅊㅍㅌㅋㅊㅍㅌ" hidden="1">'[5]Eq. Mobilization'!#REF!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3" i="4" l="1"/>
  <c r="M31" i="4"/>
  <c r="O23" i="4"/>
  <c r="N23" i="4"/>
  <c r="O36" i="4" l="1"/>
  <c r="O37" i="4"/>
  <c r="O38" i="4"/>
  <c r="O39" i="4"/>
  <c r="O40" i="4"/>
  <c r="O41" i="4"/>
  <c r="O42" i="4"/>
  <c r="O43" i="4"/>
  <c r="O44" i="4"/>
  <c r="O45" i="4"/>
  <c r="O46" i="4"/>
  <c r="O47" i="4"/>
  <c r="O48" i="4"/>
  <c r="O49" i="4"/>
  <c r="O50" i="4"/>
  <c r="O51" i="4"/>
  <c r="O52" i="4"/>
  <c r="O53" i="4"/>
  <c r="O54" i="4"/>
  <c r="O55" i="4"/>
  <c r="O56" i="4"/>
  <c r="O57" i="4"/>
  <c r="O58" i="4"/>
  <c r="O59" i="4"/>
  <c r="O60" i="4"/>
  <c r="O61" i="4"/>
  <c r="O62" i="4"/>
  <c r="O63" i="4"/>
  <c r="O64" i="4"/>
  <c r="O65" i="4"/>
  <c r="O35" i="4"/>
  <c r="O16" i="4"/>
  <c r="O17" i="4"/>
  <c r="O18" i="4"/>
  <c r="O20" i="4"/>
  <c r="O21" i="4"/>
  <c r="O22" i="4"/>
  <c r="O15" i="4"/>
  <c r="Q20" i="5"/>
  <c r="Q22" i="5"/>
  <c r="Q21" i="5"/>
  <c r="Q16" i="5" l="1"/>
  <c r="Q17" i="5"/>
  <c r="Q18" i="5"/>
  <c r="Q19" i="5"/>
  <c r="O19" i="4" s="1"/>
  <c r="Q15" i="5"/>
  <c r="P33" i="5" l="1"/>
  <c r="N33" i="4" s="1"/>
  <c r="P31" i="5"/>
  <c r="N31" i="4" s="1"/>
  <c r="P29" i="5"/>
  <c r="N29" i="4" s="1"/>
  <c r="P27" i="5"/>
  <c r="N27" i="4" s="1"/>
  <c r="P25" i="5"/>
  <c r="N25" i="4" s="1"/>
  <c r="P23" i="5" l="1"/>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G63" i="4"/>
  <c r="G64" i="4"/>
  <c r="G65" i="4"/>
  <c r="G15" i="4"/>
  <c r="M29" i="4" l="1"/>
  <c r="M27" i="4"/>
  <c r="M25" i="4"/>
  <c r="M23" i="4"/>
  <c r="N19" i="4" l="1"/>
  <c r="N20" i="4"/>
  <c r="N21" i="4"/>
  <c r="N22" i="4"/>
  <c r="J16" i="4"/>
  <c r="K16" i="4"/>
  <c r="L16" i="4"/>
  <c r="J17" i="4"/>
  <c r="K17" i="4"/>
  <c r="L17" i="4"/>
  <c r="J18" i="4"/>
  <c r="K18" i="4"/>
  <c r="L18" i="4"/>
  <c r="J19" i="4"/>
  <c r="K19" i="4"/>
  <c r="L19" i="4"/>
  <c r="J20" i="4"/>
  <c r="K20" i="4"/>
  <c r="L20" i="4"/>
  <c r="J21" i="4"/>
  <c r="K21" i="4"/>
  <c r="L21" i="4"/>
  <c r="J22" i="4"/>
  <c r="K22" i="4"/>
  <c r="L22" i="4"/>
  <c r="J35" i="4"/>
  <c r="K35" i="4"/>
  <c r="L35" i="4"/>
  <c r="J36" i="4"/>
  <c r="K36" i="4"/>
  <c r="L36" i="4"/>
  <c r="J37" i="4"/>
  <c r="K37" i="4"/>
  <c r="L37" i="4"/>
  <c r="J38" i="4"/>
  <c r="K38" i="4"/>
  <c r="L38" i="4"/>
  <c r="J39" i="4"/>
  <c r="K39" i="4"/>
  <c r="L39" i="4"/>
  <c r="J40" i="4"/>
  <c r="K40" i="4"/>
  <c r="L40" i="4"/>
  <c r="J41" i="4"/>
  <c r="K41" i="4"/>
  <c r="L41" i="4"/>
  <c r="J42" i="4"/>
  <c r="K42" i="4"/>
  <c r="L42" i="4"/>
  <c r="J43" i="4"/>
  <c r="K43" i="4"/>
  <c r="L43" i="4"/>
  <c r="J44" i="4"/>
  <c r="K44" i="4"/>
  <c r="L44" i="4"/>
  <c r="J45" i="4"/>
  <c r="K45" i="4"/>
  <c r="L45" i="4"/>
  <c r="J46" i="4"/>
  <c r="K46" i="4"/>
  <c r="L46" i="4"/>
  <c r="J47" i="4"/>
  <c r="K47" i="4"/>
  <c r="L47" i="4"/>
  <c r="J48" i="4"/>
  <c r="K48" i="4"/>
  <c r="L48" i="4"/>
  <c r="J49" i="4"/>
  <c r="K49" i="4"/>
  <c r="L49" i="4"/>
  <c r="J50" i="4"/>
  <c r="K50" i="4"/>
  <c r="L50" i="4"/>
  <c r="J51" i="4"/>
  <c r="K51" i="4"/>
  <c r="L51" i="4"/>
  <c r="J52" i="4"/>
  <c r="K52" i="4"/>
  <c r="L52" i="4"/>
  <c r="J53" i="4"/>
  <c r="K53" i="4"/>
  <c r="L53" i="4"/>
  <c r="J54" i="4"/>
  <c r="K54" i="4"/>
  <c r="L54" i="4"/>
  <c r="J55" i="4"/>
  <c r="K55" i="4"/>
  <c r="L55" i="4"/>
  <c r="J56" i="4"/>
  <c r="K56" i="4"/>
  <c r="L56" i="4"/>
  <c r="J57" i="4"/>
  <c r="K57" i="4"/>
  <c r="L57" i="4"/>
  <c r="J58" i="4"/>
  <c r="K58" i="4"/>
  <c r="L58" i="4"/>
  <c r="J59" i="4"/>
  <c r="K59" i="4"/>
  <c r="L59" i="4"/>
  <c r="J60" i="4"/>
  <c r="K60" i="4"/>
  <c r="L60" i="4"/>
  <c r="J61" i="4"/>
  <c r="K61" i="4"/>
  <c r="L61" i="4"/>
  <c r="J62" i="4"/>
  <c r="K62" i="4"/>
  <c r="L62" i="4"/>
  <c r="J63" i="4"/>
  <c r="K63" i="4"/>
  <c r="L63" i="4"/>
  <c r="J64" i="4"/>
  <c r="K64" i="4"/>
  <c r="L64" i="4"/>
  <c r="J65" i="4"/>
  <c r="K65" i="4"/>
  <c r="L65" i="4"/>
  <c r="L15" i="4"/>
  <c r="K15" i="4"/>
  <c r="J15" i="4"/>
  <c r="O18" i="5" l="1"/>
  <c r="O17" i="5"/>
  <c r="O16" i="5"/>
  <c r="O15" i="5"/>
  <c r="M22" i="4"/>
  <c r="M21" i="4"/>
  <c r="M20" i="4"/>
  <c r="M19" i="4"/>
  <c r="M18" i="4"/>
  <c r="M17" i="4"/>
  <c r="M16" i="4"/>
  <c r="M15" i="4"/>
  <c r="O33" i="5"/>
  <c r="O31" i="5"/>
  <c r="O29" i="5"/>
  <c r="O27" i="5"/>
  <c r="O25" i="5"/>
  <c r="O23" i="5"/>
  <c r="O35" i="5"/>
  <c r="P35" i="5"/>
  <c r="N35" i="4" s="1"/>
  <c r="H15" i="3"/>
  <c r="M62" i="4"/>
  <c r="M61" i="4"/>
  <c r="M60" i="4"/>
  <c r="M59" i="4"/>
  <c r="M58" i="4"/>
  <c r="M57" i="4"/>
  <c r="M56" i="4"/>
  <c r="M55" i="4"/>
  <c r="M54" i="4"/>
  <c r="M53" i="4"/>
  <c r="M52" i="4"/>
  <c r="M51" i="4"/>
  <c r="M50" i="4"/>
  <c r="M49" i="4"/>
  <c r="M48" i="4"/>
  <c r="M47" i="4"/>
  <c r="M46" i="4"/>
  <c r="M45" i="4"/>
  <c r="M44" i="4"/>
  <c r="M43" i="4"/>
  <c r="M42" i="4"/>
  <c r="M41" i="4"/>
  <c r="M40" i="4"/>
  <c r="M39" i="4"/>
  <c r="M38" i="4"/>
  <c r="M37" i="4"/>
  <c r="M36" i="4"/>
  <c r="M35" i="4"/>
  <c r="P65" i="5"/>
  <c r="N65" i="4" s="1"/>
  <c r="O65" i="5"/>
  <c r="P64" i="5"/>
  <c r="N64" i="4" s="1"/>
  <c r="O64" i="5"/>
  <c r="P63" i="5"/>
  <c r="O63" i="5"/>
  <c r="P62" i="5"/>
  <c r="O62" i="5"/>
  <c r="P61" i="5"/>
  <c r="N61" i="4" s="1"/>
  <c r="O61" i="5"/>
  <c r="P60" i="5"/>
  <c r="N60" i="4" s="1"/>
  <c r="O60" i="5"/>
  <c r="P59" i="5"/>
  <c r="O59" i="5"/>
  <c r="P58" i="5"/>
  <c r="O58" i="5"/>
  <c r="P57" i="5"/>
  <c r="O57" i="5"/>
  <c r="P56" i="5"/>
  <c r="O56" i="5"/>
  <c r="P55" i="5"/>
  <c r="N55" i="4" s="1"/>
  <c r="O55" i="5"/>
  <c r="P54" i="5"/>
  <c r="O54" i="5"/>
  <c r="P53" i="5"/>
  <c r="O53" i="5"/>
  <c r="P52" i="5"/>
  <c r="N52" i="4" s="1"/>
  <c r="O52" i="5"/>
  <c r="P51" i="5"/>
  <c r="O51" i="5"/>
  <c r="P50" i="5"/>
  <c r="O50" i="5"/>
  <c r="P49" i="5"/>
  <c r="O49" i="5"/>
  <c r="P48" i="5"/>
  <c r="O48" i="5"/>
  <c r="P47" i="5"/>
  <c r="O47" i="5"/>
  <c r="P46" i="5"/>
  <c r="O46" i="5"/>
  <c r="P45" i="5"/>
  <c r="N45" i="4" s="1"/>
  <c r="O45" i="5"/>
  <c r="P44" i="5"/>
  <c r="O44" i="5"/>
  <c r="P43" i="5"/>
  <c r="O43" i="5"/>
  <c r="P42" i="5"/>
  <c r="O42" i="5"/>
  <c r="P41" i="5"/>
  <c r="O41" i="5"/>
  <c r="P40" i="5"/>
  <c r="O40" i="5"/>
  <c r="P39" i="5"/>
  <c r="O39" i="5"/>
  <c r="P38" i="5"/>
  <c r="O38" i="5"/>
  <c r="P37" i="5"/>
  <c r="O37" i="5"/>
  <c r="Q35" i="5" l="1"/>
  <c r="Q27" i="5"/>
  <c r="O27" i="4" s="1"/>
  <c r="Q31" i="5"/>
  <c r="O31" i="4" s="1"/>
  <c r="Q38" i="5"/>
  <c r="N38" i="4"/>
  <c r="Q42" i="5"/>
  <c r="N42" i="4"/>
  <c r="Q46" i="5"/>
  <c r="N46" i="4"/>
  <c r="Q50" i="5"/>
  <c r="N50" i="4"/>
  <c r="Q37" i="5"/>
  <c r="N37" i="4"/>
  <c r="Q39" i="5"/>
  <c r="N39" i="4"/>
  <c r="Q41" i="5"/>
  <c r="N41" i="4"/>
  <c r="Q43" i="5"/>
  <c r="N43" i="4"/>
  <c r="Q47" i="5"/>
  <c r="N47" i="4"/>
  <c r="Q49" i="5"/>
  <c r="N49" i="4"/>
  <c r="Q53" i="5"/>
  <c r="N53" i="4"/>
  <c r="Q40" i="5"/>
  <c r="N40" i="4"/>
  <c r="Q44" i="5"/>
  <c r="N44" i="4"/>
  <c r="Q48" i="5"/>
  <c r="N48" i="4"/>
  <c r="Q54" i="5"/>
  <c r="N54" i="4"/>
  <c r="Q56" i="5"/>
  <c r="N56" i="4"/>
  <c r="Q58" i="5"/>
  <c r="N58" i="4"/>
  <c r="Q62" i="5"/>
  <c r="N62" i="4"/>
  <c r="Q51" i="5"/>
  <c r="N51" i="4"/>
  <c r="Q57" i="5"/>
  <c r="N57" i="4"/>
  <c r="Q59" i="5"/>
  <c r="N59" i="4"/>
  <c r="Q63" i="5"/>
  <c r="N63" i="4"/>
  <c r="Q25" i="5"/>
  <c r="O25" i="4" s="1"/>
  <c r="Q29" i="5"/>
  <c r="O29" i="4" s="1"/>
  <c r="Q33" i="5"/>
  <c r="O33" i="4" s="1"/>
  <c r="Q23" i="5"/>
  <c r="Q45" i="5"/>
  <c r="Q52" i="5"/>
  <c r="Q60" i="5"/>
  <c r="Q61" i="5"/>
  <c r="Q55" i="5"/>
  <c r="Q64" i="5"/>
  <c r="Q65" i="5"/>
  <c r="M65" i="4"/>
  <c r="M64" i="4"/>
  <c r="M63" i="4"/>
  <c r="O19" i="5"/>
  <c r="J18" i="5"/>
  <c r="P18" i="5" s="1"/>
  <c r="N18" i="4" s="1"/>
  <c r="J17" i="5"/>
  <c r="P17" i="5" s="1"/>
  <c r="J16" i="5"/>
  <c r="P16" i="5" s="1"/>
  <c r="N16" i="4" s="1"/>
  <c r="P36" i="5"/>
  <c r="N36" i="4" s="1"/>
  <c r="O36" i="5"/>
  <c r="J15" i="5"/>
  <c r="P15" i="5" s="1"/>
  <c r="N15" i="4" s="1"/>
  <c r="O20" i="5"/>
  <c r="O21" i="5"/>
  <c r="O22" i="5"/>
  <c r="N17" i="4" l="1"/>
  <c r="Q36" i="5"/>
  <c r="O66" i="5"/>
  <c r="K31" i="3" s="1"/>
  <c r="Q66" i="5" l="1"/>
  <c r="P66" i="5"/>
  <c r="D7" i="5" l="1"/>
  <c r="D5" i="4"/>
  <c r="D5" i="5" s="1"/>
  <c r="D6" i="4"/>
  <c r="D6" i="5" s="1"/>
  <c r="C14" i="12"/>
  <c r="H12" i="12"/>
  <c r="A3" i="12"/>
  <c r="AZ6" i="5"/>
  <c r="AY6" i="5"/>
  <c r="AX6" i="5"/>
  <c r="AW6" i="5"/>
  <c r="AU6" i="5"/>
  <c r="AT6" i="5"/>
  <c r="AS6" i="5"/>
  <c r="AR6" i="5"/>
  <c r="AQ6" i="5"/>
  <c r="AP6" i="5"/>
  <c r="AO6" i="5"/>
  <c r="AN6" i="5"/>
  <c r="AM6" i="5"/>
  <c r="AL6" i="5"/>
  <c r="AK6" i="5"/>
  <c r="AJ6" i="5"/>
  <c r="AI6" i="5"/>
  <c r="AH6" i="5"/>
  <c r="AG6" i="5"/>
  <c r="AF6" i="5"/>
  <c r="AE6" i="5"/>
  <c r="AD6" i="5"/>
  <c r="AC6" i="5"/>
  <c r="AB6" i="5"/>
  <c r="AA6" i="5"/>
  <c r="P66" i="4"/>
  <c r="O66" i="4"/>
  <c r="J31" i="3" s="1"/>
  <c r="J39" i="3" s="1"/>
  <c r="N66" i="4"/>
  <c r="G9" i="3"/>
  <c r="K39" i="3" l="1"/>
  <c r="I31" i="3"/>
  <c r="I39" i="3" s="1"/>
  <c r="AV6" i="5"/>
</calcChain>
</file>

<file path=xl/sharedStrings.xml><?xml version="1.0" encoding="utf-8"?>
<sst xmlns="http://schemas.openxmlformats.org/spreadsheetml/2006/main" count="1051" uniqueCount="249">
  <si>
    <t>SHIPPER:</t>
  </si>
  <si>
    <r>
      <rPr>
        <b/>
        <sz val="10"/>
        <rFont val="Times New Roman"/>
        <family val="1"/>
      </rPr>
      <t>TRUONG NAM HAI ELECTROMECHANICS ENGINEERING CONSULTANT COMPANY LIMITED</t>
    </r>
    <r>
      <rPr>
        <sz val="9"/>
        <rFont val="Times New Roman"/>
        <family val="1"/>
      </rPr>
      <t xml:space="preserve">
</t>
    </r>
    <r>
      <rPr>
        <sz val="10"/>
        <rFont val="Times New Roman"/>
        <family val="1"/>
      </rPr>
      <t>Address:</t>
    </r>
    <r>
      <rPr>
        <sz val="9"/>
        <rFont val="Times New Roman"/>
        <family val="1"/>
      </rPr>
      <t xml:space="preserve"> 14 Street 20, Lake View City Urban Area, An Phu Ward, Thu Duc City, Ho Chi Minh City, Vietnam</t>
    </r>
  </si>
  <si>
    <t>DATE:</t>
  </si>
  <si>
    <t>CONTRACT NO.</t>
    <phoneticPr fontId="0" type="noConversion"/>
  </si>
  <si>
    <t xml:space="preserve"> CONSIGNEE :</t>
    <phoneticPr fontId="0" type="noConversion"/>
  </si>
  <si>
    <t>O MON IV THERMAL POWER PLANT</t>
    <phoneticPr fontId="22" type="noConversion"/>
  </si>
  <si>
    <t>NOTIFY PARTY :</t>
    <phoneticPr fontId="0" type="noConversion"/>
  </si>
  <si>
    <t>Same as consignee</t>
  </si>
  <si>
    <t xml:space="preserve">SHIPMENT NO. : </t>
  </si>
  <si>
    <t>TERM OF DELIVERY :</t>
  </si>
  <si>
    <t>Local shipment to site</t>
  </si>
  <si>
    <t>VESSEL NAME :</t>
  </si>
  <si>
    <t>ETD :</t>
    <phoneticPr fontId="0" type="noConversion"/>
  </si>
  <si>
    <t>N/A</t>
  </si>
  <si>
    <t>QUALITY</t>
  </si>
  <si>
    <t>100% BRAND NEW</t>
  </si>
  <si>
    <t>PORT OF LOADING :</t>
    <phoneticPr fontId="0" type="noConversion"/>
  </si>
  <si>
    <t>PORT OF DISCHARGE :</t>
    <phoneticPr fontId="0" type="noConversion"/>
  </si>
  <si>
    <t>B/L DATE :</t>
  </si>
  <si>
    <t xml:space="preserve">FINAL DESTINATION : </t>
    <phoneticPr fontId="0" type="noConversion"/>
  </si>
  <si>
    <t>O MON IV THERMAL POWER PLANT</t>
  </si>
  <si>
    <t>Address: O Mon Power Complex at Phuoc Thoi wards, Can Tho city</t>
  </si>
  <si>
    <t>COMMODITY/DESCRIPTION OF GOODS</t>
    <phoneticPr fontId="0" type="noConversion"/>
  </si>
  <si>
    <t>UNIT</t>
    <phoneticPr fontId="0" type="noConversion"/>
  </si>
  <si>
    <t>QUANTITY</t>
    <phoneticPr fontId="0" type="noConversion"/>
  </si>
  <si>
    <t>[Description of Goods]</t>
  </si>
  <si>
    <t>PKGS</t>
  </si>
  <si>
    <t xml:space="preserve">Number of packages: </t>
  </si>
  <si>
    <t>Signed by</t>
    <phoneticPr fontId="0" type="noConversion"/>
  </si>
  <si>
    <t>SI.
No.</t>
    <phoneticPr fontId="0" type="noConversion"/>
  </si>
  <si>
    <t>Package No.</t>
    <phoneticPr fontId="0" type="noConversion"/>
  </si>
  <si>
    <t>Stranded Bare Copper Conductor 240 sq.mm
(C-240)</t>
  </si>
  <si>
    <t>m</t>
  </si>
  <si>
    <t>PVC Insulated Copper Conductor (Yellow and Green) - 240 sq.mm (CV 240,  0.6/1kV)</t>
  </si>
  <si>
    <t>PVC Insulated Copper Conductor (Yellow and Green) - 150 sq.mm (CV 150,  0.6/1kV)</t>
  </si>
  <si>
    <t>PVC Insulated Copper Conductor (Yellow and Green) - 95 sq.mm (CV 95,  0.6/1kV)</t>
  </si>
  <si>
    <t>Pure copper earth rod Φ18x3m, external thread both sides, factory tolerance.
 + Driving heads, internal thread for rod Φ18 (Black steel).
 + Driving tip, internal thread for rod Φ18 (Black steel).</t>
  </si>
  <si>
    <t>pcs</t>
  </si>
  <si>
    <t>PACKING LIST(1/2)</t>
    <phoneticPr fontId="0" type="noConversion"/>
  </si>
  <si>
    <t>P/L No.</t>
  </si>
  <si>
    <t>NET
WEIGHT
(KG)</t>
    <phoneticPr fontId="0" type="noConversion"/>
  </si>
  <si>
    <t>GROSS WEIGHT
(KG)</t>
    <phoneticPr fontId="0" type="noConversion"/>
  </si>
  <si>
    <t>MEASUREMENT
(CBM)</t>
    <phoneticPr fontId="0" type="noConversion"/>
  </si>
  <si>
    <t>PLANT/ EQUIPMENT AND MATERIALS FOR 
O MON IV THERMAL POWER PLANT</t>
    <phoneticPr fontId="22" type="noConversion"/>
  </si>
  <si>
    <t>Package</t>
  </si>
  <si>
    <t>TOTAL</t>
    <phoneticPr fontId="0" type="noConversion"/>
  </si>
  <si>
    <t>PACKING LIST(2/2)</t>
    <phoneticPr fontId="0" type="noConversion"/>
  </si>
  <si>
    <t xml:space="preserve">P/L No. </t>
    <phoneticPr fontId="0" type="noConversion"/>
  </si>
  <si>
    <t>Dated</t>
    <phoneticPr fontId="0" type="noConversion"/>
  </si>
  <si>
    <t>*  Storage Classification</t>
    <phoneticPr fontId="0" type="noConversion"/>
  </si>
  <si>
    <t>**  Plant/Equipment/Materials for</t>
    <phoneticPr fontId="0" type="noConversion"/>
  </si>
  <si>
    <t>Project</t>
    <phoneticPr fontId="0" type="noConversion"/>
  </si>
  <si>
    <t>"A"</t>
    <phoneticPr fontId="0" type="noConversion"/>
  </si>
  <si>
    <t>: Indoor with Air conditioning</t>
    <phoneticPr fontId="0" type="noConversion"/>
  </si>
  <si>
    <t>BLR</t>
    <phoneticPr fontId="0" type="noConversion"/>
  </si>
  <si>
    <t>TBN</t>
    <phoneticPr fontId="0" type="noConversion"/>
  </si>
  <si>
    <t>GEN</t>
    <phoneticPr fontId="0" type="noConversion"/>
  </si>
  <si>
    <t>BOP</t>
    <phoneticPr fontId="0" type="noConversion"/>
  </si>
  <si>
    <t>"B"</t>
    <phoneticPr fontId="0" type="noConversion"/>
  </si>
  <si>
    <t>: Indoor without Air conditioning</t>
    <phoneticPr fontId="0" type="noConversion"/>
  </si>
  <si>
    <t>Unit 1</t>
    <phoneticPr fontId="0" type="noConversion"/>
  </si>
  <si>
    <t>B1</t>
    <phoneticPr fontId="0" type="noConversion"/>
  </si>
  <si>
    <t>T1</t>
    <phoneticPr fontId="0" type="noConversion"/>
  </si>
  <si>
    <t>G1</t>
    <phoneticPr fontId="0" type="noConversion"/>
  </si>
  <si>
    <t>P2</t>
  </si>
  <si>
    <t>"C"</t>
    <phoneticPr fontId="0" type="noConversion"/>
  </si>
  <si>
    <t>: Hazardous Material</t>
    <phoneticPr fontId="0" type="noConversion"/>
  </si>
  <si>
    <t>Unit 2</t>
    <phoneticPr fontId="0" type="noConversion"/>
  </si>
  <si>
    <t>B2</t>
    <phoneticPr fontId="0" type="noConversion"/>
  </si>
  <si>
    <t>T2</t>
    <phoneticPr fontId="0" type="noConversion"/>
  </si>
  <si>
    <t>G2</t>
    <phoneticPr fontId="0" type="noConversion"/>
  </si>
  <si>
    <t>P2</t>
    <phoneticPr fontId="0" type="noConversion"/>
  </si>
  <si>
    <t>"D"</t>
    <phoneticPr fontId="0" type="noConversion"/>
  </si>
  <si>
    <t>: Outdoor with waterproofing</t>
    <phoneticPr fontId="0" type="noConversion"/>
  </si>
  <si>
    <t>Common</t>
    <phoneticPr fontId="0" type="noConversion"/>
  </si>
  <si>
    <t>B0</t>
    <phoneticPr fontId="0" type="noConversion"/>
  </si>
  <si>
    <t>T0</t>
    <phoneticPr fontId="0" type="noConversion"/>
  </si>
  <si>
    <t>G0</t>
    <phoneticPr fontId="0" type="noConversion"/>
  </si>
  <si>
    <t>P0</t>
    <phoneticPr fontId="0" type="noConversion"/>
  </si>
  <si>
    <t>"E"</t>
    <phoneticPr fontId="0" type="noConversion"/>
  </si>
  <si>
    <t>: Outdoor without waterproofing</t>
    <phoneticPr fontId="0" type="noConversion"/>
  </si>
  <si>
    <t>Description of Goods</t>
    <phoneticPr fontId="0" type="noConversion"/>
  </si>
  <si>
    <t>Position in price schedule</t>
  </si>
  <si>
    <t>Quantity</t>
    <phoneticPr fontId="0" type="noConversion"/>
  </si>
  <si>
    <t>Package Type</t>
    <phoneticPr fontId="0" type="noConversion"/>
  </si>
  <si>
    <t>Net Weight
(kg)</t>
    <phoneticPr fontId="0" type="noConversion"/>
  </si>
  <si>
    <t>Gross Weight
(kg)</t>
    <phoneticPr fontId="0" type="noConversion"/>
  </si>
  <si>
    <t>Hazardous Material</t>
    <phoneticPr fontId="0" type="noConversion"/>
  </si>
  <si>
    <t>Storage Classification
(*)</t>
    <phoneticPr fontId="0" type="noConversion"/>
  </si>
  <si>
    <t>Remark
(**)</t>
    <phoneticPr fontId="0" type="noConversion"/>
  </si>
  <si>
    <t>Nos</t>
    <phoneticPr fontId="0" type="noConversion"/>
  </si>
  <si>
    <t>Unit</t>
    <phoneticPr fontId="0" type="noConversion"/>
  </si>
  <si>
    <t>Length
(cm)</t>
    <phoneticPr fontId="0" type="noConversion"/>
  </si>
  <si>
    <t>Width
(cm)</t>
    <phoneticPr fontId="0" type="noConversion"/>
  </si>
  <si>
    <t>Height
(cm)</t>
    <phoneticPr fontId="0" type="noConversion"/>
  </si>
  <si>
    <t>Volume
(cbm)</t>
    <phoneticPr fontId="0" type="noConversion"/>
  </si>
  <si>
    <t>Roll</t>
  </si>
  <si>
    <t>E</t>
  </si>
  <si>
    <t>C-240</t>
  </si>
  <si>
    <t>CV 240,  0.6/1kV</t>
  </si>
  <si>
    <t>CV 150,  0.6/1kV</t>
  </si>
  <si>
    <t>CV 95,  0.6/1kV</t>
  </si>
  <si>
    <t>Budle</t>
  </si>
  <si>
    <t>VA-CTD-1830</t>
  </si>
  <si>
    <t>VA-HKT</t>
  </si>
  <si>
    <t>Box</t>
  </si>
  <si>
    <t>Grand Total</t>
    <phoneticPr fontId="0" type="noConversion"/>
  </si>
  <si>
    <t>DETAILED PACKING LIST</t>
    <phoneticPr fontId="0" type="noConversion"/>
  </si>
  <si>
    <t>PL No.</t>
    <phoneticPr fontId="0" type="noConversion"/>
  </si>
  <si>
    <t>Referenced DWG No.</t>
    <phoneticPr fontId="0" type="noConversion"/>
  </si>
  <si>
    <t>047.26. X021</t>
  </si>
  <si>
    <t>C/O of Goods</t>
    <phoneticPr fontId="0" type="noConversion"/>
  </si>
  <si>
    <t>kg</t>
  </si>
  <si>
    <t>Measurement</t>
    <phoneticPr fontId="0" type="noConversion"/>
  </si>
  <si>
    <t>Length
(mm)</t>
  </si>
  <si>
    <t>Width
(mm)</t>
  </si>
  <si>
    <t>Height
(mm)</t>
  </si>
  <si>
    <t>Volume
(cbm)</t>
  </si>
  <si>
    <t>Grand-Total</t>
    <phoneticPr fontId="0" type="noConversion"/>
  </si>
  <si>
    <t>SHIPPING MARK</t>
    <phoneticPr fontId="0" type="noConversion"/>
  </si>
  <si>
    <t xml:space="preserve">O MON IV THERMAL POWER PLANT </t>
  </si>
  <si>
    <t xml:space="preserve">                             SHIPPER  </t>
    <phoneticPr fontId="0" type="noConversion"/>
  </si>
  <si>
    <t>:</t>
  </si>
  <si>
    <t xml:space="preserve">                            ADDRESS</t>
    <phoneticPr fontId="0" type="noConversion"/>
  </si>
  <si>
    <t xml:space="preserve">                        CONSIGNEE</t>
    <phoneticPr fontId="0" type="noConversion"/>
  </si>
  <si>
    <t>As per the Contractor(Scope of Consortium)</t>
    <phoneticPr fontId="22" type="noConversion"/>
  </si>
  <si>
    <t xml:space="preserve">                    NOTIFY PARTY</t>
    <phoneticPr fontId="0" type="noConversion"/>
  </si>
  <si>
    <t>:</t>
    <phoneticPr fontId="0" type="noConversion"/>
  </si>
  <si>
    <t xml:space="preserve">                   CONTRACT NO.</t>
    <phoneticPr fontId="0" type="noConversion"/>
  </si>
  <si>
    <t>06/2025/HĐ-PVN/OM4-06</t>
    <phoneticPr fontId="22" type="noConversion"/>
  </si>
  <si>
    <t xml:space="preserve">                   SHIPMENT NO.</t>
    <phoneticPr fontId="0" type="noConversion"/>
  </si>
  <si>
    <t>Following shipment numbering</t>
    <phoneticPr fontId="22" type="noConversion"/>
  </si>
  <si>
    <t xml:space="preserve">EQUIPMENT DESCRIPTION </t>
    <phoneticPr fontId="0" type="noConversion"/>
  </si>
  <si>
    <t xml:space="preserve">                     CONSIGNOR.
            </t>
    <phoneticPr fontId="0" type="noConversion"/>
  </si>
  <si>
    <t xml:space="preserve">                     PACKAGE NO.
            </t>
    <phoneticPr fontId="0" type="noConversion"/>
  </si>
  <si>
    <t xml:space="preserve">                      NET WEIGHT
</t>
    <phoneticPr fontId="0" type="noConversion"/>
  </si>
  <si>
    <t>KG</t>
    <phoneticPr fontId="0" type="noConversion"/>
  </si>
  <si>
    <t xml:space="preserve">                 GROSS WEIGHT
</t>
    <phoneticPr fontId="0" type="noConversion"/>
  </si>
  <si>
    <t xml:space="preserve">                       -	MEASUREMENT
</t>
    <phoneticPr fontId="0" type="noConversion"/>
  </si>
  <si>
    <t>cm(L) X</t>
    <phoneticPr fontId="0" type="noConversion"/>
  </si>
  <si>
    <t>cm (W) X</t>
    <phoneticPr fontId="0" type="noConversion"/>
  </si>
  <si>
    <t>cm (H)</t>
    <phoneticPr fontId="0" type="noConversion"/>
  </si>
  <si>
    <t>CBM</t>
    <phoneticPr fontId="0" type="noConversion"/>
  </si>
  <si>
    <t xml:space="preserve">                  LOADING PORT
</t>
    <phoneticPr fontId="0" type="noConversion"/>
  </si>
  <si>
    <t xml:space="preserve">    PORT OF DESTINATION
                       </t>
    <phoneticPr fontId="0" type="noConversion"/>
  </si>
  <si>
    <t xml:space="preserve">         COUNTRY OF ORIGIN</t>
    <phoneticPr fontId="0" type="noConversion"/>
  </si>
  <si>
    <t xml:space="preserve">                              QUALITY</t>
    <phoneticPr fontId="0" type="noConversion"/>
  </si>
  <si>
    <t>100% BRAND NEW</t>
    <phoneticPr fontId="0" type="noConversion"/>
  </si>
  <si>
    <r>
      <t xml:space="preserve">- In the B/L Form, </t>
    </r>
    <r>
      <rPr>
        <b/>
        <sz val="11"/>
        <color rgb="FFFF0000"/>
        <rFont val="돋움"/>
        <family val="3"/>
        <charset val="129"/>
      </rPr>
      <t>"Freight Prepaid"</t>
    </r>
    <r>
      <rPr>
        <sz val="11"/>
        <color rgb="FFFF0000"/>
        <rFont val="돋움"/>
        <family val="3"/>
        <charset val="129"/>
      </rPr>
      <t xml:space="preserve"> must be used according to the signed EPC regulations, "Freight payable" cannot be used as the form we are drafting.
- According to EPC, the Contractor is required to bear the risks and losses until handover, and must insure all goods during transportation, so remove the content of the complicated limitation regulations below in the B/L Form.</t>
    </r>
  </si>
  <si>
    <t>Supplier / Manufacturer</t>
  </si>
  <si>
    <t>06/2025/HĐ-PVN/OM4-06</t>
  </si>
  <si>
    <t>June 6th, 2025</t>
  </si>
  <si>
    <t>Measurement</t>
  </si>
  <si>
    <t>V.13</t>
  </si>
  <si>
    <t>Tag No</t>
  </si>
  <si>
    <t>Tag No./Model</t>
  </si>
  <si>
    <r>
      <t xml:space="preserve">Power Engineering Consulting Joint Stock Company 2
</t>
    </r>
    <r>
      <rPr>
        <sz val="10"/>
        <rFont val="Times New Roman"/>
        <family val="1"/>
      </rPr>
      <t>32 Ngo Thoi Nhiem Street, Xuan Hoa Ward, Ho Chi Minh City</t>
    </r>
    <r>
      <rPr>
        <b/>
        <sz val="10"/>
        <rFont val="Times New Roman"/>
        <family val="1"/>
      </rPr>
      <t xml:space="preserve">, </t>
    </r>
    <r>
      <rPr>
        <sz val="10"/>
        <rFont val="Times New Roman"/>
        <family val="1"/>
      </rPr>
      <t>Vietnam</t>
    </r>
  </si>
  <si>
    <t>PECC2 Innovation Hub, 45 Street No.2, Truong Tho Ward, 
Thu Duc City, HCMC, Vietnam
Tel: +84-28-2221 6468 | Fax: +84-28-2221 0408</t>
    <phoneticPr fontId="30" type="noConversion"/>
  </si>
  <si>
    <t>PECC2 Innovation Hub, 45 Street No.2, Truong Tho Ward, Thu Duc City, HCMC, Vietnam
Tel: +84-28-2221 6468 | Fax: +84-28-2221 0408</t>
  </si>
  <si>
    <t>Vietnam</t>
  </si>
  <si>
    <t>Truong Nam Hai</t>
  </si>
  <si>
    <t>B</t>
  </si>
  <si>
    <t>BILL OF LADING/ AIRWAY BILL NO.:</t>
  </si>
  <si>
    <t>I.1</t>
  </si>
  <si>
    <t>I.2</t>
  </si>
  <si>
    <t>I.3</t>
  </si>
  <si>
    <t>I.4</t>
  </si>
  <si>
    <t>I.5</t>
  </si>
  <si>
    <t>I.6</t>
  </si>
  <si>
    <t>I.7</t>
  </si>
  <si>
    <t>I.8</t>
  </si>
  <si>
    <t>I.9</t>
  </si>
  <si>
    <t>I.10</t>
  </si>
  <si>
    <t>OM4-P2-LS-0002</t>
  </si>
  <si>
    <t>OM4-P2-LS-0002-001</t>
  </si>
  <si>
    <t>OM4-P2-LS-0002-002</t>
  </si>
  <si>
    <t>OM4-P2-LS-0002-003</t>
  </si>
  <si>
    <t>OM4-P2-LS-0002-004</t>
  </si>
  <si>
    <t>OM4-P2-LS-0002-005</t>
  </si>
  <si>
    <t>OM4-P2-LS-0002-006</t>
  </si>
  <si>
    <t>OM4-P2-LS-0002-007</t>
  </si>
  <si>
    <t>OM4-P2-LS-0002-008</t>
  </si>
  <si>
    <t>OM4-P2-LS-0002-009</t>
  </si>
  <si>
    <t>OM4-P2-LS-0002-010</t>
  </si>
  <si>
    <t>OM4-P2-LS-0002-011</t>
  </si>
  <si>
    <t>OM4-P2-LS-0002-012</t>
  </si>
  <si>
    <t>OM4-P2-LS-0002-013</t>
  </si>
  <si>
    <t>OM4-P2-LS-0002-014</t>
  </si>
  <si>
    <t>OM4-P2-LS-0002-015</t>
  </si>
  <si>
    <t>OM4-P2-LS-0002-016</t>
  </si>
  <si>
    <t>OM4-P2-LS-0002-017</t>
  </si>
  <si>
    <t>OM4-P2-LS-0002-018</t>
  </si>
  <si>
    <t>OM4-P2-LS-0002-019</t>
  </si>
  <si>
    <t>OM4-P2-LS-0002-020</t>
  </si>
  <si>
    <t>OM4-P2-LS-0002-021</t>
  </si>
  <si>
    <t>OM4-P2-LS-0002-022</t>
  </si>
  <si>
    <t>OM4-P2-LS-0002-023</t>
  </si>
  <si>
    <t>OM4-P2-LS-0002-024</t>
  </si>
  <si>
    <t>OM4-P2-LS-0002-025</t>
  </si>
  <si>
    <t>OM4-P2-LS-0002-026</t>
  </si>
  <si>
    <t>OM4-P2-LS-0002-027</t>
  </si>
  <si>
    <t>OM4-P2-LS-0002-028</t>
  </si>
  <si>
    <t>OM4-P2-LS-0002-029</t>
  </si>
  <si>
    <t>OM4-P2-LS-0002-030</t>
  </si>
  <si>
    <t>OM4-P2-LS-0002-031</t>
  </si>
  <si>
    <t>OM4-P2-LS-0002-032</t>
  </si>
  <si>
    <t>OM4-P2-LS-0002-033</t>
  </si>
  <si>
    <t>OM4-P2-LS-0002-034</t>
  </si>
  <si>
    <t>OM4-P2-LS-0002-035</t>
  </si>
  <si>
    <t>OM4-P2-LS-0002-036</t>
  </si>
  <si>
    <t>OM4-P2-LS-0002-037</t>
  </si>
  <si>
    <t>OM4-P2-LS-0002-038</t>
  </si>
  <si>
    <t>OM4-P2-LS-0002-039</t>
  </si>
  <si>
    <t>OM4-P2-LS-0002-040</t>
  </si>
  <si>
    <t>OM4-P2-LS-0002-041</t>
  </si>
  <si>
    <t>OM4-P2-LS-0002-042</t>
  </si>
  <si>
    <t>OM4-P2-LS-0002-043</t>
  </si>
  <si>
    <t>OM4-P2-LS-0002-044</t>
  </si>
  <si>
    <t>OM4-P2-LS-0002-045</t>
  </si>
  <si>
    <t>Earthing Material and accessories (2 nd shipment)</t>
  </si>
  <si>
    <r>
      <t xml:space="preserve">Position in 
price 
schedule
</t>
    </r>
    <r>
      <rPr>
        <b/>
        <i/>
        <sz val="12"/>
        <color rgb="FFFF0000"/>
        <rFont val="Times New Roman"/>
        <family val="1"/>
      </rPr>
      <t>of PECC2 and Supplier
(to hide when print out)</t>
    </r>
  </si>
  <si>
    <t>Factory Director</t>
  </si>
  <si>
    <t>June 10th, 2026</t>
  </si>
  <si>
    <t>CC4-D-240240</t>
  </si>
  <si>
    <t xml:space="preserve"> #250</t>
  </si>
  <si>
    <t>CC2-D-240150</t>
  </si>
  <si>
    <t xml:space="preserve"> #200</t>
  </si>
  <si>
    <t xml:space="preserve">CC2-D-24095 </t>
  </si>
  <si>
    <t xml:space="preserve"> #150</t>
  </si>
  <si>
    <t xml:space="preserve">CC2-C-24035 </t>
  </si>
  <si>
    <t xml:space="preserve"> #90</t>
  </si>
  <si>
    <t xml:space="preserve">CC2-C-24016   </t>
  </si>
  <si>
    <t xml:space="preserve">CR1-D-18240 </t>
  </si>
  <si>
    <t xml:space="preserve">   #200</t>
  </si>
  <si>
    <t>Welding mold D type (Horizontal cable 240 to rod Φ18 connection include: hand clamp, flint igniter, PVC &amp; Steel brush).</t>
  </si>
  <si>
    <t>Welding mold C type (T connection cable 240 &amp; cable 16 include: hand clamp, flint igniter, PVC &amp; Steel brush).</t>
  </si>
  <si>
    <t>Welding mold C type (T connection cable 240 &amp; cable 35 include: hand clamp, flint igniter, PVC &amp; Steel brush).</t>
  </si>
  <si>
    <t>Welding mold D type (T connection cable 240 &amp; cable 95 include: hand clamp, flint igniter, PVC &amp; Steel brush).</t>
  </si>
  <si>
    <t>Welding mold D type (T connection cable 240 &amp; cable 150 include: hand clamp, flint igniter, PVC &amp; Steel brush).</t>
  </si>
  <si>
    <t>Welding mold D type (Cross connection cable 240x240 include: hand clamp, flint igniter, PVC &amp; Steel brush).</t>
  </si>
  <si>
    <t>Position in 
price 
schedule</t>
  </si>
  <si>
    <t xml:space="preserve"> + Welding powder 250g/tube (include: Steel disk, starting powder).
Using 2 tubes of 250g welding powder for each CC4-D-240240 cross-type welding joint/Vietnam</t>
  </si>
  <si>
    <t xml:space="preserve"> + Welding powder 200g/tube (include: Steel disk, starting powder).
Using 1 tube of 200gram welding powder for each CC2-D-240150 T-type  welding joint/Vietnam</t>
  </si>
  <si>
    <t xml:space="preserve"> '+ Welding powder 150g/tube (include: Steel disk, starting powder).
Using 1 tube of 150gram welding powder for each CC2-D-24095 T-type  welding joint/Vietnam</t>
  </si>
  <si>
    <t xml:space="preserve"> + Welding powder 90g/tube (include: Steel disk, starting powder).
Using 1 tube of 90gram welding powder for each CC2-D-24035 T-type  welding joint/Vietnam</t>
  </si>
  <si>
    <t xml:space="preserve"> '+ Welding powder 90g/tube (include: Steel disk, starting powder).
Using 1 tube of 90gram welding powder for each CC2-D-24016 T-type  welding joint/Vietnam</t>
  </si>
  <si>
    <t>+ Welding powder 200g/tube (include: Steel disk, starting powder).
Using 1 tube of 200gram welding powder for each CR1-D-18240 240 sq.mm to Φ18 ground rod welding joint/Vietnam</t>
  </si>
  <si>
    <t>Concrete eath pit (Dim: 310x310x170mm)
 + Copper earth bar 5 connection points Φ12, Dim: 50x5x300 c/w: SS304 bolds, nuts, spring &amp; flat washers M12x40.</t>
  </si>
  <si>
    <t xml:space="preserve"> + Welding powder 150g/tube (include: Steel disk, starting powder).
Using 1 tube of 150gram welding powder for each CC2-D-24095 T-type  welding joint/Vietnam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</si>
</sst>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0.00_);_(* \(#,##0.00\);_(* &quot;-&quot;??_);_(@_)"/>
    <numFmt numFmtId="164" formatCode="_-* #,##0_-;\-* #,##0_-;_-* &quot;-&quot;_-;_-@_-"/>
    <numFmt numFmtId="165" formatCode="_-* #,##0.00_-;\-* #,##0.00_-;_-* &quot;-&quot;_-;_-@_-"/>
    <numFmt numFmtId="166" formatCode="_-* #,##0.000_-;\-* #,##0.000_-;_-* &quot;-&quot;???_-;_-@_-"/>
    <numFmt numFmtId="167" formatCode="#,##0.000_);[Red]\(#,##0.000\)"/>
    <numFmt numFmtId="168" formatCode="_-* #,##0.0_-;\-* #,##0.0_-;_-* &quot;-&quot;_-;_-@_-"/>
    <numFmt numFmtId="169" formatCode="0.00_);[Red]\(0.00\)"/>
    <numFmt numFmtId="170" formatCode="&quot;#&quot;\ 00"/>
    <numFmt numFmtId="171" formatCode="&quot;#&quot;00"/>
    <numFmt numFmtId="172" formatCode="0_);[Red]\(0\)"/>
    <numFmt numFmtId="173" formatCode="_(* #,##0_);_(* \(#,##0\);_(* &quot;-&quot;??_);_(@_)"/>
    <numFmt numFmtId="174" formatCode="_-* #,##0.00\ _₫_-;\-* #,##0.00\ _₫_-;_-* &quot;-&quot;??\ _₫_-;_-@_-"/>
  </numFmts>
  <fonts count="51">
    <font>
      <sz val="11"/>
      <name val="돋움"/>
      <family val="3"/>
      <charset val="129"/>
    </font>
    <font>
      <sz val="11"/>
      <name val="돋움"/>
      <family val="3"/>
      <charset val="129"/>
    </font>
    <font>
      <sz val="10"/>
      <name val="Arial"/>
      <family val="2"/>
    </font>
    <font>
      <b/>
      <sz val="10"/>
      <name val="Arial"/>
      <family val="2"/>
    </font>
    <font>
      <b/>
      <sz val="16"/>
      <name val="Arial"/>
      <family val="2"/>
    </font>
    <font>
      <sz val="12"/>
      <name val="바탕체"/>
      <family val="1"/>
      <charset val="129"/>
    </font>
    <font>
      <sz val="10"/>
      <name val="Calibri"/>
      <family val="2"/>
    </font>
    <font>
      <b/>
      <sz val="10"/>
      <name val="Calibri"/>
      <family val="2"/>
    </font>
    <font>
      <sz val="11"/>
      <name val="Arial"/>
      <family val="2"/>
    </font>
    <font>
      <b/>
      <sz val="16"/>
      <name val="Calibri"/>
      <family val="2"/>
    </font>
    <font>
      <sz val="11"/>
      <name val="Aptos Narrow"/>
      <family val="3"/>
      <charset val="129"/>
      <scheme val="minor"/>
    </font>
    <font>
      <sz val="11"/>
      <name val="Calibri"/>
      <family val="2"/>
    </font>
    <font>
      <sz val="10"/>
      <name val="Aptos Narrow"/>
      <family val="3"/>
      <charset val="129"/>
      <scheme val="minor"/>
    </font>
    <font>
      <b/>
      <sz val="10"/>
      <name val="Aptos Narrow"/>
      <family val="2"/>
      <scheme val="minor"/>
    </font>
    <font>
      <sz val="11"/>
      <color indexed="8"/>
      <name val="맑은 고딕"/>
      <family val="3"/>
      <charset val="129"/>
    </font>
    <font>
      <b/>
      <u/>
      <sz val="36"/>
      <name val="Calibri"/>
      <family val="2"/>
    </font>
    <font>
      <sz val="18"/>
      <name val="Calibri"/>
      <family val="2"/>
    </font>
    <font>
      <b/>
      <sz val="20"/>
      <name val="Calibri"/>
      <family val="2"/>
    </font>
    <font>
      <b/>
      <sz val="18"/>
      <name val="Calibri"/>
      <family val="2"/>
    </font>
    <font>
      <sz val="10"/>
      <name val="굴림"/>
      <family val="3"/>
      <charset val="129"/>
    </font>
    <font>
      <sz val="11"/>
      <color rgb="FFFF0000"/>
      <name val="돋움"/>
      <family val="3"/>
      <charset val="129"/>
    </font>
    <font>
      <b/>
      <sz val="11"/>
      <color rgb="FFFF0000"/>
      <name val="돋움"/>
      <family val="3"/>
      <charset val="129"/>
    </font>
    <font>
      <sz val="8"/>
      <name val="돋움"/>
      <family val="3"/>
      <charset val="129"/>
    </font>
    <font>
      <sz val="18"/>
      <color rgb="FFFF0000"/>
      <name val="Calibri"/>
      <family val="2"/>
    </font>
    <font>
      <i/>
      <sz val="20"/>
      <color rgb="FFFF0000"/>
      <name val="Calibri"/>
      <family val="2"/>
    </font>
    <font>
      <i/>
      <sz val="20"/>
      <name val="돋움"/>
      <family val="3"/>
      <charset val="129"/>
    </font>
    <font>
      <sz val="12"/>
      <name val="Times New Roman"/>
      <family val="1"/>
    </font>
    <font>
      <b/>
      <sz val="12"/>
      <name val="Times New Roman"/>
      <family val="1"/>
    </font>
    <font>
      <sz val="11"/>
      <name val="돋움"/>
      <charset val="129"/>
    </font>
    <font>
      <b/>
      <sz val="16"/>
      <name val="Times New Roman"/>
      <family val="1"/>
    </font>
    <font>
      <sz val="14"/>
      <name val="Times New Roman"/>
      <family val="1"/>
    </font>
    <font>
      <b/>
      <sz val="14"/>
      <name val="Times New Roman"/>
      <family val="1"/>
    </font>
    <font>
      <b/>
      <sz val="18"/>
      <name val="Times New Roman"/>
      <family val="1"/>
    </font>
    <font>
      <b/>
      <sz val="20"/>
      <name val="Times New Roman"/>
      <family val="1"/>
    </font>
    <font>
      <sz val="10"/>
      <name val="Times New Roman"/>
      <family val="1"/>
    </font>
    <font>
      <sz val="11"/>
      <color theme="1"/>
      <name val="Aptos Narrow"/>
      <family val="3"/>
      <charset val="129"/>
      <scheme val="minor"/>
    </font>
    <font>
      <sz val="11"/>
      <name val="돋움"/>
      <family val="2"/>
    </font>
    <font>
      <b/>
      <sz val="12"/>
      <color theme="1"/>
      <name val="Times New Roman"/>
      <family val="1"/>
    </font>
    <font>
      <b/>
      <sz val="10"/>
      <name val="Times New Roman"/>
      <family val="1"/>
    </font>
    <font>
      <b/>
      <sz val="11"/>
      <color theme="1"/>
      <name val="Times New Roman"/>
      <family val="1"/>
    </font>
    <font>
      <i/>
      <sz val="14"/>
      <color rgb="FFFF0000"/>
      <name val="Times New Roman"/>
      <family val="1"/>
    </font>
    <font>
      <sz val="11"/>
      <name val="Times New Roman"/>
      <family val="1"/>
    </font>
    <font>
      <sz val="10"/>
      <color rgb="FFFF0000"/>
      <name val="Times New Roman"/>
      <family val="1"/>
    </font>
    <font>
      <sz val="9"/>
      <name val="Times New Roman"/>
      <family val="1"/>
    </font>
    <font>
      <b/>
      <u/>
      <sz val="16"/>
      <name val="Times New Roman"/>
      <family val="1"/>
    </font>
    <font>
      <strike/>
      <sz val="10"/>
      <name val="Times New Roman"/>
      <family val="1"/>
    </font>
    <font>
      <b/>
      <sz val="11"/>
      <name val="Times New Roman"/>
      <family val="1"/>
    </font>
    <font>
      <sz val="8"/>
      <name val="Arial"/>
      <family val="2"/>
    </font>
    <font>
      <sz val="10"/>
      <name val="Aptos Narrow"/>
      <family val="2"/>
      <scheme val="minor"/>
    </font>
    <font>
      <sz val="12"/>
      <color rgb="FFFF0000"/>
      <name val="Times New Roman"/>
      <family val="1"/>
    </font>
    <font>
      <b/>
      <i/>
      <sz val="12"/>
      <color rgb="FFFF0000"/>
      <name val="Times New Roman"/>
      <family val="1"/>
    </font>
  </fonts>
  <fills count="3">
    <fill>
      <patternFill patternType="none"/>
    </fill>
    <fill>
      <patternFill patternType="gray125"/>
    </fill>
    <fill>
      <patternFill patternType="solid">
        <fgColor rgb="FFFFFF00"/>
        <bgColor indexed="64"/>
      </patternFill>
    </fill>
  </fills>
  <borders count="38">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right style="medium">
        <color indexed="64"/>
      </right>
      <top style="thin">
        <color indexed="64"/>
      </top>
      <bottom/>
      <diagonal/>
    </border>
    <border>
      <left/>
      <right style="thin">
        <color indexed="64"/>
      </right>
      <top/>
      <bottom/>
      <diagonal/>
    </border>
    <border>
      <left style="thin">
        <color indexed="64"/>
      </left>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medium">
        <color indexed="64"/>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double">
        <color indexed="64"/>
      </right>
      <top style="double">
        <color indexed="64"/>
      </top>
      <bottom style="double">
        <color indexed="64"/>
      </bottom>
      <diagonal/>
    </border>
    <border>
      <left style="double">
        <color indexed="64"/>
      </left>
      <right/>
      <top/>
      <bottom style="double">
        <color indexed="64"/>
      </bottom>
      <diagonal/>
    </border>
    <border>
      <left/>
      <right style="double">
        <color indexed="64"/>
      </right>
      <top/>
      <bottom style="double">
        <color indexed="64"/>
      </bottom>
      <diagonal/>
    </border>
    <border>
      <left/>
      <right/>
      <top style="thin">
        <color indexed="64"/>
      </top>
      <bottom style="medium">
        <color indexed="64"/>
      </bottom>
      <diagonal/>
    </border>
  </borders>
  <cellStyleXfs count="19">
    <xf numFmtId="0" fontId="0" fillId="0" borderId="0">
      <alignment vertical="center"/>
    </xf>
    <xf numFmtId="164" fontId="1" fillId="0" borderId="0" applyFont="0" applyFill="0" applyBorder="0" applyAlignment="0" applyProtection="0">
      <alignment vertical="center"/>
    </xf>
    <xf numFmtId="0" fontId="1" fillId="0" borderId="0">
      <alignment vertical="center"/>
    </xf>
    <xf numFmtId="37" fontId="5" fillId="0" borderId="0"/>
    <xf numFmtId="0" fontId="14" fillId="0" borderId="0">
      <alignment vertical="center"/>
    </xf>
    <xf numFmtId="164" fontId="1" fillId="0" borderId="0" applyFont="0" applyFill="0" applyBorder="0" applyAlignment="0" applyProtection="0"/>
    <xf numFmtId="0" fontId="1" fillId="0" borderId="0">
      <alignment vertical="center"/>
    </xf>
    <xf numFmtId="0" fontId="19" fillId="0" borderId="0">
      <alignment vertical="center"/>
    </xf>
    <xf numFmtId="0" fontId="1" fillId="0" borderId="0">
      <alignment vertical="center"/>
    </xf>
    <xf numFmtId="43" fontId="1" fillId="0" borderId="0" applyFont="0" applyFill="0" applyBorder="0" applyAlignment="0" applyProtection="0"/>
    <xf numFmtId="43" fontId="26" fillId="0" borderId="0" applyFont="0" applyFill="0" applyBorder="0" applyAlignment="0" applyProtection="0"/>
    <xf numFmtId="0" fontId="28" fillId="0" borderId="0"/>
    <xf numFmtId="0" fontId="35" fillId="0" borderId="0">
      <alignment vertical="center"/>
    </xf>
    <xf numFmtId="0" fontId="35" fillId="0" borderId="0">
      <alignment vertical="center"/>
    </xf>
    <xf numFmtId="164" fontId="1" fillId="0" borderId="0" applyFont="0" applyFill="0" applyBorder="0" applyAlignment="0" applyProtection="0"/>
    <xf numFmtId="0" fontId="1" fillId="0" borderId="0"/>
    <xf numFmtId="0" fontId="1" fillId="0" borderId="0">
      <alignment vertical="center"/>
    </xf>
    <xf numFmtId="174" fontId="1" fillId="0" borderId="0" applyFont="0" applyFill="0" applyBorder="0" applyAlignment="0" applyProtection="0"/>
    <xf numFmtId="0" fontId="36" fillId="0" borderId="0">
      <alignment vertical="center"/>
    </xf>
  </cellStyleXfs>
  <cellXfs count="329">
    <xf numFmtId="0" fontId="0" fillId="0" borderId="0" xfId="0">
      <alignment vertical="center"/>
    </xf>
    <xf numFmtId="164" fontId="2" fillId="0" borderId="0" xfId="1" applyFont="1" applyFill="1" applyBorder="1" applyAlignment="1">
      <alignment horizontal="center" vertical="center"/>
    </xf>
    <xf numFmtId="164" fontId="2" fillId="0" borderId="0" xfId="1" applyFont="1" applyFill="1" applyAlignment="1">
      <alignment vertical="center"/>
    </xf>
    <xf numFmtId="0" fontId="2" fillId="0" borderId="0" xfId="1" applyNumberFormat="1" applyFont="1" applyFill="1" applyAlignment="1">
      <alignment vertical="center"/>
    </xf>
    <xf numFmtId="0" fontId="6" fillId="0" borderId="0" xfId="1" applyNumberFormat="1" applyFont="1" applyFill="1" applyAlignment="1">
      <alignment vertical="center"/>
    </xf>
    <xf numFmtId="0" fontId="16" fillId="0" borderId="0" xfId="6" applyFont="1">
      <alignment vertical="center"/>
    </xf>
    <xf numFmtId="0" fontId="16" fillId="0" borderId="0" xfId="6" applyFont="1" applyAlignment="1">
      <alignment horizontal="center" vertical="center"/>
    </xf>
    <xf numFmtId="0" fontId="18" fillId="0" borderId="10" xfId="6" applyFont="1" applyBorder="1" applyAlignment="1">
      <alignment horizontal="center" vertical="top" wrapText="1"/>
    </xf>
    <xf numFmtId="0" fontId="16" fillId="0" borderId="0" xfId="6" applyFont="1" applyAlignment="1">
      <alignment horizontal="left" vertical="center" indent="2"/>
    </xf>
    <xf numFmtId="0" fontId="18" fillId="0" borderId="0" xfId="6" applyFont="1" applyAlignment="1">
      <alignment horizontal="center" vertical="top" wrapText="1"/>
    </xf>
    <xf numFmtId="0" fontId="16" fillId="0" borderId="0" xfId="6" applyFont="1" applyAlignment="1">
      <alignment horizontal="left" vertical="top" wrapText="1"/>
    </xf>
    <xf numFmtId="0" fontId="16" fillId="0" borderId="14" xfId="6" applyFont="1" applyBorder="1" applyAlignment="1">
      <alignment horizontal="left" vertical="top" wrapText="1"/>
    </xf>
    <xf numFmtId="0" fontId="18" fillId="0" borderId="0" xfId="6" applyFont="1" applyAlignment="1">
      <alignment horizontal="center" vertical="top"/>
    </xf>
    <xf numFmtId="0" fontId="16" fillId="0" borderId="0" xfId="6" applyFont="1" applyAlignment="1">
      <alignment vertical="top"/>
    </xf>
    <xf numFmtId="37" fontId="16" fillId="0" borderId="0" xfId="6" applyNumberFormat="1" applyFont="1" applyAlignment="1">
      <alignment horizontal="left" vertical="top"/>
    </xf>
    <xf numFmtId="14" fontId="16" fillId="0" borderId="0" xfId="6" applyNumberFormat="1" applyFont="1" applyAlignment="1">
      <alignment vertical="top"/>
    </xf>
    <xf numFmtId="0" fontId="16" fillId="0" borderId="14" xfId="6" applyFont="1" applyBorder="1" applyAlignment="1">
      <alignment vertical="top"/>
    </xf>
    <xf numFmtId="0" fontId="16" fillId="0" borderId="0" xfId="6" applyFont="1" applyAlignment="1">
      <alignment horizontal="left" vertical="top"/>
    </xf>
    <xf numFmtId="170" fontId="16" fillId="0" borderId="0" xfId="6" applyNumberFormat="1" applyFont="1" applyAlignment="1">
      <alignment horizontal="left" vertical="top"/>
    </xf>
    <xf numFmtId="171" fontId="16" fillId="0" borderId="0" xfId="6" applyNumberFormat="1" applyFont="1" applyAlignment="1">
      <alignment horizontal="left" vertical="center" indent="2"/>
    </xf>
    <xf numFmtId="168" fontId="16" fillId="0" borderId="0" xfId="1" applyNumberFormat="1" applyFont="1" applyFill="1" applyBorder="1" applyAlignment="1">
      <alignment vertical="top"/>
    </xf>
    <xf numFmtId="164" fontId="16" fillId="0" borderId="0" xfId="1" applyFont="1" applyFill="1" applyBorder="1" applyAlignment="1">
      <alignment horizontal="left" vertical="top"/>
    </xf>
    <xf numFmtId="164" fontId="16" fillId="0" borderId="0" xfId="1" applyFont="1" applyFill="1" applyBorder="1" applyAlignment="1">
      <alignment vertical="top"/>
    </xf>
    <xf numFmtId="172" fontId="16" fillId="0" borderId="14" xfId="6" applyNumberFormat="1" applyFont="1" applyBorder="1" applyAlignment="1">
      <alignment vertical="top"/>
    </xf>
    <xf numFmtId="49" fontId="16" fillId="0" borderId="0" xfId="1" applyNumberFormat="1" applyFont="1" applyFill="1" applyBorder="1" applyAlignment="1">
      <alignment horizontal="left" vertical="top"/>
    </xf>
    <xf numFmtId="165" fontId="16" fillId="0" borderId="0" xfId="1" applyNumberFormat="1" applyFont="1" applyFill="1" applyBorder="1" applyAlignment="1">
      <alignment vertical="top"/>
    </xf>
    <xf numFmtId="49" fontId="16" fillId="0" borderId="14" xfId="6" applyNumberFormat="1" applyFont="1" applyBorder="1" applyAlignment="1">
      <alignment horizontal="left" vertical="top"/>
    </xf>
    <xf numFmtId="0" fontId="16" fillId="0" borderId="0" xfId="1" applyNumberFormat="1" applyFont="1" applyFill="1" applyBorder="1" applyAlignment="1">
      <alignment vertical="top"/>
    </xf>
    <xf numFmtId="0" fontId="18" fillId="0" borderId="7" xfId="6" applyFont="1" applyBorder="1" applyAlignment="1">
      <alignment horizontal="center" vertical="top" wrapText="1"/>
    </xf>
    <xf numFmtId="0" fontId="16" fillId="0" borderId="7" xfId="7" applyFont="1" applyBorder="1" applyAlignment="1">
      <alignment vertical="top" wrapText="1"/>
    </xf>
    <xf numFmtId="0" fontId="16" fillId="0" borderId="20" xfId="7" applyFont="1" applyBorder="1" applyAlignment="1">
      <alignment vertical="top" wrapText="1"/>
    </xf>
    <xf numFmtId="0" fontId="20" fillId="0" borderId="0" xfId="0" quotePrefix="1" applyFont="1" applyAlignment="1">
      <alignment vertical="center" wrapText="1"/>
    </xf>
    <xf numFmtId="0" fontId="16" fillId="0" borderId="24" xfId="6" applyFont="1" applyBorder="1" applyAlignment="1">
      <alignment horizontal="right" vertical="top" wrapText="1" indent="1"/>
    </xf>
    <xf numFmtId="0" fontId="16" fillId="0" borderId="22" xfId="6" applyFont="1" applyBorder="1" applyAlignment="1">
      <alignment horizontal="right" vertical="top" wrapText="1" indent="1"/>
    </xf>
    <xf numFmtId="0" fontId="16" fillId="0" borderId="22" xfId="6" applyFont="1" applyBorder="1" applyAlignment="1">
      <alignment horizontal="right" vertical="top" indent="1"/>
    </xf>
    <xf numFmtId="0" fontId="16" fillId="0" borderId="21" xfId="6" applyFont="1" applyBorder="1" applyAlignment="1">
      <alignment horizontal="right" vertical="top" wrapText="1" indent="1"/>
    </xf>
    <xf numFmtId="0" fontId="23" fillId="0" borderId="7" xfId="7" applyFont="1" applyBorder="1" applyAlignment="1">
      <alignment horizontal="left" vertical="top"/>
    </xf>
    <xf numFmtId="0" fontId="17" fillId="0" borderId="0" xfId="6" applyFont="1" applyAlignment="1">
      <alignment vertical="top"/>
    </xf>
    <xf numFmtId="173" fontId="26" fillId="0" borderId="25" xfId="10" applyNumberFormat="1" applyFont="1" applyFill="1" applyBorder="1" applyAlignment="1">
      <alignment vertical="center"/>
    </xf>
    <xf numFmtId="0" fontId="34" fillId="0" borderId="0" xfId="0" applyFont="1">
      <alignment vertical="center"/>
    </xf>
    <xf numFmtId="0" fontId="34" fillId="0" borderId="0" xfId="0" applyFont="1" applyAlignment="1">
      <alignment horizontal="center" vertical="center"/>
    </xf>
    <xf numFmtId="173" fontId="26" fillId="0" borderId="25" xfId="10" applyNumberFormat="1" applyFont="1" applyFill="1" applyBorder="1" applyAlignment="1">
      <alignment horizontal="center" vertical="center"/>
    </xf>
    <xf numFmtId="0" fontId="34" fillId="0" borderId="11" xfId="0" applyFont="1" applyBorder="1">
      <alignment vertical="center"/>
    </xf>
    <xf numFmtId="0" fontId="34" fillId="0" borderId="10" xfId="0" applyFont="1" applyBorder="1">
      <alignment vertical="center"/>
    </xf>
    <xf numFmtId="0" fontId="34" fillId="0" borderId="7" xfId="0" applyFont="1" applyBorder="1">
      <alignment vertical="center"/>
    </xf>
    <xf numFmtId="164" fontId="34" fillId="0" borderId="0" xfId="0" applyNumberFormat="1" applyFont="1" applyAlignment="1">
      <alignment horizontal="center" vertical="center"/>
    </xf>
    <xf numFmtId="166" fontId="34" fillId="0" borderId="0" xfId="0" applyNumberFormat="1" applyFont="1" applyAlignment="1">
      <alignment horizontal="center" vertical="center"/>
    </xf>
    <xf numFmtId="167" fontId="34" fillId="0" borderId="0" xfId="0" applyNumberFormat="1" applyFont="1" applyAlignment="1">
      <alignment horizontal="center" vertical="center"/>
    </xf>
    <xf numFmtId="0" fontId="34" fillId="0" borderId="4" xfId="0" applyFont="1" applyBorder="1">
      <alignment vertical="center"/>
    </xf>
    <xf numFmtId="4" fontId="34" fillId="0" borderId="5" xfId="1" applyNumberFormat="1" applyFont="1" applyFill="1" applyBorder="1" applyAlignment="1">
      <alignment horizontal="center" vertical="center"/>
    </xf>
    <xf numFmtId="164" fontId="34" fillId="0" borderId="0" xfId="3" applyNumberFormat="1" applyFont="1" applyAlignment="1">
      <alignment horizontal="fill" vertical="center"/>
    </xf>
    <xf numFmtId="164" fontId="34" fillId="0" borderId="0" xfId="3" applyNumberFormat="1" applyFont="1" applyAlignment="1">
      <alignment vertical="center"/>
    </xf>
    <xf numFmtId="166" fontId="34" fillId="0" borderId="0" xfId="3" applyNumberFormat="1" applyFont="1" applyAlignment="1">
      <alignment vertical="center"/>
    </xf>
    <xf numFmtId="37" fontId="34" fillId="0" borderId="0" xfId="3" applyFont="1" applyAlignment="1">
      <alignment vertical="center"/>
    </xf>
    <xf numFmtId="37" fontId="38" fillId="0" borderId="9" xfId="3" applyFont="1" applyBorder="1" applyAlignment="1">
      <alignment vertical="center"/>
    </xf>
    <xf numFmtId="37" fontId="34" fillId="0" borderId="10" xfId="3" applyFont="1" applyBorder="1" applyAlignment="1">
      <alignment vertical="center"/>
    </xf>
    <xf numFmtId="37" fontId="34" fillId="0" borderId="10" xfId="3" applyFont="1" applyBorder="1" applyAlignment="1">
      <alignment horizontal="center" vertical="center"/>
    </xf>
    <xf numFmtId="37" fontId="34" fillId="0" borderId="11" xfId="3" applyFont="1" applyBorder="1" applyAlignment="1">
      <alignment horizontal="center" vertical="center"/>
    </xf>
    <xf numFmtId="37" fontId="38" fillId="0" borderId="12" xfId="3" applyFont="1" applyBorder="1" applyAlignment="1">
      <alignment vertical="center"/>
    </xf>
    <xf numFmtId="37" fontId="34" fillId="0" borderId="10" xfId="3" applyFont="1" applyBorder="1" applyAlignment="1">
      <alignment horizontal="left" vertical="center"/>
    </xf>
    <xf numFmtId="4" fontId="34" fillId="0" borderId="13" xfId="3" applyNumberFormat="1" applyFont="1" applyBorder="1" applyAlignment="1">
      <alignment vertical="center"/>
    </xf>
    <xf numFmtId="37" fontId="34" fillId="0" borderId="0" xfId="3" applyFont="1" applyAlignment="1">
      <alignment horizontal="center" vertical="center"/>
    </xf>
    <xf numFmtId="37" fontId="38" fillId="0" borderId="4" xfId="3" applyFont="1" applyBorder="1" applyAlignment="1">
      <alignment vertical="center"/>
    </xf>
    <xf numFmtId="37" fontId="38" fillId="0" borderId="15" xfId="3" applyFont="1" applyBorder="1" applyAlignment="1">
      <alignment vertical="center"/>
    </xf>
    <xf numFmtId="37" fontId="34" fillId="0" borderId="7" xfId="3" applyFont="1" applyBorder="1" applyAlignment="1">
      <alignment vertical="center"/>
    </xf>
    <xf numFmtId="15" fontId="34" fillId="0" borderId="7" xfId="3" applyNumberFormat="1" applyFont="1" applyBorder="1" applyAlignment="1">
      <alignment horizontal="left" vertical="center"/>
    </xf>
    <xf numFmtId="0" fontId="38" fillId="0" borderId="12" xfId="0" applyFont="1" applyBorder="1">
      <alignment vertical="center"/>
    </xf>
    <xf numFmtId="4" fontId="34" fillId="0" borderId="5" xfId="0" applyNumberFormat="1" applyFont="1" applyBorder="1">
      <alignment vertical="center"/>
    </xf>
    <xf numFmtId="0" fontId="38" fillId="0" borderId="9" xfId="0" applyFont="1" applyBorder="1">
      <alignment vertical="center"/>
    </xf>
    <xf numFmtId="0" fontId="34" fillId="0" borderId="6" xfId="0" applyFont="1" applyBorder="1">
      <alignment vertical="center"/>
    </xf>
    <xf numFmtId="0" fontId="38" fillId="0" borderId="4" xfId="0" applyFont="1" applyBorder="1">
      <alignment vertical="center"/>
    </xf>
    <xf numFmtId="0" fontId="38" fillId="0" borderId="0" xfId="0" applyFont="1">
      <alignment vertical="center"/>
    </xf>
    <xf numFmtId="0" fontId="45" fillId="0" borderId="19" xfId="0" applyFont="1" applyBorder="1" applyAlignment="1">
      <alignment horizontal="left" vertical="center"/>
    </xf>
    <xf numFmtId="0" fontId="45" fillId="0" borderId="0" xfId="0" applyFont="1">
      <alignment vertical="center"/>
    </xf>
    <xf numFmtId="0" fontId="34" fillId="0" borderId="19" xfId="0" applyFont="1" applyBorder="1" applyAlignment="1">
      <alignment horizontal="left" vertical="center"/>
    </xf>
    <xf numFmtId="0" fontId="38" fillId="0" borderId="11" xfId="0" applyFont="1" applyBorder="1">
      <alignment vertical="center"/>
    </xf>
    <xf numFmtId="0" fontId="34" fillId="0" borderId="20" xfId="0" applyFont="1" applyBorder="1" applyAlignment="1">
      <alignment vertical="center" wrapText="1"/>
    </xf>
    <xf numFmtId="0" fontId="45" fillId="0" borderId="14" xfId="0" applyFont="1" applyBorder="1">
      <alignment vertical="center"/>
    </xf>
    <xf numFmtId="164" fontId="34" fillId="0" borderId="0" xfId="0" applyNumberFormat="1" applyFont="1" applyAlignment="1">
      <alignment horizontal="left" vertical="center"/>
    </xf>
    <xf numFmtId="0" fontId="34" fillId="0" borderId="12" xfId="0" applyFont="1" applyBorder="1" applyAlignment="1">
      <alignment horizontal="left" vertical="center"/>
    </xf>
    <xf numFmtId="164" fontId="34" fillId="0" borderId="10" xfId="0" applyNumberFormat="1" applyFont="1" applyBorder="1" applyAlignment="1">
      <alignment horizontal="center" vertical="center"/>
    </xf>
    <xf numFmtId="4" fontId="34" fillId="0" borderId="13" xfId="1" applyNumberFormat="1" applyFont="1" applyFill="1" applyBorder="1" applyAlignment="1">
      <alignment horizontal="center" vertical="center"/>
    </xf>
    <xf numFmtId="0" fontId="34" fillId="0" borderId="15" xfId="0" applyFont="1" applyBorder="1" applyAlignment="1">
      <alignment horizontal="left" vertical="center"/>
    </xf>
    <xf numFmtId="164" fontId="34" fillId="0" borderId="7" xfId="0" applyNumberFormat="1" applyFont="1" applyBorder="1" applyAlignment="1">
      <alignment horizontal="center" vertical="center"/>
    </xf>
    <xf numFmtId="4" fontId="34" fillId="0" borderId="8" xfId="1" applyNumberFormat="1" applyFont="1" applyFill="1" applyBorder="1" applyAlignment="1">
      <alignment horizontal="center" vertical="center"/>
    </xf>
    <xf numFmtId="164" fontId="38" fillId="0" borderId="25" xfId="0" applyNumberFormat="1" applyFont="1" applyBorder="1" applyAlignment="1">
      <alignment horizontal="center" vertical="center"/>
    </xf>
    <xf numFmtId="164" fontId="38" fillId="0" borderId="25" xfId="0" applyNumberFormat="1" applyFont="1" applyBorder="1" applyAlignment="1">
      <alignment horizontal="center" vertical="center" wrapText="1"/>
    </xf>
    <xf numFmtId="4" fontId="38" fillId="0" borderId="28" xfId="0" applyNumberFormat="1" applyFont="1" applyBorder="1" applyAlignment="1">
      <alignment horizontal="center" vertical="center" wrapText="1"/>
    </xf>
    <xf numFmtId="164" fontId="38" fillId="0" borderId="0" xfId="0" applyNumberFormat="1" applyFont="1" applyAlignment="1">
      <alignment horizontal="center" vertical="center"/>
    </xf>
    <xf numFmtId="166" fontId="38" fillId="0" borderId="0" xfId="0" applyNumberFormat="1" applyFont="1" applyAlignment="1">
      <alignment horizontal="center" vertical="center"/>
    </xf>
    <xf numFmtId="0" fontId="38" fillId="0" borderId="0" xfId="0" applyFont="1" applyAlignment="1">
      <alignment horizontal="center" vertical="center"/>
    </xf>
    <xf numFmtId="167" fontId="38" fillId="0" borderId="0" xfId="0" applyNumberFormat="1" applyFont="1" applyAlignment="1">
      <alignment horizontal="center" vertical="center"/>
    </xf>
    <xf numFmtId="164" fontId="34" fillId="0" borderId="22" xfId="0" applyNumberFormat="1" applyFont="1" applyBorder="1" applyAlignment="1">
      <alignment horizontal="center" vertical="center"/>
    </xf>
    <xf numFmtId="168" fontId="34" fillId="0" borderId="22" xfId="0" applyNumberFormat="1" applyFont="1" applyBorder="1" applyAlignment="1">
      <alignment horizontal="center" vertical="center"/>
    </xf>
    <xf numFmtId="4" fontId="34" fillId="0" borderId="23" xfId="0" applyNumberFormat="1" applyFont="1" applyBorder="1" applyAlignment="1">
      <alignment horizontal="center" vertical="center"/>
    </xf>
    <xf numFmtId="164" fontId="34" fillId="0" borderId="22" xfId="0" applyNumberFormat="1" applyFont="1" applyBorder="1">
      <alignment vertical="center"/>
    </xf>
    <xf numFmtId="0" fontId="34" fillId="0" borderId="0" xfId="0" applyFont="1" applyAlignment="1">
      <alignment horizontal="center" vertical="center" wrapText="1"/>
    </xf>
    <xf numFmtId="0" fontId="34" fillId="0" borderId="0" xfId="0" applyFont="1" applyAlignment="1">
      <alignment vertical="center" wrapText="1"/>
    </xf>
    <xf numFmtId="0" fontId="38" fillId="0" borderId="26" xfId="0" applyFont="1" applyBorder="1">
      <alignment vertical="center"/>
    </xf>
    <xf numFmtId="0" fontId="38" fillId="0" borderId="27" xfId="0" applyFont="1" applyBorder="1">
      <alignment vertical="center"/>
    </xf>
    <xf numFmtId="168" fontId="38" fillId="0" borderId="25" xfId="0" applyNumberFormat="1" applyFont="1" applyBorder="1" applyAlignment="1">
      <alignment horizontal="center" vertical="center"/>
    </xf>
    <xf numFmtId="4" fontId="38" fillId="0" borderId="28" xfId="0" applyNumberFormat="1" applyFont="1" applyBorder="1" applyAlignment="1">
      <alignment horizontal="center" vertical="center"/>
    </xf>
    <xf numFmtId="0" fontId="34" fillId="0" borderId="4" xfId="2" applyFont="1" applyBorder="1">
      <alignment vertical="center"/>
    </xf>
    <xf numFmtId="0" fontId="34" fillId="0" borderId="0" xfId="0" quotePrefix="1" applyFont="1">
      <alignment vertical="center"/>
    </xf>
    <xf numFmtId="0" fontId="34" fillId="0" borderId="16" xfId="0" applyFont="1" applyBorder="1">
      <alignment vertical="center"/>
    </xf>
    <xf numFmtId="0" fontId="34" fillId="0" borderId="17" xfId="0" quotePrefix="1" applyFont="1" applyBorder="1">
      <alignment vertical="center"/>
    </xf>
    <xf numFmtId="0" fontId="34" fillId="0" borderId="17" xfId="0" applyFont="1" applyBorder="1">
      <alignment vertical="center"/>
    </xf>
    <xf numFmtId="164" fontId="34" fillId="0" borderId="17" xfId="0" applyNumberFormat="1" applyFont="1" applyBorder="1" applyAlignment="1">
      <alignment horizontal="center" vertical="center"/>
    </xf>
    <xf numFmtId="4" fontId="34" fillId="0" borderId="18" xfId="1" applyNumberFormat="1" applyFont="1" applyFill="1" applyBorder="1" applyAlignment="1">
      <alignment horizontal="center" vertical="center"/>
    </xf>
    <xf numFmtId="4" fontId="34" fillId="0" borderId="0" xfId="1" applyNumberFormat="1" applyFont="1" applyFill="1" applyAlignment="1">
      <alignment horizontal="center" vertical="center"/>
    </xf>
    <xf numFmtId="37" fontId="34" fillId="0" borderId="0" xfId="0" applyNumberFormat="1" applyFont="1">
      <alignment vertical="center"/>
    </xf>
    <xf numFmtId="14" fontId="34" fillId="0" borderId="7" xfId="3" applyNumberFormat="1" applyFont="1" applyBorder="1" applyAlignment="1">
      <alignment horizontal="left" vertical="center"/>
    </xf>
    <xf numFmtId="0" fontId="4" fillId="0" borderId="0" xfId="0" applyFont="1" applyAlignment="1">
      <alignment horizontal="center" vertical="center"/>
    </xf>
    <xf numFmtId="0" fontId="2" fillId="0" borderId="0" xfId="0" applyFont="1">
      <alignment vertical="center"/>
    </xf>
    <xf numFmtId="164" fontId="2" fillId="0" borderId="0" xfId="0" applyNumberFormat="1" applyFont="1" applyAlignment="1">
      <alignment horizontal="center" vertical="center"/>
    </xf>
    <xf numFmtId="0" fontId="8" fillId="0" borderId="0" xfId="0" applyFont="1">
      <alignment vertical="center"/>
    </xf>
    <xf numFmtId="0" fontId="26" fillId="0" borderId="0" xfId="0" applyFont="1" applyAlignment="1">
      <alignment horizontal="center" vertical="center"/>
    </xf>
    <xf numFmtId="0" fontId="27" fillId="0" borderId="0" xfId="0" applyFont="1" applyAlignment="1">
      <alignment horizontal="left" vertical="center"/>
    </xf>
    <xf numFmtId="37" fontId="26" fillId="0" borderId="0" xfId="0" applyNumberFormat="1" applyFont="1" applyAlignment="1">
      <alignment horizontal="left" vertical="center"/>
    </xf>
    <xf numFmtId="0" fontId="26" fillId="0" borderId="0" xfId="0" applyFont="1" applyAlignment="1">
      <alignment horizontal="right" vertical="center"/>
    </xf>
    <xf numFmtId="14" fontId="26" fillId="0" borderId="0" xfId="0" quotePrefix="1" applyNumberFormat="1" applyFont="1" applyAlignment="1">
      <alignment horizontal="left" vertical="center"/>
    </xf>
    <xf numFmtId="0" fontId="26" fillId="0" borderId="0" xfId="0" applyFont="1" applyAlignment="1">
      <alignment horizontal="left" vertical="center"/>
    </xf>
    <xf numFmtId="15" fontId="26" fillId="0" borderId="0" xfId="0" quotePrefix="1" applyNumberFormat="1" applyFont="1" applyAlignment="1">
      <alignment horizontal="left" vertical="center"/>
    </xf>
    <xf numFmtId="0" fontId="26" fillId="0" borderId="25" xfId="0" applyFont="1" applyBorder="1" applyAlignment="1">
      <alignment horizontal="left" vertical="center"/>
    </xf>
    <xf numFmtId="0" fontId="26" fillId="0" borderId="25" xfId="0" applyFont="1" applyBorder="1" applyAlignment="1">
      <alignment horizontal="center" vertical="center"/>
    </xf>
    <xf numFmtId="0" fontId="26" fillId="0" borderId="0" xfId="0" applyFont="1">
      <alignment vertical="center"/>
    </xf>
    <xf numFmtId="0" fontId="2" fillId="0" borderId="0" xfId="0" applyFont="1" applyAlignment="1">
      <alignment horizontal="center" vertical="center"/>
    </xf>
    <xf numFmtId="0" fontId="3" fillId="0" borderId="0" xfId="0" applyFont="1" applyAlignment="1">
      <alignment horizontal="left" vertical="center"/>
    </xf>
    <xf numFmtId="0" fontId="3" fillId="0" borderId="0" xfId="0" applyFont="1">
      <alignment vertical="center"/>
    </xf>
    <xf numFmtId="0" fontId="27" fillId="0" borderId="21" xfId="0" applyFont="1" applyBorder="1" applyAlignment="1">
      <alignment horizontal="center" vertical="center" wrapText="1"/>
    </xf>
    <xf numFmtId="0" fontId="27" fillId="0" borderId="21" xfId="0" applyFont="1" applyBorder="1" applyAlignment="1">
      <alignment horizontal="center" vertical="center"/>
    </xf>
    <xf numFmtId="0" fontId="27" fillId="0" borderId="25" xfId="0" applyFont="1" applyBorder="1" applyAlignment="1">
      <alignment horizontal="center" vertical="center"/>
    </xf>
    <xf numFmtId="0" fontId="27" fillId="0" borderId="25" xfId="0" applyFont="1" applyBorder="1" applyAlignment="1">
      <alignment horizontal="center" vertical="center" wrapText="1"/>
    </xf>
    <xf numFmtId="0" fontId="26" fillId="0" borderId="25" xfId="0" applyFont="1" applyBorder="1" applyAlignment="1">
      <alignment horizontal="center" vertical="center" wrapText="1"/>
    </xf>
    <xf numFmtId="0" fontId="26" fillId="0" borderId="25" xfId="11" applyFont="1" applyBorder="1" applyAlignment="1">
      <alignment horizontal="center" vertical="center" wrapText="1"/>
    </xf>
    <xf numFmtId="0" fontId="26" fillId="0" borderId="15" xfId="0" applyFont="1" applyBorder="1" applyAlignment="1">
      <alignment horizontal="center" vertical="center" wrapText="1"/>
    </xf>
    <xf numFmtId="169" fontId="26" fillId="0" borderId="25" xfId="0" applyNumberFormat="1" applyFont="1" applyBorder="1" applyAlignment="1">
      <alignment horizontal="center" vertical="center" wrapText="1"/>
    </xf>
    <xf numFmtId="0" fontId="26" fillId="0" borderId="29" xfId="0" applyFont="1" applyBorder="1" applyAlignment="1">
      <alignment horizontal="left" vertical="center" wrapText="1"/>
    </xf>
    <xf numFmtId="0" fontId="29" fillId="0" borderId="25" xfId="0" applyFont="1" applyBorder="1" applyAlignment="1">
      <alignment horizontal="center" vertical="center"/>
    </xf>
    <xf numFmtId="0" fontId="2" fillId="0" borderId="0" xfId="0" applyFont="1" applyAlignment="1">
      <alignment horizontal="left" vertical="center"/>
    </xf>
    <xf numFmtId="0" fontId="2" fillId="0" borderId="0" xfId="0" applyFont="1" applyAlignment="1">
      <alignment vertical="center" wrapText="1"/>
    </xf>
    <xf numFmtId="0" fontId="11" fillId="0" borderId="0" xfId="0" applyFont="1">
      <alignment vertical="center"/>
    </xf>
    <xf numFmtId="0" fontId="9" fillId="0" borderId="0" xfId="0" applyFont="1" applyAlignment="1">
      <alignment horizontal="center" vertical="center"/>
    </xf>
    <xf numFmtId="0" fontId="10" fillId="0" borderId="0" xfId="0" applyFont="1">
      <alignment vertical="center"/>
    </xf>
    <xf numFmtId="0" fontId="11" fillId="0" borderId="0" xfId="0" applyFont="1" applyAlignment="1">
      <alignment horizontal="center" vertical="center"/>
    </xf>
    <xf numFmtId="164" fontId="2" fillId="0" borderId="0" xfId="0" applyNumberFormat="1" applyFont="1" applyAlignment="1">
      <alignment horizontal="left" vertical="center"/>
    </xf>
    <xf numFmtId="0" fontId="30" fillId="0" borderId="0" xfId="0" applyFont="1">
      <alignment vertical="center"/>
    </xf>
    <xf numFmtId="0" fontId="31" fillId="0" borderId="0" xfId="0" applyFont="1" applyAlignment="1">
      <alignment horizontal="center" vertical="center"/>
    </xf>
    <xf numFmtId="0" fontId="6" fillId="0" borderId="0" xfId="0" applyFont="1">
      <alignment vertical="center"/>
    </xf>
    <xf numFmtId="0" fontId="30" fillId="0" borderId="0" xfId="0" applyFont="1" applyAlignment="1">
      <alignment horizontal="center" vertical="center"/>
    </xf>
    <xf numFmtId="0" fontId="31" fillId="0" borderId="0" xfId="0" applyFont="1" applyAlignment="1">
      <alignment horizontal="left" vertical="center"/>
    </xf>
    <xf numFmtId="37" fontId="30" fillId="0" borderId="0" xfId="0" applyNumberFormat="1" applyFont="1" applyAlignment="1">
      <alignment horizontal="left" vertical="center"/>
    </xf>
    <xf numFmtId="0" fontId="30" fillId="0" borderId="0" xfId="0" applyFont="1" applyAlignment="1">
      <alignment horizontal="right" vertical="center"/>
    </xf>
    <xf numFmtId="169" fontId="30" fillId="0" borderId="0" xfId="0" applyNumberFormat="1" applyFont="1" applyAlignment="1">
      <alignment horizontal="center" vertical="center"/>
    </xf>
    <xf numFmtId="0" fontId="30" fillId="0" borderId="0" xfId="0" applyFont="1" applyAlignment="1">
      <alignment horizontal="right" vertical="center" wrapText="1"/>
    </xf>
    <xf numFmtId="0" fontId="12" fillId="0" borderId="0" xfId="0" applyFont="1">
      <alignment vertical="center"/>
    </xf>
    <xf numFmtId="0" fontId="6" fillId="0" borderId="0" xfId="0" applyFont="1" applyAlignment="1">
      <alignment horizontal="center" vertical="center"/>
    </xf>
    <xf numFmtId="14" fontId="30" fillId="0" borderId="0" xfId="0" quotePrefix="1" applyNumberFormat="1" applyFont="1" applyAlignment="1">
      <alignment horizontal="left" vertical="center"/>
    </xf>
    <xf numFmtId="169" fontId="26" fillId="0" borderId="0" xfId="0" applyNumberFormat="1" applyFont="1" applyAlignment="1">
      <alignment horizontal="left" vertical="center"/>
    </xf>
    <xf numFmtId="0" fontId="26" fillId="0" borderId="0" xfId="0" applyFont="1" applyAlignment="1">
      <alignment horizontal="center" vertical="center" wrapText="1"/>
    </xf>
    <xf numFmtId="15" fontId="30" fillId="0" borderId="0" xfId="0" applyNumberFormat="1" applyFont="1" applyAlignment="1">
      <alignment horizontal="left" vertical="center"/>
    </xf>
    <xf numFmtId="169" fontId="26" fillId="0" borderId="25" xfId="0" applyNumberFormat="1" applyFont="1" applyBorder="1" applyAlignment="1">
      <alignment horizontal="left" vertical="center"/>
    </xf>
    <xf numFmtId="0" fontId="30" fillId="0" borderId="0" xfId="0" applyFont="1" applyAlignment="1">
      <alignment horizontal="left" vertical="center"/>
    </xf>
    <xf numFmtId="169" fontId="26" fillId="0" borderId="25" xfId="0" applyNumberFormat="1" applyFont="1" applyBorder="1" applyAlignment="1">
      <alignment horizontal="center" vertical="center"/>
    </xf>
    <xf numFmtId="0" fontId="40" fillId="0" borderId="0" xfId="0" applyFont="1">
      <alignment vertical="center"/>
    </xf>
    <xf numFmtId="169" fontId="26" fillId="0" borderId="0" xfId="0" applyNumberFormat="1" applyFont="1" applyAlignment="1">
      <alignment horizontal="center" vertical="center"/>
    </xf>
    <xf numFmtId="0" fontId="7" fillId="0" borderId="0" xfId="0" applyFont="1" applyAlignment="1">
      <alignment horizontal="left" vertical="center"/>
    </xf>
    <xf numFmtId="169" fontId="6" fillId="0" borderId="0" xfId="0" applyNumberFormat="1" applyFont="1" applyAlignment="1">
      <alignment horizontal="center" vertical="center"/>
    </xf>
    <xf numFmtId="0" fontId="6" fillId="0" borderId="0" xfId="0" applyFont="1" applyAlignment="1">
      <alignment horizontal="center" vertical="center" wrapText="1"/>
    </xf>
    <xf numFmtId="0" fontId="7" fillId="0" borderId="0" xfId="0" applyFont="1">
      <alignment vertical="center"/>
    </xf>
    <xf numFmtId="0" fontId="27" fillId="0" borderId="11" xfId="0" applyFont="1" applyBorder="1" applyAlignment="1">
      <alignment horizontal="center" vertical="center"/>
    </xf>
    <xf numFmtId="0" fontId="13" fillId="0" borderId="0" xfId="0" applyFont="1">
      <alignment vertical="center"/>
    </xf>
    <xf numFmtId="0" fontId="7" fillId="0" borderId="0" xfId="0" applyFont="1" applyAlignment="1">
      <alignment horizontal="center" vertical="center"/>
    </xf>
    <xf numFmtId="169" fontId="27" fillId="0" borderId="25" xfId="0" applyNumberFormat="1" applyFont="1" applyBorder="1" applyAlignment="1">
      <alignment horizontal="center" vertical="center" wrapText="1"/>
    </xf>
    <xf numFmtId="173" fontId="26" fillId="0" borderId="25" xfId="10" applyNumberFormat="1" applyFont="1" applyFill="1" applyBorder="1" applyAlignment="1">
      <alignment vertical="center" wrapText="1"/>
    </xf>
    <xf numFmtId="173" fontId="26" fillId="0" borderId="25" xfId="0" applyNumberFormat="1" applyFont="1" applyBorder="1" applyAlignment="1">
      <alignment horizontal="right" vertical="center" wrapText="1"/>
    </xf>
    <xf numFmtId="0" fontId="26" fillId="0" borderId="25" xfId="0" applyFont="1" applyBorder="1" applyAlignment="1">
      <alignment horizontal="right" vertical="center" wrapText="1"/>
    </xf>
    <xf numFmtId="43" fontId="26" fillId="0" borderId="25" xfId="10" applyFont="1" applyFill="1" applyBorder="1" applyAlignment="1">
      <alignment vertical="center" wrapText="1"/>
    </xf>
    <xf numFmtId="0" fontId="31" fillId="0" borderId="25" xfId="0" applyFont="1" applyBorder="1" applyAlignment="1">
      <alignment horizontal="center" vertical="center"/>
    </xf>
    <xf numFmtId="0" fontId="31" fillId="0" borderId="0" xfId="0" applyFont="1">
      <alignment vertical="center"/>
    </xf>
    <xf numFmtId="0" fontId="6" fillId="0" borderId="0" xfId="0" applyFont="1" applyAlignment="1">
      <alignment horizontal="left" vertical="center"/>
    </xf>
    <xf numFmtId="164" fontId="6" fillId="0" borderId="0" xfId="1" applyFont="1" applyFill="1" applyAlignment="1">
      <alignment vertical="center"/>
    </xf>
    <xf numFmtId="0" fontId="6" fillId="0" borderId="0" xfId="0" applyFont="1" applyAlignment="1">
      <alignment vertical="center" wrapText="1"/>
    </xf>
    <xf numFmtId="169" fontId="6" fillId="0" borderId="0" xfId="0" applyNumberFormat="1" applyFont="1">
      <alignment vertical="center"/>
    </xf>
    <xf numFmtId="0" fontId="26" fillId="0" borderId="0" xfId="0" applyFont="1" applyAlignment="1">
      <alignment horizontal="right" vertical="center" indent="1"/>
    </xf>
    <xf numFmtId="169" fontId="29" fillId="0" borderId="25" xfId="0" applyNumberFormat="1" applyFont="1" applyBorder="1" applyAlignment="1">
      <alignment horizontal="center" vertical="center"/>
    </xf>
    <xf numFmtId="173" fontId="31" fillId="0" borderId="21" xfId="9" applyNumberFormat="1" applyFont="1" applyFill="1" applyBorder="1" applyAlignment="1">
      <alignment horizontal="center" vertical="center"/>
    </xf>
    <xf numFmtId="0" fontId="38" fillId="0" borderId="10" xfId="0" applyFont="1" applyBorder="1">
      <alignment vertical="center"/>
    </xf>
    <xf numFmtId="0" fontId="41" fillId="0" borderId="19" xfId="0" applyFont="1" applyBorder="1" applyAlignment="1">
      <alignment horizontal="left" vertical="center"/>
    </xf>
    <xf numFmtId="0" fontId="2" fillId="0" borderId="1" xfId="0" applyFont="1" applyBorder="1">
      <alignment vertical="center"/>
    </xf>
    <xf numFmtId="0" fontId="2" fillId="0" borderId="2" xfId="0" applyFont="1" applyBorder="1">
      <alignment vertical="center"/>
    </xf>
    <xf numFmtId="164" fontId="2" fillId="0" borderId="2" xfId="0" applyNumberFormat="1" applyFont="1" applyBorder="1" applyAlignment="1">
      <alignment horizontal="center" vertical="center"/>
    </xf>
    <xf numFmtId="164" fontId="2" fillId="0" borderId="2" xfId="0" applyNumberFormat="1" applyFont="1" applyBorder="1" applyAlignment="1">
      <alignment horizontal="left" vertical="center"/>
    </xf>
    <xf numFmtId="164" fontId="2" fillId="0" borderId="3" xfId="1" applyFont="1" applyFill="1" applyBorder="1" applyAlignment="1">
      <alignment horizontal="center" vertical="center"/>
    </xf>
    <xf numFmtId="166" fontId="2" fillId="0" borderId="0" xfId="0" applyNumberFormat="1" applyFont="1" applyAlignment="1">
      <alignment horizontal="center" vertical="center"/>
    </xf>
    <xf numFmtId="167" fontId="2" fillId="0" borderId="0" xfId="0" applyNumberFormat="1" applyFont="1" applyAlignment="1">
      <alignment horizontal="center" vertical="center"/>
    </xf>
    <xf numFmtId="0" fontId="2" fillId="0" borderId="4" xfId="0" applyFont="1" applyBorder="1">
      <alignment vertical="center"/>
    </xf>
    <xf numFmtId="164" fontId="2" fillId="0" borderId="5" xfId="1" applyFont="1" applyFill="1" applyBorder="1" applyAlignment="1">
      <alignment horizontal="center" vertical="center"/>
    </xf>
    <xf numFmtId="0" fontId="3" fillId="0" borderId="4" xfId="2" applyFont="1" applyBorder="1">
      <alignment vertical="center"/>
    </xf>
    <xf numFmtId="0" fontId="2" fillId="0" borderId="0" xfId="0" applyFont="1" applyAlignment="1">
      <alignment horizontal="left" vertical="center" wrapText="1"/>
    </xf>
    <xf numFmtId="0" fontId="4" fillId="0" borderId="0" xfId="0" applyFont="1">
      <alignment vertical="center"/>
    </xf>
    <xf numFmtId="0" fontId="4" fillId="0" borderId="31" xfId="0" applyFont="1" applyBorder="1" applyAlignment="1">
      <alignment horizontal="center" vertical="center"/>
    </xf>
    <xf numFmtId="0" fontId="32" fillId="0" borderId="33" xfId="0" applyFont="1" applyBorder="1">
      <alignment vertical="center"/>
    </xf>
    <xf numFmtId="0" fontId="32" fillId="0" borderId="34" xfId="0" applyFont="1" applyBorder="1">
      <alignment vertical="center"/>
    </xf>
    <xf numFmtId="164" fontId="6" fillId="0" borderId="0" xfId="0" applyNumberFormat="1" applyFont="1" applyAlignment="1">
      <alignment horizontal="center" vertical="center"/>
    </xf>
    <xf numFmtId="164" fontId="48" fillId="0" borderId="0" xfId="0" applyNumberFormat="1" applyFont="1" applyAlignment="1">
      <alignment horizontal="left" vertical="center"/>
    </xf>
    <xf numFmtId="164" fontId="6" fillId="0" borderId="0" xfId="1" applyFont="1" applyFill="1" applyBorder="1" applyAlignment="1">
      <alignment horizontal="center" vertical="center"/>
    </xf>
    <xf numFmtId="0" fontId="9" fillId="0" borderId="31" xfId="0" applyFont="1" applyBorder="1" applyAlignment="1">
      <alignment horizontal="center" vertical="center"/>
    </xf>
    <xf numFmtId="173" fontId="49" fillId="0" borderId="25" xfId="10" applyNumberFormat="1" applyFont="1" applyFill="1" applyBorder="1" applyAlignment="1">
      <alignment horizontal="center" vertical="center"/>
    </xf>
    <xf numFmtId="0" fontId="49" fillId="0" borderId="25" xfId="0" applyFont="1" applyBorder="1" applyAlignment="1">
      <alignment horizontal="center" vertical="center" wrapText="1"/>
    </xf>
    <xf numFmtId="0" fontId="2"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xf>
    <xf numFmtId="2" fontId="26" fillId="0" borderId="25" xfId="0" applyNumberFormat="1" applyFont="1" applyBorder="1" applyAlignment="1">
      <alignment horizontal="center" vertical="center" shrinkToFit="1"/>
    </xf>
    <xf numFmtId="173" fontId="26" fillId="0" borderId="25" xfId="0" applyNumberFormat="1" applyFont="1" applyBorder="1" applyAlignment="1">
      <alignment horizontal="center" vertical="center" wrapText="1"/>
    </xf>
    <xf numFmtId="0" fontId="26" fillId="0" borderId="29" xfId="0" quotePrefix="1" applyFont="1" applyBorder="1" applyAlignment="1">
      <alignment horizontal="left" vertical="center" wrapText="1"/>
    </xf>
    <xf numFmtId="164" fontId="26" fillId="0" borderId="25" xfId="1" applyFont="1" applyFill="1" applyBorder="1" applyAlignment="1">
      <alignment horizontal="right" vertical="center" wrapText="1"/>
    </xf>
    <xf numFmtId="173" fontId="31" fillId="0" borderId="21" xfId="9" applyNumberFormat="1" applyFont="1" applyFill="1" applyBorder="1" applyAlignment="1">
      <alignment horizontal="right" vertical="center"/>
    </xf>
    <xf numFmtId="173" fontId="29" fillId="0" borderId="25" xfId="9" applyNumberFormat="1" applyFont="1" applyFill="1" applyBorder="1" applyAlignment="1">
      <alignment horizontal="right" vertical="center"/>
    </xf>
    <xf numFmtId="0" fontId="42" fillId="0" borderId="0" xfId="0" applyFont="1">
      <alignment vertical="center"/>
    </xf>
    <xf numFmtId="0" fontId="0" fillId="0" borderId="7" xfId="0" applyBorder="1">
      <alignment vertical="center"/>
    </xf>
    <xf numFmtId="0" fontId="42" fillId="0" borderId="14" xfId="0" applyFont="1" applyBorder="1">
      <alignment vertical="center"/>
    </xf>
    <xf numFmtId="169" fontId="26" fillId="0" borderId="24" xfId="0" applyNumberFormat="1" applyFont="1" applyBorder="1" applyAlignment="1">
      <alignment horizontal="center" vertical="center" wrapText="1"/>
    </xf>
    <xf numFmtId="169" fontId="26" fillId="0" borderId="21" xfId="0" applyNumberFormat="1" applyFont="1" applyBorder="1" applyAlignment="1">
      <alignment horizontal="center" vertical="center" wrapText="1"/>
    </xf>
    <xf numFmtId="0" fontId="26" fillId="0" borderId="24" xfId="0" applyFont="1" applyBorder="1" applyAlignment="1">
      <alignment horizontal="right" vertical="center" wrapText="1"/>
    </xf>
    <xf numFmtId="0" fontId="26" fillId="0" borderId="21" xfId="0" applyFont="1" applyBorder="1" applyAlignment="1">
      <alignment horizontal="right" vertical="center" wrapText="1"/>
    </xf>
    <xf numFmtId="0" fontId="26" fillId="0" borderId="24" xfId="0" applyFont="1" applyBorder="1" applyAlignment="1">
      <alignment horizontal="center" vertical="center"/>
    </xf>
    <xf numFmtId="0" fontId="26" fillId="0" borderId="21" xfId="0" applyFont="1" applyBorder="1" applyAlignment="1">
      <alignment horizontal="center" vertical="center"/>
    </xf>
    <xf numFmtId="0" fontId="26" fillId="0" borderId="24" xfId="0" applyFont="1" applyBorder="1" applyAlignment="1">
      <alignment horizontal="center" vertical="center" wrapText="1"/>
    </xf>
    <xf numFmtId="0" fontId="26" fillId="0" borderId="21" xfId="0" applyFont="1" applyBorder="1" applyAlignment="1">
      <alignment horizontal="center" vertical="center" wrapText="1"/>
    </xf>
    <xf numFmtId="0" fontId="29" fillId="0" borderId="25" xfId="0" applyFont="1" applyBorder="1" applyAlignment="1">
      <alignment horizontal="center" vertical="center"/>
    </xf>
    <xf numFmtId="0" fontId="27" fillId="0" borderId="24" xfId="0" applyFont="1" applyBorder="1" applyAlignment="1">
      <alignment horizontal="center" vertical="center" wrapText="1"/>
    </xf>
    <xf numFmtId="0" fontId="27" fillId="0" borderId="21" xfId="0" applyFont="1" applyBorder="1" applyAlignment="1">
      <alignment horizontal="center" vertical="center" wrapText="1"/>
    </xf>
    <xf numFmtId="0" fontId="27" fillId="0" borderId="21" xfId="0" applyFont="1" applyBorder="1" applyAlignment="1">
      <alignment horizontal="center" vertical="center"/>
    </xf>
    <xf numFmtId="0" fontId="27" fillId="0" borderId="24" xfId="0" applyFont="1" applyBorder="1" applyAlignment="1">
      <alignment horizontal="center" vertical="center"/>
    </xf>
    <xf numFmtId="0" fontId="27" fillId="0" borderId="12" xfId="0" applyFont="1" applyBorder="1" applyAlignment="1">
      <alignment horizontal="center" vertical="center"/>
    </xf>
    <xf numFmtId="0" fontId="27" fillId="0" borderId="15" xfId="0" applyFont="1" applyBorder="1" applyAlignment="1">
      <alignment horizontal="center" vertical="center"/>
    </xf>
    <xf numFmtId="0" fontId="27" fillId="0" borderId="29" xfId="0" applyFont="1" applyBorder="1" applyAlignment="1">
      <alignment horizontal="center" vertical="center"/>
    </xf>
    <xf numFmtId="0" fontId="27" fillId="0" borderId="30" xfId="0" applyFont="1" applyBorder="1" applyAlignment="1">
      <alignment horizontal="center" vertical="center"/>
    </xf>
    <xf numFmtId="0" fontId="27" fillId="0" borderId="27" xfId="0" applyFont="1" applyBorder="1" applyAlignment="1">
      <alignment horizontal="center" vertical="center"/>
    </xf>
    <xf numFmtId="173" fontId="38" fillId="0" borderId="0" xfId="17" applyNumberFormat="1" applyFont="1" applyFill="1" applyAlignment="1">
      <alignment horizontal="left" vertical="center" wrapText="1"/>
    </xf>
    <xf numFmtId="0" fontId="37" fillId="0" borderId="25" xfId="18" applyFont="1" applyBorder="1" applyAlignment="1">
      <alignment horizontal="center" vertical="center" wrapText="1"/>
    </xf>
    <xf numFmtId="0" fontId="32" fillId="0" borderId="32" xfId="0" applyFont="1" applyBorder="1" applyAlignment="1">
      <alignment horizontal="center" vertical="center"/>
    </xf>
    <xf numFmtId="0" fontId="32" fillId="0" borderId="33" xfId="0" applyFont="1" applyBorder="1" applyAlignment="1">
      <alignment horizontal="center" vertical="center"/>
    </xf>
    <xf numFmtId="0" fontId="9" fillId="0" borderId="0" xfId="0" applyFont="1" applyAlignment="1">
      <alignment horizontal="center" vertical="center"/>
    </xf>
    <xf numFmtId="0" fontId="6" fillId="0" borderId="0" xfId="0" applyFont="1" applyAlignment="1">
      <alignment horizontal="left" vertical="center" wrapText="1"/>
    </xf>
    <xf numFmtId="0" fontId="27" fillId="0" borderId="10" xfId="0" applyFont="1" applyBorder="1" applyAlignment="1">
      <alignment horizontal="center" vertical="center" wrapText="1"/>
    </xf>
    <xf numFmtId="0" fontId="27" fillId="0" borderId="11" xfId="0" applyFont="1" applyBorder="1" applyAlignment="1">
      <alignment horizontal="center" vertical="center" wrapText="1"/>
    </xf>
    <xf numFmtId="0" fontId="46" fillId="0" borderId="0" xfId="0" applyFont="1" applyAlignment="1">
      <alignment horizontal="center" vertical="center"/>
    </xf>
    <xf numFmtId="0" fontId="46" fillId="0" borderId="14" xfId="0" applyFont="1" applyBorder="1" applyAlignment="1">
      <alignment horizontal="center" vertical="center"/>
    </xf>
    <xf numFmtId="164" fontId="34" fillId="0" borderId="37" xfId="0" applyNumberFormat="1" applyFont="1" applyBorder="1" applyAlignment="1">
      <alignment horizontal="center" vertical="center" wrapText="1"/>
    </xf>
    <xf numFmtId="164" fontId="34" fillId="0" borderId="37" xfId="0" applyNumberFormat="1" applyFont="1" applyBorder="1" applyAlignment="1">
      <alignment horizontal="center" vertical="center"/>
    </xf>
    <xf numFmtId="0" fontId="47" fillId="0" borderId="0" xfId="0" applyFont="1" applyAlignment="1">
      <alignment horizontal="left" vertical="center" wrapText="1"/>
    </xf>
    <xf numFmtId="0" fontId="22" fillId="0" borderId="0" xfId="0" applyFont="1" applyAlignment="1">
      <alignment horizontal="left" vertical="center" wrapText="1"/>
    </xf>
    <xf numFmtId="0" fontId="47" fillId="0" borderId="0" xfId="0" applyFont="1" applyAlignment="1">
      <alignment horizontal="left" vertical="center" wrapText="1" indent="3"/>
    </xf>
    <xf numFmtId="0" fontId="0" fillId="0" borderId="0" xfId="0" applyAlignment="1">
      <alignment horizontal="left" vertical="center" wrapText="1" indent="3"/>
    </xf>
    <xf numFmtId="0" fontId="0" fillId="0" borderId="5" xfId="0" applyBorder="1" applyAlignment="1">
      <alignment horizontal="left" vertical="center" wrapText="1" indent="3"/>
    </xf>
    <xf numFmtId="0" fontId="45" fillId="0" borderId="0" xfId="0" applyFont="1">
      <alignment vertical="center"/>
    </xf>
    <xf numFmtId="0" fontId="45" fillId="0" borderId="5" xfId="0" applyFont="1" applyBorder="1">
      <alignment vertical="center"/>
    </xf>
    <xf numFmtId="0" fontId="29" fillId="0" borderId="6" xfId="0" applyFont="1" applyBorder="1" applyAlignment="1">
      <alignment horizontal="center" vertical="center"/>
    </xf>
    <xf numFmtId="0" fontId="29" fillId="0" borderId="7" xfId="0" applyFont="1" applyBorder="1" applyAlignment="1">
      <alignment horizontal="center" vertical="center"/>
    </xf>
    <xf numFmtId="0" fontId="29" fillId="0" borderId="8" xfId="0" applyFont="1" applyBorder="1" applyAlignment="1">
      <alignment horizontal="center" vertical="center"/>
    </xf>
    <xf numFmtId="0" fontId="44" fillId="0" borderId="12" xfId="0" applyFont="1" applyBorder="1" applyAlignment="1">
      <alignment horizontal="center" vertical="center"/>
    </xf>
    <xf numFmtId="0" fontId="44" fillId="0" borderId="10" xfId="0" applyFont="1" applyBorder="1" applyAlignment="1">
      <alignment horizontal="center" vertical="center"/>
    </xf>
    <xf numFmtId="0" fontId="44" fillId="0" borderId="13" xfId="0" applyFont="1" applyBorder="1" applyAlignment="1">
      <alignment horizontal="center" vertical="center"/>
    </xf>
    <xf numFmtId="164" fontId="31" fillId="0" borderId="1" xfId="0" applyNumberFormat="1" applyFont="1" applyBorder="1" applyAlignment="1">
      <alignment horizontal="center" vertical="center"/>
    </xf>
    <xf numFmtId="164" fontId="31" fillId="0" borderId="2" xfId="0" applyNumberFormat="1" applyFont="1" applyBorder="1" applyAlignment="1">
      <alignment horizontal="center" vertical="center"/>
    </xf>
    <xf numFmtId="164" fontId="31" fillId="0" borderId="3" xfId="0" applyNumberFormat="1" applyFont="1" applyBorder="1" applyAlignment="1">
      <alignment horizontal="center" vertical="center"/>
    </xf>
    <xf numFmtId="164" fontId="31" fillId="0" borderId="4" xfId="0" applyNumberFormat="1" applyFont="1" applyBorder="1" applyAlignment="1">
      <alignment horizontal="center" vertical="center"/>
    </xf>
    <xf numFmtId="164" fontId="31" fillId="0" borderId="0" xfId="0" applyNumberFormat="1" applyFont="1" applyAlignment="1">
      <alignment horizontal="center" vertical="center"/>
    </xf>
    <xf numFmtId="164" fontId="31" fillId="0" borderId="5" xfId="0" applyNumberFormat="1" applyFont="1" applyBorder="1" applyAlignment="1">
      <alignment horizontal="center" vertical="center"/>
    </xf>
    <xf numFmtId="164" fontId="31" fillId="0" borderId="16" xfId="0" applyNumberFormat="1" applyFont="1" applyBorder="1" applyAlignment="1">
      <alignment horizontal="center" vertical="center"/>
    </xf>
    <xf numFmtId="164" fontId="31" fillId="0" borderId="17" xfId="0" applyNumberFormat="1" applyFont="1" applyBorder="1" applyAlignment="1">
      <alignment horizontal="center" vertical="center"/>
    </xf>
    <xf numFmtId="164" fontId="31" fillId="0" borderId="18" xfId="0" applyNumberFormat="1" applyFont="1" applyBorder="1" applyAlignment="1">
      <alignment horizontal="center" vertical="center"/>
    </xf>
    <xf numFmtId="0" fontId="38" fillId="0" borderId="0" xfId="0" applyFont="1" applyAlignment="1">
      <alignment vertical="top" wrapText="1"/>
    </xf>
    <xf numFmtId="0" fontId="38" fillId="0" borderId="0" xfId="0" applyFont="1" applyAlignment="1">
      <alignment vertical="top"/>
    </xf>
    <xf numFmtId="0" fontId="38" fillId="0" borderId="5" xfId="0" applyFont="1" applyBorder="1" applyAlignment="1">
      <alignment vertical="top"/>
    </xf>
    <xf numFmtId="0" fontId="38" fillId="0" borderId="7" xfId="0" applyFont="1" applyBorder="1" applyAlignment="1">
      <alignment vertical="top"/>
    </xf>
    <xf numFmtId="0" fontId="38" fillId="0" borderId="8" xfId="0" applyFont="1" applyBorder="1" applyAlignment="1">
      <alignment vertical="top"/>
    </xf>
    <xf numFmtId="0" fontId="43" fillId="0" borderId="0" xfId="2" applyFont="1" applyAlignment="1">
      <alignment vertical="top" wrapText="1"/>
    </xf>
    <xf numFmtId="0" fontId="43" fillId="0" borderId="14" xfId="2" applyFont="1" applyBorder="1" applyAlignment="1">
      <alignment vertical="top" wrapText="1"/>
    </xf>
    <xf numFmtId="0" fontId="43" fillId="0" borderId="7" xfId="2" applyFont="1" applyBorder="1" applyAlignment="1">
      <alignment vertical="top" wrapText="1"/>
    </xf>
    <xf numFmtId="0" fontId="43" fillId="0" borderId="20" xfId="2" applyFont="1" applyBorder="1" applyAlignment="1">
      <alignment vertical="top" wrapText="1"/>
    </xf>
    <xf numFmtId="164" fontId="38" fillId="0" borderId="29" xfId="0" applyNumberFormat="1" applyFont="1" applyBorder="1" applyAlignment="1">
      <alignment horizontal="center" vertical="center"/>
    </xf>
    <xf numFmtId="164" fontId="38" fillId="0" borderId="30" xfId="0" applyNumberFormat="1" applyFont="1" applyBorder="1" applyAlignment="1">
      <alignment horizontal="center" vertical="center"/>
    </xf>
    <xf numFmtId="0" fontId="34" fillId="0" borderId="0" xfId="0" applyFont="1" applyAlignment="1">
      <alignment horizontal="left" vertical="center"/>
    </xf>
    <xf numFmtId="0" fontId="34" fillId="0" borderId="5" xfId="0" applyFont="1" applyBorder="1" applyAlignment="1">
      <alignment horizontal="left" vertical="center"/>
    </xf>
    <xf numFmtId="0" fontId="41" fillId="0" borderId="0" xfId="0" applyFont="1" applyAlignment="1">
      <alignment horizontal="left" vertical="top" wrapText="1"/>
    </xf>
    <xf numFmtId="0" fontId="41" fillId="0" borderId="5" xfId="0" applyFont="1" applyBorder="1" applyAlignment="1">
      <alignment horizontal="left" vertical="top" wrapText="1"/>
    </xf>
    <xf numFmtId="164" fontId="41" fillId="0" borderId="0" xfId="0" applyNumberFormat="1" applyFont="1" applyAlignment="1">
      <alignment horizontal="left" vertical="center" wrapText="1"/>
    </xf>
    <xf numFmtId="164" fontId="41" fillId="0" borderId="5" xfId="0" applyNumberFormat="1" applyFont="1" applyBorder="1" applyAlignment="1">
      <alignment horizontal="left" vertical="center" wrapText="1"/>
    </xf>
    <xf numFmtId="15" fontId="34" fillId="0" borderId="7" xfId="3" applyNumberFormat="1" applyFont="1" applyBorder="1" applyAlignment="1">
      <alignment horizontal="left" vertical="center"/>
    </xf>
    <xf numFmtId="15" fontId="34" fillId="0" borderId="20" xfId="3" applyNumberFormat="1" applyFont="1" applyBorder="1" applyAlignment="1">
      <alignment horizontal="left" vertical="center"/>
    </xf>
    <xf numFmtId="0" fontId="34" fillId="0" borderId="0" xfId="0" applyFont="1" applyAlignment="1">
      <alignment vertical="top" wrapText="1"/>
    </xf>
    <xf numFmtId="0" fontId="34" fillId="0" borderId="0" xfId="0" applyFont="1" applyAlignment="1">
      <alignment vertical="top"/>
    </xf>
    <xf numFmtId="0" fontId="34" fillId="0" borderId="14" xfId="0" applyFont="1" applyBorder="1" applyAlignment="1">
      <alignment vertical="top"/>
    </xf>
    <xf numFmtId="0" fontId="34" fillId="0" borderId="7" xfId="0" applyFont="1" applyBorder="1" applyAlignment="1">
      <alignment vertical="top"/>
    </xf>
    <xf numFmtId="0" fontId="34" fillId="0" borderId="20" xfId="0" applyFont="1" applyBorder="1" applyAlignment="1">
      <alignment vertical="top"/>
    </xf>
    <xf numFmtId="0" fontId="34" fillId="0" borderId="7" xfId="0" applyFont="1" applyBorder="1" applyAlignment="1">
      <alignment horizontal="left" vertical="center" wrapText="1"/>
    </xf>
    <xf numFmtId="0" fontId="34" fillId="0" borderId="20" xfId="0" applyFont="1" applyBorder="1" applyAlignment="1">
      <alignment horizontal="left" vertical="center" wrapText="1"/>
    </xf>
    <xf numFmtId="0" fontId="38" fillId="0" borderId="26" xfId="0" applyFont="1" applyBorder="1" applyAlignment="1">
      <alignment horizontal="center" vertical="center"/>
    </xf>
    <xf numFmtId="0" fontId="38" fillId="0" borderId="27" xfId="0" applyFont="1" applyBorder="1" applyAlignment="1">
      <alignment horizontal="center" vertical="center"/>
    </xf>
    <xf numFmtId="164" fontId="34" fillId="0" borderId="0" xfId="0" applyNumberFormat="1" applyFont="1" applyAlignment="1">
      <alignment horizontal="left" vertical="center" wrapText="1"/>
    </xf>
    <xf numFmtId="164" fontId="34" fillId="0" borderId="5" xfId="0" applyNumberFormat="1" applyFont="1" applyBorder="1" applyAlignment="1">
      <alignment horizontal="left" vertical="center" wrapText="1"/>
    </xf>
    <xf numFmtId="173" fontId="26" fillId="0" borderId="24" xfId="0" applyNumberFormat="1" applyFont="1" applyBorder="1" applyAlignment="1">
      <alignment horizontal="center" vertical="center" wrapText="1"/>
    </xf>
    <xf numFmtId="173" fontId="26" fillId="0" borderId="21" xfId="0" applyNumberFormat="1" applyFont="1" applyBorder="1" applyAlignment="1">
      <alignment horizontal="center" vertical="center" wrapText="1"/>
    </xf>
    <xf numFmtId="0" fontId="39" fillId="0" borderId="24" xfId="16" applyFont="1" applyBorder="1" applyAlignment="1">
      <alignment horizontal="center" vertical="center" wrapText="1"/>
    </xf>
    <xf numFmtId="0" fontId="39" fillId="0" borderId="21" xfId="16" applyFont="1" applyBorder="1" applyAlignment="1">
      <alignment horizontal="center" vertical="center" wrapText="1"/>
    </xf>
    <xf numFmtId="0" fontId="2" fillId="0" borderId="0" xfId="0" applyFont="1" applyAlignment="1">
      <alignment horizontal="left" vertical="center" wrapText="1"/>
    </xf>
    <xf numFmtId="0" fontId="31" fillId="0" borderId="29" xfId="0" applyFont="1" applyBorder="1" applyAlignment="1">
      <alignment horizontal="center" vertical="center"/>
    </xf>
    <xf numFmtId="0" fontId="31" fillId="0" borderId="27" xfId="0" applyFont="1" applyBorder="1" applyAlignment="1">
      <alignment horizontal="center" vertical="center"/>
    </xf>
    <xf numFmtId="0" fontId="31" fillId="0" borderId="30" xfId="0" applyFont="1" applyBorder="1" applyAlignment="1">
      <alignment horizontal="center" vertical="center"/>
    </xf>
    <xf numFmtId="0" fontId="33" fillId="0" borderId="35" xfId="0" applyFont="1" applyBorder="1" applyAlignment="1">
      <alignment horizontal="center" vertical="center"/>
    </xf>
    <xf numFmtId="0" fontId="33" fillId="0" borderId="31" xfId="0" applyFont="1" applyBorder="1" applyAlignment="1">
      <alignment horizontal="center" vertical="center"/>
    </xf>
    <xf numFmtId="0" fontId="33" fillId="0" borderId="36" xfId="0" applyFont="1" applyBorder="1" applyAlignment="1">
      <alignment horizontal="center" vertical="center"/>
    </xf>
    <xf numFmtId="0" fontId="16" fillId="0" borderId="0" xfId="6" applyFont="1" applyAlignment="1">
      <alignment horizontal="left" vertical="top" wrapText="1"/>
    </xf>
    <xf numFmtId="0" fontId="16" fillId="0" borderId="14" xfId="6" applyFont="1" applyBorder="1" applyAlignment="1">
      <alignment horizontal="left" vertical="top" wrapText="1"/>
    </xf>
    <xf numFmtId="0" fontId="24" fillId="0" borderId="0" xfId="6" applyFont="1" applyAlignment="1">
      <alignment horizontal="left" vertical="top" wrapText="1"/>
    </xf>
    <xf numFmtId="0" fontId="25" fillId="0" borderId="0" xfId="0" applyFont="1" applyAlignment="1">
      <alignment horizontal="left" vertical="top" wrapText="1"/>
    </xf>
    <xf numFmtId="0" fontId="25" fillId="0" borderId="14" xfId="0" applyFont="1" applyBorder="1" applyAlignment="1">
      <alignment horizontal="left" vertical="top" wrapText="1"/>
    </xf>
    <xf numFmtId="0" fontId="15" fillId="0" borderId="17" xfId="6" applyFont="1" applyBorder="1" applyAlignment="1">
      <alignment horizontal="center" vertical="center"/>
    </xf>
    <xf numFmtId="0" fontId="17" fillId="0" borderId="1" xfId="6" applyFont="1" applyBorder="1" applyAlignment="1">
      <alignment horizontal="center" vertical="center" wrapText="1"/>
    </xf>
    <xf numFmtId="0" fontId="17" fillId="0" borderId="2" xfId="6" applyFont="1" applyBorder="1" applyAlignment="1">
      <alignment horizontal="center" vertical="center" wrapText="1"/>
    </xf>
    <xf numFmtId="0" fontId="17" fillId="0" borderId="3" xfId="6" applyFont="1" applyBorder="1" applyAlignment="1">
      <alignment horizontal="center" vertical="center" wrapText="1"/>
    </xf>
    <xf numFmtId="0" fontId="17" fillId="0" borderId="6" xfId="6" applyFont="1" applyBorder="1" applyAlignment="1">
      <alignment horizontal="center" vertical="center" wrapText="1"/>
    </xf>
    <xf numFmtId="0" fontId="17" fillId="0" borderId="7" xfId="6" applyFont="1" applyBorder="1" applyAlignment="1">
      <alignment horizontal="center" vertical="center" wrapText="1"/>
    </xf>
    <xf numFmtId="0" fontId="17" fillId="0" borderId="8" xfId="6" applyFont="1" applyBorder="1" applyAlignment="1">
      <alignment horizontal="center" vertical="center" wrapText="1"/>
    </xf>
    <xf numFmtId="0" fontId="16" fillId="0" borderId="10" xfId="6" applyFont="1" applyBorder="1" applyAlignment="1">
      <alignment horizontal="left" vertical="top"/>
    </xf>
    <xf numFmtId="0" fontId="16" fillId="0" borderId="11" xfId="6" applyFont="1" applyBorder="1" applyAlignment="1">
      <alignment horizontal="left" vertical="top"/>
    </xf>
  </cellXfs>
  <cellStyles count="19">
    <cellStyle name="Comma" xfId="9" builtinId="3"/>
    <cellStyle name="Comma [0]" xfId="1" builtinId="6"/>
    <cellStyle name="Comma 2" xfId="17" xr:uid="{988B12C7-7BF3-46BF-B5EC-7FFAA20F9E80}"/>
    <cellStyle name="Comma 2 2" xfId="10" xr:uid="{8F049BE6-76AA-4DD9-B3C7-935F26C5A65D}"/>
    <cellStyle name="Normal" xfId="0" builtinId="0"/>
    <cellStyle name="Normal 2" xfId="16" xr:uid="{4272126A-BCC4-4C9C-A01E-657BD760DEAE}"/>
    <cellStyle name="Normal 3" xfId="8" xr:uid="{00000000-0005-0000-0000-000002000000}"/>
    <cellStyle name="쉼표 [0] 4" xfId="14" xr:uid="{C4A52391-E6B8-4E98-A740-10A490993681}"/>
    <cellStyle name="쉼표 [0] 6" xfId="5" xr:uid="{00000000-0005-0000-0000-000003000000}"/>
    <cellStyle name="표준 2" xfId="12" xr:uid="{89E747FD-2B83-408C-AACF-61C7A6A71430}"/>
    <cellStyle name="표준 2 2" xfId="15" xr:uid="{18A7A4DF-BF23-4C0C-BE36-D5EA1AD9AB53}"/>
    <cellStyle name="표준 4 2 2 2" xfId="13" xr:uid="{28BEA4FC-9CBF-4DB4-977D-6A9EDAF0BA33}"/>
    <cellStyle name="표준 6" xfId="4" xr:uid="{00000000-0005-0000-0000-000004000000}"/>
    <cellStyle name="표준_Cirebon Grating Pk'g list(서흥)_080910_final" xfId="6" xr:uid="{00000000-0005-0000-0000-000005000000}"/>
    <cellStyle name="표준_PACKING LIST양식 (REV).xls_4월 선적분-Invoice &amp;  Packing List 2" xfId="11" xr:uid="{985A7F91-942A-4BF9-A127-B493527F0C8E}"/>
    <cellStyle name="표준_PACKINGLIST (철골_1항차)" xfId="7" xr:uid="{00000000-0005-0000-0000-000006000000}"/>
    <cellStyle name="표준_STG-PKL" xfId="3" xr:uid="{00000000-0005-0000-0000-000007000000}"/>
    <cellStyle name="常规 92" xfId="18" xr:uid="{429079C3-16E2-4894-B700-1D0CA79E169B}"/>
    <cellStyle name="標準_Proforma PL cirebon 2" xfId="2" xr:uid="{00000000-0005-0000-0000-00000800000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5.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externalLink" Target="externalLinks/externalLink2.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externalLink" Target="externalLinks/externalLink6.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jpe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0</xdr:col>
      <xdr:colOff>76200</xdr:colOff>
      <xdr:row>0</xdr:row>
      <xdr:rowOff>118269</xdr:rowOff>
    </xdr:from>
    <xdr:to>
      <xdr:col>1</xdr:col>
      <xdr:colOff>1200931</xdr:colOff>
      <xdr:row>1</xdr:row>
      <xdr:rowOff>132239</xdr:rowOff>
    </xdr:to>
    <xdr:pic>
      <xdr:nvPicPr>
        <xdr:cNvPr id="2" name="그림 2">
          <a:extLst>
            <a:ext uri="{FF2B5EF4-FFF2-40B4-BE49-F238E27FC236}">
              <a16:creationId xmlns:a16="http://schemas.microsoft.com/office/drawing/2014/main" id="{55587D18-D345-4F80-AAB5-C82CD137A0A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9117" b="11386"/>
        <a:stretch>
          <a:fillRect/>
        </a:stretch>
      </xdr:blipFill>
      <xdr:spPr bwMode="auto">
        <a:xfrm>
          <a:off x="76200" y="118269"/>
          <a:ext cx="1473346" cy="294005"/>
        </a:xfrm>
        <a:prstGeom prst="rect">
          <a:avLst/>
        </a:prstGeom>
        <a:noFill/>
        <a:ln>
          <a:noFill/>
        </a:ln>
        <a:extLst>
          <a:ext uri="{53640926-AAD7-44D8-BBD7-CCE9431645EC}">
            <a14:shadowObscured xmlns:a14="http://schemas.microsoft.com/office/drawing/2010/main"/>
          </a:ext>
        </a:extLst>
      </xdr:spPr>
    </xdr:pic>
    <xdr:clientData/>
  </xdr:twoCellAnchor>
  <xdr:twoCellAnchor editAs="oneCell">
    <xdr:from>
      <xdr:col>9</xdr:col>
      <xdr:colOff>651563</xdr:colOff>
      <xdr:row>0</xdr:row>
      <xdr:rowOff>187187</xdr:rowOff>
    </xdr:from>
    <xdr:to>
      <xdr:col>10</xdr:col>
      <xdr:colOff>706812</xdr:colOff>
      <xdr:row>1</xdr:row>
      <xdr:rowOff>207189</xdr:rowOff>
    </xdr:to>
    <xdr:pic>
      <xdr:nvPicPr>
        <xdr:cNvPr id="3" name="Picture 2">
          <a:extLst>
            <a:ext uri="{FF2B5EF4-FFF2-40B4-BE49-F238E27FC236}">
              <a16:creationId xmlns:a16="http://schemas.microsoft.com/office/drawing/2014/main" id="{3B0A9A1A-F846-4239-90F3-EFAD6854B120}"/>
            </a:ext>
          </a:extLst>
        </xdr:cNvPr>
        <xdr:cNvPicPr>
          <a:picLocks noChangeAspect="1"/>
        </xdr:cNvPicPr>
      </xdr:nvPicPr>
      <xdr:blipFill>
        <a:blip xmlns:r="http://schemas.openxmlformats.org/officeDocument/2006/relationships" r:embed="rId2"/>
        <a:stretch>
          <a:fillRect/>
        </a:stretch>
      </xdr:blipFill>
      <xdr:spPr>
        <a:xfrm>
          <a:off x="7936283" y="187187"/>
          <a:ext cx="897259" cy="30194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1</xdr:row>
      <xdr:rowOff>5873</xdr:rowOff>
    </xdr:from>
    <xdr:to>
      <xdr:col>2</xdr:col>
      <xdr:colOff>1582768</xdr:colOff>
      <xdr:row>2</xdr:row>
      <xdr:rowOff>221251</xdr:rowOff>
    </xdr:to>
    <xdr:pic>
      <xdr:nvPicPr>
        <xdr:cNvPr id="2" name="그림 2">
          <a:extLst>
            <a:ext uri="{FF2B5EF4-FFF2-40B4-BE49-F238E27FC236}">
              <a16:creationId xmlns:a16="http://schemas.microsoft.com/office/drawing/2014/main" id="{0536924C-9D84-4977-A75F-3791803E7D2A}"/>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9117" b="11386"/>
        <a:stretch>
          <a:fillRect/>
        </a:stretch>
      </xdr:blipFill>
      <xdr:spPr bwMode="auto">
        <a:xfrm>
          <a:off x="571500" y="114730"/>
          <a:ext cx="1578958" cy="293483"/>
        </a:xfrm>
        <a:prstGeom prst="rect">
          <a:avLst/>
        </a:prstGeom>
        <a:noFill/>
        <a:ln>
          <a:noFill/>
        </a:ln>
        <a:extLst>
          <a:ext uri="{53640926-AAD7-44D8-BBD7-CCE9431645EC}">
            <a14:shadowObscured xmlns:a14="http://schemas.microsoft.com/office/drawing/2010/main"/>
          </a:ext>
        </a:extLst>
      </xdr:spPr>
    </xdr:pic>
    <xdr:clientData/>
  </xdr:twoCellAnchor>
  <xdr:twoCellAnchor editAs="oneCell">
    <xdr:from>
      <xdr:col>16</xdr:col>
      <xdr:colOff>828281</xdr:colOff>
      <xdr:row>1</xdr:row>
      <xdr:rowOff>50298</xdr:rowOff>
    </xdr:from>
    <xdr:to>
      <xdr:col>18</xdr:col>
      <xdr:colOff>252263</xdr:colOff>
      <xdr:row>3</xdr:row>
      <xdr:rowOff>153488</xdr:rowOff>
    </xdr:to>
    <xdr:pic>
      <xdr:nvPicPr>
        <xdr:cNvPr id="5" name="Picture 4">
          <a:extLst>
            <a:ext uri="{FF2B5EF4-FFF2-40B4-BE49-F238E27FC236}">
              <a16:creationId xmlns:a16="http://schemas.microsoft.com/office/drawing/2014/main" id="{E3B34C69-337C-4FAC-B1D8-733A7C3850A4}"/>
            </a:ext>
          </a:extLst>
        </xdr:cNvPr>
        <xdr:cNvPicPr>
          <a:picLocks noChangeAspect="1"/>
        </xdr:cNvPicPr>
      </xdr:nvPicPr>
      <xdr:blipFill>
        <a:blip xmlns:r="http://schemas.openxmlformats.org/officeDocument/2006/relationships" r:embed="rId2"/>
        <a:stretch>
          <a:fillRect/>
        </a:stretch>
      </xdr:blipFill>
      <xdr:spPr>
        <a:xfrm>
          <a:off x="15578424" y="159155"/>
          <a:ext cx="1659365" cy="52120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0</xdr:colOff>
      <xdr:row>1</xdr:row>
      <xdr:rowOff>3969</xdr:rowOff>
    </xdr:from>
    <xdr:to>
      <xdr:col>2</xdr:col>
      <xdr:colOff>1507636</xdr:colOff>
      <xdr:row>1</xdr:row>
      <xdr:rowOff>288449</xdr:rowOff>
    </xdr:to>
    <xdr:pic>
      <xdr:nvPicPr>
        <xdr:cNvPr id="2" name="그림 2">
          <a:extLst>
            <a:ext uri="{FF2B5EF4-FFF2-40B4-BE49-F238E27FC236}">
              <a16:creationId xmlns:a16="http://schemas.microsoft.com/office/drawing/2014/main" id="{41B0B7F9-2DE7-45D5-9011-3A8DD4CA8C1C}"/>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9117" b="11386"/>
        <a:stretch>
          <a:fillRect/>
        </a:stretch>
      </xdr:blipFill>
      <xdr:spPr bwMode="auto">
        <a:xfrm>
          <a:off x="350520" y="118269"/>
          <a:ext cx="1507636" cy="282575"/>
        </a:xfrm>
        <a:prstGeom prst="rect">
          <a:avLst/>
        </a:prstGeom>
        <a:noFill/>
        <a:ln>
          <a:noFill/>
        </a:ln>
        <a:extLst>
          <a:ext uri="{53640926-AAD7-44D8-BBD7-CCE9431645EC}">
            <a14:shadowObscured xmlns:a14="http://schemas.microsoft.com/office/drawing/2010/main"/>
          </a:ext>
        </a:extLst>
      </xdr:spPr>
    </xdr:pic>
    <xdr:clientData/>
  </xdr:twoCellAnchor>
  <xdr:twoCellAnchor editAs="oneCell">
    <xdr:from>
      <xdr:col>17</xdr:col>
      <xdr:colOff>338079</xdr:colOff>
      <xdr:row>1</xdr:row>
      <xdr:rowOff>69214</xdr:rowOff>
    </xdr:from>
    <xdr:to>
      <xdr:col>18</xdr:col>
      <xdr:colOff>593238</xdr:colOff>
      <xdr:row>2</xdr:row>
      <xdr:rowOff>121995</xdr:rowOff>
    </xdr:to>
    <xdr:pic>
      <xdr:nvPicPr>
        <xdr:cNvPr id="4" name="Picture 3">
          <a:extLst>
            <a:ext uri="{FF2B5EF4-FFF2-40B4-BE49-F238E27FC236}">
              <a16:creationId xmlns:a16="http://schemas.microsoft.com/office/drawing/2014/main" id="{2AB6E411-4FA8-4BD2-9AE7-DA45593995CC}"/>
            </a:ext>
          </a:extLst>
        </xdr:cNvPr>
        <xdr:cNvPicPr>
          <a:picLocks noChangeAspect="1"/>
        </xdr:cNvPicPr>
      </xdr:nvPicPr>
      <xdr:blipFill>
        <a:blip xmlns:r="http://schemas.openxmlformats.org/officeDocument/2006/relationships" r:embed="rId2"/>
        <a:stretch>
          <a:fillRect/>
        </a:stretch>
      </xdr:blipFill>
      <xdr:spPr>
        <a:xfrm>
          <a:off x="16250432" y="181273"/>
          <a:ext cx="1244862" cy="37711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7</xdr:col>
      <xdr:colOff>296061</xdr:colOff>
      <xdr:row>42</xdr:row>
      <xdr:rowOff>105795</xdr:rowOff>
    </xdr:to>
    <xdr:pic>
      <xdr:nvPicPr>
        <xdr:cNvPr id="2" name="Picture 1">
          <a:extLst>
            <a:ext uri="{FF2B5EF4-FFF2-40B4-BE49-F238E27FC236}">
              <a16:creationId xmlns:a16="http://schemas.microsoft.com/office/drawing/2014/main" id="{5B384E68-F239-7CF8-8E0C-4636EAD95363}"/>
            </a:ext>
          </a:extLst>
        </xdr:cNvPr>
        <xdr:cNvPicPr>
          <a:picLocks noChangeAspect="1"/>
        </xdr:cNvPicPr>
      </xdr:nvPicPr>
      <xdr:blipFill>
        <a:blip xmlns:r="http://schemas.openxmlformats.org/officeDocument/2006/relationships" r:embed="rId1"/>
        <a:stretch>
          <a:fillRect/>
        </a:stretch>
      </xdr:blipFill>
      <xdr:spPr>
        <a:xfrm>
          <a:off x="0" y="0"/>
          <a:ext cx="5630061" cy="730669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209550</xdr:colOff>
      <xdr:row>1</xdr:row>
      <xdr:rowOff>66675</xdr:rowOff>
    </xdr:from>
    <xdr:to>
      <xdr:col>8</xdr:col>
      <xdr:colOff>460312</xdr:colOff>
      <xdr:row>43</xdr:row>
      <xdr:rowOff>130537</xdr:rowOff>
    </xdr:to>
    <xdr:pic>
      <xdr:nvPicPr>
        <xdr:cNvPr id="12" name="Picture 11">
          <a:extLst>
            <a:ext uri="{FF2B5EF4-FFF2-40B4-BE49-F238E27FC236}">
              <a16:creationId xmlns:a16="http://schemas.microsoft.com/office/drawing/2014/main" id="{61CEBFEC-7C16-5EF8-EF33-FBA73942A174}"/>
            </a:ext>
          </a:extLst>
        </xdr:cNvPr>
        <xdr:cNvPicPr>
          <a:picLocks noChangeAspect="1"/>
        </xdr:cNvPicPr>
      </xdr:nvPicPr>
      <xdr:blipFill>
        <a:blip xmlns:r="http://schemas.openxmlformats.org/officeDocument/2006/relationships" r:embed="rId1"/>
        <a:stretch>
          <a:fillRect/>
        </a:stretch>
      </xdr:blipFill>
      <xdr:spPr>
        <a:xfrm>
          <a:off x="209550" y="238125"/>
          <a:ext cx="5584762" cy="726476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7</xdr:col>
      <xdr:colOff>277008</xdr:colOff>
      <xdr:row>38</xdr:row>
      <xdr:rowOff>86745</xdr:rowOff>
    </xdr:to>
    <xdr:pic>
      <xdr:nvPicPr>
        <xdr:cNvPr id="2" name="Picture 1">
          <a:extLst>
            <a:ext uri="{FF2B5EF4-FFF2-40B4-BE49-F238E27FC236}">
              <a16:creationId xmlns:a16="http://schemas.microsoft.com/office/drawing/2014/main" id="{FAF6769A-280A-914F-EDCC-3763FC93F948}"/>
            </a:ext>
          </a:extLst>
        </xdr:cNvPr>
        <xdr:cNvPicPr>
          <a:picLocks noChangeAspect="1"/>
        </xdr:cNvPicPr>
      </xdr:nvPicPr>
      <xdr:blipFill>
        <a:blip xmlns:r="http://schemas.openxmlformats.org/officeDocument/2006/relationships" r:embed="rId1"/>
        <a:stretch>
          <a:fillRect/>
        </a:stretch>
      </xdr:blipFill>
      <xdr:spPr>
        <a:xfrm>
          <a:off x="0" y="0"/>
          <a:ext cx="5611008" cy="7306695"/>
        </a:xfrm>
        <a:prstGeom prst="rect">
          <a:avLst/>
        </a:prstGeom>
      </xdr:spPr>
    </xdr:pic>
    <xdr:clientData/>
  </xdr:twoCellAnchor>
  <xdr:twoCellAnchor editAs="oneCell">
    <xdr:from>
      <xdr:col>0</xdr:col>
      <xdr:colOff>179615</xdr:colOff>
      <xdr:row>3</xdr:row>
      <xdr:rowOff>70758</xdr:rowOff>
    </xdr:from>
    <xdr:to>
      <xdr:col>1</xdr:col>
      <xdr:colOff>113185</xdr:colOff>
      <xdr:row>4</xdr:row>
      <xdr:rowOff>134168</xdr:rowOff>
    </xdr:to>
    <xdr:pic>
      <xdr:nvPicPr>
        <xdr:cNvPr id="4" name="Picture 3">
          <a:extLst>
            <a:ext uri="{FF2B5EF4-FFF2-40B4-BE49-F238E27FC236}">
              <a16:creationId xmlns:a16="http://schemas.microsoft.com/office/drawing/2014/main" id="{4079F2DE-56DC-D1AD-348A-334A7A4D637E}"/>
            </a:ext>
          </a:extLst>
        </xdr:cNvPr>
        <xdr:cNvPicPr>
          <a:picLocks noChangeAspect="1"/>
        </xdr:cNvPicPr>
      </xdr:nvPicPr>
      <xdr:blipFill>
        <a:blip xmlns:r="http://schemas.openxmlformats.org/officeDocument/2006/relationships" r:embed="rId2"/>
        <a:stretch>
          <a:fillRect/>
        </a:stretch>
      </xdr:blipFill>
      <xdr:spPr>
        <a:xfrm>
          <a:off x="179615" y="1257301"/>
          <a:ext cx="603041" cy="237581"/>
        </a:xfrm>
        <a:prstGeom prst="rect">
          <a:avLst/>
        </a:prstGeom>
      </xdr:spPr>
    </xdr:pic>
    <xdr:clientData/>
  </xdr:twoCellAnchor>
  <xdr:twoCellAnchor editAs="oneCell">
    <xdr:from>
      <xdr:col>0</xdr:col>
      <xdr:colOff>182879</xdr:colOff>
      <xdr:row>2</xdr:row>
      <xdr:rowOff>315685</xdr:rowOff>
    </xdr:from>
    <xdr:to>
      <xdr:col>2</xdr:col>
      <xdr:colOff>580481</xdr:colOff>
      <xdr:row>2</xdr:row>
      <xdr:rowOff>575007</xdr:rowOff>
    </xdr:to>
    <xdr:pic>
      <xdr:nvPicPr>
        <xdr:cNvPr id="5" name="Picture 4">
          <a:extLst>
            <a:ext uri="{FF2B5EF4-FFF2-40B4-BE49-F238E27FC236}">
              <a16:creationId xmlns:a16="http://schemas.microsoft.com/office/drawing/2014/main" id="{FC745AD7-29DA-DDD7-70D2-9F03DA701E61}"/>
            </a:ext>
          </a:extLst>
        </xdr:cNvPr>
        <xdr:cNvPicPr>
          <a:picLocks noChangeAspect="1"/>
        </xdr:cNvPicPr>
      </xdr:nvPicPr>
      <xdr:blipFill>
        <a:blip xmlns:r="http://schemas.openxmlformats.org/officeDocument/2006/relationships" r:embed="rId3"/>
        <a:stretch>
          <a:fillRect/>
        </a:stretch>
      </xdr:blipFill>
      <xdr:spPr>
        <a:xfrm>
          <a:off x="182879" y="664028"/>
          <a:ext cx="1736545" cy="259322"/>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177800</xdr:colOff>
      <xdr:row>0</xdr:row>
      <xdr:rowOff>0</xdr:rowOff>
    </xdr:from>
    <xdr:to>
      <xdr:col>9</xdr:col>
      <xdr:colOff>514350</xdr:colOff>
      <xdr:row>49</xdr:row>
      <xdr:rowOff>70080</xdr:rowOff>
    </xdr:to>
    <xdr:pic>
      <xdr:nvPicPr>
        <xdr:cNvPr id="6" name="그림 5">
          <a:extLst>
            <a:ext uri="{FF2B5EF4-FFF2-40B4-BE49-F238E27FC236}">
              <a16:creationId xmlns:a16="http://schemas.microsoft.com/office/drawing/2014/main" id="{7CF006AE-F715-0CFA-8C16-7FB6CAE2FA8A}"/>
            </a:ext>
          </a:extLst>
        </xdr:cNvPr>
        <xdr:cNvPicPr>
          <a:picLocks noChangeAspect="1"/>
        </xdr:cNvPicPr>
      </xdr:nvPicPr>
      <xdr:blipFill>
        <a:blip xmlns:r="http://schemas.openxmlformats.org/officeDocument/2006/relationships" r:embed="rId1"/>
        <a:stretch>
          <a:fillRect/>
        </a:stretch>
      </xdr:blipFill>
      <xdr:spPr>
        <a:xfrm>
          <a:off x="177800" y="0"/>
          <a:ext cx="6280150" cy="890928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51204;&#50689;&#44428;\C\WIN98\TEMP\REPORT07.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50724;&#51008;&#49892;\&#49345;&#48120;&#51452;&#51076;&#45784;\WIN98\TEMP\REPORT07.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50724;&#51008;&#49892;\&#49345;&#48120;&#51452;&#51076;&#45784;\temp\WIN98\TEMP\REPORT07.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50689;&#49689;\D\share\loss&#44228;&#49328;-TAWEELAH-msf-jan6.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www35.daum.net/WIN98/TEMP/REPORT07.XLS" TargetMode="External"/></Relationships>
</file>

<file path=xl/externalLinks/_rels/externalLink6.xml.rels><?xml version="1.0" encoding="UTF-8" standalone="yes"?>
<Relationships xmlns="http://schemas.openxmlformats.org/package/2006/relationships"><Relationship Id="rId3" Type="http://schemas.openxmlformats.org/officeDocument/2006/relationships/externalLinkPath" Target="https://pecc2epc.sharepoint.com/sites/OMonIV-EPCExecution-6.CommercialManagement/Shared%20Documents/6.%20Contract%20and%20Commercial%20Management/02.%20KOM/01.%20PAYMENT%20FORMS/OM4_Payment%20Form%2004,%2005%20-%20Commercial%20invoice%20and%20Packing%20list,%20rev%20250709.xlsx" TargetMode="External"/><Relationship Id="rId2" Type="http://schemas.microsoft.com/office/2019/04/relationships/externalLinkLongPath" Target="https://pecc2epc.sharepoint.com/sites/OMonIV-EPCExecution-6.CommercialManagement/Shared%20Documents/6.%20Contract%20and%20Commercial%20Management/02.%20KOM/01.%20PAYMENT%20FORMS/OM4_Payment%20Form%2004,%2005%20-%20Commercial%20invoice%20and%20Packing%20list,%20rev%20250709.xlsx?80C4F2C1" TargetMode="External"/><Relationship Id="rId1" Type="http://schemas.openxmlformats.org/officeDocument/2006/relationships/externalLinkPath" Target="file:///\\80C4F2C1\OM4_Payment%20Form%2004,%2005%20-%20Commercial%20invoice%20and%20Packing%20list,%20rev%2025070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Content"/>
      <sheetName val="Project Outline"/>
      <sheetName val="주요공사"/>
      <sheetName val="Contractual Amount"/>
      <sheetName val="시헹예산"/>
      <sheetName val="TENDER vs BUDGET"/>
      <sheetName val="직영 vs 하청 - 2"/>
      <sheetName val="96 당초Schedule"/>
      <sheetName val="96 Performance"/>
      <sheetName val="소화-투입 분석표"/>
      <sheetName val="STF ORG(K)"/>
      <sheetName val="Staff Org. Chart"/>
      <sheetName val="Scope of Work"/>
      <sheetName val="Design Status"/>
      <sheetName val="DWG Status"/>
      <sheetName val="MAT'L Status"/>
      <sheetName val="장비동원"/>
      <sheetName val="근로자동원"/>
      <sheetName val="Install Status"/>
      <sheetName val="Staff Mob. Plan"/>
      <sheetName val="M.P Mob. Plan"/>
      <sheetName val="Eq. Mobilization"/>
      <sheetName val=""/>
      <sheetName val="TTL"/>
      <sheetName val="성광벤드"/>
      <sheetName val="REPORT07"/>
      <sheetName val="GRP PIPING"/>
      <sheetName val="Sheet1"/>
      <sheetName val="현장지지물물량"/>
      <sheetName val="#REF"/>
      <sheetName val="견적기준"/>
      <sheetName val="P-LIST"/>
      <sheetName val="물가자료"/>
      <sheetName val="일위대가"/>
      <sheetName val="M-EQPT-Z"/>
      <sheetName val="2000년1차"/>
      <sheetName val="단가집"/>
      <sheetName val="전열면적"/>
      <sheetName val="SEPARATOR"/>
      <sheetName val="BM "/>
      <sheetName val="DWG LIST"/>
      <sheetName val="자격 땡겨오기"/>
      <sheetName val="VAE264_VALVES"/>
      <sheetName val="5.소재"/>
      <sheetName val="소화실적"/>
      <sheetName val="Summary"/>
      <sheetName val="BM"/>
      <sheetName val="B101"/>
      <sheetName val="카메라"/>
      <sheetName val="COA-17"/>
      <sheetName val="C-18"/>
      <sheetName val="당초"/>
      <sheetName val="MOB-MAN1"/>
      <sheetName val="예제"/>
      <sheetName val="실행예산SHEET도장재검토"/>
      <sheetName val="기준표"/>
      <sheetName val="규격"/>
      <sheetName val="노점수분"/>
      <sheetName val="자재사용현황"/>
      <sheetName val="w't table"/>
      <sheetName val="INDEX"/>
      <sheetName val="DI-ESTI"/>
      <sheetName val="KH-Q1,Q2,01"/>
      <sheetName val="NYS"/>
      <sheetName val="CAT_5"/>
      <sheetName val="kich thuoc"/>
      <sheetName val="DTHH"/>
      <sheetName val="WE'T"/>
      <sheetName val="REDUCER"/>
      <sheetName val="임율 Data"/>
      <sheetName val="Lists"/>
      <sheetName val="REV 4"/>
      <sheetName val="COL"/>
      <sheetName val="Sheet5"/>
      <sheetName val="BEND LOSS"/>
      <sheetName val="CI "/>
      <sheetName val="CI"/>
      <sheetName val="FM"/>
      <sheetName val="내역서"/>
      <sheetName val="노임단가"/>
      <sheetName val="품셈표"/>
      <sheetName val="추가예산"/>
      <sheetName val="자바라1"/>
      <sheetName val="해외 연수비용 계산-삭제"/>
      <sheetName val="Wind Load(3.1) (2)"/>
      <sheetName val="Wind Load(3.2)"/>
      <sheetName val="Wind Load(3.4)"/>
      <sheetName val="Ord"/>
      <sheetName val="Key Data"/>
      <sheetName val="INPUT"/>
      <sheetName val="2.2 띠장의 설계"/>
      <sheetName val="Assembly_list"/>
      <sheetName val="간접비 총괄표"/>
      <sheetName val="ﾀｰﾋﾞﾝ"/>
      <sheetName val="Setup"/>
      <sheetName val="Cover_Sheet"/>
      <sheetName val="Project_Outline"/>
      <sheetName val="Contractual_Amount"/>
      <sheetName val="TENDER_vs_BUDGET"/>
      <sheetName val="직영_vs_하청_-_2"/>
      <sheetName val="96_당초Schedule"/>
      <sheetName val="96_Performance"/>
      <sheetName val="소화-투입_분석표"/>
      <sheetName val="STF_ORG(K)"/>
      <sheetName val="Staff_Org__Chart"/>
      <sheetName val="Scope_of_Work"/>
      <sheetName val="Design_Status"/>
      <sheetName val="DWG_Status"/>
      <sheetName val="MAT'L_Status"/>
      <sheetName val="Install_Status"/>
      <sheetName val="Staff_Mob__Plan"/>
      <sheetName val="M_P_Mob__Plan"/>
      <sheetName val="Eq__Mobilization"/>
      <sheetName val="GRP_PIPING"/>
      <sheetName val="BM_"/>
      <sheetName val="DWG_LIST"/>
      <sheetName val="자격_땡겨오기"/>
      <sheetName val="5_소재"/>
      <sheetName val="表二"/>
      <sheetName val="EQUIPOS"/>
      <sheetName val="石炭性状"/>
      <sheetName val="증감내역서"/>
      <sheetName val="表三(首站)"/>
      <sheetName val="代码表"/>
      <sheetName val="Z- GENERAL PRICE SUMMARY"/>
      <sheetName val="WITHOUT C&amp;I PROFIT (3)"/>
      <sheetName val="목표세부명세"/>
      <sheetName val="Rate Analysis"/>
      <sheetName val="Earthwork"/>
      <sheetName val="2020 회원명부"/>
      <sheetName val="대비표"/>
      <sheetName val="산근"/>
      <sheetName val="집계표(OPTION)"/>
      <sheetName val="DRUM"/>
      <sheetName val="w't_table"/>
      <sheetName val="kich_thuoc"/>
      <sheetName val="임율_Data"/>
      <sheetName val="해외_연수비용_계산-삭제"/>
      <sheetName val="Wind_Load(3_1)_(2)"/>
      <sheetName val="Wind_Load(3_2)"/>
      <sheetName val="Wind_Load(3_4)"/>
      <sheetName val="Key_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Content"/>
      <sheetName val="Project Outline"/>
      <sheetName val="주요공사"/>
      <sheetName val="Contractual Amount"/>
      <sheetName val="시헹예산"/>
      <sheetName val="TENDER vs BUDGET"/>
      <sheetName val="직영 vs 하청 - 2"/>
      <sheetName val="96 당초Schedule"/>
      <sheetName val="96 Performance"/>
      <sheetName val="소화-투입 분석표"/>
      <sheetName val="STF ORG(K)"/>
      <sheetName val="Staff Org. Chart"/>
      <sheetName val="Scope of Work"/>
      <sheetName val="Design Status"/>
      <sheetName val="DWG Status"/>
      <sheetName val="MAT'L Status"/>
      <sheetName val="장비동원"/>
      <sheetName val="근로자동원"/>
      <sheetName val="Install Status"/>
      <sheetName val="Staff Mob. Plan"/>
      <sheetName val="M.P Mob. Plan"/>
      <sheetName val="Eq. Mobilization"/>
      <sheetName val="견적기준"/>
      <sheetName val="CI "/>
      <sheetName val="CI"/>
      <sheetName val=""/>
      <sheetName val="TTL"/>
      <sheetName val="성광벤드"/>
      <sheetName val="REPORT07"/>
      <sheetName val="GRP PIPING"/>
      <sheetName val="Sheet1"/>
      <sheetName val="P-LIST"/>
      <sheetName val="물가자료"/>
      <sheetName val="일위대가"/>
      <sheetName val="M-EQPT-Z"/>
      <sheetName val="2000년1차"/>
      <sheetName val="단가집"/>
      <sheetName val="전열면적"/>
      <sheetName val="SEPARATOR"/>
      <sheetName val="BM "/>
      <sheetName val="DWG LIST"/>
      <sheetName val="자격 땡겨오기"/>
      <sheetName val="VAE264_VALVES"/>
      <sheetName val="5.소재"/>
      <sheetName val="소화실적"/>
      <sheetName val="현장지지물물량"/>
      <sheetName val="#REF"/>
      <sheetName val="Summary"/>
      <sheetName val="BM"/>
      <sheetName val="B101"/>
      <sheetName val="카메라"/>
      <sheetName val="COA-17"/>
      <sheetName val="C-18"/>
      <sheetName val="당초"/>
      <sheetName val="MOB-MAN1"/>
      <sheetName val="예제"/>
      <sheetName val="실행예산SHEET도장재검토"/>
      <sheetName val="기준표"/>
      <sheetName val="규격"/>
      <sheetName val="노점수분"/>
      <sheetName val="자재사용현황"/>
      <sheetName val="w't table"/>
      <sheetName val="INDEX"/>
      <sheetName val="DI-ESTI"/>
      <sheetName val="KH-Q1,Q2,01"/>
      <sheetName val="NYS"/>
      <sheetName val="CAT_5"/>
      <sheetName val="kich thuoc"/>
      <sheetName val="DTHH"/>
      <sheetName val="Cover_Sheet"/>
      <sheetName val="Project_Outline"/>
      <sheetName val="Contractual_Amount"/>
      <sheetName val="TENDER_vs_BUDGET"/>
      <sheetName val="직영_vs_하청_-_2"/>
      <sheetName val="96_당초Schedule"/>
      <sheetName val="96_Performance"/>
      <sheetName val="소화-투입_분석표"/>
      <sheetName val="STF_ORG(K)"/>
      <sheetName val="Staff_Org__Chart"/>
      <sheetName val="Scope_of_Work"/>
      <sheetName val="Design_Status"/>
      <sheetName val="DWG_Status"/>
      <sheetName val="MAT'L_Status"/>
      <sheetName val="Install_Status"/>
      <sheetName val="Staff_Mob__Plan"/>
      <sheetName val="M_P_Mob__Plan"/>
      <sheetName val="Eq__Mobilization"/>
      <sheetName val="산근터빈"/>
      <sheetName val="2.대외공문"/>
      <sheetName val="XZLC004_PART2"/>
      <sheetName val="XZLC003_PART1"/>
      <sheetName val="수량산출"/>
      <sheetName val="burner-spare"/>
      <sheetName val="일위대가표(DEE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Content"/>
      <sheetName val="Project Outline"/>
      <sheetName val="주요공사"/>
      <sheetName val="Contractual Amount"/>
      <sheetName val="시헹예산"/>
      <sheetName val="TENDER vs BUDGET"/>
      <sheetName val="직영 vs 하청 - 2"/>
      <sheetName val="96 당초Schedule"/>
      <sheetName val="96 Performance"/>
      <sheetName val="소화-투입 분석표"/>
      <sheetName val="STF ORG(K)"/>
      <sheetName val="Staff Org. Chart"/>
      <sheetName val="Scope of Work"/>
      <sheetName val="Design Status"/>
      <sheetName val="DWG Status"/>
      <sheetName val="MAT'L Status"/>
      <sheetName val="장비동원"/>
      <sheetName val="근로자동원"/>
      <sheetName val="Install Status"/>
      <sheetName val="Staff Mob. Plan"/>
      <sheetName val="M.P Mob. Plan"/>
      <sheetName val="Eq. Mobilization"/>
      <sheetName val="P-LIST"/>
      <sheetName val="물가자료"/>
      <sheetName val="B101"/>
      <sheetName val="카메라"/>
      <sheetName val="COA-17"/>
      <sheetName val="C-18"/>
      <sheetName val=""/>
      <sheetName val="TTL"/>
      <sheetName val="성광벤드"/>
      <sheetName val="REPORT07"/>
      <sheetName val="GRP PIPING"/>
      <sheetName val="Sheet1"/>
      <sheetName val="견적기준"/>
      <sheetName val="일위대가"/>
      <sheetName val="M-EQPT-Z"/>
      <sheetName val="2000년1차"/>
      <sheetName val="단가집"/>
      <sheetName val="전열면적"/>
      <sheetName val="SEPARATOR"/>
      <sheetName val="BM "/>
      <sheetName val="DWG LIST"/>
      <sheetName val="자격 땡겨오기"/>
      <sheetName val="VAE264_VALVES"/>
      <sheetName val="5.소재"/>
      <sheetName val="소화실적"/>
      <sheetName val="현장지지물물량"/>
      <sheetName val="#REF"/>
      <sheetName val="Summary"/>
      <sheetName val="BM"/>
      <sheetName val="당초"/>
      <sheetName val="MOB-MAN1"/>
      <sheetName val="예제"/>
      <sheetName val="실행예산SHEET도장재검토"/>
      <sheetName val="기준표"/>
      <sheetName val="규격"/>
      <sheetName val="노점수분"/>
      <sheetName val="자재사용현황"/>
      <sheetName val="w't table"/>
      <sheetName val="INDEX"/>
      <sheetName val="DI-ESTI"/>
      <sheetName val="KH-Q1,Q2,01"/>
      <sheetName val="NYS"/>
      <sheetName val="CAT_5"/>
      <sheetName val="보일러"/>
      <sheetName val="Renc.Prod"/>
      <sheetName val="Tabel Kode"/>
      <sheetName val="PLN Ags"/>
      <sheetName val="PLN Apr"/>
      <sheetName val="Biaya Tot PLN TDL 2003"/>
      <sheetName val="PLN Des"/>
      <sheetName val="PLN Feb"/>
      <sheetName val="PLN Jan"/>
      <sheetName val="PLN Jul"/>
      <sheetName val="PLN Jun"/>
      <sheetName val="PLN Mar"/>
      <sheetName val="PLN Mei"/>
      <sheetName val="PLN Nov"/>
      <sheetName val="PLN Okt"/>
      <sheetName val="PLN Sep"/>
      <sheetName val="Renc.Semen Keluar prod kantong"/>
      <sheetName val="kich thuoc"/>
      <sheetName val="DTHH"/>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rcular bundle"/>
      <sheetName val="steam table"/>
      <sheetName val="loss계산-TAWEELAH-msf-jan6"/>
      <sheetName val="DJ1"/>
      <sheetName val="정부노임단가"/>
      <sheetName val="fitting"/>
      <sheetName val="환율표"/>
      <sheetName val="Evap-기타"/>
      <sheetName val="P-LIST"/>
      <sheetName val="대비"/>
      <sheetName val="BID"/>
      <sheetName val="Testing"/>
      <sheetName val="eq_data"/>
      <sheetName val="BLR 1"/>
      <sheetName val="GEN"/>
      <sheetName val="GAS"/>
      <sheetName val="DEAE"/>
      <sheetName val="BLR2"/>
      <sheetName val="BLR3"/>
      <sheetName val="BLR4"/>
      <sheetName val="BLR5"/>
      <sheetName val="DEM"/>
      <sheetName val="SAM"/>
      <sheetName val="CHEM"/>
      <sheetName val="COP"/>
      <sheetName val="八幡"/>
      <sheetName val="GM 000"/>
      <sheetName val="csdim"/>
      <sheetName val="cdsload"/>
      <sheetName val="chsload"/>
      <sheetName val="CLAMP"/>
      <sheetName val="cvsload"/>
      <sheetName val="pipe"/>
      <sheetName val="Cash2"/>
      <sheetName val="Z"/>
      <sheetName val="BSD _2_"/>
      <sheetName val="BSD (2)"/>
      <sheetName val="환산표"/>
      <sheetName val="MOTOR"/>
      <sheetName val="95신규호표"/>
      <sheetName val="BM"/>
      <sheetName val="CBL_OD"/>
      <sheetName val="MOB-MAN1"/>
      <sheetName val="giathanh1"/>
      <sheetName val="6-2차"/>
      <sheetName val="Code 02"/>
      <sheetName val="Code 03"/>
      <sheetName val="Code 04"/>
      <sheetName val="Code 05"/>
      <sheetName val="Code 06"/>
      <sheetName val="Code 07"/>
      <sheetName val="Code 09"/>
      <sheetName val="Code03"/>
      <sheetName val="Summary"/>
      <sheetName val="5-Digit"/>
      <sheetName val="MixBed"/>
      <sheetName val="CondPol"/>
      <sheetName val="Inputs"/>
      <sheetName val="BD"/>
      <sheetName val="당초"/>
      <sheetName val="LAB"/>
      <sheetName val="노임단가"/>
      <sheetName val="공사계획서"/>
      <sheetName val="품셈표"/>
      <sheetName val="H-shape"/>
      <sheetName val="Dieuchinh"/>
      <sheetName val="gvl"/>
      <sheetName val="IBASE"/>
      <sheetName val="예산M12A"/>
      <sheetName val="JOINT1"/>
      <sheetName val="XL4Poppy"/>
      <sheetName val="현장지지물물량"/>
      <sheetName val="INSULTABLE"/>
      <sheetName val="ex-shell"/>
      <sheetName val="001"/>
      <sheetName val="TTL"/>
      <sheetName val="입력값"/>
      <sheetName val="NEWDRAW"/>
      <sheetName val="내역"/>
      <sheetName val="Sheet3 (2)"/>
      <sheetName val="circular_bundle1"/>
      <sheetName val="steam_table1"/>
      <sheetName val="circular_bundle"/>
      <sheetName val="steam_table"/>
      <sheetName val="ADL DATA"/>
      <sheetName val="FIRE FIGHTING"/>
      <sheetName val="Wind Load(3.1) (2)"/>
      <sheetName val="Wind Load(3.2)"/>
      <sheetName val="Wind Load(3.4)"/>
      <sheetName val="REDUCER"/>
      <sheetName val="Data"/>
      <sheetName val="BM "/>
      <sheetName val="DWG LIST"/>
      <sheetName val="#REF"/>
      <sheetName val="PNT-QUOT-#3"/>
      <sheetName val="COAT&amp;WRAP-QIOT-#3"/>
      <sheetName val="CAT_5"/>
      <sheetName val="COA-17"/>
      <sheetName val="C-18"/>
      <sheetName val="list"/>
      <sheetName val="Break Down Price"/>
      <sheetName val="1100"/>
      <sheetName val="Mech CIF"/>
      <sheetName val="환율-LIBOR"/>
      <sheetName val="JOB特定"/>
      <sheetName val="VL"/>
      <sheetName val="산근"/>
      <sheetName val="PBS"/>
      <sheetName val="LGBOM1절_CheckList"/>
      <sheetName val="카메라"/>
      <sheetName val="보일러"/>
      <sheetName val="ITEM-LIST"/>
      <sheetName val="Eq. Mobilization"/>
      <sheetName val="Proposal"/>
      <sheetName val="적용환율"/>
      <sheetName val="circular_bundle4"/>
      <sheetName val="steam_table4"/>
      <sheetName val="BLR_12"/>
      <sheetName val="GM_0002"/>
      <sheetName val="BSD__2_2"/>
      <sheetName val="BSD_(2)2"/>
      <sheetName val="Code_022"/>
      <sheetName val="Code_032"/>
      <sheetName val="Code_042"/>
      <sheetName val="Code_052"/>
      <sheetName val="Code_062"/>
      <sheetName val="Code_072"/>
      <sheetName val="Code_092"/>
      <sheetName val="Sheet3_(2)2"/>
      <sheetName val="ADL_DATA2"/>
      <sheetName val="FIRE_FIGHTING2"/>
      <sheetName val="BM_2"/>
      <sheetName val="DWG_LIST2"/>
      <sheetName val="Wind_Load(3_1)_(2)2"/>
      <sheetName val="Wind_Load(3_2)2"/>
      <sheetName val="Wind_Load(3_4)2"/>
      <sheetName val="Break_Down_Price2"/>
      <sheetName val="circular_bundle2"/>
      <sheetName val="steam_table2"/>
      <sheetName val="BLR_1"/>
      <sheetName val="GM_000"/>
      <sheetName val="BSD__2_"/>
      <sheetName val="BSD_(2)"/>
      <sheetName val="Code_02"/>
      <sheetName val="Code_03"/>
      <sheetName val="Code_04"/>
      <sheetName val="Code_05"/>
      <sheetName val="Code_06"/>
      <sheetName val="Code_07"/>
      <sheetName val="Code_09"/>
      <sheetName val="Sheet3_(2)"/>
      <sheetName val="ADL_DATA"/>
      <sheetName val="FIRE_FIGHTING"/>
      <sheetName val="BM_"/>
      <sheetName val="DWG_LIST"/>
      <sheetName val="Wind_Load(3_1)_(2)"/>
      <sheetName val="Wind_Load(3_2)"/>
      <sheetName val="Wind_Load(3_4)"/>
      <sheetName val="Break_Down_Price"/>
      <sheetName val="circular_bundle3"/>
      <sheetName val="steam_table3"/>
      <sheetName val="BLR_11"/>
      <sheetName val="GM_0001"/>
      <sheetName val="BSD__2_1"/>
      <sheetName val="BSD_(2)1"/>
      <sheetName val="Code_021"/>
      <sheetName val="Code_031"/>
      <sheetName val="Code_041"/>
      <sheetName val="Code_051"/>
      <sheetName val="Code_061"/>
      <sheetName val="Code_071"/>
      <sheetName val="Code_091"/>
      <sheetName val="Sheet3_(2)1"/>
      <sheetName val="ADL_DATA1"/>
      <sheetName val="FIRE_FIGHTING1"/>
      <sheetName val="BM_1"/>
      <sheetName val="DWG_LIST1"/>
      <sheetName val="Wind_Load(3_1)_(2)1"/>
      <sheetName val="Wind_Load(3_2)1"/>
      <sheetName val="Wind_Load(3_4)1"/>
      <sheetName val="Break_Down_Price1"/>
      <sheetName val="circular_bundle6"/>
      <sheetName val="steam_table6"/>
      <sheetName val="BLR_14"/>
      <sheetName val="GM_0004"/>
      <sheetName val="BSD__2_4"/>
      <sheetName val="BSD_(2)4"/>
      <sheetName val="Code_024"/>
      <sheetName val="Code_034"/>
      <sheetName val="Code_044"/>
      <sheetName val="Code_054"/>
      <sheetName val="Code_064"/>
      <sheetName val="Code_074"/>
      <sheetName val="Code_094"/>
      <sheetName val="Sheet3_(2)4"/>
      <sheetName val="ADL_DATA4"/>
      <sheetName val="FIRE_FIGHTING4"/>
      <sheetName val="BM_4"/>
      <sheetName val="DWG_LIST4"/>
      <sheetName val="Wind_Load(3_1)_(2)4"/>
      <sheetName val="Wind_Load(3_2)4"/>
      <sheetName val="Wind_Load(3_4)4"/>
      <sheetName val="Break_Down_Price4"/>
      <sheetName val="circular_bundle5"/>
      <sheetName val="steam_table5"/>
      <sheetName val="BLR_13"/>
      <sheetName val="GM_0003"/>
      <sheetName val="BSD__2_3"/>
      <sheetName val="BSD_(2)3"/>
      <sheetName val="Code_023"/>
      <sheetName val="Code_033"/>
      <sheetName val="Code_043"/>
      <sheetName val="Code_053"/>
      <sheetName val="Code_063"/>
      <sheetName val="Code_073"/>
      <sheetName val="Code_093"/>
      <sheetName val="Sheet3_(2)3"/>
      <sheetName val="ADL_DATA3"/>
      <sheetName val="FIRE_FIGHTING3"/>
      <sheetName val="BM_3"/>
      <sheetName val="DWG_LIST3"/>
      <sheetName val="Wind_Load(3_1)_(2)3"/>
      <sheetName val="Wind_Load(3_2)3"/>
      <sheetName val="Wind_Load(3_4)3"/>
      <sheetName val="Break_Down_Price3"/>
      <sheetName val="w't table"/>
      <sheetName val="갑지"/>
      <sheetName val="Erection"/>
      <sheetName val="Sheet2"/>
      <sheetName val="circular_bundle7"/>
      <sheetName val="steam_table7"/>
      <sheetName val="BLR_15"/>
      <sheetName val="GM_0005"/>
      <sheetName val="BSD__2_5"/>
      <sheetName val="BSD_(2)5"/>
      <sheetName val="Code_025"/>
      <sheetName val="Code_035"/>
      <sheetName val="Code_045"/>
      <sheetName val="Code_055"/>
      <sheetName val="Code_065"/>
      <sheetName val="Code_075"/>
      <sheetName val="Code_095"/>
      <sheetName val="Sheet3_(2)5"/>
      <sheetName val="ADL_DATA5"/>
      <sheetName val="FIRE_FIGHTING5"/>
      <sheetName val="Wind_Load(3_1)_(2)5"/>
      <sheetName val="Wind_Load(3_2)5"/>
      <sheetName val="Wind_Load(3_4)5"/>
      <sheetName val="BM_5"/>
      <sheetName val="DWG_LIST5"/>
      <sheetName val="Break_Down_Price5"/>
      <sheetName val="Mech_CIF"/>
      <sheetName val="Eq__Mobilization"/>
      <sheetName val="w't_table"/>
      <sheetName val="circular_bundle8"/>
      <sheetName val="steam_table8"/>
      <sheetName val="BLR_16"/>
      <sheetName val="GM_0006"/>
      <sheetName val="BSD__2_6"/>
      <sheetName val="BSD_(2)6"/>
      <sheetName val="Code_026"/>
      <sheetName val="Code_036"/>
      <sheetName val="Code_046"/>
      <sheetName val="Code_056"/>
      <sheetName val="Code_066"/>
      <sheetName val="Code_076"/>
      <sheetName val="Code_096"/>
      <sheetName val="Sheet3_(2)6"/>
      <sheetName val="ADL_DATA6"/>
      <sheetName val="FIRE_FIGHTING6"/>
      <sheetName val="Wind_Load(3_1)_(2)6"/>
      <sheetName val="Wind_Load(3_2)6"/>
      <sheetName val="Wind_Load(3_4)6"/>
      <sheetName val="BM_6"/>
      <sheetName val="DWG_LIST6"/>
      <sheetName val="Break_Down_Price6"/>
      <sheetName val="Mech_CIF1"/>
      <sheetName val="Eq__Mobilization1"/>
      <sheetName val="w't_table1"/>
      <sheetName val="circular_bundle9"/>
      <sheetName val="steam_table9"/>
      <sheetName val="BLR_17"/>
      <sheetName val="GM_0007"/>
      <sheetName val="BSD__2_7"/>
      <sheetName val="BSD_(2)7"/>
      <sheetName val="Code_027"/>
      <sheetName val="Code_037"/>
      <sheetName val="Code_047"/>
      <sheetName val="Code_057"/>
      <sheetName val="Code_067"/>
      <sheetName val="Code_077"/>
      <sheetName val="Code_097"/>
      <sheetName val="Sheet3_(2)7"/>
      <sheetName val="Wind_Load(3_1)_(2)7"/>
      <sheetName val="Wind_Load(3_2)7"/>
      <sheetName val="Wind_Load(3_4)7"/>
      <sheetName val="ADL_DATA7"/>
      <sheetName val="FIRE_FIGHTING7"/>
      <sheetName val="BM_7"/>
      <sheetName val="DWG_LIST7"/>
      <sheetName val="Break_Down_Price7"/>
      <sheetName val="Mech_CIF2"/>
      <sheetName val="Eq__Mobilization2"/>
      <sheetName val="w't_table2"/>
      <sheetName val="circular_bundle10"/>
      <sheetName val="steam_table10"/>
      <sheetName val="BLR_18"/>
      <sheetName val="GM_0008"/>
      <sheetName val="BSD__2_8"/>
      <sheetName val="BSD_(2)8"/>
      <sheetName val="Code_028"/>
      <sheetName val="Code_038"/>
      <sheetName val="Code_048"/>
      <sheetName val="Code_058"/>
      <sheetName val="Code_068"/>
      <sheetName val="Code_078"/>
      <sheetName val="Code_098"/>
      <sheetName val="Sheet3_(2)8"/>
      <sheetName val="Wind_Load(3_1)_(2)8"/>
      <sheetName val="Wind_Load(3_2)8"/>
      <sheetName val="Wind_Load(3_4)8"/>
      <sheetName val="ADL_DATA8"/>
      <sheetName val="FIRE_FIGHTING8"/>
      <sheetName val="BM_8"/>
      <sheetName val="DWG_LIST8"/>
      <sheetName val="Break_Down_Price8"/>
      <sheetName val="Mech_CIF3"/>
      <sheetName val="Eq__Mobilization3"/>
      <sheetName val="w't_table3"/>
      <sheetName val="Labor"/>
      <sheetName val="WT-LIST"/>
      <sheetName val="labor1"/>
      <sheetName val="index"/>
      <sheetName val="BQ"/>
      <sheetName val="Sheet1"/>
      <sheetName val="PLAN_FEB97"/>
      <sheetName val="차액보증"/>
      <sheetName val="3D-HOR"/>
      <sheetName val="3D-PEN"/>
      <sheetName val="ELE3D"/>
      <sheetName val="ELE DATA"/>
      <sheetName val="ELEMENT BM"/>
      <sheetName val="TubePR"/>
      <sheetName val="UPPER-CP(표지)"/>
      <sheetName val="UPPER-CP(상세)"/>
      <sheetName val="LOWER-CP(표지)"/>
      <sheetName val="LOWER-CP(상세)"/>
      <sheetName val="PENDANT-CP(표지)"/>
      <sheetName val="PENDANT-CP(상세)"/>
      <sheetName val="hotwell_sizing"/>
      <sheetName val="Tubesheet Th'k"/>
      <sheetName val="ESTI."/>
      <sheetName val="DI-ESTI"/>
      <sheetName val="22-Plant"/>
      <sheetName val="Supervision List"/>
      <sheetName val="기계내역서"/>
      <sheetName val="사진"/>
      <sheetName val="설산1.나"/>
      <sheetName val="본사S"/>
      <sheetName val="DATA LISTS"/>
      <sheetName val="ancillary"/>
      <sheetName val="PumpSpec"/>
      <sheetName val="co-no.2"/>
      <sheetName val="h-013211-2"/>
      <sheetName val="Table"/>
    </sheetNames>
    <sheetDataSet>
      <sheetData sheetId="0" refreshError="1"/>
      <sheetData sheetId="1" refreshError="1">
        <row r="5">
          <cell r="N5">
            <v>20</v>
          </cell>
          <cell r="O5">
            <v>2454.3000000000002</v>
          </cell>
          <cell r="P5">
            <v>21</v>
          </cell>
          <cell r="Q5">
            <v>2452</v>
          </cell>
        </row>
        <row r="6">
          <cell r="N6">
            <v>21</v>
          </cell>
          <cell r="O6">
            <v>2452</v>
          </cell>
          <cell r="P6">
            <v>22</v>
          </cell>
          <cell r="Q6">
            <v>2449.6</v>
          </cell>
        </row>
        <row r="7">
          <cell r="N7">
            <v>22</v>
          </cell>
          <cell r="O7">
            <v>2449.6</v>
          </cell>
          <cell r="P7">
            <v>23</v>
          </cell>
          <cell r="Q7">
            <v>2447.1999999999998</v>
          </cell>
        </row>
        <row r="8">
          <cell r="N8">
            <v>23</v>
          </cell>
          <cell r="O8">
            <v>2447.1999999999998</v>
          </cell>
          <cell r="P8">
            <v>24</v>
          </cell>
          <cell r="Q8">
            <v>2444.9</v>
          </cell>
        </row>
        <row r="9">
          <cell r="N9">
            <v>24</v>
          </cell>
          <cell r="O9">
            <v>2444.9</v>
          </cell>
          <cell r="P9">
            <v>25</v>
          </cell>
          <cell r="Q9">
            <v>2442.5</v>
          </cell>
        </row>
        <row r="10">
          <cell r="N10">
            <v>25</v>
          </cell>
          <cell r="O10">
            <v>2442.5</v>
          </cell>
          <cell r="P10">
            <v>26</v>
          </cell>
          <cell r="Q10">
            <v>2440.1999999999998</v>
          </cell>
        </row>
        <row r="11">
          <cell r="N11">
            <v>26</v>
          </cell>
          <cell r="O11">
            <v>2440.1999999999998</v>
          </cell>
          <cell r="P11">
            <v>27</v>
          </cell>
          <cell r="Q11">
            <v>2437.8000000000002</v>
          </cell>
        </row>
        <row r="12">
          <cell r="N12">
            <v>27</v>
          </cell>
          <cell r="O12">
            <v>2437.8000000000002</v>
          </cell>
          <cell r="P12">
            <v>28</v>
          </cell>
          <cell r="Q12">
            <v>2435.4</v>
          </cell>
        </row>
        <row r="13">
          <cell r="N13">
            <v>28</v>
          </cell>
          <cell r="O13">
            <v>2435.4</v>
          </cell>
          <cell r="P13">
            <v>29</v>
          </cell>
          <cell r="Q13">
            <v>2433.1</v>
          </cell>
        </row>
        <row r="14">
          <cell r="N14">
            <v>29</v>
          </cell>
          <cell r="O14">
            <v>2433.1</v>
          </cell>
          <cell r="P14">
            <v>30</v>
          </cell>
          <cell r="Q14">
            <v>2430.6999999999998</v>
          </cell>
        </row>
        <row r="15">
          <cell r="N15">
            <v>30</v>
          </cell>
          <cell r="O15">
            <v>2430.6999999999998</v>
          </cell>
          <cell r="P15">
            <v>31</v>
          </cell>
          <cell r="Q15">
            <v>2428.3000000000002</v>
          </cell>
        </row>
        <row r="16">
          <cell r="N16">
            <v>31</v>
          </cell>
          <cell r="O16">
            <v>2428.3000000000002</v>
          </cell>
          <cell r="P16">
            <v>32</v>
          </cell>
          <cell r="Q16">
            <v>2425.9</v>
          </cell>
        </row>
        <row r="17">
          <cell r="N17">
            <v>32</v>
          </cell>
          <cell r="O17">
            <v>2425.9</v>
          </cell>
          <cell r="P17">
            <v>33</v>
          </cell>
          <cell r="Q17">
            <v>2423.6</v>
          </cell>
        </row>
        <row r="18">
          <cell r="N18">
            <v>33</v>
          </cell>
          <cell r="O18">
            <v>2423.6</v>
          </cell>
          <cell r="P18">
            <v>34</v>
          </cell>
          <cell r="Q18">
            <v>2421.1999999999998</v>
          </cell>
        </row>
        <row r="19">
          <cell r="N19">
            <v>34</v>
          </cell>
          <cell r="O19">
            <v>2421.1999999999998</v>
          </cell>
          <cell r="P19">
            <v>35</v>
          </cell>
          <cell r="Q19">
            <v>2418.8000000000002</v>
          </cell>
        </row>
        <row r="20">
          <cell r="N20">
            <v>35</v>
          </cell>
          <cell r="O20">
            <v>2418.8000000000002</v>
          </cell>
          <cell r="P20">
            <v>36</v>
          </cell>
          <cell r="Q20">
            <v>2416.4</v>
          </cell>
        </row>
        <row r="21">
          <cell r="N21">
            <v>36</v>
          </cell>
          <cell r="O21">
            <v>2416.4</v>
          </cell>
          <cell r="P21">
            <v>37</v>
          </cell>
          <cell r="Q21">
            <v>2414.1</v>
          </cell>
        </row>
        <row r="22">
          <cell r="N22">
            <v>37</v>
          </cell>
          <cell r="O22">
            <v>2414.1</v>
          </cell>
          <cell r="P22">
            <v>38</v>
          </cell>
          <cell r="Q22">
            <v>2411.6999999999998</v>
          </cell>
        </row>
        <row r="23">
          <cell r="N23">
            <v>38</v>
          </cell>
          <cell r="O23">
            <v>2411.6999999999998</v>
          </cell>
          <cell r="P23">
            <v>39</v>
          </cell>
          <cell r="Q23">
            <v>2409.3000000000002</v>
          </cell>
        </row>
        <row r="24">
          <cell r="N24">
            <v>39</v>
          </cell>
          <cell r="O24">
            <v>2409.3000000000002</v>
          </cell>
          <cell r="P24">
            <v>40</v>
          </cell>
          <cell r="Q24">
            <v>2406.9</v>
          </cell>
        </row>
        <row r="25">
          <cell r="N25">
            <v>40</v>
          </cell>
          <cell r="O25">
            <v>2406.9</v>
          </cell>
          <cell r="P25">
            <v>41</v>
          </cell>
          <cell r="Q25">
            <v>2404.5</v>
          </cell>
        </row>
        <row r="26">
          <cell r="N26">
            <v>41</v>
          </cell>
          <cell r="O26">
            <v>2404.5</v>
          </cell>
          <cell r="P26">
            <v>42</v>
          </cell>
          <cell r="Q26">
            <v>2402.1</v>
          </cell>
        </row>
        <row r="27">
          <cell r="N27">
            <v>42</v>
          </cell>
          <cell r="O27">
            <v>2402.1</v>
          </cell>
          <cell r="P27">
            <v>43</v>
          </cell>
          <cell r="Q27">
            <v>2399.6999999999998</v>
          </cell>
        </row>
        <row r="28">
          <cell r="N28">
            <v>43</v>
          </cell>
          <cell r="O28">
            <v>2399.6999999999998</v>
          </cell>
          <cell r="P28">
            <v>44</v>
          </cell>
          <cell r="Q28">
            <v>2397.3000000000002</v>
          </cell>
        </row>
        <row r="29">
          <cell r="N29">
            <v>44</v>
          </cell>
          <cell r="O29">
            <v>2397.3000000000002</v>
          </cell>
          <cell r="P29">
            <v>45</v>
          </cell>
          <cell r="Q29">
            <v>2394.9</v>
          </cell>
        </row>
        <row r="30">
          <cell r="N30">
            <v>45</v>
          </cell>
          <cell r="O30">
            <v>2394.9</v>
          </cell>
          <cell r="P30">
            <v>46</v>
          </cell>
          <cell r="Q30">
            <v>2392.5</v>
          </cell>
        </row>
        <row r="31">
          <cell r="N31">
            <v>46</v>
          </cell>
          <cell r="O31">
            <v>2392.5</v>
          </cell>
          <cell r="P31">
            <v>47</v>
          </cell>
          <cell r="Q31">
            <v>2390.1</v>
          </cell>
        </row>
        <row r="32">
          <cell r="N32">
            <v>47</v>
          </cell>
          <cell r="O32">
            <v>2390.1</v>
          </cell>
          <cell r="P32">
            <v>48</v>
          </cell>
          <cell r="Q32">
            <v>2387.6999999999998</v>
          </cell>
        </row>
        <row r="33">
          <cell r="N33">
            <v>48</v>
          </cell>
          <cell r="O33">
            <v>2387.6999999999998</v>
          </cell>
          <cell r="P33">
            <v>49</v>
          </cell>
          <cell r="Q33">
            <v>2385.3000000000002</v>
          </cell>
        </row>
        <row r="34">
          <cell r="N34">
            <v>49</v>
          </cell>
          <cell r="O34">
            <v>2385.3000000000002</v>
          </cell>
          <cell r="P34">
            <v>50</v>
          </cell>
          <cell r="Q34">
            <v>2382.9</v>
          </cell>
        </row>
        <row r="35">
          <cell r="N35">
            <v>50</v>
          </cell>
          <cell r="O35">
            <v>2382.9</v>
          </cell>
          <cell r="P35">
            <v>51</v>
          </cell>
          <cell r="Q35">
            <v>2380.5</v>
          </cell>
        </row>
        <row r="36">
          <cell r="N36">
            <v>51</v>
          </cell>
          <cell r="O36">
            <v>2380.5</v>
          </cell>
          <cell r="P36">
            <v>52</v>
          </cell>
          <cell r="Q36">
            <v>2378.1</v>
          </cell>
        </row>
        <row r="37">
          <cell r="N37">
            <v>52</v>
          </cell>
          <cell r="O37">
            <v>2378.1</v>
          </cell>
          <cell r="P37">
            <v>53</v>
          </cell>
          <cell r="Q37">
            <v>2375.6999999999998</v>
          </cell>
        </row>
        <row r="38">
          <cell r="N38">
            <v>53</v>
          </cell>
          <cell r="O38">
            <v>2375.6999999999998</v>
          </cell>
          <cell r="P38">
            <v>54</v>
          </cell>
          <cell r="Q38">
            <v>2373.1999999999998</v>
          </cell>
        </row>
        <row r="39">
          <cell r="N39">
            <v>54</v>
          </cell>
          <cell r="O39">
            <v>2373.1999999999998</v>
          </cell>
          <cell r="P39">
            <v>55</v>
          </cell>
          <cell r="Q39">
            <v>2370.8000000000002</v>
          </cell>
        </row>
        <row r="40">
          <cell r="N40">
            <v>55</v>
          </cell>
          <cell r="O40">
            <v>2370.8000000000002</v>
          </cell>
          <cell r="P40">
            <v>56</v>
          </cell>
          <cell r="Q40">
            <v>2368.4</v>
          </cell>
        </row>
        <row r="41">
          <cell r="N41">
            <v>56</v>
          </cell>
          <cell r="O41">
            <v>2368.4</v>
          </cell>
          <cell r="P41">
            <v>57</v>
          </cell>
          <cell r="Q41">
            <v>2365.9</v>
          </cell>
        </row>
        <row r="42">
          <cell r="N42">
            <v>57</v>
          </cell>
          <cell r="O42">
            <v>2365.9</v>
          </cell>
          <cell r="P42">
            <v>58</v>
          </cell>
          <cell r="Q42">
            <v>2363.5</v>
          </cell>
        </row>
        <row r="43">
          <cell r="N43">
            <v>58</v>
          </cell>
          <cell r="O43">
            <v>2363.5</v>
          </cell>
          <cell r="P43">
            <v>59</v>
          </cell>
          <cell r="Q43">
            <v>2361.1</v>
          </cell>
        </row>
        <row r="44">
          <cell r="N44">
            <v>59</v>
          </cell>
          <cell r="O44">
            <v>2361.1</v>
          </cell>
          <cell r="P44">
            <v>60</v>
          </cell>
          <cell r="Q44">
            <v>2358.6</v>
          </cell>
        </row>
        <row r="45">
          <cell r="N45">
            <v>60</v>
          </cell>
          <cell r="O45">
            <v>2358.6</v>
          </cell>
          <cell r="P45">
            <v>61</v>
          </cell>
          <cell r="Q45">
            <v>2356.1999999999998</v>
          </cell>
        </row>
        <row r="46">
          <cell r="N46">
            <v>61</v>
          </cell>
          <cell r="O46">
            <v>2356.1999999999998</v>
          </cell>
          <cell r="P46">
            <v>62</v>
          </cell>
          <cell r="Q46">
            <v>2353.6999999999998</v>
          </cell>
        </row>
        <row r="47">
          <cell r="N47">
            <v>62</v>
          </cell>
          <cell r="O47">
            <v>2353.6999999999998</v>
          </cell>
          <cell r="P47">
            <v>63</v>
          </cell>
          <cell r="Q47">
            <v>2351.3000000000002</v>
          </cell>
        </row>
        <row r="48">
          <cell r="N48">
            <v>63</v>
          </cell>
          <cell r="O48">
            <v>2351.3000000000002</v>
          </cell>
          <cell r="P48">
            <v>64</v>
          </cell>
          <cell r="Q48">
            <v>2348.8000000000002</v>
          </cell>
        </row>
        <row r="49">
          <cell r="N49">
            <v>64</v>
          </cell>
          <cell r="O49">
            <v>2348.8000000000002</v>
          </cell>
          <cell r="P49">
            <v>65</v>
          </cell>
          <cell r="Q49">
            <v>2346.3000000000002</v>
          </cell>
        </row>
        <row r="50">
          <cell r="N50">
            <v>65</v>
          </cell>
          <cell r="O50">
            <v>2346.3000000000002</v>
          </cell>
          <cell r="P50">
            <v>66</v>
          </cell>
          <cell r="Q50">
            <v>2343.9</v>
          </cell>
        </row>
        <row r="51">
          <cell r="N51">
            <v>66</v>
          </cell>
          <cell r="O51">
            <v>2343.9</v>
          </cell>
          <cell r="P51">
            <v>67</v>
          </cell>
          <cell r="Q51">
            <v>2341.4</v>
          </cell>
        </row>
        <row r="52">
          <cell r="N52">
            <v>67</v>
          </cell>
          <cell r="O52">
            <v>2341.4</v>
          </cell>
          <cell r="P52">
            <v>68</v>
          </cell>
          <cell r="Q52">
            <v>2338.9</v>
          </cell>
        </row>
        <row r="53">
          <cell r="N53">
            <v>68</v>
          </cell>
          <cell r="O53">
            <v>2338.9</v>
          </cell>
          <cell r="P53">
            <v>69</v>
          </cell>
          <cell r="Q53">
            <v>2336.4</v>
          </cell>
        </row>
        <row r="54">
          <cell r="N54">
            <v>69</v>
          </cell>
          <cell r="O54">
            <v>2336.4</v>
          </cell>
          <cell r="P54">
            <v>70</v>
          </cell>
          <cell r="Q54">
            <v>2334</v>
          </cell>
        </row>
        <row r="55">
          <cell r="N55">
            <v>70</v>
          </cell>
          <cell r="O55">
            <v>2334</v>
          </cell>
          <cell r="P55">
            <v>71</v>
          </cell>
          <cell r="Q55">
            <v>2331.5</v>
          </cell>
        </row>
        <row r="56">
          <cell r="N56">
            <v>71</v>
          </cell>
          <cell r="O56">
            <v>2331.5</v>
          </cell>
          <cell r="P56">
            <v>72</v>
          </cell>
          <cell r="Q56">
            <v>2329</v>
          </cell>
        </row>
        <row r="57">
          <cell r="N57">
            <v>72</v>
          </cell>
          <cell r="O57">
            <v>2329</v>
          </cell>
          <cell r="P57">
            <v>73</v>
          </cell>
          <cell r="Q57">
            <v>2326.5</v>
          </cell>
        </row>
        <row r="58">
          <cell r="N58">
            <v>73</v>
          </cell>
          <cell r="O58">
            <v>2326.5</v>
          </cell>
          <cell r="P58">
            <v>74</v>
          </cell>
          <cell r="Q58">
            <v>2324</v>
          </cell>
        </row>
        <row r="59">
          <cell r="N59">
            <v>74</v>
          </cell>
          <cell r="O59">
            <v>2324</v>
          </cell>
          <cell r="P59">
            <v>75</v>
          </cell>
          <cell r="Q59">
            <v>2321.5</v>
          </cell>
        </row>
        <row r="60">
          <cell r="N60">
            <v>75</v>
          </cell>
          <cell r="O60">
            <v>2321.5</v>
          </cell>
          <cell r="P60">
            <v>76</v>
          </cell>
          <cell r="Q60">
            <v>2318.9</v>
          </cell>
        </row>
        <row r="61">
          <cell r="N61">
            <v>76</v>
          </cell>
          <cell r="O61">
            <v>2318.9</v>
          </cell>
          <cell r="P61">
            <v>77</v>
          </cell>
          <cell r="Q61">
            <v>2316.4</v>
          </cell>
        </row>
        <row r="62">
          <cell r="N62">
            <v>77</v>
          </cell>
          <cell r="O62">
            <v>2316.4</v>
          </cell>
          <cell r="P62">
            <v>78</v>
          </cell>
          <cell r="Q62">
            <v>2313.9</v>
          </cell>
        </row>
        <row r="63">
          <cell r="N63">
            <v>78</v>
          </cell>
          <cell r="O63">
            <v>2313.9</v>
          </cell>
          <cell r="P63">
            <v>79</v>
          </cell>
          <cell r="Q63">
            <v>2311.4</v>
          </cell>
        </row>
        <row r="64">
          <cell r="N64">
            <v>79</v>
          </cell>
          <cell r="O64">
            <v>2311.4</v>
          </cell>
          <cell r="P64">
            <v>80</v>
          </cell>
          <cell r="Q64">
            <v>2308.8000000000002</v>
          </cell>
        </row>
        <row r="65">
          <cell r="N65">
            <v>80</v>
          </cell>
          <cell r="O65">
            <v>2308.8000000000002</v>
          </cell>
          <cell r="P65">
            <v>81</v>
          </cell>
          <cell r="Q65">
            <v>2306.3000000000002</v>
          </cell>
        </row>
        <row r="66">
          <cell r="N66">
            <v>81</v>
          </cell>
          <cell r="O66">
            <v>2306.3000000000002</v>
          </cell>
          <cell r="P66">
            <v>82</v>
          </cell>
          <cell r="Q66">
            <v>2303.8000000000002</v>
          </cell>
        </row>
        <row r="67">
          <cell r="N67">
            <v>82</v>
          </cell>
          <cell r="O67">
            <v>2303.8000000000002</v>
          </cell>
          <cell r="P67">
            <v>83</v>
          </cell>
          <cell r="Q67">
            <v>2301.1999999999998</v>
          </cell>
        </row>
        <row r="68">
          <cell r="N68">
            <v>83</v>
          </cell>
          <cell r="O68">
            <v>2301.1999999999998</v>
          </cell>
          <cell r="P68">
            <v>84</v>
          </cell>
          <cell r="Q68">
            <v>2298.6999999999998</v>
          </cell>
        </row>
        <row r="69">
          <cell r="N69">
            <v>84</v>
          </cell>
          <cell r="O69">
            <v>2298.6999999999998</v>
          </cell>
          <cell r="P69">
            <v>85</v>
          </cell>
          <cell r="Q69">
            <v>2296.5</v>
          </cell>
        </row>
        <row r="70">
          <cell r="N70">
            <v>85</v>
          </cell>
          <cell r="O70">
            <v>2296.5</v>
          </cell>
          <cell r="P70">
            <v>86</v>
          </cell>
          <cell r="Q70">
            <v>2293.1</v>
          </cell>
        </row>
        <row r="71">
          <cell r="N71">
            <v>86</v>
          </cell>
          <cell r="O71">
            <v>2293.1</v>
          </cell>
          <cell r="P71">
            <v>87</v>
          </cell>
          <cell r="Q71">
            <v>2290.9</v>
          </cell>
        </row>
        <row r="72">
          <cell r="N72">
            <v>87</v>
          </cell>
          <cell r="O72">
            <v>2290.9</v>
          </cell>
          <cell r="P72">
            <v>88</v>
          </cell>
          <cell r="Q72">
            <v>2288.4</v>
          </cell>
        </row>
        <row r="73">
          <cell r="N73">
            <v>88</v>
          </cell>
          <cell r="O73">
            <v>2288.4</v>
          </cell>
          <cell r="P73">
            <v>89</v>
          </cell>
          <cell r="Q73">
            <v>2285.8000000000002</v>
          </cell>
        </row>
        <row r="74">
          <cell r="N74">
            <v>89</v>
          </cell>
          <cell r="O74">
            <v>2285.8000000000002</v>
          </cell>
          <cell r="P74">
            <v>90</v>
          </cell>
          <cell r="Q74">
            <v>2283.1999999999998</v>
          </cell>
        </row>
        <row r="75">
          <cell r="N75">
            <v>90</v>
          </cell>
          <cell r="O75">
            <v>2283.1999999999998</v>
          </cell>
          <cell r="P75">
            <v>91</v>
          </cell>
          <cell r="Q75">
            <v>2280.6</v>
          </cell>
        </row>
        <row r="76">
          <cell r="N76">
            <v>91</v>
          </cell>
          <cell r="O76">
            <v>2280.6</v>
          </cell>
          <cell r="P76">
            <v>92</v>
          </cell>
          <cell r="Q76">
            <v>2278</v>
          </cell>
        </row>
        <row r="77">
          <cell r="N77">
            <v>92</v>
          </cell>
          <cell r="O77">
            <v>2278</v>
          </cell>
          <cell r="P77">
            <v>93</v>
          </cell>
          <cell r="Q77">
            <v>2275.4</v>
          </cell>
        </row>
        <row r="78">
          <cell r="N78">
            <v>93</v>
          </cell>
          <cell r="O78">
            <v>2275.4</v>
          </cell>
          <cell r="P78">
            <v>94</v>
          </cell>
          <cell r="Q78">
            <v>2272.8000000000002</v>
          </cell>
        </row>
        <row r="79">
          <cell r="N79">
            <v>94</v>
          </cell>
          <cell r="O79">
            <v>2272.8000000000002</v>
          </cell>
          <cell r="P79">
            <v>95</v>
          </cell>
          <cell r="Q79">
            <v>2270.1999999999998</v>
          </cell>
        </row>
        <row r="80">
          <cell r="N80">
            <v>95</v>
          </cell>
          <cell r="O80">
            <v>2270.1999999999998</v>
          </cell>
          <cell r="P80">
            <v>96</v>
          </cell>
          <cell r="Q80">
            <v>2267.5</v>
          </cell>
        </row>
        <row r="81">
          <cell r="N81">
            <v>96</v>
          </cell>
          <cell r="O81">
            <v>2267.5</v>
          </cell>
          <cell r="P81">
            <v>97</v>
          </cell>
          <cell r="Q81">
            <v>2264.9</v>
          </cell>
        </row>
        <row r="82">
          <cell r="N82">
            <v>97</v>
          </cell>
          <cell r="O82">
            <v>2264.9</v>
          </cell>
          <cell r="P82">
            <v>98</v>
          </cell>
          <cell r="Q82">
            <v>2262.1999999999998</v>
          </cell>
        </row>
        <row r="83">
          <cell r="N83">
            <v>98</v>
          </cell>
          <cell r="O83">
            <v>2262.1999999999998</v>
          </cell>
          <cell r="P83">
            <v>99</v>
          </cell>
          <cell r="Q83">
            <v>2259.6</v>
          </cell>
        </row>
        <row r="84">
          <cell r="N84">
            <v>99</v>
          </cell>
          <cell r="O84">
            <v>2259.6</v>
          </cell>
          <cell r="P84">
            <v>100</v>
          </cell>
          <cell r="Q84">
            <v>2256.9</v>
          </cell>
        </row>
        <row r="85">
          <cell r="N85">
            <v>100</v>
          </cell>
          <cell r="O85">
            <v>2256.9</v>
          </cell>
          <cell r="P85">
            <v>101</v>
          </cell>
          <cell r="Q85">
            <v>2254.3000000000002</v>
          </cell>
        </row>
        <row r="86">
          <cell r="N86">
            <v>101</v>
          </cell>
          <cell r="O86">
            <v>2254.3000000000002</v>
          </cell>
          <cell r="P86">
            <v>102</v>
          </cell>
          <cell r="Q86">
            <v>2251.6</v>
          </cell>
        </row>
        <row r="87">
          <cell r="N87">
            <v>102</v>
          </cell>
          <cell r="O87">
            <v>2251.6</v>
          </cell>
          <cell r="P87">
            <v>103</v>
          </cell>
          <cell r="Q87">
            <v>2248.9</v>
          </cell>
        </row>
        <row r="88">
          <cell r="N88">
            <v>103</v>
          </cell>
          <cell r="O88">
            <v>2248.9</v>
          </cell>
          <cell r="P88">
            <v>104</v>
          </cell>
          <cell r="Q88">
            <v>2246.3000000000002</v>
          </cell>
        </row>
        <row r="89">
          <cell r="N89">
            <v>104</v>
          </cell>
          <cell r="O89">
            <v>2246.3000000000002</v>
          </cell>
          <cell r="P89">
            <v>105</v>
          </cell>
          <cell r="Q89">
            <v>2243.6</v>
          </cell>
        </row>
        <row r="90">
          <cell r="N90">
            <v>105</v>
          </cell>
          <cell r="O90">
            <v>2243.6</v>
          </cell>
          <cell r="P90">
            <v>106</v>
          </cell>
          <cell r="Q90">
            <v>2240.9</v>
          </cell>
        </row>
        <row r="91">
          <cell r="N91">
            <v>106</v>
          </cell>
          <cell r="O91">
            <v>2240.9</v>
          </cell>
          <cell r="P91">
            <v>107</v>
          </cell>
          <cell r="Q91">
            <v>2238.1999999999998</v>
          </cell>
        </row>
        <row r="92">
          <cell r="N92">
            <v>107</v>
          </cell>
          <cell r="O92">
            <v>2238.1999999999998</v>
          </cell>
          <cell r="P92">
            <v>108</v>
          </cell>
          <cell r="Q92">
            <v>2235.4</v>
          </cell>
        </row>
        <row r="93">
          <cell r="N93">
            <v>108</v>
          </cell>
          <cell r="O93">
            <v>2235.4</v>
          </cell>
          <cell r="P93">
            <v>109</v>
          </cell>
          <cell r="Q93">
            <v>2232.6999999999998</v>
          </cell>
        </row>
        <row r="94">
          <cell r="N94">
            <v>109</v>
          </cell>
          <cell r="O94">
            <v>2232.6999999999998</v>
          </cell>
          <cell r="P94">
            <v>110</v>
          </cell>
          <cell r="Q94">
            <v>2230</v>
          </cell>
        </row>
        <row r="95">
          <cell r="N95">
            <v>110</v>
          </cell>
          <cell r="O95">
            <v>2230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ow r="5">
          <cell r="N5">
            <v>20</v>
          </cell>
        </row>
      </sheetData>
      <sheetData sheetId="116">
        <row r="5">
          <cell r="N5">
            <v>20</v>
          </cell>
        </row>
      </sheetData>
      <sheetData sheetId="117">
        <row r="5">
          <cell r="N5">
            <v>20</v>
          </cell>
        </row>
      </sheetData>
      <sheetData sheetId="118">
        <row r="5">
          <cell r="N5">
            <v>20</v>
          </cell>
        </row>
      </sheetData>
      <sheetData sheetId="119">
        <row r="5">
          <cell r="N5">
            <v>20</v>
          </cell>
        </row>
      </sheetData>
      <sheetData sheetId="120">
        <row r="5">
          <cell r="N5">
            <v>20</v>
          </cell>
        </row>
      </sheetData>
      <sheetData sheetId="121">
        <row r="5">
          <cell r="N5">
            <v>20</v>
          </cell>
        </row>
      </sheetData>
      <sheetData sheetId="122">
        <row r="5">
          <cell r="N5">
            <v>20</v>
          </cell>
        </row>
      </sheetData>
      <sheetData sheetId="123">
        <row r="5">
          <cell r="N5">
            <v>20</v>
          </cell>
        </row>
      </sheetData>
      <sheetData sheetId="124">
        <row r="5">
          <cell r="N5">
            <v>20</v>
          </cell>
        </row>
      </sheetData>
      <sheetData sheetId="125">
        <row r="5">
          <cell r="N5">
            <v>20</v>
          </cell>
        </row>
      </sheetData>
      <sheetData sheetId="126">
        <row r="5">
          <cell r="N5">
            <v>20</v>
          </cell>
        </row>
      </sheetData>
      <sheetData sheetId="127">
        <row r="5">
          <cell r="N5">
            <v>20</v>
          </cell>
        </row>
      </sheetData>
      <sheetData sheetId="128">
        <row r="5">
          <cell r="N5">
            <v>20</v>
          </cell>
        </row>
      </sheetData>
      <sheetData sheetId="129">
        <row r="5">
          <cell r="N5">
            <v>20</v>
          </cell>
        </row>
      </sheetData>
      <sheetData sheetId="130">
        <row r="5">
          <cell r="N5">
            <v>20</v>
          </cell>
        </row>
      </sheetData>
      <sheetData sheetId="131">
        <row r="5">
          <cell r="N5">
            <v>20</v>
          </cell>
        </row>
      </sheetData>
      <sheetData sheetId="132">
        <row r="5">
          <cell r="N5">
            <v>20</v>
          </cell>
        </row>
      </sheetData>
      <sheetData sheetId="133">
        <row r="5">
          <cell r="N5">
            <v>20</v>
          </cell>
        </row>
      </sheetData>
      <sheetData sheetId="134">
        <row r="5">
          <cell r="N5">
            <v>20</v>
          </cell>
        </row>
      </sheetData>
      <sheetData sheetId="135">
        <row r="5">
          <cell r="N5">
            <v>20</v>
          </cell>
        </row>
      </sheetData>
      <sheetData sheetId="136">
        <row r="5">
          <cell r="N5">
            <v>20</v>
          </cell>
        </row>
      </sheetData>
      <sheetData sheetId="137">
        <row r="5">
          <cell r="N5">
            <v>20</v>
          </cell>
        </row>
      </sheetData>
      <sheetData sheetId="138">
        <row r="5">
          <cell r="N5">
            <v>20</v>
          </cell>
        </row>
      </sheetData>
      <sheetData sheetId="139">
        <row r="5">
          <cell r="N5">
            <v>20</v>
          </cell>
        </row>
      </sheetData>
      <sheetData sheetId="140">
        <row r="5">
          <cell r="N5">
            <v>20</v>
          </cell>
        </row>
      </sheetData>
      <sheetData sheetId="141">
        <row r="5">
          <cell r="N5">
            <v>20</v>
          </cell>
        </row>
      </sheetData>
      <sheetData sheetId="142">
        <row r="5">
          <cell r="N5">
            <v>20</v>
          </cell>
        </row>
      </sheetData>
      <sheetData sheetId="143">
        <row r="5">
          <cell r="N5">
            <v>20</v>
          </cell>
        </row>
      </sheetData>
      <sheetData sheetId="144">
        <row r="5">
          <cell r="N5">
            <v>20</v>
          </cell>
        </row>
      </sheetData>
      <sheetData sheetId="145">
        <row r="5">
          <cell r="N5">
            <v>20</v>
          </cell>
        </row>
      </sheetData>
      <sheetData sheetId="146">
        <row r="5">
          <cell r="N5">
            <v>20</v>
          </cell>
        </row>
      </sheetData>
      <sheetData sheetId="147">
        <row r="5">
          <cell r="N5">
            <v>20</v>
          </cell>
        </row>
      </sheetData>
      <sheetData sheetId="148">
        <row r="5">
          <cell r="N5">
            <v>20</v>
          </cell>
        </row>
      </sheetData>
      <sheetData sheetId="149">
        <row r="5">
          <cell r="N5">
            <v>20</v>
          </cell>
        </row>
      </sheetData>
      <sheetData sheetId="150">
        <row r="5">
          <cell r="N5">
            <v>20</v>
          </cell>
        </row>
      </sheetData>
      <sheetData sheetId="151">
        <row r="5">
          <cell r="N5">
            <v>20</v>
          </cell>
        </row>
      </sheetData>
      <sheetData sheetId="152">
        <row r="5">
          <cell r="N5">
            <v>20</v>
          </cell>
        </row>
      </sheetData>
      <sheetData sheetId="153">
        <row r="5">
          <cell r="N5">
            <v>20</v>
          </cell>
        </row>
      </sheetData>
      <sheetData sheetId="154">
        <row r="5">
          <cell r="N5">
            <v>20</v>
          </cell>
        </row>
      </sheetData>
      <sheetData sheetId="155">
        <row r="5">
          <cell r="N5">
            <v>20</v>
          </cell>
        </row>
      </sheetData>
      <sheetData sheetId="156">
        <row r="5">
          <cell r="N5">
            <v>20</v>
          </cell>
        </row>
      </sheetData>
      <sheetData sheetId="157">
        <row r="5">
          <cell r="N5">
            <v>20</v>
          </cell>
        </row>
      </sheetData>
      <sheetData sheetId="158">
        <row r="5">
          <cell r="N5">
            <v>20</v>
          </cell>
        </row>
      </sheetData>
      <sheetData sheetId="159">
        <row r="5">
          <cell r="N5">
            <v>20</v>
          </cell>
        </row>
      </sheetData>
      <sheetData sheetId="160">
        <row r="5">
          <cell r="N5">
            <v>20</v>
          </cell>
        </row>
      </sheetData>
      <sheetData sheetId="161">
        <row r="5">
          <cell r="N5">
            <v>20</v>
          </cell>
        </row>
      </sheetData>
      <sheetData sheetId="162">
        <row r="5">
          <cell r="N5">
            <v>20</v>
          </cell>
        </row>
      </sheetData>
      <sheetData sheetId="163">
        <row r="5">
          <cell r="N5">
            <v>20</v>
          </cell>
        </row>
      </sheetData>
      <sheetData sheetId="164">
        <row r="5">
          <cell r="N5">
            <v>20</v>
          </cell>
        </row>
      </sheetData>
      <sheetData sheetId="165">
        <row r="5">
          <cell r="N5">
            <v>20</v>
          </cell>
        </row>
      </sheetData>
      <sheetData sheetId="166">
        <row r="5">
          <cell r="N5">
            <v>20</v>
          </cell>
        </row>
      </sheetData>
      <sheetData sheetId="167">
        <row r="5">
          <cell r="N5">
            <v>20</v>
          </cell>
        </row>
      </sheetData>
      <sheetData sheetId="168">
        <row r="5">
          <cell r="N5">
            <v>20</v>
          </cell>
        </row>
      </sheetData>
      <sheetData sheetId="169">
        <row r="5">
          <cell r="N5">
            <v>20</v>
          </cell>
        </row>
      </sheetData>
      <sheetData sheetId="170">
        <row r="5">
          <cell r="N5">
            <v>20</v>
          </cell>
        </row>
      </sheetData>
      <sheetData sheetId="171">
        <row r="5">
          <cell r="N5">
            <v>20</v>
          </cell>
        </row>
      </sheetData>
      <sheetData sheetId="172">
        <row r="5">
          <cell r="N5">
            <v>20</v>
          </cell>
        </row>
      </sheetData>
      <sheetData sheetId="173">
        <row r="5">
          <cell r="N5">
            <v>20</v>
          </cell>
        </row>
      </sheetData>
      <sheetData sheetId="174">
        <row r="5">
          <cell r="N5">
            <v>20</v>
          </cell>
        </row>
      </sheetData>
      <sheetData sheetId="175">
        <row r="5">
          <cell r="N5">
            <v>20</v>
          </cell>
        </row>
      </sheetData>
      <sheetData sheetId="176">
        <row r="5">
          <cell r="N5">
            <v>20</v>
          </cell>
        </row>
      </sheetData>
      <sheetData sheetId="177">
        <row r="5">
          <cell r="N5">
            <v>20</v>
          </cell>
        </row>
      </sheetData>
      <sheetData sheetId="178">
        <row r="5">
          <cell r="N5">
            <v>20</v>
          </cell>
        </row>
      </sheetData>
      <sheetData sheetId="179">
        <row r="5">
          <cell r="N5">
            <v>20</v>
          </cell>
        </row>
      </sheetData>
      <sheetData sheetId="180">
        <row r="5">
          <cell r="N5">
            <v>20</v>
          </cell>
        </row>
      </sheetData>
      <sheetData sheetId="181">
        <row r="5">
          <cell r="N5">
            <v>20</v>
          </cell>
        </row>
      </sheetData>
      <sheetData sheetId="182">
        <row r="5">
          <cell r="N5">
            <v>20</v>
          </cell>
        </row>
      </sheetData>
      <sheetData sheetId="183">
        <row r="5">
          <cell r="N5">
            <v>20</v>
          </cell>
        </row>
      </sheetData>
      <sheetData sheetId="184">
        <row r="5">
          <cell r="N5">
            <v>20</v>
          </cell>
        </row>
      </sheetData>
      <sheetData sheetId="185">
        <row r="5">
          <cell r="N5">
            <v>20</v>
          </cell>
        </row>
      </sheetData>
      <sheetData sheetId="186">
        <row r="5">
          <cell r="N5">
            <v>20</v>
          </cell>
        </row>
      </sheetData>
      <sheetData sheetId="187">
        <row r="5">
          <cell r="N5">
            <v>20</v>
          </cell>
        </row>
      </sheetData>
      <sheetData sheetId="188">
        <row r="5">
          <cell r="N5">
            <v>20</v>
          </cell>
        </row>
      </sheetData>
      <sheetData sheetId="189">
        <row r="5">
          <cell r="N5">
            <v>20</v>
          </cell>
        </row>
      </sheetData>
      <sheetData sheetId="190">
        <row r="5">
          <cell r="N5">
            <v>20</v>
          </cell>
        </row>
      </sheetData>
      <sheetData sheetId="191">
        <row r="5">
          <cell r="N5">
            <v>20</v>
          </cell>
        </row>
      </sheetData>
      <sheetData sheetId="192">
        <row r="5">
          <cell r="N5">
            <v>20</v>
          </cell>
        </row>
      </sheetData>
      <sheetData sheetId="193">
        <row r="5">
          <cell r="N5">
            <v>20</v>
          </cell>
        </row>
      </sheetData>
      <sheetData sheetId="194">
        <row r="5">
          <cell r="N5">
            <v>20</v>
          </cell>
        </row>
      </sheetData>
      <sheetData sheetId="195">
        <row r="5">
          <cell r="N5">
            <v>20</v>
          </cell>
        </row>
      </sheetData>
      <sheetData sheetId="196">
        <row r="5">
          <cell r="N5">
            <v>20</v>
          </cell>
        </row>
      </sheetData>
      <sheetData sheetId="197">
        <row r="5">
          <cell r="N5">
            <v>20</v>
          </cell>
        </row>
      </sheetData>
      <sheetData sheetId="198">
        <row r="5">
          <cell r="N5">
            <v>20</v>
          </cell>
        </row>
      </sheetData>
      <sheetData sheetId="199">
        <row r="5">
          <cell r="N5">
            <v>20</v>
          </cell>
        </row>
      </sheetData>
      <sheetData sheetId="200">
        <row r="5">
          <cell r="N5">
            <v>20</v>
          </cell>
        </row>
      </sheetData>
      <sheetData sheetId="201">
        <row r="5">
          <cell r="N5">
            <v>20</v>
          </cell>
        </row>
      </sheetData>
      <sheetData sheetId="202">
        <row r="5">
          <cell r="N5">
            <v>20</v>
          </cell>
        </row>
      </sheetData>
      <sheetData sheetId="203">
        <row r="5">
          <cell r="N5">
            <v>20</v>
          </cell>
        </row>
      </sheetData>
      <sheetData sheetId="204">
        <row r="5">
          <cell r="N5">
            <v>20</v>
          </cell>
        </row>
      </sheetData>
      <sheetData sheetId="205">
        <row r="5">
          <cell r="N5">
            <v>20</v>
          </cell>
        </row>
      </sheetData>
      <sheetData sheetId="206">
        <row r="5">
          <cell r="N5">
            <v>20</v>
          </cell>
        </row>
      </sheetData>
      <sheetData sheetId="207">
        <row r="5">
          <cell r="N5">
            <v>20</v>
          </cell>
        </row>
      </sheetData>
      <sheetData sheetId="208">
        <row r="5">
          <cell r="N5">
            <v>20</v>
          </cell>
        </row>
      </sheetData>
      <sheetData sheetId="209">
        <row r="5">
          <cell r="N5">
            <v>20</v>
          </cell>
        </row>
      </sheetData>
      <sheetData sheetId="210">
        <row r="5">
          <cell r="N5">
            <v>20</v>
          </cell>
        </row>
      </sheetData>
      <sheetData sheetId="211">
        <row r="5">
          <cell r="N5">
            <v>20</v>
          </cell>
        </row>
      </sheetData>
      <sheetData sheetId="212">
        <row r="5">
          <cell r="N5">
            <v>20</v>
          </cell>
        </row>
      </sheetData>
      <sheetData sheetId="213">
        <row r="5">
          <cell r="N5">
            <v>20</v>
          </cell>
        </row>
      </sheetData>
      <sheetData sheetId="214">
        <row r="5">
          <cell r="N5">
            <v>20</v>
          </cell>
        </row>
      </sheetData>
      <sheetData sheetId="215">
        <row r="5">
          <cell r="N5">
            <v>20</v>
          </cell>
        </row>
      </sheetData>
      <sheetData sheetId="216">
        <row r="5">
          <cell r="N5">
            <v>20</v>
          </cell>
        </row>
      </sheetData>
      <sheetData sheetId="217">
        <row r="5">
          <cell r="N5">
            <v>20</v>
          </cell>
        </row>
      </sheetData>
      <sheetData sheetId="218">
        <row r="5">
          <cell r="N5">
            <v>20</v>
          </cell>
        </row>
      </sheetData>
      <sheetData sheetId="219">
        <row r="5">
          <cell r="N5">
            <v>20</v>
          </cell>
        </row>
      </sheetData>
      <sheetData sheetId="220">
        <row r="5">
          <cell r="N5">
            <v>20</v>
          </cell>
        </row>
      </sheetData>
      <sheetData sheetId="221">
        <row r="5">
          <cell r="N5">
            <v>20</v>
          </cell>
        </row>
      </sheetData>
      <sheetData sheetId="222" refreshError="1"/>
      <sheetData sheetId="223" refreshError="1"/>
      <sheetData sheetId="224" refreshError="1"/>
      <sheetData sheetId="225" refreshError="1"/>
      <sheetData sheetId="226" refreshError="1"/>
      <sheetData sheetId="227" refreshError="1"/>
      <sheetData sheetId="228" refreshError="1"/>
      <sheetData sheetId="229">
        <row r="5">
          <cell r="N5">
            <v>20</v>
          </cell>
        </row>
      </sheetData>
      <sheetData sheetId="230">
        <row r="5">
          <cell r="N5">
            <v>20</v>
          </cell>
        </row>
      </sheetData>
      <sheetData sheetId="231">
        <row r="5">
          <cell r="N5">
            <v>20</v>
          </cell>
        </row>
      </sheetData>
      <sheetData sheetId="232">
        <row r="5">
          <cell r="N5">
            <v>20</v>
          </cell>
        </row>
      </sheetData>
      <sheetData sheetId="233">
        <row r="5">
          <cell r="N5">
            <v>20</v>
          </cell>
        </row>
      </sheetData>
      <sheetData sheetId="234">
        <row r="5">
          <cell r="N5">
            <v>20</v>
          </cell>
        </row>
      </sheetData>
      <sheetData sheetId="235">
        <row r="5">
          <cell r="N5">
            <v>20</v>
          </cell>
        </row>
      </sheetData>
      <sheetData sheetId="236">
        <row r="5">
          <cell r="N5">
            <v>20</v>
          </cell>
        </row>
      </sheetData>
      <sheetData sheetId="237">
        <row r="5">
          <cell r="N5">
            <v>20</v>
          </cell>
        </row>
      </sheetData>
      <sheetData sheetId="238">
        <row r="5">
          <cell r="N5">
            <v>20</v>
          </cell>
        </row>
      </sheetData>
      <sheetData sheetId="239">
        <row r="5">
          <cell r="N5">
            <v>20</v>
          </cell>
        </row>
      </sheetData>
      <sheetData sheetId="240">
        <row r="5">
          <cell r="N5">
            <v>20</v>
          </cell>
        </row>
      </sheetData>
      <sheetData sheetId="241"/>
      <sheetData sheetId="242">
        <row r="5">
          <cell r="N5">
            <v>20</v>
          </cell>
        </row>
      </sheetData>
      <sheetData sheetId="243">
        <row r="5">
          <cell r="N5">
            <v>20</v>
          </cell>
        </row>
      </sheetData>
      <sheetData sheetId="244">
        <row r="5">
          <cell r="N5">
            <v>20</v>
          </cell>
        </row>
      </sheetData>
      <sheetData sheetId="245"/>
      <sheetData sheetId="246">
        <row r="5">
          <cell r="N5">
            <v>20</v>
          </cell>
        </row>
      </sheetData>
      <sheetData sheetId="247">
        <row r="5">
          <cell r="N5">
            <v>20</v>
          </cell>
        </row>
      </sheetData>
      <sheetData sheetId="248">
        <row r="5">
          <cell r="N5">
            <v>20</v>
          </cell>
        </row>
      </sheetData>
      <sheetData sheetId="249">
        <row r="5">
          <cell r="N5">
            <v>20</v>
          </cell>
        </row>
      </sheetData>
      <sheetData sheetId="250">
        <row r="5">
          <cell r="N5">
            <v>20</v>
          </cell>
        </row>
      </sheetData>
      <sheetData sheetId="251">
        <row r="5">
          <cell r="N5">
            <v>20</v>
          </cell>
        </row>
      </sheetData>
      <sheetData sheetId="252">
        <row r="5">
          <cell r="N5">
            <v>20</v>
          </cell>
        </row>
      </sheetData>
      <sheetData sheetId="253">
        <row r="5">
          <cell r="N5">
            <v>20</v>
          </cell>
        </row>
      </sheetData>
      <sheetData sheetId="254">
        <row r="5">
          <cell r="N5">
            <v>20</v>
          </cell>
        </row>
      </sheetData>
      <sheetData sheetId="255">
        <row r="5">
          <cell r="N5">
            <v>20</v>
          </cell>
        </row>
      </sheetData>
      <sheetData sheetId="256">
        <row r="5">
          <cell r="N5">
            <v>20</v>
          </cell>
        </row>
      </sheetData>
      <sheetData sheetId="257">
        <row r="5">
          <cell r="N5">
            <v>20</v>
          </cell>
        </row>
      </sheetData>
      <sheetData sheetId="258">
        <row r="5">
          <cell r="N5">
            <v>20</v>
          </cell>
        </row>
      </sheetData>
      <sheetData sheetId="259">
        <row r="5">
          <cell r="N5">
            <v>20</v>
          </cell>
        </row>
      </sheetData>
      <sheetData sheetId="260">
        <row r="5">
          <cell r="N5">
            <v>20</v>
          </cell>
        </row>
      </sheetData>
      <sheetData sheetId="261">
        <row r="5">
          <cell r="N5">
            <v>20</v>
          </cell>
        </row>
      </sheetData>
      <sheetData sheetId="262">
        <row r="5">
          <cell r="N5">
            <v>20</v>
          </cell>
        </row>
      </sheetData>
      <sheetData sheetId="263">
        <row r="5">
          <cell r="N5">
            <v>20</v>
          </cell>
        </row>
      </sheetData>
      <sheetData sheetId="264">
        <row r="5">
          <cell r="N5">
            <v>20</v>
          </cell>
        </row>
      </sheetData>
      <sheetData sheetId="265">
        <row r="5">
          <cell r="N5">
            <v>20</v>
          </cell>
        </row>
      </sheetData>
      <sheetData sheetId="266"/>
      <sheetData sheetId="267"/>
      <sheetData sheetId="268"/>
      <sheetData sheetId="269">
        <row r="5">
          <cell r="N5">
            <v>20</v>
          </cell>
        </row>
      </sheetData>
      <sheetData sheetId="270"/>
      <sheetData sheetId="271"/>
      <sheetData sheetId="272"/>
      <sheetData sheetId="273">
        <row r="5">
          <cell r="N5">
            <v>20</v>
          </cell>
        </row>
      </sheetData>
      <sheetData sheetId="274"/>
      <sheetData sheetId="275"/>
      <sheetData sheetId="276"/>
      <sheetData sheetId="277">
        <row r="5">
          <cell r="N5">
            <v>20</v>
          </cell>
        </row>
      </sheetData>
      <sheetData sheetId="278"/>
      <sheetData sheetId="279"/>
      <sheetData sheetId="280">
        <row r="5">
          <cell r="N5">
            <v>20</v>
          </cell>
        </row>
      </sheetData>
      <sheetData sheetId="281"/>
      <sheetData sheetId="282">
        <row r="5">
          <cell r="N5">
            <v>20</v>
          </cell>
        </row>
      </sheetData>
      <sheetData sheetId="283"/>
      <sheetData sheetId="284">
        <row r="5">
          <cell r="N5">
            <v>20</v>
          </cell>
        </row>
      </sheetData>
      <sheetData sheetId="285"/>
      <sheetData sheetId="286"/>
      <sheetData sheetId="287"/>
      <sheetData sheetId="288">
        <row r="5">
          <cell r="N5">
            <v>20</v>
          </cell>
        </row>
      </sheetData>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ow r="14">
          <cell r="EK14" t="str">
            <v>SP-01-1</v>
          </cell>
        </row>
      </sheetData>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Content"/>
      <sheetName val="Project Outline"/>
      <sheetName val="주요공사"/>
      <sheetName val="Contractual Amount"/>
      <sheetName val="시헹예산"/>
      <sheetName val="TENDER vs BUDGET"/>
      <sheetName val="직영 vs 하청 - 2"/>
      <sheetName val="96 당초Schedule"/>
      <sheetName val="96 Performance"/>
      <sheetName val="소화-투입 분석표"/>
      <sheetName val="STF ORG(K)"/>
      <sheetName val="Staff Org. Chart"/>
      <sheetName val="Scope of Work"/>
      <sheetName val="Design Status"/>
      <sheetName val="DWG Status"/>
      <sheetName val="MAT'L Status"/>
      <sheetName val="장비동원"/>
      <sheetName val="근로자동원"/>
      <sheetName val="Install Status"/>
      <sheetName val="Staff Mob. Plan"/>
      <sheetName val="M.P Mob. Plan"/>
      <sheetName val="Eq. Mobilization"/>
      <sheetName val="일위대가"/>
      <sheetName val="전열면적"/>
      <sheetName val="SEPARATOR"/>
      <sheetName val="2000년1차"/>
      <sheetName val="M-EQPT-Z"/>
      <sheetName val="REPORT07"/>
      <sheetName val="단가집"/>
      <sheetName val="BM "/>
      <sheetName val="DWG LIST"/>
      <sheetName val="자격 땡겨오기"/>
      <sheetName val="VAE264_VALVES"/>
      <sheetName val="5.소재"/>
      <sheetName val="소화실적"/>
      <sheetName val="현장지지물물량"/>
      <sheetName val="sheet1"/>
      <sheetName val="당초"/>
      <sheetName val="실행예산SHEET도장재검토"/>
      <sheetName val="MOB-MAN1"/>
      <sheetName val="예제"/>
      <sheetName val="기준표"/>
      <sheetName val="규격"/>
      <sheetName val="노점수분"/>
      <sheetName val="견적기준"/>
      <sheetName val="자재사용현황"/>
      <sheetName val="w't table"/>
      <sheetName val="INDEX"/>
      <sheetName val="DI-ESTI"/>
      <sheetName val="NYS"/>
      <sheetName val="KH-Q1,Q2,01"/>
      <sheetName val="CAT_5"/>
      <sheetName val="#REF"/>
      <sheetName val=""/>
      <sheetName val="TTL"/>
      <sheetName val="성광벤드"/>
      <sheetName val="GRP PIPING"/>
      <sheetName val="P-LIST"/>
      <sheetName val="물가자료"/>
      <sheetName val="WE'T"/>
      <sheetName val="REDUCER"/>
      <sheetName val="Summary"/>
      <sheetName val="BM"/>
      <sheetName val="B101"/>
      <sheetName val="카메라"/>
      <sheetName val="COA-17"/>
      <sheetName val="C-18"/>
      <sheetName val="임율 Data"/>
      <sheetName val="kich thuoc"/>
      <sheetName val="DTHH"/>
      <sheetName val="REV 4"/>
      <sheetName val="COL"/>
      <sheetName val="Sheet5"/>
      <sheetName val="BEND LOSS"/>
      <sheetName val="FM"/>
      <sheetName val="내역서"/>
      <sheetName val="노임단가"/>
      <sheetName val="품셈표"/>
      <sheetName val="추가예산"/>
      <sheetName val="간접비 총괄표"/>
      <sheetName val="ﾀｰﾋﾞﾝ"/>
      <sheetName val="Setup"/>
      <sheetName val="Lists"/>
      <sheetName val="CI "/>
      <sheetName val="CI"/>
      <sheetName val="WXY"/>
      <sheetName val="입찰안"/>
      <sheetName val="SPARE PART"/>
      <sheetName val="연환"/>
      <sheetName val="부서코드표"/>
      <sheetName val="CAUDI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CI"/>
      <sheetName val="Break Down CI"/>
      <sheetName val="PL(1_2)"/>
      <sheetName val="PL(2_2)"/>
      <sheetName val="Detailed PL"/>
      <sheetName val="SHIPPING MARK"/>
      <sheetName val="SHIPPING MARK1"/>
      <sheetName val="SHIPPING MARK2"/>
    </sheetNames>
    <sheetDataSet>
      <sheetData sheetId="0">
        <row r="8">
          <cell r="G8" t="str">
            <v>DATE:</v>
          </cell>
        </row>
        <row r="9">
          <cell r="G9" t="str">
            <v>SHIPPING MARK</v>
          </cell>
        </row>
        <row r="26">
          <cell r="B26" t="str">
            <v>Address: O Mon Power Complex at Phuoc Thoi wards, O Mon district, Can Tho city</v>
          </cell>
        </row>
        <row r="28">
          <cell r="B28" t="str">
            <v>PLANT/ EQUIPMENT AND MATERIALS FOR O MON IV THERMAL</v>
          </cell>
        </row>
      </sheetData>
      <sheetData sheetId="1"/>
      <sheetData sheetId="2"/>
      <sheetData sheetId="3"/>
      <sheetData sheetId="4"/>
      <sheetData sheetId="5"/>
      <sheetData sheetId="6"/>
      <sheetData sheetId="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V48"/>
  <sheetViews>
    <sheetView showGridLines="0" view="pageBreakPreview" topLeftCell="A25" zoomScaleNormal="100" zoomScaleSheetLayoutView="100" workbookViewId="0">
      <selection activeCell="K33" sqref="K33"/>
    </sheetView>
  </sheetViews>
  <sheetFormatPr defaultColWidth="9.5546875" defaultRowHeight="17.25" customHeight="1"/>
  <cols>
    <col min="1" max="1" width="4.5546875" style="39" customWidth="1"/>
    <col min="2" max="2" width="24.44140625" style="39" customWidth="1"/>
    <col min="3" max="3" width="3.5546875" style="39" customWidth="1"/>
    <col min="4" max="4" width="6.6640625" style="39" customWidth="1"/>
    <col min="5" max="5" width="7.5546875" style="39" customWidth="1"/>
    <col min="6" max="6" width="9.6640625" style="39" customWidth="1"/>
    <col min="7" max="7" width="18.44140625" style="45" customWidth="1"/>
    <col min="8" max="8" width="11.5546875" style="45" customWidth="1"/>
    <col min="9" max="9" width="10.88671875" style="45" customWidth="1"/>
    <col min="10" max="10" width="11.109375" style="45" customWidth="1"/>
    <col min="11" max="11" width="13.5546875" style="109" customWidth="1"/>
    <col min="12" max="12" width="7.6640625" style="45" customWidth="1"/>
    <col min="13" max="13" width="7.6640625" style="46" customWidth="1"/>
    <col min="14" max="14" width="7.6640625" style="40" customWidth="1"/>
    <col min="15" max="15" width="9.5546875" style="47"/>
    <col min="16" max="17" width="9.5546875" style="40"/>
    <col min="18" max="16384" width="9.5546875" style="39"/>
  </cols>
  <sheetData>
    <row r="1" spans="1:17" s="113" customFormat="1" ht="22.15" customHeight="1">
      <c r="A1" s="189"/>
      <c r="B1" s="190"/>
      <c r="C1" s="190"/>
      <c r="D1" s="190"/>
      <c r="E1" s="190"/>
      <c r="F1" s="190"/>
      <c r="G1" s="191"/>
      <c r="H1" s="191"/>
      <c r="I1" s="191"/>
      <c r="J1" s="192"/>
      <c r="K1" s="193"/>
      <c r="L1" s="114"/>
      <c r="M1" s="194"/>
      <c r="N1" s="126"/>
      <c r="O1" s="195"/>
      <c r="P1" s="126"/>
      <c r="Q1" s="126"/>
    </row>
    <row r="2" spans="1:17" s="113" customFormat="1" ht="22.15" customHeight="1">
      <c r="A2" s="196"/>
      <c r="G2" s="114"/>
      <c r="H2" s="114"/>
      <c r="I2" s="114"/>
      <c r="J2" s="145"/>
      <c r="K2" s="197"/>
      <c r="L2" s="114"/>
      <c r="M2" s="194"/>
      <c r="N2" s="126"/>
      <c r="O2" s="195"/>
      <c r="P2" s="126"/>
      <c r="Q2" s="126"/>
    </row>
    <row r="3" spans="1:17" s="113" customFormat="1" ht="37.5" customHeight="1">
      <c r="A3" s="198"/>
      <c r="B3" s="252" t="s">
        <v>157</v>
      </c>
      <c r="C3" s="253"/>
      <c r="D3" s="253"/>
      <c r="E3" s="253"/>
      <c r="F3" s="253"/>
      <c r="G3" s="199"/>
      <c r="H3" s="254"/>
      <c r="I3" s="255"/>
      <c r="J3" s="255"/>
      <c r="K3" s="256"/>
      <c r="L3" s="114"/>
      <c r="M3" s="194"/>
      <c r="N3" s="126"/>
      <c r="O3" s="195"/>
      <c r="P3" s="126"/>
      <c r="Q3" s="126"/>
    </row>
    <row r="4" spans="1:17" s="53" customFormat="1" ht="22.15" customHeight="1">
      <c r="A4" s="259" t="s">
        <v>38</v>
      </c>
      <c r="B4" s="260"/>
      <c r="C4" s="260"/>
      <c r="D4" s="260"/>
      <c r="E4" s="260"/>
      <c r="F4" s="260"/>
      <c r="G4" s="260"/>
      <c r="H4" s="260"/>
      <c r="I4" s="260"/>
      <c r="J4" s="260"/>
      <c r="K4" s="261"/>
      <c r="L4" s="50"/>
      <c r="M4" s="50"/>
      <c r="N4" s="51"/>
      <c r="O4" s="51"/>
      <c r="P4" s="52"/>
    </row>
    <row r="5" spans="1:17" s="53" customFormat="1" ht="21.6" customHeight="1">
      <c r="A5" s="54" t="s">
        <v>0</v>
      </c>
      <c r="B5" s="55"/>
      <c r="C5" s="55"/>
      <c r="D5" s="55"/>
      <c r="E5" s="56"/>
      <c r="F5" s="57"/>
      <c r="G5" s="58" t="s">
        <v>39</v>
      </c>
      <c r="H5" s="110" t="s">
        <v>173</v>
      </c>
      <c r="I5"/>
      <c r="J5" s="59"/>
      <c r="K5" s="60"/>
      <c r="L5" s="61"/>
      <c r="M5" s="61"/>
      <c r="N5" s="61"/>
      <c r="O5" s="61"/>
      <c r="P5" s="61"/>
      <c r="Q5" s="61"/>
    </row>
    <row r="6" spans="1:17" s="53" customFormat="1" ht="21.6" customHeight="1">
      <c r="A6" s="62"/>
      <c r="B6" s="279" t="s">
        <v>1</v>
      </c>
      <c r="C6" s="279"/>
      <c r="D6" s="279"/>
      <c r="E6" s="279"/>
      <c r="F6" s="280"/>
      <c r="G6" s="63" t="s">
        <v>2</v>
      </c>
      <c r="H6" s="111" t="s">
        <v>222</v>
      </c>
      <c r="I6" s="64"/>
      <c r="J6" s="65"/>
      <c r="K6" s="220"/>
      <c r="L6" s="61"/>
      <c r="M6" s="61"/>
      <c r="N6" s="61"/>
      <c r="O6" s="61"/>
      <c r="P6" s="61"/>
      <c r="Q6" s="61"/>
    </row>
    <row r="7" spans="1:17" ht="21.6" customHeight="1">
      <c r="A7" s="48"/>
      <c r="B7" s="279"/>
      <c r="C7" s="279"/>
      <c r="D7" s="279"/>
      <c r="E7" s="279"/>
      <c r="F7" s="280"/>
      <c r="G7" s="66" t="s">
        <v>3</v>
      </c>
      <c r="H7" s="43" t="s">
        <v>150</v>
      </c>
      <c r="I7" s="43"/>
      <c r="J7" s="43"/>
      <c r="K7" s="67"/>
    </row>
    <row r="8" spans="1:17" ht="21.6" customHeight="1">
      <c r="A8" s="48"/>
      <c r="B8" s="281"/>
      <c r="C8" s="281"/>
      <c r="D8" s="281"/>
      <c r="E8" s="281"/>
      <c r="F8" s="282"/>
      <c r="G8" s="63" t="s">
        <v>2</v>
      </c>
      <c r="H8" s="111" t="s">
        <v>151</v>
      </c>
      <c r="I8" s="64"/>
      <c r="J8" s="64"/>
      <c r="K8" s="67"/>
    </row>
    <row r="9" spans="1:17" ht="34.9" customHeight="1" thickBot="1">
      <c r="A9" s="68" t="s">
        <v>4</v>
      </c>
      <c r="B9" s="43"/>
      <c r="C9" s="43"/>
      <c r="D9" s="43"/>
      <c r="E9" s="43"/>
      <c r="F9" s="42"/>
      <c r="G9" s="262" t="str">
        <f>[6]CI!G9</f>
        <v>SHIPPING MARK</v>
      </c>
      <c r="H9" s="263"/>
      <c r="I9" s="263"/>
      <c r="J9" s="263"/>
      <c r="K9" s="264"/>
    </row>
    <row r="10" spans="1:17" ht="17.649999999999999" customHeight="1">
      <c r="A10" s="48"/>
      <c r="B10" s="274" t="s">
        <v>156</v>
      </c>
      <c r="C10" s="275"/>
      <c r="D10" s="275"/>
      <c r="E10" s="275"/>
      <c r="F10" s="276"/>
      <c r="G10" s="265" t="s">
        <v>20</v>
      </c>
      <c r="H10" s="266"/>
      <c r="I10" s="266"/>
      <c r="J10" s="266"/>
      <c r="K10" s="267"/>
    </row>
    <row r="11" spans="1:17" ht="17.649999999999999" customHeight="1">
      <c r="A11" s="48"/>
      <c r="B11" s="275"/>
      <c r="C11" s="275"/>
      <c r="D11" s="275"/>
      <c r="E11" s="275"/>
      <c r="F11" s="276"/>
      <c r="G11" s="268"/>
      <c r="H11" s="269"/>
      <c r="I11" s="269"/>
      <c r="J11" s="269"/>
      <c r="K11" s="270"/>
    </row>
    <row r="12" spans="1:17" ht="24" customHeight="1" thickBot="1">
      <c r="A12" s="69"/>
      <c r="B12" s="277"/>
      <c r="C12" s="277"/>
      <c r="D12" s="277"/>
      <c r="E12" s="277"/>
      <c r="F12" s="278"/>
      <c r="G12" s="271"/>
      <c r="H12" s="272"/>
      <c r="I12" s="272"/>
      <c r="J12" s="272"/>
      <c r="K12" s="273"/>
    </row>
    <row r="13" spans="1:17" ht="21.6" customHeight="1">
      <c r="A13" s="70" t="s">
        <v>6</v>
      </c>
      <c r="B13" s="71"/>
      <c r="G13" s="72"/>
      <c r="H13" s="257"/>
      <c r="I13" s="257"/>
      <c r="J13" s="257"/>
      <c r="K13" s="258"/>
    </row>
    <row r="14" spans="1:17" ht="14.1" customHeight="1">
      <c r="A14" s="48"/>
      <c r="B14" s="293" t="s">
        <v>7</v>
      </c>
      <c r="C14" s="294"/>
      <c r="D14" s="294"/>
      <c r="E14" s="294"/>
      <c r="F14" s="295"/>
      <c r="G14" s="74"/>
      <c r="H14" s="285"/>
      <c r="I14" s="285"/>
      <c r="J14" s="285"/>
      <c r="K14" s="286"/>
    </row>
    <row r="15" spans="1:17" ht="14.1" customHeight="1">
      <c r="A15" s="48"/>
      <c r="B15" s="294"/>
      <c r="C15" s="294"/>
      <c r="D15" s="294"/>
      <c r="E15" s="294"/>
      <c r="F15" s="295"/>
      <c r="G15" s="188" t="s">
        <v>8</v>
      </c>
      <c r="H15" s="287" t="str">
        <f>H5</f>
        <v>OM4-P2-LS-0002</v>
      </c>
      <c r="I15" s="287"/>
      <c r="J15" s="287"/>
      <c r="K15" s="288"/>
    </row>
    <row r="16" spans="1:17" ht="18.600000000000001" customHeight="1">
      <c r="A16" s="48"/>
      <c r="B16" s="296"/>
      <c r="C16" s="296"/>
      <c r="D16" s="296"/>
      <c r="E16" s="296"/>
      <c r="F16" s="297"/>
      <c r="G16" s="188" t="s">
        <v>9</v>
      </c>
      <c r="H16" s="289" t="s">
        <v>10</v>
      </c>
      <c r="I16" s="289"/>
      <c r="J16" s="289"/>
      <c r="K16" s="290"/>
    </row>
    <row r="17" spans="1:22" ht="18.600000000000001" customHeight="1">
      <c r="A17" s="68" t="s">
        <v>11</v>
      </c>
      <c r="B17" s="75"/>
      <c r="C17" s="187" t="s">
        <v>12</v>
      </c>
      <c r="D17" s="43"/>
      <c r="E17" s="43"/>
      <c r="F17" s="42"/>
      <c r="G17" s="188" t="s">
        <v>14</v>
      </c>
      <c r="H17" s="289" t="s">
        <v>15</v>
      </c>
      <c r="I17" s="289"/>
      <c r="J17" s="289"/>
      <c r="K17" s="290"/>
    </row>
    <row r="18" spans="1:22" s="45" customFormat="1" ht="18.600000000000001" customHeight="1">
      <c r="A18" s="69" t="s">
        <v>13</v>
      </c>
      <c r="B18" s="76"/>
      <c r="C18" s="44" t="s">
        <v>13</v>
      </c>
      <c r="D18" s="291"/>
      <c r="E18" s="291"/>
      <c r="F18" s="292"/>
      <c r="G18" s="74"/>
      <c r="H18" s="302"/>
      <c r="I18" s="302"/>
      <c r="J18" s="302"/>
      <c r="K18" s="303"/>
      <c r="M18" s="46"/>
      <c r="N18" s="40"/>
      <c r="O18" s="47"/>
      <c r="P18" s="40"/>
      <c r="Q18" s="40"/>
      <c r="R18" s="39"/>
      <c r="S18" s="39"/>
      <c r="T18" s="39"/>
      <c r="U18" s="39"/>
      <c r="V18" s="39"/>
    </row>
    <row r="19" spans="1:22" s="45" customFormat="1" ht="18.600000000000001" customHeight="1">
      <c r="A19" s="68" t="s">
        <v>16</v>
      </c>
      <c r="B19" s="75"/>
      <c r="C19" s="187" t="s">
        <v>17</v>
      </c>
      <c r="D19" s="43"/>
      <c r="E19" s="43"/>
      <c r="F19" s="42"/>
      <c r="G19" s="74"/>
      <c r="H19" s="302"/>
      <c r="I19" s="302"/>
      <c r="J19" s="302"/>
      <c r="K19" s="303"/>
      <c r="M19" s="46"/>
      <c r="N19" s="40"/>
      <c r="O19" s="47"/>
      <c r="P19" s="40"/>
      <c r="Q19" s="40"/>
      <c r="R19" s="39"/>
      <c r="S19" s="39"/>
      <c r="T19" s="39"/>
      <c r="U19" s="39"/>
      <c r="V19" s="39"/>
    </row>
    <row r="20" spans="1:22" s="45" customFormat="1" ht="18.600000000000001" customHeight="1">
      <c r="A20" s="69" t="s">
        <v>13</v>
      </c>
      <c r="B20" s="76"/>
      <c r="C20" s="44" t="s">
        <v>13</v>
      </c>
      <c r="D20" s="39"/>
      <c r="E20" s="73"/>
      <c r="F20" s="77"/>
      <c r="G20" s="74"/>
      <c r="H20" s="78"/>
      <c r="K20" s="49"/>
      <c r="M20" s="46"/>
      <c r="N20" s="40"/>
      <c r="O20" s="47"/>
      <c r="P20" s="40"/>
      <c r="Q20" s="40"/>
      <c r="R20" s="39"/>
      <c r="S20" s="39"/>
      <c r="T20" s="39"/>
      <c r="U20" s="39"/>
      <c r="V20" s="39"/>
    </row>
    <row r="21" spans="1:22" s="45" customFormat="1" ht="18.600000000000001" customHeight="1">
      <c r="A21" s="68" t="s">
        <v>162</v>
      </c>
      <c r="B21" s="75"/>
      <c r="C21" s="187" t="s">
        <v>18</v>
      </c>
      <c r="D21" s="43"/>
      <c r="E21" s="43"/>
      <c r="F21" s="42"/>
      <c r="G21" s="74"/>
      <c r="H21" s="78"/>
      <c r="K21" s="49"/>
      <c r="M21" s="46"/>
      <c r="N21" s="40"/>
      <c r="O21" s="47"/>
      <c r="P21" s="40"/>
      <c r="Q21" s="40"/>
      <c r="R21" s="39"/>
      <c r="S21" s="39"/>
      <c r="T21" s="39"/>
      <c r="U21" s="39"/>
      <c r="V21" s="39"/>
    </row>
    <row r="22" spans="1:22" s="45" customFormat="1" ht="18.600000000000001" customHeight="1">
      <c r="A22" s="69" t="s">
        <v>13</v>
      </c>
      <c r="B22" s="76"/>
      <c r="C22" s="44" t="s">
        <v>13</v>
      </c>
      <c r="D22" s="291"/>
      <c r="E22" s="291"/>
      <c r="F22" s="292"/>
      <c r="G22" s="74"/>
      <c r="K22" s="49"/>
      <c r="M22" s="46"/>
      <c r="N22" s="40"/>
      <c r="O22" s="47"/>
      <c r="P22" s="40"/>
      <c r="Q22" s="40"/>
      <c r="R22" s="39"/>
      <c r="S22" s="39"/>
      <c r="T22" s="39"/>
      <c r="U22" s="39"/>
      <c r="V22" s="39"/>
    </row>
    <row r="23" spans="1:22" s="45" customFormat="1" ht="18.600000000000001" customHeight="1">
      <c r="A23" s="68" t="s">
        <v>19</v>
      </c>
      <c r="B23" s="43"/>
      <c r="C23" s="43"/>
      <c r="D23" s="43"/>
      <c r="E23" s="43"/>
      <c r="F23" s="43"/>
      <c r="G23" s="79"/>
      <c r="H23" s="80"/>
      <c r="I23" s="80"/>
      <c r="J23" s="80"/>
      <c r="K23" s="81"/>
      <c r="M23" s="46"/>
      <c r="N23" s="40"/>
      <c r="O23" s="47"/>
      <c r="P23" s="40"/>
      <c r="Q23" s="40"/>
      <c r="R23" s="39"/>
      <c r="S23" s="39"/>
      <c r="T23" s="39"/>
      <c r="U23" s="39"/>
      <c r="V23" s="39"/>
    </row>
    <row r="24" spans="1:22" s="45" customFormat="1" ht="25.15" customHeight="1">
      <c r="A24" s="48"/>
      <c r="B24" s="71" t="s">
        <v>20</v>
      </c>
      <c r="C24" s="39"/>
      <c r="D24" s="39"/>
      <c r="E24" s="39"/>
      <c r="F24" s="39"/>
      <c r="G24" s="74"/>
      <c r="K24" s="49"/>
      <c r="M24" s="46"/>
      <c r="N24" s="40"/>
      <c r="O24" s="47"/>
      <c r="P24" s="40"/>
      <c r="Q24" s="40"/>
      <c r="R24" s="39"/>
      <c r="S24" s="39"/>
      <c r="T24" s="39"/>
      <c r="U24" s="39"/>
      <c r="V24" s="39"/>
    </row>
    <row r="25" spans="1:22" s="45" customFormat="1" ht="24" customHeight="1">
      <c r="A25" s="69"/>
      <c r="B25" s="298" t="s">
        <v>21</v>
      </c>
      <c r="C25" s="298"/>
      <c r="D25" s="298"/>
      <c r="E25" s="298"/>
      <c r="F25" s="299"/>
      <c r="G25" s="82"/>
      <c r="H25" s="83"/>
      <c r="I25" s="83"/>
      <c r="J25" s="83"/>
      <c r="K25" s="84"/>
      <c r="M25" s="46"/>
      <c r="N25" s="40"/>
      <c r="O25" s="47"/>
      <c r="P25" s="40"/>
      <c r="Q25" s="40"/>
      <c r="R25" s="39"/>
      <c r="S25" s="39"/>
      <c r="T25" s="39"/>
      <c r="U25" s="39"/>
      <c r="V25" s="39"/>
    </row>
    <row r="26" spans="1:22" s="71" customFormat="1" ht="48.6" customHeight="1">
      <c r="A26" s="300" t="s">
        <v>22</v>
      </c>
      <c r="B26" s="301"/>
      <c r="C26" s="301"/>
      <c r="D26" s="301"/>
      <c r="E26" s="301"/>
      <c r="F26" s="301"/>
      <c r="G26" s="85" t="s">
        <v>23</v>
      </c>
      <c r="H26" s="85" t="s">
        <v>24</v>
      </c>
      <c r="I26" s="86" t="s">
        <v>40</v>
      </c>
      <c r="J26" s="86" t="s">
        <v>41</v>
      </c>
      <c r="K26" s="87" t="s">
        <v>42</v>
      </c>
      <c r="L26" s="88"/>
      <c r="M26" s="89"/>
      <c r="N26" s="90"/>
      <c r="O26" s="91"/>
      <c r="P26" s="90"/>
      <c r="Q26" s="90"/>
    </row>
    <row r="27" spans="1:22" ht="42" customHeight="1">
      <c r="A27" s="70"/>
      <c r="B27" s="246" t="s">
        <v>43</v>
      </c>
      <c r="C27" s="246"/>
      <c r="D27" s="246"/>
      <c r="E27" s="246"/>
      <c r="F27" s="247"/>
      <c r="G27" s="92"/>
      <c r="H27" s="92"/>
      <c r="I27" s="93"/>
      <c r="J27" s="93"/>
      <c r="K27" s="94"/>
    </row>
    <row r="28" spans="1:22" ht="14.1" customHeight="1">
      <c r="A28" s="70"/>
      <c r="B28" s="71"/>
      <c r="G28" s="92"/>
      <c r="H28" s="92"/>
      <c r="I28" s="92"/>
      <c r="J28" s="92"/>
      <c r="K28" s="94"/>
    </row>
    <row r="29" spans="1:22" ht="14.1" customHeight="1">
      <c r="A29" s="70"/>
      <c r="G29" s="92"/>
      <c r="H29" s="92"/>
      <c r="I29" s="92"/>
      <c r="J29" s="92"/>
      <c r="K29" s="94"/>
    </row>
    <row r="30" spans="1:22" ht="14.1" customHeight="1">
      <c r="A30" s="70"/>
      <c r="B30" s="248" t="s">
        <v>25</v>
      </c>
      <c r="C30" s="248"/>
      <c r="D30" s="248"/>
      <c r="E30" s="248"/>
      <c r="F30" s="249"/>
      <c r="G30" s="92"/>
      <c r="H30" s="92"/>
      <c r="I30" s="92"/>
      <c r="J30" s="92"/>
      <c r="K30" s="94"/>
    </row>
    <row r="31" spans="1:22" ht="14.1" customHeight="1">
      <c r="A31" s="70"/>
      <c r="B31" s="39" t="s">
        <v>219</v>
      </c>
      <c r="C31" s="219"/>
      <c r="D31" s="219"/>
      <c r="E31" s="219"/>
      <c r="F31" s="221"/>
      <c r="G31" s="95">
        <v>45</v>
      </c>
      <c r="H31" s="92" t="s">
        <v>44</v>
      </c>
      <c r="I31" s="92">
        <f>'PL(2_2)'!N66</f>
        <v>15358</v>
      </c>
      <c r="J31" s="92">
        <f>'PL(2_2)'!O66</f>
        <v>16054</v>
      </c>
      <c r="K31" s="94">
        <f>'Detailed PL'!O66</f>
        <v>7.739999999999986</v>
      </c>
    </row>
    <row r="32" spans="1:22" ht="14.1" customHeight="1">
      <c r="A32" s="70"/>
      <c r="G32" s="92"/>
      <c r="H32" s="92"/>
      <c r="I32" s="92"/>
      <c r="J32" s="92"/>
      <c r="K32" s="94"/>
    </row>
    <row r="33" spans="1:22" ht="14.1" customHeight="1">
      <c r="A33" s="70"/>
      <c r="B33" s="96"/>
      <c r="G33" s="92"/>
      <c r="H33" s="92"/>
      <c r="I33" s="92"/>
      <c r="J33" s="92"/>
      <c r="K33" s="94"/>
    </row>
    <row r="34" spans="1:22" ht="14.1" customHeight="1">
      <c r="A34" s="70"/>
      <c r="G34" s="92"/>
      <c r="H34" s="92"/>
      <c r="I34" s="92"/>
      <c r="J34" s="92"/>
      <c r="K34" s="94"/>
    </row>
    <row r="35" spans="1:22" ht="14.1" customHeight="1">
      <c r="A35" s="70"/>
      <c r="B35" s="97"/>
      <c r="G35" s="92"/>
      <c r="H35" s="92"/>
      <c r="I35" s="92"/>
      <c r="J35" s="92"/>
      <c r="K35" s="94"/>
    </row>
    <row r="36" spans="1:22" ht="14.1" customHeight="1">
      <c r="A36" s="70"/>
      <c r="B36" s="97" t="s">
        <v>27</v>
      </c>
      <c r="D36" s="39">
        <v>45</v>
      </c>
      <c r="E36" s="39" t="s">
        <v>26</v>
      </c>
      <c r="G36" s="92"/>
      <c r="H36" s="92"/>
      <c r="I36" s="92"/>
      <c r="J36" s="92"/>
      <c r="K36" s="94"/>
    </row>
    <row r="37" spans="1:22" ht="14.1" customHeight="1">
      <c r="A37" s="70"/>
      <c r="B37" s="97"/>
      <c r="G37" s="92"/>
      <c r="H37" s="92"/>
      <c r="I37" s="92"/>
      <c r="J37" s="92"/>
      <c r="K37" s="94"/>
    </row>
    <row r="38" spans="1:22" ht="14.1" customHeight="1">
      <c r="A38" s="70"/>
      <c r="G38" s="92"/>
      <c r="H38" s="92"/>
      <c r="I38" s="92"/>
      <c r="J38" s="92"/>
      <c r="K38" s="94"/>
    </row>
    <row r="39" spans="1:22" s="88" customFormat="1" ht="22.9" customHeight="1">
      <c r="A39" s="98"/>
      <c r="B39" s="99"/>
      <c r="C39" s="99"/>
      <c r="D39" s="99"/>
      <c r="E39" s="99"/>
      <c r="F39" s="99"/>
      <c r="G39" s="283" t="s">
        <v>45</v>
      </c>
      <c r="H39" s="284"/>
      <c r="I39" s="100">
        <f>SUM(I27:I38)</f>
        <v>15358</v>
      </c>
      <c r="J39" s="100">
        <f>SUM(J27:J38)</f>
        <v>16054</v>
      </c>
      <c r="K39" s="101">
        <f>SUM(K27:K38)</f>
        <v>7.739999999999986</v>
      </c>
      <c r="M39" s="89"/>
      <c r="N39" s="90"/>
      <c r="O39" s="91"/>
      <c r="P39" s="90"/>
      <c r="Q39" s="90"/>
      <c r="R39" s="71"/>
      <c r="S39" s="71"/>
      <c r="T39" s="71"/>
      <c r="U39" s="71"/>
      <c r="V39" s="71"/>
    </row>
    <row r="40" spans="1:22" s="45" customFormat="1" ht="14.1" customHeight="1">
      <c r="A40" s="70"/>
      <c r="B40" s="39"/>
      <c r="C40" s="39"/>
      <c r="D40" s="39"/>
      <c r="E40" s="39"/>
      <c r="F40" s="39"/>
      <c r="K40" s="49"/>
      <c r="M40" s="46"/>
      <c r="N40" s="40"/>
      <c r="O40" s="47"/>
      <c r="P40" s="40"/>
      <c r="Q40" s="40"/>
      <c r="R40" s="39"/>
      <c r="S40" s="39"/>
      <c r="T40" s="39"/>
      <c r="U40" s="39"/>
      <c r="V40" s="39"/>
    </row>
    <row r="41" spans="1:22" s="45" customFormat="1" ht="14.1" customHeight="1">
      <c r="A41" s="70"/>
      <c r="B41" s="39"/>
      <c r="C41" s="39"/>
      <c r="D41" s="39"/>
      <c r="E41" s="39"/>
      <c r="F41" s="39"/>
      <c r="K41" s="49"/>
      <c r="M41" s="46"/>
      <c r="N41" s="40"/>
      <c r="O41" s="47"/>
      <c r="P41" s="40"/>
      <c r="Q41" s="40"/>
      <c r="R41" s="39"/>
      <c r="S41" s="39"/>
      <c r="T41" s="39"/>
      <c r="U41" s="39"/>
      <c r="V41" s="39"/>
    </row>
    <row r="42" spans="1:22" s="45" customFormat="1" ht="14.1" customHeight="1">
      <c r="A42" s="70"/>
      <c r="B42" s="39"/>
      <c r="C42" s="39"/>
      <c r="D42" s="39"/>
      <c r="E42" s="39"/>
      <c r="F42" s="39"/>
      <c r="K42" s="49"/>
      <c r="M42" s="46"/>
      <c r="N42" s="40"/>
      <c r="O42" s="47"/>
      <c r="P42" s="40"/>
      <c r="Q42" s="40"/>
      <c r="R42" s="39"/>
      <c r="S42" s="39"/>
      <c r="T42" s="39"/>
      <c r="U42" s="39"/>
      <c r="V42" s="39"/>
    </row>
    <row r="43" spans="1:22" s="45" customFormat="1" ht="14.1" customHeight="1">
      <c r="A43" s="70"/>
      <c r="B43" s="39"/>
      <c r="C43" s="39"/>
      <c r="D43" s="39"/>
      <c r="E43" s="39"/>
      <c r="F43" s="39"/>
      <c r="K43" s="49"/>
      <c r="M43" s="46"/>
      <c r="N43" s="40"/>
      <c r="O43" s="47"/>
      <c r="P43" s="40"/>
      <c r="Q43" s="40"/>
      <c r="R43" s="39"/>
      <c r="S43" s="39"/>
      <c r="T43" s="39"/>
      <c r="U43" s="39"/>
      <c r="V43" s="39"/>
    </row>
    <row r="44" spans="1:22" s="45" customFormat="1" ht="14.1" customHeight="1">
      <c r="A44" s="48"/>
      <c r="B44" s="39"/>
      <c r="C44" s="39"/>
      <c r="D44" s="39"/>
      <c r="E44" s="39"/>
      <c r="F44" s="39"/>
      <c r="K44" s="49"/>
      <c r="M44" s="46"/>
      <c r="N44" s="40"/>
      <c r="O44" s="47"/>
      <c r="P44" s="40"/>
      <c r="Q44" s="40"/>
      <c r="R44" s="39"/>
      <c r="S44" s="39"/>
      <c r="T44" s="39"/>
      <c r="U44" s="39"/>
      <c r="V44" s="39"/>
    </row>
    <row r="45" spans="1:22" s="45" customFormat="1" ht="14.1" customHeight="1">
      <c r="A45" s="102"/>
      <c r="B45" s="39"/>
      <c r="C45" s="39"/>
      <c r="D45" s="39"/>
      <c r="E45" s="39"/>
      <c r="F45" s="39"/>
      <c r="K45" s="49"/>
      <c r="M45" s="46"/>
      <c r="N45" s="40"/>
      <c r="O45" s="47"/>
      <c r="P45" s="40"/>
      <c r="Q45" s="40"/>
      <c r="R45" s="39"/>
      <c r="S45" s="39"/>
      <c r="T45" s="39"/>
      <c r="U45" s="39"/>
      <c r="V45" s="39"/>
    </row>
    <row r="46" spans="1:22" s="45" customFormat="1" ht="14.1" customHeight="1">
      <c r="A46" s="48"/>
      <c r="B46" s="39"/>
      <c r="C46" s="39"/>
      <c r="D46" s="39"/>
      <c r="E46" s="39"/>
      <c r="F46" s="39"/>
      <c r="K46" s="49"/>
      <c r="M46" s="46"/>
      <c r="N46" s="40"/>
      <c r="O46" s="47"/>
      <c r="P46" s="40"/>
      <c r="Q46" s="40"/>
      <c r="R46" s="39"/>
      <c r="S46" s="39"/>
      <c r="T46" s="39"/>
      <c r="U46" s="39"/>
      <c r="V46" s="39"/>
    </row>
    <row r="47" spans="1:22" s="45" customFormat="1" ht="14.1" customHeight="1">
      <c r="A47" s="48"/>
      <c r="B47" s="103"/>
      <c r="C47" s="39"/>
      <c r="D47" s="39"/>
      <c r="E47" s="39"/>
      <c r="F47" s="39"/>
      <c r="G47" s="40" t="s">
        <v>28</v>
      </c>
      <c r="H47" s="83"/>
      <c r="I47" s="83"/>
      <c r="J47" s="83"/>
      <c r="K47" s="49"/>
      <c r="M47" s="46"/>
      <c r="N47" s="40"/>
      <c r="O47" s="47"/>
      <c r="P47" s="40"/>
      <c r="Q47" s="40"/>
      <c r="R47" s="39"/>
      <c r="S47" s="39"/>
      <c r="T47" s="39"/>
      <c r="U47" s="39"/>
      <c r="V47" s="39"/>
    </row>
    <row r="48" spans="1:22" s="45" customFormat="1" ht="35.450000000000003" customHeight="1" thickBot="1">
      <c r="A48" s="104"/>
      <c r="B48" s="105"/>
      <c r="C48" s="106"/>
      <c r="D48" s="106"/>
      <c r="E48" s="106"/>
      <c r="F48" s="106"/>
      <c r="G48" s="107"/>
      <c r="H48" s="250" t="s">
        <v>221</v>
      </c>
      <c r="I48" s="251"/>
      <c r="J48" s="251"/>
      <c r="K48" s="108"/>
      <c r="M48" s="46"/>
      <c r="N48" s="40"/>
      <c r="O48" s="47"/>
      <c r="P48" s="40"/>
      <c r="Q48" s="40"/>
      <c r="R48" s="39"/>
      <c r="S48" s="39"/>
      <c r="T48" s="39"/>
      <c r="U48" s="39"/>
      <c r="V48" s="39"/>
    </row>
  </sheetData>
  <mergeCells count="23">
    <mergeCell ref="B14:F16"/>
    <mergeCell ref="H16:K16"/>
    <mergeCell ref="D22:F22"/>
    <mergeCell ref="B25:F25"/>
    <mergeCell ref="A26:F26"/>
    <mergeCell ref="H18:K18"/>
    <mergeCell ref="H19:K19"/>
    <mergeCell ref="B27:F27"/>
    <mergeCell ref="B30:F30"/>
    <mergeCell ref="H48:J48"/>
    <mergeCell ref="B3:F3"/>
    <mergeCell ref="H3:K3"/>
    <mergeCell ref="H13:K13"/>
    <mergeCell ref="A4:K4"/>
    <mergeCell ref="G9:K9"/>
    <mergeCell ref="G10:K12"/>
    <mergeCell ref="B10:F12"/>
    <mergeCell ref="B6:F8"/>
    <mergeCell ref="G39:H39"/>
    <mergeCell ref="H14:K14"/>
    <mergeCell ref="H15:K15"/>
    <mergeCell ref="H17:K17"/>
    <mergeCell ref="D18:F18"/>
  </mergeCells>
  <phoneticPr fontId="22" type="noConversion"/>
  <printOptions horizontalCentered="1"/>
  <pageMargins left="0.70866141732283505" right="0.52" top="0.59" bottom="0.74803149606299202" header="0.31496062992126" footer="0.31496062992126"/>
  <pageSetup paperSize="9" scale="63" fitToHeight="0"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sheetPr>
  <dimension ref="B1:U66"/>
  <sheetViews>
    <sheetView showGridLines="0" tabSelected="1" view="pageBreakPreview" zoomScale="50" zoomScaleNormal="100" zoomScaleSheetLayoutView="50" zoomScalePageLayoutView="70" workbookViewId="0">
      <pane xSplit="4" ySplit="14" topLeftCell="E62" activePane="bottomRight" state="frozen"/>
      <selection pane="topRight" activeCell="E1" sqref="E1"/>
      <selection pane="bottomLeft" activeCell="A14" sqref="A14"/>
      <selection pane="bottomRight" activeCell="R62" sqref="R62:R65"/>
    </sheetView>
  </sheetViews>
  <sheetFormatPr defaultColWidth="8.6640625" defaultRowHeight="18" customHeight="1"/>
  <cols>
    <col min="1" max="1" width="1" style="115" customWidth="1"/>
    <col min="2" max="2" width="6.44140625" style="126" customWidth="1"/>
    <col min="3" max="3" width="22.33203125" style="139" customWidth="1"/>
    <col min="4" max="4" width="54.21875" style="2" customWidth="1"/>
    <col min="5" max="5" width="16.5546875" style="2" customWidth="1"/>
    <col min="6" max="6" width="23.21875" style="2" hidden="1" customWidth="1"/>
    <col min="7" max="7" width="10.44140625" style="113" customWidth="1"/>
    <col min="8" max="8" width="10.88671875" style="140" customWidth="1"/>
    <col min="9" max="9" width="9.88671875" style="113" customWidth="1"/>
    <col min="10" max="10" width="8.33203125" style="113" customWidth="1"/>
    <col min="11" max="12" width="7.33203125" style="113" customWidth="1"/>
    <col min="13" max="13" width="10.5546875" style="113" customWidth="1"/>
    <col min="14" max="14" width="12.44140625" style="113" customWidth="1"/>
    <col min="15" max="16" width="11.21875" style="113" bestFit="1" customWidth="1"/>
    <col min="17" max="17" width="14.44140625" style="113" customWidth="1"/>
    <col min="18" max="18" width="14.6640625" style="126" customWidth="1"/>
    <col min="19" max="19" width="11" style="3" customWidth="1"/>
    <col min="20" max="20" width="7.21875" style="115" customWidth="1"/>
    <col min="21" max="16384" width="8.6640625" style="115"/>
  </cols>
  <sheetData>
    <row r="1" spans="2:21" ht="9" customHeight="1">
      <c r="B1" s="200"/>
      <c r="C1" s="113"/>
      <c r="D1" s="113"/>
      <c r="E1" s="113"/>
      <c r="F1" s="113"/>
      <c r="H1" s="113"/>
      <c r="I1" s="114"/>
      <c r="J1" s="114"/>
      <c r="K1" s="114"/>
      <c r="L1" s="145"/>
      <c r="M1" s="1"/>
      <c r="N1" s="200"/>
      <c r="O1" s="200"/>
      <c r="P1" s="200"/>
      <c r="Q1" s="200"/>
      <c r="R1" s="200"/>
      <c r="S1" s="200"/>
      <c r="T1" s="200"/>
      <c r="U1" s="200"/>
    </row>
    <row r="2" spans="2:21" ht="4.5" customHeight="1">
      <c r="B2" s="112"/>
      <c r="C2" s="113"/>
      <c r="D2" s="113"/>
      <c r="E2" s="113"/>
      <c r="F2" s="113"/>
      <c r="H2" s="113"/>
      <c r="I2" s="114"/>
      <c r="J2" s="114"/>
      <c r="K2" s="114"/>
      <c r="L2" s="145"/>
      <c r="M2" s="1"/>
      <c r="N2" s="112"/>
      <c r="O2" s="112"/>
      <c r="P2" s="112"/>
      <c r="Q2" s="112"/>
      <c r="R2" s="112"/>
      <c r="S2" s="112"/>
      <c r="T2" s="112"/>
      <c r="U2" s="112"/>
    </row>
    <row r="3" spans="2:21" ht="27" customHeight="1" thickBot="1">
      <c r="B3" s="112"/>
      <c r="C3" s="308" t="s">
        <v>158</v>
      </c>
      <c r="D3" s="308"/>
      <c r="E3" s="308"/>
      <c r="F3" s="308"/>
      <c r="G3" s="308"/>
      <c r="H3" s="308"/>
      <c r="I3" s="308"/>
      <c r="J3" s="308"/>
      <c r="K3" s="114"/>
      <c r="L3" s="145"/>
      <c r="M3" s="1"/>
      <c r="N3" s="201"/>
      <c r="O3" s="112"/>
      <c r="P3" s="112"/>
      <c r="Q3" s="112"/>
      <c r="R3" s="112"/>
      <c r="S3" s="112"/>
      <c r="T3" s="112"/>
      <c r="U3" s="112"/>
    </row>
    <row r="4" spans="2:21" ht="39.75" customHeight="1" thickTop="1" thickBot="1">
      <c r="B4" s="312" t="s">
        <v>46</v>
      </c>
      <c r="C4" s="313"/>
      <c r="D4" s="313"/>
      <c r="E4" s="313"/>
      <c r="F4" s="313"/>
      <c r="G4" s="313"/>
      <c r="H4" s="313"/>
      <c r="I4" s="313"/>
      <c r="J4" s="313"/>
      <c r="K4" s="313"/>
      <c r="L4" s="313"/>
      <c r="M4" s="313"/>
      <c r="N4" s="313"/>
      <c r="O4" s="313"/>
      <c r="P4" s="313"/>
      <c r="Q4" s="313"/>
      <c r="R4" s="313"/>
      <c r="S4" s="314"/>
    </row>
    <row r="5" spans="2:21" s="113" customFormat="1" ht="22.5" customHeight="1" thickTop="1">
      <c r="B5" s="116"/>
      <c r="C5" s="117" t="s">
        <v>47</v>
      </c>
      <c r="D5" s="118" t="str">
        <f>'Packing List (1_2)'!H5</f>
        <v>OM4-P2-LS-0002</v>
      </c>
      <c r="E5" s="118"/>
      <c r="F5" s="118"/>
      <c r="G5" s="116"/>
      <c r="H5" s="116"/>
      <c r="I5" s="116"/>
      <c r="J5" s="116"/>
      <c r="K5" s="116"/>
      <c r="L5" s="116"/>
      <c r="M5" s="116"/>
      <c r="N5" s="116"/>
      <c r="O5" s="116"/>
      <c r="P5" s="116"/>
      <c r="Q5" s="116"/>
      <c r="R5" s="119"/>
      <c r="S5" s="116"/>
    </row>
    <row r="6" spans="2:21" s="113" customFormat="1" ht="22.5" customHeight="1">
      <c r="B6" s="116"/>
      <c r="C6" s="117" t="s">
        <v>48</v>
      </c>
      <c r="D6" s="120" t="str">
        <f>'Packing List (1_2)'!H6</f>
        <v>June 10th, 2026</v>
      </c>
      <c r="E6" s="120"/>
      <c r="F6" s="120"/>
      <c r="G6" s="116"/>
      <c r="H6" s="116"/>
      <c r="I6" s="121" t="s">
        <v>49</v>
      </c>
      <c r="J6" s="116"/>
      <c r="K6" s="116"/>
      <c r="L6" s="116"/>
      <c r="M6" s="116"/>
      <c r="N6" s="121" t="s">
        <v>50</v>
      </c>
      <c r="O6" s="116"/>
      <c r="P6" s="116"/>
      <c r="Q6" s="116"/>
      <c r="R6" s="116"/>
      <c r="S6" s="116"/>
    </row>
    <row r="7" spans="2:21" s="113" customFormat="1" ht="22.5" customHeight="1">
      <c r="B7" s="116"/>
      <c r="C7" s="117" t="s">
        <v>51</v>
      </c>
      <c r="D7" s="122" t="s">
        <v>5</v>
      </c>
      <c r="E7" s="122"/>
      <c r="F7" s="122"/>
      <c r="G7" s="116"/>
      <c r="H7" s="116"/>
      <c r="I7" s="184" t="s">
        <v>52</v>
      </c>
      <c r="J7" s="121" t="s">
        <v>53</v>
      </c>
      <c r="K7" s="116"/>
      <c r="L7" s="116"/>
      <c r="M7" s="116"/>
      <c r="N7" s="123"/>
      <c r="O7" s="124" t="s">
        <v>54</v>
      </c>
      <c r="P7" s="124" t="s">
        <v>55</v>
      </c>
      <c r="Q7" s="124" t="s">
        <v>56</v>
      </c>
      <c r="R7" s="124" t="s">
        <v>57</v>
      </c>
      <c r="S7" s="116"/>
    </row>
    <row r="8" spans="2:21" s="113" customFormat="1" ht="17.25" customHeight="1">
      <c r="B8" s="116"/>
      <c r="C8" s="125"/>
      <c r="D8" s="117"/>
      <c r="E8" s="117"/>
      <c r="F8" s="117"/>
      <c r="G8" s="116"/>
      <c r="H8" s="116"/>
      <c r="I8" s="184" t="s">
        <v>58</v>
      </c>
      <c r="J8" s="121" t="s">
        <v>59</v>
      </c>
      <c r="K8" s="116"/>
      <c r="L8" s="116"/>
      <c r="M8" s="116"/>
      <c r="N8" s="124" t="s">
        <v>60</v>
      </c>
      <c r="O8" s="124" t="s">
        <v>61</v>
      </c>
      <c r="P8" s="124" t="s">
        <v>62</v>
      </c>
      <c r="Q8" s="124" t="s">
        <v>63</v>
      </c>
      <c r="R8" s="124" t="s">
        <v>64</v>
      </c>
      <c r="S8" s="116"/>
    </row>
    <row r="9" spans="2:21" s="113" customFormat="1" ht="17.25" customHeight="1">
      <c r="B9" s="116"/>
      <c r="C9" s="117"/>
      <c r="D9" s="117"/>
      <c r="E9" s="117"/>
      <c r="F9" s="117"/>
      <c r="G9" s="116"/>
      <c r="H9" s="116"/>
      <c r="I9" s="184" t="s">
        <v>65</v>
      </c>
      <c r="J9" s="121" t="s">
        <v>66</v>
      </c>
      <c r="K9" s="116"/>
      <c r="L9" s="116"/>
      <c r="M9" s="116"/>
      <c r="N9" s="124" t="s">
        <v>67</v>
      </c>
      <c r="O9" s="124" t="s">
        <v>68</v>
      </c>
      <c r="P9" s="124" t="s">
        <v>69</v>
      </c>
      <c r="Q9" s="124" t="s">
        <v>70</v>
      </c>
      <c r="R9" s="124" t="s">
        <v>71</v>
      </c>
      <c r="S9" s="116"/>
    </row>
    <row r="10" spans="2:21" s="113" customFormat="1" ht="17.25" customHeight="1">
      <c r="B10" s="116"/>
      <c r="C10" s="125"/>
      <c r="D10" s="117"/>
      <c r="E10" s="117"/>
      <c r="F10" s="117"/>
      <c r="G10" s="116"/>
      <c r="H10" s="116"/>
      <c r="I10" s="184" t="s">
        <v>72</v>
      </c>
      <c r="J10" s="121" t="s">
        <v>73</v>
      </c>
      <c r="K10" s="116"/>
      <c r="L10" s="116"/>
      <c r="M10" s="116"/>
      <c r="N10" s="124" t="s">
        <v>74</v>
      </c>
      <c r="O10" s="124" t="s">
        <v>75</v>
      </c>
      <c r="P10" s="124" t="s">
        <v>76</v>
      </c>
      <c r="Q10" s="124" t="s">
        <v>77</v>
      </c>
      <c r="R10" s="124" t="s">
        <v>78</v>
      </c>
      <c r="S10" s="116"/>
    </row>
    <row r="11" spans="2:21" s="113" customFormat="1" ht="17.25" customHeight="1">
      <c r="B11" s="116"/>
      <c r="C11" s="125"/>
      <c r="D11" s="117"/>
      <c r="E11" s="117"/>
      <c r="F11" s="117"/>
      <c r="G11" s="116"/>
      <c r="H11" s="116"/>
      <c r="I11" s="184" t="s">
        <v>79</v>
      </c>
      <c r="J11" s="121" t="s">
        <v>80</v>
      </c>
      <c r="K11" s="116"/>
      <c r="L11" s="116"/>
      <c r="M11" s="116"/>
      <c r="N11" s="116"/>
      <c r="O11" s="116"/>
      <c r="P11" s="116"/>
      <c r="Q11" s="116"/>
      <c r="R11" s="116"/>
      <c r="S11" s="116"/>
    </row>
    <row r="12" spans="2:21" s="113" customFormat="1" ht="17.25" customHeight="1">
      <c r="B12" s="126"/>
      <c r="C12" s="127"/>
      <c r="D12" s="126"/>
      <c r="E12" s="126"/>
      <c r="F12" s="126"/>
      <c r="G12" s="126"/>
      <c r="H12" s="126"/>
      <c r="K12" s="126"/>
      <c r="L12" s="126"/>
      <c r="M12" s="126"/>
      <c r="N12" s="126"/>
      <c r="O12" s="126"/>
      <c r="P12" s="126"/>
      <c r="Q12" s="126"/>
      <c r="R12" s="126"/>
      <c r="S12" s="126"/>
    </row>
    <row r="13" spans="2:21" s="128" customFormat="1" ht="51.75" customHeight="1">
      <c r="B13" s="231" t="s">
        <v>29</v>
      </c>
      <c r="C13" s="234" t="s">
        <v>30</v>
      </c>
      <c r="D13" s="235" t="s">
        <v>81</v>
      </c>
      <c r="E13" s="231" t="s">
        <v>240</v>
      </c>
      <c r="F13" s="231" t="s">
        <v>220</v>
      </c>
      <c r="G13" s="237" t="s">
        <v>83</v>
      </c>
      <c r="H13" s="238"/>
      <c r="I13" s="231" t="s">
        <v>84</v>
      </c>
      <c r="J13" s="237" t="s">
        <v>152</v>
      </c>
      <c r="K13" s="239"/>
      <c r="L13" s="239"/>
      <c r="M13" s="238"/>
      <c r="N13" s="231" t="s">
        <v>85</v>
      </c>
      <c r="O13" s="231" t="s">
        <v>86</v>
      </c>
      <c r="P13" s="231" t="s">
        <v>87</v>
      </c>
      <c r="Q13" s="231" t="s">
        <v>88</v>
      </c>
      <c r="R13" s="306" t="s">
        <v>154</v>
      </c>
      <c r="S13" s="231" t="s">
        <v>89</v>
      </c>
    </row>
    <row r="14" spans="2:21" s="128" customFormat="1" ht="51.75" customHeight="1">
      <c r="B14" s="232"/>
      <c r="C14" s="233"/>
      <c r="D14" s="236"/>
      <c r="E14" s="232"/>
      <c r="F14" s="232"/>
      <c r="G14" s="131" t="s">
        <v>90</v>
      </c>
      <c r="H14" s="131" t="s">
        <v>91</v>
      </c>
      <c r="I14" s="232"/>
      <c r="J14" s="132" t="s">
        <v>92</v>
      </c>
      <c r="K14" s="132" t="s">
        <v>93</v>
      </c>
      <c r="L14" s="132" t="s">
        <v>94</v>
      </c>
      <c r="M14" s="132" t="s">
        <v>95</v>
      </c>
      <c r="N14" s="232"/>
      <c r="O14" s="232"/>
      <c r="P14" s="232"/>
      <c r="Q14" s="232"/>
      <c r="R14" s="307"/>
      <c r="S14" s="232"/>
    </row>
    <row r="15" spans="2:21" s="113" customFormat="1" ht="48.75" customHeight="1">
      <c r="B15" s="124">
        <v>1</v>
      </c>
      <c r="C15" s="124" t="s">
        <v>174</v>
      </c>
      <c r="D15" s="137" t="s">
        <v>31</v>
      </c>
      <c r="E15" s="41" t="s">
        <v>153</v>
      </c>
      <c r="F15" s="208" t="s">
        <v>153</v>
      </c>
      <c r="G15" s="38">
        <f>'Detailed PL'!H15</f>
        <v>1000</v>
      </c>
      <c r="H15" s="133" t="s">
        <v>32</v>
      </c>
      <c r="I15" s="134" t="s">
        <v>96</v>
      </c>
      <c r="J15" s="124">
        <f>'Detailed PL'!L15</f>
        <v>1300</v>
      </c>
      <c r="K15" s="124">
        <f>'Detailed PL'!M15</f>
        <v>800</v>
      </c>
      <c r="L15" s="124">
        <f>'Detailed PL'!N15</f>
        <v>800</v>
      </c>
      <c r="M15" s="213">
        <f t="shared" ref="M15:M23" si="0">ROUND(J15*K15*L15/1000000000,2)</f>
        <v>0.83</v>
      </c>
      <c r="N15" s="214">
        <f>'Detailed PL'!P15</f>
        <v>2257</v>
      </c>
      <c r="O15" s="176">
        <f>'Detailed PL'!Q15</f>
        <v>2340</v>
      </c>
      <c r="P15" s="133" t="s">
        <v>13</v>
      </c>
      <c r="Q15" s="133" t="s">
        <v>97</v>
      </c>
      <c r="R15" s="135" t="s">
        <v>98</v>
      </c>
      <c r="S15" s="209"/>
    </row>
    <row r="16" spans="2:21" s="113" customFormat="1" ht="48.75" customHeight="1">
      <c r="B16" s="124">
        <v>2</v>
      </c>
      <c r="C16" s="124" t="s">
        <v>175</v>
      </c>
      <c r="D16" s="137" t="s">
        <v>31</v>
      </c>
      <c r="E16" s="41" t="s">
        <v>153</v>
      </c>
      <c r="F16" s="208" t="s">
        <v>153</v>
      </c>
      <c r="G16" s="41">
        <f>'Detailed PL'!H16</f>
        <v>1000</v>
      </c>
      <c r="H16" s="133" t="s">
        <v>32</v>
      </c>
      <c r="I16" s="134" t="s">
        <v>96</v>
      </c>
      <c r="J16" s="124">
        <f>'Detailed PL'!L16</f>
        <v>1300</v>
      </c>
      <c r="K16" s="124">
        <f>'Detailed PL'!M16</f>
        <v>800</v>
      </c>
      <c r="L16" s="124">
        <f>'Detailed PL'!N16</f>
        <v>800</v>
      </c>
      <c r="M16" s="213">
        <f t="shared" si="0"/>
        <v>0.83</v>
      </c>
      <c r="N16" s="214">
        <f>'Detailed PL'!P16</f>
        <v>2257</v>
      </c>
      <c r="O16" s="176">
        <f>'Detailed PL'!Q16</f>
        <v>2340</v>
      </c>
      <c r="P16" s="133" t="s">
        <v>13</v>
      </c>
      <c r="Q16" s="133" t="s">
        <v>97</v>
      </c>
      <c r="R16" s="135" t="s">
        <v>98</v>
      </c>
      <c r="S16" s="133"/>
    </row>
    <row r="17" spans="2:19" s="113" customFormat="1" ht="48.75" customHeight="1">
      <c r="B17" s="124">
        <v>3</v>
      </c>
      <c r="C17" s="124" t="s">
        <v>176</v>
      </c>
      <c r="D17" s="137" t="s">
        <v>31</v>
      </c>
      <c r="E17" s="41" t="s">
        <v>153</v>
      </c>
      <c r="F17" s="208" t="s">
        <v>153</v>
      </c>
      <c r="G17" s="41">
        <f>'Detailed PL'!H17</f>
        <v>1000</v>
      </c>
      <c r="H17" s="133" t="s">
        <v>32</v>
      </c>
      <c r="I17" s="134" t="s">
        <v>96</v>
      </c>
      <c r="J17" s="124">
        <f>'Detailed PL'!L17</f>
        <v>1300</v>
      </c>
      <c r="K17" s="124">
        <f>'Detailed PL'!M17</f>
        <v>800</v>
      </c>
      <c r="L17" s="124">
        <f>'Detailed PL'!N17</f>
        <v>800</v>
      </c>
      <c r="M17" s="213">
        <f t="shared" si="0"/>
        <v>0.83</v>
      </c>
      <c r="N17" s="214">
        <f>'Detailed PL'!P17</f>
        <v>2257</v>
      </c>
      <c r="O17" s="176">
        <f>'Detailed PL'!Q17</f>
        <v>2340</v>
      </c>
      <c r="P17" s="133" t="s">
        <v>13</v>
      </c>
      <c r="Q17" s="133" t="s">
        <v>97</v>
      </c>
      <c r="R17" s="135" t="s">
        <v>98</v>
      </c>
      <c r="S17" s="133"/>
    </row>
    <row r="18" spans="2:19" s="113" customFormat="1" ht="48.75" customHeight="1">
      <c r="B18" s="124">
        <v>4</v>
      </c>
      <c r="C18" s="124" t="s">
        <v>177</v>
      </c>
      <c r="D18" s="137" t="s">
        <v>31</v>
      </c>
      <c r="E18" s="41" t="s">
        <v>153</v>
      </c>
      <c r="F18" s="208" t="s">
        <v>153</v>
      </c>
      <c r="G18" s="41">
        <f>'Detailed PL'!H18</f>
        <v>1000</v>
      </c>
      <c r="H18" s="133" t="s">
        <v>32</v>
      </c>
      <c r="I18" s="134" t="s">
        <v>96</v>
      </c>
      <c r="J18" s="124">
        <f>'Detailed PL'!L18</f>
        <v>1300</v>
      </c>
      <c r="K18" s="124">
        <f>'Detailed PL'!M18</f>
        <v>800</v>
      </c>
      <c r="L18" s="124">
        <f>'Detailed PL'!N18</f>
        <v>800</v>
      </c>
      <c r="M18" s="213">
        <f t="shared" si="0"/>
        <v>0.83</v>
      </c>
      <c r="N18" s="214">
        <f>'Detailed PL'!P18</f>
        <v>2257</v>
      </c>
      <c r="O18" s="176">
        <f>'Detailed PL'!Q18</f>
        <v>2340</v>
      </c>
      <c r="P18" s="133" t="s">
        <v>13</v>
      </c>
      <c r="Q18" s="133" t="s">
        <v>97</v>
      </c>
      <c r="R18" s="135" t="s">
        <v>98</v>
      </c>
      <c r="S18" s="133"/>
    </row>
    <row r="19" spans="2:19" s="113" customFormat="1" ht="48.75" customHeight="1">
      <c r="B19" s="124">
        <v>5</v>
      </c>
      <c r="C19" s="124" t="s">
        <v>178</v>
      </c>
      <c r="D19" s="137" t="s">
        <v>31</v>
      </c>
      <c r="E19" s="41" t="s">
        <v>153</v>
      </c>
      <c r="F19" s="208" t="s">
        <v>153</v>
      </c>
      <c r="G19" s="41">
        <f>'Detailed PL'!H19</f>
        <v>1300</v>
      </c>
      <c r="H19" s="133" t="s">
        <v>32</v>
      </c>
      <c r="I19" s="134" t="s">
        <v>96</v>
      </c>
      <c r="J19" s="124">
        <f>'Detailed PL'!L19</f>
        <v>1300</v>
      </c>
      <c r="K19" s="124">
        <f>'Detailed PL'!M19</f>
        <v>800</v>
      </c>
      <c r="L19" s="124">
        <f>'Detailed PL'!N19</f>
        <v>800</v>
      </c>
      <c r="M19" s="213">
        <f t="shared" si="0"/>
        <v>0.83</v>
      </c>
      <c r="N19" s="214">
        <f>'Detailed PL'!P19</f>
        <v>2817</v>
      </c>
      <c r="O19" s="176">
        <f>'Detailed PL'!Q19</f>
        <v>2900</v>
      </c>
      <c r="P19" s="133" t="s">
        <v>13</v>
      </c>
      <c r="Q19" s="133" t="s">
        <v>97</v>
      </c>
      <c r="R19" s="135" t="s">
        <v>98</v>
      </c>
      <c r="S19" s="133"/>
    </row>
    <row r="20" spans="2:19" s="113" customFormat="1" ht="48.75" customHeight="1">
      <c r="B20" s="124">
        <v>6</v>
      </c>
      <c r="C20" s="124" t="s">
        <v>179</v>
      </c>
      <c r="D20" s="137" t="s">
        <v>33</v>
      </c>
      <c r="E20" s="41" t="s">
        <v>153</v>
      </c>
      <c r="F20" s="208" t="s">
        <v>153</v>
      </c>
      <c r="G20" s="41">
        <f>'Detailed PL'!H20</f>
        <v>500</v>
      </c>
      <c r="H20" s="133" t="s">
        <v>32</v>
      </c>
      <c r="I20" s="134" t="s">
        <v>96</v>
      </c>
      <c r="J20" s="124">
        <f>'Detailed PL'!L20</f>
        <v>1200</v>
      </c>
      <c r="K20" s="124">
        <f>'Detailed PL'!M20</f>
        <v>800</v>
      </c>
      <c r="L20" s="124">
        <f>'Detailed PL'!N20</f>
        <v>800</v>
      </c>
      <c r="M20" s="213">
        <f t="shared" si="0"/>
        <v>0.77</v>
      </c>
      <c r="N20" s="214">
        <f>'Detailed PL'!P20</f>
        <v>1220</v>
      </c>
      <c r="O20" s="176">
        <f>'Detailed PL'!Q20</f>
        <v>1290</v>
      </c>
      <c r="P20" s="133" t="s">
        <v>13</v>
      </c>
      <c r="Q20" s="133" t="s">
        <v>97</v>
      </c>
      <c r="R20" s="135" t="s">
        <v>99</v>
      </c>
      <c r="S20" s="133"/>
    </row>
    <row r="21" spans="2:19" s="113" customFormat="1" ht="48.75" customHeight="1">
      <c r="B21" s="124">
        <v>7</v>
      </c>
      <c r="C21" s="124" t="s">
        <v>180</v>
      </c>
      <c r="D21" s="137" t="s">
        <v>34</v>
      </c>
      <c r="E21" s="41" t="s">
        <v>153</v>
      </c>
      <c r="F21" s="41" t="s">
        <v>163</v>
      </c>
      <c r="G21" s="41">
        <f>'Detailed PL'!H21</f>
        <v>500</v>
      </c>
      <c r="H21" s="133" t="s">
        <v>32</v>
      </c>
      <c r="I21" s="134" t="s">
        <v>96</v>
      </c>
      <c r="J21" s="124">
        <f>'Detailed PL'!L21</f>
        <v>1200</v>
      </c>
      <c r="K21" s="124">
        <f>'Detailed PL'!M21</f>
        <v>800</v>
      </c>
      <c r="L21" s="124">
        <f>'Detailed PL'!N21</f>
        <v>800</v>
      </c>
      <c r="M21" s="213">
        <f t="shared" si="0"/>
        <v>0.77</v>
      </c>
      <c r="N21" s="214">
        <f>'Detailed PL'!P21</f>
        <v>733</v>
      </c>
      <c r="O21" s="176">
        <f>'Detailed PL'!Q21</f>
        <v>820</v>
      </c>
      <c r="P21" s="133" t="s">
        <v>13</v>
      </c>
      <c r="Q21" s="133" t="s">
        <v>97</v>
      </c>
      <c r="R21" s="133" t="s">
        <v>100</v>
      </c>
      <c r="S21" s="133"/>
    </row>
    <row r="22" spans="2:19" s="113" customFormat="1" ht="41.25" customHeight="1">
      <c r="B22" s="124">
        <v>8</v>
      </c>
      <c r="C22" s="124" t="s">
        <v>181</v>
      </c>
      <c r="D22" s="137" t="s">
        <v>35</v>
      </c>
      <c r="E22" s="41" t="s">
        <v>153</v>
      </c>
      <c r="F22" s="41" t="s">
        <v>164</v>
      </c>
      <c r="G22" s="41">
        <f>'Detailed PL'!H22</f>
        <v>500</v>
      </c>
      <c r="H22" s="133" t="s">
        <v>32</v>
      </c>
      <c r="I22" s="134" t="s">
        <v>96</v>
      </c>
      <c r="J22" s="124">
        <f>'Detailed PL'!L22</f>
        <v>1000</v>
      </c>
      <c r="K22" s="124">
        <f>'Detailed PL'!M22</f>
        <v>700</v>
      </c>
      <c r="L22" s="124">
        <f>'Detailed PL'!N22</f>
        <v>700</v>
      </c>
      <c r="M22" s="213">
        <f t="shared" si="0"/>
        <v>0.49</v>
      </c>
      <c r="N22" s="214">
        <f>'Detailed PL'!P22</f>
        <v>493</v>
      </c>
      <c r="O22" s="176">
        <f>'Detailed PL'!Q22</f>
        <v>580</v>
      </c>
      <c r="P22" s="133" t="s">
        <v>13</v>
      </c>
      <c r="Q22" s="133" t="s">
        <v>97</v>
      </c>
      <c r="R22" s="133" t="s">
        <v>101</v>
      </c>
      <c r="S22" s="133"/>
    </row>
    <row r="23" spans="2:19" s="210" customFormat="1" ht="50.25" customHeight="1">
      <c r="B23" s="124">
        <v>9</v>
      </c>
      <c r="C23" s="226" t="s">
        <v>182</v>
      </c>
      <c r="D23" s="137" t="s">
        <v>239</v>
      </c>
      <c r="E23" s="41" t="s">
        <v>153</v>
      </c>
      <c r="F23" s="41" t="s">
        <v>165</v>
      </c>
      <c r="G23" s="41">
        <f>'Detailed PL'!H23</f>
        <v>2</v>
      </c>
      <c r="H23" s="133" t="s">
        <v>37</v>
      </c>
      <c r="I23" s="228" t="s">
        <v>105</v>
      </c>
      <c r="J23" s="228">
        <v>500</v>
      </c>
      <c r="K23" s="228">
        <v>500</v>
      </c>
      <c r="L23" s="228">
        <v>500</v>
      </c>
      <c r="M23" s="228">
        <f t="shared" si="0"/>
        <v>0.13</v>
      </c>
      <c r="N23" s="304">
        <f>'Detailed PL'!P23</f>
        <v>80</v>
      </c>
      <c r="O23" s="224">
        <f>'Detailed PL'!Q23</f>
        <v>81</v>
      </c>
      <c r="P23" s="228" t="s">
        <v>13</v>
      </c>
      <c r="Q23" s="133" t="s">
        <v>161</v>
      </c>
      <c r="R23" s="135" t="s">
        <v>223</v>
      </c>
      <c r="S23" s="133"/>
    </row>
    <row r="24" spans="2:19" s="210" customFormat="1" ht="73.5" customHeight="1">
      <c r="B24" s="124">
        <v>10</v>
      </c>
      <c r="C24" s="227"/>
      <c r="D24" s="215" t="s">
        <v>241</v>
      </c>
      <c r="E24" s="41" t="s">
        <v>153</v>
      </c>
      <c r="F24" s="41" t="s">
        <v>165</v>
      </c>
      <c r="G24" s="41">
        <f>'Detailed PL'!H24</f>
        <v>400</v>
      </c>
      <c r="H24" s="133" t="s">
        <v>37</v>
      </c>
      <c r="I24" s="229"/>
      <c r="J24" s="229"/>
      <c r="K24" s="229"/>
      <c r="L24" s="229"/>
      <c r="M24" s="229"/>
      <c r="N24" s="305"/>
      <c r="O24" s="225"/>
      <c r="P24" s="229"/>
      <c r="Q24" s="133" t="s">
        <v>161</v>
      </c>
      <c r="R24" s="135" t="s">
        <v>224</v>
      </c>
      <c r="S24" s="133"/>
    </row>
    <row r="25" spans="2:19" s="113" customFormat="1" ht="48.75" customHeight="1">
      <c r="B25" s="124">
        <v>11</v>
      </c>
      <c r="C25" s="226" t="s">
        <v>183</v>
      </c>
      <c r="D25" s="137" t="s">
        <v>238</v>
      </c>
      <c r="E25" s="41" t="s">
        <v>153</v>
      </c>
      <c r="F25" s="41" t="s">
        <v>166</v>
      </c>
      <c r="G25" s="41">
        <f>'Detailed PL'!H25</f>
        <v>1</v>
      </c>
      <c r="H25" s="133" t="s">
        <v>37</v>
      </c>
      <c r="I25" s="228" t="s">
        <v>105</v>
      </c>
      <c r="J25" s="228">
        <v>500</v>
      </c>
      <c r="K25" s="228">
        <v>500</v>
      </c>
      <c r="L25" s="228">
        <v>500</v>
      </c>
      <c r="M25" s="228">
        <f t="shared" ref="M25" si="1">ROUND(J25*K25*L25/1000000000,2)</f>
        <v>0.13</v>
      </c>
      <c r="N25" s="304">
        <f>'Detailed PL'!P25</f>
        <v>30</v>
      </c>
      <c r="O25" s="224">
        <f>'Detailed PL'!Q25</f>
        <v>31</v>
      </c>
      <c r="P25" s="228" t="s">
        <v>13</v>
      </c>
      <c r="Q25" s="133" t="s">
        <v>161</v>
      </c>
      <c r="R25" s="135" t="s">
        <v>225</v>
      </c>
      <c r="S25" s="133"/>
    </row>
    <row r="26" spans="2:19" s="113" customFormat="1" ht="71.25" customHeight="1">
      <c r="B26" s="124">
        <v>12</v>
      </c>
      <c r="C26" s="227"/>
      <c r="D26" s="215" t="s">
        <v>242</v>
      </c>
      <c r="E26" s="41" t="s">
        <v>153</v>
      </c>
      <c r="F26" s="41" t="s">
        <v>166</v>
      </c>
      <c r="G26" s="41">
        <f>'Detailed PL'!H26</f>
        <v>100</v>
      </c>
      <c r="H26" s="133" t="s">
        <v>37</v>
      </c>
      <c r="I26" s="229"/>
      <c r="J26" s="229"/>
      <c r="K26" s="229"/>
      <c r="L26" s="229"/>
      <c r="M26" s="229"/>
      <c r="N26" s="305"/>
      <c r="O26" s="225"/>
      <c r="P26" s="229"/>
      <c r="Q26" s="133" t="s">
        <v>161</v>
      </c>
      <c r="R26" s="135" t="s">
        <v>226</v>
      </c>
      <c r="S26" s="133"/>
    </row>
    <row r="27" spans="2:19" s="113" customFormat="1" ht="45" customHeight="1">
      <c r="B27" s="124">
        <v>13</v>
      </c>
      <c r="C27" s="226" t="s">
        <v>184</v>
      </c>
      <c r="D27" s="137" t="s">
        <v>237</v>
      </c>
      <c r="E27" s="41" t="s">
        <v>153</v>
      </c>
      <c r="F27" s="41" t="s">
        <v>167</v>
      </c>
      <c r="G27" s="41">
        <f>'Detailed PL'!H27</f>
        <v>1</v>
      </c>
      <c r="H27" s="133" t="s">
        <v>37</v>
      </c>
      <c r="I27" s="228" t="s">
        <v>105</v>
      </c>
      <c r="J27" s="228">
        <v>500</v>
      </c>
      <c r="K27" s="228">
        <v>500</v>
      </c>
      <c r="L27" s="228">
        <v>500</v>
      </c>
      <c r="M27" s="228">
        <f t="shared" ref="M27" si="2">ROUND(J27*K27*L27/1000000000,2)</f>
        <v>0.13</v>
      </c>
      <c r="N27" s="304">
        <f>'Detailed PL'!P27</f>
        <v>25</v>
      </c>
      <c r="O27" s="224">
        <f>'Detailed PL'!Q27</f>
        <v>26</v>
      </c>
      <c r="P27" s="228" t="s">
        <v>13</v>
      </c>
      <c r="Q27" s="133" t="s">
        <v>161</v>
      </c>
      <c r="R27" s="135" t="s">
        <v>227</v>
      </c>
      <c r="S27" s="133"/>
    </row>
    <row r="28" spans="2:19" s="113" customFormat="1" ht="68.25" customHeight="1">
      <c r="B28" s="124">
        <v>14</v>
      </c>
      <c r="C28" s="227"/>
      <c r="D28" s="137" t="s">
        <v>248</v>
      </c>
      <c r="E28" s="41" t="s">
        <v>153</v>
      </c>
      <c r="F28" s="41" t="s">
        <v>167</v>
      </c>
      <c r="G28" s="41">
        <f>'Detailed PL'!H28</f>
        <v>100</v>
      </c>
      <c r="H28" s="133" t="s">
        <v>37</v>
      </c>
      <c r="I28" s="229"/>
      <c r="J28" s="229"/>
      <c r="K28" s="229"/>
      <c r="L28" s="229"/>
      <c r="M28" s="229"/>
      <c r="N28" s="305"/>
      <c r="O28" s="225"/>
      <c r="P28" s="229"/>
      <c r="Q28" s="133" t="s">
        <v>161</v>
      </c>
      <c r="R28" s="135" t="s">
        <v>228</v>
      </c>
      <c r="S28" s="133"/>
    </row>
    <row r="29" spans="2:19" s="113" customFormat="1" ht="48" customHeight="1">
      <c r="B29" s="124">
        <v>15</v>
      </c>
      <c r="C29" s="226" t="s">
        <v>185</v>
      </c>
      <c r="D29" s="137" t="s">
        <v>236</v>
      </c>
      <c r="E29" s="41" t="s">
        <v>153</v>
      </c>
      <c r="F29" s="41" t="s">
        <v>168</v>
      </c>
      <c r="G29" s="41">
        <f>'Detailed PL'!H29</f>
        <v>1</v>
      </c>
      <c r="H29" s="133" t="s">
        <v>37</v>
      </c>
      <c r="I29" s="228" t="s">
        <v>105</v>
      </c>
      <c r="J29" s="228">
        <v>500</v>
      </c>
      <c r="K29" s="228">
        <v>500</v>
      </c>
      <c r="L29" s="228">
        <v>500</v>
      </c>
      <c r="M29" s="228">
        <f t="shared" ref="M29" si="3">ROUND(J29*K29*L29/1000000000,2)</f>
        <v>0.13</v>
      </c>
      <c r="N29" s="304">
        <f>'Detailed PL'!P29</f>
        <v>10</v>
      </c>
      <c r="O29" s="224">
        <f>'Detailed PL'!Q29</f>
        <v>11</v>
      </c>
      <c r="P29" s="228" t="s">
        <v>13</v>
      </c>
      <c r="Q29" s="133" t="s">
        <v>161</v>
      </c>
      <c r="R29" s="135" t="s">
        <v>229</v>
      </c>
      <c r="S29" s="133"/>
    </row>
    <row r="30" spans="2:19" s="113" customFormat="1" ht="75" customHeight="1">
      <c r="B30" s="124">
        <v>16</v>
      </c>
      <c r="C30" s="227"/>
      <c r="D30" s="215" t="s">
        <v>244</v>
      </c>
      <c r="E30" s="41" t="s">
        <v>153</v>
      </c>
      <c r="F30" s="41" t="s">
        <v>168</v>
      </c>
      <c r="G30" s="41">
        <f>'Detailed PL'!H30</f>
        <v>50</v>
      </c>
      <c r="H30" s="133" t="s">
        <v>37</v>
      </c>
      <c r="I30" s="229"/>
      <c r="J30" s="229"/>
      <c r="K30" s="229"/>
      <c r="L30" s="229"/>
      <c r="M30" s="229"/>
      <c r="N30" s="305"/>
      <c r="O30" s="225"/>
      <c r="P30" s="229"/>
      <c r="Q30" s="133" t="s">
        <v>161</v>
      </c>
      <c r="R30" s="135" t="s">
        <v>230</v>
      </c>
      <c r="S30" s="133"/>
    </row>
    <row r="31" spans="2:19" s="113" customFormat="1" ht="46.5" customHeight="1">
      <c r="B31" s="124">
        <v>17</v>
      </c>
      <c r="C31" s="226" t="s">
        <v>186</v>
      </c>
      <c r="D31" s="137" t="s">
        <v>235</v>
      </c>
      <c r="E31" s="41" t="s">
        <v>153</v>
      </c>
      <c r="F31" s="41" t="s">
        <v>169</v>
      </c>
      <c r="G31" s="41">
        <f>'Detailed PL'!H31</f>
        <v>1</v>
      </c>
      <c r="H31" s="133" t="s">
        <v>37</v>
      </c>
      <c r="I31" s="228" t="s">
        <v>105</v>
      </c>
      <c r="J31" s="228">
        <v>500</v>
      </c>
      <c r="K31" s="228">
        <v>500</v>
      </c>
      <c r="L31" s="228">
        <v>500</v>
      </c>
      <c r="M31" s="228">
        <f t="shared" ref="M31" si="4">ROUND(J31*K31*L31/1000000000,2)</f>
        <v>0.13</v>
      </c>
      <c r="N31" s="304">
        <f>'Detailed PL'!P31</f>
        <v>10</v>
      </c>
      <c r="O31" s="224">
        <f>'Detailed PL'!Q31</f>
        <v>11</v>
      </c>
      <c r="P31" s="228" t="s">
        <v>13</v>
      </c>
      <c r="Q31" s="133" t="s">
        <v>161</v>
      </c>
      <c r="R31" s="135" t="s">
        <v>231</v>
      </c>
      <c r="S31" s="133"/>
    </row>
    <row r="32" spans="2:19" s="113" customFormat="1" ht="77.25" customHeight="1">
      <c r="B32" s="124">
        <v>18</v>
      </c>
      <c r="C32" s="227"/>
      <c r="D32" s="215" t="s">
        <v>245</v>
      </c>
      <c r="E32" s="41" t="s">
        <v>153</v>
      </c>
      <c r="F32" s="41" t="s">
        <v>169</v>
      </c>
      <c r="G32" s="41">
        <f>'Detailed PL'!H32</f>
        <v>50</v>
      </c>
      <c r="H32" s="133" t="s">
        <v>37</v>
      </c>
      <c r="I32" s="229"/>
      <c r="J32" s="229"/>
      <c r="K32" s="229"/>
      <c r="L32" s="229"/>
      <c r="M32" s="229"/>
      <c r="N32" s="305"/>
      <c r="O32" s="225"/>
      <c r="P32" s="229"/>
      <c r="Q32" s="133" t="s">
        <v>161</v>
      </c>
      <c r="R32" s="135" t="s">
        <v>230</v>
      </c>
      <c r="S32" s="133"/>
    </row>
    <row r="33" spans="2:19" s="113" customFormat="1" ht="54" customHeight="1">
      <c r="B33" s="124">
        <v>19</v>
      </c>
      <c r="C33" s="226" t="s">
        <v>187</v>
      </c>
      <c r="D33" s="137" t="s">
        <v>234</v>
      </c>
      <c r="E33" s="41" t="s">
        <v>153</v>
      </c>
      <c r="F33" s="41" t="s">
        <v>170</v>
      </c>
      <c r="G33" s="41">
        <f>'Detailed PL'!H33</f>
        <v>1</v>
      </c>
      <c r="H33" s="133" t="s">
        <v>37</v>
      </c>
      <c r="I33" s="228" t="s">
        <v>105</v>
      </c>
      <c r="J33" s="228">
        <v>500</v>
      </c>
      <c r="K33" s="228">
        <v>500</v>
      </c>
      <c r="L33" s="228">
        <v>500</v>
      </c>
      <c r="M33" s="228">
        <f t="shared" ref="M33" si="5">ROUND(J33*K33*L33/1000000000,2)</f>
        <v>0.13</v>
      </c>
      <c r="N33" s="304">
        <f>'Detailed PL'!P33</f>
        <v>12</v>
      </c>
      <c r="O33" s="224">
        <f>'Detailed PL'!Q33</f>
        <v>13</v>
      </c>
      <c r="P33" s="228" t="s">
        <v>13</v>
      </c>
      <c r="Q33" s="133" t="s">
        <v>161</v>
      </c>
      <c r="R33" s="135" t="s">
        <v>232</v>
      </c>
      <c r="S33" s="133"/>
    </row>
    <row r="34" spans="2:19" s="113" customFormat="1" ht="83.25" customHeight="1">
      <c r="B34" s="124">
        <v>20</v>
      </c>
      <c r="C34" s="227"/>
      <c r="D34" s="215" t="s">
        <v>246</v>
      </c>
      <c r="E34" s="41" t="s">
        <v>153</v>
      </c>
      <c r="F34" s="41" t="s">
        <v>170</v>
      </c>
      <c r="G34" s="41">
        <f>'Detailed PL'!H34</f>
        <v>30</v>
      </c>
      <c r="H34" s="133" t="s">
        <v>37</v>
      </c>
      <c r="I34" s="229"/>
      <c r="J34" s="229"/>
      <c r="K34" s="229"/>
      <c r="L34" s="229"/>
      <c r="M34" s="229"/>
      <c r="N34" s="305"/>
      <c r="O34" s="225"/>
      <c r="P34" s="229"/>
      <c r="Q34" s="133" t="s">
        <v>161</v>
      </c>
      <c r="R34" s="135" t="s">
        <v>233</v>
      </c>
      <c r="S34" s="133"/>
    </row>
    <row r="35" spans="2:19" s="113" customFormat="1" ht="83.25" customHeight="1">
      <c r="B35" s="124">
        <v>21</v>
      </c>
      <c r="C35" s="124" t="s">
        <v>188</v>
      </c>
      <c r="D35" s="137" t="s">
        <v>36</v>
      </c>
      <c r="E35" s="41" t="s">
        <v>153</v>
      </c>
      <c r="F35" s="41" t="s">
        <v>171</v>
      </c>
      <c r="G35" s="41">
        <f>'Detailed PL'!H35</f>
        <v>30</v>
      </c>
      <c r="H35" s="133" t="s">
        <v>37</v>
      </c>
      <c r="I35" s="133" t="s">
        <v>102</v>
      </c>
      <c r="J35" s="124">
        <f>'Detailed PL'!L35</f>
        <v>3000</v>
      </c>
      <c r="K35" s="124">
        <f>'Detailed PL'!M35</f>
        <v>300</v>
      </c>
      <c r="L35" s="124">
        <f>'Detailed PL'!N35</f>
        <v>200</v>
      </c>
      <c r="M35" s="136">
        <f t="shared" ref="M35:M36" si="6">ROUND(J35*K35*L35/1000000000,2)</f>
        <v>0.18</v>
      </c>
      <c r="N35" s="214">
        <f>'Detailed PL'!P35</f>
        <v>150</v>
      </c>
      <c r="O35" s="216">
        <f>'Detailed PL'!Q35</f>
        <v>151</v>
      </c>
      <c r="P35" s="133" t="s">
        <v>13</v>
      </c>
      <c r="Q35" s="133" t="s">
        <v>97</v>
      </c>
      <c r="R35" s="135" t="s">
        <v>103</v>
      </c>
      <c r="S35" s="133"/>
    </row>
    <row r="36" spans="2:19" s="113" customFormat="1" ht="60.75" customHeight="1">
      <c r="B36" s="124">
        <v>22</v>
      </c>
      <c r="C36" s="124" t="s">
        <v>189</v>
      </c>
      <c r="D36" s="137" t="s">
        <v>247</v>
      </c>
      <c r="E36" s="41" t="s">
        <v>153</v>
      </c>
      <c r="F36" s="41" t="s">
        <v>172</v>
      </c>
      <c r="G36" s="41">
        <f>'Detailed PL'!H36</f>
        <v>1</v>
      </c>
      <c r="H36" s="133" t="s">
        <v>37</v>
      </c>
      <c r="I36" s="133" t="s">
        <v>102</v>
      </c>
      <c r="J36" s="124">
        <f>'Detailed PL'!L36</f>
        <v>350</v>
      </c>
      <c r="K36" s="124">
        <f>'Detailed PL'!M36</f>
        <v>350</v>
      </c>
      <c r="L36" s="124">
        <f>'Detailed PL'!N36</f>
        <v>200</v>
      </c>
      <c r="M36" s="136">
        <f t="shared" si="6"/>
        <v>0.02</v>
      </c>
      <c r="N36" s="214">
        <f>'Detailed PL'!P36</f>
        <v>25</v>
      </c>
      <c r="O36" s="216">
        <f>'Detailed PL'!Q36</f>
        <v>26</v>
      </c>
      <c r="P36" s="133" t="s">
        <v>13</v>
      </c>
      <c r="Q36" s="133" t="s">
        <v>97</v>
      </c>
      <c r="R36" s="135" t="s">
        <v>104</v>
      </c>
      <c r="S36" s="133"/>
    </row>
    <row r="37" spans="2:19" s="113" customFormat="1" ht="60.75" customHeight="1">
      <c r="B37" s="124">
        <v>23</v>
      </c>
      <c r="C37" s="124" t="s">
        <v>190</v>
      </c>
      <c r="D37" s="137" t="s">
        <v>247</v>
      </c>
      <c r="E37" s="41" t="s">
        <v>153</v>
      </c>
      <c r="F37" s="41" t="s">
        <v>172</v>
      </c>
      <c r="G37" s="41">
        <f>'Detailed PL'!H37</f>
        <v>1</v>
      </c>
      <c r="H37" s="133" t="s">
        <v>37</v>
      </c>
      <c r="I37" s="133" t="s">
        <v>102</v>
      </c>
      <c r="J37" s="124">
        <f>'Detailed PL'!L37</f>
        <v>350</v>
      </c>
      <c r="K37" s="124">
        <f>'Detailed PL'!M37</f>
        <v>350</v>
      </c>
      <c r="L37" s="124">
        <f>'Detailed PL'!N37</f>
        <v>200</v>
      </c>
      <c r="M37" s="136">
        <f t="shared" ref="M37:M61" si="7">ROUND(J37*K37*L37/1000000000,2)</f>
        <v>0.02</v>
      </c>
      <c r="N37" s="214">
        <f>'Detailed PL'!P37</f>
        <v>25</v>
      </c>
      <c r="O37" s="216">
        <f>'Detailed PL'!Q37</f>
        <v>26</v>
      </c>
      <c r="P37" s="133" t="s">
        <v>13</v>
      </c>
      <c r="Q37" s="133" t="s">
        <v>97</v>
      </c>
      <c r="R37" s="135" t="s">
        <v>104</v>
      </c>
      <c r="S37" s="133"/>
    </row>
    <row r="38" spans="2:19" s="113" customFormat="1" ht="60.75" customHeight="1">
      <c r="B38" s="124">
        <v>24</v>
      </c>
      <c r="C38" s="124" t="s">
        <v>191</v>
      </c>
      <c r="D38" s="137" t="s">
        <v>247</v>
      </c>
      <c r="E38" s="41" t="s">
        <v>153</v>
      </c>
      <c r="F38" s="41" t="s">
        <v>172</v>
      </c>
      <c r="G38" s="41">
        <f>'Detailed PL'!H38</f>
        <v>1</v>
      </c>
      <c r="H38" s="133" t="s">
        <v>37</v>
      </c>
      <c r="I38" s="133" t="s">
        <v>102</v>
      </c>
      <c r="J38" s="124">
        <f>'Detailed PL'!L38</f>
        <v>350</v>
      </c>
      <c r="K38" s="124">
        <f>'Detailed PL'!M38</f>
        <v>350</v>
      </c>
      <c r="L38" s="124">
        <f>'Detailed PL'!N38</f>
        <v>200</v>
      </c>
      <c r="M38" s="136">
        <f t="shared" si="7"/>
        <v>0.02</v>
      </c>
      <c r="N38" s="214">
        <f>'Detailed PL'!P38</f>
        <v>25</v>
      </c>
      <c r="O38" s="216">
        <f>'Detailed PL'!Q38</f>
        <v>26</v>
      </c>
      <c r="P38" s="133" t="s">
        <v>13</v>
      </c>
      <c r="Q38" s="133" t="s">
        <v>97</v>
      </c>
      <c r="R38" s="135" t="s">
        <v>104</v>
      </c>
      <c r="S38" s="133"/>
    </row>
    <row r="39" spans="2:19" s="113" customFormat="1" ht="60.75" customHeight="1">
      <c r="B39" s="124">
        <v>25</v>
      </c>
      <c r="C39" s="124" t="s">
        <v>192</v>
      </c>
      <c r="D39" s="137" t="s">
        <v>247</v>
      </c>
      <c r="E39" s="41" t="s">
        <v>153</v>
      </c>
      <c r="F39" s="41" t="s">
        <v>172</v>
      </c>
      <c r="G39" s="41">
        <f>'Detailed PL'!H39</f>
        <v>1</v>
      </c>
      <c r="H39" s="133" t="s">
        <v>37</v>
      </c>
      <c r="I39" s="133" t="s">
        <v>102</v>
      </c>
      <c r="J39" s="124">
        <f>'Detailed PL'!L39</f>
        <v>350</v>
      </c>
      <c r="K39" s="124">
        <f>'Detailed PL'!M39</f>
        <v>350</v>
      </c>
      <c r="L39" s="124">
        <f>'Detailed PL'!N39</f>
        <v>200</v>
      </c>
      <c r="M39" s="136">
        <f t="shared" si="7"/>
        <v>0.02</v>
      </c>
      <c r="N39" s="214">
        <f>'Detailed PL'!P39</f>
        <v>25</v>
      </c>
      <c r="O39" s="216">
        <f>'Detailed PL'!Q39</f>
        <v>26</v>
      </c>
      <c r="P39" s="133" t="s">
        <v>13</v>
      </c>
      <c r="Q39" s="133" t="s">
        <v>97</v>
      </c>
      <c r="R39" s="135" t="s">
        <v>104</v>
      </c>
      <c r="S39" s="133"/>
    </row>
    <row r="40" spans="2:19" s="113" customFormat="1" ht="60.75" customHeight="1">
      <c r="B40" s="124">
        <v>26</v>
      </c>
      <c r="C40" s="124" t="s">
        <v>193</v>
      </c>
      <c r="D40" s="137" t="s">
        <v>247</v>
      </c>
      <c r="E40" s="41" t="s">
        <v>153</v>
      </c>
      <c r="F40" s="41" t="s">
        <v>172</v>
      </c>
      <c r="G40" s="41">
        <f>'Detailed PL'!H40</f>
        <v>1</v>
      </c>
      <c r="H40" s="133" t="s">
        <v>37</v>
      </c>
      <c r="I40" s="133" t="s">
        <v>102</v>
      </c>
      <c r="J40" s="124">
        <f>'Detailed PL'!L40</f>
        <v>350</v>
      </c>
      <c r="K40" s="124">
        <f>'Detailed PL'!M40</f>
        <v>350</v>
      </c>
      <c r="L40" s="124">
        <f>'Detailed PL'!N40</f>
        <v>200</v>
      </c>
      <c r="M40" s="136">
        <f t="shared" si="7"/>
        <v>0.02</v>
      </c>
      <c r="N40" s="214">
        <f>'Detailed PL'!P40</f>
        <v>25</v>
      </c>
      <c r="O40" s="216">
        <f>'Detailed PL'!Q40</f>
        <v>26</v>
      </c>
      <c r="P40" s="133" t="s">
        <v>13</v>
      </c>
      <c r="Q40" s="133" t="s">
        <v>97</v>
      </c>
      <c r="R40" s="135" t="s">
        <v>104</v>
      </c>
      <c r="S40" s="133"/>
    </row>
    <row r="41" spans="2:19" s="113" customFormat="1" ht="60.75" customHeight="1">
      <c r="B41" s="124">
        <v>27</v>
      </c>
      <c r="C41" s="124" t="s">
        <v>194</v>
      </c>
      <c r="D41" s="137" t="s">
        <v>247</v>
      </c>
      <c r="E41" s="41" t="s">
        <v>153</v>
      </c>
      <c r="F41" s="41" t="s">
        <v>172</v>
      </c>
      <c r="G41" s="41">
        <f>'Detailed PL'!H41</f>
        <v>1</v>
      </c>
      <c r="H41" s="133" t="s">
        <v>37</v>
      </c>
      <c r="I41" s="133" t="s">
        <v>102</v>
      </c>
      <c r="J41" s="124">
        <f>'Detailed PL'!L41</f>
        <v>350</v>
      </c>
      <c r="K41" s="124">
        <f>'Detailed PL'!M41</f>
        <v>350</v>
      </c>
      <c r="L41" s="124">
        <f>'Detailed PL'!N41</f>
        <v>200</v>
      </c>
      <c r="M41" s="136">
        <f t="shared" si="7"/>
        <v>0.02</v>
      </c>
      <c r="N41" s="214">
        <f>'Detailed PL'!P41</f>
        <v>25</v>
      </c>
      <c r="O41" s="216">
        <f>'Detailed PL'!Q41</f>
        <v>26</v>
      </c>
      <c r="P41" s="133" t="s">
        <v>13</v>
      </c>
      <c r="Q41" s="133" t="s">
        <v>97</v>
      </c>
      <c r="R41" s="135" t="s">
        <v>104</v>
      </c>
      <c r="S41" s="133"/>
    </row>
    <row r="42" spans="2:19" s="113" customFormat="1" ht="60.75" customHeight="1">
      <c r="B42" s="124">
        <v>28</v>
      </c>
      <c r="C42" s="124" t="s">
        <v>195</v>
      </c>
      <c r="D42" s="137" t="s">
        <v>247</v>
      </c>
      <c r="E42" s="41" t="s">
        <v>153</v>
      </c>
      <c r="F42" s="41" t="s">
        <v>172</v>
      </c>
      <c r="G42" s="41">
        <f>'Detailed PL'!H42</f>
        <v>1</v>
      </c>
      <c r="H42" s="133" t="s">
        <v>37</v>
      </c>
      <c r="I42" s="133" t="s">
        <v>102</v>
      </c>
      <c r="J42" s="124">
        <f>'Detailed PL'!L42</f>
        <v>350</v>
      </c>
      <c r="K42" s="124">
        <f>'Detailed PL'!M42</f>
        <v>350</v>
      </c>
      <c r="L42" s="124">
        <f>'Detailed PL'!N42</f>
        <v>200</v>
      </c>
      <c r="M42" s="136">
        <f t="shared" si="7"/>
        <v>0.02</v>
      </c>
      <c r="N42" s="214">
        <f>'Detailed PL'!P42</f>
        <v>25</v>
      </c>
      <c r="O42" s="216">
        <f>'Detailed PL'!Q42</f>
        <v>26</v>
      </c>
      <c r="P42" s="133" t="s">
        <v>13</v>
      </c>
      <c r="Q42" s="133" t="s">
        <v>97</v>
      </c>
      <c r="R42" s="135" t="s">
        <v>104</v>
      </c>
      <c r="S42" s="133"/>
    </row>
    <row r="43" spans="2:19" s="113" customFormat="1" ht="60.75" customHeight="1">
      <c r="B43" s="124">
        <v>29</v>
      </c>
      <c r="C43" s="124" t="s">
        <v>196</v>
      </c>
      <c r="D43" s="137" t="s">
        <v>247</v>
      </c>
      <c r="E43" s="41" t="s">
        <v>153</v>
      </c>
      <c r="F43" s="41" t="s">
        <v>172</v>
      </c>
      <c r="G43" s="41">
        <f>'Detailed PL'!H43</f>
        <v>1</v>
      </c>
      <c r="H43" s="133" t="s">
        <v>37</v>
      </c>
      <c r="I43" s="133" t="s">
        <v>102</v>
      </c>
      <c r="J43" s="124">
        <f>'Detailed PL'!L43</f>
        <v>350</v>
      </c>
      <c r="K43" s="124">
        <f>'Detailed PL'!M43</f>
        <v>350</v>
      </c>
      <c r="L43" s="124">
        <f>'Detailed PL'!N43</f>
        <v>200</v>
      </c>
      <c r="M43" s="136">
        <f t="shared" si="7"/>
        <v>0.02</v>
      </c>
      <c r="N43" s="214">
        <f>'Detailed PL'!P43</f>
        <v>25</v>
      </c>
      <c r="O43" s="216">
        <f>'Detailed PL'!Q43</f>
        <v>26</v>
      </c>
      <c r="P43" s="133" t="s">
        <v>13</v>
      </c>
      <c r="Q43" s="133" t="s">
        <v>97</v>
      </c>
      <c r="R43" s="135" t="s">
        <v>104</v>
      </c>
      <c r="S43" s="133"/>
    </row>
    <row r="44" spans="2:19" s="113" customFormat="1" ht="60.75" customHeight="1">
      <c r="B44" s="124">
        <v>30</v>
      </c>
      <c r="C44" s="124" t="s">
        <v>197</v>
      </c>
      <c r="D44" s="137" t="s">
        <v>247</v>
      </c>
      <c r="E44" s="41" t="s">
        <v>153</v>
      </c>
      <c r="F44" s="41" t="s">
        <v>172</v>
      </c>
      <c r="G44" s="41">
        <f>'Detailed PL'!H44</f>
        <v>1</v>
      </c>
      <c r="H44" s="133" t="s">
        <v>37</v>
      </c>
      <c r="I44" s="133" t="s">
        <v>102</v>
      </c>
      <c r="J44" s="124">
        <f>'Detailed PL'!L44</f>
        <v>350</v>
      </c>
      <c r="K44" s="124">
        <f>'Detailed PL'!M44</f>
        <v>350</v>
      </c>
      <c r="L44" s="124">
        <f>'Detailed PL'!N44</f>
        <v>200</v>
      </c>
      <c r="M44" s="136">
        <f t="shared" si="7"/>
        <v>0.02</v>
      </c>
      <c r="N44" s="214">
        <f>'Detailed PL'!P44</f>
        <v>25</v>
      </c>
      <c r="O44" s="216">
        <f>'Detailed PL'!Q44</f>
        <v>26</v>
      </c>
      <c r="P44" s="133" t="s">
        <v>13</v>
      </c>
      <c r="Q44" s="133" t="s">
        <v>97</v>
      </c>
      <c r="R44" s="135" t="s">
        <v>104</v>
      </c>
      <c r="S44" s="133"/>
    </row>
    <row r="45" spans="2:19" s="113" customFormat="1" ht="60.75" customHeight="1">
      <c r="B45" s="124">
        <v>31</v>
      </c>
      <c r="C45" s="124" t="s">
        <v>198</v>
      </c>
      <c r="D45" s="137" t="s">
        <v>247</v>
      </c>
      <c r="E45" s="41" t="s">
        <v>153</v>
      </c>
      <c r="F45" s="41" t="s">
        <v>172</v>
      </c>
      <c r="G45" s="41">
        <f>'Detailed PL'!H45</f>
        <v>1</v>
      </c>
      <c r="H45" s="133" t="s">
        <v>37</v>
      </c>
      <c r="I45" s="133" t="s">
        <v>102</v>
      </c>
      <c r="J45" s="124">
        <f>'Detailed PL'!L45</f>
        <v>350</v>
      </c>
      <c r="K45" s="124">
        <f>'Detailed PL'!M45</f>
        <v>350</v>
      </c>
      <c r="L45" s="124">
        <f>'Detailed PL'!N45</f>
        <v>200</v>
      </c>
      <c r="M45" s="136">
        <f t="shared" si="7"/>
        <v>0.02</v>
      </c>
      <c r="N45" s="214">
        <f>'Detailed PL'!P45</f>
        <v>25</v>
      </c>
      <c r="O45" s="216">
        <f>'Detailed PL'!Q45</f>
        <v>26</v>
      </c>
      <c r="P45" s="133" t="s">
        <v>13</v>
      </c>
      <c r="Q45" s="133" t="s">
        <v>97</v>
      </c>
      <c r="R45" s="135" t="s">
        <v>104</v>
      </c>
      <c r="S45" s="133"/>
    </row>
    <row r="46" spans="2:19" s="113" customFormat="1" ht="60.75" customHeight="1">
      <c r="B46" s="124">
        <v>32</v>
      </c>
      <c r="C46" s="124" t="s">
        <v>199</v>
      </c>
      <c r="D46" s="137" t="s">
        <v>247</v>
      </c>
      <c r="E46" s="41" t="s">
        <v>153</v>
      </c>
      <c r="F46" s="41" t="s">
        <v>172</v>
      </c>
      <c r="G46" s="41">
        <f>'Detailed PL'!H46</f>
        <v>1</v>
      </c>
      <c r="H46" s="133" t="s">
        <v>37</v>
      </c>
      <c r="I46" s="133" t="s">
        <v>102</v>
      </c>
      <c r="J46" s="124">
        <f>'Detailed PL'!L46</f>
        <v>350</v>
      </c>
      <c r="K46" s="124">
        <f>'Detailed PL'!M46</f>
        <v>350</v>
      </c>
      <c r="L46" s="124">
        <f>'Detailed PL'!N46</f>
        <v>200</v>
      </c>
      <c r="M46" s="136">
        <f t="shared" si="7"/>
        <v>0.02</v>
      </c>
      <c r="N46" s="214">
        <f>'Detailed PL'!P46</f>
        <v>25</v>
      </c>
      <c r="O46" s="216">
        <f>'Detailed PL'!Q46</f>
        <v>26</v>
      </c>
      <c r="P46" s="133" t="s">
        <v>13</v>
      </c>
      <c r="Q46" s="133" t="s">
        <v>97</v>
      </c>
      <c r="R46" s="135" t="s">
        <v>104</v>
      </c>
      <c r="S46" s="133"/>
    </row>
    <row r="47" spans="2:19" s="113" customFormat="1" ht="60.75" customHeight="1">
      <c r="B47" s="124">
        <v>33</v>
      </c>
      <c r="C47" s="124" t="s">
        <v>200</v>
      </c>
      <c r="D47" s="137" t="s">
        <v>247</v>
      </c>
      <c r="E47" s="41" t="s">
        <v>153</v>
      </c>
      <c r="F47" s="41" t="s">
        <v>172</v>
      </c>
      <c r="G47" s="41">
        <f>'Detailed PL'!H47</f>
        <v>1</v>
      </c>
      <c r="H47" s="133" t="s">
        <v>37</v>
      </c>
      <c r="I47" s="133" t="s">
        <v>102</v>
      </c>
      <c r="J47" s="124">
        <f>'Detailed PL'!L47</f>
        <v>350</v>
      </c>
      <c r="K47" s="124">
        <f>'Detailed PL'!M47</f>
        <v>350</v>
      </c>
      <c r="L47" s="124">
        <f>'Detailed PL'!N47</f>
        <v>200</v>
      </c>
      <c r="M47" s="136">
        <f t="shared" si="7"/>
        <v>0.02</v>
      </c>
      <c r="N47" s="214">
        <f>'Detailed PL'!P47</f>
        <v>25</v>
      </c>
      <c r="O47" s="216">
        <f>'Detailed PL'!Q47</f>
        <v>26</v>
      </c>
      <c r="P47" s="133" t="s">
        <v>13</v>
      </c>
      <c r="Q47" s="133" t="s">
        <v>97</v>
      </c>
      <c r="R47" s="135" t="s">
        <v>104</v>
      </c>
      <c r="S47" s="133"/>
    </row>
    <row r="48" spans="2:19" s="113" customFormat="1" ht="56.25" customHeight="1">
      <c r="B48" s="124">
        <v>34</v>
      </c>
      <c r="C48" s="124" t="s">
        <v>201</v>
      </c>
      <c r="D48" s="137" t="s">
        <v>247</v>
      </c>
      <c r="E48" s="41" t="s">
        <v>153</v>
      </c>
      <c r="F48" s="41" t="s">
        <v>172</v>
      </c>
      <c r="G48" s="41">
        <f>'Detailed PL'!H48</f>
        <v>1</v>
      </c>
      <c r="H48" s="133" t="s">
        <v>37</v>
      </c>
      <c r="I48" s="133" t="s">
        <v>102</v>
      </c>
      <c r="J48" s="124">
        <f>'Detailed PL'!L48</f>
        <v>350</v>
      </c>
      <c r="K48" s="124">
        <f>'Detailed PL'!M48</f>
        <v>350</v>
      </c>
      <c r="L48" s="124">
        <f>'Detailed PL'!N48</f>
        <v>200</v>
      </c>
      <c r="M48" s="136">
        <f t="shared" si="7"/>
        <v>0.02</v>
      </c>
      <c r="N48" s="214">
        <f>'Detailed PL'!P48</f>
        <v>25</v>
      </c>
      <c r="O48" s="216">
        <f>'Detailed PL'!Q48</f>
        <v>26</v>
      </c>
      <c r="P48" s="133" t="s">
        <v>13</v>
      </c>
      <c r="Q48" s="133" t="s">
        <v>97</v>
      </c>
      <c r="R48" s="135" t="s">
        <v>104</v>
      </c>
      <c r="S48" s="133"/>
    </row>
    <row r="49" spans="2:19" s="113" customFormat="1" ht="56.25" customHeight="1">
      <c r="B49" s="124">
        <v>35</v>
      </c>
      <c r="C49" s="124" t="s">
        <v>202</v>
      </c>
      <c r="D49" s="137" t="s">
        <v>247</v>
      </c>
      <c r="E49" s="41" t="s">
        <v>153</v>
      </c>
      <c r="F49" s="41" t="s">
        <v>172</v>
      </c>
      <c r="G49" s="41">
        <f>'Detailed PL'!H49</f>
        <v>1</v>
      </c>
      <c r="H49" s="133" t="s">
        <v>37</v>
      </c>
      <c r="I49" s="133" t="s">
        <v>102</v>
      </c>
      <c r="J49" s="124">
        <f>'Detailed PL'!L49</f>
        <v>350</v>
      </c>
      <c r="K49" s="124">
        <f>'Detailed PL'!M49</f>
        <v>350</v>
      </c>
      <c r="L49" s="124">
        <f>'Detailed PL'!N49</f>
        <v>200</v>
      </c>
      <c r="M49" s="136">
        <f t="shared" si="7"/>
        <v>0.02</v>
      </c>
      <c r="N49" s="214">
        <f>'Detailed PL'!P49</f>
        <v>25</v>
      </c>
      <c r="O49" s="216">
        <f>'Detailed PL'!Q49</f>
        <v>26</v>
      </c>
      <c r="P49" s="133" t="s">
        <v>13</v>
      </c>
      <c r="Q49" s="133" t="s">
        <v>97</v>
      </c>
      <c r="R49" s="135" t="s">
        <v>104</v>
      </c>
      <c r="S49" s="133"/>
    </row>
    <row r="50" spans="2:19" s="113" customFormat="1" ht="56.25" customHeight="1">
      <c r="B50" s="124">
        <v>36</v>
      </c>
      <c r="C50" s="124" t="s">
        <v>203</v>
      </c>
      <c r="D50" s="137" t="s">
        <v>247</v>
      </c>
      <c r="E50" s="41" t="s">
        <v>153</v>
      </c>
      <c r="F50" s="41" t="s">
        <v>172</v>
      </c>
      <c r="G50" s="41">
        <f>'Detailed PL'!H50</f>
        <v>1</v>
      </c>
      <c r="H50" s="133" t="s">
        <v>37</v>
      </c>
      <c r="I50" s="133" t="s">
        <v>102</v>
      </c>
      <c r="J50" s="124">
        <f>'Detailed PL'!L50</f>
        <v>350</v>
      </c>
      <c r="K50" s="124">
        <f>'Detailed PL'!M50</f>
        <v>350</v>
      </c>
      <c r="L50" s="124">
        <f>'Detailed PL'!N50</f>
        <v>200</v>
      </c>
      <c r="M50" s="136">
        <f t="shared" si="7"/>
        <v>0.02</v>
      </c>
      <c r="N50" s="214">
        <f>'Detailed PL'!P50</f>
        <v>25</v>
      </c>
      <c r="O50" s="216">
        <f>'Detailed PL'!Q50</f>
        <v>26</v>
      </c>
      <c r="P50" s="133" t="s">
        <v>13</v>
      </c>
      <c r="Q50" s="133" t="s">
        <v>97</v>
      </c>
      <c r="R50" s="135" t="s">
        <v>104</v>
      </c>
      <c r="S50" s="133"/>
    </row>
    <row r="51" spans="2:19" s="113" customFormat="1" ht="56.25" customHeight="1">
      <c r="B51" s="124">
        <v>37</v>
      </c>
      <c r="C51" s="124" t="s">
        <v>204</v>
      </c>
      <c r="D51" s="137" t="s">
        <v>247</v>
      </c>
      <c r="E51" s="41" t="s">
        <v>153</v>
      </c>
      <c r="F51" s="41" t="s">
        <v>172</v>
      </c>
      <c r="G51" s="41">
        <f>'Detailed PL'!H51</f>
        <v>1</v>
      </c>
      <c r="H51" s="133" t="s">
        <v>37</v>
      </c>
      <c r="I51" s="133" t="s">
        <v>102</v>
      </c>
      <c r="J51" s="124">
        <f>'Detailed PL'!L51</f>
        <v>350</v>
      </c>
      <c r="K51" s="124">
        <f>'Detailed PL'!M51</f>
        <v>350</v>
      </c>
      <c r="L51" s="124">
        <f>'Detailed PL'!N51</f>
        <v>200</v>
      </c>
      <c r="M51" s="136">
        <f t="shared" si="7"/>
        <v>0.02</v>
      </c>
      <c r="N51" s="214">
        <f>'Detailed PL'!P51</f>
        <v>25</v>
      </c>
      <c r="O51" s="216">
        <f>'Detailed PL'!Q51</f>
        <v>26</v>
      </c>
      <c r="P51" s="133" t="s">
        <v>13</v>
      </c>
      <c r="Q51" s="133" t="s">
        <v>97</v>
      </c>
      <c r="R51" s="135" t="s">
        <v>104</v>
      </c>
      <c r="S51" s="133"/>
    </row>
    <row r="52" spans="2:19" s="113" customFormat="1" ht="56.25" customHeight="1">
      <c r="B52" s="124">
        <v>38</v>
      </c>
      <c r="C52" s="124" t="s">
        <v>205</v>
      </c>
      <c r="D52" s="137" t="s">
        <v>247</v>
      </c>
      <c r="E52" s="41" t="s">
        <v>153</v>
      </c>
      <c r="F52" s="41" t="s">
        <v>172</v>
      </c>
      <c r="G52" s="41">
        <f>'Detailed PL'!H52</f>
        <v>1</v>
      </c>
      <c r="H52" s="133" t="s">
        <v>37</v>
      </c>
      <c r="I52" s="133" t="s">
        <v>102</v>
      </c>
      <c r="J52" s="124">
        <f>'Detailed PL'!L52</f>
        <v>350</v>
      </c>
      <c r="K52" s="124">
        <f>'Detailed PL'!M52</f>
        <v>350</v>
      </c>
      <c r="L52" s="124">
        <f>'Detailed PL'!N52</f>
        <v>200</v>
      </c>
      <c r="M52" s="136">
        <f t="shared" si="7"/>
        <v>0.02</v>
      </c>
      <c r="N52" s="214">
        <f>'Detailed PL'!P52</f>
        <v>25</v>
      </c>
      <c r="O52" s="216">
        <f>'Detailed PL'!Q52</f>
        <v>26</v>
      </c>
      <c r="P52" s="133" t="s">
        <v>13</v>
      </c>
      <c r="Q52" s="133" t="s">
        <v>97</v>
      </c>
      <c r="R52" s="135" t="s">
        <v>104</v>
      </c>
      <c r="S52" s="133"/>
    </row>
    <row r="53" spans="2:19" s="113" customFormat="1" ht="56.25" customHeight="1">
      <c r="B53" s="124">
        <v>39</v>
      </c>
      <c r="C53" s="124" t="s">
        <v>206</v>
      </c>
      <c r="D53" s="137" t="s">
        <v>247</v>
      </c>
      <c r="E53" s="41" t="s">
        <v>153</v>
      </c>
      <c r="F53" s="41" t="s">
        <v>172</v>
      </c>
      <c r="G53" s="41">
        <f>'Detailed PL'!H53</f>
        <v>1</v>
      </c>
      <c r="H53" s="133" t="s">
        <v>37</v>
      </c>
      <c r="I53" s="133" t="s">
        <v>102</v>
      </c>
      <c r="J53" s="124">
        <f>'Detailed PL'!L53</f>
        <v>350</v>
      </c>
      <c r="K53" s="124">
        <f>'Detailed PL'!M53</f>
        <v>350</v>
      </c>
      <c r="L53" s="124">
        <f>'Detailed PL'!N53</f>
        <v>200</v>
      </c>
      <c r="M53" s="136">
        <f t="shared" si="7"/>
        <v>0.02</v>
      </c>
      <c r="N53" s="214">
        <f>'Detailed PL'!P53</f>
        <v>25</v>
      </c>
      <c r="O53" s="216">
        <f>'Detailed PL'!Q53</f>
        <v>26</v>
      </c>
      <c r="P53" s="133" t="s">
        <v>13</v>
      </c>
      <c r="Q53" s="133" t="s">
        <v>97</v>
      </c>
      <c r="R53" s="135" t="s">
        <v>104</v>
      </c>
      <c r="S53" s="133"/>
    </row>
    <row r="54" spans="2:19" s="113" customFormat="1" ht="56.25" customHeight="1">
      <c r="B54" s="124">
        <v>40</v>
      </c>
      <c r="C54" s="124" t="s">
        <v>207</v>
      </c>
      <c r="D54" s="137" t="s">
        <v>247</v>
      </c>
      <c r="E54" s="41" t="s">
        <v>153</v>
      </c>
      <c r="F54" s="41" t="s">
        <v>172</v>
      </c>
      <c r="G54" s="41">
        <f>'Detailed PL'!H54</f>
        <v>1</v>
      </c>
      <c r="H54" s="133" t="s">
        <v>37</v>
      </c>
      <c r="I54" s="133" t="s">
        <v>102</v>
      </c>
      <c r="J54" s="124">
        <f>'Detailed PL'!L54</f>
        <v>350</v>
      </c>
      <c r="K54" s="124">
        <f>'Detailed PL'!M54</f>
        <v>350</v>
      </c>
      <c r="L54" s="124">
        <f>'Detailed PL'!N54</f>
        <v>200</v>
      </c>
      <c r="M54" s="136">
        <f t="shared" si="7"/>
        <v>0.02</v>
      </c>
      <c r="N54" s="214">
        <f>'Detailed PL'!P54</f>
        <v>25</v>
      </c>
      <c r="O54" s="216">
        <f>'Detailed PL'!Q54</f>
        <v>26</v>
      </c>
      <c r="P54" s="133" t="s">
        <v>13</v>
      </c>
      <c r="Q54" s="133" t="s">
        <v>97</v>
      </c>
      <c r="R54" s="135" t="s">
        <v>104</v>
      </c>
      <c r="S54" s="133"/>
    </row>
    <row r="55" spans="2:19" s="113" customFormat="1" ht="56.25" customHeight="1">
      <c r="B55" s="124">
        <v>41</v>
      </c>
      <c r="C55" s="124" t="s">
        <v>208</v>
      </c>
      <c r="D55" s="137" t="s">
        <v>247</v>
      </c>
      <c r="E55" s="41" t="s">
        <v>153</v>
      </c>
      <c r="F55" s="41" t="s">
        <v>172</v>
      </c>
      <c r="G55" s="41">
        <f>'Detailed PL'!H55</f>
        <v>1</v>
      </c>
      <c r="H55" s="133" t="s">
        <v>37</v>
      </c>
      <c r="I55" s="133" t="s">
        <v>102</v>
      </c>
      <c r="J55" s="124">
        <f>'Detailed PL'!L55</f>
        <v>350</v>
      </c>
      <c r="K55" s="124">
        <f>'Detailed PL'!M55</f>
        <v>350</v>
      </c>
      <c r="L55" s="124">
        <f>'Detailed PL'!N55</f>
        <v>200</v>
      </c>
      <c r="M55" s="136">
        <f t="shared" si="7"/>
        <v>0.02</v>
      </c>
      <c r="N55" s="214">
        <f>'Detailed PL'!P55</f>
        <v>25</v>
      </c>
      <c r="O55" s="216">
        <f>'Detailed PL'!Q55</f>
        <v>26</v>
      </c>
      <c r="P55" s="133" t="s">
        <v>13</v>
      </c>
      <c r="Q55" s="133" t="s">
        <v>97</v>
      </c>
      <c r="R55" s="135" t="s">
        <v>104</v>
      </c>
      <c r="S55" s="133"/>
    </row>
    <row r="56" spans="2:19" s="113" customFormat="1" ht="56.25" customHeight="1">
      <c r="B56" s="124">
        <v>42</v>
      </c>
      <c r="C56" s="124" t="s">
        <v>209</v>
      </c>
      <c r="D56" s="137" t="s">
        <v>247</v>
      </c>
      <c r="E56" s="41" t="s">
        <v>153</v>
      </c>
      <c r="F56" s="41" t="s">
        <v>172</v>
      </c>
      <c r="G56" s="41">
        <f>'Detailed PL'!H56</f>
        <v>1</v>
      </c>
      <c r="H56" s="133" t="s">
        <v>37</v>
      </c>
      <c r="I56" s="133" t="s">
        <v>102</v>
      </c>
      <c r="J56" s="124">
        <f>'Detailed PL'!L56</f>
        <v>350</v>
      </c>
      <c r="K56" s="124">
        <f>'Detailed PL'!M56</f>
        <v>350</v>
      </c>
      <c r="L56" s="124">
        <f>'Detailed PL'!N56</f>
        <v>200</v>
      </c>
      <c r="M56" s="136">
        <f t="shared" si="7"/>
        <v>0.02</v>
      </c>
      <c r="N56" s="214">
        <f>'Detailed PL'!P56</f>
        <v>25</v>
      </c>
      <c r="O56" s="216">
        <f>'Detailed PL'!Q56</f>
        <v>26</v>
      </c>
      <c r="P56" s="133" t="s">
        <v>13</v>
      </c>
      <c r="Q56" s="133" t="s">
        <v>97</v>
      </c>
      <c r="R56" s="135" t="s">
        <v>104</v>
      </c>
      <c r="S56" s="133"/>
    </row>
    <row r="57" spans="2:19" s="113" customFormat="1" ht="56.25" customHeight="1">
      <c r="B57" s="124">
        <v>43</v>
      </c>
      <c r="C57" s="124" t="s">
        <v>210</v>
      </c>
      <c r="D57" s="137" t="s">
        <v>247</v>
      </c>
      <c r="E57" s="41" t="s">
        <v>153</v>
      </c>
      <c r="F57" s="41" t="s">
        <v>172</v>
      </c>
      <c r="G57" s="41">
        <f>'Detailed PL'!H57</f>
        <v>1</v>
      </c>
      <c r="H57" s="133" t="s">
        <v>37</v>
      </c>
      <c r="I57" s="133" t="s">
        <v>102</v>
      </c>
      <c r="J57" s="124">
        <f>'Detailed PL'!L57</f>
        <v>350</v>
      </c>
      <c r="K57" s="124">
        <f>'Detailed PL'!M57</f>
        <v>350</v>
      </c>
      <c r="L57" s="124">
        <f>'Detailed PL'!N57</f>
        <v>200</v>
      </c>
      <c r="M57" s="136">
        <f t="shared" si="7"/>
        <v>0.02</v>
      </c>
      <c r="N57" s="214">
        <f>'Detailed PL'!P57</f>
        <v>25</v>
      </c>
      <c r="O57" s="216">
        <f>'Detailed PL'!Q57</f>
        <v>26</v>
      </c>
      <c r="P57" s="133" t="s">
        <v>13</v>
      </c>
      <c r="Q57" s="133" t="s">
        <v>97</v>
      </c>
      <c r="R57" s="135" t="s">
        <v>104</v>
      </c>
      <c r="S57" s="133"/>
    </row>
    <row r="58" spans="2:19" s="113" customFormat="1" ht="56.25" customHeight="1">
      <c r="B58" s="124">
        <v>44</v>
      </c>
      <c r="C58" s="124" t="s">
        <v>211</v>
      </c>
      <c r="D58" s="137" t="s">
        <v>247</v>
      </c>
      <c r="E58" s="41" t="s">
        <v>153</v>
      </c>
      <c r="F58" s="41" t="s">
        <v>172</v>
      </c>
      <c r="G58" s="41">
        <f>'Detailed PL'!H58</f>
        <v>1</v>
      </c>
      <c r="H58" s="133" t="s">
        <v>37</v>
      </c>
      <c r="I58" s="133" t="s">
        <v>102</v>
      </c>
      <c r="J58" s="124">
        <f>'Detailed PL'!L58</f>
        <v>350</v>
      </c>
      <c r="K58" s="124">
        <f>'Detailed PL'!M58</f>
        <v>350</v>
      </c>
      <c r="L58" s="124">
        <f>'Detailed PL'!N58</f>
        <v>200</v>
      </c>
      <c r="M58" s="136">
        <f t="shared" si="7"/>
        <v>0.02</v>
      </c>
      <c r="N58" s="214">
        <f>'Detailed PL'!P58</f>
        <v>25</v>
      </c>
      <c r="O58" s="216">
        <f>'Detailed PL'!Q58</f>
        <v>26</v>
      </c>
      <c r="P58" s="133" t="s">
        <v>13</v>
      </c>
      <c r="Q58" s="133" t="s">
        <v>97</v>
      </c>
      <c r="R58" s="135" t="s">
        <v>104</v>
      </c>
      <c r="S58" s="133"/>
    </row>
    <row r="59" spans="2:19" s="113" customFormat="1" ht="56.25" customHeight="1">
      <c r="B59" s="124">
        <v>45</v>
      </c>
      <c r="C59" s="124" t="s">
        <v>212</v>
      </c>
      <c r="D59" s="137" t="s">
        <v>247</v>
      </c>
      <c r="E59" s="41" t="s">
        <v>153</v>
      </c>
      <c r="F59" s="41" t="s">
        <v>172</v>
      </c>
      <c r="G59" s="41">
        <f>'Detailed PL'!H59</f>
        <v>1</v>
      </c>
      <c r="H59" s="133" t="s">
        <v>37</v>
      </c>
      <c r="I59" s="133" t="s">
        <v>102</v>
      </c>
      <c r="J59" s="124">
        <f>'Detailed PL'!L59</f>
        <v>350</v>
      </c>
      <c r="K59" s="124">
        <f>'Detailed PL'!M59</f>
        <v>350</v>
      </c>
      <c r="L59" s="124">
        <f>'Detailed PL'!N59</f>
        <v>200</v>
      </c>
      <c r="M59" s="136">
        <f t="shared" si="7"/>
        <v>0.02</v>
      </c>
      <c r="N59" s="214">
        <f>'Detailed PL'!P59</f>
        <v>25</v>
      </c>
      <c r="O59" s="216">
        <f>'Detailed PL'!Q59</f>
        <v>26</v>
      </c>
      <c r="P59" s="133" t="s">
        <v>13</v>
      </c>
      <c r="Q59" s="133" t="s">
        <v>97</v>
      </c>
      <c r="R59" s="135" t="s">
        <v>104</v>
      </c>
      <c r="S59" s="133"/>
    </row>
    <row r="60" spans="2:19" s="113" customFormat="1" ht="56.25" customHeight="1">
      <c r="B60" s="124">
        <v>46</v>
      </c>
      <c r="C60" s="124" t="s">
        <v>213</v>
      </c>
      <c r="D60" s="137" t="s">
        <v>247</v>
      </c>
      <c r="E60" s="41" t="s">
        <v>153</v>
      </c>
      <c r="F60" s="41" t="s">
        <v>172</v>
      </c>
      <c r="G60" s="41">
        <f>'Detailed PL'!H60</f>
        <v>1</v>
      </c>
      <c r="H60" s="133" t="s">
        <v>37</v>
      </c>
      <c r="I60" s="133" t="s">
        <v>102</v>
      </c>
      <c r="J60" s="124">
        <f>'Detailed PL'!L60</f>
        <v>350</v>
      </c>
      <c r="K60" s="124">
        <f>'Detailed PL'!M60</f>
        <v>350</v>
      </c>
      <c r="L60" s="124">
        <f>'Detailed PL'!N60</f>
        <v>200</v>
      </c>
      <c r="M60" s="136">
        <f t="shared" si="7"/>
        <v>0.02</v>
      </c>
      <c r="N60" s="214">
        <f>'Detailed PL'!P60</f>
        <v>25</v>
      </c>
      <c r="O60" s="216">
        <f>'Detailed PL'!Q60</f>
        <v>26</v>
      </c>
      <c r="P60" s="133" t="s">
        <v>13</v>
      </c>
      <c r="Q60" s="133" t="s">
        <v>97</v>
      </c>
      <c r="R60" s="135" t="s">
        <v>104</v>
      </c>
      <c r="S60" s="133"/>
    </row>
    <row r="61" spans="2:19" s="113" customFormat="1" ht="56.25" customHeight="1">
      <c r="B61" s="124">
        <v>47</v>
      </c>
      <c r="C61" s="124" t="s">
        <v>214</v>
      </c>
      <c r="D61" s="137" t="s">
        <v>247</v>
      </c>
      <c r="E61" s="41" t="s">
        <v>153</v>
      </c>
      <c r="F61" s="41" t="s">
        <v>172</v>
      </c>
      <c r="G61" s="41">
        <f>'Detailed PL'!H61</f>
        <v>1</v>
      </c>
      <c r="H61" s="133" t="s">
        <v>37</v>
      </c>
      <c r="I61" s="133" t="s">
        <v>102</v>
      </c>
      <c r="J61" s="124">
        <f>'Detailed PL'!L61</f>
        <v>350</v>
      </c>
      <c r="K61" s="124">
        <f>'Detailed PL'!M61</f>
        <v>350</v>
      </c>
      <c r="L61" s="124">
        <f>'Detailed PL'!N61</f>
        <v>200</v>
      </c>
      <c r="M61" s="136">
        <f t="shared" si="7"/>
        <v>0.02</v>
      </c>
      <c r="N61" s="214">
        <f>'Detailed PL'!P61</f>
        <v>25</v>
      </c>
      <c r="O61" s="216">
        <f>'Detailed PL'!Q61</f>
        <v>26</v>
      </c>
      <c r="P61" s="133" t="s">
        <v>13</v>
      </c>
      <c r="Q61" s="133" t="s">
        <v>97</v>
      </c>
      <c r="R61" s="135" t="s">
        <v>104</v>
      </c>
      <c r="S61" s="133"/>
    </row>
    <row r="62" spans="2:19" s="113" customFormat="1" ht="56.25" customHeight="1">
      <c r="B62" s="124">
        <v>48</v>
      </c>
      <c r="C62" s="124" t="s">
        <v>215</v>
      </c>
      <c r="D62" s="137" t="s">
        <v>247</v>
      </c>
      <c r="E62" s="41" t="s">
        <v>153</v>
      </c>
      <c r="F62" s="41" t="s">
        <v>172</v>
      </c>
      <c r="G62" s="41">
        <f>'Detailed PL'!H62</f>
        <v>1</v>
      </c>
      <c r="H62" s="133" t="s">
        <v>37</v>
      </c>
      <c r="I62" s="133" t="s">
        <v>102</v>
      </c>
      <c r="J62" s="124">
        <f>'Detailed PL'!L62</f>
        <v>350</v>
      </c>
      <c r="K62" s="124">
        <f>'Detailed PL'!M62</f>
        <v>350</v>
      </c>
      <c r="L62" s="124">
        <f>'Detailed PL'!N62</f>
        <v>200</v>
      </c>
      <c r="M62" s="136">
        <f t="shared" ref="M62" si="8">ROUND(J62*K62*L62/1000000000,2)</f>
        <v>0.02</v>
      </c>
      <c r="N62" s="214">
        <f>'Detailed PL'!P62</f>
        <v>25</v>
      </c>
      <c r="O62" s="216">
        <f>'Detailed PL'!Q62</f>
        <v>26</v>
      </c>
      <c r="P62" s="133" t="s">
        <v>13</v>
      </c>
      <c r="Q62" s="133" t="s">
        <v>97</v>
      </c>
      <c r="R62" s="135" t="s">
        <v>104</v>
      </c>
      <c r="S62" s="133"/>
    </row>
    <row r="63" spans="2:19" s="113" customFormat="1" ht="56.25" customHeight="1">
      <c r="B63" s="124">
        <v>49</v>
      </c>
      <c r="C63" s="124" t="s">
        <v>216</v>
      </c>
      <c r="D63" s="137" t="s">
        <v>247</v>
      </c>
      <c r="E63" s="41" t="s">
        <v>153</v>
      </c>
      <c r="F63" s="41" t="s">
        <v>172</v>
      </c>
      <c r="G63" s="41">
        <f>'Detailed PL'!H63</f>
        <v>1</v>
      </c>
      <c r="H63" s="133" t="s">
        <v>37</v>
      </c>
      <c r="I63" s="133" t="s">
        <v>102</v>
      </c>
      <c r="J63" s="124">
        <f>'Detailed PL'!L63</f>
        <v>350</v>
      </c>
      <c r="K63" s="124">
        <f>'Detailed PL'!M63</f>
        <v>350</v>
      </c>
      <c r="L63" s="124">
        <f>'Detailed PL'!N63</f>
        <v>200</v>
      </c>
      <c r="M63" s="136">
        <f t="shared" ref="M63:M65" si="9">ROUND(J63*K63*L63/1000000000,2)</f>
        <v>0.02</v>
      </c>
      <c r="N63" s="214">
        <f>'Detailed PL'!P63</f>
        <v>25</v>
      </c>
      <c r="O63" s="216">
        <f>'Detailed PL'!Q63</f>
        <v>26</v>
      </c>
      <c r="P63" s="133" t="s">
        <v>13</v>
      </c>
      <c r="Q63" s="133" t="s">
        <v>97</v>
      </c>
      <c r="R63" s="135" t="s">
        <v>104</v>
      </c>
      <c r="S63" s="133"/>
    </row>
    <row r="64" spans="2:19" s="113" customFormat="1" ht="56.25" customHeight="1">
      <c r="B64" s="124">
        <v>50</v>
      </c>
      <c r="C64" s="124" t="s">
        <v>217</v>
      </c>
      <c r="D64" s="137" t="s">
        <v>247</v>
      </c>
      <c r="E64" s="41" t="s">
        <v>153</v>
      </c>
      <c r="F64" s="41" t="s">
        <v>172</v>
      </c>
      <c r="G64" s="41">
        <f>'Detailed PL'!H64</f>
        <v>1</v>
      </c>
      <c r="H64" s="133" t="s">
        <v>37</v>
      </c>
      <c r="I64" s="133" t="s">
        <v>102</v>
      </c>
      <c r="J64" s="124">
        <f>'Detailed PL'!L64</f>
        <v>350</v>
      </c>
      <c r="K64" s="124">
        <f>'Detailed PL'!M64</f>
        <v>350</v>
      </c>
      <c r="L64" s="124">
        <f>'Detailed PL'!N64</f>
        <v>200</v>
      </c>
      <c r="M64" s="136">
        <f t="shared" si="9"/>
        <v>0.02</v>
      </c>
      <c r="N64" s="214">
        <f>'Detailed PL'!P64</f>
        <v>25</v>
      </c>
      <c r="O64" s="216">
        <f>'Detailed PL'!Q64</f>
        <v>26</v>
      </c>
      <c r="P64" s="133" t="s">
        <v>13</v>
      </c>
      <c r="Q64" s="133" t="s">
        <v>97</v>
      </c>
      <c r="R64" s="135" t="s">
        <v>104</v>
      </c>
      <c r="S64" s="133"/>
    </row>
    <row r="65" spans="2:19" s="113" customFormat="1" ht="56.25" customHeight="1">
      <c r="B65" s="124">
        <v>51</v>
      </c>
      <c r="C65" s="124" t="s">
        <v>218</v>
      </c>
      <c r="D65" s="137" t="s">
        <v>247</v>
      </c>
      <c r="E65" s="41" t="s">
        <v>153</v>
      </c>
      <c r="F65" s="41" t="s">
        <v>172</v>
      </c>
      <c r="G65" s="41">
        <f>'Detailed PL'!H65</f>
        <v>1</v>
      </c>
      <c r="H65" s="133" t="s">
        <v>37</v>
      </c>
      <c r="I65" s="133" t="s">
        <v>102</v>
      </c>
      <c r="J65" s="124">
        <f>'Detailed PL'!L65</f>
        <v>350</v>
      </c>
      <c r="K65" s="124">
        <f>'Detailed PL'!M65</f>
        <v>350</v>
      </c>
      <c r="L65" s="124">
        <f>'Detailed PL'!N65</f>
        <v>200</v>
      </c>
      <c r="M65" s="136">
        <f t="shared" si="9"/>
        <v>0.02</v>
      </c>
      <c r="N65" s="214">
        <f>'Detailed PL'!P65</f>
        <v>25</v>
      </c>
      <c r="O65" s="216">
        <f>'Detailed PL'!Q65</f>
        <v>26</v>
      </c>
      <c r="P65" s="133" t="s">
        <v>13</v>
      </c>
      <c r="Q65" s="133" t="s">
        <v>97</v>
      </c>
      <c r="R65" s="135" t="s">
        <v>104</v>
      </c>
      <c r="S65" s="133"/>
    </row>
    <row r="66" spans="2:19" s="179" customFormat="1" ht="36.6" customHeight="1">
      <c r="B66" s="309" t="s">
        <v>106</v>
      </c>
      <c r="C66" s="310"/>
      <c r="D66" s="310"/>
      <c r="E66" s="310"/>
      <c r="F66" s="310"/>
      <c r="G66" s="310"/>
      <c r="H66" s="310"/>
      <c r="I66" s="310"/>
      <c r="J66" s="310"/>
      <c r="K66" s="310"/>
      <c r="L66" s="310"/>
      <c r="M66" s="311"/>
      <c r="N66" s="186">
        <f>SUM(N15:N65)</f>
        <v>15358</v>
      </c>
      <c r="O66" s="217">
        <f>SUM(O15:O65)</f>
        <v>16054</v>
      </c>
      <c r="P66" s="186">
        <f>SUM(P15:P65)</f>
        <v>0</v>
      </c>
      <c r="Q66" s="178"/>
      <c r="R66" s="178"/>
      <c r="S66" s="178"/>
    </row>
  </sheetData>
  <mergeCells count="71">
    <mergeCell ref="I33:I34"/>
    <mergeCell ref="J29:J30"/>
    <mergeCell ref="K29:K30"/>
    <mergeCell ref="L29:L30"/>
    <mergeCell ref="M29:M30"/>
    <mergeCell ref="I31:I32"/>
    <mergeCell ref="I25:I26"/>
    <mergeCell ref="J25:J26"/>
    <mergeCell ref="K25:K26"/>
    <mergeCell ref="L25:L26"/>
    <mergeCell ref="M25:M26"/>
    <mergeCell ref="J23:J24"/>
    <mergeCell ref="I23:I24"/>
    <mergeCell ref="K23:K24"/>
    <mergeCell ref="L23:L24"/>
    <mergeCell ref="M23:M24"/>
    <mergeCell ref="F13:F14"/>
    <mergeCell ref="C3:J3"/>
    <mergeCell ref="J13:M13"/>
    <mergeCell ref="B66:M66"/>
    <mergeCell ref="B4:S4"/>
    <mergeCell ref="B13:B14"/>
    <mergeCell ref="C13:C14"/>
    <mergeCell ref="D13:D14"/>
    <mergeCell ref="E13:E14"/>
    <mergeCell ref="G13:H13"/>
    <mergeCell ref="I13:I14"/>
    <mergeCell ref="N13:N14"/>
    <mergeCell ref="O13:O14"/>
    <mergeCell ref="P13:P14"/>
    <mergeCell ref="Q13:Q14"/>
    <mergeCell ref="S13:S14"/>
    <mergeCell ref="C33:C34"/>
    <mergeCell ref="J31:J32"/>
    <mergeCell ref="K31:K32"/>
    <mergeCell ref="L31:L32"/>
    <mergeCell ref="R13:R14"/>
    <mergeCell ref="C23:C24"/>
    <mergeCell ref="C25:C26"/>
    <mergeCell ref="C27:C28"/>
    <mergeCell ref="C29:C30"/>
    <mergeCell ref="N23:N24"/>
    <mergeCell ref="O23:O24"/>
    <mergeCell ref="P23:P24"/>
    <mergeCell ref="N25:N26"/>
    <mergeCell ref="O25:O26"/>
    <mergeCell ref="P25:P26"/>
    <mergeCell ref="N27:N28"/>
    <mergeCell ref="P27:P28"/>
    <mergeCell ref="N29:N30"/>
    <mergeCell ref="O29:O30"/>
    <mergeCell ref="P29:P30"/>
    <mergeCell ref="C31:C32"/>
    <mergeCell ref="O27:O28"/>
    <mergeCell ref="M31:M32"/>
    <mergeCell ref="N31:N32"/>
    <mergeCell ref="O31:O32"/>
    <mergeCell ref="P31:P32"/>
    <mergeCell ref="I27:I28"/>
    <mergeCell ref="J27:J28"/>
    <mergeCell ref="K27:K28"/>
    <mergeCell ref="L27:L28"/>
    <mergeCell ref="M27:M28"/>
    <mergeCell ref="I29:I30"/>
    <mergeCell ref="O33:O34"/>
    <mergeCell ref="P33:P34"/>
    <mergeCell ref="J33:J34"/>
    <mergeCell ref="K33:K34"/>
    <mergeCell ref="L33:L34"/>
    <mergeCell ref="M33:M34"/>
    <mergeCell ref="N33:N34"/>
  </mergeCells>
  <phoneticPr fontId="22" type="noConversion"/>
  <printOptions horizontalCentered="1"/>
  <pageMargins left="0.5" right="0.4" top="0.7" bottom="0.5" header="0.31496062992126" footer="0.31496062992126"/>
  <pageSetup paperSize="9" scale="50" fitToHeight="0" orientation="landscape" r:id="rId1"/>
  <headerFooter alignWithMargins="0">
    <oddFooter>&amp;C&amp;P/&amp;N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2D050"/>
    <pageSetUpPr fitToPage="1"/>
  </sheetPr>
  <dimension ref="A1:AZ66"/>
  <sheetViews>
    <sheetView showGridLines="0" view="pageBreakPreview" topLeftCell="A59" zoomScale="55" zoomScaleNormal="100" zoomScaleSheetLayoutView="55" workbookViewId="0">
      <selection activeCell="D15" sqref="D15"/>
    </sheetView>
  </sheetViews>
  <sheetFormatPr defaultColWidth="8.6640625" defaultRowHeight="18" customHeight="1"/>
  <cols>
    <col min="1" max="1" width="1" style="141" customWidth="1"/>
    <col min="2" max="2" width="7.5546875" style="156" customWidth="1"/>
    <col min="3" max="3" width="24.44140625" style="180" customWidth="1"/>
    <col min="4" max="4" width="54.21875" style="181" customWidth="1"/>
    <col min="5" max="5" width="14.33203125" style="156" customWidth="1"/>
    <col min="6" max="6" width="16" style="181" customWidth="1"/>
    <col min="7" max="7" width="15.33203125" style="148" customWidth="1"/>
    <col min="8" max="8" width="7.5546875" style="182" customWidth="1"/>
    <col min="9" max="9" width="6.88671875" style="148" customWidth="1"/>
    <col min="10" max="10" width="7" style="148" hidden="1" customWidth="1"/>
    <col min="11" max="11" width="7.5546875" style="148" customWidth="1"/>
    <col min="12" max="14" width="8.5546875" style="148" customWidth="1"/>
    <col min="15" max="15" width="8.5546875" style="183" customWidth="1"/>
    <col min="16" max="17" width="10.21875" style="148" customWidth="1"/>
    <col min="18" max="18" width="13.109375" style="156" customWidth="1"/>
    <col min="19" max="19" width="15.6640625" style="156" customWidth="1"/>
    <col min="20" max="21" width="15.6640625" style="168" customWidth="1"/>
    <col min="22" max="22" width="14.88671875" style="156" customWidth="1"/>
    <col min="23" max="23" width="11.6640625" style="4" customWidth="1"/>
    <col min="24" max="24" width="1" style="143" customWidth="1"/>
    <col min="25" max="31" width="8.6640625" style="144" customWidth="1"/>
    <col min="32" max="37" width="8.6640625" style="141" customWidth="1"/>
    <col min="38" max="42" width="8.6640625" style="144"/>
    <col min="43" max="16384" width="8.6640625" style="141"/>
  </cols>
  <sheetData>
    <row r="1" spans="2:52" ht="9" customHeight="1">
      <c r="B1" s="244"/>
      <c r="C1" s="244"/>
      <c r="D1" s="244"/>
      <c r="E1" s="244"/>
      <c r="F1" s="244"/>
      <c r="G1" s="244"/>
      <c r="H1" s="244"/>
      <c r="I1" s="244"/>
      <c r="J1" s="244"/>
      <c r="K1" s="244"/>
      <c r="L1" s="244"/>
      <c r="M1" s="244"/>
      <c r="N1" s="244"/>
      <c r="O1" s="244"/>
      <c r="P1" s="244"/>
      <c r="Q1" s="244"/>
      <c r="R1" s="244"/>
      <c r="S1" s="244"/>
      <c r="T1" s="244"/>
      <c r="U1" s="143"/>
      <c r="V1" s="144"/>
      <c r="W1" s="144"/>
      <c r="X1" s="144"/>
      <c r="AC1" s="141"/>
      <c r="AD1" s="141"/>
      <c r="AE1" s="141"/>
      <c r="AI1" s="144"/>
      <c r="AJ1" s="144"/>
      <c r="AK1" s="144"/>
      <c r="AN1" s="141"/>
      <c r="AO1" s="141"/>
      <c r="AP1" s="141"/>
    </row>
    <row r="2" spans="2:52" ht="26.1" customHeight="1">
      <c r="B2" s="142"/>
      <c r="C2" s="148"/>
      <c r="D2" s="148"/>
      <c r="E2" s="141"/>
      <c r="F2" s="148"/>
      <c r="H2" s="148"/>
      <c r="I2" s="204"/>
      <c r="J2" s="204"/>
      <c r="K2" s="204"/>
      <c r="L2" s="205"/>
      <c r="M2" s="206"/>
      <c r="N2" s="142"/>
      <c r="O2" s="142"/>
      <c r="P2" s="142"/>
      <c r="Q2" s="142"/>
      <c r="R2" s="142"/>
      <c r="S2" s="141"/>
      <c r="T2" s="141"/>
      <c r="U2" s="141"/>
      <c r="V2" s="141"/>
      <c r="W2" s="141"/>
      <c r="X2" s="141"/>
      <c r="Y2" s="141"/>
      <c r="Z2" s="141"/>
      <c r="AA2" s="141"/>
      <c r="AB2" s="141"/>
      <c r="AC2" s="141"/>
      <c r="AD2" s="141"/>
      <c r="AE2" s="141"/>
      <c r="AL2" s="141"/>
      <c r="AM2" s="141"/>
      <c r="AN2" s="141"/>
      <c r="AO2" s="141"/>
      <c r="AP2" s="141"/>
    </row>
    <row r="3" spans="2:52" ht="27.6" customHeight="1" thickBot="1">
      <c r="B3" s="142"/>
      <c r="C3" s="245" t="s">
        <v>158</v>
      </c>
      <c r="D3" s="245"/>
      <c r="E3" s="245"/>
      <c r="F3" s="245"/>
      <c r="G3" s="245"/>
      <c r="H3" s="245"/>
      <c r="I3" s="245"/>
      <c r="J3" s="245"/>
      <c r="K3" s="204"/>
      <c r="L3" s="205"/>
      <c r="M3" s="206"/>
      <c r="N3" s="207"/>
      <c r="O3" s="142"/>
      <c r="P3" s="142"/>
      <c r="Q3" s="142"/>
      <c r="R3" s="142"/>
      <c r="S3" s="141"/>
      <c r="T3" s="141"/>
      <c r="U3" s="141"/>
      <c r="V3" s="141"/>
      <c r="W3" s="141"/>
      <c r="X3" s="141"/>
      <c r="Y3" s="141"/>
      <c r="Z3" s="141"/>
      <c r="AA3" s="141"/>
      <c r="AB3" s="141"/>
      <c r="AC3" s="141"/>
      <c r="AD3" s="141"/>
      <c r="AE3" s="141"/>
      <c r="AL3" s="141"/>
      <c r="AM3" s="141"/>
      <c r="AN3" s="141"/>
      <c r="AO3" s="141"/>
      <c r="AP3" s="141"/>
    </row>
    <row r="4" spans="2:52" ht="33.75" customHeight="1" thickTop="1" thickBot="1">
      <c r="B4" s="242" t="s">
        <v>107</v>
      </c>
      <c r="C4" s="243"/>
      <c r="D4" s="243"/>
      <c r="E4" s="243"/>
      <c r="F4" s="243"/>
      <c r="G4" s="243"/>
      <c r="H4" s="243"/>
      <c r="I4" s="243"/>
      <c r="J4" s="243"/>
      <c r="K4" s="243"/>
      <c r="L4" s="243"/>
      <c r="M4" s="243"/>
      <c r="N4" s="243"/>
      <c r="O4" s="243"/>
      <c r="P4" s="243"/>
      <c r="Q4" s="243"/>
      <c r="R4" s="243"/>
      <c r="S4" s="243"/>
      <c r="T4" s="202"/>
      <c r="U4" s="202"/>
      <c r="V4" s="202"/>
      <c r="W4" s="203"/>
    </row>
    <row r="5" spans="2:52" s="148" customFormat="1" ht="17.25" customHeight="1" thickTop="1">
      <c r="B5" s="149"/>
      <c r="C5" s="150" t="s">
        <v>108</v>
      </c>
      <c r="D5" s="151" t="str">
        <f>'PL(2_2)'!D5</f>
        <v>OM4-P2-LS-0002</v>
      </c>
      <c r="E5" s="152"/>
      <c r="F5" s="146"/>
      <c r="G5" s="149"/>
      <c r="H5" s="151"/>
      <c r="I5" s="149"/>
      <c r="J5" s="149"/>
      <c r="K5" s="149"/>
      <c r="L5" s="149"/>
      <c r="M5" s="149"/>
      <c r="N5" s="149"/>
      <c r="O5" s="153"/>
      <c r="P5" s="149"/>
      <c r="Q5" s="149"/>
      <c r="R5" s="149"/>
      <c r="S5" s="152"/>
      <c r="T5" s="154"/>
      <c r="U5" s="154"/>
      <c r="V5" s="149"/>
      <c r="W5" s="149"/>
      <c r="X5" s="155"/>
      <c r="AA5" s="148">
        <v>36</v>
      </c>
      <c r="AB5" s="148">
        <v>39</v>
      </c>
      <c r="AC5" s="148">
        <v>40</v>
      </c>
      <c r="AD5" s="148">
        <v>163</v>
      </c>
      <c r="AE5" s="148">
        <v>3</v>
      </c>
      <c r="AF5" s="148">
        <v>8</v>
      </c>
      <c r="AG5" s="148">
        <v>44</v>
      </c>
      <c r="AH5" s="148">
        <v>45</v>
      </c>
      <c r="AI5" s="148">
        <v>46</v>
      </c>
      <c r="AJ5" s="148">
        <v>60</v>
      </c>
      <c r="AK5" s="148">
        <v>66</v>
      </c>
      <c r="AL5" s="156">
        <v>68</v>
      </c>
      <c r="AM5" s="156">
        <v>69</v>
      </c>
      <c r="AN5" s="156">
        <v>70</v>
      </c>
      <c r="AO5" s="156">
        <v>71</v>
      </c>
      <c r="AP5" s="156">
        <v>170</v>
      </c>
      <c r="AQ5" s="148">
        <v>110</v>
      </c>
      <c r="AR5" s="148">
        <v>234</v>
      </c>
      <c r="AS5" s="148">
        <v>33</v>
      </c>
      <c r="AT5" s="148">
        <v>34</v>
      </c>
      <c r="AU5" s="148">
        <v>142</v>
      </c>
      <c r="AW5" s="148">
        <v>79</v>
      </c>
      <c r="AX5" s="148">
        <v>80</v>
      </c>
      <c r="AY5" s="148">
        <v>81</v>
      </c>
      <c r="AZ5" s="148">
        <v>82</v>
      </c>
    </row>
    <row r="6" spans="2:52" s="148" customFormat="1" ht="17.25" customHeight="1">
      <c r="B6" s="149"/>
      <c r="C6" s="150" t="s">
        <v>48</v>
      </c>
      <c r="D6" s="157" t="str">
        <f>'PL(2_2)'!D6</f>
        <v>June 10th, 2026</v>
      </c>
      <c r="E6" s="149"/>
      <c r="F6" s="121" t="s">
        <v>49</v>
      </c>
      <c r="G6" s="121"/>
      <c r="H6" s="116"/>
      <c r="I6" s="116"/>
      <c r="J6" s="116"/>
      <c r="K6" s="116"/>
      <c r="M6" s="158" t="s">
        <v>50</v>
      </c>
      <c r="N6" s="116"/>
      <c r="O6" s="116"/>
      <c r="P6" s="116"/>
      <c r="Q6" s="116"/>
      <c r="R6" s="116"/>
      <c r="S6" s="116"/>
      <c r="T6" s="159"/>
      <c r="U6" s="159"/>
      <c r="V6" s="149"/>
      <c r="W6" s="149"/>
      <c r="X6" s="155"/>
      <c r="AA6" s="148" t="e">
        <f>SUMIF(#REF!,AA5,#REF!)</f>
        <v>#REF!</v>
      </c>
      <c r="AB6" s="148" t="e">
        <f>SUMIF(#REF!,AB5,#REF!)</f>
        <v>#REF!</v>
      </c>
      <c r="AC6" s="148" t="e">
        <f>SUMIF(#REF!,AC5,#REF!)</f>
        <v>#REF!</v>
      </c>
      <c r="AD6" s="148" t="e">
        <f>SUMIF(#REF!,AD5,#REF!)</f>
        <v>#REF!</v>
      </c>
      <c r="AE6" s="148" t="e">
        <f>SUMIF(#REF!,AE5,#REF!)</f>
        <v>#REF!</v>
      </c>
      <c r="AF6" s="148" t="e">
        <f>SUMIF(#REF!,AF5,#REF!)</f>
        <v>#REF!</v>
      </c>
      <c r="AG6" s="148" t="e">
        <f>SUMIF(#REF!,AG5,#REF!)</f>
        <v>#REF!</v>
      </c>
      <c r="AH6" s="148" t="e">
        <f>SUMIF(#REF!,AH5,#REF!)</f>
        <v>#REF!</v>
      </c>
      <c r="AI6" s="148" t="e">
        <f>SUMIF(#REF!,AI5,#REF!)</f>
        <v>#REF!</v>
      </c>
      <c r="AJ6" s="148" t="e">
        <f>SUMIF(#REF!,AJ5,#REF!)</f>
        <v>#REF!</v>
      </c>
      <c r="AK6" s="148" t="e">
        <f>SUMIF(#REF!,AK5,#REF!)</f>
        <v>#REF!</v>
      </c>
      <c r="AL6" s="156" t="e">
        <f>SUMIF(#REF!,AL5,#REF!)</f>
        <v>#REF!</v>
      </c>
      <c r="AM6" s="156" t="e">
        <f>SUMIF(#REF!,AM5,#REF!)</f>
        <v>#REF!</v>
      </c>
      <c r="AN6" s="156" t="e">
        <f>SUMIF(#REF!,AN5,#REF!)</f>
        <v>#REF!</v>
      </c>
      <c r="AO6" s="156" t="e">
        <f>SUMIF(#REF!,AO5,#REF!)</f>
        <v>#REF!</v>
      </c>
      <c r="AP6" s="156" t="e">
        <f>SUMIF(#REF!,AP5,#REF!)</f>
        <v>#REF!</v>
      </c>
      <c r="AQ6" s="148" t="e">
        <f>SUMIF(#REF!,AQ5,#REF!)</f>
        <v>#REF!</v>
      </c>
      <c r="AR6" s="148">
        <f>SUMIF($AI$66:$AI$335,AR5,$H$66:$H$335)</f>
        <v>0</v>
      </c>
      <c r="AS6" s="148">
        <f>SUMIF($AI$66:$AI$335,AS5,$H$66:$H$335)</f>
        <v>0</v>
      </c>
      <c r="AT6" s="148">
        <f>SUMIF($AI$66:$AI$335,AT5,$H$66:$H$335)</f>
        <v>0</v>
      </c>
      <c r="AU6" s="148" t="e">
        <f>SUMIF(#REF!,AU5,#REF!)</f>
        <v>#REF!</v>
      </c>
      <c r="AV6" s="148" t="e">
        <f>SUM(AA6:AU7)</f>
        <v>#REF!</v>
      </c>
      <c r="AW6" s="148" t="e">
        <f>SUMIF(#REF!,AW5,#REF!)</f>
        <v>#REF!</v>
      </c>
      <c r="AX6" s="148" t="e">
        <f>SUMIF(#REF!,AX5,#REF!)</f>
        <v>#REF!</v>
      </c>
      <c r="AY6" s="148">
        <f>SUMIF($AI$66:$AI$335,AY5,$H$66:$H$335)</f>
        <v>0</v>
      </c>
      <c r="AZ6" s="148">
        <f>SUMIF($AI$66:$AI$335,AZ5,$H$66:$H$335)</f>
        <v>0</v>
      </c>
    </row>
    <row r="7" spans="2:52" s="148" customFormat="1" ht="17.25" customHeight="1">
      <c r="B7" s="149"/>
      <c r="C7" s="150" t="s">
        <v>51</v>
      </c>
      <c r="D7" s="160" t="str">
        <f>'PL(2_2)'!D7</f>
        <v>O MON IV THERMAL POWER PLANT</v>
      </c>
      <c r="E7" s="149"/>
      <c r="G7" s="184" t="s">
        <v>52</v>
      </c>
      <c r="H7" s="121" t="s">
        <v>53</v>
      </c>
      <c r="I7" s="116"/>
      <c r="J7" s="116"/>
      <c r="K7" s="116"/>
      <c r="M7" s="161"/>
      <c r="N7" s="124" t="s">
        <v>54</v>
      </c>
      <c r="O7" s="124" t="s">
        <v>55</v>
      </c>
      <c r="P7" s="124" t="s">
        <v>56</v>
      </c>
      <c r="Q7" s="124" t="s">
        <v>57</v>
      </c>
      <c r="R7" s="240"/>
      <c r="S7" s="240"/>
      <c r="T7" s="240"/>
      <c r="U7" s="240"/>
      <c r="V7" s="240"/>
      <c r="W7" s="156"/>
      <c r="X7" s="156"/>
      <c r="Y7" s="156"/>
      <c r="Z7" s="156"/>
      <c r="AA7" s="156"/>
      <c r="AB7" s="156"/>
      <c r="AC7" s="156">
        <v>1</v>
      </c>
      <c r="AD7" s="148">
        <v>1</v>
      </c>
      <c r="AG7" s="148">
        <v>5</v>
      </c>
      <c r="AH7" s="148">
        <v>100</v>
      </c>
      <c r="AJ7" s="156"/>
      <c r="AK7" s="156"/>
      <c r="AL7" s="156"/>
      <c r="AM7" s="156"/>
      <c r="AN7" s="156"/>
      <c r="AS7" s="148">
        <v>2</v>
      </c>
      <c r="AU7" s="148">
        <v>105</v>
      </c>
    </row>
    <row r="8" spans="2:52" s="148" customFormat="1" ht="17.25" customHeight="1">
      <c r="B8" s="149"/>
      <c r="C8" s="150" t="s">
        <v>109</v>
      </c>
      <c r="D8" s="162" t="s">
        <v>110</v>
      </c>
      <c r="E8" s="149"/>
      <c r="G8" s="184" t="s">
        <v>58</v>
      </c>
      <c r="H8" s="121" t="s">
        <v>59</v>
      </c>
      <c r="I8" s="116"/>
      <c r="J8" s="116"/>
      <c r="K8" s="116"/>
      <c r="M8" s="163" t="s">
        <v>60</v>
      </c>
      <c r="N8" s="124" t="s">
        <v>61</v>
      </c>
      <c r="O8" s="124" t="s">
        <v>62</v>
      </c>
      <c r="P8" s="124" t="s">
        <v>63</v>
      </c>
      <c r="Q8" s="124" t="s">
        <v>64</v>
      </c>
      <c r="R8" s="40"/>
      <c r="S8" s="40"/>
      <c r="T8" s="39"/>
      <c r="U8" s="39"/>
      <c r="V8" s="39"/>
      <c r="W8" s="156"/>
      <c r="X8" s="156"/>
      <c r="Y8" s="156"/>
      <c r="Z8" s="156"/>
      <c r="AA8" s="156"/>
      <c r="AB8" s="156"/>
      <c r="AC8" s="156"/>
      <c r="AJ8" s="156"/>
      <c r="AK8" s="156"/>
      <c r="AL8" s="156"/>
      <c r="AM8" s="156"/>
      <c r="AN8" s="156"/>
    </row>
    <row r="9" spans="2:52" s="148" customFormat="1" ht="17.25" customHeight="1">
      <c r="B9" s="149"/>
      <c r="C9" s="146"/>
      <c r="D9" s="164"/>
      <c r="E9" s="149"/>
      <c r="G9" s="184" t="s">
        <v>65</v>
      </c>
      <c r="H9" s="121" t="s">
        <v>66</v>
      </c>
      <c r="I9" s="116"/>
      <c r="J9" s="116"/>
      <c r="K9" s="116"/>
      <c r="M9" s="163" t="s">
        <v>67</v>
      </c>
      <c r="N9" s="124" t="s">
        <v>68</v>
      </c>
      <c r="O9" s="124" t="s">
        <v>69</v>
      </c>
      <c r="P9" s="124" t="s">
        <v>70</v>
      </c>
      <c r="Q9" s="124" t="s">
        <v>71</v>
      </c>
      <c r="R9" s="40"/>
      <c r="S9" s="40"/>
      <c r="T9" s="39"/>
      <c r="U9" s="39"/>
      <c r="V9" s="39"/>
      <c r="W9" s="156"/>
      <c r="X9" s="156"/>
      <c r="Y9" s="156"/>
      <c r="Z9" s="156"/>
      <c r="AA9" s="156"/>
      <c r="AB9" s="156"/>
      <c r="AC9" s="156"/>
      <c r="AJ9" s="156"/>
      <c r="AK9" s="156"/>
      <c r="AL9" s="156"/>
      <c r="AM9" s="156"/>
      <c r="AN9" s="156"/>
    </row>
    <row r="10" spans="2:52" s="148" customFormat="1" ht="17.25" customHeight="1">
      <c r="B10" s="149"/>
      <c r="C10" s="150"/>
      <c r="D10" s="150"/>
      <c r="E10" s="149"/>
      <c r="G10" s="184" t="s">
        <v>72</v>
      </c>
      <c r="H10" s="121" t="s">
        <v>73</v>
      </c>
      <c r="I10" s="116"/>
      <c r="J10" s="116"/>
      <c r="K10" s="116"/>
      <c r="M10" s="163" t="s">
        <v>74</v>
      </c>
      <c r="N10" s="124" t="s">
        <v>75</v>
      </c>
      <c r="O10" s="124" t="s">
        <v>76</v>
      </c>
      <c r="P10" s="124" t="s">
        <v>77</v>
      </c>
      <c r="Q10" s="124" t="s">
        <v>78</v>
      </c>
      <c r="R10" s="159"/>
      <c r="S10" s="159"/>
      <c r="T10" s="149"/>
      <c r="U10" s="149"/>
      <c r="V10" s="155"/>
      <c r="W10" s="156"/>
      <c r="X10" s="156"/>
      <c r="Y10" s="156"/>
      <c r="Z10" s="156"/>
      <c r="AA10" s="156"/>
      <c r="AB10" s="156"/>
      <c r="AC10" s="156"/>
      <c r="AJ10" s="156"/>
      <c r="AK10" s="156"/>
      <c r="AL10" s="156"/>
      <c r="AM10" s="156"/>
      <c r="AN10" s="156"/>
    </row>
    <row r="11" spans="2:52" s="148" customFormat="1" ht="17.25" customHeight="1">
      <c r="B11" s="149"/>
      <c r="C11" s="150"/>
      <c r="D11" s="150"/>
      <c r="E11" s="149"/>
      <c r="G11" s="184" t="s">
        <v>79</v>
      </c>
      <c r="H11" s="121" t="s">
        <v>80</v>
      </c>
      <c r="I11" s="116"/>
      <c r="J11" s="116"/>
      <c r="K11" s="116"/>
      <c r="L11" s="165"/>
      <c r="M11" s="116"/>
      <c r="N11" s="116"/>
      <c r="O11" s="116"/>
      <c r="P11" s="116"/>
      <c r="R11" s="116"/>
      <c r="S11" s="116"/>
      <c r="T11" s="159"/>
      <c r="U11" s="159"/>
      <c r="V11" s="149"/>
      <c r="W11" s="149"/>
      <c r="X11" s="155"/>
      <c r="Y11" s="156"/>
      <c r="Z11" s="156"/>
      <c r="AA11" s="156"/>
      <c r="AB11" s="156"/>
      <c r="AC11" s="156"/>
      <c r="AD11" s="156"/>
      <c r="AE11" s="156"/>
      <c r="AL11" s="156"/>
      <c r="AM11" s="156"/>
      <c r="AN11" s="156"/>
      <c r="AO11" s="156"/>
      <c r="AP11" s="156"/>
    </row>
    <row r="12" spans="2:52" s="148" customFormat="1" ht="16.899999999999999" customHeight="1">
      <c r="B12" s="156"/>
      <c r="C12" s="166"/>
      <c r="D12" s="156"/>
      <c r="E12" s="156"/>
      <c r="F12" s="156"/>
      <c r="G12" s="156"/>
      <c r="H12" s="156"/>
      <c r="I12" s="156"/>
      <c r="J12" s="156"/>
      <c r="K12" s="156"/>
      <c r="L12" s="156"/>
      <c r="M12" s="156"/>
      <c r="N12" s="156"/>
      <c r="O12" s="167"/>
      <c r="P12" s="156"/>
      <c r="Q12" s="156"/>
      <c r="R12" s="156"/>
      <c r="S12" s="156"/>
      <c r="T12" s="168"/>
      <c r="U12" s="168"/>
      <c r="V12" s="156"/>
      <c r="W12" s="156"/>
      <c r="X12" s="155"/>
      <c r="Y12" s="156"/>
      <c r="Z12" s="156"/>
      <c r="AA12" s="156"/>
      <c r="AB12" s="156"/>
      <c r="AC12" s="156"/>
      <c r="AD12" s="156"/>
      <c r="AE12" s="156"/>
      <c r="AL12" s="156"/>
      <c r="AM12" s="156"/>
      <c r="AN12" s="156"/>
      <c r="AO12" s="156"/>
      <c r="AP12" s="156"/>
    </row>
    <row r="13" spans="2:52" s="169" customFormat="1" ht="20.25" customHeight="1">
      <c r="B13" s="231" t="s">
        <v>29</v>
      </c>
      <c r="C13" s="234" t="s">
        <v>30</v>
      </c>
      <c r="D13" s="235" t="s">
        <v>81</v>
      </c>
      <c r="E13" s="231" t="s">
        <v>149</v>
      </c>
      <c r="F13" s="234" t="s">
        <v>111</v>
      </c>
      <c r="G13" s="231" t="s">
        <v>82</v>
      </c>
      <c r="H13" s="237" t="s">
        <v>83</v>
      </c>
      <c r="I13" s="238"/>
      <c r="J13" s="170" t="s">
        <v>112</v>
      </c>
      <c r="K13" s="231" t="s">
        <v>84</v>
      </c>
      <c r="L13" s="237" t="s">
        <v>113</v>
      </c>
      <c r="M13" s="239"/>
      <c r="N13" s="239"/>
      <c r="O13" s="238"/>
      <c r="P13" s="231" t="s">
        <v>85</v>
      </c>
      <c r="Q13" s="231" t="s">
        <v>86</v>
      </c>
      <c r="R13" s="241" t="s">
        <v>155</v>
      </c>
      <c r="S13" s="231" t="s">
        <v>89</v>
      </c>
      <c r="T13" s="171"/>
      <c r="U13" s="172"/>
      <c r="V13" s="172"/>
      <c r="W13" s="172"/>
      <c r="X13" s="172"/>
      <c r="Y13" s="172"/>
      <c r="Z13" s="172"/>
      <c r="AA13" s="172"/>
      <c r="AH13" s="172"/>
      <c r="AI13" s="172"/>
      <c r="AJ13" s="172"/>
      <c r="AK13" s="172"/>
      <c r="AL13" s="172"/>
    </row>
    <row r="14" spans="2:52" s="169" customFormat="1" ht="39.75" customHeight="1">
      <c r="B14" s="233"/>
      <c r="C14" s="233"/>
      <c r="D14" s="236"/>
      <c r="E14" s="232"/>
      <c r="F14" s="233"/>
      <c r="G14" s="232"/>
      <c r="H14" s="131" t="s">
        <v>90</v>
      </c>
      <c r="I14" s="131" t="s">
        <v>91</v>
      </c>
      <c r="J14" s="130"/>
      <c r="K14" s="232"/>
      <c r="L14" s="132" t="s">
        <v>114</v>
      </c>
      <c r="M14" s="132" t="s">
        <v>115</v>
      </c>
      <c r="N14" s="132" t="s">
        <v>116</v>
      </c>
      <c r="O14" s="173" t="s">
        <v>117</v>
      </c>
      <c r="P14" s="232"/>
      <c r="Q14" s="232"/>
      <c r="R14" s="241"/>
      <c r="S14" s="232"/>
      <c r="U14" s="172"/>
      <c r="V14" s="172"/>
      <c r="W14" s="172"/>
      <c r="X14" s="172"/>
      <c r="Y14" s="172"/>
      <c r="Z14" s="172"/>
      <c r="AA14" s="172"/>
      <c r="AH14" s="172"/>
      <c r="AI14" s="172"/>
      <c r="AJ14" s="172"/>
      <c r="AK14" s="172"/>
      <c r="AL14" s="172"/>
    </row>
    <row r="15" spans="2:52" s="169" customFormat="1" ht="36.75" customHeight="1">
      <c r="B15" s="124">
        <v>1</v>
      </c>
      <c r="C15" s="124" t="s">
        <v>174</v>
      </c>
      <c r="D15" s="137" t="s">
        <v>31</v>
      </c>
      <c r="E15" s="133" t="s">
        <v>160</v>
      </c>
      <c r="F15" s="124" t="s">
        <v>159</v>
      </c>
      <c r="G15" s="41" t="s">
        <v>153</v>
      </c>
      <c r="H15" s="38">
        <v>1000</v>
      </c>
      <c r="I15" s="133" t="s">
        <v>32</v>
      </c>
      <c r="J15" s="174">
        <f t="shared" ref="J15:J18" si="0">2122+135</f>
        <v>2257</v>
      </c>
      <c r="K15" s="134" t="s">
        <v>96</v>
      </c>
      <c r="L15" s="124">
        <v>1300</v>
      </c>
      <c r="M15" s="124">
        <v>800</v>
      </c>
      <c r="N15" s="124">
        <v>800</v>
      </c>
      <c r="O15" s="213">
        <f t="shared" ref="O15" si="1">ROUND(L15*M15*N15/1000000000,2)</f>
        <v>0.83</v>
      </c>
      <c r="P15" s="175">
        <f t="shared" ref="P15" si="2">1*J15</f>
        <v>2257</v>
      </c>
      <c r="Q15" s="175">
        <f>P15+83</f>
        <v>2340</v>
      </c>
      <c r="R15" s="135" t="s">
        <v>98</v>
      </c>
      <c r="S15" s="129"/>
      <c r="U15" s="172"/>
      <c r="V15" s="172"/>
      <c r="W15" s="172"/>
      <c r="X15" s="172"/>
      <c r="Y15" s="172"/>
      <c r="Z15" s="172"/>
      <c r="AA15" s="172"/>
      <c r="AH15" s="172"/>
      <c r="AI15" s="172"/>
      <c r="AJ15" s="172"/>
      <c r="AK15" s="172"/>
      <c r="AL15" s="172"/>
    </row>
    <row r="16" spans="2:52" s="169" customFormat="1" ht="36.75" customHeight="1">
      <c r="B16" s="124">
        <v>2</v>
      </c>
      <c r="C16" s="124" t="s">
        <v>175</v>
      </c>
      <c r="D16" s="137" t="s">
        <v>31</v>
      </c>
      <c r="E16" s="133" t="s">
        <v>160</v>
      </c>
      <c r="F16" s="124" t="s">
        <v>159</v>
      </c>
      <c r="G16" s="41" t="s">
        <v>153</v>
      </c>
      <c r="H16" s="38">
        <v>1000</v>
      </c>
      <c r="I16" s="133" t="s">
        <v>32</v>
      </c>
      <c r="J16" s="174">
        <f t="shared" si="0"/>
        <v>2257</v>
      </c>
      <c r="K16" s="134" t="s">
        <v>96</v>
      </c>
      <c r="L16" s="124">
        <v>1300</v>
      </c>
      <c r="M16" s="124">
        <v>800</v>
      </c>
      <c r="N16" s="124">
        <v>800</v>
      </c>
      <c r="O16" s="213">
        <f t="shared" ref="O16:O18" si="3">ROUND(L16*M16*N16/1000000000,2)</f>
        <v>0.83</v>
      </c>
      <c r="P16" s="175">
        <f t="shared" ref="P16:P18" si="4">1*J16</f>
        <v>2257</v>
      </c>
      <c r="Q16" s="175">
        <f t="shared" ref="Q16:Q19" si="5">P16+83</f>
        <v>2340</v>
      </c>
      <c r="R16" s="135" t="s">
        <v>98</v>
      </c>
      <c r="S16" s="129"/>
      <c r="U16" s="172"/>
      <c r="V16" s="172"/>
      <c r="W16" s="172"/>
      <c r="X16" s="172"/>
      <c r="Y16" s="172"/>
      <c r="Z16" s="172"/>
      <c r="AA16" s="172"/>
      <c r="AH16" s="172"/>
      <c r="AI16" s="172"/>
      <c r="AJ16" s="172"/>
      <c r="AK16" s="172"/>
      <c r="AL16" s="172"/>
    </row>
    <row r="17" spans="1:38" s="169" customFormat="1" ht="36.75" customHeight="1">
      <c r="B17" s="124">
        <v>3</v>
      </c>
      <c r="C17" s="124" t="s">
        <v>176</v>
      </c>
      <c r="D17" s="137" t="s">
        <v>31</v>
      </c>
      <c r="E17" s="133" t="s">
        <v>160</v>
      </c>
      <c r="F17" s="124" t="s">
        <v>159</v>
      </c>
      <c r="G17" s="41" t="s">
        <v>153</v>
      </c>
      <c r="H17" s="38">
        <v>1000</v>
      </c>
      <c r="I17" s="133" t="s">
        <v>32</v>
      </c>
      <c r="J17" s="174">
        <f t="shared" si="0"/>
        <v>2257</v>
      </c>
      <c r="K17" s="134" t="s">
        <v>96</v>
      </c>
      <c r="L17" s="124">
        <v>1300</v>
      </c>
      <c r="M17" s="124">
        <v>800</v>
      </c>
      <c r="N17" s="124">
        <v>800</v>
      </c>
      <c r="O17" s="213">
        <f t="shared" si="3"/>
        <v>0.83</v>
      </c>
      <c r="P17" s="175">
        <f t="shared" si="4"/>
        <v>2257</v>
      </c>
      <c r="Q17" s="175">
        <f t="shared" si="5"/>
        <v>2340</v>
      </c>
      <c r="R17" s="135" t="s">
        <v>98</v>
      </c>
      <c r="S17" s="129"/>
      <c r="U17" s="172"/>
      <c r="V17" s="172"/>
      <c r="W17" s="172"/>
      <c r="X17" s="172"/>
      <c r="Y17" s="172"/>
      <c r="Z17" s="172"/>
      <c r="AA17" s="172"/>
      <c r="AH17" s="172"/>
      <c r="AI17" s="172"/>
      <c r="AJ17" s="172"/>
      <c r="AK17" s="172"/>
      <c r="AL17" s="172"/>
    </row>
    <row r="18" spans="1:38" s="169" customFormat="1" ht="36.75" customHeight="1">
      <c r="B18" s="124">
        <v>4</v>
      </c>
      <c r="C18" s="124" t="s">
        <v>177</v>
      </c>
      <c r="D18" s="137" t="s">
        <v>31</v>
      </c>
      <c r="E18" s="133" t="s">
        <v>160</v>
      </c>
      <c r="F18" s="124" t="s">
        <v>159</v>
      </c>
      <c r="G18" s="41" t="s">
        <v>153</v>
      </c>
      <c r="H18" s="38">
        <v>1000</v>
      </c>
      <c r="I18" s="133" t="s">
        <v>32</v>
      </c>
      <c r="J18" s="174">
        <f t="shared" si="0"/>
        <v>2257</v>
      </c>
      <c r="K18" s="134" t="s">
        <v>96</v>
      </c>
      <c r="L18" s="124">
        <v>1300</v>
      </c>
      <c r="M18" s="124">
        <v>800</v>
      </c>
      <c r="N18" s="124">
        <v>800</v>
      </c>
      <c r="O18" s="213">
        <f t="shared" si="3"/>
        <v>0.83</v>
      </c>
      <c r="P18" s="175">
        <f t="shared" si="4"/>
        <v>2257</v>
      </c>
      <c r="Q18" s="175">
        <f t="shared" si="5"/>
        <v>2340</v>
      </c>
      <c r="R18" s="135" t="s">
        <v>98</v>
      </c>
      <c r="S18" s="129"/>
      <c r="U18" s="172"/>
      <c r="V18" s="172"/>
      <c r="W18" s="172"/>
      <c r="X18" s="172"/>
      <c r="Y18" s="172"/>
      <c r="Z18" s="172"/>
      <c r="AA18" s="172"/>
      <c r="AH18" s="172"/>
      <c r="AI18" s="172"/>
      <c r="AJ18" s="172"/>
      <c r="AK18" s="172"/>
      <c r="AL18" s="172"/>
    </row>
    <row r="19" spans="1:38" s="169" customFormat="1" ht="36.75" customHeight="1">
      <c r="B19" s="124">
        <v>5</v>
      </c>
      <c r="C19" s="124" t="s">
        <v>178</v>
      </c>
      <c r="D19" s="137" t="s">
        <v>31</v>
      </c>
      <c r="E19" s="133" t="s">
        <v>160</v>
      </c>
      <c r="F19" s="124" t="s">
        <v>159</v>
      </c>
      <c r="G19" s="41" t="s">
        <v>153</v>
      </c>
      <c r="H19" s="38">
        <v>1300</v>
      </c>
      <c r="I19" s="133" t="s">
        <v>32</v>
      </c>
      <c r="J19" s="174">
        <v>2817</v>
      </c>
      <c r="K19" s="134" t="s">
        <v>96</v>
      </c>
      <c r="L19" s="124">
        <v>1300</v>
      </c>
      <c r="M19" s="124">
        <v>800</v>
      </c>
      <c r="N19" s="124">
        <v>800</v>
      </c>
      <c r="O19" s="213">
        <f t="shared" ref="O19" si="6">ROUND(L19*M19*N19/1000000000,2)</f>
        <v>0.83</v>
      </c>
      <c r="P19" s="175">
        <v>2817</v>
      </c>
      <c r="Q19" s="175">
        <f t="shared" si="5"/>
        <v>2900</v>
      </c>
      <c r="R19" s="135" t="s">
        <v>98</v>
      </c>
      <c r="S19" s="129"/>
      <c r="U19" s="172"/>
      <c r="V19" s="172"/>
      <c r="W19" s="172"/>
      <c r="X19" s="172"/>
      <c r="Y19" s="172"/>
      <c r="Z19" s="172"/>
      <c r="AA19" s="172"/>
      <c r="AH19" s="172"/>
      <c r="AI19" s="172"/>
      <c r="AJ19" s="172"/>
      <c r="AK19" s="172"/>
      <c r="AL19" s="172"/>
    </row>
    <row r="20" spans="1:38" s="169" customFormat="1" ht="36.75" customHeight="1">
      <c r="B20" s="124">
        <v>6</v>
      </c>
      <c r="C20" s="124" t="s">
        <v>179</v>
      </c>
      <c r="D20" s="137" t="s">
        <v>33</v>
      </c>
      <c r="E20" s="133" t="s">
        <v>160</v>
      </c>
      <c r="F20" s="124" t="s">
        <v>159</v>
      </c>
      <c r="G20" s="41" t="s">
        <v>153</v>
      </c>
      <c r="H20" s="38">
        <v>500</v>
      </c>
      <c r="I20" s="133" t="s">
        <v>32</v>
      </c>
      <c r="J20" s="174">
        <v>1220</v>
      </c>
      <c r="K20" s="134" t="s">
        <v>96</v>
      </c>
      <c r="L20" s="133">
        <v>1200</v>
      </c>
      <c r="M20" s="133">
        <v>800</v>
      </c>
      <c r="N20" s="124">
        <v>800</v>
      </c>
      <c r="O20" s="213">
        <f t="shared" ref="O20:O36" si="7">ROUND(L20*M20*N20/1000000000,2)</f>
        <v>0.77</v>
      </c>
      <c r="P20" s="175">
        <v>1220</v>
      </c>
      <c r="Q20" s="175">
        <f>P20+70</f>
        <v>1290</v>
      </c>
      <c r="R20" s="135" t="s">
        <v>99</v>
      </c>
      <c r="S20" s="129"/>
      <c r="U20" s="172"/>
      <c r="V20" s="172"/>
      <c r="W20" s="172"/>
      <c r="X20" s="172"/>
      <c r="Y20" s="172"/>
      <c r="Z20" s="172"/>
      <c r="AA20" s="172"/>
      <c r="AH20" s="172"/>
      <c r="AI20" s="172"/>
      <c r="AJ20" s="172"/>
      <c r="AK20" s="172"/>
      <c r="AL20" s="172"/>
    </row>
    <row r="21" spans="1:38" s="169" customFormat="1" ht="36.75" customHeight="1">
      <c r="B21" s="124">
        <v>7</v>
      </c>
      <c r="C21" s="124" t="s">
        <v>180</v>
      </c>
      <c r="D21" s="137" t="s">
        <v>34</v>
      </c>
      <c r="E21" s="133" t="s">
        <v>160</v>
      </c>
      <c r="F21" s="124" t="s">
        <v>159</v>
      </c>
      <c r="G21" s="41" t="s">
        <v>163</v>
      </c>
      <c r="H21" s="38">
        <v>500</v>
      </c>
      <c r="I21" s="133" t="s">
        <v>32</v>
      </c>
      <c r="J21" s="174">
        <v>733</v>
      </c>
      <c r="K21" s="134" t="s">
        <v>96</v>
      </c>
      <c r="L21" s="133">
        <v>1200</v>
      </c>
      <c r="M21" s="133">
        <v>800</v>
      </c>
      <c r="N21" s="124">
        <v>800</v>
      </c>
      <c r="O21" s="213">
        <f t="shared" si="7"/>
        <v>0.77</v>
      </c>
      <c r="P21" s="175">
        <v>733</v>
      </c>
      <c r="Q21" s="175">
        <f>P21+87</f>
        <v>820</v>
      </c>
      <c r="R21" s="133" t="s">
        <v>100</v>
      </c>
      <c r="S21" s="129"/>
      <c r="U21" s="172"/>
      <c r="V21" s="172"/>
      <c r="W21" s="172"/>
      <c r="X21" s="172"/>
      <c r="Y21" s="172"/>
      <c r="Z21" s="172"/>
      <c r="AA21" s="172"/>
      <c r="AH21" s="172"/>
      <c r="AI21" s="172"/>
      <c r="AJ21" s="172"/>
      <c r="AK21" s="172"/>
      <c r="AL21" s="172"/>
    </row>
    <row r="22" spans="1:38" s="169" customFormat="1" ht="36.75" customHeight="1">
      <c r="B22" s="124">
        <v>8</v>
      </c>
      <c r="C22" s="124" t="s">
        <v>181</v>
      </c>
      <c r="D22" s="137" t="s">
        <v>35</v>
      </c>
      <c r="E22" s="133" t="s">
        <v>160</v>
      </c>
      <c r="F22" s="124" t="s">
        <v>159</v>
      </c>
      <c r="G22" s="41" t="s">
        <v>164</v>
      </c>
      <c r="H22" s="38">
        <v>500</v>
      </c>
      <c r="I22" s="133" t="s">
        <v>32</v>
      </c>
      <c r="J22" s="174">
        <v>493</v>
      </c>
      <c r="K22" s="134" t="s">
        <v>96</v>
      </c>
      <c r="L22" s="133">
        <v>1000</v>
      </c>
      <c r="M22" s="133">
        <v>700</v>
      </c>
      <c r="N22" s="133">
        <v>700</v>
      </c>
      <c r="O22" s="213">
        <f t="shared" si="7"/>
        <v>0.49</v>
      </c>
      <c r="P22" s="175">
        <v>493</v>
      </c>
      <c r="Q22" s="175">
        <f>P22+87</f>
        <v>580</v>
      </c>
      <c r="R22" s="133" t="s">
        <v>101</v>
      </c>
      <c r="S22" s="129"/>
      <c r="U22" s="172"/>
      <c r="V22" s="172"/>
      <c r="W22" s="172"/>
      <c r="X22" s="172"/>
      <c r="Y22" s="172"/>
      <c r="Z22" s="172"/>
      <c r="AA22" s="172"/>
      <c r="AH22" s="172"/>
      <c r="AI22" s="172"/>
      <c r="AJ22" s="172"/>
      <c r="AK22" s="172"/>
      <c r="AL22" s="172"/>
    </row>
    <row r="23" spans="1:38" s="211" customFormat="1" ht="41.25" customHeight="1">
      <c r="A23" s="169"/>
      <c r="B23" s="124">
        <v>9</v>
      </c>
      <c r="C23" s="226" t="s">
        <v>182</v>
      </c>
      <c r="D23" s="137" t="s">
        <v>239</v>
      </c>
      <c r="E23" s="133" t="s">
        <v>160</v>
      </c>
      <c r="F23" s="124" t="s">
        <v>159</v>
      </c>
      <c r="G23" s="41" t="s">
        <v>165</v>
      </c>
      <c r="H23" s="38">
        <v>2</v>
      </c>
      <c r="I23" s="133" t="s">
        <v>37</v>
      </c>
      <c r="J23" s="177"/>
      <c r="K23" s="228" t="s">
        <v>105</v>
      </c>
      <c r="L23" s="228">
        <v>500</v>
      </c>
      <c r="M23" s="228">
        <v>500</v>
      </c>
      <c r="N23" s="228">
        <v>500</v>
      </c>
      <c r="O23" s="222">
        <f t="shared" ref="O23:O33" si="8">ROUND(L23*M23*N23/1000000000,2)</f>
        <v>0.13</v>
      </c>
      <c r="P23" s="224">
        <f>H24*J24</f>
        <v>80</v>
      </c>
      <c r="Q23" s="224">
        <f t="shared" ref="Q23:Q33" si="9">P23+1</f>
        <v>81</v>
      </c>
      <c r="R23" s="135" t="s">
        <v>223</v>
      </c>
      <c r="S23" s="129"/>
      <c r="U23" s="212"/>
      <c r="V23" s="212"/>
      <c r="W23" s="212"/>
      <c r="X23" s="212"/>
      <c r="Y23" s="212"/>
      <c r="Z23" s="212"/>
      <c r="AA23" s="212"/>
      <c r="AH23" s="212"/>
      <c r="AI23" s="212"/>
      <c r="AJ23" s="212"/>
      <c r="AK23" s="212"/>
      <c r="AL23" s="212"/>
    </row>
    <row r="24" spans="1:38" s="211" customFormat="1" ht="79.5" customHeight="1">
      <c r="A24" s="169"/>
      <c r="B24" s="124">
        <v>10</v>
      </c>
      <c r="C24" s="227"/>
      <c r="D24" s="215" t="s">
        <v>241</v>
      </c>
      <c r="E24" s="133" t="s">
        <v>160</v>
      </c>
      <c r="F24" s="124" t="s">
        <v>159</v>
      </c>
      <c r="G24" s="41" t="s">
        <v>165</v>
      </c>
      <c r="H24" s="38">
        <v>400</v>
      </c>
      <c r="I24" s="133" t="s">
        <v>37</v>
      </c>
      <c r="J24" s="177">
        <v>0.2</v>
      </c>
      <c r="K24" s="229"/>
      <c r="L24" s="229"/>
      <c r="M24" s="229"/>
      <c r="N24" s="229"/>
      <c r="O24" s="223"/>
      <c r="P24" s="225"/>
      <c r="Q24" s="225"/>
      <c r="R24" s="135" t="s">
        <v>224</v>
      </c>
      <c r="S24" s="129"/>
      <c r="U24" s="212"/>
      <c r="V24" s="212"/>
      <c r="W24" s="212"/>
      <c r="X24" s="212"/>
      <c r="Y24" s="212"/>
      <c r="Z24" s="212"/>
      <c r="AA24" s="212"/>
      <c r="AH24" s="212"/>
      <c r="AI24" s="212"/>
      <c r="AJ24" s="212"/>
      <c r="AK24" s="212"/>
      <c r="AL24" s="212"/>
    </row>
    <row r="25" spans="1:38" s="169" customFormat="1" ht="50.25" customHeight="1">
      <c r="B25" s="124">
        <v>11</v>
      </c>
      <c r="C25" s="226" t="s">
        <v>183</v>
      </c>
      <c r="D25" s="137" t="s">
        <v>238</v>
      </c>
      <c r="E25" s="133" t="s">
        <v>160</v>
      </c>
      <c r="F25" s="124" t="s">
        <v>159</v>
      </c>
      <c r="G25" s="41" t="s">
        <v>166</v>
      </c>
      <c r="H25" s="38">
        <v>1</v>
      </c>
      <c r="I25" s="133" t="s">
        <v>37</v>
      </c>
      <c r="J25" s="177"/>
      <c r="K25" s="228" t="s">
        <v>105</v>
      </c>
      <c r="L25" s="228">
        <v>500</v>
      </c>
      <c r="M25" s="228">
        <v>500</v>
      </c>
      <c r="N25" s="228">
        <v>500</v>
      </c>
      <c r="O25" s="222">
        <f t="shared" si="8"/>
        <v>0.13</v>
      </c>
      <c r="P25" s="224">
        <f>H26*J26</f>
        <v>30</v>
      </c>
      <c r="Q25" s="224">
        <f t="shared" si="9"/>
        <v>31</v>
      </c>
      <c r="R25" s="135" t="s">
        <v>225</v>
      </c>
      <c r="S25" s="129"/>
      <c r="U25" s="172"/>
      <c r="V25" s="172"/>
      <c r="W25" s="172"/>
      <c r="X25" s="172"/>
      <c r="Y25" s="172"/>
      <c r="Z25" s="172"/>
      <c r="AA25" s="172"/>
      <c r="AH25" s="172"/>
      <c r="AI25" s="172"/>
      <c r="AJ25" s="172"/>
      <c r="AK25" s="172"/>
      <c r="AL25" s="172"/>
    </row>
    <row r="26" spans="1:38" s="169" customFormat="1" ht="75.75" customHeight="1">
      <c r="B26" s="124">
        <v>12</v>
      </c>
      <c r="C26" s="227"/>
      <c r="D26" s="215" t="s">
        <v>242</v>
      </c>
      <c r="E26" s="133" t="s">
        <v>160</v>
      </c>
      <c r="F26" s="124" t="s">
        <v>159</v>
      </c>
      <c r="G26" s="41" t="s">
        <v>166</v>
      </c>
      <c r="H26" s="38">
        <v>100</v>
      </c>
      <c r="I26" s="133" t="s">
        <v>37</v>
      </c>
      <c r="J26" s="177">
        <v>0.3</v>
      </c>
      <c r="K26" s="229"/>
      <c r="L26" s="229"/>
      <c r="M26" s="229"/>
      <c r="N26" s="229"/>
      <c r="O26" s="223"/>
      <c r="P26" s="225"/>
      <c r="Q26" s="225"/>
      <c r="R26" s="135" t="s">
        <v>226</v>
      </c>
      <c r="S26" s="129"/>
      <c r="U26" s="172"/>
      <c r="V26" s="172"/>
      <c r="W26" s="172"/>
      <c r="X26" s="172"/>
      <c r="Y26" s="172"/>
      <c r="Z26" s="172"/>
      <c r="AA26" s="172"/>
      <c r="AH26" s="172"/>
      <c r="AI26" s="172"/>
      <c r="AJ26" s="172"/>
      <c r="AK26" s="172"/>
      <c r="AL26" s="172"/>
    </row>
    <row r="27" spans="1:38" s="169" customFormat="1" ht="43.5" customHeight="1">
      <c r="B27" s="124">
        <v>13</v>
      </c>
      <c r="C27" s="226" t="s">
        <v>184</v>
      </c>
      <c r="D27" s="137" t="s">
        <v>237</v>
      </c>
      <c r="E27" s="133" t="s">
        <v>160</v>
      </c>
      <c r="F27" s="124" t="s">
        <v>159</v>
      </c>
      <c r="G27" s="41" t="s">
        <v>167</v>
      </c>
      <c r="H27" s="38">
        <v>1</v>
      </c>
      <c r="I27" s="133" t="s">
        <v>37</v>
      </c>
      <c r="J27" s="177"/>
      <c r="K27" s="228" t="s">
        <v>105</v>
      </c>
      <c r="L27" s="228">
        <v>500</v>
      </c>
      <c r="M27" s="228">
        <v>500</v>
      </c>
      <c r="N27" s="228">
        <v>500</v>
      </c>
      <c r="O27" s="222">
        <f t="shared" si="8"/>
        <v>0.13</v>
      </c>
      <c r="P27" s="224">
        <f>H28*J28</f>
        <v>25</v>
      </c>
      <c r="Q27" s="224">
        <f t="shared" si="9"/>
        <v>26</v>
      </c>
      <c r="R27" s="135" t="s">
        <v>227</v>
      </c>
      <c r="S27" s="129"/>
      <c r="U27" s="172"/>
      <c r="V27" s="172"/>
      <c r="W27" s="172"/>
      <c r="X27" s="172"/>
      <c r="Y27" s="172"/>
      <c r="Z27" s="172"/>
      <c r="AA27" s="172"/>
      <c r="AH27" s="172"/>
      <c r="AI27" s="172"/>
      <c r="AJ27" s="172"/>
      <c r="AK27" s="172"/>
      <c r="AL27" s="172"/>
    </row>
    <row r="28" spans="1:38" s="169" customFormat="1" ht="75.75" customHeight="1">
      <c r="B28" s="124">
        <v>14</v>
      </c>
      <c r="C28" s="227"/>
      <c r="D28" s="137" t="s">
        <v>243</v>
      </c>
      <c r="E28" s="133" t="s">
        <v>160</v>
      </c>
      <c r="F28" s="124" t="s">
        <v>159</v>
      </c>
      <c r="G28" s="41" t="s">
        <v>167</v>
      </c>
      <c r="H28" s="38">
        <v>100</v>
      </c>
      <c r="I28" s="133" t="s">
        <v>37</v>
      </c>
      <c r="J28" s="177">
        <v>0.25</v>
      </c>
      <c r="K28" s="229"/>
      <c r="L28" s="229"/>
      <c r="M28" s="229"/>
      <c r="N28" s="229"/>
      <c r="O28" s="223"/>
      <c r="P28" s="225"/>
      <c r="Q28" s="225"/>
      <c r="R28" s="135" t="s">
        <v>228</v>
      </c>
      <c r="S28" s="129"/>
      <c r="U28" s="172"/>
      <c r="V28" s="172"/>
      <c r="W28" s="172"/>
      <c r="X28" s="172"/>
      <c r="Y28" s="172"/>
      <c r="Z28" s="172"/>
      <c r="AA28" s="172"/>
      <c r="AH28" s="172"/>
      <c r="AI28" s="172"/>
      <c r="AJ28" s="172"/>
      <c r="AK28" s="172"/>
      <c r="AL28" s="172"/>
    </row>
    <row r="29" spans="1:38" s="169" customFormat="1" ht="48" customHeight="1">
      <c r="B29" s="124">
        <v>15</v>
      </c>
      <c r="C29" s="226" t="s">
        <v>185</v>
      </c>
      <c r="D29" s="137" t="s">
        <v>236</v>
      </c>
      <c r="E29" s="133" t="s">
        <v>160</v>
      </c>
      <c r="F29" s="124" t="s">
        <v>159</v>
      </c>
      <c r="G29" s="41" t="s">
        <v>168</v>
      </c>
      <c r="H29" s="38">
        <v>1</v>
      </c>
      <c r="I29" s="133" t="s">
        <v>37</v>
      </c>
      <c r="J29" s="177"/>
      <c r="K29" s="228" t="s">
        <v>105</v>
      </c>
      <c r="L29" s="228">
        <v>500</v>
      </c>
      <c r="M29" s="228">
        <v>500</v>
      </c>
      <c r="N29" s="228">
        <v>500</v>
      </c>
      <c r="O29" s="222">
        <f t="shared" si="8"/>
        <v>0.13</v>
      </c>
      <c r="P29" s="224">
        <f>H30*J30</f>
        <v>10</v>
      </c>
      <c r="Q29" s="224">
        <f t="shared" si="9"/>
        <v>11</v>
      </c>
      <c r="R29" s="135" t="s">
        <v>229</v>
      </c>
      <c r="S29" s="129"/>
      <c r="U29" s="172"/>
      <c r="V29" s="172"/>
      <c r="W29" s="172"/>
      <c r="X29" s="172"/>
      <c r="Y29" s="172"/>
      <c r="Z29" s="172"/>
      <c r="AA29" s="172"/>
      <c r="AH29" s="172"/>
      <c r="AI29" s="172"/>
      <c r="AJ29" s="172"/>
      <c r="AK29" s="172"/>
      <c r="AL29" s="172"/>
    </row>
    <row r="30" spans="1:38" s="169" customFormat="1" ht="63.75" customHeight="1">
      <c r="B30" s="124">
        <v>16</v>
      </c>
      <c r="C30" s="227"/>
      <c r="D30" s="215" t="s">
        <v>244</v>
      </c>
      <c r="E30" s="133" t="s">
        <v>160</v>
      </c>
      <c r="F30" s="124" t="s">
        <v>159</v>
      </c>
      <c r="G30" s="41" t="s">
        <v>168</v>
      </c>
      <c r="H30" s="38">
        <v>50</v>
      </c>
      <c r="I30" s="133" t="s">
        <v>37</v>
      </c>
      <c r="J30" s="177">
        <v>0.2</v>
      </c>
      <c r="K30" s="229"/>
      <c r="L30" s="229"/>
      <c r="M30" s="229"/>
      <c r="N30" s="229"/>
      <c r="O30" s="223"/>
      <c r="P30" s="225"/>
      <c r="Q30" s="225"/>
      <c r="R30" s="135" t="s">
        <v>230</v>
      </c>
      <c r="S30" s="129"/>
      <c r="U30" s="172"/>
      <c r="V30" s="172"/>
      <c r="W30" s="172"/>
      <c r="X30" s="172"/>
      <c r="Y30" s="172"/>
      <c r="Z30" s="172"/>
      <c r="AA30" s="172"/>
      <c r="AH30" s="172"/>
      <c r="AI30" s="172"/>
      <c r="AJ30" s="172"/>
      <c r="AK30" s="172"/>
      <c r="AL30" s="172"/>
    </row>
    <row r="31" spans="1:38" s="169" customFormat="1" ht="51.75" customHeight="1">
      <c r="B31" s="124">
        <v>17</v>
      </c>
      <c r="C31" s="226" t="s">
        <v>186</v>
      </c>
      <c r="D31" s="137" t="s">
        <v>235</v>
      </c>
      <c r="E31" s="133" t="s">
        <v>160</v>
      </c>
      <c r="F31" s="124" t="s">
        <v>159</v>
      </c>
      <c r="G31" s="41" t="s">
        <v>169</v>
      </c>
      <c r="H31" s="38">
        <v>1</v>
      </c>
      <c r="I31" s="133" t="s">
        <v>37</v>
      </c>
      <c r="J31" s="177"/>
      <c r="K31" s="228" t="s">
        <v>105</v>
      </c>
      <c r="L31" s="228">
        <v>500</v>
      </c>
      <c r="M31" s="228">
        <v>500</v>
      </c>
      <c r="N31" s="228">
        <v>500</v>
      </c>
      <c r="O31" s="222">
        <f t="shared" si="8"/>
        <v>0.13</v>
      </c>
      <c r="P31" s="224">
        <f>H32*J32</f>
        <v>10</v>
      </c>
      <c r="Q31" s="224">
        <f t="shared" si="9"/>
        <v>11</v>
      </c>
      <c r="R31" s="135" t="s">
        <v>231</v>
      </c>
      <c r="S31" s="129"/>
      <c r="U31" s="172"/>
      <c r="V31" s="172"/>
      <c r="W31" s="172"/>
      <c r="X31" s="172"/>
      <c r="Y31" s="172"/>
      <c r="Z31" s="172"/>
      <c r="AA31" s="172"/>
      <c r="AH31" s="172"/>
      <c r="AI31" s="172"/>
      <c r="AJ31" s="172"/>
      <c r="AK31" s="172"/>
      <c r="AL31" s="172"/>
    </row>
    <row r="32" spans="1:38" s="169" customFormat="1" ht="65.25" customHeight="1">
      <c r="B32" s="124">
        <v>18</v>
      </c>
      <c r="C32" s="227"/>
      <c r="D32" s="215" t="s">
        <v>245</v>
      </c>
      <c r="E32" s="133" t="s">
        <v>160</v>
      </c>
      <c r="F32" s="124" t="s">
        <v>159</v>
      </c>
      <c r="G32" s="41" t="s">
        <v>169</v>
      </c>
      <c r="H32" s="38">
        <v>50</v>
      </c>
      <c r="I32" s="133" t="s">
        <v>37</v>
      </c>
      <c r="J32" s="177">
        <v>0.2</v>
      </c>
      <c r="K32" s="229"/>
      <c r="L32" s="229"/>
      <c r="M32" s="229"/>
      <c r="N32" s="229"/>
      <c r="O32" s="223"/>
      <c r="P32" s="225"/>
      <c r="Q32" s="225"/>
      <c r="R32" s="135" t="s">
        <v>230</v>
      </c>
      <c r="S32" s="129"/>
      <c r="U32" s="172"/>
      <c r="V32" s="172"/>
      <c r="W32" s="172"/>
      <c r="X32" s="172"/>
      <c r="Y32" s="172"/>
      <c r="Z32" s="172"/>
      <c r="AA32" s="172"/>
      <c r="AH32" s="172"/>
      <c r="AI32" s="172"/>
      <c r="AJ32" s="172"/>
      <c r="AK32" s="172"/>
      <c r="AL32" s="172"/>
    </row>
    <row r="33" spans="2:38" s="169" customFormat="1" ht="54.75" customHeight="1">
      <c r="B33" s="124">
        <v>19</v>
      </c>
      <c r="C33" s="226" t="s">
        <v>187</v>
      </c>
      <c r="D33" s="137" t="s">
        <v>234</v>
      </c>
      <c r="E33" s="133" t="s">
        <v>160</v>
      </c>
      <c r="F33" s="124" t="s">
        <v>159</v>
      </c>
      <c r="G33" s="41" t="s">
        <v>170</v>
      </c>
      <c r="H33" s="38">
        <v>1</v>
      </c>
      <c r="I33" s="133" t="s">
        <v>37</v>
      </c>
      <c r="J33" s="177"/>
      <c r="K33" s="228" t="s">
        <v>105</v>
      </c>
      <c r="L33" s="228">
        <v>500</v>
      </c>
      <c r="M33" s="228">
        <v>500</v>
      </c>
      <c r="N33" s="228">
        <v>500</v>
      </c>
      <c r="O33" s="222">
        <f t="shared" si="8"/>
        <v>0.13</v>
      </c>
      <c r="P33" s="224">
        <f>H34*J34</f>
        <v>12</v>
      </c>
      <c r="Q33" s="224">
        <f t="shared" si="9"/>
        <v>13</v>
      </c>
      <c r="R33" s="135" t="s">
        <v>232</v>
      </c>
      <c r="S33" s="129"/>
      <c r="U33" s="172"/>
      <c r="V33" s="172"/>
      <c r="W33" s="172"/>
      <c r="X33" s="172"/>
      <c r="Y33" s="172"/>
      <c r="Z33" s="172"/>
      <c r="AA33" s="172"/>
      <c r="AH33" s="172"/>
      <c r="AI33" s="172"/>
      <c r="AJ33" s="172"/>
      <c r="AK33" s="172"/>
      <c r="AL33" s="172"/>
    </row>
    <row r="34" spans="2:38" s="169" customFormat="1" ht="70.5" customHeight="1">
      <c r="B34" s="124">
        <v>20</v>
      </c>
      <c r="C34" s="227"/>
      <c r="D34" s="215" t="s">
        <v>246</v>
      </c>
      <c r="E34" s="133" t="s">
        <v>160</v>
      </c>
      <c r="F34" s="124" t="s">
        <v>159</v>
      </c>
      <c r="G34" s="41" t="s">
        <v>170</v>
      </c>
      <c r="H34" s="38">
        <v>30</v>
      </c>
      <c r="I34" s="133" t="s">
        <v>37</v>
      </c>
      <c r="J34" s="177">
        <v>0.4</v>
      </c>
      <c r="K34" s="229"/>
      <c r="L34" s="229"/>
      <c r="M34" s="229"/>
      <c r="N34" s="229"/>
      <c r="O34" s="223"/>
      <c r="P34" s="225"/>
      <c r="Q34" s="225"/>
      <c r="R34" s="135" t="s">
        <v>233</v>
      </c>
      <c r="S34" s="129"/>
      <c r="U34" s="172"/>
      <c r="V34" s="172"/>
      <c r="W34" s="172"/>
      <c r="X34" s="172"/>
      <c r="Y34" s="172"/>
      <c r="Z34" s="172"/>
      <c r="AA34" s="172"/>
      <c r="AH34" s="172"/>
      <c r="AI34" s="172"/>
      <c r="AJ34" s="172"/>
      <c r="AK34" s="172"/>
      <c r="AL34" s="172"/>
    </row>
    <row r="35" spans="2:38" s="169" customFormat="1" ht="83.25" customHeight="1">
      <c r="B35" s="124">
        <v>21</v>
      </c>
      <c r="C35" s="124" t="s">
        <v>188</v>
      </c>
      <c r="D35" s="137" t="s">
        <v>36</v>
      </c>
      <c r="E35" s="133" t="s">
        <v>160</v>
      </c>
      <c r="F35" s="124" t="s">
        <v>159</v>
      </c>
      <c r="G35" s="41" t="s">
        <v>171</v>
      </c>
      <c r="H35" s="38">
        <v>30</v>
      </c>
      <c r="I35" s="133" t="s">
        <v>37</v>
      </c>
      <c r="J35" s="174">
        <v>5</v>
      </c>
      <c r="K35" s="133" t="s">
        <v>102</v>
      </c>
      <c r="L35" s="133">
        <v>3000</v>
      </c>
      <c r="M35" s="133">
        <v>300</v>
      </c>
      <c r="N35" s="133">
        <v>200</v>
      </c>
      <c r="O35" s="136">
        <f t="shared" si="7"/>
        <v>0.18</v>
      </c>
      <c r="P35" s="176">
        <f t="shared" ref="P35" si="10">H35*J35</f>
        <v>150</v>
      </c>
      <c r="Q35" s="176">
        <f t="shared" ref="Q35:Q36" si="11">P35+1</f>
        <v>151</v>
      </c>
      <c r="R35" s="135" t="s">
        <v>103</v>
      </c>
      <c r="S35" s="129"/>
      <c r="U35" s="172"/>
      <c r="V35" s="172"/>
      <c r="W35" s="172"/>
      <c r="X35" s="172"/>
      <c r="Y35" s="172"/>
      <c r="Z35" s="172"/>
      <c r="AA35" s="172"/>
      <c r="AH35" s="172"/>
      <c r="AI35" s="172"/>
      <c r="AJ35" s="172"/>
      <c r="AK35" s="172"/>
      <c r="AL35" s="172"/>
    </row>
    <row r="36" spans="2:38" s="169" customFormat="1" ht="57" customHeight="1">
      <c r="B36" s="124">
        <v>22</v>
      </c>
      <c r="C36" s="124" t="s">
        <v>189</v>
      </c>
      <c r="D36" s="137" t="s">
        <v>247</v>
      </c>
      <c r="E36" s="133" t="s">
        <v>160</v>
      </c>
      <c r="F36" s="124" t="s">
        <v>159</v>
      </c>
      <c r="G36" s="41" t="s">
        <v>172</v>
      </c>
      <c r="H36" s="38">
        <v>1</v>
      </c>
      <c r="I36" s="133" t="s">
        <v>37</v>
      </c>
      <c r="J36" s="174">
        <v>25</v>
      </c>
      <c r="K36" s="133" t="s">
        <v>102</v>
      </c>
      <c r="L36" s="133">
        <v>350</v>
      </c>
      <c r="M36" s="133">
        <v>350</v>
      </c>
      <c r="N36" s="133">
        <v>200</v>
      </c>
      <c r="O36" s="136">
        <f t="shared" si="7"/>
        <v>0.02</v>
      </c>
      <c r="P36" s="176">
        <f t="shared" ref="P36:P65" si="12">H36*J36</f>
        <v>25</v>
      </c>
      <c r="Q36" s="176">
        <f t="shared" si="11"/>
        <v>26</v>
      </c>
      <c r="R36" s="135" t="s">
        <v>104</v>
      </c>
      <c r="S36" s="129"/>
      <c r="U36" s="172"/>
      <c r="V36" s="172"/>
      <c r="W36" s="172"/>
      <c r="X36" s="172"/>
      <c r="Y36" s="172"/>
      <c r="Z36" s="172"/>
      <c r="AA36" s="172"/>
      <c r="AH36" s="172"/>
      <c r="AI36" s="172"/>
      <c r="AJ36" s="172"/>
      <c r="AK36" s="172"/>
      <c r="AL36" s="172"/>
    </row>
    <row r="37" spans="2:38" s="169" customFormat="1" ht="57" customHeight="1">
      <c r="B37" s="124">
        <v>23</v>
      </c>
      <c r="C37" s="124" t="s">
        <v>190</v>
      </c>
      <c r="D37" s="137" t="s">
        <v>247</v>
      </c>
      <c r="E37" s="133" t="s">
        <v>160</v>
      </c>
      <c r="F37" s="124" t="s">
        <v>159</v>
      </c>
      <c r="G37" s="41" t="s">
        <v>172</v>
      </c>
      <c r="H37" s="38">
        <v>1</v>
      </c>
      <c r="I37" s="133" t="s">
        <v>37</v>
      </c>
      <c r="J37" s="174">
        <v>25</v>
      </c>
      <c r="K37" s="133" t="s">
        <v>102</v>
      </c>
      <c r="L37" s="133">
        <v>350</v>
      </c>
      <c r="M37" s="133">
        <v>350</v>
      </c>
      <c r="N37" s="133">
        <v>200</v>
      </c>
      <c r="O37" s="136">
        <f t="shared" ref="O37:O40" si="13">ROUND(L37*M37*N37/1000000000,2)</f>
        <v>0.02</v>
      </c>
      <c r="P37" s="176">
        <f t="shared" si="12"/>
        <v>25</v>
      </c>
      <c r="Q37" s="176">
        <f t="shared" ref="Q37:Q40" si="14">P37+1</f>
        <v>26</v>
      </c>
      <c r="R37" s="135" t="s">
        <v>104</v>
      </c>
      <c r="S37" s="129"/>
      <c r="U37" s="172"/>
      <c r="V37" s="172"/>
      <c r="W37" s="172"/>
      <c r="X37" s="172"/>
      <c r="Y37" s="172"/>
      <c r="Z37" s="172"/>
      <c r="AA37" s="172"/>
      <c r="AH37" s="172"/>
      <c r="AI37" s="172"/>
      <c r="AJ37" s="172"/>
      <c r="AK37" s="172"/>
      <c r="AL37" s="172"/>
    </row>
    <row r="38" spans="2:38" s="169" customFormat="1" ht="57" customHeight="1">
      <c r="B38" s="124">
        <v>24</v>
      </c>
      <c r="C38" s="124" t="s">
        <v>191</v>
      </c>
      <c r="D38" s="137" t="s">
        <v>247</v>
      </c>
      <c r="E38" s="133" t="s">
        <v>160</v>
      </c>
      <c r="F38" s="124" t="s">
        <v>159</v>
      </c>
      <c r="G38" s="41" t="s">
        <v>172</v>
      </c>
      <c r="H38" s="38">
        <v>1</v>
      </c>
      <c r="I38" s="133" t="s">
        <v>37</v>
      </c>
      <c r="J38" s="174">
        <v>25</v>
      </c>
      <c r="K38" s="133" t="s">
        <v>102</v>
      </c>
      <c r="L38" s="133">
        <v>350</v>
      </c>
      <c r="M38" s="133">
        <v>350</v>
      </c>
      <c r="N38" s="133">
        <v>200</v>
      </c>
      <c r="O38" s="136">
        <f t="shared" si="13"/>
        <v>0.02</v>
      </c>
      <c r="P38" s="176">
        <f t="shared" si="12"/>
        <v>25</v>
      </c>
      <c r="Q38" s="176">
        <f t="shared" si="14"/>
        <v>26</v>
      </c>
      <c r="R38" s="135" t="s">
        <v>104</v>
      </c>
      <c r="S38" s="129"/>
      <c r="U38" s="172"/>
      <c r="V38" s="172"/>
      <c r="W38" s="172"/>
      <c r="X38" s="172"/>
      <c r="Y38" s="172"/>
      <c r="Z38" s="172"/>
      <c r="AA38" s="172"/>
      <c r="AH38" s="172"/>
      <c r="AI38" s="172"/>
      <c r="AJ38" s="172"/>
      <c r="AK38" s="172"/>
      <c r="AL38" s="172"/>
    </row>
    <row r="39" spans="2:38" s="169" customFormat="1" ht="57" customHeight="1">
      <c r="B39" s="124">
        <v>25</v>
      </c>
      <c r="C39" s="124" t="s">
        <v>192</v>
      </c>
      <c r="D39" s="137" t="s">
        <v>247</v>
      </c>
      <c r="E39" s="133" t="s">
        <v>160</v>
      </c>
      <c r="F39" s="124" t="s">
        <v>159</v>
      </c>
      <c r="G39" s="41" t="s">
        <v>172</v>
      </c>
      <c r="H39" s="38">
        <v>1</v>
      </c>
      <c r="I39" s="133" t="s">
        <v>37</v>
      </c>
      <c r="J39" s="174">
        <v>25</v>
      </c>
      <c r="K39" s="133" t="s">
        <v>102</v>
      </c>
      <c r="L39" s="133">
        <v>350</v>
      </c>
      <c r="M39" s="133">
        <v>350</v>
      </c>
      <c r="N39" s="133">
        <v>200</v>
      </c>
      <c r="O39" s="136">
        <f t="shared" si="13"/>
        <v>0.02</v>
      </c>
      <c r="P39" s="176">
        <f t="shared" si="12"/>
        <v>25</v>
      </c>
      <c r="Q39" s="176">
        <f t="shared" si="14"/>
        <v>26</v>
      </c>
      <c r="R39" s="135" t="s">
        <v>104</v>
      </c>
      <c r="S39" s="129"/>
      <c r="U39" s="172"/>
      <c r="V39" s="172"/>
      <c r="W39" s="172"/>
      <c r="X39" s="172"/>
      <c r="Y39" s="172"/>
      <c r="Z39" s="172"/>
      <c r="AA39" s="172"/>
      <c r="AH39" s="172"/>
      <c r="AI39" s="172"/>
      <c r="AJ39" s="172"/>
      <c r="AK39" s="172"/>
      <c r="AL39" s="172"/>
    </row>
    <row r="40" spans="2:38" s="169" customFormat="1" ht="57" customHeight="1">
      <c r="B40" s="124">
        <v>26</v>
      </c>
      <c r="C40" s="124" t="s">
        <v>193</v>
      </c>
      <c r="D40" s="137" t="s">
        <v>247</v>
      </c>
      <c r="E40" s="133" t="s">
        <v>160</v>
      </c>
      <c r="F40" s="124" t="s">
        <v>159</v>
      </c>
      <c r="G40" s="41" t="s">
        <v>172</v>
      </c>
      <c r="H40" s="38">
        <v>1</v>
      </c>
      <c r="I40" s="133" t="s">
        <v>37</v>
      </c>
      <c r="J40" s="174">
        <v>25</v>
      </c>
      <c r="K40" s="133" t="s">
        <v>102</v>
      </c>
      <c r="L40" s="133">
        <v>350</v>
      </c>
      <c r="M40" s="133">
        <v>350</v>
      </c>
      <c r="N40" s="133">
        <v>200</v>
      </c>
      <c r="O40" s="136">
        <f t="shared" si="13"/>
        <v>0.02</v>
      </c>
      <c r="P40" s="176">
        <f t="shared" si="12"/>
        <v>25</v>
      </c>
      <c r="Q40" s="176">
        <f t="shared" si="14"/>
        <v>26</v>
      </c>
      <c r="R40" s="135" t="s">
        <v>104</v>
      </c>
      <c r="S40" s="129"/>
      <c r="U40" s="172"/>
      <c r="V40" s="172"/>
      <c r="W40" s="172"/>
      <c r="X40" s="172"/>
      <c r="Y40" s="172"/>
      <c r="Z40" s="172"/>
      <c r="AA40" s="172"/>
      <c r="AH40" s="172"/>
      <c r="AI40" s="172"/>
      <c r="AJ40" s="172"/>
      <c r="AK40" s="172"/>
      <c r="AL40" s="172"/>
    </row>
    <row r="41" spans="2:38" s="169" customFormat="1" ht="57" customHeight="1">
      <c r="B41" s="124">
        <v>27</v>
      </c>
      <c r="C41" s="124" t="s">
        <v>194</v>
      </c>
      <c r="D41" s="137" t="s">
        <v>247</v>
      </c>
      <c r="E41" s="133" t="s">
        <v>160</v>
      </c>
      <c r="F41" s="124" t="s">
        <v>159</v>
      </c>
      <c r="G41" s="41" t="s">
        <v>172</v>
      </c>
      <c r="H41" s="38">
        <v>1</v>
      </c>
      <c r="I41" s="133" t="s">
        <v>37</v>
      </c>
      <c r="J41" s="174">
        <v>25</v>
      </c>
      <c r="K41" s="133" t="s">
        <v>102</v>
      </c>
      <c r="L41" s="133">
        <v>350</v>
      </c>
      <c r="M41" s="133">
        <v>350</v>
      </c>
      <c r="N41" s="133">
        <v>200</v>
      </c>
      <c r="O41" s="136">
        <f t="shared" ref="O41:O43" si="15">ROUND(L41*M41*N41/1000000000,2)</f>
        <v>0.02</v>
      </c>
      <c r="P41" s="176">
        <f t="shared" si="12"/>
        <v>25</v>
      </c>
      <c r="Q41" s="176">
        <f t="shared" ref="Q41:Q43" si="16">P41+1</f>
        <v>26</v>
      </c>
      <c r="R41" s="135" t="s">
        <v>104</v>
      </c>
      <c r="S41" s="129"/>
      <c r="U41" s="172"/>
      <c r="V41" s="172"/>
      <c r="W41" s="172"/>
      <c r="X41" s="172"/>
      <c r="Y41" s="172"/>
      <c r="Z41" s="172"/>
      <c r="AA41" s="172"/>
      <c r="AH41" s="172"/>
      <c r="AI41" s="172"/>
      <c r="AJ41" s="172"/>
      <c r="AK41" s="172"/>
      <c r="AL41" s="172"/>
    </row>
    <row r="42" spans="2:38" s="169" customFormat="1" ht="57" customHeight="1">
      <c r="B42" s="124">
        <v>28</v>
      </c>
      <c r="C42" s="124" t="s">
        <v>195</v>
      </c>
      <c r="D42" s="137" t="s">
        <v>247</v>
      </c>
      <c r="E42" s="133" t="s">
        <v>160</v>
      </c>
      <c r="F42" s="124" t="s">
        <v>159</v>
      </c>
      <c r="G42" s="41" t="s">
        <v>172</v>
      </c>
      <c r="H42" s="38">
        <v>1</v>
      </c>
      <c r="I42" s="133" t="s">
        <v>37</v>
      </c>
      <c r="J42" s="174">
        <v>25</v>
      </c>
      <c r="K42" s="133" t="s">
        <v>102</v>
      </c>
      <c r="L42" s="133">
        <v>350</v>
      </c>
      <c r="M42" s="133">
        <v>350</v>
      </c>
      <c r="N42" s="133">
        <v>200</v>
      </c>
      <c r="O42" s="136">
        <f t="shared" si="15"/>
        <v>0.02</v>
      </c>
      <c r="P42" s="176">
        <f t="shared" si="12"/>
        <v>25</v>
      </c>
      <c r="Q42" s="176">
        <f t="shared" si="16"/>
        <v>26</v>
      </c>
      <c r="R42" s="135" t="s">
        <v>104</v>
      </c>
      <c r="S42" s="129"/>
      <c r="U42" s="172"/>
      <c r="V42" s="172"/>
      <c r="W42" s="172"/>
      <c r="X42" s="172"/>
      <c r="Y42" s="172"/>
      <c r="Z42" s="172"/>
      <c r="AA42" s="172"/>
      <c r="AH42" s="172"/>
      <c r="AI42" s="172"/>
      <c r="AJ42" s="172"/>
      <c r="AK42" s="172"/>
      <c r="AL42" s="172"/>
    </row>
    <row r="43" spans="2:38" s="169" customFormat="1" ht="57" customHeight="1">
      <c r="B43" s="124">
        <v>29</v>
      </c>
      <c r="C43" s="124" t="s">
        <v>196</v>
      </c>
      <c r="D43" s="137" t="s">
        <v>247</v>
      </c>
      <c r="E43" s="133" t="s">
        <v>160</v>
      </c>
      <c r="F43" s="124" t="s">
        <v>159</v>
      </c>
      <c r="G43" s="41" t="s">
        <v>172</v>
      </c>
      <c r="H43" s="38">
        <v>1</v>
      </c>
      <c r="I43" s="133" t="s">
        <v>37</v>
      </c>
      <c r="J43" s="174">
        <v>25</v>
      </c>
      <c r="K43" s="133" t="s">
        <v>102</v>
      </c>
      <c r="L43" s="133">
        <v>350</v>
      </c>
      <c r="M43" s="133">
        <v>350</v>
      </c>
      <c r="N43" s="133">
        <v>200</v>
      </c>
      <c r="O43" s="136">
        <f t="shared" si="15"/>
        <v>0.02</v>
      </c>
      <c r="P43" s="176">
        <f t="shared" si="12"/>
        <v>25</v>
      </c>
      <c r="Q43" s="176">
        <f t="shared" si="16"/>
        <v>26</v>
      </c>
      <c r="R43" s="135" t="s">
        <v>104</v>
      </c>
      <c r="S43" s="129"/>
      <c r="U43" s="172"/>
      <c r="V43" s="172"/>
      <c r="W43" s="172"/>
      <c r="X43" s="172"/>
      <c r="Y43" s="172"/>
      <c r="Z43" s="172"/>
      <c r="AA43" s="172"/>
      <c r="AH43" s="172"/>
      <c r="AI43" s="172"/>
      <c r="AJ43" s="172"/>
      <c r="AK43" s="172"/>
      <c r="AL43" s="172"/>
    </row>
    <row r="44" spans="2:38" s="169" customFormat="1" ht="57" customHeight="1">
      <c r="B44" s="124">
        <v>30</v>
      </c>
      <c r="C44" s="124" t="s">
        <v>197</v>
      </c>
      <c r="D44" s="137" t="s">
        <v>247</v>
      </c>
      <c r="E44" s="133" t="s">
        <v>160</v>
      </c>
      <c r="F44" s="124" t="s">
        <v>159</v>
      </c>
      <c r="G44" s="41" t="s">
        <v>172</v>
      </c>
      <c r="H44" s="38">
        <v>1</v>
      </c>
      <c r="I44" s="133" t="s">
        <v>37</v>
      </c>
      <c r="J44" s="174">
        <v>25</v>
      </c>
      <c r="K44" s="133" t="s">
        <v>102</v>
      </c>
      <c r="L44" s="133">
        <v>350</v>
      </c>
      <c r="M44" s="133">
        <v>350</v>
      </c>
      <c r="N44" s="133">
        <v>200</v>
      </c>
      <c r="O44" s="136">
        <f t="shared" ref="O44:O64" si="17">ROUND(L44*M44*N44/1000000000,2)</f>
        <v>0.02</v>
      </c>
      <c r="P44" s="176">
        <f t="shared" si="12"/>
        <v>25</v>
      </c>
      <c r="Q44" s="176">
        <f t="shared" ref="Q44:Q64" si="18">P44+1</f>
        <v>26</v>
      </c>
      <c r="R44" s="135" t="s">
        <v>104</v>
      </c>
      <c r="S44" s="129"/>
      <c r="U44" s="172"/>
      <c r="V44" s="172"/>
      <c r="W44" s="172"/>
      <c r="X44" s="172"/>
      <c r="Y44" s="172"/>
      <c r="Z44" s="172"/>
      <c r="AA44" s="172"/>
      <c r="AH44" s="172"/>
      <c r="AI44" s="172"/>
      <c r="AJ44" s="172"/>
      <c r="AK44" s="172"/>
      <c r="AL44" s="172"/>
    </row>
    <row r="45" spans="2:38" s="169" customFormat="1" ht="57" customHeight="1">
      <c r="B45" s="124">
        <v>31</v>
      </c>
      <c r="C45" s="124" t="s">
        <v>198</v>
      </c>
      <c r="D45" s="137" t="s">
        <v>247</v>
      </c>
      <c r="E45" s="133" t="s">
        <v>160</v>
      </c>
      <c r="F45" s="124" t="s">
        <v>159</v>
      </c>
      <c r="G45" s="41" t="s">
        <v>172</v>
      </c>
      <c r="H45" s="38">
        <v>1</v>
      </c>
      <c r="I45" s="133" t="s">
        <v>37</v>
      </c>
      <c r="J45" s="174">
        <v>25</v>
      </c>
      <c r="K45" s="133" t="s">
        <v>102</v>
      </c>
      <c r="L45" s="133">
        <v>350</v>
      </c>
      <c r="M45" s="133">
        <v>350</v>
      </c>
      <c r="N45" s="133">
        <v>200</v>
      </c>
      <c r="O45" s="136">
        <f t="shared" si="17"/>
        <v>0.02</v>
      </c>
      <c r="P45" s="176">
        <f t="shared" si="12"/>
        <v>25</v>
      </c>
      <c r="Q45" s="176">
        <f t="shared" si="18"/>
        <v>26</v>
      </c>
      <c r="R45" s="135" t="s">
        <v>104</v>
      </c>
      <c r="S45" s="129"/>
      <c r="U45" s="172"/>
      <c r="V45" s="172"/>
      <c r="W45" s="172"/>
      <c r="X45" s="172"/>
      <c r="Y45" s="172"/>
      <c r="Z45" s="172"/>
      <c r="AA45" s="172"/>
      <c r="AH45" s="172"/>
      <c r="AI45" s="172"/>
      <c r="AJ45" s="172"/>
      <c r="AK45" s="172"/>
      <c r="AL45" s="172"/>
    </row>
    <row r="46" spans="2:38" s="169" customFormat="1" ht="57" customHeight="1">
      <c r="B46" s="124">
        <v>32</v>
      </c>
      <c r="C46" s="124" t="s">
        <v>199</v>
      </c>
      <c r="D46" s="137" t="s">
        <v>247</v>
      </c>
      <c r="E46" s="133" t="s">
        <v>160</v>
      </c>
      <c r="F46" s="124" t="s">
        <v>159</v>
      </c>
      <c r="G46" s="41" t="s">
        <v>172</v>
      </c>
      <c r="H46" s="38">
        <v>1</v>
      </c>
      <c r="I46" s="133" t="s">
        <v>37</v>
      </c>
      <c r="J46" s="174">
        <v>25</v>
      </c>
      <c r="K46" s="133" t="s">
        <v>102</v>
      </c>
      <c r="L46" s="133">
        <v>350</v>
      </c>
      <c r="M46" s="133">
        <v>350</v>
      </c>
      <c r="N46" s="133">
        <v>200</v>
      </c>
      <c r="O46" s="136">
        <f t="shared" si="17"/>
        <v>0.02</v>
      </c>
      <c r="P46" s="176">
        <f t="shared" si="12"/>
        <v>25</v>
      </c>
      <c r="Q46" s="176">
        <f t="shared" si="18"/>
        <v>26</v>
      </c>
      <c r="R46" s="135" t="s">
        <v>104</v>
      </c>
      <c r="S46" s="129"/>
      <c r="U46" s="172"/>
      <c r="V46" s="172"/>
      <c r="W46" s="172"/>
      <c r="X46" s="172"/>
      <c r="Y46" s="172"/>
      <c r="Z46" s="172"/>
      <c r="AA46" s="172"/>
      <c r="AH46" s="172"/>
      <c r="AI46" s="172"/>
      <c r="AJ46" s="172"/>
      <c r="AK46" s="172"/>
      <c r="AL46" s="172"/>
    </row>
    <row r="47" spans="2:38" s="169" customFormat="1" ht="57" customHeight="1">
      <c r="B47" s="124">
        <v>33</v>
      </c>
      <c r="C47" s="124" t="s">
        <v>200</v>
      </c>
      <c r="D47" s="137" t="s">
        <v>247</v>
      </c>
      <c r="E47" s="133" t="s">
        <v>160</v>
      </c>
      <c r="F47" s="124" t="s">
        <v>159</v>
      </c>
      <c r="G47" s="41" t="s">
        <v>172</v>
      </c>
      <c r="H47" s="38">
        <v>1</v>
      </c>
      <c r="I47" s="133" t="s">
        <v>37</v>
      </c>
      <c r="J47" s="174">
        <v>25</v>
      </c>
      <c r="K47" s="133" t="s">
        <v>102</v>
      </c>
      <c r="L47" s="133">
        <v>350</v>
      </c>
      <c r="M47" s="133">
        <v>350</v>
      </c>
      <c r="N47" s="133">
        <v>200</v>
      </c>
      <c r="O47" s="136">
        <f t="shared" si="17"/>
        <v>0.02</v>
      </c>
      <c r="P47" s="176">
        <f t="shared" si="12"/>
        <v>25</v>
      </c>
      <c r="Q47" s="176">
        <f t="shared" si="18"/>
        <v>26</v>
      </c>
      <c r="R47" s="135" t="s">
        <v>104</v>
      </c>
      <c r="S47" s="129"/>
      <c r="U47" s="172"/>
      <c r="V47" s="172"/>
      <c r="W47" s="172"/>
      <c r="X47" s="172"/>
      <c r="Y47" s="172"/>
      <c r="Z47" s="172"/>
      <c r="AA47" s="172"/>
      <c r="AH47" s="172"/>
      <c r="AI47" s="172"/>
      <c r="AJ47" s="172"/>
      <c r="AK47" s="172"/>
      <c r="AL47" s="172"/>
    </row>
    <row r="48" spans="2:38" s="169" customFormat="1" ht="57" customHeight="1">
      <c r="B48" s="124">
        <v>34</v>
      </c>
      <c r="C48" s="124" t="s">
        <v>201</v>
      </c>
      <c r="D48" s="137" t="s">
        <v>247</v>
      </c>
      <c r="E48" s="133" t="s">
        <v>160</v>
      </c>
      <c r="F48" s="124" t="s">
        <v>159</v>
      </c>
      <c r="G48" s="41" t="s">
        <v>172</v>
      </c>
      <c r="H48" s="38">
        <v>1</v>
      </c>
      <c r="I48" s="133" t="s">
        <v>37</v>
      </c>
      <c r="J48" s="174">
        <v>25</v>
      </c>
      <c r="K48" s="133" t="s">
        <v>102</v>
      </c>
      <c r="L48" s="133">
        <v>350</v>
      </c>
      <c r="M48" s="133">
        <v>350</v>
      </c>
      <c r="N48" s="133">
        <v>200</v>
      </c>
      <c r="O48" s="136">
        <f t="shared" si="17"/>
        <v>0.02</v>
      </c>
      <c r="P48" s="176">
        <f t="shared" si="12"/>
        <v>25</v>
      </c>
      <c r="Q48" s="176">
        <f t="shared" si="18"/>
        <v>26</v>
      </c>
      <c r="R48" s="135" t="s">
        <v>104</v>
      </c>
      <c r="S48" s="129"/>
      <c r="U48" s="172"/>
      <c r="V48" s="172"/>
      <c r="W48" s="172"/>
      <c r="X48" s="172"/>
      <c r="Y48" s="172"/>
      <c r="Z48" s="172"/>
      <c r="AA48" s="172"/>
      <c r="AH48" s="172"/>
      <c r="AI48" s="172"/>
      <c r="AJ48" s="172"/>
      <c r="AK48" s="172"/>
      <c r="AL48" s="172"/>
    </row>
    <row r="49" spans="2:38" s="169" customFormat="1" ht="57" customHeight="1">
      <c r="B49" s="124">
        <v>35</v>
      </c>
      <c r="C49" s="124" t="s">
        <v>202</v>
      </c>
      <c r="D49" s="137" t="s">
        <v>247</v>
      </c>
      <c r="E49" s="133" t="s">
        <v>160</v>
      </c>
      <c r="F49" s="124" t="s">
        <v>159</v>
      </c>
      <c r="G49" s="41" t="s">
        <v>172</v>
      </c>
      <c r="H49" s="38">
        <v>1</v>
      </c>
      <c r="I49" s="133" t="s">
        <v>37</v>
      </c>
      <c r="J49" s="174">
        <v>25</v>
      </c>
      <c r="K49" s="133" t="s">
        <v>102</v>
      </c>
      <c r="L49" s="133">
        <v>350</v>
      </c>
      <c r="M49" s="133">
        <v>350</v>
      </c>
      <c r="N49" s="133">
        <v>200</v>
      </c>
      <c r="O49" s="136">
        <f t="shared" si="17"/>
        <v>0.02</v>
      </c>
      <c r="P49" s="176">
        <f t="shared" si="12"/>
        <v>25</v>
      </c>
      <c r="Q49" s="176">
        <f t="shared" si="18"/>
        <v>26</v>
      </c>
      <c r="R49" s="135" t="s">
        <v>104</v>
      </c>
      <c r="S49" s="129"/>
      <c r="U49" s="172"/>
      <c r="V49" s="172"/>
      <c r="W49" s="172"/>
      <c r="X49" s="172"/>
      <c r="Y49" s="172"/>
      <c r="Z49" s="172"/>
      <c r="AA49" s="172"/>
      <c r="AH49" s="172"/>
      <c r="AI49" s="172"/>
      <c r="AJ49" s="172"/>
      <c r="AK49" s="172"/>
      <c r="AL49" s="172"/>
    </row>
    <row r="50" spans="2:38" s="169" customFormat="1" ht="57" customHeight="1">
      <c r="B50" s="124">
        <v>36</v>
      </c>
      <c r="C50" s="124" t="s">
        <v>203</v>
      </c>
      <c r="D50" s="137" t="s">
        <v>247</v>
      </c>
      <c r="E50" s="133" t="s">
        <v>160</v>
      </c>
      <c r="F50" s="124" t="s">
        <v>159</v>
      </c>
      <c r="G50" s="41" t="s">
        <v>172</v>
      </c>
      <c r="H50" s="38">
        <v>1</v>
      </c>
      <c r="I50" s="133" t="s">
        <v>37</v>
      </c>
      <c r="J50" s="174">
        <v>25</v>
      </c>
      <c r="K50" s="133" t="s">
        <v>102</v>
      </c>
      <c r="L50" s="133">
        <v>350</v>
      </c>
      <c r="M50" s="133">
        <v>350</v>
      </c>
      <c r="N50" s="133">
        <v>200</v>
      </c>
      <c r="O50" s="136">
        <f t="shared" si="17"/>
        <v>0.02</v>
      </c>
      <c r="P50" s="176">
        <f t="shared" si="12"/>
        <v>25</v>
      </c>
      <c r="Q50" s="176">
        <f t="shared" si="18"/>
        <v>26</v>
      </c>
      <c r="R50" s="135" t="s">
        <v>104</v>
      </c>
      <c r="S50" s="129"/>
      <c r="U50" s="172"/>
      <c r="V50" s="172"/>
      <c r="W50" s="172"/>
      <c r="X50" s="172"/>
      <c r="Y50" s="172"/>
      <c r="Z50" s="172"/>
      <c r="AA50" s="172"/>
      <c r="AH50" s="172"/>
      <c r="AI50" s="172"/>
      <c r="AJ50" s="172"/>
      <c r="AK50" s="172"/>
      <c r="AL50" s="172"/>
    </row>
    <row r="51" spans="2:38" s="169" customFormat="1" ht="57" customHeight="1">
      <c r="B51" s="124">
        <v>37</v>
      </c>
      <c r="C51" s="124" t="s">
        <v>204</v>
      </c>
      <c r="D51" s="137" t="s">
        <v>247</v>
      </c>
      <c r="E51" s="133" t="s">
        <v>160</v>
      </c>
      <c r="F51" s="124" t="s">
        <v>159</v>
      </c>
      <c r="G51" s="41" t="s">
        <v>172</v>
      </c>
      <c r="H51" s="38">
        <v>1</v>
      </c>
      <c r="I51" s="133" t="s">
        <v>37</v>
      </c>
      <c r="J51" s="174">
        <v>25</v>
      </c>
      <c r="K51" s="133" t="s">
        <v>102</v>
      </c>
      <c r="L51" s="133">
        <v>350</v>
      </c>
      <c r="M51" s="133">
        <v>350</v>
      </c>
      <c r="N51" s="133">
        <v>200</v>
      </c>
      <c r="O51" s="136">
        <f t="shared" si="17"/>
        <v>0.02</v>
      </c>
      <c r="P51" s="176">
        <f t="shared" si="12"/>
        <v>25</v>
      </c>
      <c r="Q51" s="176">
        <f t="shared" si="18"/>
        <v>26</v>
      </c>
      <c r="R51" s="135" t="s">
        <v>104</v>
      </c>
      <c r="S51" s="129"/>
      <c r="U51" s="172"/>
      <c r="V51" s="172"/>
      <c r="W51" s="172"/>
      <c r="X51" s="172"/>
      <c r="Y51" s="172"/>
      <c r="Z51" s="172"/>
      <c r="AA51" s="172"/>
      <c r="AH51" s="172"/>
      <c r="AI51" s="172"/>
      <c r="AJ51" s="172"/>
      <c r="AK51" s="172"/>
      <c r="AL51" s="172"/>
    </row>
    <row r="52" spans="2:38" s="169" customFormat="1" ht="57" customHeight="1">
      <c r="B52" s="124">
        <v>38</v>
      </c>
      <c r="C52" s="124" t="s">
        <v>205</v>
      </c>
      <c r="D52" s="137" t="s">
        <v>247</v>
      </c>
      <c r="E52" s="133" t="s">
        <v>160</v>
      </c>
      <c r="F52" s="124" t="s">
        <v>159</v>
      </c>
      <c r="G52" s="41" t="s">
        <v>172</v>
      </c>
      <c r="H52" s="38">
        <v>1</v>
      </c>
      <c r="I52" s="133" t="s">
        <v>37</v>
      </c>
      <c r="J52" s="174">
        <v>25</v>
      </c>
      <c r="K52" s="133" t="s">
        <v>102</v>
      </c>
      <c r="L52" s="133">
        <v>350</v>
      </c>
      <c r="M52" s="133">
        <v>350</v>
      </c>
      <c r="N52" s="133">
        <v>200</v>
      </c>
      <c r="O52" s="136">
        <f t="shared" si="17"/>
        <v>0.02</v>
      </c>
      <c r="P52" s="176">
        <f t="shared" si="12"/>
        <v>25</v>
      </c>
      <c r="Q52" s="176">
        <f t="shared" si="18"/>
        <v>26</v>
      </c>
      <c r="R52" s="135" t="s">
        <v>104</v>
      </c>
      <c r="S52" s="129"/>
      <c r="U52" s="172"/>
      <c r="V52" s="172"/>
      <c r="W52" s="172"/>
      <c r="X52" s="172"/>
      <c r="Y52" s="172"/>
      <c r="Z52" s="172"/>
      <c r="AA52" s="172"/>
      <c r="AH52" s="172"/>
      <c r="AI52" s="172"/>
      <c r="AJ52" s="172"/>
      <c r="AK52" s="172"/>
      <c r="AL52" s="172"/>
    </row>
    <row r="53" spans="2:38" s="169" customFormat="1" ht="57" customHeight="1">
      <c r="B53" s="124">
        <v>39</v>
      </c>
      <c r="C53" s="124" t="s">
        <v>206</v>
      </c>
      <c r="D53" s="137" t="s">
        <v>247</v>
      </c>
      <c r="E53" s="133" t="s">
        <v>160</v>
      </c>
      <c r="F53" s="124" t="s">
        <v>159</v>
      </c>
      <c r="G53" s="41" t="s">
        <v>172</v>
      </c>
      <c r="H53" s="38">
        <v>1</v>
      </c>
      <c r="I53" s="133" t="s">
        <v>37</v>
      </c>
      <c r="J53" s="174">
        <v>25</v>
      </c>
      <c r="K53" s="133" t="s">
        <v>102</v>
      </c>
      <c r="L53" s="133">
        <v>350</v>
      </c>
      <c r="M53" s="133">
        <v>350</v>
      </c>
      <c r="N53" s="133">
        <v>200</v>
      </c>
      <c r="O53" s="136">
        <f t="shared" si="17"/>
        <v>0.02</v>
      </c>
      <c r="P53" s="176">
        <f t="shared" si="12"/>
        <v>25</v>
      </c>
      <c r="Q53" s="176">
        <f t="shared" si="18"/>
        <v>26</v>
      </c>
      <c r="R53" s="135" t="s">
        <v>104</v>
      </c>
      <c r="S53" s="129"/>
      <c r="U53" s="172"/>
      <c r="V53" s="172"/>
      <c r="W53" s="172"/>
      <c r="X53" s="172"/>
      <c r="Y53" s="172"/>
      <c r="Z53" s="172"/>
      <c r="AA53" s="172"/>
      <c r="AH53" s="172"/>
      <c r="AI53" s="172"/>
      <c r="AJ53" s="172"/>
      <c r="AK53" s="172"/>
      <c r="AL53" s="172"/>
    </row>
    <row r="54" spans="2:38" s="169" customFormat="1" ht="57" customHeight="1">
      <c r="B54" s="124">
        <v>40</v>
      </c>
      <c r="C54" s="124" t="s">
        <v>207</v>
      </c>
      <c r="D54" s="137" t="s">
        <v>247</v>
      </c>
      <c r="E54" s="133" t="s">
        <v>160</v>
      </c>
      <c r="F54" s="124" t="s">
        <v>159</v>
      </c>
      <c r="G54" s="41" t="s">
        <v>172</v>
      </c>
      <c r="H54" s="38">
        <v>1</v>
      </c>
      <c r="I54" s="133" t="s">
        <v>37</v>
      </c>
      <c r="J54" s="174">
        <v>25</v>
      </c>
      <c r="K54" s="133" t="s">
        <v>102</v>
      </c>
      <c r="L54" s="133">
        <v>350</v>
      </c>
      <c r="M54" s="133">
        <v>350</v>
      </c>
      <c r="N54" s="133">
        <v>200</v>
      </c>
      <c r="O54" s="136">
        <f t="shared" si="17"/>
        <v>0.02</v>
      </c>
      <c r="P54" s="176">
        <f t="shared" si="12"/>
        <v>25</v>
      </c>
      <c r="Q54" s="176">
        <f t="shared" si="18"/>
        <v>26</v>
      </c>
      <c r="R54" s="135" t="s">
        <v>104</v>
      </c>
      <c r="S54" s="129"/>
      <c r="U54" s="172"/>
      <c r="V54" s="172"/>
      <c r="W54" s="172"/>
      <c r="X54" s="172"/>
      <c r="Y54" s="172"/>
      <c r="Z54" s="172"/>
      <c r="AA54" s="172"/>
      <c r="AH54" s="172"/>
      <c r="AI54" s="172"/>
      <c r="AJ54" s="172"/>
      <c r="AK54" s="172"/>
      <c r="AL54" s="172"/>
    </row>
    <row r="55" spans="2:38" s="169" customFormat="1" ht="57" customHeight="1">
      <c r="B55" s="124">
        <v>41</v>
      </c>
      <c r="C55" s="124" t="s">
        <v>208</v>
      </c>
      <c r="D55" s="137" t="s">
        <v>247</v>
      </c>
      <c r="E55" s="133" t="s">
        <v>160</v>
      </c>
      <c r="F55" s="124" t="s">
        <v>159</v>
      </c>
      <c r="G55" s="41" t="s">
        <v>172</v>
      </c>
      <c r="H55" s="38">
        <v>1</v>
      </c>
      <c r="I55" s="133" t="s">
        <v>37</v>
      </c>
      <c r="J55" s="174">
        <v>25</v>
      </c>
      <c r="K55" s="133" t="s">
        <v>102</v>
      </c>
      <c r="L55" s="133">
        <v>350</v>
      </c>
      <c r="M55" s="133">
        <v>350</v>
      </c>
      <c r="N55" s="133">
        <v>200</v>
      </c>
      <c r="O55" s="136">
        <f t="shared" si="17"/>
        <v>0.02</v>
      </c>
      <c r="P55" s="176">
        <f t="shared" si="12"/>
        <v>25</v>
      </c>
      <c r="Q55" s="176">
        <f t="shared" si="18"/>
        <v>26</v>
      </c>
      <c r="R55" s="135" t="s">
        <v>104</v>
      </c>
      <c r="S55" s="129"/>
      <c r="U55" s="172"/>
      <c r="V55" s="172"/>
      <c r="W55" s="172"/>
      <c r="X55" s="172"/>
      <c r="Y55" s="172"/>
      <c r="Z55" s="172"/>
      <c r="AA55" s="172"/>
      <c r="AH55" s="172"/>
      <c r="AI55" s="172"/>
      <c r="AJ55" s="172"/>
      <c r="AK55" s="172"/>
      <c r="AL55" s="172"/>
    </row>
    <row r="56" spans="2:38" s="169" customFormat="1" ht="57" customHeight="1">
      <c r="B56" s="124">
        <v>42</v>
      </c>
      <c r="C56" s="124" t="s">
        <v>209</v>
      </c>
      <c r="D56" s="137" t="s">
        <v>247</v>
      </c>
      <c r="E56" s="133" t="s">
        <v>160</v>
      </c>
      <c r="F56" s="124" t="s">
        <v>159</v>
      </c>
      <c r="G56" s="41" t="s">
        <v>172</v>
      </c>
      <c r="H56" s="38">
        <v>1</v>
      </c>
      <c r="I56" s="133" t="s">
        <v>37</v>
      </c>
      <c r="J56" s="174">
        <v>25</v>
      </c>
      <c r="K56" s="133" t="s">
        <v>102</v>
      </c>
      <c r="L56" s="133">
        <v>350</v>
      </c>
      <c r="M56" s="133">
        <v>350</v>
      </c>
      <c r="N56" s="133">
        <v>200</v>
      </c>
      <c r="O56" s="136">
        <f t="shared" si="17"/>
        <v>0.02</v>
      </c>
      <c r="P56" s="176">
        <f t="shared" si="12"/>
        <v>25</v>
      </c>
      <c r="Q56" s="176">
        <f t="shared" si="18"/>
        <v>26</v>
      </c>
      <c r="R56" s="135" t="s">
        <v>104</v>
      </c>
      <c r="S56" s="129"/>
      <c r="U56" s="172"/>
      <c r="V56" s="172"/>
      <c r="W56" s="172"/>
      <c r="X56" s="172"/>
      <c r="Y56" s="172"/>
      <c r="Z56" s="172"/>
      <c r="AA56" s="172"/>
      <c r="AH56" s="172"/>
      <c r="AI56" s="172"/>
      <c r="AJ56" s="172"/>
      <c r="AK56" s="172"/>
      <c r="AL56" s="172"/>
    </row>
    <row r="57" spans="2:38" s="169" customFormat="1" ht="57" customHeight="1">
      <c r="B57" s="124">
        <v>43</v>
      </c>
      <c r="C57" s="124" t="s">
        <v>210</v>
      </c>
      <c r="D57" s="137" t="s">
        <v>247</v>
      </c>
      <c r="E57" s="133" t="s">
        <v>160</v>
      </c>
      <c r="F57" s="124" t="s">
        <v>159</v>
      </c>
      <c r="G57" s="41" t="s">
        <v>172</v>
      </c>
      <c r="H57" s="38">
        <v>1</v>
      </c>
      <c r="I57" s="133" t="s">
        <v>37</v>
      </c>
      <c r="J57" s="174">
        <v>25</v>
      </c>
      <c r="K57" s="133" t="s">
        <v>102</v>
      </c>
      <c r="L57" s="133">
        <v>350</v>
      </c>
      <c r="M57" s="133">
        <v>350</v>
      </c>
      <c r="N57" s="133">
        <v>200</v>
      </c>
      <c r="O57" s="136">
        <f t="shared" si="17"/>
        <v>0.02</v>
      </c>
      <c r="P57" s="176">
        <f t="shared" si="12"/>
        <v>25</v>
      </c>
      <c r="Q57" s="176">
        <f t="shared" si="18"/>
        <v>26</v>
      </c>
      <c r="R57" s="135" t="s">
        <v>104</v>
      </c>
      <c r="S57" s="129"/>
      <c r="U57" s="172"/>
      <c r="V57" s="172"/>
      <c r="W57" s="172"/>
      <c r="X57" s="172"/>
      <c r="Y57" s="172"/>
      <c r="Z57" s="172"/>
      <c r="AA57" s="172"/>
      <c r="AH57" s="172"/>
      <c r="AI57" s="172"/>
      <c r="AJ57" s="172"/>
      <c r="AK57" s="172"/>
      <c r="AL57" s="172"/>
    </row>
    <row r="58" spans="2:38" s="169" customFormat="1" ht="57" customHeight="1">
      <c r="B58" s="124">
        <v>44</v>
      </c>
      <c r="C58" s="124" t="s">
        <v>211</v>
      </c>
      <c r="D58" s="137" t="s">
        <v>247</v>
      </c>
      <c r="E58" s="133" t="s">
        <v>160</v>
      </c>
      <c r="F58" s="124" t="s">
        <v>159</v>
      </c>
      <c r="G58" s="41" t="s">
        <v>172</v>
      </c>
      <c r="H58" s="38">
        <v>1</v>
      </c>
      <c r="I58" s="133" t="s">
        <v>37</v>
      </c>
      <c r="J58" s="174">
        <v>25</v>
      </c>
      <c r="K58" s="133" t="s">
        <v>102</v>
      </c>
      <c r="L58" s="133">
        <v>350</v>
      </c>
      <c r="M58" s="133">
        <v>350</v>
      </c>
      <c r="N58" s="133">
        <v>200</v>
      </c>
      <c r="O58" s="136">
        <f t="shared" si="17"/>
        <v>0.02</v>
      </c>
      <c r="P58" s="176">
        <f t="shared" si="12"/>
        <v>25</v>
      </c>
      <c r="Q58" s="176">
        <f t="shared" si="18"/>
        <v>26</v>
      </c>
      <c r="R58" s="135" t="s">
        <v>104</v>
      </c>
      <c r="S58" s="129"/>
      <c r="U58" s="172"/>
      <c r="V58" s="172"/>
      <c r="W58" s="172"/>
      <c r="X58" s="172"/>
      <c r="Y58" s="172"/>
      <c r="Z58" s="172"/>
      <c r="AA58" s="172"/>
      <c r="AH58" s="172"/>
      <c r="AI58" s="172"/>
      <c r="AJ58" s="172"/>
      <c r="AK58" s="172"/>
      <c r="AL58" s="172"/>
    </row>
    <row r="59" spans="2:38" s="169" customFormat="1" ht="57" customHeight="1">
      <c r="B59" s="124">
        <v>45</v>
      </c>
      <c r="C59" s="124" t="s">
        <v>212</v>
      </c>
      <c r="D59" s="137" t="s">
        <v>247</v>
      </c>
      <c r="E59" s="133" t="s">
        <v>160</v>
      </c>
      <c r="F59" s="124" t="s">
        <v>159</v>
      </c>
      <c r="G59" s="41" t="s">
        <v>172</v>
      </c>
      <c r="H59" s="38">
        <v>1</v>
      </c>
      <c r="I59" s="133" t="s">
        <v>37</v>
      </c>
      <c r="J59" s="174">
        <v>25</v>
      </c>
      <c r="K59" s="133" t="s">
        <v>102</v>
      </c>
      <c r="L59" s="133">
        <v>350</v>
      </c>
      <c r="M59" s="133">
        <v>350</v>
      </c>
      <c r="N59" s="133">
        <v>200</v>
      </c>
      <c r="O59" s="136">
        <f t="shared" si="17"/>
        <v>0.02</v>
      </c>
      <c r="P59" s="176">
        <f t="shared" si="12"/>
        <v>25</v>
      </c>
      <c r="Q59" s="176">
        <f t="shared" si="18"/>
        <v>26</v>
      </c>
      <c r="R59" s="135" t="s">
        <v>104</v>
      </c>
      <c r="S59" s="129"/>
      <c r="U59" s="172"/>
      <c r="V59" s="172"/>
      <c r="W59" s="172"/>
      <c r="X59" s="172"/>
      <c r="Y59" s="172"/>
      <c r="Z59" s="172"/>
      <c r="AA59" s="172"/>
      <c r="AH59" s="172"/>
      <c r="AI59" s="172"/>
      <c r="AJ59" s="172"/>
      <c r="AK59" s="172"/>
      <c r="AL59" s="172"/>
    </row>
    <row r="60" spans="2:38" s="169" customFormat="1" ht="57" customHeight="1">
      <c r="B60" s="124">
        <v>46</v>
      </c>
      <c r="C60" s="124" t="s">
        <v>213</v>
      </c>
      <c r="D60" s="137" t="s">
        <v>247</v>
      </c>
      <c r="E60" s="133" t="s">
        <v>160</v>
      </c>
      <c r="F60" s="124" t="s">
        <v>159</v>
      </c>
      <c r="G60" s="41" t="s">
        <v>172</v>
      </c>
      <c r="H60" s="38">
        <v>1</v>
      </c>
      <c r="I60" s="133" t="s">
        <v>37</v>
      </c>
      <c r="J60" s="174">
        <v>25</v>
      </c>
      <c r="K60" s="133" t="s">
        <v>102</v>
      </c>
      <c r="L60" s="133">
        <v>350</v>
      </c>
      <c r="M60" s="133">
        <v>350</v>
      </c>
      <c r="N60" s="133">
        <v>200</v>
      </c>
      <c r="O60" s="136">
        <f t="shared" si="17"/>
        <v>0.02</v>
      </c>
      <c r="P60" s="176">
        <f t="shared" si="12"/>
        <v>25</v>
      </c>
      <c r="Q60" s="176">
        <f t="shared" si="18"/>
        <v>26</v>
      </c>
      <c r="R60" s="135" t="s">
        <v>104</v>
      </c>
      <c r="S60" s="129"/>
      <c r="U60" s="172"/>
      <c r="V60" s="172"/>
      <c r="W60" s="172"/>
      <c r="X60" s="172"/>
      <c r="Y60" s="172"/>
      <c r="Z60" s="172"/>
      <c r="AA60" s="172"/>
      <c r="AH60" s="172"/>
      <c r="AI60" s="172"/>
      <c r="AJ60" s="172"/>
      <c r="AK60" s="172"/>
      <c r="AL60" s="172"/>
    </row>
    <row r="61" spans="2:38" s="169" customFormat="1" ht="57" customHeight="1">
      <c r="B61" s="124">
        <v>47</v>
      </c>
      <c r="C61" s="124" t="s">
        <v>214</v>
      </c>
      <c r="D61" s="137" t="s">
        <v>247</v>
      </c>
      <c r="E61" s="133" t="s">
        <v>160</v>
      </c>
      <c r="F61" s="124" t="s">
        <v>159</v>
      </c>
      <c r="G61" s="41" t="s">
        <v>172</v>
      </c>
      <c r="H61" s="38">
        <v>1</v>
      </c>
      <c r="I61" s="133" t="s">
        <v>37</v>
      </c>
      <c r="J61" s="174">
        <v>25</v>
      </c>
      <c r="K61" s="133" t="s">
        <v>102</v>
      </c>
      <c r="L61" s="133">
        <v>350</v>
      </c>
      <c r="M61" s="133">
        <v>350</v>
      </c>
      <c r="N61" s="133">
        <v>200</v>
      </c>
      <c r="O61" s="136">
        <f t="shared" si="17"/>
        <v>0.02</v>
      </c>
      <c r="P61" s="176">
        <f t="shared" si="12"/>
        <v>25</v>
      </c>
      <c r="Q61" s="176">
        <f t="shared" si="18"/>
        <v>26</v>
      </c>
      <c r="R61" s="135" t="s">
        <v>104</v>
      </c>
      <c r="S61" s="129"/>
      <c r="U61" s="172"/>
      <c r="V61" s="172"/>
      <c r="W61" s="172"/>
      <c r="X61" s="172"/>
      <c r="Y61" s="172"/>
      <c r="Z61" s="172"/>
      <c r="AA61" s="172"/>
      <c r="AH61" s="172"/>
      <c r="AI61" s="172"/>
      <c r="AJ61" s="172"/>
      <c r="AK61" s="172"/>
      <c r="AL61" s="172"/>
    </row>
    <row r="62" spans="2:38" s="169" customFormat="1" ht="57" customHeight="1">
      <c r="B62" s="124">
        <v>48</v>
      </c>
      <c r="C62" s="124" t="s">
        <v>215</v>
      </c>
      <c r="D62" s="137" t="s">
        <v>247</v>
      </c>
      <c r="E62" s="133" t="s">
        <v>160</v>
      </c>
      <c r="F62" s="124" t="s">
        <v>159</v>
      </c>
      <c r="G62" s="41" t="s">
        <v>172</v>
      </c>
      <c r="H62" s="38">
        <v>1</v>
      </c>
      <c r="I62" s="133" t="s">
        <v>37</v>
      </c>
      <c r="J62" s="174">
        <v>25</v>
      </c>
      <c r="K62" s="133" t="s">
        <v>102</v>
      </c>
      <c r="L62" s="133">
        <v>350</v>
      </c>
      <c r="M62" s="133">
        <v>350</v>
      </c>
      <c r="N62" s="133">
        <v>200</v>
      </c>
      <c r="O62" s="136">
        <f t="shared" si="17"/>
        <v>0.02</v>
      </c>
      <c r="P62" s="176">
        <f t="shared" si="12"/>
        <v>25</v>
      </c>
      <c r="Q62" s="176">
        <f t="shared" si="18"/>
        <v>26</v>
      </c>
      <c r="R62" s="135" t="s">
        <v>104</v>
      </c>
      <c r="S62" s="129"/>
      <c r="U62" s="172"/>
      <c r="V62" s="172"/>
      <c r="W62" s="172"/>
      <c r="X62" s="172"/>
      <c r="Y62" s="172"/>
      <c r="Z62" s="172"/>
      <c r="AA62" s="172"/>
      <c r="AH62" s="172"/>
      <c r="AI62" s="172"/>
      <c r="AJ62" s="172"/>
      <c r="AK62" s="172"/>
      <c r="AL62" s="172"/>
    </row>
    <row r="63" spans="2:38" s="169" customFormat="1" ht="57" customHeight="1">
      <c r="B63" s="124">
        <v>49</v>
      </c>
      <c r="C63" s="124" t="s">
        <v>216</v>
      </c>
      <c r="D63" s="137" t="s">
        <v>247</v>
      </c>
      <c r="E63" s="133" t="s">
        <v>160</v>
      </c>
      <c r="F63" s="124" t="s">
        <v>159</v>
      </c>
      <c r="G63" s="41" t="s">
        <v>172</v>
      </c>
      <c r="H63" s="38">
        <v>1</v>
      </c>
      <c r="I63" s="133" t="s">
        <v>37</v>
      </c>
      <c r="J63" s="174">
        <v>25</v>
      </c>
      <c r="K63" s="133" t="s">
        <v>102</v>
      </c>
      <c r="L63" s="133">
        <v>350</v>
      </c>
      <c r="M63" s="133">
        <v>350</v>
      </c>
      <c r="N63" s="133">
        <v>200</v>
      </c>
      <c r="O63" s="136">
        <f t="shared" si="17"/>
        <v>0.02</v>
      </c>
      <c r="P63" s="176">
        <f t="shared" si="12"/>
        <v>25</v>
      </c>
      <c r="Q63" s="176">
        <f t="shared" si="18"/>
        <v>26</v>
      </c>
      <c r="R63" s="135" t="s">
        <v>104</v>
      </c>
      <c r="S63" s="129"/>
      <c r="U63" s="172"/>
      <c r="V63" s="172"/>
      <c r="W63" s="172"/>
      <c r="X63" s="172"/>
      <c r="Y63" s="172"/>
      <c r="Z63" s="172"/>
      <c r="AA63" s="172"/>
      <c r="AH63" s="172"/>
      <c r="AI63" s="172"/>
      <c r="AJ63" s="172"/>
      <c r="AK63" s="172"/>
      <c r="AL63" s="172"/>
    </row>
    <row r="64" spans="2:38" s="169" customFormat="1" ht="57" customHeight="1">
      <c r="B64" s="124">
        <v>50</v>
      </c>
      <c r="C64" s="124" t="s">
        <v>217</v>
      </c>
      <c r="D64" s="137" t="s">
        <v>247</v>
      </c>
      <c r="E64" s="133" t="s">
        <v>160</v>
      </c>
      <c r="F64" s="124" t="s">
        <v>159</v>
      </c>
      <c r="G64" s="41" t="s">
        <v>172</v>
      </c>
      <c r="H64" s="38">
        <v>1</v>
      </c>
      <c r="I64" s="133" t="s">
        <v>37</v>
      </c>
      <c r="J64" s="174">
        <v>25</v>
      </c>
      <c r="K64" s="133" t="s">
        <v>102</v>
      </c>
      <c r="L64" s="133">
        <v>350</v>
      </c>
      <c r="M64" s="133">
        <v>350</v>
      </c>
      <c r="N64" s="133">
        <v>200</v>
      </c>
      <c r="O64" s="136">
        <f t="shared" si="17"/>
        <v>0.02</v>
      </c>
      <c r="P64" s="176">
        <f t="shared" si="12"/>
        <v>25</v>
      </c>
      <c r="Q64" s="176">
        <f t="shared" si="18"/>
        <v>26</v>
      </c>
      <c r="R64" s="135" t="s">
        <v>104</v>
      </c>
      <c r="S64" s="129"/>
      <c r="U64" s="172"/>
      <c r="V64" s="172"/>
      <c r="W64" s="172"/>
      <c r="X64" s="172"/>
      <c r="Y64" s="172"/>
      <c r="Z64" s="172"/>
      <c r="AA64" s="172"/>
      <c r="AH64" s="172"/>
      <c r="AI64" s="172"/>
      <c r="AJ64" s="172"/>
      <c r="AK64" s="172"/>
      <c r="AL64" s="172"/>
    </row>
    <row r="65" spans="1:38" s="169" customFormat="1" ht="57" customHeight="1">
      <c r="B65" s="124">
        <v>51</v>
      </c>
      <c r="C65" s="124" t="s">
        <v>218</v>
      </c>
      <c r="D65" s="137" t="s">
        <v>247</v>
      </c>
      <c r="E65" s="133" t="s">
        <v>160</v>
      </c>
      <c r="F65" s="124" t="s">
        <v>159</v>
      </c>
      <c r="G65" s="41" t="s">
        <v>172</v>
      </c>
      <c r="H65" s="38">
        <v>1</v>
      </c>
      <c r="I65" s="133" t="s">
        <v>37</v>
      </c>
      <c r="J65" s="174">
        <v>25</v>
      </c>
      <c r="K65" s="133" t="s">
        <v>102</v>
      </c>
      <c r="L65" s="133">
        <v>350</v>
      </c>
      <c r="M65" s="133">
        <v>350</v>
      </c>
      <c r="N65" s="133">
        <v>200</v>
      </c>
      <c r="O65" s="136">
        <f t="shared" ref="O65" si="19">ROUND(L65*M65*N65/1000000000,2)</f>
        <v>0.02</v>
      </c>
      <c r="P65" s="176">
        <f t="shared" si="12"/>
        <v>25</v>
      </c>
      <c r="Q65" s="176">
        <f t="shared" ref="Q65" si="20">P65+1</f>
        <v>26</v>
      </c>
      <c r="R65" s="135" t="s">
        <v>104</v>
      </c>
      <c r="S65" s="129"/>
      <c r="U65" s="172"/>
      <c r="V65" s="172"/>
      <c r="W65" s="172"/>
      <c r="X65" s="172"/>
      <c r="Y65" s="172"/>
      <c r="Z65" s="172"/>
      <c r="AA65" s="172"/>
      <c r="AH65" s="172"/>
      <c r="AI65" s="172"/>
      <c r="AJ65" s="172"/>
      <c r="AK65" s="172"/>
      <c r="AL65" s="172"/>
    </row>
    <row r="66" spans="1:38" s="179" customFormat="1" ht="20.25">
      <c r="A66" s="146"/>
      <c r="B66" s="230" t="s">
        <v>118</v>
      </c>
      <c r="C66" s="230"/>
      <c r="D66" s="230"/>
      <c r="E66" s="230"/>
      <c r="F66" s="230"/>
      <c r="G66" s="230"/>
      <c r="H66" s="230"/>
      <c r="I66" s="230"/>
      <c r="J66" s="138"/>
      <c r="K66" s="138"/>
      <c r="L66" s="138"/>
      <c r="M66" s="138"/>
      <c r="N66" s="138"/>
      <c r="O66" s="185">
        <f>SUM(O15:O65)</f>
        <v>7.739999999999986</v>
      </c>
      <c r="P66" s="218">
        <f>SUM(P15:P65)</f>
        <v>15358</v>
      </c>
      <c r="Q66" s="218">
        <f>SUM(Q15:Q65)</f>
        <v>16054</v>
      </c>
      <c r="R66" s="178"/>
      <c r="S66" s="178"/>
      <c r="U66" s="147"/>
      <c r="V66" s="147"/>
      <c r="W66" s="147"/>
      <c r="X66" s="147"/>
      <c r="Y66" s="147"/>
      <c r="Z66" s="147"/>
      <c r="AA66" s="147"/>
      <c r="AH66" s="147"/>
      <c r="AI66" s="147"/>
      <c r="AJ66" s="147"/>
      <c r="AK66" s="147"/>
      <c r="AL66" s="147"/>
    </row>
  </sheetData>
  <mergeCells count="66">
    <mergeCell ref="R7:V7"/>
    <mergeCell ref="R13:R14"/>
    <mergeCell ref="B4:S4"/>
    <mergeCell ref="B1:T1"/>
    <mergeCell ref="C3:J3"/>
    <mergeCell ref="S13:S14"/>
    <mergeCell ref="B66:I66"/>
    <mergeCell ref="P13:P14"/>
    <mergeCell ref="Q13:Q14"/>
    <mergeCell ref="E13:E14"/>
    <mergeCell ref="B13:B14"/>
    <mergeCell ref="C13:C14"/>
    <mergeCell ref="D13:D14"/>
    <mergeCell ref="G13:G14"/>
    <mergeCell ref="H13:I13"/>
    <mergeCell ref="K13:K14"/>
    <mergeCell ref="L13:O13"/>
    <mergeCell ref="F13:F14"/>
    <mergeCell ref="C23:C24"/>
    <mergeCell ref="K23:K24"/>
    <mergeCell ref="L23:L24"/>
    <mergeCell ref="M23:M24"/>
    <mergeCell ref="N23:N24"/>
    <mergeCell ref="O23:O24"/>
    <mergeCell ref="P23:P24"/>
    <mergeCell ref="Q23:Q24"/>
    <mergeCell ref="C25:C26"/>
    <mergeCell ref="K25:K26"/>
    <mergeCell ref="L25:L26"/>
    <mergeCell ref="M25:M26"/>
    <mergeCell ref="N25:N26"/>
    <mergeCell ref="O25:O26"/>
    <mergeCell ref="P25:P26"/>
    <mergeCell ref="Q25:Q26"/>
    <mergeCell ref="O27:O28"/>
    <mergeCell ref="P27:P28"/>
    <mergeCell ref="Q27:Q28"/>
    <mergeCell ref="C29:C30"/>
    <mergeCell ref="K29:K30"/>
    <mergeCell ref="L29:L30"/>
    <mergeCell ref="M29:M30"/>
    <mergeCell ref="N29:N30"/>
    <mergeCell ref="O29:O30"/>
    <mergeCell ref="P29:P30"/>
    <mergeCell ref="Q29:Q30"/>
    <mergeCell ref="C27:C28"/>
    <mergeCell ref="K27:K28"/>
    <mergeCell ref="L27:L28"/>
    <mergeCell ref="M27:M28"/>
    <mergeCell ref="N27:N28"/>
    <mergeCell ref="O31:O32"/>
    <mergeCell ref="P31:P32"/>
    <mergeCell ref="Q31:Q32"/>
    <mergeCell ref="C33:C34"/>
    <mergeCell ref="K33:K34"/>
    <mergeCell ref="L33:L34"/>
    <mergeCell ref="M33:M34"/>
    <mergeCell ref="N33:N34"/>
    <mergeCell ref="O33:O34"/>
    <mergeCell ref="P33:P34"/>
    <mergeCell ref="Q33:Q34"/>
    <mergeCell ref="C31:C32"/>
    <mergeCell ref="K31:K32"/>
    <mergeCell ref="L31:L32"/>
    <mergeCell ref="M31:M32"/>
    <mergeCell ref="N31:N32"/>
  </mergeCells>
  <phoneticPr fontId="22" type="noConversion"/>
  <printOptions horizontalCentered="1"/>
  <pageMargins left="0.23622047244094491" right="0.23622047244094491" top="0.47244094488188981" bottom="0.51181102362204722" header="0.31496062992125984" footer="0.31496062992125984"/>
  <pageSetup paperSize="9" scale="52" fitToHeight="0" orientation="landscape" r:id="rId1"/>
  <headerFooter alignWithMargins="0">
    <oddFooter>&amp;C&amp;P/&amp;N</oddFooter>
  </headerFooter>
  <rowBreaks count="1" manualBreakCount="1">
    <brk id="30" max="18"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2A6859-5D1F-4CD8-8651-8C57AA6962F4}">
  <sheetPr>
    <tabColor rgb="FF00B050"/>
    <pageSetUpPr fitToPage="1"/>
  </sheetPr>
  <dimension ref="A1:M42"/>
  <sheetViews>
    <sheetView showGridLines="0" view="pageBreakPreview" zoomScale="55" zoomScaleNormal="70" zoomScaleSheetLayoutView="55" workbookViewId="0">
      <selection activeCell="P41" sqref="P41"/>
    </sheetView>
  </sheetViews>
  <sheetFormatPr defaultColWidth="7.6640625" defaultRowHeight="23.25"/>
  <cols>
    <col min="1" max="1" width="43.109375" style="5" customWidth="1"/>
    <col min="2" max="2" width="2.5546875" style="6" customWidth="1"/>
    <col min="3" max="3" width="11.109375" style="5" customWidth="1"/>
    <col min="4" max="4" width="10.109375" style="5" customWidth="1"/>
    <col min="5" max="5" width="6.6640625" style="5" customWidth="1"/>
    <col min="6" max="6" width="10.109375" style="5" customWidth="1"/>
    <col min="7" max="7" width="9" style="5" customWidth="1"/>
    <col min="8" max="8" width="10.109375" style="5" customWidth="1"/>
    <col min="9" max="9" width="12.109375" style="5" customWidth="1"/>
    <col min="10" max="10" width="9.5546875" style="5" customWidth="1"/>
    <col min="11" max="11" width="0.6640625" style="5" customWidth="1"/>
    <col min="12" max="12" width="7.6640625" style="5"/>
    <col min="13" max="13" width="14.44140625" style="5" bestFit="1" customWidth="1"/>
    <col min="14" max="16384" width="7.6640625" style="5"/>
  </cols>
  <sheetData>
    <row r="1" spans="1:13" ht="91.15" customHeight="1" thickBot="1">
      <c r="A1" s="320" t="s">
        <v>119</v>
      </c>
      <c r="B1" s="320"/>
      <c r="C1" s="320"/>
      <c r="D1" s="320"/>
      <c r="E1" s="320"/>
      <c r="F1" s="320"/>
      <c r="G1" s="320"/>
      <c r="H1" s="320"/>
      <c r="I1" s="320"/>
      <c r="J1" s="320"/>
    </row>
    <row r="2" spans="1:13" ht="32.65" customHeight="1">
      <c r="A2" s="321" t="s">
        <v>120</v>
      </c>
      <c r="B2" s="322"/>
      <c r="C2" s="322"/>
      <c r="D2" s="322"/>
      <c r="E2" s="322"/>
      <c r="F2" s="322"/>
      <c r="G2" s="322"/>
      <c r="H2" s="322"/>
      <c r="I2" s="322"/>
      <c r="J2" s="323"/>
    </row>
    <row r="3" spans="1:13" ht="28.15" customHeight="1">
      <c r="A3" s="324" t="str">
        <f>[6]CI!B26</f>
        <v>Address: O Mon Power Complex at Phuoc Thoi wards, O Mon district, Can Tho city</v>
      </c>
      <c r="B3" s="325"/>
      <c r="C3" s="325"/>
      <c r="D3" s="325"/>
      <c r="E3" s="325"/>
      <c r="F3" s="325"/>
      <c r="G3" s="325"/>
      <c r="H3" s="325"/>
      <c r="I3" s="325"/>
      <c r="J3" s="326"/>
    </row>
    <row r="4" spans="1:13" ht="57.4" customHeight="1"/>
    <row r="5" spans="1:13" s="8" customFormat="1" ht="40.15" customHeight="1">
      <c r="A5" s="32" t="s">
        <v>121</v>
      </c>
      <c r="B5" s="7" t="s">
        <v>122</v>
      </c>
      <c r="C5" s="327"/>
      <c r="D5" s="327"/>
      <c r="E5" s="327"/>
      <c r="F5" s="327"/>
      <c r="G5" s="327"/>
      <c r="H5" s="327"/>
      <c r="I5" s="327"/>
      <c r="J5" s="328"/>
    </row>
    <row r="6" spans="1:13" s="8" customFormat="1" ht="55.5" customHeight="1">
      <c r="A6" s="33" t="s">
        <v>123</v>
      </c>
      <c r="B6" s="9" t="s">
        <v>122</v>
      </c>
      <c r="C6" s="315"/>
      <c r="D6" s="315"/>
      <c r="E6" s="315"/>
      <c r="F6" s="315"/>
      <c r="G6" s="315"/>
      <c r="H6" s="315"/>
      <c r="I6" s="315"/>
      <c r="J6" s="316"/>
    </row>
    <row r="7" spans="1:13" s="8" customFormat="1" ht="42" customHeight="1">
      <c r="A7" s="33" t="s">
        <v>124</v>
      </c>
      <c r="B7" s="12" t="s">
        <v>122</v>
      </c>
      <c r="C7" s="317" t="s">
        <v>125</v>
      </c>
      <c r="D7" s="318"/>
      <c r="E7" s="318"/>
      <c r="F7" s="318"/>
      <c r="G7" s="318"/>
      <c r="H7" s="318"/>
      <c r="I7" s="318"/>
      <c r="J7" s="319"/>
    </row>
    <row r="8" spans="1:13" s="8" customFormat="1" ht="20.65" customHeight="1">
      <c r="A8" s="33" t="s">
        <v>126</v>
      </c>
      <c r="B8" s="12" t="s">
        <v>127</v>
      </c>
      <c r="C8" s="315"/>
      <c r="D8" s="315"/>
      <c r="E8" s="315"/>
      <c r="F8" s="315"/>
      <c r="G8" s="315"/>
      <c r="H8" s="315"/>
      <c r="I8" s="315"/>
      <c r="J8" s="316"/>
    </row>
    <row r="9" spans="1:13" s="8" customFormat="1" ht="20.65" customHeight="1">
      <c r="A9" s="33"/>
      <c r="B9" s="12"/>
      <c r="C9" s="315"/>
      <c r="D9" s="315"/>
      <c r="E9" s="315"/>
      <c r="F9" s="315"/>
      <c r="G9" s="315"/>
      <c r="H9" s="315"/>
      <c r="I9" s="315"/>
      <c r="J9" s="316"/>
    </row>
    <row r="10" spans="1:13" s="8" customFormat="1" ht="20.65" customHeight="1">
      <c r="A10" s="33"/>
      <c r="B10" s="12"/>
      <c r="C10" s="315"/>
      <c r="D10" s="315"/>
      <c r="E10" s="315"/>
      <c r="F10" s="315"/>
      <c r="G10" s="315"/>
      <c r="H10" s="315"/>
      <c r="I10" s="315"/>
      <c r="J10" s="316"/>
    </row>
    <row r="11" spans="1:13" s="8" customFormat="1" ht="24.4" customHeight="1">
      <c r="A11" s="33"/>
      <c r="B11" s="12"/>
      <c r="C11" s="315"/>
      <c r="D11" s="315"/>
      <c r="E11" s="315"/>
      <c r="F11" s="315"/>
      <c r="G11" s="315"/>
      <c r="H11" s="315"/>
      <c r="I11" s="315"/>
      <c r="J11" s="316"/>
    </row>
    <row r="12" spans="1:13" s="8" customFormat="1" ht="42.4" customHeight="1">
      <c r="A12" s="33" t="s">
        <v>128</v>
      </c>
      <c r="B12" s="9" t="s">
        <v>122</v>
      </c>
      <c r="C12" s="37" t="s">
        <v>129</v>
      </c>
      <c r="D12" s="13"/>
      <c r="E12" s="13"/>
      <c r="F12" s="13"/>
      <c r="G12" s="13"/>
      <c r="H12" s="14" t="str">
        <f>[6]CI!G8</f>
        <v>DATE:</v>
      </c>
      <c r="I12" s="15"/>
      <c r="J12" s="16"/>
    </row>
    <row r="13" spans="1:13" s="8" customFormat="1" ht="40.15" customHeight="1">
      <c r="A13" s="33" t="s">
        <v>130</v>
      </c>
      <c r="B13" s="9" t="s">
        <v>127</v>
      </c>
      <c r="C13" s="317" t="s">
        <v>131</v>
      </c>
      <c r="D13" s="318"/>
      <c r="E13" s="318"/>
      <c r="F13" s="318"/>
      <c r="G13" s="318"/>
      <c r="H13" s="318"/>
      <c r="I13" s="318"/>
      <c r="J13" s="319"/>
    </row>
    <row r="14" spans="1:13" s="8" customFormat="1" ht="55.15" customHeight="1">
      <c r="A14" s="33" t="s">
        <v>132</v>
      </c>
      <c r="B14" s="9" t="s">
        <v>122</v>
      </c>
      <c r="C14" s="315" t="str">
        <f>[6]CI!B28</f>
        <v>PLANT/ EQUIPMENT AND MATERIALS FOR O MON IV THERMAL</v>
      </c>
      <c r="D14" s="315"/>
      <c r="E14" s="315"/>
      <c r="F14" s="315"/>
      <c r="G14" s="315"/>
      <c r="H14" s="315"/>
      <c r="I14" s="315"/>
      <c r="J14" s="316"/>
    </row>
    <row r="15" spans="1:13" s="8" customFormat="1" ht="55.5" customHeight="1">
      <c r="A15" s="33" t="s">
        <v>133</v>
      </c>
      <c r="B15" s="12" t="s">
        <v>127</v>
      </c>
      <c r="C15" s="18"/>
      <c r="D15" s="10"/>
      <c r="E15" s="10"/>
      <c r="F15" s="10"/>
      <c r="G15" s="10"/>
      <c r="H15" s="10"/>
      <c r="I15" s="10"/>
      <c r="J15" s="11"/>
      <c r="M15" s="19"/>
    </row>
    <row r="16" spans="1:13" s="8" customFormat="1" ht="55.5" customHeight="1">
      <c r="A16" s="33" t="s">
        <v>134</v>
      </c>
      <c r="B16" s="12" t="s">
        <v>127</v>
      </c>
      <c r="C16" s="18"/>
      <c r="D16" s="10"/>
      <c r="E16" s="10"/>
      <c r="F16" s="10"/>
      <c r="G16" s="10"/>
      <c r="H16" s="10"/>
      <c r="I16" s="10"/>
      <c r="J16" s="11"/>
      <c r="M16" s="19"/>
    </row>
    <row r="17" spans="1:10" s="8" customFormat="1" ht="49.9" customHeight="1">
      <c r="A17" s="33" t="s">
        <v>135</v>
      </c>
      <c r="B17" s="9" t="s">
        <v>122</v>
      </c>
      <c r="C17" s="20"/>
      <c r="D17" s="21" t="s">
        <v>136</v>
      </c>
      <c r="E17" s="22"/>
      <c r="F17" s="22"/>
      <c r="G17" s="22"/>
      <c r="H17" s="22"/>
      <c r="I17" s="22"/>
      <c r="J17" s="16"/>
    </row>
    <row r="18" spans="1:10" s="8" customFormat="1" ht="57.4" customHeight="1">
      <c r="A18" s="33" t="s">
        <v>137</v>
      </c>
      <c r="B18" s="9" t="s">
        <v>122</v>
      </c>
      <c r="C18" s="20"/>
      <c r="D18" s="21" t="s">
        <v>136</v>
      </c>
      <c r="E18" s="22"/>
      <c r="F18" s="17"/>
      <c r="G18" s="22"/>
      <c r="H18" s="22"/>
      <c r="I18" s="22"/>
      <c r="J18" s="23"/>
    </row>
    <row r="19" spans="1:10" s="8" customFormat="1" ht="53.65" customHeight="1">
      <c r="A19" s="33" t="s">
        <v>138</v>
      </c>
      <c r="B19" s="12" t="s">
        <v>122</v>
      </c>
      <c r="C19" s="20"/>
      <c r="D19" s="24" t="s">
        <v>139</v>
      </c>
      <c r="E19" s="20"/>
      <c r="F19" s="24" t="s">
        <v>140</v>
      </c>
      <c r="G19" s="20"/>
      <c r="H19" s="24" t="s">
        <v>141</v>
      </c>
      <c r="I19" s="25"/>
      <c r="J19" s="26" t="s">
        <v>142</v>
      </c>
    </row>
    <row r="20" spans="1:10" s="8" customFormat="1" ht="31.15" customHeight="1">
      <c r="A20" s="33" t="s">
        <v>143</v>
      </c>
      <c r="B20" s="12" t="s">
        <v>122</v>
      </c>
      <c r="C20" s="27"/>
      <c r="D20" s="21"/>
      <c r="E20" s="22"/>
      <c r="F20" s="21"/>
      <c r="G20" s="22"/>
      <c r="H20" s="21"/>
      <c r="I20" s="25"/>
      <c r="J20" s="26"/>
    </row>
    <row r="21" spans="1:10" s="8" customFormat="1" ht="49.15" customHeight="1">
      <c r="A21" s="33" t="s">
        <v>144</v>
      </c>
      <c r="B21" s="12" t="s">
        <v>122</v>
      </c>
      <c r="C21" s="27"/>
      <c r="D21" s="21"/>
      <c r="E21" s="22"/>
      <c r="F21" s="21"/>
      <c r="G21" s="22"/>
      <c r="H21" s="21"/>
      <c r="I21" s="25"/>
      <c r="J21" s="26"/>
    </row>
    <row r="22" spans="1:10" s="8" customFormat="1" ht="40.15" customHeight="1">
      <c r="A22" s="34" t="s">
        <v>145</v>
      </c>
      <c r="B22" s="12" t="s">
        <v>122</v>
      </c>
      <c r="C22" s="27"/>
      <c r="D22" s="21"/>
      <c r="E22" s="22"/>
      <c r="F22" s="21"/>
      <c r="G22" s="22"/>
      <c r="H22" s="21"/>
      <c r="I22" s="25"/>
      <c r="J22" s="26"/>
    </row>
    <row r="23" spans="1:10" s="8" customFormat="1" ht="40.15" customHeight="1">
      <c r="A23" s="35" t="s">
        <v>146</v>
      </c>
      <c r="B23" s="28" t="s">
        <v>122</v>
      </c>
      <c r="C23" s="36" t="s">
        <v>147</v>
      </c>
      <c r="D23" s="29"/>
      <c r="E23" s="29"/>
      <c r="F23" s="29"/>
      <c r="G23" s="29"/>
      <c r="H23" s="29"/>
      <c r="I23" s="29"/>
      <c r="J23" s="30"/>
    </row>
    <row r="24" spans="1:10" ht="120" hidden="1" customHeight="1" thickBot="1"/>
    <row r="25" spans="1:10" ht="55.15" hidden="1" customHeight="1"/>
    <row r="26" spans="1:10" ht="55.15" hidden="1" customHeight="1" thickBot="1"/>
    <row r="27" spans="1:10" ht="40.15" hidden="1" customHeight="1"/>
    <row r="28" spans="1:10" s="8" customFormat="1" ht="40.15" hidden="1" customHeight="1">
      <c r="A28" s="5"/>
      <c r="B28" s="6"/>
      <c r="C28" s="5"/>
      <c r="D28" s="5"/>
      <c r="E28" s="5"/>
      <c r="F28" s="5"/>
      <c r="G28" s="5"/>
      <c r="H28" s="5"/>
      <c r="I28" s="5"/>
      <c r="J28" s="5"/>
    </row>
    <row r="29" spans="1:10" s="8" customFormat="1" ht="55.5" hidden="1" customHeight="1">
      <c r="A29" s="5"/>
      <c r="B29" s="6"/>
      <c r="C29" s="5"/>
      <c r="D29" s="5"/>
      <c r="E29" s="5"/>
      <c r="F29" s="5"/>
      <c r="G29" s="5"/>
      <c r="H29" s="5"/>
      <c r="I29" s="5"/>
      <c r="J29" s="5"/>
    </row>
    <row r="30" spans="1:10" s="8" customFormat="1" ht="53.25" hidden="1" customHeight="1">
      <c r="A30" s="5"/>
      <c r="B30" s="6"/>
      <c r="C30" s="5"/>
      <c r="D30" s="5"/>
      <c r="E30" s="5"/>
      <c r="F30" s="5"/>
      <c r="G30" s="5"/>
      <c r="H30" s="5"/>
      <c r="I30" s="5"/>
      <c r="J30" s="5"/>
    </row>
    <row r="31" spans="1:10" s="8" customFormat="1" ht="99.75" hidden="1" customHeight="1">
      <c r="A31" s="5"/>
      <c r="B31" s="6"/>
      <c r="C31" s="5"/>
      <c r="D31" s="5"/>
      <c r="E31" s="5"/>
      <c r="F31" s="5"/>
      <c r="G31" s="5"/>
      <c r="H31" s="5"/>
      <c r="I31" s="5"/>
      <c r="J31" s="5"/>
    </row>
    <row r="32" spans="1:10" s="8" customFormat="1" ht="40.15" hidden="1" customHeight="1">
      <c r="A32" s="5"/>
      <c r="B32" s="6"/>
      <c r="C32" s="5"/>
      <c r="D32" s="5"/>
      <c r="E32" s="5"/>
      <c r="F32" s="5"/>
      <c r="G32" s="5"/>
      <c r="H32" s="5"/>
      <c r="I32" s="5"/>
      <c r="J32" s="5"/>
    </row>
    <row r="33" spans="1:13" s="8" customFormat="1" ht="40.15" hidden="1" customHeight="1">
      <c r="A33" s="5"/>
      <c r="B33" s="6"/>
      <c r="C33" s="5"/>
      <c r="D33" s="5"/>
      <c r="E33" s="5"/>
      <c r="F33" s="5"/>
      <c r="G33" s="5"/>
      <c r="H33" s="5"/>
      <c r="I33" s="5"/>
      <c r="J33" s="5"/>
    </row>
    <row r="34" spans="1:13" s="8" customFormat="1" ht="75" hidden="1" customHeight="1">
      <c r="A34" s="5"/>
      <c r="B34" s="6"/>
      <c r="C34" s="5"/>
      <c r="D34" s="5"/>
      <c r="E34" s="5"/>
      <c r="F34" s="5"/>
      <c r="G34" s="5"/>
      <c r="H34" s="5"/>
      <c r="I34" s="5"/>
      <c r="J34" s="5"/>
    </row>
    <row r="35" spans="1:13" s="8" customFormat="1" ht="40.15" hidden="1" customHeight="1">
      <c r="A35" s="5"/>
      <c r="B35" s="6"/>
      <c r="C35" s="5"/>
      <c r="D35" s="5"/>
      <c r="E35" s="5"/>
      <c r="F35" s="5"/>
      <c r="G35" s="5"/>
      <c r="H35" s="5"/>
      <c r="I35" s="5"/>
      <c r="J35" s="5"/>
      <c r="M35" s="19"/>
    </row>
    <row r="36" spans="1:13" s="8" customFormat="1" ht="40.15" hidden="1" customHeight="1">
      <c r="A36" s="5"/>
      <c r="B36" s="6"/>
      <c r="C36" s="5"/>
      <c r="D36" s="5"/>
      <c r="E36" s="5"/>
      <c r="F36" s="5"/>
      <c r="G36" s="5"/>
      <c r="H36" s="5"/>
      <c r="I36" s="5"/>
      <c r="J36" s="5"/>
    </row>
    <row r="37" spans="1:13" s="8" customFormat="1" ht="40.15" hidden="1" customHeight="1">
      <c r="A37" s="5"/>
      <c r="B37" s="6"/>
      <c r="C37" s="5"/>
      <c r="D37" s="5"/>
      <c r="E37" s="5"/>
      <c r="F37" s="5"/>
      <c r="G37" s="5"/>
      <c r="H37" s="5"/>
      <c r="I37" s="5"/>
      <c r="J37" s="5"/>
    </row>
    <row r="38" spans="1:13" s="8" customFormat="1" ht="40.15" hidden="1" customHeight="1">
      <c r="A38" s="5"/>
      <c r="B38" s="6"/>
      <c r="C38" s="5"/>
      <c r="D38" s="5"/>
      <c r="E38" s="5"/>
      <c r="F38" s="5"/>
      <c r="G38" s="5"/>
      <c r="H38" s="5"/>
      <c r="I38" s="5"/>
      <c r="J38" s="5"/>
    </row>
    <row r="39" spans="1:13" s="8" customFormat="1" ht="40.15" hidden="1" customHeight="1">
      <c r="A39" s="5"/>
      <c r="B39" s="6"/>
      <c r="C39" s="5"/>
      <c r="D39" s="5"/>
      <c r="E39" s="5"/>
      <c r="F39" s="5"/>
      <c r="G39" s="5"/>
      <c r="H39" s="5"/>
      <c r="I39" s="5"/>
      <c r="J39" s="5"/>
    </row>
    <row r="40" spans="1:13" s="8" customFormat="1" ht="40.15" hidden="1" customHeight="1">
      <c r="A40" s="5"/>
      <c r="B40" s="6"/>
      <c r="C40" s="5"/>
      <c r="D40" s="5"/>
      <c r="E40" s="5"/>
      <c r="F40" s="5"/>
      <c r="G40" s="5"/>
      <c r="H40" s="5"/>
      <c r="I40" s="5"/>
      <c r="J40" s="5"/>
    </row>
    <row r="41" spans="1:13" s="8" customFormat="1" ht="40.15" hidden="1" customHeight="1">
      <c r="A41" s="5"/>
      <c r="B41" s="6"/>
      <c r="C41" s="5"/>
      <c r="D41" s="5"/>
      <c r="E41" s="5"/>
      <c r="F41" s="5"/>
      <c r="G41" s="5"/>
      <c r="H41" s="5"/>
      <c r="I41" s="5"/>
      <c r="J41" s="5"/>
    </row>
    <row r="42" spans="1:13" s="8" customFormat="1" ht="40.15" hidden="1" customHeight="1">
      <c r="A42" s="5"/>
      <c r="B42" s="6"/>
      <c r="C42" s="5"/>
      <c r="D42" s="5"/>
      <c r="E42" s="5"/>
      <c r="F42" s="5"/>
      <c r="G42" s="5"/>
      <c r="H42" s="5"/>
      <c r="I42" s="5"/>
      <c r="J42" s="5"/>
    </row>
  </sheetData>
  <mergeCells count="12">
    <mergeCell ref="C14:J14"/>
    <mergeCell ref="C7:J7"/>
    <mergeCell ref="A1:J1"/>
    <mergeCell ref="A2:J2"/>
    <mergeCell ref="A3:J3"/>
    <mergeCell ref="C5:J5"/>
    <mergeCell ref="C6:J6"/>
    <mergeCell ref="C13:J13"/>
    <mergeCell ref="C8:J8"/>
    <mergeCell ref="C9:J9"/>
    <mergeCell ref="C10:J10"/>
    <mergeCell ref="C11:J11"/>
  </mergeCells>
  <phoneticPr fontId="22" type="noConversion"/>
  <printOptions horizontalCentered="1"/>
  <pageMargins left="0.25" right="0.25" top="0.75" bottom="0.75" header="0.3" footer="0.3"/>
  <pageSetup paperSize="9" scale="69"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F0"/>
  </sheetPr>
  <dimension ref="A1"/>
  <sheetViews>
    <sheetView topLeftCell="A22" workbookViewId="0">
      <selection activeCell="P41" sqref="P41"/>
    </sheetView>
  </sheetViews>
  <sheetFormatPr defaultRowHeight="13.5"/>
  <sheetData/>
  <phoneticPr fontId="22"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70C0"/>
  </sheetPr>
  <dimension ref="A1"/>
  <sheetViews>
    <sheetView workbookViewId="0">
      <selection activeCell="P41" sqref="P41"/>
    </sheetView>
  </sheetViews>
  <sheetFormatPr defaultRowHeight="13.5"/>
  <sheetData/>
  <phoneticPr fontId="22" type="noConversion"/>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2060"/>
  </sheetPr>
  <dimension ref="I3"/>
  <sheetViews>
    <sheetView zoomScale="145" zoomScaleNormal="145" workbookViewId="0">
      <selection activeCell="P41" sqref="P41"/>
    </sheetView>
  </sheetViews>
  <sheetFormatPr defaultRowHeight="13.5"/>
  <cols>
    <col min="9" max="9" width="80.6640625" customWidth="1"/>
  </cols>
  <sheetData>
    <row r="3" spans="9:9" ht="67.5">
      <c r="I3" s="31" t="s">
        <v>148</v>
      </c>
    </row>
  </sheetData>
  <phoneticPr fontId="22"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
  <sheetViews>
    <sheetView topLeftCell="A6" zoomScale="130" zoomScaleNormal="130" workbookViewId="0">
      <selection activeCell="P41" sqref="P41"/>
    </sheetView>
  </sheetViews>
  <sheetFormatPr defaultRowHeight="13.5"/>
  <sheetData>
    <row r="2" ht="24" customHeight="1"/>
  </sheetData>
  <phoneticPr fontId="22" type="noConversion"/>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ikesCount xmlns="http://schemas.microsoft.com/sharepoint/v3" xsi:nil="true"/>
    <Ratings xmlns="http://schemas.microsoft.com/sharepoint/v3" xsi:nil="true"/>
    <LikedBy xmlns="http://schemas.microsoft.com/sharepoint/v3">
      <UserInfo>
        <DisplayName/>
        <AccountId xsi:nil="true"/>
        <AccountType/>
      </UserInfo>
    </LikedBy>
    <TaxCatchAll xmlns="4f9a4399-4a18-425c-a92f-df0a86830ab4" xsi:nil="true"/>
    <lcf76f155ced4ddcb4097134ff3c332f xmlns="4133dc65-1983-422d-a502-a502350f8e77">
      <Terms xmlns="http://schemas.microsoft.com/office/infopath/2007/PartnerControls"/>
    </lcf76f155ced4ddcb4097134ff3c332f>
    <RatedBy xmlns="http://schemas.microsoft.com/sharepoint/v3">
      <UserInfo>
        <DisplayName/>
        <AccountId xsi:nil="true"/>
        <AccountType/>
      </UserInfo>
    </RatedBy>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F578F7E343D8343BFA88033B90E0562" ma:contentTypeVersion="20" ma:contentTypeDescription="Create a new document." ma:contentTypeScope="" ma:versionID="d96a21759101388c18ea9b5221d29ca7">
  <xsd:schema xmlns:xsd="http://www.w3.org/2001/XMLSchema" xmlns:xs="http://www.w3.org/2001/XMLSchema" xmlns:p="http://schemas.microsoft.com/office/2006/metadata/properties" xmlns:ns1="http://schemas.microsoft.com/sharepoint/v3" xmlns:ns2="4133dc65-1983-422d-a502-a502350f8e77" xmlns:ns3="4f9a4399-4a18-425c-a92f-df0a86830ab4" targetNamespace="http://schemas.microsoft.com/office/2006/metadata/properties" ma:root="true" ma:fieldsID="af2e5068a03d288059cef963318c8732" ns1:_="" ns2:_="" ns3:_="">
    <xsd:import namespace="http://schemas.microsoft.com/sharepoint/v3"/>
    <xsd:import namespace="4133dc65-1983-422d-a502-a502350f8e77"/>
    <xsd:import namespace="4f9a4399-4a18-425c-a92f-df0a86830ab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1:AverageRating" minOccurs="0"/>
                <xsd:element ref="ns1:RatingCount" minOccurs="0"/>
                <xsd:element ref="ns1:RatedBy" minOccurs="0"/>
                <xsd:element ref="ns1:Ratings" minOccurs="0"/>
                <xsd:element ref="ns1:LikesCount" minOccurs="0"/>
                <xsd:element ref="ns1:LikedBy"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AverageRating" ma:index="18" nillable="true" ma:displayName="Rating (0-5)" ma:decimals="2" ma:description="Average value of all the ratings that have been submitted" ma:internalName="AverageRating" ma:readOnly="true">
      <xsd:simpleType>
        <xsd:restriction base="dms:Number"/>
      </xsd:simpleType>
    </xsd:element>
    <xsd:element name="RatingCount" ma:index="19" nillable="true" ma:displayName="Number of Ratings" ma:decimals="0" ma:description="Number of ratings submitted" ma:internalName="RatingCount" ma:readOnly="true">
      <xsd:simpleType>
        <xsd:restriction base="dms:Number"/>
      </xsd:simpleType>
    </xsd:element>
    <xsd:element name="RatedBy" ma:index="20" nillable="true" ma:displayName="Rated By" ma:description="Users rated the item." ma:hidden="true" ma:list="UserInfo" ma:internalName="Rat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Ratings" ma:index="21" nillable="true" ma:displayName="User ratings" ma:description="User ratings for the item" ma:hidden="true" ma:internalName="Ratings">
      <xsd:simpleType>
        <xsd:restriction base="dms:Note"/>
      </xsd:simpleType>
    </xsd:element>
    <xsd:element name="LikesCount" ma:index="22" nillable="true" ma:displayName="Number of Likes" ma:internalName="LikesCount">
      <xsd:simpleType>
        <xsd:restriction base="dms:Unknown"/>
      </xsd:simpleType>
    </xsd:element>
    <xsd:element name="LikedBy" ma:index="23" nillable="true" ma:displayName="Liked By" ma:hidden="true" ma:list="UserInfo" ma:internalName="Lik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133dc65-1983-422d-a502-a502350f8e7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c2e831d-d9a8-4612-9548-5df55094e964"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24" nillable="true" ma:displayName="Location" ma:indexed="true" ma:internalName="MediaServiceLocation"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f9a4399-4a18-425c-a92f-df0a86830ab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ee6d2380-0710-410f-aacd-8421feae6ce7}" ma:internalName="TaxCatchAll" ma:showField="CatchAllData" ma:web="4f9a4399-4a18-425c-a92f-df0a86830ab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85F076B-F13F-4C0C-8AFC-ED9D418BF6FC}">
  <ds:schemaRefs>
    <ds:schemaRef ds:uri="http://purl.org/dc/terms/"/>
    <ds:schemaRef ds:uri="http://www.w3.org/XML/1998/namespace"/>
    <ds:schemaRef ds:uri="http://schemas.openxmlformats.org/package/2006/metadata/core-properties"/>
    <ds:schemaRef ds:uri="http://schemas.microsoft.com/office/2006/documentManagement/types"/>
    <ds:schemaRef ds:uri="http://schemas.microsoft.com/sharepoint/v3"/>
    <ds:schemaRef ds:uri="http://purl.org/dc/dcmitype/"/>
    <ds:schemaRef ds:uri="4f9a4399-4a18-425c-a92f-df0a86830ab4"/>
    <ds:schemaRef ds:uri="http://purl.org/dc/elements/1.1/"/>
    <ds:schemaRef ds:uri="http://schemas.microsoft.com/office/infopath/2007/PartnerControls"/>
    <ds:schemaRef ds:uri="4133dc65-1983-422d-a502-a502350f8e77"/>
    <ds:schemaRef ds:uri="http://schemas.microsoft.com/office/2006/metadata/properties"/>
  </ds:schemaRefs>
</ds:datastoreItem>
</file>

<file path=customXml/itemProps2.xml><?xml version="1.0" encoding="utf-8"?>
<ds:datastoreItem xmlns:ds="http://schemas.openxmlformats.org/officeDocument/2006/customXml" ds:itemID="{9822D4E7-869C-4058-A906-785DEE591E44}">
  <ds:schemaRefs>
    <ds:schemaRef ds:uri="http://schemas.microsoft.com/sharepoint/v3/contenttype/forms"/>
  </ds:schemaRefs>
</ds:datastoreItem>
</file>

<file path=customXml/itemProps3.xml><?xml version="1.0" encoding="utf-8"?>
<ds:datastoreItem xmlns:ds="http://schemas.openxmlformats.org/officeDocument/2006/customXml" ds:itemID="{E1DA2D53-6590-4F69-8687-EC0CF339AFA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133dc65-1983-422d-a502-a502350f8e77"/>
    <ds:schemaRef ds:uri="4f9a4399-4a18-425c-a92f-df0a86830ab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Packing List (1_2)</vt:lpstr>
      <vt:lpstr>PL(2_2)</vt:lpstr>
      <vt:lpstr>Detailed PL</vt:lpstr>
      <vt:lpstr>SHIPPING MARK</vt:lpstr>
      <vt:lpstr>CO</vt:lpstr>
      <vt:lpstr>CQ</vt:lpstr>
      <vt:lpstr>BL</vt:lpstr>
      <vt:lpstr>PSIC</vt:lpstr>
      <vt:lpstr>PSIC!_Hlk215568700</vt:lpstr>
      <vt:lpstr>'Detailed PL'!Print_Area</vt:lpstr>
      <vt:lpstr>'Packing List (1_2)'!Print_Area</vt:lpstr>
      <vt:lpstr>'PL(2_2)'!Print_Area</vt:lpstr>
      <vt:lpstr>'SHIPPING MARK'!Print_Area</vt:lpstr>
      <vt:lpstr>'Detailed PL'!Print_Titles</vt:lpstr>
      <vt:lpstr>'PL(2_2)'!Print_Titles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Bùi Thị Thu Nguyệt</dc:creator>
  <cp:keywords/>
  <dc:description/>
  <cp:lastModifiedBy>VU NGA</cp:lastModifiedBy>
  <cp:revision/>
  <cp:lastPrinted>2026-06-16T05:51:20Z</cp:lastPrinted>
  <dcterms:created xsi:type="dcterms:W3CDTF">2025-07-09T09:39:20Z</dcterms:created>
  <dcterms:modified xsi:type="dcterms:W3CDTF">2026-08-13T08:40:39Z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0x0101000F578F7E343D8343BFA88033B90E0562</vt:lpwstr>
  </property>
  <property fmtid="{D5CDD505-2E9C-101B-9397-08002B2CF9AE}" pid="3" name="MediaServiceImageTags">
    <vt:lpwstr/>
  </property>
</Properties>
</file>