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3"/>
  <workbookPr/>
  <mc:AlternateContent xmlns:mc="http://schemas.openxmlformats.org/markup-compatibility/2006">
    <mc:Choice Requires="x15">
      <x15ac:absPath xmlns:x15ac="http://schemas.microsoft.com/office/spreadsheetml/2010/11/ac" url="D:\O MON 4\OM4-DE-IS-000400050006 Draft CDF 20260720\Rve (23.07.2026)\Rve2 (30.07.2026)\OM4-DE-IS-0005\"/>
    </mc:Choice>
  </mc:AlternateContent>
  <xr:revisionPtr revIDLastSave="0" documentId="13_ncr:1_{EB10A5D7-A1EB-4BA6-B489-EC8D623BF473}" xr6:coauthVersionLast="47" xr6:coauthVersionMax="47" xr10:uidLastSave="{00000000-0000-0000-0000-000000000000}"/>
  <bookViews>
    <workbookView xWindow="-50" yWindow="-50" windowWidth="19300" windowHeight="10180" tabRatio="917" xr2:uid="{00000000-000D-0000-FFFF-FFFF00000000}"/>
  </bookViews>
  <sheets>
    <sheet name="Break Down CI (Rve1)" sheetId="40" r:id="rId1"/>
    <sheet name="book" sheetId="42" r:id="rId2"/>
    <sheet name="Detailed PL" sheetId="5" r:id="rId3"/>
    <sheet name="Commercial Invoice (Rve1)" sheetId="41" r:id="rId4"/>
    <sheet name="Commercial Invoice" sheetId="1" r:id="rId5"/>
    <sheet name="Break Down CI" sheetId="14" r:id="rId6"/>
    <sheet name="Packing List (1_2)" sheetId="3" r:id="rId7"/>
    <sheet name="PL(2_2)" sheetId="4" r:id="rId8"/>
    <sheet name="SHIPPING MARK(1)" sheetId="15" r:id="rId9"/>
    <sheet name="SHIPPING MARK(2)" sheetId="17" r:id="rId10"/>
    <sheet name="SHIPPING MARK(3)" sheetId="18" r:id="rId11"/>
    <sheet name="SHIPPING MARK(4)" sheetId="19" r:id="rId12"/>
    <sheet name="SHIPPING MARK(5)" sheetId="20" r:id="rId13"/>
    <sheet name="SHIPPING MARK(6)" sheetId="21" r:id="rId14"/>
    <sheet name="SHIPPING MARK(7)" sheetId="22" r:id="rId15"/>
    <sheet name="SHIPPING MARK(8)" sheetId="23" r:id="rId16"/>
    <sheet name="SHIPPING MARK(9)" sheetId="24" r:id="rId17"/>
    <sheet name="SHIPPING MARK(10)" sheetId="25" r:id="rId18"/>
    <sheet name="SHIPPING MARK(11)" sheetId="26" r:id="rId19"/>
    <sheet name="SHIPPING MARK(12)" sheetId="27" r:id="rId20"/>
    <sheet name="SHIPPING MARK(13)" sheetId="28" r:id="rId21"/>
    <sheet name="SHIPPING MARK(14)" sheetId="29" r:id="rId22"/>
    <sheet name="SHIPPING MARK(15)" sheetId="30" r:id="rId23"/>
    <sheet name="SHIPPING MARK(16)" sheetId="31" r:id="rId24"/>
    <sheet name="SHIPPING MARK(17)" sheetId="32" r:id="rId25"/>
    <sheet name="SHIPPING MARK(18)" sheetId="33" r:id="rId26"/>
    <sheet name="SHIPPING MARK(19)" sheetId="34" r:id="rId27"/>
    <sheet name="SHIPPING MARK(20)" sheetId="35" r:id="rId28"/>
    <sheet name="SHIPPING MARK(21)" sheetId="36" r:id="rId29"/>
    <sheet name="SHIPPING MARK(22)" sheetId="37" r:id="rId30"/>
    <sheet name="SHIPPING MARK(23)" sheetId="38" r:id="rId31"/>
    <sheet name="SHIPPING MARK(24)" sheetId="39" r:id="rId32"/>
    <sheet name="Technical Description" sheetId="13" r:id="rId33"/>
    <sheet name="CO" sheetId="6" r:id="rId34"/>
    <sheet name="CQ" sheetId="10" r:id="rId35"/>
    <sheet name="BL" sheetId="7" r:id="rId36"/>
    <sheet name="PSIC" sheetId="11" r:id="rId37"/>
  </sheets>
  <definedNames>
    <definedName name="__123Graph_A" localSheetId="1" hidden="1">#REF!</definedName>
    <definedName name="__123Graph_A" localSheetId="5" hidden="1">#REF!</definedName>
    <definedName name="__123Graph_A" localSheetId="0" hidden="1">#REF!</definedName>
    <definedName name="__123Graph_A" localSheetId="4" hidden="1">#REF!</definedName>
    <definedName name="__123Graph_A" localSheetId="3" hidden="1">#REF!</definedName>
    <definedName name="__123Graph_A" localSheetId="2" hidden="1">#REF!</definedName>
    <definedName name="__123Graph_A" localSheetId="6" hidden="1">#REF!</definedName>
    <definedName name="__123Graph_A" localSheetId="8" hidden="1">#REF!</definedName>
    <definedName name="__123Graph_A" localSheetId="17" hidden="1">#REF!</definedName>
    <definedName name="__123Graph_A" localSheetId="18" hidden="1">#REF!</definedName>
    <definedName name="__123Graph_A" localSheetId="19" hidden="1">#REF!</definedName>
    <definedName name="__123Graph_A" localSheetId="20" hidden="1">#REF!</definedName>
    <definedName name="__123Graph_A" localSheetId="21" hidden="1">#REF!</definedName>
    <definedName name="__123Graph_A" localSheetId="22" hidden="1">#REF!</definedName>
    <definedName name="__123Graph_A" localSheetId="23" hidden="1">#REF!</definedName>
    <definedName name="__123Graph_A" localSheetId="24" hidden="1">#REF!</definedName>
    <definedName name="__123Graph_A" localSheetId="25" hidden="1">#REF!</definedName>
    <definedName name="__123Graph_A" localSheetId="26" hidden="1">#REF!</definedName>
    <definedName name="__123Graph_A" localSheetId="9" hidden="1">#REF!</definedName>
    <definedName name="__123Graph_A" localSheetId="27" hidden="1">#REF!</definedName>
    <definedName name="__123Graph_A" localSheetId="28" hidden="1">#REF!</definedName>
    <definedName name="__123Graph_A" localSheetId="29" hidden="1">#REF!</definedName>
    <definedName name="__123Graph_A" localSheetId="30" hidden="1">#REF!</definedName>
    <definedName name="__123Graph_A" localSheetId="31" hidden="1">#REF!</definedName>
    <definedName name="__123Graph_A" localSheetId="10" hidden="1">#REF!</definedName>
    <definedName name="__123Graph_A" localSheetId="11" hidden="1">#REF!</definedName>
    <definedName name="__123Graph_A" localSheetId="12" hidden="1">#REF!</definedName>
    <definedName name="__123Graph_A" localSheetId="13" hidden="1">#REF!</definedName>
    <definedName name="__123Graph_A" localSheetId="14" hidden="1">#REF!</definedName>
    <definedName name="__123Graph_A" localSheetId="15" hidden="1">#REF!</definedName>
    <definedName name="__123Graph_A" localSheetId="16" hidden="1">#REF!</definedName>
    <definedName name="__123Graph_A" hidden="1">#REF!</definedName>
    <definedName name="__123Graph_ACurrent" localSheetId="1" hidden="1">#REF!</definedName>
    <definedName name="__123Graph_ACurrent" localSheetId="5" hidden="1">#REF!</definedName>
    <definedName name="__123Graph_ACurrent" localSheetId="0" hidden="1">#REF!</definedName>
    <definedName name="__123Graph_ACurrent" localSheetId="4" hidden="1">#REF!</definedName>
    <definedName name="__123Graph_ACurrent" localSheetId="3" hidden="1">#REF!</definedName>
    <definedName name="__123Graph_ACurrent" localSheetId="2" hidden="1">#REF!</definedName>
    <definedName name="__123Graph_ACurrent" localSheetId="6" hidden="1">#REF!</definedName>
    <definedName name="__123Graph_ACurrent" localSheetId="8" hidden="1">#REF!</definedName>
    <definedName name="__123Graph_ACurrent" localSheetId="17" hidden="1">#REF!</definedName>
    <definedName name="__123Graph_ACurrent" localSheetId="18" hidden="1">#REF!</definedName>
    <definedName name="__123Graph_ACurrent" localSheetId="19" hidden="1">#REF!</definedName>
    <definedName name="__123Graph_ACurrent" localSheetId="20" hidden="1">#REF!</definedName>
    <definedName name="__123Graph_ACurrent" localSheetId="21" hidden="1">#REF!</definedName>
    <definedName name="__123Graph_ACurrent" localSheetId="22" hidden="1">#REF!</definedName>
    <definedName name="__123Graph_ACurrent" localSheetId="23" hidden="1">#REF!</definedName>
    <definedName name="__123Graph_ACurrent" localSheetId="24" hidden="1">#REF!</definedName>
    <definedName name="__123Graph_ACurrent" localSheetId="25" hidden="1">#REF!</definedName>
    <definedName name="__123Graph_ACurrent" localSheetId="26" hidden="1">#REF!</definedName>
    <definedName name="__123Graph_ACurrent" localSheetId="9" hidden="1">#REF!</definedName>
    <definedName name="__123Graph_ACurrent" localSheetId="27" hidden="1">#REF!</definedName>
    <definedName name="__123Graph_ACurrent" localSheetId="28" hidden="1">#REF!</definedName>
    <definedName name="__123Graph_ACurrent" localSheetId="29" hidden="1">#REF!</definedName>
    <definedName name="__123Graph_ACurrent" localSheetId="30" hidden="1">#REF!</definedName>
    <definedName name="__123Graph_ACurrent" localSheetId="31" hidden="1">#REF!</definedName>
    <definedName name="__123Graph_ACurrent" localSheetId="10" hidden="1">#REF!</definedName>
    <definedName name="__123Graph_ACurrent" localSheetId="11" hidden="1">#REF!</definedName>
    <definedName name="__123Graph_ACurrent" localSheetId="12" hidden="1">#REF!</definedName>
    <definedName name="__123Graph_ACurrent" localSheetId="13" hidden="1">#REF!</definedName>
    <definedName name="__123Graph_ACurrent" localSheetId="14" hidden="1">#REF!</definedName>
    <definedName name="__123Graph_ACurrent" localSheetId="15" hidden="1">#REF!</definedName>
    <definedName name="__123Graph_ACurrent" localSheetId="16" hidden="1">#REF!</definedName>
    <definedName name="__123Graph_ACurrent" hidden="1">#REF!</definedName>
    <definedName name="__123Graph_B" localSheetId="1" hidden="1">#REF!</definedName>
    <definedName name="__123Graph_B" localSheetId="5" hidden="1">#REF!</definedName>
    <definedName name="__123Graph_B" localSheetId="0" hidden="1">#REF!</definedName>
    <definedName name="__123Graph_B" localSheetId="4" hidden="1">#REF!</definedName>
    <definedName name="__123Graph_B" localSheetId="3" hidden="1">#REF!</definedName>
    <definedName name="__123Graph_B" localSheetId="2" hidden="1">#REF!</definedName>
    <definedName name="__123Graph_B" localSheetId="6" hidden="1">#REF!</definedName>
    <definedName name="__123Graph_B" localSheetId="8" hidden="1">#REF!</definedName>
    <definedName name="__123Graph_B" localSheetId="17" hidden="1">#REF!</definedName>
    <definedName name="__123Graph_B" localSheetId="18" hidden="1">#REF!</definedName>
    <definedName name="__123Graph_B" localSheetId="19" hidden="1">#REF!</definedName>
    <definedName name="__123Graph_B" localSheetId="20" hidden="1">#REF!</definedName>
    <definedName name="__123Graph_B" localSheetId="21" hidden="1">#REF!</definedName>
    <definedName name="__123Graph_B" localSheetId="22" hidden="1">#REF!</definedName>
    <definedName name="__123Graph_B" localSheetId="23" hidden="1">#REF!</definedName>
    <definedName name="__123Graph_B" localSheetId="24" hidden="1">#REF!</definedName>
    <definedName name="__123Graph_B" localSheetId="25" hidden="1">#REF!</definedName>
    <definedName name="__123Graph_B" localSheetId="26" hidden="1">#REF!</definedName>
    <definedName name="__123Graph_B" localSheetId="9" hidden="1">#REF!</definedName>
    <definedName name="__123Graph_B" localSheetId="27" hidden="1">#REF!</definedName>
    <definedName name="__123Graph_B" localSheetId="28" hidden="1">#REF!</definedName>
    <definedName name="__123Graph_B" localSheetId="29" hidden="1">#REF!</definedName>
    <definedName name="__123Graph_B" localSheetId="30" hidden="1">#REF!</definedName>
    <definedName name="__123Graph_B" localSheetId="31" hidden="1">#REF!</definedName>
    <definedName name="__123Graph_B" localSheetId="10" hidden="1">#REF!</definedName>
    <definedName name="__123Graph_B" localSheetId="11" hidden="1">#REF!</definedName>
    <definedName name="__123Graph_B" localSheetId="12" hidden="1">#REF!</definedName>
    <definedName name="__123Graph_B" localSheetId="13" hidden="1">#REF!</definedName>
    <definedName name="__123Graph_B" localSheetId="14" hidden="1">#REF!</definedName>
    <definedName name="__123Graph_B" localSheetId="15" hidden="1">#REF!</definedName>
    <definedName name="__123Graph_B" localSheetId="16" hidden="1">#REF!</definedName>
    <definedName name="__123Graph_B" hidden="1">#REF!</definedName>
    <definedName name="__123Graph_BCurrent" localSheetId="1" hidden="1">#REF!</definedName>
    <definedName name="__123Graph_BCurrent" localSheetId="5" hidden="1">#REF!</definedName>
    <definedName name="__123Graph_BCurrent" localSheetId="0" hidden="1">#REF!</definedName>
    <definedName name="__123Graph_BCurrent" localSheetId="4" hidden="1">#REF!</definedName>
    <definedName name="__123Graph_BCurrent" localSheetId="3" hidden="1">#REF!</definedName>
    <definedName name="__123Graph_BCurrent" localSheetId="2" hidden="1">#REF!</definedName>
    <definedName name="__123Graph_BCurrent" localSheetId="6" hidden="1">#REF!</definedName>
    <definedName name="__123Graph_BCurrent" localSheetId="8" hidden="1">#REF!</definedName>
    <definedName name="__123Graph_BCurrent" localSheetId="17" hidden="1">#REF!</definedName>
    <definedName name="__123Graph_BCurrent" localSheetId="18" hidden="1">#REF!</definedName>
    <definedName name="__123Graph_BCurrent" localSheetId="19" hidden="1">#REF!</definedName>
    <definedName name="__123Graph_BCurrent" localSheetId="20" hidden="1">#REF!</definedName>
    <definedName name="__123Graph_BCurrent" localSheetId="21" hidden="1">#REF!</definedName>
    <definedName name="__123Graph_BCurrent" localSheetId="22" hidden="1">#REF!</definedName>
    <definedName name="__123Graph_BCurrent" localSheetId="23" hidden="1">#REF!</definedName>
    <definedName name="__123Graph_BCurrent" localSheetId="24" hidden="1">#REF!</definedName>
    <definedName name="__123Graph_BCurrent" localSheetId="25" hidden="1">#REF!</definedName>
    <definedName name="__123Graph_BCurrent" localSheetId="26" hidden="1">#REF!</definedName>
    <definedName name="__123Graph_BCurrent" localSheetId="9" hidden="1">#REF!</definedName>
    <definedName name="__123Graph_BCurrent" localSheetId="27" hidden="1">#REF!</definedName>
    <definedName name="__123Graph_BCurrent" localSheetId="28" hidden="1">#REF!</definedName>
    <definedName name="__123Graph_BCurrent" localSheetId="29" hidden="1">#REF!</definedName>
    <definedName name="__123Graph_BCurrent" localSheetId="30" hidden="1">#REF!</definedName>
    <definedName name="__123Graph_BCurrent" localSheetId="31" hidden="1">#REF!</definedName>
    <definedName name="__123Graph_BCurrent" localSheetId="10" hidden="1">#REF!</definedName>
    <definedName name="__123Graph_BCurrent" localSheetId="11" hidden="1">#REF!</definedName>
    <definedName name="__123Graph_BCurrent" localSheetId="12" hidden="1">#REF!</definedName>
    <definedName name="__123Graph_BCurrent" localSheetId="13" hidden="1">#REF!</definedName>
    <definedName name="__123Graph_BCurrent" localSheetId="14" hidden="1">#REF!</definedName>
    <definedName name="__123Graph_BCurrent" localSheetId="15" hidden="1">#REF!</definedName>
    <definedName name="__123Graph_BCurrent" localSheetId="16" hidden="1">#REF!</definedName>
    <definedName name="__123Graph_BCurrent" hidden="1">#REF!</definedName>
    <definedName name="__123Graph_D" localSheetId="1" hidden="1">#REF!</definedName>
    <definedName name="__123Graph_D" localSheetId="5" hidden="1">#REF!</definedName>
    <definedName name="__123Graph_D" localSheetId="0" hidden="1">#REF!</definedName>
    <definedName name="__123Graph_D" localSheetId="4" hidden="1">#REF!</definedName>
    <definedName name="__123Graph_D" localSheetId="3" hidden="1">#REF!</definedName>
    <definedName name="__123Graph_D" localSheetId="2" hidden="1">#REF!</definedName>
    <definedName name="__123Graph_D" localSheetId="6" hidden="1">#REF!</definedName>
    <definedName name="__123Graph_D" localSheetId="8" hidden="1">#REF!</definedName>
    <definedName name="__123Graph_D" localSheetId="17" hidden="1">#REF!</definedName>
    <definedName name="__123Graph_D" localSheetId="18" hidden="1">#REF!</definedName>
    <definedName name="__123Graph_D" localSheetId="19" hidden="1">#REF!</definedName>
    <definedName name="__123Graph_D" localSheetId="20" hidden="1">#REF!</definedName>
    <definedName name="__123Graph_D" localSheetId="21" hidden="1">#REF!</definedName>
    <definedName name="__123Graph_D" localSheetId="22" hidden="1">#REF!</definedName>
    <definedName name="__123Graph_D" localSheetId="23" hidden="1">#REF!</definedName>
    <definedName name="__123Graph_D" localSheetId="24" hidden="1">#REF!</definedName>
    <definedName name="__123Graph_D" localSheetId="25" hidden="1">#REF!</definedName>
    <definedName name="__123Graph_D" localSheetId="26" hidden="1">#REF!</definedName>
    <definedName name="__123Graph_D" localSheetId="9" hidden="1">#REF!</definedName>
    <definedName name="__123Graph_D" localSheetId="27" hidden="1">#REF!</definedName>
    <definedName name="__123Graph_D" localSheetId="28" hidden="1">#REF!</definedName>
    <definedName name="__123Graph_D" localSheetId="29" hidden="1">#REF!</definedName>
    <definedName name="__123Graph_D" localSheetId="30" hidden="1">#REF!</definedName>
    <definedName name="__123Graph_D" localSheetId="31" hidden="1">#REF!</definedName>
    <definedName name="__123Graph_D" localSheetId="10" hidden="1">#REF!</definedName>
    <definedName name="__123Graph_D" localSheetId="11" hidden="1">#REF!</definedName>
    <definedName name="__123Graph_D" localSheetId="12" hidden="1">#REF!</definedName>
    <definedName name="__123Graph_D" localSheetId="13" hidden="1">#REF!</definedName>
    <definedName name="__123Graph_D" localSheetId="14" hidden="1">#REF!</definedName>
    <definedName name="__123Graph_D" localSheetId="15" hidden="1">#REF!</definedName>
    <definedName name="__123Graph_D" localSheetId="16" hidden="1">#REF!</definedName>
    <definedName name="__123Graph_D" hidden="1">#REF!</definedName>
    <definedName name="__123Graph_E" localSheetId="1" hidden="1">#REF!</definedName>
    <definedName name="__123Graph_E" localSheetId="5" hidden="1">#REF!</definedName>
    <definedName name="__123Graph_E" localSheetId="0" hidden="1">#REF!</definedName>
    <definedName name="__123Graph_E" localSheetId="4" hidden="1">#REF!</definedName>
    <definedName name="__123Graph_E" localSheetId="3" hidden="1">#REF!</definedName>
    <definedName name="__123Graph_E" localSheetId="6" hidden="1">#REF!</definedName>
    <definedName name="__123Graph_E" localSheetId="8" hidden="1">#REF!</definedName>
    <definedName name="__123Graph_E" localSheetId="17" hidden="1">#REF!</definedName>
    <definedName name="__123Graph_E" localSheetId="18" hidden="1">#REF!</definedName>
    <definedName name="__123Graph_E" localSheetId="19" hidden="1">#REF!</definedName>
    <definedName name="__123Graph_E" localSheetId="20" hidden="1">#REF!</definedName>
    <definedName name="__123Graph_E" localSheetId="21" hidden="1">#REF!</definedName>
    <definedName name="__123Graph_E" localSheetId="22" hidden="1">#REF!</definedName>
    <definedName name="__123Graph_E" localSheetId="23" hidden="1">#REF!</definedName>
    <definedName name="__123Graph_E" localSheetId="24" hidden="1">#REF!</definedName>
    <definedName name="__123Graph_E" localSheetId="25" hidden="1">#REF!</definedName>
    <definedName name="__123Graph_E" localSheetId="26" hidden="1">#REF!</definedName>
    <definedName name="__123Graph_E" localSheetId="9" hidden="1">#REF!</definedName>
    <definedName name="__123Graph_E" localSheetId="27" hidden="1">#REF!</definedName>
    <definedName name="__123Graph_E" localSheetId="28" hidden="1">#REF!</definedName>
    <definedName name="__123Graph_E" localSheetId="29" hidden="1">#REF!</definedName>
    <definedName name="__123Graph_E" localSheetId="30" hidden="1">#REF!</definedName>
    <definedName name="__123Graph_E" localSheetId="31" hidden="1">#REF!</definedName>
    <definedName name="__123Graph_E" localSheetId="10" hidden="1">#REF!</definedName>
    <definedName name="__123Graph_E" localSheetId="11" hidden="1">#REF!</definedName>
    <definedName name="__123Graph_E" localSheetId="12" hidden="1">#REF!</definedName>
    <definedName name="__123Graph_E" localSheetId="13" hidden="1">#REF!</definedName>
    <definedName name="__123Graph_E" localSheetId="14" hidden="1">#REF!</definedName>
    <definedName name="__123Graph_E" localSheetId="15" hidden="1">#REF!</definedName>
    <definedName name="__123Graph_E" localSheetId="16" hidden="1">#REF!</definedName>
    <definedName name="__123Graph_E" hidden="1">#REF!</definedName>
    <definedName name="__123Graph_LBL_A" localSheetId="1" hidden="1">#REF!</definedName>
    <definedName name="__123Graph_LBL_A" localSheetId="5" hidden="1">#REF!</definedName>
    <definedName name="__123Graph_LBL_A" localSheetId="0" hidden="1">#REF!</definedName>
    <definedName name="__123Graph_LBL_A" localSheetId="4" hidden="1">#REF!</definedName>
    <definedName name="__123Graph_LBL_A" localSheetId="3" hidden="1">#REF!</definedName>
    <definedName name="__123Graph_LBL_A" localSheetId="2" hidden="1">#REF!</definedName>
    <definedName name="__123Graph_LBL_A" localSheetId="6" hidden="1">#REF!</definedName>
    <definedName name="__123Graph_LBL_A" localSheetId="8" hidden="1">#REF!</definedName>
    <definedName name="__123Graph_LBL_A" localSheetId="17" hidden="1">#REF!</definedName>
    <definedName name="__123Graph_LBL_A" localSheetId="18" hidden="1">#REF!</definedName>
    <definedName name="__123Graph_LBL_A" localSheetId="19" hidden="1">#REF!</definedName>
    <definedName name="__123Graph_LBL_A" localSheetId="20" hidden="1">#REF!</definedName>
    <definedName name="__123Graph_LBL_A" localSheetId="21" hidden="1">#REF!</definedName>
    <definedName name="__123Graph_LBL_A" localSheetId="22" hidden="1">#REF!</definedName>
    <definedName name="__123Graph_LBL_A" localSheetId="23" hidden="1">#REF!</definedName>
    <definedName name="__123Graph_LBL_A" localSheetId="24" hidden="1">#REF!</definedName>
    <definedName name="__123Graph_LBL_A" localSheetId="25" hidden="1">#REF!</definedName>
    <definedName name="__123Graph_LBL_A" localSheetId="26" hidden="1">#REF!</definedName>
    <definedName name="__123Graph_LBL_A" localSheetId="9" hidden="1">#REF!</definedName>
    <definedName name="__123Graph_LBL_A" localSheetId="27" hidden="1">#REF!</definedName>
    <definedName name="__123Graph_LBL_A" localSheetId="28" hidden="1">#REF!</definedName>
    <definedName name="__123Graph_LBL_A" localSheetId="29" hidden="1">#REF!</definedName>
    <definedName name="__123Graph_LBL_A" localSheetId="30" hidden="1">#REF!</definedName>
    <definedName name="__123Graph_LBL_A" localSheetId="31" hidden="1">#REF!</definedName>
    <definedName name="__123Graph_LBL_A" localSheetId="10" hidden="1">#REF!</definedName>
    <definedName name="__123Graph_LBL_A" localSheetId="11" hidden="1">#REF!</definedName>
    <definedName name="__123Graph_LBL_A" localSheetId="12" hidden="1">#REF!</definedName>
    <definedName name="__123Graph_LBL_A" localSheetId="13" hidden="1">#REF!</definedName>
    <definedName name="__123Graph_LBL_A" localSheetId="14" hidden="1">#REF!</definedName>
    <definedName name="__123Graph_LBL_A" localSheetId="15" hidden="1">#REF!</definedName>
    <definedName name="__123Graph_LBL_A" localSheetId="16" hidden="1">#REF!</definedName>
    <definedName name="__123Graph_LBL_A" hidden="1">#REF!</definedName>
    <definedName name="__123Graph_LBL_B" localSheetId="1" hidden="1">#REF!</definedName>
    <definedName name="__123Graph_LBL_B" localSheetId="5" hidden="1">#REF!</definedName>
    <definedName name="__123Graph_LBL_B" localSheetId="0" hidden="1">#REF!</definedName>
    <definedName name="__123Graph_LBL_B" localSheetId="4" hidden="1">#REF!</definedName>
    <definedName name="__123Graph_LBL_B" localSheetId="3" hidden="1">#REF!</definedName>
    <definedName name="__123Graph_LBL_B" localSheetId="2" hidden="1">#REF!</definedName>
    <definedName name="__123Graph_LBL_B" localSheetId="6" hidden="1">#REF!</definedName>
    <definedName name="__123Graph_LBL_B" localSheetId="8" hidden="1">#REF!</definedName>
    <definedName name="__123Graph_LBL_B" localSheetId="17" hidden="1">#REF!</definedName>
    <definedName name="__123Graph_LBL_B" localSheetId="18" hidden="1">#REF!</definedName>
    <definedName name="__123Graph_LBL_B" localSheetId="19" hidden="1">#REF!</definedName>
    <definedName name="__123Graph_LBL_B" localSheetId="20" hidden="1">#REF!</definedName>
    <definedName name="__123Graph_LBL_B" localSheetId="21" hidden="1">#REF!</definedName>
    <definedName name="__123Graph_LBL_B" localSheetId="22" hidden="1">#REF!</definedName>
    <definedName name="__123Graph_LBL_B" localSheetId="23" hidden="1">#REF!</definedName>
    <definedName name="__123Graph_LBL_B" localSheetId="24" hidden="1">#REF!</definedName>
    <definedName name="__123Graph_LBL_B" localSheetId="25" hidden="1">#REF!</definedName>
    <definedName name="__123Graph_LBL_B" localSheetId="26" hidden="1">#REF!</definedName>
    <definedName name="__123Graph_LBL_B" localSheetId="9" hidden="1">#REF!</definedName>
    <definedName name="__123Graph_LBL_B" localSheetId="27" hidden="1">#REF!</definedName>
    <definedName name="__123Graph_LBL_B" localSheetId="28" hidden="1">#REF!</definedName>
    <definedName name="__123Graph_LBL_B" localSheetId="29" hidden="1">#REF!</definedName>
    <definedName name="__123Graph_LBL_B" localSheetId="30" hidden="1">#REF!</definedName>
    <definedName name="__123Graph_LBL_B" localSheetId="31" hidden="1">#REF!</definedName>
    <definedName name="__123Graph_LBL_B" localSheetId="10" hidden="1">#REF!</definedName>
    <definedName name="__123Graph_LBL_B" localSheetId="11" hidden="1">#REF!</definedName>
    <definedName name="__123Graph_LBL_B" localSheetId="12" hidden="1">#REF!</definedName>
    <definedName name="__123Graph_LBL_B" localSheetId="13" hidden="1">#REF!</definedName>
    <definedName name="__123Graph_LBL_B" localSheetId="14" hidden="1">#REF!</definedName>
    <definedName name="__123Graph_LBL_B" localSheetId="15" hidden="1">#REF!</definedName>
    <definedName name="__123Graph_LBL_B" localSheetId="16" hidden="1">#REF!</definedName>
    <definedName name="__123Graph_LBL_B" hidden="1">#REF!</definedName>
    <definedName name="__123Graph_X" localSheetId="1" hidden="1">#REF!</definedName>
    <definedName name="__123Graph_X" localSheetId="5" hidden="1">#REF!</definedName>
    <definedName name="__123Graph_X" localSheetId="0" hidden="1">#REF!</definedName>
    <definedName name="__123Graph_X" localSheetId="4" hidden="1">#REF!</definedName>
    <definedName name="__123Graph_X" localSheetId="3" hidden="1">#REF!</definedName>
    <definedName name="__123Graph_X" localSheetId="2" hidden="1">#REF!</definedName>
    <definedName name="__123Graph_X" localSheetId="6" hidden="1">#REF!</definedName>
    <definedName name="__123Graph_X" localSheetId="8" hidden="1">#REF!</definedName>
    <definedName name="__123Graph_X" localSheetId="17" hidden="1">#REF!</definedName>
    <definedName name="__123Graph_X" localSheetId="18" hidden="1">#REF!</definedName>
    <definedName name="__123Graph_X" localSheetId="19" hidden="1">#REF!</definedName>
    <definedName name="__123Graph_X" localSheetId="20" hidden="1">#REF!</definedName>
    <definedName name="__123Graph_X" localSheetId="21" hidden="1">#REF!</definedName>
    <definedName name="__123Graph_X" localSheetId="22" hidden="1">#REF!</definedName>
    <definedName name="__123Graph_X" localSheetId="23" hidden="1">#REF!</definedName>
    <definedName name="__123Graph_X" localSheetId="24" hidden="1">#REF!</definedName>
    <definedName name="__123Graph_X" localSheetId="25" hidden="1">#REF!</definedName>
    <definedName name="__123Graph_X" localSheetId="26" hidden="1">#REF!</definedName>
    <definedName name="__123Graph_X" localSheetId="9" hidden="1">#REF!</definedName>
    <definedName name="__123Graph_X" localSheetId="27" hidden="1">#REF!</definedName>
    <definedName name="__123Graph_X" localSheetId="28" hidden="1">#REF!</definedName>
    <definedName name="__123Graph_X" localSheetId="29" hidden="1">#REF!</definedName>
    <definedName name="__123Graph_X" localSheetId="30" hidden="1">#REF!</definedName>
    <definedName name="__123Graph_X" localSheetId="31" hidden="1">#REF!</definedName>
    <definedName name="__123Graph_X" localSheetId="10" hidden="1">#REF!</definedName>
    <definedName name="__123Graph_X" localSheetId="11" hidden="1">#REF!</definedName>
    <definedName name="__123Graph_X" localSheetId="12" hidden="1">#REF!</definedName>
    <definedName name="__123Graph_X" localSheetId="13" hidden="1">#REF!</definedName>
    <definedName name="__123Graph_X" localSheetId="14" hidden="1">#REF!</definedName>
    <definedName name="__123Graph_X" localSheetId="15" hidden="1">#REF!</definedName>
    <definedName name="__123Graph_X" localSheetId="16" hidden="1">#REF!</definedName>
    <definedName name="__123Graph_X" hidden="1">#REF!</definedName>
    <definedName name="__123Graph_XCurrent" localSheetId="1" hidden="1">#REF!</definedName>
    <definedName name="__123Graph_XCurrent" localSheetId="5" hidden="1">#REF!</definedName>
    <definedName name="__123Graph_XCurrent" localSheetId="0" hidden="1">#REF!</definedName>
    <definedName name="__123Graph_XCurrent" localSheetId="4" hidden="1">#REF!</definedName>
    <definedName name="__123Graph_XCurrent" localSheetId="3" hidden="1">#REF!</definedName>
    <definedName name="__123Graph_XCurrent" localSheetId="2" hidden="1">#REF!</definedName>
    <definedName name="__123Graph_XCurrent" localSheetId="6" hidden="1">#REF!</definedName>
    <definedName name="__123Graph_XCurrent" localSheetId="8" hidden="1">#REF!</definedName>
    <definedName name="__123Graph_XCurrent" localSheetId="17" hidden="1">#REF!</definedName>
    <definedName name="__123Graph_XCurrent" localSheetId="18" hidden="1">#REF!</definedName>
    <definedName name="__123Graph_XCurrent" localSheetId="19" hidden="1">#REF!</definedName>
    <definedName name="__123Graph_XCurrent" localSheetId="20" hidden="1">#REF!</definedName>
    <definedName name="__123Graph_XCurrent" localSheetId="21" hidden="1">#REF!</definedName>
    <definedName name="__123Graph_XCurrent" localSheetId="22" hidden="1">#REF!</definedName>
    <definedName name="__123Graph_XCurrent" localSheetId="23" hidden="1">#REF!</definedName>
    <definedName name="__123Graph_XCurrent" localSheetId="24" hidden="1">#REF!</definedName>
    <definedName name="__123Graph_XCurrent" localSheetId="25" hidden="1">#REF!</definedName>
    <definedName name="__123Graph_XCurrent" localSheetId="26" hidden="1">#REF!</definedName>
    <definedName name="__123Graph_XCurrent" localSheetId="9" hidden="1">#REF!</definedName>
    <definedName name="__123Graph_XCurrent" localSheetId="27" hidden="1">#REF!</definedName>
    <definedName name="__123Graph_XCurrent" localSheetId="28" hidden="1">#REF!</definedName>
    <definedName name="__123Graph_XCurrent" localSheetId="29" hidden="1">#REF!</definedName>
    <definedName name="__123Graph_XCurrent" localSheetId="30" hidden="1">#REF!</definedName>
    <definedName name="__123Graph_XCurrent" localSheetId="31" hidden="1">#REF!</definedName>
    <definedName name="__123Graph_XCurrent" localSheetId="10" hidden="1">#REF!</definedName>
    <definedName name="__123Graph_XCurrent" localSheetId="11" hidden="1">#REF!</definedName>
    <definedName name="__123Graph_XCurrent" localSheetId="12" hidden="1">#REF!</definedName>
    <definedName name="__123Graph_XCurrent" localSheetId="13" hidden="1">#REF!</definedName>
    <definedName name="__123Graph_XCurrent" localSheetId="14" hidden="1">#REF!</definedName>
    <definedName name="__123Graph_XCurrent" localSheetId="15" hidden="1">#REF!</definedName>
    <definedName name="__123Graph_XCurrent" localSheetId="16" hidden="1">#REF!</definedName>
    <definedName name="__123Graph_XCurrent" hidden="1">#REF!</definedName>
    <definedName name="_1__123Graph_AChart_1A" localSheetId="1" hidden="1">#REF!</definedName>
    <definedName name="_1__123Graph_AChart_1A" localSheetId="5" hidden="1">#REF!</definedName>
    <definedName name="_1__123Graph_AChart_1A" localSheetId="0" hidden="1">#REF!</definedName>
    <definedName name="_1__123Graph_AChart_1A" localSheetId="4" hidden="1">#REF!</definedName>
    <definedName name="_1__123Graph_AChart_1A" localSheetId="3" hidden="1">#REF!</definedName>
    <definedName name="_1__123Graph_AChart_1A" localSheetId="2" hidden="1">#REF!</definedName>
    <definedName name="_1__123Graph_AChart_1A" localSheetId="6" hidden="1">#REF!</definedName>
    <definedName name="_1__123Graph_AChart_1A" localSheetId="8" hidden="1">#REF!</definedName>
    <definedName name="_1__123Graph_AChart_1A" localSheetId="17" hidden="1">#REF!</definedName>
    <definedName name="_1__123Graph_AChart_1A" localSheetId="18" hidden="1">#REF!</definedName>
    <definedName name="_1__123Graph_AChart_1A" localSheetId="19" hidden="1">#REF!</definedName>
    <definedName name="_1__123Graph_AChart_1A" localSheetId="20" hidden="1">#REF!</definedName>
    <definedName name="_1__123Graph_AChart_1A" localSheetId="21" hidden="1">#REF!</definedName>
    <definedName name="_1__123Graph_AChart_1A" localSheetId="22" hidden="1">#REF!</definedName>
    <definedName name="_1__123Graph_AChart_1A" localSheetId="23" hidden="1">#REF!</definedName>
    <definedName name="_1__123Graph_AChart_1A" localSheetId="24" hidden="1">#REF!</definedName>
    <definedName name="_1__123Graph_AChart_1A" localSheetId="25" hidden="1">#REF!</definedName>
    <definedName name="_1__123Graph_AChart_1A" localSheetId="26" hidden="1">#REF!</definedName>
    <definedName name="_1__123Graph_AChart_1A" localSheetId="9" hidden="1">#REF!</definedName>
    <definedName name="_1__123Graph_AChart_1A" localSheetId="27" hidden="1">#REF!</definedName>
    <definedName name="_1__123Graph_AChart_1A" localSheetId="28" hidden="1">#REF!</definedName>
    <definedName name="_1__123Graph_AChart_1A" localSheetId="29" hidden="1">#REF!</definedName>
    <definedName name="_1__123Graph_AChart_1A" localSheetId="30" hidden="1">#REF!</definedName>
    <definedName name="_1__123Graph_AChart_1A" localSheetId="31" hidden="1">#REF!</definedName>
    <definedName name="_1__123Graph_AChart_1A" localSheetId="10" hidden="1">#REF!</definedName>
    <definedName name="_1__123Graph_AChart_1A" localSheetId="11" hidden="1">#REF!</definedName>
    <definedName name="_1__123Graph_AChart_1A" localSheetId="12" hidden="1">#REF!</definedName>
    <definedName name="_1__123Graph_AChart_1A" localSheetId="13" hidden="1">#REF!</definedName>
    <definedName name="_1__123Graph_AChart_1A" localSheetId="14" hidden="1">#REF!</definedName>
    <definedName name="_1__123Graph_AChart_1A" localSheetId="15" hidden="1">#REF!</definedName>
    <definedName name="_1__123Graph_AChart_1A" localSheetId="16" hidden="1">#REF!</definedName>
    <definedName name="_1__123Graph_AChart_1A" hidden="1">#REF!</definedName>
    <definedName name="_2__123Graph_BChart_1A" localSheetId="1" hidden="1">#REF!</definedName>
    <definedName name="_2__123Graph_BChart_1A" localSheetId="5" hidden="1">#REF!</definedName>
    <definedName name="_2__123Graph_BChart_1A" localSheetId="0" hidden="1">#REF!</definedName>
    <definedName name="_2__123Graph_BChart_1A" localSheetId="4" hidden="1">#REF!</definedName>
    <definedName name="_2__123Graph_BChart_1A" localSheetId="3" hidden="1">#REF!</definedName>
    <definedName name="_2__123Graph_BChart_1A" localSheetId="2" hidden="1">#REF!</definedName>
    <definedName name="_2__123Graph_BChart_1A" localSheetId="6" hidden="1">#REF!</definedName>
    <definedName name="_2__123Graph_BChart_1A" localSheetId="8" hidden="1">#REF!</definedName>
    <definedName name="_2__123Graph_BChart_1A" localSheetId="17" hidden="1">#REF!</definedName>
    <definedName name="_2__123Graph_BChart_1A" localSheetId="18" hidden="1">#REF!</definedName>
    <definedName name="_2__123Graph_BChart_1A" localSheetId="19" hidden="1">#REF!</definedName>
    <definedName name="_2__123Graph_BChart_1A" localSheetId="20" hidden="1">#REF!</definedName>
    <definedName name="_2__123Graph_BChart_1A" localSheetId="21" hidden="1">#REF!</definedName>
    <definedName name="_2__123Graph_BChart_1A" localSheetId="22" hidden="1">#REF!</definedName>
    <definedName name="_2__123Graph_BChart_1A" localSheetId="23" hidden="1">#REF!</definedName>
    <definedName name="_2__123Graph_BChart_1A" localSheetId="24" hidden="1">#REF!</definedName>
    <definedName name="_2__123Graph_BChart_1A" localSheetId="25" hidden="1">#REF!</definedName>
    <definedName name="_2__123Graph_BChart_1A" localSheetId="26" hidden="1">#REF!</definedName>
    <definedName name="_2__123Graph_BChart_1A" localSheetId="9" hidden="1">#REF!</definedName>
    <definedName name="_2__123Graph_BChart_1A" localSheetId="27" hidden="1">#REF!</definedName>
    <definedName name="_2__123Graph_BChart_1A" localSheetId="28" hidden="1">#REF!</definedName>
    <definedName name="_2__123Graph_BChart_1A" localSheetId="29" hidden="1">#REF!</definedName>
    <definedName name="_2__123Graph_BChart_1A" localSheetId="30" hidden="1">#REF!</definedName>
    <definedName name="_2__123Graph_BChart_1A" localSheetId="31" hidden="1">#REF!</definedName>
    <definedName name="_2__123Graph_BChart_1A" localSheetId="10" hidden="1">#REF!</definedName>
    <definedName name="_2__123Graph_BChart_1A" localSheetId="11" hidden="1">#REF!</definedName>
    <definedName name="_2__123Graph_BChart_1A" localSheetId="12" hidden="1">#REF!</definedName>
    <definedName name="_2__123Graph_BChart_1A" localSheetId="13" hidden="1">#REF!</definedName>
    <definedName name="_2__123Graph_BChart_1A" localSheetId="14" hidden="1">#REF!</definedName>
    <definedName name="_2__123Graph_BChart_1A" localSheetId="15" hidden="1">#REF!</definedName>
    <definedName name="_2__123Graph_BChart_1A" localSheetId="16" hidden="1">#REF!</definedName>
    <definedName name="_2__123Graph_BChart_1A" hidden="1">#REF!</definedName>
    <definedName name="_3__123Graph_XChart_1A" localSheetId="1" hidden="1">#REF!</definedName>
    <definedName name="_3__123Graph_XChart_1A" localSheetId="5" hidden="1">#REF!</definedName>
    <definedName name="_3__123Graph_XChart_1A" localSheetId="0" hidden="1">#REF!</definedName>
    <definedName name="_3__123Graph_XChart_1A" localSheetId="4" hidden="1">#REF!</definedName>
    <definedName name="_3__123Graph_XChart_1A" localSheetId="3" hidden="1">#REF!</definedName>
    <definedName name="_3__123Graph_XChart_1A" localSheetId="2" hidden="1">#REF!</definedName>
    <definedName name="_3__123Graph_XChart_1A" localSheetId="6" hidden="1">#REF!</definedName>
    <definedName name="_3__123Graph_XChart_1A" localSheetId="8" hidden="1">#REF!</definedName>
    <definedName name="_3__123Graph_XChart_1A" localSheetId="17" hidden="1">#REF!</definedName>
    <definedName name="_3__123Graph_XChart_1A" localSheetId="18" hidden="1">#REF!</definedName>
    <definedName name="_3__123Graph_XChart_1A" localSheetId="19" hidden="1">#REF!</definedName>
    <definedName name="_3__123Graph_XChart_1A" localSheetId="20" hidden="1">#REF!</definedName>
    <definedName name="_3__123Graph_XChart_1A" localSheetId="21" hidden="1">#REF!</definedName>
    <definedName name="_3__123Graph_XChart_1A" localSheetId="22" hidden="1">#REF!</definedName>
    <definedName name="_3__123Graph_XChart_1A" localSheetId="23" hidden="1">#REF!</definedName>
    <definedName name="_3__123Graph_XChart_1A" localSheetId="24" hidden="1">#REF!</definedName>
    <definedName name="_3__123Graph_XChart_1A" localSheetId="25" hidden="1">#REF!</definedName>
    <definedName name="_3__123Graph_XChart_1A" localSheetId="26" hidden="1">#REF!</definedName>
    <definedName name="_3__123Graph_XChart_1A" localSheetId="9" hidden="1">#REF!</definedName>
    <definedName name="_3__123Graph_XChart_1A" localSheetId="27" hidden="1">#REF!</definedName>
    <definedName name="_3__123Graph_XChart_1A" localSheetId="28" hidden="1">#REF!</definedName>
    <definedName name="_3__123Graph_XChart_1A" localSheetId="29" hidden="1">#REF!</definedName>
    <definedName name="_3__123Graph_XChart_1A" localSheetId="30" hidden="1">#REF!</definedName>
    <definedName name="_3__123Graph_XChart_1A" localSheetId="31" hidden="1">#REF!</definedName>
    <definedName name="_3__123Graph_XChart_1A" localSheetId="10" hidden="1">#REF!</definedName>
    <definedName name="_3__123Graph_XChart_1A" localSheetId="11" hidden="1">#REF!</definedName>
    <definedName name="_3__123Graph_XChart_1A" localSheetId="12" hidden="1">#REF!</definedName>
    <definedName name="_3__123Graph_XChart_1A" localSheetId="13" hidden="1">#REF!</definedName>
    <definedName name="_3__123Graph_XChart_1A" localSheetId="14" hidden="1">#REF!</definedName>
    <definedName name="_3__123Graph_XChart_1A" localSheetId="15" hidden="1">#REF!</definedName>
    <definedName name="_3__123Graph_XChart_1A" localSheetId="16" hidden="1">#REF!</definedName>
    <definedName name="_3__123Graph_XChart_1A" hidden="1">#REF!</definedName>
    <definedName name="_Fill" localSheetId="1" hidden="1">#REF!</definedName>
    <definedName name="_Fill" localSheetId="5" hidden="1">#REF!</definedName>
    <definedName name="_Fill" localSheetId="0" hidden="1">#REF!</definedName>
    <definedName name="_Fill" localSheetId="4" hidden="1">#REF!</definedName>
    <definedName name="_Fill" localSheetId="3" hidden="1">#REF!</definedName>
    <definedName name="_Fill" localSheetId="2" hidden="1">#REF!</definedName>
    <definedName name="_Fill" localSheetId="6" hidden="1">#REF!</definedName>
    <definedName name="_Fill" localSheetId="8" hidden="1">#REF!</definedName>
    <definedName name="_Fill" localSheetId="17" hidden="1">#REF!</definedName>
    <definedName name="_Fill" localSheetId="18" hidden="1">#REF!</definedName>
    <definedName name="_Fill" localSheetId="19" hidden="1">#REF!</definedName>
    <definedName name="_Fill" localSheetId="20" hidden="1">#REF!</definedName>
    <definedName name="_Fill" localSheetId="21" hidden="1">#REF!</definedName>
    <definedName name="_Fill" localSheetId="22" hidden="1">#REF!</definedName>
    <definedName name="_Fill" localSheetId="23" hidden="1">#REF!</definedName>
    <definedName name="_Fill" localSheetId="24" hidden="1">#REF!</definedName>
    <definedName name="_Fill" localSheetId="25" hidden="1">#REF!</definedName>
    <definedName name="_Fill" localSheetId="26" hidden="1">#REF!</definedName>
    <definedName name="_Fill" localSheetId="9" hidden="1">#REF!</definedName>
    <definedName name="_Fill" localSheetId="27" hidden="1">#REF!</definedName>
    <definedName name="_Fill" localSheetId="28" hidden="1">#REF!</definedName>
    <definedName name="_Fill" localSheetId="29" hidden="1">#REF!</definedName>
    <definedName name="_Fill" localSheetId="30" hidden="1">#REF!</definedName>
    <definedName name="_Fill" localSheetId="31" hidden="1">#REF!</definedName>
    <definedName name="_Fill" localSheetId="10" hidden="1">#REF!</definedName>
    <definedName name="_Fill" localSheetId="11" hidden="1">#REF!</definedName>
    <definedName name="_Fill" localSheetId="12" hidden="1">#REF!</definedName>
    <definedName name="_Fill" localSheetId="13" hidden="1">#REF!</definedName>
    <definedName name="_Fill" localSheetId="14" hidden="1">#REF!</definedName>
    <definedName name="_Fill" localSheetId="15" hidden="1">#REF!</definedName>
    <definedName name="_Fill" localSheetId="16" hidden="1">#REF!</definedName>
    <definedName name="_Fill" hidden="1">#REF!</definedName>
    <definedName name="_xlnm._FilterDatabase" localSheetId="1" hidden="1">book!$A$7:$Y$81</definedName>
    <definedName name="_xlnm._FilterDatabase" localSheetId="5" hidden="1">'Break Down CI'!$A$7:$X$81</definedName>
    <definedName name="_xlnm._FilterDatabase" localSheetId="0" hidden="1">'Break Down CI (Rve1)'!$A$7:$Z$81</definedName>
    <definedName name="_xlnm._FilterDatabase" localSheetId="2" hidden="1">'Detailed PL'!$B$14:$AZ$89</definedName>
    <definedName name="_xlnm._FilterDatabase" localSheetId="7" hidden="1">'PL(2_2)'!$B$14:$V$39</definedName>
    <definedName name="_xlnm._FilterDatabase" localSheetId="8" hidden="1">'SHIPPING MARK(1)'!$A$1:$A$20</definedName>
    <definedName name="_xlnm._FilterDatabase" localSheetId="17" hidden="1">'SHIPPING MARK(10)'!$A$1:$A$20</definedName>
    <definedName name="_xlnm._FilterDatabase" localSheetId="18" hidden="1">'SHIPPING MARK(11)'!$A$1:$A$20</definedName>
    <definedName name="_xlnm._FilterDatabase" localSheetId="19" hidden="1">'SHIPPING MARK(12)'!$A$1:$A$20</definedName>
    <definedName name="_xlnm._FilterDatabase" localSheetId="20" hidden="1">'SHIPPING MARK(13)'!$A$1:$A$20</definedName>
    <definedName name="_xlnm._FilterDatabase" localSheetId="21" hidden="1">'SHIPPING MARK(14)'!$A$1:$A$20</definedName>
    <definedName name="_xlnm._FilterDatabase" localSheetId="22" hidden="1">'SHIPPING MARK(15)'!$A$1:$A$20</definedName>
    <definedName name="_xlnm._FilterDatabase" localSheetId="23" hidden="1">'SHIPPING MARK(16)'!$A$1:$A$20</definedName>
    <definedName name="_xlnm._FilterDatabase" localSheetId="24" hidden="1">'SHIPPING MARK(17)'!$A$1:$A$20</definedName>
    <definedName name="_xlnm._FilterDatabase" localSheetId="25" hidden="1">'SHIPPING MARK(18)'!$A$1:$A$20</definedName>
    <definedName name="_xlnm._FilterDatabase" localSheetId="26" hidden="1">'SHIPPING MARK(19)'!$A$1:$A$20</definedName>
    <definedName name="_xlnm._FilterDatabase" localSheetId="9" hidden="1">'SHIPPING MARK(2)'!$A$1:$A$20</definedName>
    <definedName name="_xlnm._FilterDatabase" localSheetId="27" hidden="1">'SHIPPING MARK(20)'!$A$1:$A$20</definedName>
    <definedName name="_xlnm._FilterDatabase" localSheetId="28" hidden="1">'SHIPPING MARK(21)'!$A$1:$A$20</definedName>
    <definedName name="_xlnm._FilterDatabase" localSheetId="29" hidden="1">'SHIPPING MARK(22)'!$A$1:$A$20</definedName>
    <definedName name="_xlnm._FilterDatabase" localSheetId="30" hidden="1">'SHIPPING MARK(23)'!$A$1:$A$20</definedName>
    <definedName name="_xlnm._FilterDatabase" localSheetId="31" hidden="1">'SHIPPING MARK(24)'!$A$1:$A$20</definedName>
    <definedName name="_xlnm._FilterDatabase" localSheetId="10" hidden="1">'SHIPPING MARK(3)'!$A$1:$A$20</definedName>
    <definedName name="_xlnm._FilterDatabase" localSheetId="11" hidden="1">'SHIPPING MARK(4)'!$A$1:$A$20</definedName>
    <definedName name="_xlnm._FilterDatabase" localSheetId="12" hidden="1">'SHIPPING MARK(5)'!$A$1:$A$20</definedName>
    <definedName name="_xlnm._FilterDatabase" localSheetId="13" hidden="1">'SHIPPING MARK(6)'!$A$1:$A$20</definedName>
    <definedName name="_xlnm._FilterDatabase" localSheetId="14" hidden="1">'SHIPPING MARK(7)'!$A$1:$A$20</definedName>
    <definedName name="_xlnm._FilterDatabase" localSheetId="15" hidden="1">'SHIPPING MARK(8)'!$A$1:$A$20</definedName>
    <definedName name="_xlnm._FilterDatabase" localSheetId="16" hidden="1">'SHIPPING MARK(9)'!$A$1:$A$20</definedName>
    <definedName name="_xlnm._FilterDatabase" localSheetId="32" hidden="1">'Technical Description'!$A$8:$H$33</definedName>
    <definedName name="_Hlk215568700" localSheetId="36">PSIC!$B$2</definedName>
    <definedName name="_Key1" localSheetId="1" hidden="1">#REF!</definedName>
    <definedName name="_Key1" localSheetId="5" hidden="1">#REF!</definedName>
    <definedName name="_Key1" localSheetId="0" hidden="1">#REF!</definedName>
    <definedName name="_Key1" localSheetId="4" hidden="1">#REF!</definedName>
    <definedName name="_Key1" localSheetId="3" hidden="1">#REF!</definedName>
    <definedName name="_Key1" localSheetId="6" hidden="1">#REF!</definedName>
    <definedName name="_Key1" localSheetId="8" hidden="1">#REF!</definedName>
    <definedName name="_Key1" localSheetId="17" hidden="1">#REF!</definedName>
    <definedName name="_Key1" localSheetId="18" hidden="1">#REF!</definedName>
    <definedName name="_Key1" localSheetId="19" hidden="1">#REF!</definedName>
    <definedName name="_Key1" localSheetId="20" hidden="1">#REF!</definedName>
    <definedName name="_Key1" localSheetId="21" hidden="1">#REF!</definedName>
    <definedName name="_Key1" localSheetId="22" hidden="1">#REF!</definedName>
    <definedName name="_Key1" localSheetId="23" hidden="1">#REF!</definedName>
    <definedName name="_Key1" localSheetId="24" hidden="1">#REF!</definedName>
    <definedName name="_Key1" localSheetId="25" hidden="1">#REF!</definedName>
    <definedName name="_Key1" localSheetId="26" hidden="1">#REF!</definedName>
    <definedName name="_Key1" localSheetId="9" hidden="1">#REF!</definedName>
    <definedName name="_Key1" localSheetId="27" hidden="1">#REF!</definedName>
    <definedName name="_Key1" localSheetId="28" hidden="1">#REF!</definedName>
    <definedName name="_Key1" localSheetId="29" hidden="1">#REF!</definedName>
    <definedName name="_Key1" localSheetId="30" hidden="1">#REF!</definedName>
    <definedName name="_Key1" localSheetId="31" hidden="1">#REF!</definedName>
    <definedName name="_Key1" localSheetId="10" hidden="1">#REF!</definedName>
    <definedName name="_Key1" localSheetId="11" hidden="1">#REF!</definedName>
    <definedName name="_Key1" localSheetId="12" hidden="1">#REF!</definedName>
    <definedName name="_Key1" localSheetId="13" hidden="1">#REF!</definedName>
    <definedName name="_Key1" localSheetId="14" hidden="1">#REF!</definedName>
    <definedName name="_Key1" localSheetId="15" hidden="1">#REF!</definedName>
    <definedName name="_Key1" localSheetId="16" hidden="1">#REF!</definedName>
    <definedName name="_Key1" hidden="1">#REF!</definedName>
    <definedName name="_Key2" localSheetId="1" hidden="1">#REF!</definedName>
    <definedName name="_Key2" localSheetId="5" hidden="1">#REF!</definedName>
    <definedName name="_Key2" localSheetId="0" hidden="1">#REF!</definedName>
    <definedName name="_Key2" localSheetId="4" hidden="1">#REF!</definedName>
    <definedName name="_Key2" localSheetId="3" hidden="1">#REF!</definedName>
    <definedName name="_Key2" localSheetId="6" hidden="1">#REF!</definedName>
    <definedName name="_Key2" localSheetId="8" hidden="1">#REF!</definedName>
    <definedName name="_Key2" localSheetId="17" hidden="1">#REF!</definedName>
    <definedName name="_Key2" localSheetId="18" hidden="1">#REF!</definedName>
    <definedName name="_Key2" localSheetId="19" hidden="1">#REF!</definedName>
    <definedName name="_Key2" localSheetId="20" hidden="1">#REF!</definedName>
    <definedName name="_Key2" localSheetId="21" hidden="1">#REF!</definedName>
    <definedName name="_Key2" localSheetId="22" hidden="1">#REF!</definedName>
    <definedName name="_Key2" localSheetId="23" hidden="1">#REF!</definedName>
    <definedName name="_Key2" localSheetId="24" hidden="1">#REF!</definedName>
    <definedName name="_Key2" localSheetId="25" hidden="1">#REF!</definedName>
    <definedName name="_Key2" localSheetId="26" hidden="1">#REF!</definedName>
    <definedName name="_Key2" localSheetId="9" hidden="1">#REF!</definedName>
    <definedName name="_Key2" localSheetId="27" hidden="1">#REF!</definedName>
    <definedName name="_Key2" localSheetId="28" hidden="1">#REF!</definedName>
    <definedName name="_Key2" localSheetId="29" hidden="1">#REF!</definedName>
    <definedName name="_Key2" localSheetId="30" hidden="1">#REF!</definedName>
    <definedName name="_Key2" localSheetId="31" hidden="1">#REF!</definedName>
    <definedName name="_Key2" localSheetId="10" hidden="1">#REF!</definedName>
    <definedName name="_Key2" localSheetId="11" hidden="1">#REF!</definedName>
    <definedName name="_Key2" localSheetId="12" hidden="1">#REF!</definedName>
    <definedName name="_Key2" localSheetId="13" hidden="1">#REF!</definedName>
    <definedName name="_Key2" localSheetId="14" hidden="1">#REF!</definedName>
    <definedName name="_Key2" localSheetId="15" hidden="1">#REF!</definedName>
    <definedName name="_Key2" localSheetId="16" hidden="1">#REF!</definedName>
    <definedName name="_Key2" hidden="1">#REF!</definedName>
    <definedName name="_Order1" hidden="1">255</definedName>
    <definedName name="_Order2" hidden="1">255</definedName>
    <definedName name="_Parse_In" localSheetId="1" hidden="1">#REF!</definedName>
    <definedName name="_Parse_In" localSheetId="5" hidden="1">#REF!</definedName>
    <definedName name="_Parse_In" localSheetId="0" hidden="1">#REF!</definedName>
    <definedName name="_Parse_In" localSheetId="4" hidden="1">#REF!</definedName>
    <definedName name="_Parse_In" localSheetId="3" hidden="1">#REF!</definedName>
    <definedName name="_Parse_In" localSheetId="2" hidden="1">#REF!</definedName>
    <definedName name="_Parse_In" localSheetId="6" hidden="1">#REF!</definedName>
    <definedName name="_Parse_In" localSheetId="8" hidden="1">#REF!</definedName>
    <definedName name="_Parse_In" localSheetId="17" hidden="1">#REF!</definedName>
    <definedName name="_Parse_In" localSheetId="18" hidden="1">#REF!</definedName>
    <definedName name="_Parse_In" localSheetId="19" hidden="1">#REF!</definedName>
    <definedName name="_Parse_In" localSheetId="20" hidden="1">#REF!</definedName>
    <definedName name="_Parse_In" localSheetId="21" hidden="1">#REF!</definedName>
    <definedName name="_Parse_In" localSheetId="22" hidden="1">#REF!</definedName>
    <definedName name="_Parse_In" localSheetId="23" hidden="1">#REF!</definedName>
    <definedName name="_Parse_In" localSheetId="24" hidden="1">#REF!</definedName>
    <definedName name="_Parse_In" localSheetId="25" hidden="1">#REF!</definedName>
    <definedName name="_Parse_In" localSheetId="26" hidden="1">#REF!</definedName>
    <definedName name="_Parse_In" localSheetId="9" hidden="1">#REF!</definedName>
    <definedName name="_Parse_In" localSheetId="27" hidden="1">#REF!</definedName>
    <definedName name="_Parse_In" localSheetId="28" hidden="1">#REF!</definedName>
    <definedName name="_Parse_In" localSheetId="29" hidden="1">#REF!</definedName>
    <definedName name="_Parse_In" localSheetId="30" hidden="1">#REF!</definedName>
    <definedName name="_Parse_In" localSheetId="31" hidden="1">#REF!</definedName>
    <definedName name="_Parse_In" localSheetId="10" hidden="1">#REF!</definedName>
    <definedName name="_Parse_In" localSheetId="11" hidden="1">#REF!</definedName>
    <definedName name="_Parse_In" localSheetId="12" hidden="1">#REF!</definedName>
    <definedName name="_Parse_In" localSheetId="13" hidden="1">#REF!</definedName>
    <definedName name="_Parse_In" localSheetId="14" hidden="1">#REF!</definedName>
    <definedName name="_Parse_In" localSheetId="15" hidden="1">#REF!</definedName>
    <definedName name="_Parse_In" localSheetId="16" hidden="1">#REF!</definedName>
    <definedName name="_Parse_In" hidden="1">#REF!</definedName>
    <definedName name="_Parse_Out" localSheetId="1" hidden="1">#REF!</definedName>
    <definedName name="_Parse_Out" localSheetId="5" hidden="1">#REF!</definedName>
    <definedName name="_Parse_Out" localSheetId="0" hidden="1">#REF!</definedName>
    <definedName name="_Parse_Out" localSheetId="4" hidden="1">#REF!</definedName>
    <definedName name="_Parse_Out" localSheetId="3" hidden="1">#REF!</definedName>
    <definedName name="_Parse_Out" localSheetId="6" hidden="1">#REF!</definedName>
    <definedName name="_Parse_Out" localSheetId="8" hidden="1">#REF!</definedName>
    <definedName name="_Parse_Out" localSheetId="17" hidden="1">#REF!</definedName>
    <definedName name="_Parse_Out" localSheetId="18" hidden="1">#REF!</definedName>
    <definedName name="_Parse_Out" localSheetId="19" hidden="1">#REF!</definedName>
    <definedName name="_Parse_Out" localSheetId="20" hidden="1">#REF!</definedName>
    <definedName name="_Parse_Out" localSheetId="21" hidden="1">#REF!</definedName>
    <definedName name="_Parse_Out" localSheetId="22" hidden="1">#REF!</definedName>
    <definedName name="_Parse_Out" localSheetId="23" hidden="1">#REF!</definedName>
    <definedName name="_Parse_Out" localSheetId="24" hidden="1">#REF!</definedName>
    <definedName name="_Parse_Out" localSheetId="25" hidden="1">#REF!</definedName>
    <definedName name="_Parse_Out" localSheetId="26" hidden="1">#REF!</definedName>
    <definedName name="_Parse_Out" localSheetId="9" hidden="1">#REF!</definedName>
    <definedName name="_Parse_Out" localSheetId="27" hidden="1">#REF!</definedName>
    <definedName name="_Parse_Out" localSheetId="28" hidden="1">#REF!</definedName>
    <definedName name="_Parse_Out" localSheetId="29" hidden="1">#REF!</definedName>
    <definedName name="_Parse_Out" localSheetId="30" hidden="1">#REF!</definedName>
    <definedName name="_Parse_Out" localSheetId="31" hidden="1">#REF!</definedName>
    <definedName name="_Parse_Out" localSheetId="10" hidden="1">#REF!</definedName>
    <definedName name="_Parse_Out" localSheetId="11" hidden="1">#REF!</definedName>
    <definedName name="_Parse_Out" localSheetId="12" hidden="1">#REF!</definedName>
    <definedName name="_Parse_Out" localSheetId="13" hidden="1">#REF!</definedName>
    <definedName name="_Parse_Out" localSheetId="14" hidden="1">#REF!</definedName>
    <definedName name="_Parse_Out" localSheetId="15" hidden="1">#REF!</definedName>
    <definedName name="_Parse_Out" localSheetId="16" hidden="1">#REF!</definedName>
    <definedName name="_Parse_Out" hidden="1">#REF!</definedName>
    <definedName name="_Sort" localSheetId="1" hidden="1">#REF!</definedName>
    <definedName name="_Sort" localSheetId="5" hidden="1">#REF!</definedName>
    <definedName name="_Sort" localSheetId="0" hidden="1">#REF!</definedName>
    <definedName name="_Sort" localSheetId="4" hidden="1">#REF!</definedName>
    <definedName name="_Sort" localSheetId="3" hidden="1">#REF!</definedName>
    <definedName name="_Sort" localSheetId="6" hidden="1">#REF!</definedName>
    <definedName name="_Sort" localSheetId="8" hidden="1">#REF!</definedName>
    <definedName name="_Sort" localSheetId="17" hidden="1">#REF!</definedName>
    <definedName name="_Sort" localSheetId="18" hidden="1">#REF!</definedName>
    <definedName name="_Sort" localSheetId="19" hidden="1">#REF!</definedName>
    <definedName name="_Sort" localSheetId="20" hidden="1">#REF!</definedName>
    <definedName name="_Sort" localSheetId="21" hidden="1">#REF!</definedName>
    <definedName name="_Sort" localSheetId="22" hidden="1">#REF!</definedName>
    <definedName name="_Sort" localSheetId="23" hidden="1">#REF!</definedName>
    <definedName name="_Sort" localSheetId="24" hidden="1">#REF!</definedName>
    <definedName name="_Sort" localSheetId="25" hidden="1">#REF!</definedName>
    <definedName name="_Sort" localSheetId="26" hidden="1">#REF!</definedName>
    <definedName name="_Sort" localSheetId="9" hidden="1">#REF!</definedName>
    <definedName name="_Sort" localSheetId="27" hidden="1">#REF!</definedName>
    <definedName name="_Sort" localSheetId="28" hidden="1">#REF!</definedName>
    <definedName name="_Sort" localSheetId="29" hidden="1">#REF!</definedName>
    <definedName name="_Sort" localSheetId="30" hidden="1">#REF!</definedName>
    <definedName name="_Sort" localSheetId="31" hidden="1">#REF!</definedName>
    <definedName name="_Sort" localSheetId="10" hidden="1">#REF!</definedName>
    <definedName name="_Sort" localSheetId="11" hidden="1">#REF!</definedName>
    <definedName name="_Sort" localSheetId="12" hidden="1">#REF!</definedName>
    <definedName name="_Sort" localSheetId="13" hidden="1">#REF!</definedName>
    <definedName name="_Sort" localSheetId="14" hidden="1">#REF!</definedName>
    <definedName name="_Sort" localSheetId="15" hidden="1">#REF!</definedName>
    <definedName name="_Sort" localSheetId="16" hidden="1">#REF!</definedName>
    <definedName name="_Sort" hidden="1">#REF!</definedName>
    <definedName name="A" localSheetId="1" hidden="1">#REF!</definedName>
    <definedName name="A" localSheetId="5" hidden="1">#REF!</definedName>
    <definedName name="A" localSheetId="0" hidden="1">#REF!</definedName>
    <definedName name="A" localSheetId="4" hidden="1">#REF!</definedName>
    <definedName name="A" localSheetId="3" hidden="1">#REF!</definedName>
    <definedName name="A" localSheetId="6" hidden="1">#REF!</definedName>
    <definedName name="A" localSheetId="8" hidden="1">#REF!</definedName>
    <definedName name="A" localSheetId="17" hidden="1">#REF!</definedName>
    <definedName name="A" localSheetId="18" hidden="1">#REF!</definedName>
    <definedName name="A" localSheetId="19" hidden="1">#REF!</definedName>
    <definedName name="A" localSheetId="20" hidden="1">#REF!</definedName>
    <definedName name="A" localSheetId="21" hidden="1">#REF!</definedName>
    <definedName name="A" localSheetId="22" hidden="1">#REF!</definedName>
    <definedName name="A" localSheetId="23" hidden="1">#REF!</definedName>
    <definedName name="A" localSheetId="24" hidden="1">#REF!</definedName>
    <definedName name="A" localSheetId="25" hidden="1">#REF!</definedName>
    <definedName name="A" localSheetId="26" hidden="1">#REF!</definedName>
    <definedName name="A" localSheetId="9" hidden="1">#REF!</definedName>
    <definedName name="A" localSheetId="27" hidden="1">#REF!</definedName>
    <definedName name="A" localSheetId="28" hidden="1">#REF!</definedName>
    <definedName name="A" localSheetId="29" hidden="1">#REF!</definedName>
    <definedName name="A" localSheetId="30" hidden="1">#REF!</definedName>
    <definedName name="A" localSheetId="31" hidden="1">#REF!</definedName>
    <definedName name="A" localSheetId="10" hidden="1">#REF!</definedName>
    <definedName name="A" localSheetId="11" hidden="1">#REF!</definedName>
    <definedName name="A" localSheetId="12" hidden="1">#REF!</definedName>
    <definedName name="A" localSheetId="13" hidden="1">#REF!</definedName>
    <definedName name="A" localSheetId="14" hidden="1">#REF!</definedName>
    <definedName name="A" localSheetId="15" hidden="1">#REF!</definedName>
    <definedName name="A" localSheetId="16" hidden="1">#REF!</definedName>
    <definedName name="A" hidden="1">#REF!</definedName>
    <definedName name="ABC" localSheetId="1" hidden="1">#REF!</definedName>
    <definedName name="ABC" localSheetId="5" hidden="1">#REF!</definedName>
    <definedName name="ABC" localSheetId="0" hidden="1">#REF!</definedName>
    <definedName name="ABC" localSheetId="4" hidden="1">#REF!</definedName>
    <definedName name="ABC" localSheetId="3" hidden="1">#REF!</definedName>
    <definedName name="ABC" localSheetId="2" hidden="1">#REF!</definedName>
    <definedName name="ABC" localSheetId="6" hidden="1">#REF!</definedName>
    <definedName name="ABC" localSheetId="8" hidden="1">#REF!</definedName>
    <definedName name="ABC" localSheetId="17" hidden="1">#REF!</definedName>
    <definedName name="ABC" localSheetId="18" hidden="1">#REF!</definedName>
    <definedName name="ABC" localSheetId="19" hidden="1">#REF!</definedName>
    <definedName name="ABC" localSheetId="20" hidden="1">#REF!</definedName>
    <definedName name="ABC" localSheetId="21" hidden="1">#REF!</definedName>
    <definedName name="ABC" localSheetId="22" hidden="1">#REF!</definedName>
    <definedName name="ABC" localSheetId="23" hidden="1">#REF!</definedName>
    <definedName name="ABC" localSheetId="24" hidden="1">#REF!</definedName>
    <definedName name="ABC" localSheetId="25" hidden="1">#REF!</definedName>
    <definedName name="ABC" localSheetId="26" hidden="1">#REF!</definedName>
    <definedName name="ABC" localSheetId="9" hidden="1">#REF!</definedName>
    <definedName name="ABC" localSheetId="27" hidden="1">#REF!</definedName>
    <definedName name="ABC" localSheetId="28" hidden="1">#REF!</definedName>
    <definedName name="ABC" localSheetId="29" hidden="1">#REF!</definedName>
    <definedName name="ABC" localSheetId="30" hidden="1">#REF!</definedName>
    <definedName name="ABC" localSheetId="31" hidden="1">#REF!</definedName>
    <definedName name="ABC" localSheetId="10" hidden="1">#REF!</definedName>
    <definedName name="ABC" localSheetId="11" hidden="1">#REF!</definedName>
    <definedName name="ABC" localSheetId="12" hidden="1">#REF!</definedName>
    <definedName name="ABC" localSheetId="13" hidden="1">#REF!</definedName>
    <definedName name="ABC" localSheetId="14" hidden="1">#REF!</definedName>
    <definedName name="ABC" localSheetId="15" hidden="1">#REF!</definedName>
    <definedName name="ABC" localSheetId="16" hidden="1">#REF!</definedName>
    <definedName name="ABC" hidden="1">#REF!</definedName>
    <definedName name="CO" localSheetId="1" hidden="1">#REF!</definedName>
    <definedName name="CO" localSheetId="5" hidden="1">#REF!</definedName>
    <definedName name="CO" localSheetId="0" hidden="1">#REF!</definedName>
    <definedName name="CO" localSheetId="4" hidden="1">#REF!</definedName>
    <definedName name="CO" localSheetId="3" hidden="1">#REF!</definedName>
    <definedName name="CO" localSheetId="2" hidden="1">#REF!</definedName>
    <definedName name="CO" localSheetId="6" hidden="1">#REF!</definedName>
    <definedName name="CO" localSheetId="8" hidden="1">#REF!</definedName>
    <definedName name="CO" localSheetId="17" hidden="1">#REF!</definedName>
    <definedName name="CO" localSheetId="18" hidden="1">#REF!</definedName>
    <definedName name="CO" localSheetId="19" hidden="1">#REF!</definedName>
    <definedName name="CO" localSheetId="20" hidden="1">#REF!</definedName>
    <definedName name="CO" localSheetId="21" hidden="1">#REF!</definedName>
    <definedName name="CO" localSheetId="22" hidden="1">#REF!</definedName>
    <definedName name="CO" localSheetId="23" hidden="1">#REF!</definedName>
    <definedName name="CO" localSheetId="24" hidden="1">#REF!</definedName>
    <definedName name="CO" localSheetId="25" hidden="1">#REF!</definedName>
    <definedName name="CO" localSheetId="26" hidden="1">#REF!</definedName>
    <definedName name="CO" localSheetId="9" hidden="1">#REF!</definedName>
    <definedName name="CO" localSheetId="27" hidden="1">#REF!</definedName>
    <definedName name="CO" localSheetId="28" hidden="1">#REF!</definedName>
    <definedName name="CO" localSheetId="29" hidden="1">#REF!</definedName>
    <definedName name="CO" localSheetId="30" hidden="1">#REF!</definedName>
    <definedName name="CO" localSheetId="31" hidden="1">#REF!</definedName>
    <definedName name="CO" localSheetId="10" hidden="1">#REF!</definedName>
    <definedName name="CO" localSheetId="11" hidden="1">#REF!</definedName>
    <definedName name="CO" localSheetId="12" hidden="1">#REF!</definedName>
    <definedName name="CO" localSheetId="13" hidden="1">#REF!</definedName>
    <definedName name="CO" localSheetId="14" hidden="1">#REF!</definedName>
    <definedName name="CO" localSheetId="15" hidden="1">#REF!</definedName>
    <definedName name="CO" localSheetId="16" hidden="1">#REF!</definedName>
    <definedName name="CO" hidden="1">#REF!</definedName>
    <definedName name="e" localSheetId="8" hidden="1">#REF!</definedName>
    <definedName name="e" localSheetId="17" hidden="1">#REF!</definedName>
    <definedName name="e" localSheetId="18" hidden="1">#REF!</definedName>
    <definedName name="e" localSheetId="19" hidden="1">#REF!</definedName>
    <definedName name="e" localSheetId="20" hidden="1">#REF!</definedName>
    <definedName name="e" localSheetId="21" hidden="1">#REF!</definedName>
    <definedName name="e" localSheetId="22" hidden="1">#REF!</definedName>
    <definedName name="e" localSheetId="23" hidden="1">#REF!</definedName>
    <definedName name="e" localSheetId="24" hidden="1">#REF!</definedName>
    <definedName name="e" localSheetId="25" hidden="1">#REF!</definedName>
    <definedName name="e" localSheetId="26" hidden="1">#REF!</definedName>
    <definedName name="e" localSheetId="9" hidden="1">#REF!</definedName>
    <definedName name="e" localSheetId="27" hidden="1">#REF!</definedName>
    <definedName name="e" localSheetId="28" hidden="1">#REF!</definedName>
    <definedName name="e" localSheetId="29" hidden="1">#REF!</definedName>
    <definedName name="e" localSheetId="30" hidden="1">#REF!</definedName>
    <definedName name="e" localSheetId="31" hidden="1">#REF!</definedName>
    <definedName name="e" localSheetId="10" hidden="1">#REF!</definedName>
    <definedName name="e" localSheetId="11" hidden="1">#REF!</definedName>
    <definedName name="e" localSheetId="12" hidden="1">#REF!</definedName>
    <definedName name="e" localSheetId="13" hidden="1">#REF!</definedName>
    <definedName name="e" localSheetId="14" hidden="1">#REF!</definedName>
    <definedName name="e" localSheetId="15" hidden="1">#REF!</definedName>
    <definedName name="e" localSheetId="16" hidden="1">#REF!</definedName>
    <definedName name="e" hidden="1">#REF!</definedName>
    <definedName name="Ge" localSheetId="8" hidden="1">#REF!</definedName>
    <definedName name="Ge" localSheetId="17" hidden="1">#REF!</definedName>
    <definedName name="Ge" localSheetId="18" hidden="1">#REF!</definedName>
    <definedName name="Ge" localSheetId="19" hidden="1">#REF!</definedName>
    <definedName name="Ge" localSheetId="20" hidden="1">#REF!</definedName>
    <definedName name="Ge" localSheetId="21" hidden="1">#REF!</definedName>
    <definedName name="Ge" localSheetId="22" hidden="1">#REF!</definedName>
    <definedName name="Ge" localSheetId="23" hidden="1">#REF!</definedName>
    <definedName name="Ge" localSheetId="24" hidden="1">#REF!</definedName>
    <definedName name="Ge" localSheetId="25" hidden="1">#REF!</definedName>
    <definedName name="Ge" localSheetId="26" hidden="1">#REF!</definedName>
    <definedName name="Ge" localSheetId="9" hidden="1">#REF!</definedName>
    <definedName name="Ge" localSheetId="27" hidden="1">#REF!</definedName>
    <definedName name="Ge" localSheetId="28" hidden="1">#REF!</definedName>
    <definedName name="Ge" localSheetId="29" hidden="1">#REF!</definedName>
    <definedName name="Ge" localSheetId="30" hidden="1">#REF!</definedName>
    <definedName name="Ge" localSheetId="31" hidden="1">#REF!</definedName>
    <definedName name="Ge" localSheetId="10" hidden="1">#REF!</definedName>
    <definedName name="Ge" localSheetId="11" hidden="1">#REF!</definedName>
    <definedName name="Ge" localSheetId="12" hidden="1">#REF!</definedName>
    <definedName name="Ge" localSheetId="13" hidden="1">#REF!</definedName>
    <definedName name="Ge" localSheetId="14" hidden="1">#REF!</definedName>
    <definedName name="Ge" localSheetId="15" hidden="1">#REF!</definedName>
    <definedName name="Ge" localSheetId="16" hidden="1">#REF!</definedName>
    <definedName name="Ge" hidden="1">#REF!</definedName>
    <definedName name="iv2dt" localSheetId="1" hidden="1">#REF!</definedName>
    <definedName name="iv2dt" localSheetId="5" hidden="1">#REF!</definedName>
    <definedName name="iv2dt" localSheetId="0" hidden="1">#REF!</definedName>
    <definedName name="iv2dt" localSheetId="4" hidden="1">#REF!</definedName>
    <definedName name="iv2dt" localSheetId="3" hidden="1">#REF!</definedName>
    <definedName name="iv2dt" localSheetId="2" hidden="1">#REF!</definedName>
    <definedName name="iv2dt" localSheetId="6" hidden="1">#REF!</definedName>
    <definedName name="iv2dt" localSheetId="8" hidden="1">#REF!</definedName>
    <definedName name="iv2dt" localSheetId="17" hidden="1">#REF!</definedName>
    <definedName name="iv2dt" localSheetId="18" hidden="1">#REF!</definedName>
    <definedName name="iv2dt" localSheetId="19" hidden="1">#REF!</definedName>
    <definedName name="iv2dt" localSheetId="20" hidden="1">#REF!</definedName>
    <definedName name="iv2dt" localSheetId="21" hidden="1">#REF!</definedName>
    <definedName name="iv2dt" localSheetId="22" hidden="1">#REF!</definedName>
    <definedName name="iv2dt" localSheetId="23" hidden="1">#REF!</definedName>
    <definedName name="iv2dt" localSheetId="24" hidden="1">#REF!</definedName>
    <definedName name="iv2dt" localSheetId="25" hidden="1">#REF!</definedName>
    <definedName name="iv2dt" localSheetId="26" hidden="1">#REF!</definedName>
    <definedName name="iv2dt" localSheetId="9" hidden="1">#REF!</definedName>
    <definedName name="iv2dt" localSheetId="27" hidden="1">#REF!</definedName>
    <definedName name="iv2dt" localSheetId="28" hidden="1">#REF!</definedName>
    <definedName name="iv2dt" localSheetId="29" hidden="1">#REF!</definedName>
    <definedName name="iv2dt" localSheetId="30" hidden="1">#REF!</definedName>
    <definedName name="iv2dt" localSheetId="31" hidden="1">#REF!</definedName>
    <definedName name="iv2dt" localSheetId="10" hidden="1">#REF!</definedName>
    <definedName name="iv2dt" localSheetId="11" hidden="1">#REF!</definedName>
    <definedName name="iv2dt" localSheetId="12" hidden="1">#REF!</definedName>
    <definedName name="iv2dt" localSheetId="13" hidden="1">#REF!</definedName>
    <definedName name="iv2dt" localSheetId="14" hidden="1">#REF!</definedName>
    <definedName name="iv2dt" localSheetId="15" hidden="1">#REF!</definedName>
    <definedName name="iv2dt" localSheetId="16" hidden="1">#REF!</definedName>
    <definedName name="iv2dt" hidden="1">#REF!</definedName>
    <definedName name="ivdt" localSheetId="1" hidden="1">#REF!</definedName>
    <definedName name="ivdt" localSheetId="5" hidden="1">#REF!</definedName>
    <definedName name="ivdt" localSheetId="0" hidden="1">#REF!</definedName>
    <definedName name="ivdt" localSheetId="4" hidden="1">#REF!</definedName>
    <definedName name="ivdt" localSheetId="3" hidden="1">#REF!</definedName>
    <definedName name="ivdt" localSheetId="2" hidden="1">#REF!</definedName>
    <definedName name="ivdt" localSheetId="6" hidden="1">#REF!</definedName>
    <definedName name="ivdt" localSheetId="8" hidden="1">#REF!</definedName>
    <definedName name="ivdt" localSheetId="17" hidden="1">#REF!</definedName>
    <definedName name="ivdt" localSheetId="18" hidden="1">#REF!</definedName>
    <definedName name="ivdt" localSheetId="19" hidden="1">#REF!</definedName>
    <definedName name="ivdt" localSheetId="20" hidden="1">#REF!</definedName>
    <definedName name="ivdt" localSheetId="21" hidden="1">#REF!</definedName>
    <definedName name="ivdt" localSheetId="22" hidden="1">#REF!</definedName>
    <definedName name="ivdt" localSheetId="23" hidden="1">#REF!</definedName>
    <definedName name="ivdt" localSheetId="24" hidden="1">#REF!</definedName>
    <definedName name="ivdt" localSheetId="25" hidden="1">#REF!</definedName>
    <definedName name="ivdt" localSheetId="26" hidden="1">#REF!</definedName>
    <definedName name="ivdt" localSheetId="9" hidden="1">#REF!</definedName>
    <definedName name="ivdt" localSheetId="27" hidden="1">#REF!</definedName>
    <definedName name="ivdt" localSheetId="28" hidden="1">#REF!</definedName>
    <definedName name="ivdt" localSheetId="29" hidden="1">#REF!</definedName>
    <definedName name="ivdt" localSheetId="30" hidden="1">#REF!</definedName>
    <definedName name="ivdt" localSheetId="31" hidden="1">#REF!</definedName>
    <definedName name="ivdt" localSheetId="10" hidden="1">#REF!</definedName>
    <definedName name="ivdt" localSheetId="11" hidden="1">#REF!</definedName>
    <definedName name="ivdt" localSheetId="12" hidden="1">#REF!</definedName>
    <definedName name="ivdt" localSheetId="13" hidden="1">#REF!</definedName>
    <definedName name="ivdt" localSheetId="14" hidden="1">#REF!</definedName>
    <definedName name="ivdt" localSheetId="15" hidden="1">#REF!</definedName>
    <definedName name="ivdt" localSheetId="16" hidden="1">#REF!</definedName>
    <definedName name="ivdt" hidden="1">#REF!</definedName>
    <definedName name="KABOLINE" localSheetId="1" hidden="1">#REF!</definedName>
    <definedName name="KABOLINE" localSheetId="5" hidden="1">#REF!</definedName>
    <definedName name="KABOLINE" localSheetId="0" hidden="1">#REF!</definedName>
    <definedName name="KABOLINE" localSheetId="4" hidden="1">#REF!</definedName>
    <definedName name="KABOLINE" localSheetId="3" hidden="1">#REF!</definedName>
    <definedName name="KABOLINE" localSheetId="2" hidden="1">#REF!</definedName>
    <definedName name="KABOLINE" localSheetId="6" hidden="1">#REF!</definedName>
    <definedName name="KABOLINE" localSheetId="8" hidden="1">#REF!</definedName>
    <definedName name="KABOLINE" localSheetId="17" hidden="1">#REF!</definedName>
    <definedName name="KABOLINE" localSheetId="18" hidden="1">#REF!</definedName>
    <definedName name="KABOLINE" localSheetId="19" hidden="1">#REF!</definedName>
    <definedName name="KABOLINE" localSheetId="20" hidden="1">#REF!</definedName>
    <definedName name="KABOLINE" localSheetId="21" hidden="1">#REF!</definedName>
    <definedName name="KABOLINE" localSheetId="22" hidden="1">#REF!</definedName>
    <definedName name="KABOLINE" localSheetId="23" hidden="1">#REF!</definedName>
    <definedName name="KABOLINE" localSheetId="24" hidden="1">#REF!</definedName>
    <definedName name="KABOLINE" localSheetId="25" hidden="1">#REF!</definedName>
    <definedName name="KABOLINE" localSheetId="26" hidden="1">#REF!</definedName>
    <definedName name="KABOLINE" localSheetId="9" hidden="1">#REF!</definedName>
    <definedName name="KABOLINE" localSheetId="27" hidden="1">#REF!</definedName>
    <definedName name="KABOLINE" localSheetId="28" hidden="1">#REF!</definedName>
    <definedName name="KABOLINE" localSheetId="29" hidden="1">#REF!</definedName>
    <definedName name="KABOLINE" localSheetId="30" hidden="1">#REF!</definedName>
    <definedName name="KABOLINE" localSheetId="31" hidden="1">#REF!</definedName>
    <definedName name="KABOLINE" localSheetId="10" hidden="1">#REF!</definedName>
    <definedName name="KABOLINE" localSheetId="11" hidden="1">#REF!</definedName>
    <definedName name="KABOLINE" localSheetId="12" hidden="1">#REF!</definedName>
    <definedName name="KABOLINE" localSheetId="13" hidden="1">#REF!</definedName>
    <definedName name="KABOLINE" localSheetId="14" hidden="1">#REF!</definedName>
    <definedName name="KABOLINE" localSheetId="15" hidden="1">#REF!</definedName>
    <definedName name="KABOLINE" localSheetId="16" hidden="1">#REF!</definedName>
    <definedName name="KABOLINE" hidden="1">#REF!</definedName>
    <definedName name="latent">#REF!</definedName>
    <definedName name="_xlnm.Print_Titles" localSheetId="1">book!$7:$7</definedName>
    <definedName name="_xlnm.Print_Titles" localSheetId="5">'Break Down CI'!$7:$7</definedName>
    <definedName name="_xlnm.Print_Titles" localSheetId="0">'Break Down CI (Rve1)'!$7:$7</definedName>
    <definedName name="_xlnm.Print_Titles" localSheetId="2">'Detailed PL'!$13:$14</definedName>
    <definedName name="_xlnm.Print_Titles" localSheetId="7">'PL(2_2)'!$13:$14</definedName>
    <definedName name="_xlnm.Print_Titles" localSheetId="32">'Technical Description'!$7:$8</definedName>
    <definedName name="SM" localSheetId="8" hidden="1">#REF!</definedName>
    <definedName name="SM" localSheetId="17" hidden="1">#REF!</definedName>
    <definedName name="SM" localSheetId="18" hidden="1">#REF!</definedName>
    <definedName name="SM" localSheetId="19" hidden="1">#REF!</definedName>
    <definedName name="SM" localSheetId="20" hidden="1">#REF!</definedName>
    <definedName name="SM" localSheetId="21" hidden="1">#REF!</definedName>
    <definedName name="SM" localSheetId="22" hidden="1">#REF!</definedName>
    <definedName name="SM" localSheetId="23" hidden="1">#REF!</definedName>
    <definedName name="SM" localSheetId="24" hidden="1">#REF!</definedName>
    <definedName name="SM" localSheetId="25" hidden="1">#REF!</definedName>
    <definedName name="SM" localSheetId="26" hidden="1">#REF!</definedName>
    <definedName name="SM" localSheetId="9" hidden="1">#REF!</definedName>
    <definedName name="SM" localSheetId="27" hidden="1">#REF!</definedName>
    <definedName name="SM" localSheetId="28" hidden="1">#REF!</definedName>
    <definedName name="SM" localSheetId="29" hidden="1">#REF!</definedName>
    <definedName name="SM" localSheetId="30" hidden="1">#REF!</definedName>
    <definedName name="SM" localSheetId="31" hidden="1">#REF!</definedName>
    <definedName name="SM" localSheetId="10" hidden="1">#REF!</definedName>
    <definedName name="SM" localSheetId="11" hidden="1">#REF!</definedName>
    <definedName name="SM" localSheetId="12" hidden="1">#REF!</definedName>
    <definedName name="SM" localSheetId="13" hidden="1">#REF!</definedName>
    <definedName name="SM" localSheetId="14" hidden="1">#REF!</definedName>
    <definedName name="SM" localSheetId="15" hidden="1">#REF!</definedName>
    <definedName name="SM" localSheetId="16" hidden="1">#REF!</definedName>
    <definedName name="SM" hidden="1">#REF!</definedName>
    <definedName name="tube_test_press1_12">#REF!</definedName>
    <definedName name="_xlnm.Print_Area" localSheetId="1">book!$A$1:$O$59</definedName>
    <definedName name="_xlnm.Print_Area" localSheetId="5">'Break Down CI'!$A$1:$N$59</definedName>
    <definedName name="_xlnm.Print_Area" localSheetId="0">'Break Down CI (Rve1)'!$A$1:$P$59</definedName>
    <definedName name="_xlnm.Print_Area" localSheetId="4">'Commercial Invoice'!$A$1:$K$46</definedName>
    <definedName name="_xlnm.Print_Area" localSheetId="3">'Commercial Invoice (Rve1)'!$A$1:$K$46</definedName>
    <definedName name="_xlnm.Print_Area" localSheetId="2">'Detailed PL'!$A$1:$X$89</definedName>
    <definedName name="_xlnm.Print_Area" localSheetId="6">'Packing List (1_2)'!$A$1:$K$50</definedName>
    <definedName name="_xlnm.Print_Area" localSheetId="7">'PL(2_2)'!$B$1:$T$39</definedName>
    <definedName name="_xlnm.Print_Area" localSheetId="8">'SHIPPING MARK(1)'!$A$1:$J$20</definedName>
    <definedName name="_xlnm.Print_Area" localSheetId="17">'SHIPPING MARK(10)'!$A$1:$J$20</definedName>
    <definedName name="_xlnm.Print_Area" localSheetId="18">'SHIPPING MARK(11)'!$A$1:$J$20</definedName>
    <definedName name="_xlnm.Print_Area" localSheetId="19">'SHIPPING MARK(12)'!$A$1:$J$20</definedName>
    <definedName name="_xlnm.Print_Area" localSheetId="20">'SHIPPING MARK(13)'!$A$1:$J$20</definedName>
    <definedName name="_xlnm.Print_Area" localSheetId="21">'SHIPPING MARK(14)'!$A$1:$J$20</definedName>
    <definedName name="_xlnm.Print_Area" localSheetId="22">'SHIPPING MARK(15)'!$A$1:$J$20</definedName>
    <definedName name="_xlnm.Print_Area" localSheetId="23">'SHIPPING MARK(16)'!$A$1:$J$20</definedName>
    <definedName name="_xlnm.Print_Area" localSheetId="24">'SHIPPING MARK(17)'!$A$1:$J$20</definedName>
    <definedName name="_xlnm.Print_Area" localSheetId="25">'SHIPPING MARK(18)'!$A$1:$J$20</definedName>
    <definedName name="_xlnm.Print_Area" localSheetId="26">'SHIPPING MARK(19)'!$A$1:$J$20</definedName>
    <definedName name="_xlnm.Print_Area" localSheetId="9">'SHIPPING MARK(2)'!$A$1:$J$20</definedName>
    <definedName name="_xlnm.Print_Area" localSheetId="27">'SHIPPING MARK(20)'!$A$1:$J$20</definedName>
    <definedName name="_xlnm.Print_Area" localSheetId="28">'SHIPPING MARK(21)'!$A$1:$J$20</definedName>
    <definedName name="_xlnm.Print_Area" localSheetId="29">'SHIPPING MARK(22)'!$A$1:$J$20</definedName>
    <definedName name="_xlnm.Print_Area" localSheetId="30">'SHIPPING MARK(23)'!$A$1:$J$20</definedName>
    <definedName name="_xlnm.Print_Area" localSheetId="31">'SHIPPING MARK(24)'!$A$1:$J$20</definedName>
    <definedName name="_xlnm.Print_Area" localSheetId="10">'SHIPPING MARK(3)'!$A$1:$J$20</definedName>
    <definedName name="_xlnm.Print_Area" localSheetId="11">'SHIPPING MARK(4)'!$A$1:$J$20</definedName>
    <definedName name="_xlnm.Print_Area" localSheetId="12">'SHIPPING MARK(5)'!$A$1:$J$20</definedName>
    <definedName name="_xlnm.Print_Area" localSheetId="13">'SHIPPING MARK(6)'!$A$1:$J$20</definedName>
    <definedName name="_xlnm.Print_Area" localSheetId="14">'SHIPPING MARK(7)'!$A$1:$J$20</definedName>
    <definedName name="_xlnm.Print_Area" localSheetId="15">'SHIPPING MARK(8)'!$A$1:$J$20</definedName>
    <definedName name="_xlnm.Print_Area" localSheetId="16">'SHIPPING MARK(9)'!$A$1:$J$20</definedName>
    <definedName name="_xlnm.Print_Area" localSheetId="32">'Technical Description'!$A$1:$H$33</definedName>
    <definedName name="weki_9701.xls" localSheetId="1" hidden="1">#REF!</definedName>
    <definedName name="weki_9701.xls" localSheetId="5" hidden="1">#REF!</definedName>
    <definedName name="weki_9701.xls" localSheetId="0" hidden="1">#REF!</definedName>
    <definedName name="weki_9701.xls" localSheetId="4" hidden="1">#REF!</definedName>
    <definedName name="weki_9701.xls" localSheetId="3" hidden="1">#REF!</definedName>
    <definedName name="weki_9701.xls" localSheetId="6" hidden="1">#REF!</definedName>
    <definedName name="weki_9701.xls" localSheetId="8" hidden="1">#REF!</definedName>
    <definedName name="weki_9701.xls" localSheetId="17" hidden="1">#REF!</definedName>
    <definedName name="weki_9701.xls" localSheetId="18" hidden="1">#REF!</definedName>
    <definedName name="weki_9701.xls" localSheetId="19" hidden="1">#REF!</definedName>
    <definedName name="weki_9701.xls" localSheetId="20" hidden="1">#REF!</definedName>
    <definedName name="weki_9701.xls" localSheetId="21" hidden="1">#REF!</definedName>
    <definedName name="weki_9701.xls" localSheetId="22" hidden="1">#REF!</definedName>
    <definedName name="weki_9701.xls" localSheetId="23" hidden="1">#REF!</definedName>
    <definedName name="weki_9701.xls" localSheetId="24" hidden="1">#REF!</definedName>
    <definedName name="weki_9701.xls" localSheetId="25" hidden="1">#REF!</definedName>
    <definedName name="weki_9701.xls" localSheetId="26" hidden="1">#REF!</definedName>
    <definedName name="weki_9701.xls" localSheetId="9" hidden="1">#REF!</definedName>
    <definedName name="weki_9701.xls" localSheetId="27" hidden="1">#REF!</definedName>
    <definedName name="weki_9701.xls" localSheetId="28" hidden="1">#REF!</definedName>
    <definedName name="weki_9701.xls" localSheetId="29" hidden="1">#REF!</definedName>
    <definedName name="weki_9701.xls" localSheetId="30" hidden="1">#REF!</definedName>
    <definedName name="weki_9701.xls" localSheetId="31" hidden="1">#REF!</definedName>
    <definedName name="weki_9701.xls" localSheetId="10" hidden="1">#REF!</definedName>
    <definedName name="weki_9701.xls" localSheetId="11" hidden="1">#REF!</definedName>
    <definedName name="weki_9701.xls" localSheetId="12" hidden="1">#REF!</definedName>
    <definedName name="weki_9701.xls" localSheetId="13" hidden="1">#REF!</definedName>
    <definedName name="weki_9701.xls" localSheetId="14" hidden="1">#REF!</definedName>
    <definedName name="weki_9701.xls" localSheetId="15" hidden="1">#REF!</definedName>
    <definedName name="weki_9701.xls" localSheetId="16" hidden="1">#REF!</definedName>
    <definedName name="weki_9701.xls" hidden="1">#REF!</definedName>
    <definedName name="wekir9701.xls" localSheetId="1" hidden="1">#REF!</definedName>
    <definedName name="wekir9701.xls" localSheetId="5" hidden="1">#REF!</definedName>
    <definedName name="wekir9701.xls" localSheetId="0" hidden="1">#REF!</definedName>
    <definedName name="wekir9701.xls" localSheetId="4" hidden="1">#REF!</definedName>
    <definedName name="wekir9701.xls" localSheetId="3" hidden="1">#REF!</definedName>
    <definedName name="wekir9701.xls" localSheetId="6" hidden="1">#REF!</definedName>
    <definedName name="wekir9701.xls" localSheetId="8" hidden="1">#REF!</definedName>
    <definedName name="wekir9701.xls" localSheetId="17" hidden="1">#REF!</definedName>
    <definedName name="wekir9701.xls" localSheetId="18" hidden="1">#REF!</definedName>
    <definedName name="wekir9701.xls" localSheetId="19" hidden="1">#REF!</definedName>
    <definedName name="wekir9701.xls" localSheetId="20" hidden="1">#REF!</definedName>
    <definedName name="wekir9701.xls" localSheetId="21" hidden="1">#REF!</definedName>
    <definedName name="wekir9701.xls" localSheetId="22" hidden="1">#REF!</definedName>
    <definedName name="wekir9701.xls" localSheetId="23" hidden="1">#REF!</definedName>
    <definedName name="wekir9701.xls" localSheetId="24" hidden="1">#REF!</definedName>
    <definedName name="wekir9701.xls" localSheetId="25" hidden="1">#REF!</definedName>
    <definedName name="wekir9701.xls" localSheetId="26" hidden="1">#REF!</definedName>
    <definedName name="wekir9701.xls" localSheetId="9" hidden="1">#REF!</definedName>
    <definedName name="wekir9701.xls" localSheetId="27" hidden="1">#REF!</definedName>
    <definedName name="wekir9701.xls" localSheetId="28" hidden="1">#REF!</definedName>
    <definedName name="wekir9701.xls" localSheetId="29" hidden="1">#REF!</definedName>
    <definedName name="wekir9701.xls" localSheetId="30" hidden="1">#REF!</definedName>
    <definedName name="wekir9701.xls" localSheetId="31" hidden="1">#REF!</definedName>
    <definedName name="wekir9701.xls" localSheetId="10" hidden="1">#REF!</definedName>
    <definedName name="wekir9701.xls" localSheetId="11" hidden="1">#REF!</definedName>
    <definedName name="wekir9701.xls" localSheetId="12" hidden="1">#REF!</definedName>
    <definedName name="wekir9701.xls" localSheetId="13" hidden="1">#REF!</definedName>
    <definedName name="wekir9701.xls" localSheetId="14" hidden="1">#REF!</definedName>
    <definedName name="wekir9701.xls" localSheetId="15" hidden="1">#REF!</definedName>
    <definedName name="wekir9701.xls" localSheetId="16" hidden="1">#REF!</definedName>
    <definedName name="wekir9701.xls" hidden="1">#REF!</definedName>
    <definedName name="X" localSheetId="1" hidden="1">#REF!</definedName>
    <definedName name="X" localSheetId="5" hidden="1">#REF!</definedName>
    <definedName name="X" localSheetId="0" hidden="1">#REF!</definedName>
    <definedName name="X" localSheetId="4" hidden="1">#REF!</definedName>
    <definedName name="X" localSheetId="3" hidden="1">#REF!</definedName>
    <definedName name="X" localSheetId="6" hidden="1">#REF!</definedName>
    <definedName name="X" localSheetId="8" hidden="1">#REF!</definedName>
    <definedName name="X" localSheetId="17" hidden="1">#REF!</definedName>
    <definedName name="X" localSheetId="18" hidden="1">#REF!</definedName>
    <definedName name="X" localSheetId="19" hidden="1">#REF!</definedName>
    <definedName name="X" localSheetId="20" hidden="1">#REF!</definedName>
    <definedName name="X" localSheetId="21" hidden="1">#REF!</definedName>
    <definedName name="X" localSheetId="22" hidden="1">#REF!</definedName>
    <definedName name="X" localSheetId="23" hidden="1">#REF!</definedName>
    <definedName name="X" localSheetId="24" hidden="1">#REF!</definedName>
    <definedName name="X" localSheetId="25" hidden="1">#REF!</definedName>
    <definedName name="X" localSheetId="26" hidden="1">#REF!</definedName>
    <definedName name="X" localSheetId="9" hidden="1">#REF!</definedName>
    <definedName name="X" localSheetId="27" hidden="1">#REF!</definedName>
    <definedName name="X" localSheetId="28" hidden="1">#REF!</definedName>
    <definedName name="X" localSheetId="29" hidden="1">#REF!</definedName>
    <definedName name="X" localSheetId="30" hidden="1">#REF!</definedName>
    <definedName name="X" localSheetId="31" hidden="1">#REF!</definedName>
    <definedName name="X" localSheetId="10" hidden="1">#REF!</definedName>
    <definedName name="X" localSheetId="11" hidden="1">#REF!</definedName>
    <definedName name="X" localSheetId="12" hidden="1">#REF!</definedName>
    <definedName name="X" localSheetId="13" hidden="1">#REF!</definedName>
    <definedName name="X" localSheetId="14" hidden="1">#REF!</definedName>
    <definedName name="X" localSheetId="15" hidden="1">#REF!</definedName>
    <definedName name="X" localSheetId="16" hidden="1">#REF!</definedName>
    <definedName name="X" hidden="1">#REF!</definedName>
    <definedName name="Z" localSheetId="1" hidden="1">#REF!</definedName>
    <definedName name="Z" localSheetId="5" hidden="1">#REF!</definedName>
    <definedName name="Z" localSheetId="0" hidden="1">#REF!</definedName>
    <definedName name="Z" localSheetId="4" hidden="1">#REF!</definedName>
    <definedName name="Z" localSheetId="3" hidden="1">#REF!</definedName>
    <definedName name="Z" localSheetId="6" hidden="1">#REF!</definedName>
    <definedName name="Z" localSheetId="8" hidden="1">#REF!</definedName>
    <definedName name="Z" localSheetId="17" hidden="1">#REF!</definedName>
    <definedName name="Z" localSheetId="18" hidden="1">#REF!</definedName>
    <definedName name="Z" localSheetId="19" hidden="1">#REF!</definedName>
    <definedName name="Z" localSheetId="20" hidden="1">#REF!</definedName>
    <definedName name="Z" localSheetId="21" hidden="1">#REF!</definedName>
    <definedName name="Z" localSheetId="22" hidden="1">#REF!</definedName>
    <definedName name="Z" localSheetId="23" hidden="1">#REF!</definedName>
    <definedName name="Z" localSheetId="24" hidden="1">#REF!</definedName>
    <definedName name="Z" localSheetId="25" hidden="1">#REF!</definedName>
    <definedName name="Z" localSheetId="26" hidden="1">#REF!</definedName>
    <definedName name="Z" localSheetId="9" hidden="1">#REF!</definedName>
    <definedName name="Z" localSheetId="27" hidden="1">#REF!</definedName>
    <definedName name="Z" localSheetId="28" hidden="1">#REF!</definedName>
    <definedName name="Z" localSheetId="29" hidden="1">#REF!</definedName>
    <definedName name="Z" localSheetId="30" hidden="1">#REF!</definedName>
    <definedName name="Z" localSheetId="31" hidden="1">#REF!</definedName>
    <definedName name="Z" localSheetId="10" hidden="1">#REF!</definedName>
    <definedName name="Z" localSheetId="11" hidden="1">#REF!</definedName>
    <definedName name="Z" localSheetId="12" hidden="1">#REF!</definedName>
    <definedName name="Z" localSheetId="13" hidden="1">#REF!</definedName>
    <definedName name="Z" localSheetId="14" hidden="1">#REF!</definedName>
    <definedName name="Z" localSheetId="15" hidden="1">#REF!</definedName>
    <definedName name="Z" localSheetId="16" hidden="1">#REF!</definedName>
    <definedName name="Z" hidden="1">#REF!</definedName>
    <definedName name="ㄴㅇㄹㅇㄹ" localSheetId="1" hidden="1">#REF!</definedName>
    <definedName name="ㄴㅇㄹㅇㄹ" localSheetId="5" hidden="1">#REF!</definedName>
    <definedName name="ㄴㅇㄹㅇㄹ" localSheetId="0" hidden="1">#REF!</definedName>
    <definedName name="ㄴㅇㄹㅇㄹ" localSheetId="4" hidden="1">#REF!</definedName>
    <definedName name="ㄴㅇㄹㅇㄹ" localSheetId="3" hidden="1">#REF!</definedName>
    <definedName name="ㄴㅇㄹㅇㄹ" localSheetId="2" hidden="1">#REF!</definedName>
    <definedName name="ㄴㅇㄹㅇㄹ" localSheetId="6" hidden="1">#REF!</definedName>
    <definedName name="ㄴㅇㄹㅇㄹ" localSheetId="8" hidden="1">#REF!</definedName>
    <definedName name="ㄴㅇㄹㅇㄹ" localSheetId="17" hidden="1">#REF!</definedName>
    <definedName name="ㄴㅇㄹㅇㄹ" localSheetId="18" hidden="1">#REF!</definedName>
    <definedName name="ㄴㅇㄹㅇㄹ" localSheetId="19" hidden="1">#REF!</definedName>
    <definedName name="ㄴㅇㄹㅇㄹ" localSheetId="20" hidden="1">#REF!</definedName>
    <definedName name="ㄴㅇㄹㅇㄹ" localSheetId="21" hidden="1">#REF!</definedName>
    <definedName name="ㄴㅇㄹㅇㄹ" localSheetId="22" hidden="1">#REF!</definedName>
    <definedName name="ㄴㅇㄹㅇㄹ" localSheetId="23" hidden="1">#REF!</definedName>
    <definedName name="ㄴㅇㄹㅇㄹ" localSheetId="24" hidden="1">#REF!</definedName>
    <definedName name="ㄴㅇㄹㅇㄹ" localSheetId="25" hidden="1">#REF!</definedName>
    <definedName name="ㄴㅇㄹㅇㄹ" localSheetId="26" hidden="1">#REF!</definedName>
    <definedName name="ㄴㅇㄹㅇㄹ" localSheetId="9" hidden="1">#REF!</definedName>
    <definedName name="ㄴㅇㄹㅇㄹ" localSheetId="27" hidden="1">#REF!</definedName>
    <definedName name="ㄴㅇㄹㅇㄹ" localSheetId="28" hidden="1">#REF!</definedName>
    <definedName name="ㄴㅇㄹㅇㄹ" localSheetId="29" hidden="1">#REF!</definedName>
    <definedName name="ㄴㅇㄹㅇㄹ" localSheetId="30" hidden="1">#REF!</definedName>
    <definedName name="ㄴㅇㄹㅇㄹ" localSheetId="31" hidden="1">#REF!</definedName>
    <definedName name="ㄴㅇㄹㅇㄹ" localSheetId="10" hidden="1">#REF!</definedName>
    <definedName name="ㄴㅇㄹㅇㄹ" localSheetId="11" hidden="1">#REF!</definedName>
    <definedName name="ㄴㅇㄹㅇㄹ" localSheetId="12" hidden="1">#REF!</definedName>
    <definedName name="ㄴㅇㄹㅇㄹ" localSheetId="13" hidden="1">#REF!</definedName>
    <definedName name="ㄴㅇㄹㅇㄹ" localSheetId="14" hidden="1">#REF!</definedName>
    <definedName name="ㄴㅇㄹㅇㄹ" localSheetId="15" hidden="1">#REF!</definedName>
    <definedName name="ㄴㅇㄹㅇㄹ" localSheetId="16" hidden="1">#REF!</definedName>
    <definedName name="ㄴㅇㄹㅇㄹ" hidden="1">#REF!</definedName>
    <definedName name="느" localSheetId="8" hidden="1">#REF!</definedName>
    <definedName name="느" localSheetId="17" hidden="1">#REF!</definedName>
    <definedName name="느" localSheetId="18" hidden="1">#REF!</definedName>
    <definedName name="느" localSheetId="19" hidden="1">#REF!</definedName>
    <definedName name="느" localSheetId="20" hidden="1">#REF!</definedName>
    <definedName name="느" localSheetId="21" hidden="1">#REF!</definedName>
    <definedName name="느" localSheetId="22" hidden="1">#REF!</definedName>
    <definedName name="느" localSheetId="23" hidden="1">#REF!</definedName>
    <definedName name="느" localSheetId="24" hidden="1">#REF!</definedName>
    <definedName name="느" localSheetId="25" hidden="1">#REF!</definedName>
    <definedName name="느" localSheetId="26" hidden="1">#REF!</definedName>
    <definedName name="느" localSheetId="9" hidden="1">#REF!</definedName>
    <definedName name="느" localSheetId="27" hidden="1">#REF!</definedName>
    <definedName name="느" localSheetId="28" hidden="1">#REF!</definedName>
    <definedName name="느" localSheetId="29" hidden="1">#REF!</definedName>
    <definedName name="느" localSheetId="30" hidden="1">#REF!</definedName>
    <definedName name="느" localSheetId="31" hidden="1">#REF!</definedName>
    <definedName name="느" localSheetId="10" hidden="1">#REF!</definedName>
    <definedName name="느" localSheetId="11" hidden="1">#REF!</definedName>
    <definedName name="느" localSheetId="12" hidden="1">#REF!</definedName>
    <definedName name="느" localSheetId="13" hidden="1">#REF!</definedName>
    <definedName name="느" localSheetId="14" hidden="1">#REF!</definedName>
    <definedName name="느" localSheetId="15" hidden="1">#REF!</definedName>
    <definedName name="느" localSheetId="16" hidden="1">#REF!</definedName>
    <definedName name="느" hidden="1">#REF!</definedName>
    <definedName name="ㅊㅌㅍㅊㅍㅊㅌㅍㅊㅌㅍㅊㅌㅍㅊㅌㅍㅊㅌㅍ" localSheetId="1" hidden="1">#REF!</definedName>
    <definedName name="ㅊㅌㅍㅊㅍㅊㅌㅍㅊㅌㅍㅊㅌㅍㅊㅌㅍㅊㅌㅍ" localSheetId="5" hidden="1">#REF!</definedName>
    <definedName name="ㅊㅌㅍㅊㅍㅊㅌㅍㅊㅌㅍㅊㅌㅍㅊㅌㅍㅊㅌㅍ" localSheetId="0" hidden="1">#REF!</definedName>
    <definedName name="ㅊㅌㅍㅊㅍㅊㅌㅍㅊㅌㅍㅊㅌㅍㅊㅌㅍㅊㅌㅍ" localSheetId="4" hidden="1">#REF!</definedName>
    <definedName name="ㅊㅌㅍㅊㅍㅊㅌㅍㅊㅌㅍㅊㅌㅍㅊㅌㅍㅊㅌㅍ" localSheetId="3" hidden="1">#REF!</definedName>
    <definedName name="ㅊㅌㅍㅊㅍㅊㅌㅍㅊㅌㅍㅊㅌㅍㅊㅌㅍㅊㅌㅍ" localSheetId="2" hidden="1">#REF!</definedName>
    <definedName name="ㅊㅌㅍㅊㅍㅊㅌㅍㅊㅌㅍㅊㅌㅍㅊㅌㅍㅊㅌㅍ" localSheetId="6" hidden="1">#REF!</definedName>
    <definedName name="ㅊㅌㅍㅊㅍㅊㅌㅍㅊㅌㅍㅊㅌㅍㅊㅌㅍㅊㅌㅍ" localSheetId="8" hidden="1">#REF!</definedName>
    <definedName name="ㅊㅌㅍㅊㅍㅊㅌㅍㅊㅌㅍㅊㅌㅍㅊㅌㅍㅊㅌㅍ" localSheetId="17" hidden="1">#REF!</definedName>
    <definedName name="ㅊㅌㅍㅊㅍㅊㅌㅍㅊㅌㅍㅊㅌㅍㅊㅌㅍㅊㅌㅍ" localSheetId="18" hidden="1">#REF!</definedName>
    <definedName name="ㅊㅌㅍㅊㅍㅊㅌㅍㅊㅌㅍㅊㅌㅍㅊㅌㅍㅊㅌㅍ" localSheetId="19" hidden="1">#REF!</definedName>
    <definedName name="ㅊㅌㅍㅊㅍㅊㅌㅍㅊㅌㅍㅊㅌㅍㅊㅌㅍㅊㅌㅍ" localSheetId="20" hidden="1">#REF!</definedName>
    <definedName name="ㅊㅌㅍㅊㅍㅊㅌㅍㅊㅌㅍㅊㅌㅍㅊㅌㅍㅊㅌㅍ" localSheetId="21" hidden="1">#REF!</definedName>
    <definedName name="ㅊㅌㅍㅊㅍㅊㅌㅍㅊㅌㅍㅊㅌㅍㅊㅌㅍㅊㅌㅍ" localSheetId="22" hidden="1">#REF!</definedName>
    <definedName name="ㅊㅌㅍㅊㅍㅊㅌㅍㅊㅌㅍㅊㅌㅍㅊㅌㅍㅊㅌㅍ" localSheetId="23" hidden="1">#REF!</definedName>
    <definedName name="ㅊㅌㅍㅊㅍㅊㅌㅍㅊㅌㅍㅊㅌㅍㅊㅌㅍㅊㅌㅍ" localSheetId="24" hidden="1">#REF!</definedName>
    <definedName name="ㅊㅌㅍㅊㅍㅊㅌㅍㅊㅌㅍㅊㅌㅍㅊㅌㅍㅊㅌㅍ" localSheetId="25" hidden="1">#REF!</definedName>
    <definedName name="ㅊㅌㅍㅊㅍㅊㅌㅍㅊㅌㅍㅊㅌㅍㅊㅌㅍㅊㅌㅍ" localSheetId="26" hidden="1">#REF!</definedName>
    <definedName name="ㅊㅌㅍㅊㅍㅊㅌㅍㅊㅌㅍㅊㅌㅍㅊㅌㅍㅊㅌㅍ" localSheetId="9" hidden="1">#REF!</definedName>
    <definedName name="ㅊㅌㅍㅊㅍㅊㅌㅍㅊㅌㅍㅊㅌㅍㅊㅌㅍㅊㅌㅍ" localSheetId="27" hidden="1">#REF!</definedName>
    <definedName name="ㅊㅌㅍㅊㅍㅊㅌㅍㅊㅌㅍㅊㅌㅍㅊㅌㅍㅊㅌㅍ" localSheetId="28" hidden="1">#REF!</definedName>
    <definedName name="ㅊㅌㅍㅊㅍㅊㅌㅍㅊㅌㅍㅊㅌㅍㅊㅌㅍㅊㅌㅍ" localSheetId="29" hidden="1">#REF!</definedName>
    <definedName name="ㅊㅌㅍㅊㅍㅊㅌㅍㅊㅌㅍㅊㅌㅍㅊㅌㅍㅊㅌㅍ" localSheetId="30" hidden="1">#REF!</definedName>
    <definedName name="ㅊㅌㅍㅊㅍㅊㅌㅍㅊㅌㅍㅊㅌㅍㅊㅌㅍㅊㅌㅍ" localSheetId="31" hidden="1">#REF!</definedName>
    <definedName name="ㅊㅌㅍㅊㅍㅊㅌㅍㅊㅌㅍㅊㅌㅍㅊㅌㅍㅊㅌㅍ" localSheetId="10" hidden="1">#REF!</definedName>
    <definedName name="ㅊㅌㅍㅊㅍㅊㅌㅍㅊㅌㅍㅊㅌㅍㅊㅌㅍㅊㅌㅍ" localSheetId="11" hidden="1">#REF!</definedName>
    <definedName name="ㅊㅌㅍㅊㅍㅊㅌㅍㅊㅌㅍㅊㅌㅍㅊㅌㅍㅊㅌㅍ" localSheetId="12" hidden="1">#REF!</definedName>
    <definedName name="ㅊㅌㅍㅊㅍㅊㅌㅍㅊㅌㅍㅊㅌㅍㅊㅌㅍㅊㅌㅍ" localSheetId="13" hidden="1">#REF!</definedName>
    <definedName name="ㅊㅌㅍㅊㅍㅊㅌㅍㅊㅌㅍㅊㅌㅍㅊㅌㅍㅊㅌㅍ" localSheetId="14" hidden="1">#REF!</definedName>
    <definedName name="ㅊㅌㅍㅊㅍㅊㅌㅍㅊㅌㅍㅊㅌㅍㅊㅌㅍㅊㅌㅍ" localSheetId="15" hidden="1">#REF!</definedName>
    <definedName name="ㅊㅌㅍㅊㅍㅊㅌㅍㅊㅌㅍㅊㅌㅍㅊㅌㅍㅊㅌㅍ" localSheetId="16" hidden="1">#REF!</definedName>
    <definedName name="ㅊㅌㅍㅊㅍㅊㅌㅍㅊㅌㅍㅊㅌㅍㅊㅌㅍㅊㅌㅍ" hidden="1">#REF!</definedName>
    <definedName name="ㅊㅌㅍㅊㅍㅌㅋㅊㅍㅌㅊㅍ" localSheetId="1" hidden="1">#REF!</definedName>
    <definedName name="ㅊㅌㅍㅊㅍㅌㅋㅊㅍㅌㅊㅍ" localSheetId="5" hidden="1">#REF!</definedName>
    <definedName name="ㅊㅌㅍㅊㅍㅌㅋㅊㅍㅌㅊㅍ" localSheetId="0" hidden="1">#REF!</definedName>
    <definedName name="ㅊㅌㅍㅊㅍㅌㅋㅊㅍㅌㅊㅍ" localSheetId="4" hidden="1">#REF!</definedName>
    <definedName name="ㅊㅌㅍㅊㅍㅌㅋㅊㅍㅌㅊㅍ" localSheetId="3" hidden="1">#REF!</definedName>
    <definedName name="ㅊㅌㅍㅊㅍㅌㅋㅊㅍㅌㅊㅍ" localSheetId="2" hidden="1">#REF!</definedName>
    <definedName name="ㅊㅌㅍㅊㅍㅌㅋㅊㅍㅌㅊㅍ" localSheetId="6" hidden="1">#REF!</definedName>
    <definedName name="ㅊㅌㅍㅊㅍㅌㅋㅊㅍㅌㅊㅍ" localSheetId="8" hidden="1">#REF!</definedName>
    <definedName name="ㅊㅌㅍㅊㅍㅌㅋㅊㅍㅌㅊㅍ" localSheetId="17" hidden="1">#REF!</definedName>
    <definedName name="ㅊㅌㅍㅊㅍㅌㅋㅊㅍㅌㅊㅍ" localSheetId="18" hidden="1">#REF!</definedName>
    <definedName name="ㅊㅌㅍㅊㅍㅌㅋㅊㅍㅌㅊㅍ" localSheetId="19" hidden="1">#REF!</definedName>
    <definedName name="ㅊㅌㅍㅊㅍㅌㅋㅊㅍㅌㅊㅍ" localSheetId="20" hidden="1">#REF!</definedName>
    <definedName name="ㅊㅌㅍㅊㅍㅌㅋㅊㅍㅌㅊㅍ" localSheetId="21" hidden="1">#REF!</definedName>
    <definedName name="ㅊㅌㅍㅊㅍㅌㅋㅊㅍㅌㅊㅍ" localSheetId="22" hidden="1">#REF!</definedName>
    <definedName name="ㅊㅌㅍㅊㅍㅌㅋㅊㅍㅌㅊㅍ" localSheetId="23" hidden="1">#REF!</definedName>
    <definedName name="ㅊㅌㅍㅊㅍㅌㅋㅊㅍㅌㅊㅍ" localSheetId="24" hidden="1">#REF!</definedName>
    <definedName name="ㅊㅌㅍㅊㅍㅌㅋㅊㅍㅌㅊㅍ" localSheetId="25" hidden="1">#REF!</definedName>
    <definedName name="ㅊㅌㅍㅊㅍㅌㅋㅊㅍㅌㅊㅍ" localSheetId="26" hidden="1">#REF!</definedName>
    <definedName name="ㅊㅌㅍㅊㅍㅌㅋㅊㅍㅌㅊㅍ" localSheetId="9" hidden="1">#REF!</definedName>
    <definedName name="ㅊㅌㅍㅊㅍㅌㅋㅊㅍㅌㅊㅍ" localSheetId="27" hidden="1">#REF!</definedName>
    <definedName name="ㅊㅌㅍㅊㅍㅌㅋㅊㅍㅌㅊㅍ" localSheetId="28" hidden="1">#REF!</definedName>
    <definedName name="ㅊㅌㅍㅊㅍㅌㅋㅊㅍㅌㅊㅍ" localSheetId="29" hidden="1">#REF!</definedName>
    <definedName name="ㅊㅌㅍㅊㅍㅌㅋㅊㅍㅌㅊㅍ" localSheetId="30" hidden="1">#REF!</definedName>
    <definedName name="ㅊㅌㅍㅊㅍㅌㅋㅊㅍㅌㅊㅍ" localSheetId="31" hidden="1">#REF!</definedName>
    <definedName name="ㅊㅌㅍㅊㅍㅌㅋㅊㅍㅌㅊㅍ" localSheetId="10" hidden="1">#REF!</definedName>
    <definedName name="ㅊㅌㅍㅊㅍㅌㅋㅊㅍㅌㅊㅍ" localSheetId="11" hidden="1">#REF!</definedName>
    <definedName name="ㅊㅌㅍㅊㅍㅌㅋㅊㅍㅌㅊㅍ" localSheetId="12" hidden="1">#REF!</definedName>
    <definedName name="ㅊㅌㅍㅊㅍㅌㅋㅊㅍㅌㅊㅍ" localSheetId="13" hidden="1">#REF!</definedName>
    <definedName name="ㅊㅌㅍㅊㅍㅌㅋㅊㅍㅌㅊㅍ" localSheetId="14" hidden="1">#REF!</definedName>
    <definedName name="ㅊㅌㅍㅊㅍㅌㅋㅊㅍㅌㅊㅍ" localSheetId="15" hidden="1">#REF!</definedName>
    <definedName name="ㅊㅌㅍㅊㅍㅌㅋㅊㅍㅌㅊㅍ" localSheetId="16" hidden="1">#REF!</definedName>
    <definedName name="ㅊㅌㅍㅊㅍㅌㅋㅊㅍㅌㅊㅍ" hidden="1">#REF!</definedName>
    <definedName name="ㅊㅌㅍㅋㅊㅍㅌㅊㅍㅌㅊㅍ" localSheetId="1" hidden="1">#REF!</definedName>
    <definedName name="ㅊㅌㅍㅋㅊㅍㅌㅊㅍㅌㅊㅍ" localSheetId="5" hidden="1">#REF!</definedName>
    <definedName name="ㅊㅌㅍㅋㅊㅍㅌㅊㅍㅌㅊㅍ" localSheetId="0" hidden="1">#REF!</definedName>
    <definedName name="ㅊㅌㅍㅋㅊㅍㅌㅊㅍㅌㅊㅍ" localSheetId="4" hidden="1">#REF!</definedName>
    <definedName name="ㅊㅌㅍㅋㅊㅍㅌㅊㅍㅌㅊㅍ" localSheetId="3" hidden="1">#REF!</definedName>
    <definedName name="ㅊㅌㅍㅋㅊㅍㅌㅊㅍㅌㅊㅍ" localSheetId="2" hidden="1">#REF!</definedName>
    <definedName name="ㅊㅌㅍㅋㅊㅍㅌㅊㅍㅌㅊㅍ" localSheetId="6" hidden="1">#REF!</definedName>
    <definedName name="ㅊㅌㅍㅋㅊㅍㅌㅊㅍㅌㅊㅍ" localSheetId="8" hidden="1">#REF!</definedName>
    <definedName name="ㅊㅌㅍㅋㅊㅍㅌㅊㅍㅌㅊㅍ" localSheetId="17" hidden="1">#REF!</definedName>
    <definedName name="ㅊㅌㅍㅋㅊㅍㅌㅊㅍㅌㅊㅍ" localSheetId="18" hidden="1">#REF!</definedName>
    <definedName name="ㅊㅌㅍㅋㅊㅍㅌㅊㅍㅌㅊㅍ" localSheetId="19" hidden="1">#REF!</definedName>
    <definedName name="ㅊㅌㅍㅋㅊㅍㅌㅊㅍㅌㅊㅍ" localSheetId="20" hidden="1">#REF!</definedName>
    <definedName name="ㅊㅌㅍㅋㅊㅍㅌㅊㅍㅌㅊㅍ" localSheetId="21" hidden="1">#REF!</definedName>
    <definedName name="ㅊㅌㅍㅋㅊㅍㅌㅊㅍㅌㅊㅍ" localSheetId="22" hidden="1">#REF!</definedName>
    <definedName name="ㅊㅌㅍㅋㅊㅍㅌㅊㅍㅌㅊㅍ" localSheetId="23" hidden="1">#REF!</definedName>
    <definedName name="ㅊㅌㅍㅋㅊㅍㅌㅊㅍㅌㅊㅍ" localSheetId="24" hidden="1">#REF!</definedName>
    <definedName name="ㅊㅌㅍㅋㅊㅍㅌㅊㅍㅌㅊㅍ" localSheetId="25" hidden="1">#REF!</definedName>
    <definedName name="ㅊㅌㅍㅋㅊㅍㅌㅊㅍㅌㅊㅍ" localSheetId="26" hidden="1">#REF!</definedName>
    <definedName name="ㅊㅌㅍㅋㅊㅍㅌㅊㅍㅌㅊㅍ" localSheetId="9" hidden="1">#REF!</definedName>
    <definedName name="ㅊㅌㅍㅋㅊㅍㅌㅊㅍㅌㅊㅍ" localSheetId="27" hidden="1">#REF!</definedName>
    <definedName name="ㅊㅌㅍㅋㅊㅍㅌㅊㅍㅌㅊㅍ" localSheetId="28" hidden="1">#REF!</definedName>
    <definedName name="ㅊㅌㅍㅋㅊㅍㅌㅊㅍㅌㅊㅍ" localSheetId="29" hidden="1">#REF!</definedName>
    <definedName name="ㅊㅌㅍㅋㅊㅍㅌㅊㅍㅌㅊㅍ" localSheetId="30" hidden="1">#REF!</definedName>
    <definedName name="ㅊㅌㅍㅋㅊㅍㅌㅊㅍㅌㅊㅍ" localSheetId="31" hidden="1">#REF!</definedName>
    <definedName name="ㅊㅌㅍㅋㅊㅍㅌㅊㅍㅌㅊㅍ" localSheetId="10" hidden="1">#REF!</definedName>
    <definedName name="ㅊㅌㅍㅋㅊㅍㅌㅊㅍㅌㅊㅍ" localSheetId="11" hidden="1">#REF!</definedName>
    <definedName name="ㅊㅌㅍㅋㅊㅍㅌㅊㅍㅌㅊㅍ" localSheetId="12" hidden="1">#REF!</definedName>
    <definedName name="ㅊㅌㅍㅋㅊㅍㅌㅊㅍㅌㅊㅍ" localSheetId="13" hidden="1">#REF!</definedName>
    <definedName name="ㅊㅌㅍㅋㅊㅍㅌㅊㅍㅌㅊㅍ" localSheetId="14" hidden="1">#REF!</definedName>
    <definedName name="ㅊㅌㅍㅋㅊㅍㅌㅊㅍㅌㅊㅍ" localSheetId="15" hidden="1">#REF!</definedName>
    <definedName name="ㅊㅌㅍㅋㅊㅍㅌㅊㅍㅌㅊㅍ" localSheetId="16" hidden="1">#REF!</definedName>
    <definedName name="ㅊㅌㅍㅋㅊㅍㅌㅊㅍㅌㅊㅍ" hidden="1">#REF!</definedName>
    <definedName name="ㅊㅌㅍㅌㅊㅍㅊㅌㅍㅌㅊㅍㅌㅊㅍ" localSheetId="1" hidden="1">#REF!</definedName>
    <definedName name="ㅊㅌㅍㅌㅊㅍㅊㅌㅍㅌㅊㅍㅌㅊㅍ" localSheetId="5" hidden="1">#REF!</definedName>
    <definedName name="ㅊㅌㅍㅌㅊㅍㅊㅌㅍㅌㅊㅍㅌㅊㅍ" localSheetId="0" hidden="1">#REF!</definedName>
    <definedName name="ㅊㅌㅍㅌㅊㅍㅊㅌㅍㅌㅊㅍㅌㅊㅍ" localSheetId="4" hidden="1">#REF!</definedName>
    <definedName name="ㅊㅌㅍㅌㅊㅍㅊㅌㅍㅌㅊㅍㅌㅊㅍ" localSheetId="3" hidden="1">#REF!</definedName>
    <definedName name="ㅊㅌㅍㅌㅊㅍㅊㅌㅍㅌㅊㅍㅌㅊㅍ" localSheetId="2" hidden="1">#REF!</definedName>
    <definedName name="ㅊㅌㅍㅌㅊㅍㅊㅌㅍㅌㅊㅍㅌㅊㅍ" localSheetId="6" hidden="1">#REF!</definedName>
    <definedName name="ㅊㅌㅍㅌㅊㅍㅊㅌㅍㅌㅊㅍㅌㅊㅍ" localSheetId="8" hidden="1">#REF!</definedName>
    <definedName name="ㅊㅌㅍㅌㅊㅍㅊㅌㅍㅌㅊㅍㅌㅊㅍ" localSheetId="17" hidden="1">#REF!</definedName>
    <definedName name="ㅊㅌㅍㅌㅊㅍㅊㅌㅍㅌㅊㅍㅌㅊㅍ" localSheetId="18" hidden="1">#REF!</definedName>
    <definedName name="ㅊㅌㅍㅌㅊㅍㅊㅌㅍㅌㅊㅍㅌㅊㅍ" localSheetId="19" hidden="1">#REF!</definedName>
    <definedName name="ㅊㅌㅍㅌㅊㅍㅊㅌㅍㅌㅊㅍㅌㅊㅍ" localSheetId="20" hidden="1">#REF!</definedName>
    <definedName name="ㅊㅌㅍㅌㅊㅍㅊㅌㅍㅌㅊㅍㅌㅊㅍ" localSheetId="21" hidden="1">#REF!</definedName>
    <definedName name="ㅊㅌㅍㅌㅊㅍㅊㅌㅍㅌㅊㅍㅌㅊㅍ" localSheetId="22" hidden="1">#REF!</definedName>
    <definedName name="ㅊㅌㅍㅌㅊㅍㅊㅌㅍㅌㅊㅍㅌㅊㅍ" localSheetId="23" hidden="1">#REF!</definedName>
    <definedName name="ㅊㅌㅍㅌㅊㅍㅊㅌㅍㅌㅊㅍㅌㅊㅍ" localSheetId="24" hidden="1">#REF!</definedName>
    <definedName name="ㅊㅌㅍㅌㅊㅍㅊㅌㅍㅌㅊㅍㅌㅊㅍ" localSheetId="25" hidden="1">#REF!</definedName>
    <definedName name="ㅊㅌㅍㅌㅊㅍㅊㅌㅍㅌㅊㅍㅌㅊㅍ" localSheetId="26" hidden="1">#REF!</definedName>
    <definedName name="ㅊㅌㅍㅌㅊㅍㅊㅌㅍㅌㅊㅍㅌㅊㅍ" localSheetId="9" hidden="1">#REF!</definedName>
    <definedName name="ㅊㅌㅍㅌㅊㅍㅊㅌㅍㅌㅊㅍㅌㅊㅍ" localSheetId="27" hidden="1">#REF!</definedName>
    <definedName name="ㅊㅌㅍㅌㅊㅍㅊㅌㅍㅌㅊㅍㅌㅊㅍ" localSheetId="28" hidden="1">#REF!</definedName>
    <definedName name="ㅊㅌㅍㅌㅊㅍㅊㅌㅍㅌㅊㅍㅌㅊㅍ" localSheetId="29" hidden="1">#REF!</definedName>
    <definedName name="ㅊㅌㅍㅌㅊㅍㅊㅌㅍㅌㅊㅍㅌㅊㅍ" localSheetId="30" hidden="1">#REF!</definedName>
    <definedName name="ㅊㅌㅍㅌㅊㅍㅊㅌㅍㅌㅊㅍㅌㅊㅍ" localSheetId="31" hidden="1">#REF!</definedName>
    <definedName name="ㅊㅌㅍㅌㅊㅍㅊㅌㅍㅌㅊㅍㅌㅊㅍ" localSheetId="10" hidden="1">#REF!</definedName>
    <definedName name="ㅊㅌㅍㅌㅊㅍㅊㅌㅍㅌㅊㅍㅌㅊㅍ" localSheetId="11" hidden="1">#REF!</definedName>
    <definedName name="ㅊㅌㅍㅌㅊㅍㅊㅌㅍㅌㅊㅍㅌㅊㅍ" localSheetId="12" hidden="1">#REF!</definedName>
    <definedName name="ㅊㅌㅍㅌㅊㅍㅊㅌㅍㅌㅊㅍㅌㅊㅍ" localSheetId="13" hidden="1">#REF!</definedName>
    <definedName name="ㅊㅌㅍㅌㅊㅍㅊㅌㅍㅌㅊㅍㅌㅊㅍ" localSheetId="14" hidden="1">#REF!</definedName>
    <definedName name="ㅊㅌㅍㅌㅊㅍㅊㅌㅍㅌㅊㅍㅌㅊㅍ" localSheetId="15" hidden="1">#REF!</definedName>
    <definedName name="ㅊㅌㅍㅌㅊㅍㅊㅌㅍㅌㅊㅍㅌㅊㅍ" localSheetId="16" hidden="1">#REF!</definedName>
    <definedName name="ㅊㅌㅍㅌㅊㅍㅊㅌㅍㅌㅊㅍㅌㅊㅍ" hidden="1">#REF!</definedName>
    <definedName name="ㅋ" localSheetId="1" hidden="1">#REF!</definedName>
    <definedName name="ㅋ" localSheetId="5" hidden="1">#REF!</definedName>
    <definedName name="ㅋ" localSheetId="0" hidden="1">#REF!</definedName>
    <definedName name="ㅋ" localSheetId="4" hidden="1">#REF!</definedName>
    <definedName name="ㅋ" localSheetId="3" hidden="1">#REF!</definedName>
    <definedName name="ㅋ" localSheetId="2" hidden="1">#REF!</definedName>
    <definedName name="ㅋ" localSheetId="6" hidden="1">#REF!</definedName>
    <definedName name="ㅋ" localSheetId="8" hidden="1">#REF!</definedName>
    <definedName name="ㅋ" localSheetId="17" hidden="1">#REF!</definedName>
    <definedName name="ㅋ" localSheetId="18" hidden="1">#REF!</definedName>
    <definedName name="ㅋ" localSheetId="19" hidden="1">#REF!</definedName>
    <definedName name="ㅋ" localSheetId="20" hidden="1">#REF!</definedName>
    <definedName name="ㅋ" localSheetId="21" hidden="1">#REF!</definedName>
    <definedName name="ㅋ" localSheetId="22" hidden="1">#REF!</definedName>
    <definedName name="ㅋ" localSheetId="23" hidden="1">#REF!</definedName>
    <definedName name="ㅋ" localSheetId="24" hidden="1">#REF!</definedName>
    <definedName name="ㅋ" localSheetId="25" hidden="1">#REF!</definedName>
    <definedName name="ㅋ" localSheetId="26" hidden="1">#REF!</definedName>
    <definedName name="ㅋ" localSheetId="9" hidden="1">#REF!</definedName>
    <definedName name="ㅋ" localSheetId="27" hidden="1">#REF!</definedName>
    <definedName name="ㅋ" localSheetId="28" hidden="1">#REF!</definedName>
    <definedName name="ㅋ" localSheetId="29" hidden="1">#REF!</definedName>
    <definedName name="ㅋ" localSheetId="30" hidden="1">#REF!</definedName>
    <definedName name="ㅋ" localSheetId="31" hidden="1">#REF!</definedName>
    <definedName name="ㅋ" localSheetId="10" hidden="1">#REF!</definedName>
    <definedName name="ㅋ" localSheetId="11" hidden="1">#REF!</definedName>
    <definedName name="ㅋ" localSheetId="12" hidden="1">#REF!</definedName>
    <definedName name="ㅋ" localSheetId="13" hidden="1">#REF!</definedName>
    <definedName name="ㅋ" localSheetId="14" hidden="1">#REF!</definedName>
    <definedName name="ㅋ" localSheetId="15" hidden="1">#REF!</definedName>
    <definedName name="ㅋ" localSheetId="16" hidden="1">#REF!</definedName>
    <definedName name="ㅋ" hidden="1">#REF!</definedName>
    <definedName name="ㅋㅋㅋㅋ" localSheetId="1" hidden="1">#REF!</definedName>
    <definedName name="ㅋㅋㅋㅋ" localSheetId="5" hidden="1">#REF!</definedName>
    <definedName name="ㅋㅋㅋㅋ" localSheetId="0" hidden="1">#REF!</definedName>
    <definedName name="ㅋㅋㅋㅋ" localSheetId="4" hidden="1">#REF!</definedName>
    <definedName name="ㅋㅋㅋㅋ" localSheetId="3" hidden="1">#REF!</definedName>
    <definedName name="ㅋㅋㅋㅋ" localSheetId="2" hidden="1">#REF!</definedName>
    <definedName name="ㅋㅋㅋㅋ" localSheetId="6" hidden="1">#REF!</definedName>
    <definedName name="ㅋㅋㅋㅋ" localSheetId="8" hidden="1">#REF!</definedName>
    <definedName name="ㅋㅋㅋㅋ" localSheetId="17" hidden="1">#REF!</definedName>
    <definedName name="ㅋㅋㅋㅋ" localSheetId="18" hidden="1">#REF!</definedName>
    <definedName name="ㅋㅋㅋㅋ" localSheetId="19" hidden="1">#REF!</definedName>
    <definedName name="ㅋㅋㅋㅋ" localSheetId="20" hidden="1">#REF!</definedName>
    <definedName name="ㅋㅋㅋㅋ" localSheetId="21" hidden="1">#REF!</definedName>
    <definedName name="ㅋㅋㅋㅋ" localSheetId="22" hidden="1">#REF!</definedName>
    <definedName name="ㅋㅋㅋㅋ" localSheetId="23" hidden="1">#REF!</definedName>
    <definedName name="ㅋㅋㅋㅋ" localSheetId="24" hidden="1">#REF!</definedName>
    <definedName name="ㅋㅋㅋㅋ" localSheetId="25" hidden="1">#REF!</definedName>
    <definedName name="ㅋㅋㅋㅋ" localSheetId="26" hidden="1">#REF!</definedName>
    <definedName name="ㅋㅋㅋㅋ" localSheetId="9" hidden="1">#REF!</definedName>
    <definedName name="ㅋㅋㅋㅋ" localSheetId="27" hidden="1">#REF!</definedName>
    <definedName name="ㅋㅋㅋㅋ" localSheetId="28" hidden="1">#REF!</definedName>
    <definedName name="ㅋㅋㅋㅋ" localSheetId="29" hidden="1">#REF!</definedName>
    <definedName name="ㅋㅋㅋㅋ" localSheetId="30" hidden="1">#REF!</definedName>
    <definedName name="ㅋㅋㅋㅋ" localSheetId="31" hidden="1">#REF!</definedName>
    <definedName name="ㅋㅋㅋㅋ" localSheetId="10" hidden="1">#REF!</definedName>
    <definedName name="ㅋㅋㅋㅋ" localSheetId="11" hidden="1">#REF!</definedName>
    <definedName name="ㅋㅋㅋㅋ" localSheetId="12" hidden="1">#REF!</definedName>
    <definedName name="ㅋㅋㅋㅋ" localSheetId="13" hidden="1">#REF!</definedName>
    <definedName name="ㅋㅋㅋㅋ" localSheetId="14" hidden="1">#REF!</definedName>
    <definedName name="ㅋㅋㅋㅋ" localSheetId="15" hidden="1">#REF!</definedName>
    <definedName name="ㅋㅋㅋㅋ" localSheetId="16" hidden="1">#REF!</definedName>
    <definedName name="ㅋㅋㅋㅋ" hidden="1">#REF!</definedName>
    <definedName name="ㅋㅋㅋㅋㅋㅋ" localSheetId="1" hidden="1">#REF!</definedName>
    <definedName name="ㅋㅋㅋㅋㅋㅋ" localSheetId="5" hidden="1">#REF!</definedName>
    <definedName name="ㅋㅋㅋㅋㅋㅋ" localSheetId="0" hidden="1">#REF!</definedName>
    <definedName name="ㅋㅋㅋㅋㅋㅋ" localSheetId="4" hidden="1">#REF!</definedName>
    <definedName name="ㅋㅋㅋㅋㅋㅋ" localSheetId="3" hidden="1">#REF!</definedName>
    <definedName name="ㅋㅋㅋㅋㅋㅋ" localSheetId="2" hidden="1">#REF!</definedName>
    <definedName name="ㅋㅋㅋㅋㅋㅋ" localSheetId="6" hidden="1">#REF!</definedName>
    <definedName name="ㅋㅋㅋㅋㅋㅋ" localSheetId="8" hidden="1">#REF!</definedName>
    <definedName name="ㅋㅋㅋㅋㅋㅋ" localSheetId="17" hidden="1">#REF!</definedName>
    <definedName name="ㅋㅋㅋㅋㅋㅋ" localSheetId="18" hidden="1">#REF!</definedName>
    <definedName name="ㅋㅋㅋㅋㅋㅋ" localSheetId="19" hidden="1">#REF!</definedName>
    <definedName name="ㅋㅋㅋㅋㅋㅋ" localSheetId="20" hidden="1">#REF!</definedName>
    <definedName name="ㅋㅋㅋㅋㅋㅋ" localSheetId="21" hidden="1">#REF!</definedName>
    <definedName name="ㅋㅋㅋㅋㅋㅋ" localSheetId="22" hidden="1">#REF!</definedName>
    <definedName name="ㅋㅋㅋㅋㅋㅋ" localSheetId="23" hidden="1">#REF!</definedName>
    <definedName name="ㅋㅋㅋㅋㅋㅋ" localSheetId="24" hidden="1">#REF!</definedName>
    <definedName name="ㅋㅋㅋㅋㅋㅋ" localSheetId="25" hidden="1">#REF!</definedName>
    <definedName name="ㅋㅋㅋㅋㅋㅋ" localSheetId="26" hidden="1">#REF!</definedName>
    <definedName name="ㅋㅋㅋㅋㅋㅋ" localSheetId="9" hidden="1">#REF!</definedName>
    <definedName name="ㅋㅋㅋㅋㅋㅋ" localSheetId="27" hidden="1">#REF!</definedName>
    <definedName name="ㅋㅋㅋㅋㅋㅋ" localSheetId="28" hidden="1">#REF!</definedName>
    <definedName name="ㅋㅋㅋㅋㅋㅋ" localSheetId="29" hidden="1">#REF!</definedName>
    <definedName name="ㅋㅋㅋㅋㅋㅋ" localSheetId="30" hidden="1">#REF!</definedName>
    <definedName name="ㅋㅋㅋㅋㅋㅋ" localSheetId="31" hidden="1">#REF!</definedName>
    <definedName name="ㅋㅋㅋㅋㅋㅋ" localSheetId="10" hidden="1">#REF!</definedName>
    <definedName name="ㅋㅋㅋㅋㅋㅋ" localSheetId="11" hidden="1">#REF!</definedName>
    <definedName name="ㅋㅋㅋㅋㅋㅋ" localSheetId="12" hidden="1">#REF!</definedName>
    <definedName name="ㅋㅋㅋㅋㅋㅋ" localSheetId="13" hidden="1">#REF!</definedName>
    <definedName name="ㅋㅋㅋㅋㅋㅋ" localSheetId="14" hidden="1">#REF!</definedName>
    <definedName name="ㅋㅋㅋㅋㅋㅋ" localSheetId="15" hidden="1">#REF!</definedName>
    <definedName name="ㅋㅋㅋㅋㅋㅋ" localSheetId="16" hidden="1">#REF!</definedName>
    <definedName name="ㅋㅋㅋㅋㅋㅋ" hidden="1">#REF!</definedName>
    <definedName name="ㅋㅋㅋㅋㅋㅋㅋㅋㅋ" localSheetId="1" hidden="1">#REF!</definedName>
    <definedName name="ㅋㅋㅋㅋㅋㅋㅋㅋㅋ" localSheetId="5" hidden="1">#REF!</definedName>
    <definedName name="ㅋㅋㅋㅋㅋㅋㅋㅋㅋ" localSheetId="0" hidden="1">#REF!</definedName>
    <definedName name="ㅋㅋㅋㅋㅋㅋㅋㅋㅋ" localSheetId="4" hidden="1">#REF!</definedName>
    <definedName name="ㅋㅋㅋㅋㅋㅋㅋㅋㅋ" localSheetId="3" hidden="1">#REF!</definedName>
    <definedName name="ㅋㅋㅋㅋㅋㅋㅋㅋㅋ" localSheetId="2" hidden="1">#REF!</definedName>
    <definedName name="ㅋㅋㅋㅋㅋㅋㅋㅋㅋ" localSheetId="6" hidden="1">#REF!</definedName>
    <definedName name="ㅋㅋㅋㅋㅋㅋㅋㅋㅋ" localSheetId="8" hidden="1">#REF!</definedName>
    <definedName name="ㅋㅋㅋㅋㅋㅋㅋㅋㅋ" localSheetId="17" hidden="1">#REF!</definedName>
    <definedName name="ㅋㅋㅋㅋㅋㅋㅋㅋㅋ" localSheetId="18" hidden="1">#REF!</definedName>
    <definedName name="ㅋㅋㅋㅋㅋㅋㅋㅋㅋ" localSheetId="19" hidden="1">#REF!</definedName>
    <definedName name="ㅋㅋㅋㅋㅋㅋㅋㅋㅋ" localSheetId="20" hidden="1">#REF!</definedName>
    <definedName name="ㅋㅋㅋㅋㅋㅋㅋㅋㅋ" localSheetId="21" hidden="1">#REF!</definedName>
    <definedName name="ㅋㅋㅋㅋㅋㅋㅋㅋㅋ" localSheetId="22" hidden="1">#REF!</definedName>
    <definedName name="ㅋㅋㅋㅋㅋㅋㅋㅋㅋ" localSheetId="23" hidden="1">#REF!</definedName>
    <definedName name="ㅋㅋㅋㅋㅋㅋㅋㅋㅋ" localSheetId="24" hidden="1">#REF!</definedName>
    <definedName name="ㅋㅋㅋㅋㅋㅋㅋㅋㅋ" localSheetId="25" hidden="1">#REF!</definedName>
    <definedName name="ㅋㅋㅋㅋㅋㅋㅋㅋㅋ" localSheetId="26" hidden="1">#REF!</definedName>
    <definedName name="ㅋㅋㅋㅋㅋㅋㅋㅋㅋ" localSheetId="9" hidden="1">#REF!</definedName>
    <definedName name="ㅋㅋㅋㅋㅋㅋㅋㅋㅋ" localSheetId="27" hidden="1">#REF!</definedName>
    <definedName name="ㅋㅋㅋㅋㅋㅋㅋㅋㅋ" localSheetId="28" hidden="1">#REF!</definedName>
    <definedName name="ㅋㅋㅋㅋㅋㅋㅋㅋㅋ" localSheetId="29" hidden="1">#REF!</definedName>
    <definedName name="ㅋㅋㅋㅋㅋㅋㅋㅋㅋ" localSheetId="30" hidden="1">#REF!</definedName>
    <definedName name="ㅋㅋㅋㅋㅋㅋㅋㅋㅋ" localSheetId="31" hidden="1">#REF!</definedName>
    <definedName name="ㅋㅋㅋㅋㅋㅋㅋㅋㅋ" localSheetId="10" hidden="1">#REF!</definedName>
    <definedName name="ㅋㅋㅋㅋㅋㅋㅋㅋㅋ" localSheetId="11" hidden="1">#REF!</definedName>
    <definedName name="ㅋㅋㅋㅋㅋㅋㅋㅋㅋ" localSheetId="12" hidden="1">#REF!</definedName>
    <definedName name="ㅋㅋㅋㅋㅋㅋㅋㅋㅋ" localSheetId="13" hidden="1">#REF!</definedName>
    <definedName name="ㅋㅋㅋㅋㅋㅋㅋㅋㅋ" localSheetId="14" hidden="1">#REF!</definedName>
    <definedName name="ㅋㅋㅋㅋㅋㅋㅋㅋㅋ" localSheetId="15" hidden="1">#REF!</definedName>
    <definedName name="ㅋㅋㅋㅋㅋㅋㅋㅋㅋ" localSheetId="16" hidden="1">#REF!</definedName>
    <definedName name="ㅋㅋㅋㅋㅋㅋㅋㅋㅋ" hidden="1">#REF!</definedName>
    <definedName name="ㅌㅊㅍㅌㅊㅍㅌㅋㅊㅍㅌ" localSheetId="1" hidden="1">#REF!</definedName>
    <definedName name="ㅌㅊㅍㅌㅊㅍㅌㅋㅊㅍㅌ" localSheetId="5" hidden="1">#REF!</definedName>
    <definedName name="ㅌㅊㅍㅌㅊㅍㅌㅋㅊㅍㅌ" localSheetId="0" hidden="1">#REF!</definedName>
    <definedName name="ㅌㅊㅍㅌㅊㅍㅌㅋㅊㅍㅌ" localSheetId="4" hidden="1">#REF!</definedName>
    <definedName name="ㅌㅊㅍㅌㅊㅍㅌㅋㅊㅍㅌ" localSheetId="3" hidden="1">#REF!</definedName>
    <definedName name="ㅌㅊㅍㅌㅊㅍㅌㅋㅊㅍㅌ" localSheetId="2" hidden="1">#REF!</definedName>
    <definedName name="ㅌㅊㅍㅌㅊㅍㅌㅋㅊㅍㅌ" localSheetId="6" hidden="1">#REF!</definedName>
    <definedName name="ㅌㅊㅍㅌㅊㅍㅌㅋㅊㅍㅌ" localSheetId="8" hidden="1">#REF!</definedName>
    <definedName name="ㅌㅊㅍㅌㅊㅍㅌㅋㅊㅍㅌ" localSheetId="17" hidden="1">#REF!</definedName>
    <definedName name="ㅌㅊㅍㅌㅊㅍㅌㅋㅊㅍㅌ" localSheetId="18" hidden="1">#REF!</definedName>
    <definedName name="ㅌㅊㅍㅌㅊㅍㅌㅋㅊㅍㅌ" localSheetId="19" hidden="1">#REF!</definedName>
    <definedName name="ㅌㅊㅍㅌㅊㅍㅌㅋㅊㅍㅌ" localSheetId="20" hidden="1">#REF!</definedName>
    <definedName name="ㅌㅊㅍㅌㅊㅍㅌㅋㅊㅍㅌ" localSheetId="21" hidden="1">#REF!</definedName>
    <definedName name="ㅌㅊㅍㅌㅊㅍㅌㅋㅊㅍㅌ" localSheetId="22" hidden="1">#REF!</definedName>
    <definedName name="ㅌㅊㅍㅌㅊㅍㅌㅋㅊㅍㅌ" localSheetId="23" hidden="1">#REF!</definedName>
    <definedName name="ㅌㅊㅍㅌㅊㅍㅌㅋㅊㅍㅌ" localSheetId="24" hidden="1">#REF!</definedName>
    <definedName name="ㅌㅊㅍㅌㅊㅍㅌㅋㅊㅍㅌ" localSheetId="25" hidden="1">#REF!</definedName>
    <definedName name="ㅌㅊㅍㅌㅊㅍㅌㅋㅊㅍㅌ" localSheetId="26" hidden="1">#REF!</definedName>
    <definedName name="ㅌㅊㅍㅌㅊㅍㅌㅋㅊㅍㅌ" localSheetId="9" hidden="1">#REF!</definedName>
    <definedName name="ㅌㅊㅍㅌㅊㅍㅌㅋㅊㅍㅌ" localSheetId="27" hidden="1">#REF!</definedName>
    <definedName name="ㅌㅊㅍㅌㅊㅍㅌㅋㅊㅍㅌ" localSheetId="28" hidden="1">#REF!</definedName>
    <definedName name="ㅌㅊㅍㅌㅊㅍㅌㅋㅊㅍㅌ" localSheetId="29" hidden="1">#REF!</definedName>
    <definedName name="ㅌㅊㅍㅌㅊㅍㅌㅋㅊㅍㅌ" localSheetId="30" hidden="1">#REF!</definedName>
    <definedName name="ㅌㅊㅍㅌㅊㅍㅌㅋㅊㅍㅌ" localSheetId="31" hidden="1">#REF!</definedName>
    <definedName name="ㅌㅊㅍㅌㅊㅍㅌㅋㅊㅍㅌ" localSheetId="10" hidden="1">#REF!</definedName>
    <definedName name="ㅌㅊㅍㅌㅊㅍㅌㅋㅊㅍㅌ" localSheetId="11" hidden="1">#REF!</definedName>
    <definedName name="ㅌㅊㅍㅌㅊㅍㅌㅋㅊㅍㅌ" localSheetId="12" hidden="1">#REF!</definedName>
    <definedName name="ㅌㅊㅍㅌㅊㅍㅌㅋㅊㅍㅌ" localSheetId="13" hidden="1">#REF!</definedName>
    <definedName name="ㅌㅊㅍㅌㅊㅍㅌㅋㅊㅍㅌ" localSheetId="14" hidden="1">#REF!</definedName>
    <definedName name="ㅌㅊㅍㅌㅊㅍㅌㅋㅊㅍㅌ" localSheetId="15" hidden="1">#REF!</definedName>
    <definedName name="ㅌㅊㅍㅌㅊㅍㅌㅋㅊㅍㅌ" localSheetId="16" hidden="1">#REF!</definedName>
    <definedName name="ㅌㅊㅍㅌㅊㅍㅌㅋㅊㅍㅌ"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81" i="42" l="1"/>
  <c r="P80" i="42"/>
  <c r="P79" i="42"/>
  <c r="P78" i="42"/>
  <c r="P77" i="42"/>
  <c r="P76" i="42"/>
  <c r="P75" i="42"/>
  <c r="P74" i="42"/>
  <c r="P73" i="42"/>
  <c r="P72" i="42"/>
  <c r="P71" i="42"/>
  <c r="P70" i="42"/>
  <c r="P69" i="42"/>
  <c r="P68" i="42"/>
  <c r="P67" i="42"/>
  <c r="P66" i="42"/>
  <c r="P65" i="42"/>
  <c r="P64" i="42"/>
  <c r="Q62" i="42"/>
  <c r="P61" i="42"/>
  <c r="P60" i="42"/>
  <c r="P59" i="42"/>
  <c r="P58" i="42"/>
  <c r="L58" i="42"/>
  <c r="O5" i="42"/>
  <c r="N5" i="42"/>
  <c r="C5" i="42"/>
  <c r="K37" i="41"/>
  <c r="Q81" i="40"/>
  <c r="Q80" i="40"/>
  <c r="Q79" i="40"/>
  <c r="Q78" i="40"/>
  <c r="Q77" i="40"/>
  <c r="Q76" i="40"/>
  <c r="Q75" i="40"/>
  <c r="Q74" i="40"/>
  <c r="Q73" i="40"/>
  <c r="Q72" i="40"/>
  <c r="Q71" i="40"/>
  <c r="Q70" i="40"/>
  <c r="Q69" i="40"/>
  <c r="Q68" i="40"/>
  <c r="Q67" i="40"/>
  <c r="Q66" i="40"/>
  <c r="Q65" i="40"/>
  <c r="Q64" i="40"/>
  <c r="R62" i="40"/>
  <c r="Q61" i="40"/>
  <c r="Q60" i="40"/>
  <c r="Q59" i="40"/>
  <c r="Q58" i="40"/>
  <c r="M58" i="40"/>
  <c r="L45" i="40"/>
  <c r="L44" i="40"/>
  <c r="L43" i="40"/>
  <c r="L42" i="40"/>
  <c r="L57" i="40"/>
  <c r="L56" i="40"/>
  <c r="L41" i="40"/>
  <c r="L40" i="40"/>
  <c r="L39" i="40"/>
  <c r="L38" i="40"/>
  <c r="L37" i="40"/>
  <c r="L36" i="40"/>
  <c r="L35" i="40"/>
  <c r="L55" i="40"/>
  <c r="L54" i="40"/>
  <c r="L53" i="40"/>
  <c r="L52" i="40"/>
  <c r="L34" i="40"/>
  <c r="L33" i="40"/>
  <c r="L32" i="40"/>
  <c r="L31" i="40"/>
  <c r="L30" i="40"/>
  <c r="L29" i="40"/>
  <c r="L28" i="40"/>
  <c r="L27" i="40"/>
  <c r="L26" i="40"/>
  <c r="L25" i="40"/>
  <c r="L24" i="40"/>
  <c r="L23" i="40"/>
  <c r="L51" i="40"/>
  <c r="L50" i="40"/>
  <c r="L22" i="40"/>
  <c r="L21" i="40"/>
  <c r="L20" i="40"/>
  <c r="L19" i="40"/>
  <c r="L18" i="40"/>
  <c r="L17" i="40"/>
  <c r="L16" i="40"/>
  <c r="L49" i="40"/>
  <c r="L48" i="40"/>
  <c r="L47" i="40"/>
  <c r="L46" i="40"/>
  <c r="L15" i="40"/>
  <c r="L14" i="40"/>
  <c r="L13" i="40"/>
  <c r="L12" i="40"/>
  <c r="L11" i="40"/>
  <c r="L10" i="40"/>
  <c r="L9" i="40"/>
  <c r="L8" i="40"/>
  <c r="O5" i="40"/>
  <c r="D5" i="40"/>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8" i="14"/>
  <c r="K58" i="14"/>
  <c r="K31" i="1"/>
  <c r="J31" i="1"/>
  <c r="I16" i="39"/>
  <c r="G16" i="39"/>
  <c r="E16" i="39"/>
  <c r="C16" i="39"/>
  <c r="C15" i="39"/>
  <c r="C14" i="39"/>
  <c r="C13" i="39"/>
  <c r="I16" i="38"/>
  <c r="G16" i="38"/>
  <c r="E16" i="38"/>
  <c r="C16" i="38"/>
  <c r="C15" i="38"/>
  <c r="C14" i="38"/>
  <c r="C13" i="38"/>
  <c r="I16" i="37"/>
  <c r="G16" i="37"/>
  <c r="E16" i="37"/>
  <c r="C16" i="37"/>
  <c r="C15" i="37"/>
  <c r="C14" i="37"/>
  <c r="C13" i="37"/>
  <c r="I16" i="36"/>
  <c r="G16" i="36"/>
  <c r="E16" i="36"/>
  <c r="C16" i="36"/>
  <c r="C15" i="36"/>
  <c r="C14" i="36"/>
  <c r="C13" i="36"/>
  <c r="I16" i="35"/>
  <c r="G16" i="35"/>
  <c r="E16" i="35"/>
  <c r="C16" i="35"/>
  <c r="C15" i="35"/>
  <c r="C14" i="35"/>
  <c r="C13" i="35"/>
  <c r="I16" i="34"/>
  <c r="G16" i="34"/>
  <c r="E16" i="34"/>
  <c r="C16" i="34"/>
  <c r="C15" i="34"/>
  <c r="C14" i="34"/>
  <c r="C13" i="34"/>
  <c r="I16" i="33"/>
  <c r="G16" i="33"/>
  <c r="E16" i="33"/>
  <c r="C16" i="33"/>
  <c r="C15" i="33"/>
  <c r="C14" i="33"/>
  <c r="C13" i="33"/>
  <c r="I16" i="32"/>
  <c r="G16" i="32"/>
  <c r="E16" i="32"/>
  <c r="C16" i="32"/>
  <c r="C15" i="32"/>
  <c r="C14" i="32"/>
  <c r="C13" i="32"/>
  <c r="I16" i="31"/>
  <c r="G16" i="31"/>
  <c r="E16" i="31"/>
  <c r="C16" i="31"/>
  <c r="C15" i="31"/>
  <c r="C14" i="31"/>
  <c r="C13" i="31"/>
  <c r="I16" i="30"/>
  <c r="G16" i="30"/>
  <c r="E16" i="30"/>
  <c r="C16" i="30"/>
  <c r="C15" i="30"/>
  <c r="C14" i="30"/>
  <c r="C13" i="30"/>
  <c r="I16" i="29"/>
  <c r="G16" i="29"/>
  <c r="E16" i="29"/>
  <c r="C16" i="29"/>
  <c r="C15" i="29"/>
  <c r="C14" i="29"/>
  <c r="C13" i="29"/>
  <c r="I16" i="28"/>
  <c r="G16" i="28"/>
  <c r="E16" i="28"/>
  <c r="C16" i="28"/>
  <c r="C15" i="28"/>
  <c r="C14" i="28"/>
  <c r="C13" i="28"/>
  <c r="I16" i="27"/>
  <c r="G16" i="27"/>
  <c r="E16" i="27"/>
  <c r="C16" i="27"/>
  <c r="C15" i="27"/>
  <c r="C14" i="27"/>
  <c r="C13" i="27"/>
  <c r="I16" i="26"/>
  <c r="G16" i="26"/>
  <c r="E16" i="26"/>
  <c r="C16" i="26"/>
  <c r="C15" i="26"/>
  <c r="C14" i="26"/>
  <c r="C13" i="26"/>
  <c r="I16" i="25"/>
  <c r="G16" i="25"/>
  <c r="E16" i="25"/>
  <c r="C16" i="25"/>
  <c r="C15" i="25"/>
  <c r="C14" i="25"/>
  <c r="C13" i="25"/>
  <c r="I16" i="24"/>
  <c r="G16" i="24"/>
  <c r="E16" i="24"/>
  <c r="C16" i="24"/>
  <c r="C15" i="24"/>
  <c r="C14" i="24"/>
  <c r="C13" i="24"/>
  <c r="I16" i="23"/>
  <c r="G16" i="23"/>
  <c r="E16" i="23"/>
  <c r="C16" i="23"/>
  <c r="C15" i="23"/>
  <c r="C14" i="23"/>
  <c r="C13" i="23"/>
  <c r="I16" i="22"/>
  <c r="G16" i="22"/>
  <c r="E16" i="22"/>
  <c r="C16" i="22"/>
  <c r="C15" i="22"/>
  <c r="C14" i="22"/>
  <c r="C13" i="22"/>
  <c r="I16" i="21"/>
  <c r="G16" i="21"/>
  <c r="E16" i="21"/>
  <c r="C16" i="21"/>
  <c r="C15" i="21"/>
  <c r="C14" i="21"/>
  <c r="C13" i="21"/>
  <c r="I16" i="20"/>
  <c r="G16" i="20"/>
  <c r="E16" i="20"/>
  <c r="C16" i="20"/>
  <c r="C15" i="20"/>
  <c r="C14" i="20"/>
  <c r="C13" i="20"/>
  <c r="I16" i="19"/>
  <c r="G16" i="19"/>
  <c r="E16" i="19"/>
  <c r="C16" i="19"/>
  <c r="C15" i="19"/>
  <c r="C14" i="19"/>
  <c r="C13" i="19"/>
  <c r="I16" i="18"/>
  <c r="G16" i="18"/>
  <c r="E16" i="18"/>
  <c r="C16" i="18"/>
  <c r="C15" i="18"/>
  <c r="C14" i="18"/>
  <c r="C13" i="18"/>
  <c r="I16" i="17"/>
  <c r="G16" i="17"/>
  <c r="E16" i="17"/>
  <c r="C16" i="17"/>
  <c r="C15" i="17"/>
  <c r="C14" i="17"/>
  <c r="C13" i="17"/>
  <c r="N5" i="14"/>
  <c r="M5" i="14"/>
  <c r="L39" i="4"/>
  <c r="N39" i="4"/>
  <c r="M39" i="4"/>
  <c r="K39" i="3"/>
  <c r="K34" i="3"/>
  <c r="K35" i="3"/>
  <c r="I16" i="15"/>
  <c r="G16" i="15"/>
  <c r="E16" i="15"/>
  <c r="C16" i="15"/>
  <c r="C15" i="15"/>
  <c r="C14" i="15"/>
  <c r="C13" i="15"/>
  <c r="Q89" i="5"/>
  <c r="K37" i="1"/>
  <c r="O89" i="5"/>
  <c r="C5" i="14"/>
  <c r="O81" i="14"/>
  <c r="O80" i="14"/>
  <c r="O79" i="14"/>
  <c r="O78" i="14"/>
  <c r="O77" i="14"/>
  <c r="O76" i="14"/>
  <c r="O75" i="14"/>
  <c r="O74" i="14"/>
  <c r="O73" i="14"/>
  <c r="O72" i="14"/>
  <c r="O71" i="14"/>
  <c r="O70" i="14"/>
  <c r="O69" i="14"/>
  <c r="O68" i="14"/>
  <c r="O67" i="14"/>
  <c r="O66" i="14"/>
  <c r="O65" i="14"/>
  <c r="O64" i="14"/>
  <c r="P62" i="14"/>
  <c r="O61" i="14"/>
  <c r="O60" i="14"/>
  <c r="O59" i="14"/>
  <c r="O58" i="14"/>
  <c r="K42" i="3"/>
  <c r="H15" i="3"/>
  <c r="H5" i="3"/>
  <c r="B7" i="13"/>
  <c r="D7" i="5"/>
  <c r="D5" i="4"/>
  <c r="H8" i="3"/>
  <c r="H6" i="3"/>
  <c r="D6" i="4"/>
  <c r="AY6" i="5"/>
  <c r="AX6" i="5"/>
  <c r="AW6" i="5"/>
  <c r="AV6" i="5"/>
  <c r="AT6" i="5"/>
  <c r="AS6" i="5"/>
  <c r="AR6" i="5"/>
  <c r="AQ6" i="5"/>
  <c r="AP6" i="5"/>
  <c r="AO6" i="5"/>
  <c r="AN6" i="5"/>
  <c r="AM6" i="5"/>
  <c r="AL6" i="5"/>
  <c r="AK6" i="5"/>
  <c r="AJ6" i="5"/>
  <c r="AI6" i="5"/>
  <c r="AH6" i="5"/>
  <c r="AG6" i="5"/>
  <c r="AF6" i="5"/>
  <c r="AE6" i="5"/>
  <c r="AD6" i="5"/>
  <c r="AC6" i="5"/>
  <c r="AB6" i="5"/>
  <c r="AA6" i="5"/>
  <c r="Z6" i="5"/>
  <c r="J42" i="3"/>
  <c r="I42" i="3"/>
  <c r="D5" i="5"/>
  <c r="D6" i="5"/>
  <c r="AU6" i="5"/>
</calcChain>
</file>

<file path=xl/sharedStrings.xml><?xml version="1.0" encoding="utf-8"?>
<sst xmlns="http://schemas.openxmlformats.org/spreadsheetml/2006/main" count="3925" uniqueCount="445">
  <si>
    <t>PECC2 Innovation Hub, 45 Street No.2, Truong Tho Ward, Thu Duc City, HCMC, Vietnam
Tel: +84-28-2221 6468 | Fax: +84-28-2221 0408</t>
  </si>
  <si>
    <t>COMMERCIAL INVOICE</t>
    <phoneticPr fontId="0" type="noConversion"/>
  </si>
  <si>
    <t>SHIPPER:</t>
  </si>
  <si>
    <t>DATE:</t>
  </si>
  <si>
    <t>CONTRACT NO.</t>
    <phoneticPr fontId="0" type="noConversion"/>
  </si>
  <si>
    <t>06/2025/HĐ-PVN/OM4-06</t>
  </si>
  <si>
    <t xml:space="preserve"> CONSIGNEE :</t>
    <phoneticPr fontId="0" type="noConversion"/>
  </si>
  <si>
    <t>SHIPPING MARK</t>
  </si>
  <si>
    <t>O MON IV THERMAL POWER PLANT</t>
  </si>
  <si>
    <t>NOTIFY PARTY :</t>
    <phoneticPr fontId="0" type="noConversion"/>
  </si>
  <si>
    <t xml:space="preserve">SHIPMENT NO. : </t>
  </si>
  <si>
    <t>VESSEL NAME :</t>
  </si>
  <si>
    <t>ETD :</t>
    <phoneticPr fontId="0" type="noConversion"/>
  </si>
  <si>
    <t>PORT OF LOADING :</t>
    <phoneticPr fontId="0" type="noConversion"/>
  </si>
  <si>
    <t>PORT OF DISCHARGE :</t>
    <phoneticPr fontId="0" type="noConversion"/>
  </si>
  <si>
    <t>BILL OF LADING/ AIRWAY BILL NO. :</t>
  </si>
  <si>
    <t>B/L DATE :</t>
  </si>
  <si>
    <t xml:space="preserve">FINAL DESTINATION : </t>
    <phoneticPr fontId="0" type="noConversion"/>
  </si>
  <si>
    <t>COMMODITY/DESCRIPTION OF GOODS</t>
    <phoneticPr fontId="0" type="noConversion"/>
  </si>
  <si>
    <t>UNIT</t>
    <phoneticPr fontId="0" type="noConversion"/>
  </si>
  <si>
    <t>QUANTITY</t>
    <phoneticPr fontId="0" type="noConversion"/>
  </si>
  <si>
    <t>UNIT PRICE
(USD)</t>
    <phoneticPr fontId="0" type="noConversion"/>
  </si>
  <si>
    <t>AMOUNT
(USD)</t>
    <phoneticPr fontId="0" type="noConversion"/>
  </si>
  <si>
    <t xml:space="preserve">Number of packages: </t>
  </si>
  <si>
    <t>PKGS</t>
  </si>
  <si>
    <t>TOTAL AMOUNT AT THIS SHIPMENT :</t>
  </si>
  <si>
    <t>Signed by</t>
    <phoneticPr fontId="0" type="noConversion"/>
  </si>
  <si>
    <t>SI.
No.</t>
    <phoneticPr fontId="0" type="noConversion"/>
  </si>
  <si>
    <t>Package No.</t>
    <phoneticPr fontId="0" type="noConversion"/>
  </si>
  <si>
    <t>POSITION IN PRICE SCHEDULE</t>
    <phoneticPr fontId="0" type="noConversion"/>
  </si>
  <si>
    <t>POSITION IN THE MASTER LIST</t>
  </si>
  <si>
    <t>PACKING LIST(1/2)</t>
    <phoneticPr fontId="0" type="noConversion"/>
  </si>
  <si>
    <t>P/L No.</t>
  </si>
  <si>
    <t>NET
WEIGHT
(KG)</t>
    <phoneticPr fontId="0" type="noConversion"/>
  </si>
  <si>
    <t>GROSS WEIGHT
(KG)</t>
    <phoneticPr fontId="0" type="noConversion"/>
  </si>
  <si>
    <t>MEASUREMENT
(CBM)</t>
    <phoneticPr fontId="0" type="noConversion"/>
  </si>
  <si>
    <t>TOTAL</t>
    <phoneticPr fontId="0" type="noConversion"/>
  </si>
  <si>
    <t>PACKING LIST(2/2)</t>
    <phoneticPr fontId="0" type="noConversion"/>
  </si>
  <si>
    <t xml:space="preserve">P/L No. </t>
    <phoneticPr fontId="0" type="noConversion"/>
  </si>
  <si>
    <t>Dated</t>
    <phoneticPr fontId="0" type="noConversion"/>
  </si>
  <si>
    <t>*  Storage Classification</t>
    <phoneticPr fontId="0" type="noConversion"/>
  </si>
  <si>
    <t>**  Plant/Equipment/Materials for</t>
    <phoneticPr fontId="0" type="noConversion"/>
  </si>
  <si>
    <t>Project</t>
    <phoneticPr fontId="0" type="noConversion"/>
  </si>
  <si>
    <t>"A"</t>
    <phoneticPr fontId="0" type="noConversion"/>
  </si>
  <si>
    <t>: Indoor with Air conditioning</t>
    <phoneticPr fontId="0" type="noConversion"/>
  </si>
  <si>
    <t>TBN</t>
    <phoneticPr fontId="0" type="noConversion"/>
  </si>
  <si>
    <t>GEN</t>
    <phoneticPr fontId="0" type="noConversion"/>
  </si>
  <si>
    <t>BOP</t>
    <phoneticPr fontId="0" type="noConversion"/>
  </si>
  <si>
    <t>"B"</t>
    <phoneticPr fontId="0" type="noConversion"/>
  </si>
  <si>
    <t>: Indoor without Air conditioning</t>
    <phoneticPr fontId="0" type="noConversion"/>
  </si>
  <si>
    <t>Unit 1</t>
    <phoneticPr fontId="0" type="noConversion"/>
  </si>
  <si>
    <t>B1</t>
    <phoneticPr fontId="0" type="noConversion"/>
  </si>
  <si>
    <t>T1</t>
    <phoneticPr fontId="0" type="noConversion"/>
  </si>
  <si>
    <t>G1</t>
    <phoneticPr fontId="0" type="noConversion"/>
  </si>
  <si>
    <t>P2</t>
  </si>
  <si>
    <t>"C"</t>
    <phoneticPr fontId="0" type="noConversion"/>
  </si>
  <si>
    <t>: Hazardous Material</t>
    <phoneticPr fontId="0" type="noConversion"/>
  </si>
  <si>
    <t>Unit 2</t>
    <phoneticPr fontId="0" type="noConversion"/>
  </si>
  <si>
    <t>B2</t>
    <phoneticPr fontId="0" type="noConversion"/>
  </si>
  <si>
    <t>T2</t>
    <phoneticPr fontId="0" type="noConversion"/>
  </si>
  <si>
    <t>G2</t>
    <phoneticPr fontId="0" type="noConversion"/>
  </si>
  <si>
    <t>P2</t>
    <phoneticPr fontId="0" type="noConversion"/>
  </si>
  <si>
    <t>"D"</t>
    <phoneticPr fontId="0" type="noConversion"/>
  </si>
  <si>
    <t>: Outdoor with waterproofing</t>
    <phoneticPr fontId="0" type="noConversion"/>
  </si>
  <si>
    <t>Common</t>
    <phoneticPr fontId="0" type="noConversion"/>
  </si>
  <si>
    <t>B0</t>
    <phoneticPr fontId="0" type="noConversion"/>
  </si>
  <si>
    <t>T0</t>
    <phoneticPr fontId="0" type="noConversion"/>
  </si>
  <si>
    <t>G0</t>
    <phoneticPr fontId="0" type="noConversion"/>
  </si>
  <si>
    <t>P0</t>
    <phoneticPr fontId="0" type="noConversion"/>
  </si>
  <si>
    <t>"E"</t>
    <phoneticPr fontId="0" type="noConversion"/>
  </si>
  <si>
    <t>: Outdoor without waterproofing</t>
    <phoneticPr fontId="0" type="noConversion"/>
  </si>
  <si>
    <t>Description of Goods</t>
    <phoneticPr fontId="0" type="noConversion"/>
  </si>
  <si>
    <t>Position in price schedule</t>
    <phoneticPr fontId="0" type="noConversion"/>
  </si>
  <si>
    <t>Quantity</t>
    <phoneticPr fontId="0" type="noConversion"/>
  </si>
  <si>
    <t>Package Type</t>
    <phoneticPr fontId="0" type="noConversion"/>
  </si>
  <si>
    <t>Measurement</t>
    <phoneticPr fontId="0" type="noConversion"/>
  </si>
  <si>
    <t>Net Weight
(kg)</t>
    <phoneticPr fontId="0" type="noConversion"/>
  </si>
  <si>
    <t>Gross Weight
(kg)</t>
    <phoneticPr fontId="0" type="noConversion"/>
  </si>
  <si>
    <t>Hazardous Material</t>
    <phoneticPr fontId="0" type="noConversion"/>
  </si>
  <si>
    <t>Storage Classification
(*)</t>
    <phoneticPr fontId="0" type="noConversion"/>
  </si>
  <si>
    <t>Remark
(**)</t>
    <phoneticPr fontId="0" type="noConversion"/>
  </si>
  <si>
    <t>Nos</t>
    <phoneticPr fontId="0" type="noConversion"/>
  </si>
  <si>
    <t>Unit</t>
    <phoneticPr fontId="0" type="noConversion"/>
  </si>
  <si>
    <t>Length
(cm)</t>
    <phoneticPr fontId="0" type="noConversion"/>
  </si>
  <si>
    <t>Width
(cm)</t>
    <phoneticPr fontId="0" type="noConversion"/>
  </si>
  <si>
    <t>Height
(cm)</t>
    <phoneticPr fontId="0" type="noConversion"/>
  </si>
  <si>
    <t>Volume
(cbm)</t>
    <phoneticPr fontId="0" type="noConversion"/>
  </si>
  <si>
    <t>Grand Total</t>
    <phoneticPr fontId="0" type="noConversion"/>
  </si>
  <si>
    <t>DETAILED PACKING LIST</t>
    <phoneticPr fontId="0" type="noConversion"/>
  </si>
  <si>
    <t>PL No.</t>
    <phoneticPr fontId="0" type="noConversion"/>
  </si>
  <si>
    <t>Referenced DWG No.</t>
    <phoneticPr fontId="0" type="noConversion"/>
  </si>
  <si>
    <t>Manufacturer</t>
    <phoneticPr fontId="0" type="noConversion"/>
  </si>
  <si>
    <t>Tag No.</t>
    <phoneticPr fontId="0" type="noConversion"/>
  </si>
  <si>
    <t>Grand-Total</t>
    <phoneticPr fontId="0" type="noConversion"/>
  </si>
  <si>
    <t>SHIPPING MARK</t>
    <phoneticPr fontId="0" type="noConversion"/>
  </si>
  <si>
    <t xml:space="preserve">O MON IV THERMAL POWER PLANT </t>
  </si>
  <si>
    <t xml:space="preserve">                             SHIPPER  </t>
    <phoneticPr fontId="0" type="noConversion"/>
  </si>
  <si>
    <t>:</t>
  </si>
  <si>
    <t xml:space="preserve">                            ADDRESS</t>
    <phoneticPr fontId="0" type="noConversion"/>
  </si>
  <si>
    <t xml:space="preserve">                    NOTIFY PARTY</t>
    <phoneticPr fontId="0" type="noConversion"/>
  </si>
  <si>
    <t>:</t>
    <phoneticPr fontId="0" type="noConversion"/>
  </si>
  <si>
    <t xml:space="preserve">                   SHIPMENT NO.</t>
    <phoneticPr fontId="0" type="noConversion"/>
  </si>
  <si>
    <t>KG</t>
    <phoneticPr fontId="0" type="noConversion"/>
  </si>
  <si>
    <t>cm(L) X</t>
    <phoneticPr fontId="0" type="noConversion"/>
  </si>
  <si>
    <t>cm (W) X</t>
    <phoneticPr fontId="0" type="noConversion"/>
  </si>
  <si>
    <t>cm (H)</t>
    <phoneticPr fontId="0" type="noConversion"/>
  </si>
  <si>
    <t>CBM</t>
    <phoneticPr fontId="0" type="noConversion"/>
  </si>
  <si>
    <t xml:space="preserve">         COUNTRY OF ORIGIN</t>
    <phoneticPr fontId="0" type="noConversion"/>
  </si>
  <si>
    <t xml:space="preserve">                              QUALITY</t>
    <phoneticPr fontId="0" type="noConversion"/>
  </si>
  <si>
    <t>100% BRAND NEW</t>
    <phoneticPr fontId="0" type="noConversion"/>
  </si>
  <si>
    <t>QUALITY</t>
  </si>
  <si>
    <t>100% BRAND NEW</t>
  </si>
  <si>
    <r>
      <t xml:space="preserve">- In the B/L Form, </t>
    </r>
    <r>
      <rPr>
        <b/>
        <sz val="11"/>
        <color rgb="FFFF0000"/>
        <rFont val="돋움"/>
        <family val="3"/>
        <charset val="129"/>
      </rPr>
      <t>"Freight Prepaid"</t>
    </r>
    <r>
      <rPr>
        <sz val="11"/>
        <color rgb="FFFF0000"/>
        <rFont val="돋움"/>
        <family val="3"/>
        <charset val="129"/>
      </rPr>
      <t xml:space="preserve"> must be used according to the signed EPC regulations, "Freight payable" cannot be used as the form we are drafting.
- According to EPC, the Contractor is required to bear the risks and losses until handover, and must insure all goods during transportation, so remove the content of the complicated limitation regulations below in the B/L Form.</t>
    </r>
  </si>
  <si>
    <t xml:space="preserve">                  LOADING PORT
</t>
    <phoneticPr fontId="0" type="noConversion"/>
  </si>
  <si>
    <t>PECC2 Innovation Hub, 45 Street No.2, Truong Tho Ward, Thu Duc City, HCMC, Vietnam
Tel: +84-28-2221 6468 | Fax: +84-28-2221 0408</t>
    <phoneticPr fontId="33" type="noConversion"/>
  </si>
  <si>
    <t>06/2025/HĐ-PVN/OM4-06</t>
    <phoneticPr fontId="33" type="noConversion"/>
  </si>
  <si>
    <t xml:space="preserve">                        CONSIGNEE</t>
    <phoneticPr fontId="0" type="noConversion"/>
  </si>
  <si>
    <t xml:space="preserve">                   CONTRACT NO.</t>
    <phoneticPr fontId="0" type="noConversion"/>
  </si>
  <si>
    <t xml:space="preserve">EQUIPMENT DESCRIPTION </t>
    <phoneticPr fontId="0" type="noConversion"/>
  </si>
  <si>
    <t xml:space="preserve">                      NET WEIGHT
</t>
    <phoneticPr fontId="0" type="noConversion"/>
  </si>
  <si>
    <t xml:space="preserve">                 GROSS WEIGHT
</t>
    <phoneticPr fontId="0" type="noConversion"/>
  </si>
  <si>
    <t xml:space="preserve">                     PACKAGE NO.
            </t>
    <phoneticPr fontId="0" type="noConversion"/>
  </si>
  <si>
    <t xml:space="preserve">                       -	MEASUREMENT
</t>
    <phoneticPr fontId="0" type="noConversion"/>
  </si>
  <si>
    <t xml:space="preserve">    PORT OF DESTINATION
                       </t>
    <phoneticPr fontId="0" type="noConversion"/>
  </si>
  <si>
    <t xml:space="preserve">                     CONSIGNOR.
            </t>
    <phoneticPr fontId="0" type="noConversion"/>
  </si>
  <si>
    <t>C/O of Goods</t>
    <phoneticPr fontId="0" type="noConversion"/>
  </si>
  <si>
    <t>PECC2 Innovation Hub, 45 Street No.2, Truong Tho Ward, 
Thu Duc City, HCMC, Vietnam
Tel: +84-28-2221 6468 | Fax: +84-28-2221 0408</t>
    <phoneticPr fontId="33" type="noConversion"/>
  </si>
  <si>
    <t>O MON IV THERMAL POWER PLANT</t>
    <phoneticPr fontId="33" type="noConversion"/>
  </si>
  <si>
    <t xml:space="preserve">PLACE :  </t>
    <phoneticPr fontId="33" type="noConversion"/>
  </si>
  <si>
    <t>Technical Description</t>
    <phoneticPr fontId="33" type="noConversion"/>
  </si>
  <si>
    <t>Invoice no.</t>
    <phoneticPr fontId="33" type="noConversion"/>
  </si>
  <si>
    <t>№</t>
  </si>
  <si>
    <t>Package No.</t>
    <phoneticPr fontId="33" type="noConversion"/>
  </si>
  <si>
    <t>Description of Goods</t>
    <phoneticPr fontId="33" type="noConversion"/>
  </si>
  <si>
    <t>Quantity</t>
    <phoneticPr fontId="33" type="noConversion"/>
  </si>
  <si>
    <t>Photo</t>
    <phoneticPr fontId="33" type="noConversion"/>
  </si>
  <si>
    <t>Technical specifications</t>
    <phoneticPr fontId="33" type="noConversion"/>
  </si>
  <si>
    <t>Nos</t>
    <phoneticPr fontId="33" type="noConversion"/>
  </si>
  <si>
    <t>Unit</t>
    <phoneticPr fontId="33" type="noConversion"/>
  </si>
  <si>
    <t>Before packing</t>
    <phoneticPr fontId="33" type="noConversion"/>
  </si>
  <si>
    <t>After packing</t>
    <phoneticPr fontId="33" type="noConversion"/>
  </si>
  <si>
    <t xml:space="preserve">INVOICE NO. : </t>
    <phoneticPr fontId="0" type="noConversion"/>
  </si>
  <si>
    <t xml:space="preserve">SHIPMENT NO. : </t>
    <phoneticPr fontId="33" type="noConversion"/>
  </si>
  <si>
    <t>TERM OF DELIVERY :</t>
    <phoneticPr fontId="33" type="noConversion"/>
  </si>
  <si>
    <t>TOTAL AMOUNT AT THIS SHIPMENT</t>
    <phoneticPr fontId="33" type="noConversion"/>
  </si>
  <si>
    <t xml:space="preserve">Doosan Enerbility Co., Ltd.
</t>
    <phoneticPr fontId="33" type="noConversion"/>
  </si>
  <si>
    <t xml:space="preserve">22 DoosanVolvo-ro, Seongsan-gu, Chang-won-si, 
Gyeongsangnam-do 51711, Republic of Korea </t>
    <phoneticPr fontId="33" type="noConversion"/>
  </si>
  <si>
    <t>DESCRIPTION OF GOODS</t>
    <phoneticPr fontId="33" type="noConversion"/>
  </si>
  <si>
    <r>
      <t xml:space="preserve">PL(2_2) Sheet </t>
    </r>
    <r>
      <rPr>
        <sz val="18"/>
        <rFont val="돋움"/>
        <family val="3"/>
        <charset val="129"/>
      </rPr>
      <t>내</t>
    </r>
    <r>
      <rPr>
        <sz val="18"/>
        <rFont val="Calibri"/>
        <family val="2"/>
      </rPr>
      <t xml:space="preserve"> </t>
    </r>
    <r>
      <rPr>
        <sz val="18"/>
        <rFont val="돋움"/>
        <family val="3"/>
        <charset val="129"/>
      </rPr>
      <t>내용</t>
    </r>
    <r>
      <rPr>
        <sz val="18"/>
        <rFont val="Calibri"/>
        <family val="2"/>
      </rPr>
      <t xml:space="preserve"> </t>
    </r>
    <r>
      <rPr>
        <sz val="18"/>
        <rFont val="돋움"/>
        <family val="3"/>
        <charset val="129"/>
      </rPr>
      <t>반영</t>
    </r>
    <r>
      <rPr>
        <sz val="18"/>
        <rFont val="Calibri"/>
        <family val="2"/>
      </rPr>
      <t xml:space="preserve"> </t>
    </r>
    <r>
      <rPr>
        <sz val="18"/>
        <rFont val="돋움"/>
        <family val="3"/>
        <charset val="129"/>
      </rPr>
      <t>필요</t>
    </r>
    <phoneticPr fontId="33" type="noConversion"/>
  </si>
  <si>
    <r>
      <t xml:space="preserve">PL(2_2) Sheet </t>
    </r>
    <r>
      <rPr>
        <sz val="18"/>
        <rFont val="돋움"/>
        <family val="3"/>
        <charset val="129"/>
      </rPr>
      <t>내</t>
    </r>
    <r>
      <rPr>
        <sz val="18"/>
        <rFont val="Calibri"/>
        <family val="2"/>
      </rPr>
      <t xml:space="preserve"> PKG </t>
    </r>
    <r>
      <rPr>
        <sz val="18"/>
        <rFont val="돋움"/>
        <family val="3"/>
        <charset val="129"/>
      </rPr>
      <t>별</t>
    </r>
    <r>
      <rPr>
        <sz val="18"/>
        <rFont val="Calibri"/>
        <family val="2"/>
      </rPr>
      <t xml:space="preserve"> </t>
    </r>
    <r>
      <rPr>
        <sz val="18"/>
        <rFont val="돋움"/>
        <family val="3"/>
        <charset val="129"/>
      </rPr>
      <t>숫자</t>
    </r>
    <r>
      <rPr>
        <sz val="18"/>
        <rFont val="Calibri"/>
        <family val="2"/>
      </rPr>
      <t xml:space="preserve"> </t>
    </r>
    <r>
      <rPr>
        <sz val="18"/>
        <rFont val="돋움"/>
        <family val="3"/>
        <charset val="129"/>
      </rPr>
      <t>반영</t>
    </r>
    <r>
      <rPr>
        <sz val="18"/>
        <rFont val="Calibri"/>
        <family val="2"/>
      </rPr>
      <t xml:space="preserve"> </t>
    </r>
    <r>
      <rPr>
        <sz val="18"/>
        <rFont val="돋움"/>
        <family val="3"/>
        <charset val="129"/>
      </rPr>
      <t>필요</t>
    </r>
    <phoneticPr fontId="33" type="noConversion"/>
  </si>
  <si>
    <r>
      <rPr>
        <b/>
        <sz val="10"/>
        <rFont val="Arial"/>
        <family val="2"/>
      </rPr>
      <t>Doosan Enerbility Co., Ltd.</t>
    </r>
    <r>
      <rPr>
        <sz val="9"/>
        <rFont val="Arial"/>
        <family val="2"/>
      </rPr>
      <t xml:space="preserve">
</t>
    </r>
    <r>
      <rPr>
        <sz val="10"/>
        <rFont val="Arial"/>
        <family val="2"/>
      </rPr>
      <t xml:space="preserve">22 DoosanVolvo-ro, Seongsan-gu, Chang-won-si, 
Gyeongsangnam-do 51711, Republic of Korea </t>
    </r>
    <phoneticPr fontId="33" type="noConversion"/>
  </si>
  <si>
    <t>Address: O Mon Power Complex at Phuoc Thoi wards, Can Tho city</t>
  </si>
  <si>
    <t>VESSEL NAME :</t>
    <phoneticPr fontId="33" type="noConversion"/>
  </si>
  <si>
    <t>BILL OF LADING/ AIRWAY BILL NO. :</t>
    <phoneticPr fontId="33" type="noConversion"/>
  </si>
  <si>
    <t>B/L DATE :</t>
    <phoneticPr fontId="33" type="noConversion"/>
  </si>
  <si>
    <t>PAYMENT TERMS:</t>
    <phoneticPr fontId="33" type="noConversion"/>
  </si>
  <si>
    <r>
      <t xml:space="preserve">Cty Doosan Enerbility Co.,Ltd HQ-Nha thau TH CV thuoc Goi thau so OM4-EPC-HHO-06 cho NMND O Mon IV 
</t>
    </r>
    <r>
      <rPr>
        <sz val="10"/>
        <rFont val="Arial"/>
        <family val="2"/>
      </rPr>
      <t>Thoi Loi Area, Phuoc Thoi Ward, Can Tho City, Vietnam
T : (+84) 367 566 167 F : (+84 243) 624 8485</t>
    </r>
  </si>
  <si>
    <r>
      <rPr>
        <b/>
        <sz val="10"/>
        <rFont val="Arial"/>
        <family val="2"/>
      </rPr>
      <t xml:space="preserve">Cty Doosan Enerbility Co.,Ltd HQ-Nha thau TH CV thuoc Goi thau so OM4-EPC-HHO-06 cho NMND O Mon IV </t>
    </r>
    <r>
      <rPr>
        <sz val="10"/>
        <rFont val="Arial"/>
        <family val="2"/>
      </rPr>
      <t xml:space="preserve">
Thoi Loi Area, Phươc Thoi Ward, Can Tho City, Vietnam
T : (+84) 367 566 167 F : (+84 243) 624 8485
</t>
    </r>
    <r>
      <rPr>
        <b/>
        <sz val="10"/>
        <rFont val="Arial"/>
        <family val="2"/>
      </rPr>
      <t xml:space="preserve">BRANCH OF KWANGJIN VIET NAM IN DUNG QUAT Co.,Ltd </t>
    </r>
    <r>
      <rPr>
        <sz val="10"/>
        <rFont val="Arial"/>
        <family val="2"/>
      </rPr>
      <t xml:space="preserve">
Dung Quat Economic Zone, Van Tuong Commune, Quang Ngai Province, Vietnam
T : (+84) 28 3825 6330 	 	 	 
Attn: Mr. Phuoc  / Email: phuoc@kjtc.co.kr </t>
    </r>
    <phoneticPr fontId="33" type="noConversion"/>
  </si>
  <si>
    <t>DETAILS ARE AS PER ATTACHED SHEET</t>
  </si>
  <si>
    <t xml:space="preserve">INVOICE NO. : </t>
  </si>
  <si>
    <t>NET WEIGHT
(KG)</t>
  </si>
  <si>
    <r>
      <t xml:space="preserve">Cty Doosan Enerbility Co.,Ltd HQ-Nha thau TH CV thuoc Goi thau so OM4-EPC-HHO-06 cho NMND O Mon IV 
</t>
    </r>
    <r>
      <rPr>
        <sz val="10"/>
        <rFont val="Arial"/>
        <family val="2"/>
      </rPr>
      <t>Thoi Loi Area, Phuoc Thoi Ward, Can Tho City, Vietnam
T : (+84) 367 566 167 F : (+84 243) 624 8485</t>
    </r>
    <phoneticPr fontId="33" type="noConversion"/>
  </si>
  <si>
    <t>Cty Doosan Enerbility Co.,Ltd HQ-Nha thau TH CV thuoc Goi thau so OM4-EPC-HHO-06 cho NMND O Mon IV 
Thoi Loi Area, Phuoc Thoi Ward, Can Tho City, Vietnam
T : (+84) 367 566 167 F : (+84 243) 624 8485</t>
    <phoneticPr fontId="33" type="noConversion"/>
  </si>
  <si>
    <t xml:space="preserve">Cty Doosan Enerbility Co.,Ltd HQ-Nha thau TH CV thuoc Goi thau so OM4-EPC-HHO-06 cho NMND O Mon IV 
Thoi Loi Area, Phươc Thoi Ward, Can Tho City, Vietnam
T : (+84) 367 566 167 F : (+84 243) 624 8485
BRANCH OF KWANGJIN VIET NAM IN DUNG QUAT Co.,Ltd 
Dung Quat Economic Zone, Van Tuong Commune, Quang Ngai Province, Vietnam
T : (+84) 28 3825 6330 	 	 	 
Attn: Mr. Phuoc  / Email: phuoc@kjtc.co.kr </t>
    <phoneticPr fontId="33" type="noConversion"/>
  </si>
  <si>
    <t>PLANT/ EQUIPMENT AND MATERIALS FOR O MON IV THERMAL POWER PLANT
(Contract No. OM4-PO-DE-001)</t>
    <phoneticPr fontId="33" type="noConversion"/>
  </si>
  <si>
    <t>PLANT/ EQUIPMENT AND MATERIALS FOR 
O MON IV THERMAL POWER PLANT
(Contract No. OM4-PO-DE-001)</t>
    <phoneticPr fontId="33" type="noConversion"/>
  </si>
  <si>
    <t>Ho Chi Minh City Port, Vietnam</t>
    <phoneticPr fontId="33" type="noConversion"/>
  </si>
  <si>
    <t>Address: O Mon Power Complex at Phuoc Thoi wards, O Mon district, Can Tho city</t>
  </si>
  <si>
    <t>PLANT/ EQUIPMENT AND MATERIALS FOR O MON IV THERMAL</t>
  </si>
  <si>
    <t>Jinho. Lee / Deputy Project Director</t>
  </si>
  <si>
    <t>Hazardous 
Material</t>
    <phoneticPr fontId="0" type="noConversion"/>
  </si>
  <si>
    <t>COG Marked (Y/N)</t>
    <phoneticPr fontId="33" type="noConversion"/>
  </si>
  <si>
    <t>Sling Point Marked (Y/N)</t>
    <phoneticPr fontId="33" type="noConversion"/>
  </si>
  <si>
    <t>Handle with care Marked
(Y/N)</t>
    <phoneticPr fontId="33" type="noConversion"/>
  </si>
  <si>
    <t>KOBE, JAPAN</t>
    <phoneticPr fontId="33" type="noConversion"/>
  </si>
  <si>
    <t>Ho Chi Minh City Port, Vietnam</t>
  </si>
  <si>
    <t>JAPAN</t>
    <phoneticPr fontId="33" type="noConversion"/>
  </si>
  <si>
    <t>CASE</t>
  </si>
  <si>
    <t>GTG</t>
    <phoneticPr fontId="0" type="noConversion"/>
  </si>
  <si>
    <t>OM4-DE-IS-0005</t>
    <phoneticPr fontId="33" type="noConversion"/>
  </si>
  <si>
    <t>OM4-DE-IS-0005-001</t>
  </si>
  <si>
    <t>OM4-DE-IS-0005-002</t>
  </si>
  <si>
    <t>OM4-DE-IS-0005-003</t>
  </si>
  <si>
    <t>OM4-DE-IS-0005-004</t>
  </si>
  <si>
    <t>OM4-DE-IS-0005-005</t>
  </si>
  <si>
    <t>OM4-DE-IS-0005-006</t>
  </si>
  <si>
    <t>OM4-DE-IS-0005-007</t>
  </si>
  <si>
    <t>OM4-DE-IS-0005-008</t>
  </si>
  <si>
    <t>OM4-DE-IS-0005-009</t>
  </si>
  <si>
    <t>OM4-DE-IS-0005-010</t>
  </si>
  <si>
    <t>OM4-DE-IS-0005-011</t>
  </si>
  <si>
    <t>OM4-DE-IS-0005-012</t>
  </si>
  <si>
    <t>OM4-DE-IS-0005-013</t>
  </si>
  <si>
    <t>OM4-DE-IS-0005-014</t>
  </si>
  <si>
    <t>OM4-DE-IS-0005-015</t>
  </si>
  <si>
    <t>OM4-DE-IS-0005-016</t>
  </si>
  <si>
    <t>OM4-DE-IS-0005-017</t>
  </si>
  <si>
    <t>OM4-DE-IS-0005-018</t>
  </si>
  <si>
    <t>OM4-DE-IS-0005-019</t>
  </si>
  <si>
    <t>OM4-DE-IS-0005-020</t>
  </si>
  <si>
    <t>OM4-DE-IS-0005-021</t>
  </si>
  <si>
    <t>OM4-DE-IS-0005-022</t>
  </si>
  <si>
    <t>OM4-DE-IS-0005-023</t>
  </si>
  <si>
    <t>OM4-DE-IS-0005-024</t>
  </si>
  <si>
    <t>CASE</t>
    <phoneticPr fontId="33" type="noConversion"/>
  </si>
  <si>
    <t>MG</t>
    <phoneticPr fontId="33" type="noConversion"/>
  </si>
  <si>
    <t>T/T</t>
    <phoneticPr fontId="33" type="noConversion"/>
  </si>
  <si>
    <t>Remark
(**)</t>
  </si>
  <si>
    <t>GROUT RETAINER</t>
  </si>
  <si>
    <t>ANCHOR BLOCK</t>
  </si>
  <si>
    <t>BOX 1/4</t>
  </si>
  <si>
    <t>BOX 2/4</t>
  </si>
  <si>
    <t>BOX 3/4</t>
  </si>
  <si>
    <t>BOX 4/4</t>
  </si>
  <si>
    <t>COVER</t>
  </si>
  <si>
    <t>FOUNDATION BOLT  M36 A36P470-5</t>
  </si>
  <si>
    <t>EMBEDDED METAL-1　(Fe)200×500×159</t>
  </si>
  <si>
    <t>EMBEDDED PLATE    500X100Xt6     EB40226_x000D_
3-1</t>
  </si>
  <si>
    <r>
      <t xml:space="preserve">PS 1.1, </t>
    </r>
    <r>
      <rPr>
        <sz val="10"/>
        <rFont val="맑은 고딕"/>
        <family val="2"/>
        <charset val="129"/>
      </rPr>
      <t>Ⅰ</t>
    </r>
    <r>
      <rPr>
        <sz val="10"/>
        <rFont val="Calibri"/>
        <family val="2"/>
      </rPr>
      <t>, 2</t>
    </r>
    <phoneticPr fontId="33" type="noConversion"/>
  </si>
  <si>
    <t>PS 1.1, Ⅰ, 2</t>
  </si>
  <si>
    <t>PS 1.1, Ⅰ, 4</t>
  </si>
  <si>
    <t>Sub-Total</t>
    <phoneticPr fontId="33" type="noConversion"/>
  </si>
  <si>
    <t>PCS</t>
    <phoneticPr fontId="33" type="noConversion"/>
  </si>
  <si>
    <t>PCE</t>
    <phoneticPr fontId="33" type="noConversion"/>
  </si>
  <si>
    <t>EMBEDDED PLATE    1500X100Xt6     EB4022_x000D_
63-3</t>
  </si>
  <si>
    <t>EMBEDDED PLATE    1500X200Xt9     EB4022_x000D_
63-4</t>
  </si>
  <si>
    <t>ANCHOR BLOCK</t>
    <phoneticPr fontId="33" type="noConversion"/>
  </si>
  <si>
    <t>BOX 2/4</t>
    <phoneticPr fontId="33" type="noConversion"/>
  </si>
  <si>
    <t>BOX 3/4</t>
    <phoneticPr fontId="33" type="noConversion"/>
  </si>
  <si>
    <t>BOX 4/4</t>
    <phoneticPr fontId="33" type="noConversion"/>
  </si>
  <si>
    <t>COVER</t>
    <phoneticPr fontId="33" type="noConversion"/>
  </si>
  <si>
    <t>FOUNDATION BOLT  M36 A36P470-5</t>
    <phoneticPr fontId="33" type="noConversion"/>
  </si>
  <si>
    <t>FOUNDATION BOLT  M30 A36P470-7</t>
    <phoneticPr fontId="33" type="noConversion"/>
  </si>
  <si>
    <t>A36P470-5</t>
  </si>
  <si>
    <t>A36P470-7</t>
  </si>
  <si>
    <r>
      <t>EMBEDDED METAL-1</t>
    </r>
    <r>
      <rPr>
        <sz val="10"/>
        <rFont val="돋움"/>
        <family val="3"/>
        <charset val="129"/>
      </rPr>
      <t>　</t>
    </r>
    <r>
      <rPr>
        <sz val="10"/>
        <rFont val="Calibri"/>
        <family val="2"/>
      </rPr>
      <t>(Fe)200×500×159</t>
    </r>
  </si>
  <si>
    <r>
      <t>EMBEDDED METAL-2</t>
    </r>
    <r>
      <rPr>
        <sz val="10"/>
        <rFont val="돋움"/>
        <family val="3"/>
        <charset val="129"/>
      </rPr>
      <t>　</t>
    </r>
    <r>
      <rPr>
        <sz val="10"/>
        <rFont val="Calibri"/>
        <family val="2"/>
      </rPr>
      <t>(Fe)200×200×159</t>
    </r>
  </si>
  <si>
    <r>
      <t>EMBEDDED METAL-1</t>
    </r>
    <r>
      <rPr>
        <sz val="10"/>
        <rFont val="맑은 고딕"/>
        <family val="2"/>
        <charset val="129"/>
      </rPr>
      <t>　</t>
    </r>
    <r>
      <rPr>
        <sz val="10"/>
        <rFont val="Calibri"/>
        <family val="2"/>
      </rPr>
      <t>(Fe)200×500×159</t>
    </r>
    <phoneticPr fontId="33" type="noConversion"/>
  </si>
  <si>
    <t>N/A</t>
    <phoneticPr fontId="33" type="noConversion"/>
  </si>
  <si>
    <t>EMBEDDED PLATE 500X100Xt6 EB40226 3-1</t>
  </si>
  <si>
    <t>EMBEDDED METAL-1 (Fe)200×500×159</t>
  </si>
  <si>
    <t>Gas Turbine Generator set and its auxiliaries #1 &amp; #2
- Embedded materials</t>
    <phoneticPr fontId="33" type="noConversion"/>
  </si>
  <si>
    <t>N</t>
    <phoneticPr fontId="33" type="noConversion"/>
  </si>
  <si>
    <t>Y</t>
    <phoneticPr fontId="33" type="noConversion"/>
  </si>
  <si>
    <t>B</t>
    <phoneticPr fontId="33" type="noConversion"/>
  </si>
  <si>
    <t>OM4-MG-GEN1-KOB-0001</t>
  </si>
  <si>
    <t>OM4-MG-GEN1-KOB-0002</t>
  </si>
  <si>
    <t>OM4-MG-GEN1-KOB-0003</t>
  </si>
  <si>
    <t>OM4-MG-GEN1-KOB-0004</t>
  </si>
  <si>
    <t>OM4-MG-GEN1-KOB-0005</t>
  </si>
  <si>
    <t>OM4-MG-GEN1-KOB-0006</t>
  </si>
  <si>
    <t>OM4-MG-GEN1-KOB-0007</t>
  </si>
  <si>
    <t>OM4-MG-GEN1-KOB-0008</t>
  </si>
  <si>
    <t>OM4-MG-GEN1-KOB-0009</t>
  </si>
  <si>
    <t>OM4-MG-GEN1-KOB-0010</t>
  </si>
  <si>
    <t>OM4-MG-GEN1-KOB-0011</t>
  </si>
  <si>
    <t>OM4-MG-GEN1-MAR-0001</t>
  </si>
  <si>
    <t>OM4-MG-GEN2-KOB-0001</t>
  </si>
  <si>
    <t>OM4-MG-GEN2-KOB-0002</t>
  </si>
  <si>
    <t>OM4-MG-GEN2-KOB-0003</t>
  </si>
  <si>
    <t>OM4-MG-GEN2-KOB-0004</t>
  </si>
  <si>
    <t>OM4-MG-GEN2-KOB-0005</t>
  </si>
  <si>
    <t>OM4-MG-GEN2-KOB-0006</t>
  </si>
  <si>
    <t>OM4-MG-GEN2-KOB-0007</t>
  </si>
  <si>
    <t>OM4-MG-GEN2-KOB-0008</t>
  </si>
  <si>
    <t>OM4-MG-GEN2-KOB-0009</t>
  </si>
  <si>
    <t>OM4-MG-GEN2-KOB-0010</t>
  </si>
  <si>
    <t>OM4-MG-GEN2-KOB-0011</t>
  </si>
  <si>
    <t>OM4-MG-GEN2-MAR-0001</t>
  </si>
  <si>
    <t>EMBEDDED PLATE    500X100Xt6     EB40226 3-1</t>
    <phoneticPr fontId="33" type="noConversion"/>
  </si>
  <si>
    <t>DWG No.</t>
  </si>
  <si>
    <t>DWG No.</t>
    <phoneticPr fontId="33" type="noConversion"/>
  </si>
  <si>
    <t>A13C454 -G01</t>
  </si>
  <si>
    <t>ASSEMBLY D.W.G NO.</t>
    <phoneticPr fontId="33" type="noConversion"/>
  </si>
  <si>
    <t>OM4-MG-GEN1-KOB-0002</t>
    <phoneticPr fontId="33" type="noConversion"/>
  </si>
  <si>
    <t>A13C454 -G02</t>
  </si>
  <si>
    <t>A13C454 -G03</t>
  </si>
  <si>
    <t>A13C454 -G04</t>
  </si>
  <si>
    <t>A13C454 -G05</t>
  </si>
  <si>
    <t>A13C454 -G06</t>
  </si>
  <si>
    <t>A13C454 -G07</t>
  </si>
  <si>
    <t>A13C454 -G08</t>
  </si>
  <si>
    <t>EB402263-1</t>
  </si>
  <si>
    <t>EB402263-2</t>
  </si>
  <si>
    <t>EB402263-3</t>
  </si>
  <si>
    <t>EB402263-4</t>
  </si>
  <si>
    <t>EBABH-W0624</t>
  </si>
  <si>
    <t>GROUT RETAINER</t>
    <phoneticPr fontId="33" type="noConversion"/>
  </si>
  <si>
    <t>EMBEDDED PLATE    500X100Xt6     EB402263-1</t>
    <phoneticPr fontId="33" type="noConversion"/>
  </si>
  <si>
    <t>EMBEDDED PLATE  1000X100Xt6     EB402263-2</t>
    <phoneticPr fontId="33" type="noConversion"/>
  </si>
  <si>
    <t>AS29212 -G03</t>
  </si>
  <si>
    <t>EB102586</t>
  </si>
  <si>
    <t>AS29643 -G03</t>
  </si>
  <si>
    <t>A12R049 -G01</t>
  </si>
  <si>
    <t>EB102585</t>
  </si>
  <si>
    <t>A12R049 -G02</t>
  </si>
  <si>
    <t>OM4-MG-GEN1-KOB-0003</t>
    <phoneticPr fontId="33" type="noConversion"/>
  </si>
  <si>
    <t>OM4-MG-GEN1-KOB-0004</t>
    <phoneticPr fontId="33" type="noConversion"/>
  </si>
  <si>
    <t>OM4-MG-GEN1-KOB-0005</t>
    <phoneticPr fontId="33" type="noConversion"/>
  </si>
  <si>
    <t>OM4-MG-GEN1-KOB-0006</t>
    <phoneticPr fontId="33" type="noConversion"/>
  </si>
  <si>
    <t>BOX 1/4</t>
    <phoneticPr fontId="33" type="noConversion"/>
  </si>
  <si>
    <t>OM4-MG-GEN1-KOB-0007</t>
    <phoneticPr fontId="33" type="noConversion"/>
  </si>
  <si>
    <t>OM4-MG-GEN1-KOB-0008</t>
    <phoneticPr fontId="33" type="noConversion"/>
  </si>
  <si>
    <t>OM4-MG-GEN1-KOB-0009</t>
    <phoneticPr fontId="33" type="noConversion"/>
  </si>
  <si>
    <t>OM4-MG-GEN1-KOB-0010</t>
    <phoneticPr fontId="33" type="noConversion"/>
  </si>
  <si>
    <t>OM4-MG-GEN1-KOB-0011</t>
    <phoneticPr fontId="33" type="noConversion"/>
  </si>
  <si>
    <r>
      <t>EMBEDDED METAL-1</t>
    </r>
    <r>
      <rPr>
        <sz val="10"/>
        <rFont val="돋움"/>
        <family val="3"/>
        <charset val="129"/>
      </rPr>
      <t>　</t>
    </r>
    <r>
      <rPr>
        <sz val="10"/>
        <rFont val="Calibri"/>
        <family val="2"/>
      </rPr>
      <t>(Fe)200×500×159</t>
    </r>
    <phoneticPr fontId="33" type="noConversion"/>
  </si>
  <si>
    <r>
      <t>EMBEDDED METAL-2</t>
    </r>
    <r>
      <rPr>
        <sz val="10"/>
        <rFont val="돋움"/>
        <family val="3"/>
        <charset val="129"/>
      </rPr>
      <t>　</t>
    </r>
    <r>
      <rPr>
        <sz val="10"/>
        <rFont val="Calibri"/>
        <family val="2"/>
      </rPr>
      <t>(Fe)200×200×159</t>
    </r>
    <phoneticPr fontId="33" type="noConversion"/>
  </si>
  <si>
    <t>OM4-DE-XB02-P0MKC-EL-230144 (EBT3-EAY-EG12)</t>
  </si>
  <si>
    <t>EMBEDDED PLATE    1000X100Xt6     EB402263-1</t>
    <phoneticPr fontId="33" type="noConversion"/>
  </si>
  <si>
    <t>EMBEDDED PLATE    1500X100Xt6     EB402263-3</t>
    <phoneticPr fontId="33" type="noConversion"/>
  </si>
  <si>
    <t>EMBEDDED PLATE    1500X200Xt9     EB402263-4</t>
    <phoneticPr fontId="33" type="noConversion"/>
  </si>
  <si>
    <t>PCS</t>
  </si>
  <si>
    <t>PCE</t>
  </si>
  <si>
    <t>HRSG</t>
    <phoneticPr fontId="0" type="noConversion"/>
  </si>
  <si>
    <t>STG</t>
    <phoneticPr fontId="0" type="noConversion"/>
  </si>
  <si>
    <t>G1</t>
  </si>
  <si>
    <t>G2</t>
  </si>
  <si>
    <t>*Remark</t>
  </si>
  <si>
    <t>- PO No. : 2025012890</t>
    <phoneticPr fontId="33" type="noConversion"/>
  </si>
  <si>
    <t>- Sub-Vendor : MG</t>
    <phoneticPr fontId="33" type="noConversion"/>
  </si>
  <si>
    <t>- OEM's Inv No. : OM4-M-001-JPN</t>
    <phoneticPr fontId="33" type="noConversion"/>
  </si>
  <si>
    <r>
      <t xml:space="preserve">PS 1.1, </t>
    </r>
    <r>
      <rPr>
        <sz val="10"/>
        <rFont val="맑은 고딕"/>
        <family val="2"/>
        <charset val="129"/>
      </rPr>
      <t>Ⅰ</t>
    </r>
    <r>
      <rPr>
        <sz val="10"/>
        <rFont val="Calibri"/>
        <family val="2"/>
      </rPr>
      <t>, 4</t>
    </r>
    <phoneticPr fontId="33" type="noConversion"/>
  </si>
  <si>
    <t>ASL TAIPEI / 2629S</t>
  </si>
  <si>
    <t>CIF Ho Chi Minh City Port, Vietnam</t>
    <phoneticPr fontId="33" type="noConversion"/>
  </si>
  <si>
    <t>Items Excluded from RCEP COO Application</t>
  </si>
  <si>
    <t>SITKBSG2612069</t>
  </si>
  <si>
    <r>
      <t>EMBEDDED METAL-1</t>
    </r>
    <r>
      <rPr>
        <sz val="10"/>
        <rFont val="돋움"/>
        <family val="3"/>
        <charset val="129"/>
      </rPr>
      <t>　</t>
    </r>
    <r>
      <rPr>
        <sz val="10"/>
        <rFont val="Calibri"/>
        <family val="2"/>
      </rPr>
      <t>(Fe) 200×500×159</t>
    </r>
  </si>
  <si>
    <r>
      <t>EMBEDDED METAL-2</t>
    </r>
    <r>
      <rPr>
        <sz val="10"/>
        <rFont val="돋움"/>
        <family val="3"/>
        <charset val="129"/>
      </rPr>
      <t>　</t>
    </r>
    <r>
      <rPr>
        <sz val="10"/>
        <rFont val="Calibri"/>
        <family val="2"/>
      </rPr>
      <t>(Fe) 200×200×159</t>
    </r>
  </si>
  <si>
    <r>
      <t>EMBEDDED METAL-1</t>
    </r>
    <r>
      <rPr>
        <sz val="10"/>
        <rFont val="맑은 고딕"/>
        <family val="2"/>
        <charset val="129"/>
      </rPr>
      <t>　</t>
    </r>
    <r>
      <rPr>
        <sz val="10"/>
        <rFont val="Calibri"/>
        <family val="2"/>
      </rPr>
      <t>(Fe) 200×500×159</t>
    </r>
  </si>
  <si>
    <t>- OEM's Inv No. : OM4-M-001-JPN</t>
  </si>
  <si>
    <t>LOT</t>
  </si>
  <si>
    <r>
      <rPr>
        <b/>
        <sz val="10"/>
        <rFont val="Arial"/>
        <family val="2"/>
      </rPr>
      <t>Doosan Enerbility Co., Ltd.</t>
    </r>
    <r>
      <rPr>
        <sz val="9"/>
        <rFont val="Arial"/>
        <family val="2"/>
      </rPr>
      <t xml:space="preserve">
</t>
    </r>
    <r>
      <rPr>
        <sz val="10"/>
        <rFont val="Arial"/>
        <family val="2"/>
      </rPr>
      <t xml:space="preserve">22 DoosanVolvo-ro, Seongsan-gu, Chang-won-si, 
Gyeongsangnam-do 51711, Republic of Korea </t>
    </r>
  </si>
  <si>
    <r>
      <rPr>
        <b/>
        <sz val="10"/>
        <rFont val="Arial"/>
        <family val="2"/>
      </rPr>
      <t xml:space="preserve">Cty Doosan Enerbility Co.,Ltd HQ-Nha thau TH CV thuoc Goi thau so OM4-EPC-HHO-06 cho NMND O Mon IV </t>
    </r>
    <r>
      <rPr>
        <sz val="10"/>
        <rFont val="Arial"/>
        <family val="2"/>
      </rPr>
      <t xml:space="preserve">
Thoi Loi Area, Phươc Thoi Ward, Can Tho City, Vietnam
T : (+84) 367 566 167 F : (+84 243) 624 8485
</t>
    </r>
    <r>
      <rPr>
        <b/>
        <sz val="10"/>
        <rFont val="Arial"/>
        <family val="2"/>
      </rPr>
      <t xml:space="preserve">BRANCH OF KWANGJIN VIET NAM IN DUNG QUAT Co.,Ltd </t>
    </r>
    <r>
      <rPr>
        <sz val="10"/>
        <rFont val="Arial"/>
        <family val="2"/>
      </rPr>
      <t xml:space="preserve">
Dung Quat Economic Zone, Van Tuong Commune, Quang Ngai Province, Vietnam
T : (+84) 28 3825 6330 	 	 	 
Attn: Mr. Phuoc  / Email: phuoc@kjtc.co.kr </t>
    </r>
  </si>
  <si>
    <t>EMBEDDED PLATE    500X100Xt6     EB402263-1</t>
  </si>
  <si>
    <t>EMBEDDED PLATE  1000X100Xt6     EB402263-2</t>
  </si>
  <si>
    <t>EMBEDDED PLATE    1500X100Xt6     EB402263-3</t>
  </si>
  <si>
    <t>EMBEDDED PLATE    1500X200Xt9     EB402263-4</t>
  </si>
  <si>
    <t>Khung cố định chân đế, bằng thép, đặt sẵn, đã được gia công để dùng làm kết cấu, dùng cho hệ thống máy phát điện tuabin khí số #1, số DWG No.: A13C454 -G01 -GROUT RETAINER</t>
  </si>
  <si>
    <t>Khung cố định chân đế, bằng thép, đặt sẵn, đã được gia công để dùng làm kết cấu, dùng cho hệ thống máy phát điện tuabin khí số #1, số DWG No.: A13C454 -G02 -GROUT RETAINER</t>
  </si>
  <si>
    <t>Khung cố định chân đế, bằng thép, đặt sẵn, đã được gia công để dùng làm kết cấu, dùng cho hệ thống máy phát điện tuabin khí số #1, số DWG No.: A13C454 -G03 -GROUT RETAINER</t>
  </si>
  <si>
    <t>Khung cố định chân đế, bằng thép, đặt sẵn, đã được gia công để dùng làm kết cấu, dùng cho hệ thống máy phát điện tuabin khí số #1, số DWG No.: A13C454 -G04 -GROUT RETAINER</t>
  </si>
  <si>
    <t>Khung cố định chân đế, bằng thép, đặt sẵn, đã được gia công để dùng làm kết cấu, dùng cho hệ thống máy phát điện tuabin khí số #1, số DWG No.: A13C454 -G05 -GROUT RETAINER</t>
  </si>
  <si>
    <t>Khung cố định chân đế, bằng thép, đặt sẵn, đã được gia công để dùng làm kết cấu, dùng cho hệ thống máy phát điện tuabin khí số #1, số DWG No.: A13C454 -G06 -GROUT RETAINER</t>
  </si>
  <si>
    <t>Khung cố định chân đế, bằng thép, đặt sẵn, đã được gia công để dùng làm kết cấu, dùng cho hệ thống máy phát điện tuabin khí số #1, số DWG No.: A13C454 -G07 -GROUT RETAINER</t>
  </si>
  <si>
    <t>Khung cố định chân đế, bằng thép, đặt sẵn, đã được gia công để dùng làm kết cấu, dùng cho hệ thống máy phát điện tuabin khí số #1, số DWG No.: A13C454 -G08 -GROUT RETAINER</t>
  </si>
  <si>
    <t>Tấm khóa cố định chân đế, bằng thép, đặt sẵn, đã được gia công để dùng làm kết cấu, dùng cho hệ thống máy phát điện tuabin khí số #1, số DWG No.: AS29212 -G03 -ANCHOR BLOCK</t>
  </si>
  <si>
    <t>Tấm khóa cố định chân đế, bằng thép, đặt sẵn, đã được gia công để dùng làm kết cấu, dùng cho hệ thống máy phát điện tuabin khí số #1, số DWG No.: AS29643 -G03 -ANCHOR BLOCK</t>
  </si>
  <si>
    <t>Hộp gia cố chân đế, bằng thép, đặt sẵn, đã được gia công để dùng làm kết cấu, dùng cho hệ thống máy phát điện tuabin khí số #1, số DWG No.: A12R049 -G01 -BOX 1/4</t>
  </si>
  <si>
    <t>Hộp gia cố chân đế, bằng thép, đặt sẵn, đã được gia công để dùng làm kết cấu, dùng cho hệ thống máy phát điện tuabin khí số #1, số DWG No.: A12R049 -G01 -BOX 2/4</t>
  </si>
  <si>
    <t>Hộp gia cố chân đế, bằng thép, đặt sẵn, đã được gia công để dùng làm kết cấu, dùng cho hệ thống máy phát điện tuabin khí số #1, số DWG No.: A12R049 -G01 -BOX 3/4</t>
  </si>
  <si>
    <t>Hộp gia cố chân đế, bằng thép, đặt sẵn, đã được gia công để dùng làm kết cấu, dùng cho hệ thống máy phát điện tuabin khí số #1, số DWG No.: A12R049 -G01 -BOX 4/4</t>
  </si>
  <si>
    <t>Tấm che hộp gia cố chân đế, bằng thép, đặt sẵn, đã được gia công để dùng làm kết cấu, dùng cho hệ thống máy phát điện tuabin khí số #1, kích thước: 750x1600mm, số DWG No.: A12R049 -G02 -COVER</t>
  </si>
  <si>
    <t>Khung cố định chân đế, bằng thép, đặt sẵn, đã được gia công để dùng làm kết cấu, dùng cho hệ thống máy phát điện tuabin khí số #2, số DWG No.: A13C454 -G01 -GROUT RETAINER</t>
  </si>
  <si>
    <t>Khung cố định chân đế, bằng thép, đặt sẵn, đã được gia công để dùng làm kết cấu, dùng cho hệ thống máy phát điện tuabin khí số #2, số DWG No.: A13C454 -G02 -GROUT RETAINER</t>
  </si>
  <si>
    <t>Khung cố định chân đế, bằng thép, đặt sẵn, đã được gia công để dùng làm kết cấu, dùng cho hệ thống máy phát điện tuabin khí số #2, số DWG No.: A13C454 -G03 -GROUT RETAINER</t>
  </si>
  <si>
    <t>Khung cố định chân đế, bằng thép, đặt sẵn, đã được gia công để dùng làm kết cấu, dùng cho hệ thống máy phát điện tuabin khí số #2, số DWG No.: A13C454 -G04 -GROUT RETAINER</t>
  </si>
  <si>
    <t>Khung cố định chân đế, bằng thép, đặt sẵn, đã được gia công để dùng làm kết cấu, dùng cho hệ thống máy phát điện tuabin khí số #2, số DWG No.: A13C454 -G05 -GROUT RETAINER</t>
  </si>
  <si>
    <t>Khung cố định chân đế, bằng thép, đặt sẵn, đã được gia công để dùng làm kết cấu, dùng cho hệ thống máy phát điện tuabin khí số #2, số DWG No.: A13C454 -G06 -GROUT RETAINER</t>
  </si>
  <si>
    <t>Khung cố định chân đế, bằng thép, đặt sẵn, đã được gia công để dùng làm kết cấu, dùng cho hệ thống máy phát điện tuabin khí số #2, số DWG No.: A13C454 -G07 -GROUT RETAINER</t>
  </si>
  <si>
    <t>Khung cố định chân đế, bằng thép, đặt sẵn, đã được gia công để dùng làm kết cấu, dùng cho hệ thống máy phát điện tuabin khí số #2, số DWG No.: A13C454 -G08 -GROUT RETAINER</t>
  </si>
  <si>
    <t>Tấm khóa cố định chân đế, bằng thép, đặt sẵn, đã được gia công để dùng làm kết cấu, dùng cho hệ thống máy phát điện tuabin khí số #2, số DWG No.: AS29212 -G03 -ANCHOR BLOCK</t>
  </si>
  <si>
    <t>Tấm khóa cố định chân đế, bằng thép, đặt sẵn, đã được gia công để dùng làm kết cấu, dùng cho hệ thống máy phát điện tuabin khí số #2, số DWG No.: AS29643 -G03 -ANCHOR BLOCK</t>
  </si>
  <si>
    <t>Hộp gia cố chân đế, bằng thép, đặt sẵn, đã được gia công để dùng làm kết cấu, dùng cho hệ thống máy phát điện tuabin khí số #2, số DWG No.: A12R049 -G01 -BOX 1/4</t>
  </si>
  <si>
    <t>Hộp gia cố chân đế, bằng thép, đặt sẵn, đã được gia công để dùng làm kết cấu, dùng cho hệ thống máy phát điện tuabin khí số #2, số DWG No.: A12R049 -G01 -BOX 2/4</t>
  </si>
  <si>
    <t>Hộp gia cố chân đế, bằng thép, đặt sẵn, đã được gia công để dùng làm kết cấu, dùng cho hệ thống máy phát điện tuabin khí số #2, số DWG No.: A12R049 -G01 -BOX 3/4</t>
  </si>
  <si>
    <t>Hộp gia cố chân đế, bằng thép, đặt sẵn, đã được gia công để dùng làm kết cấu, dùng cho hệ thống máy phát điện tuabin khí số #2, số DWG No.: A12R049 -G01 -BOX 4/4</t>
  </si>
  <si>
    <t>Tấm che hộp gia cố chân đế, bằng thép, đặt sẵn, đã được gia công để dùng làm kết cấu, dùng cho hệ thống máy phát điện tuabin khí số #1, kích thước: 750 x 1600mm, số DWG No.: A12R049 -G02 -COVER</t>
  </si>
  <si>
    <t>Bu lông móng bằng thép, loại có ren, có đường kính ngoài của thân: 36mm, dùng cho hệ thống máy phát điện tuabin khí số #1, hàng mới 100% -FOUNDATION BOLT  M36 A36P470-5</t>
  </si>
  <si>
    <t>Bu lông móng bằng thép, loại có ren, có đường kính ngoài của thân: 30mm, dùng cho hệ thống máy phát điện tuabin khí số #1, hàng mới 100% -FOUNDATION BOLT  M30 A36P470-7</t>
  </si>
  <si>
    <t>Bu lông móng bằng thép, loại có ren, có đường kính ngoài của thân: 36mm, dùng cho hệ thống máy phát điện tuabin khí số #2, hàng mới 100% -FOUNDATION BOLT  M36 A36P470-5</t>
  </si>
  <si>
    <t>Bu lông móng bằng thép, loại có ren, có đường kính ngoài của thân: 30mm, dùng cho hệ thống máy phát điện tuabin khí số #2, hàng mới 100% -FOUNDATION BOLT  M30 A36P470-7</t>
  </si>
  <si>
    <r>
      <t xml:space="preserve">PS 1.1, </t>
    </r>
    <r>
      <rPr>
        <sz val="10"/>
        <rFont val="맑은 고딕"/>
        <family val="2"/>
        <charset val="129"/>
      </rPr>
      <t>Ⅰ</t>
    </r>
    <r>
      <rPr>
        <sz val="10"/>
        <rFont val="Calibri"/>
        <family val="2"/>
      </rPr>
      <t>, 2</t>
    </r>
  </si>
  <si>
    <r>
      <t xml:space="preserve">PS 1.1, </t>
    </r>
    <r>
      <rPr>
        <sz val="10"/>
        <rFont val="맑은 고딕"/>
        <family val="2"/>
        <charset val="129"/>
      </rPr>
      <t>Ⅰ</t>
    </r>
    <r>
      <rPr>
        <sz val="10"/>
        <rFont val="Calibri"/>
        <family val="2"/>
      </rPr>
      <t>, 4</t>
    </r>
  </si>
  <si>
    <t>EMBEDDED METAL-1  (Fe) 200X500X159</t>
  </si>
  <si>
    <t>EMBEDDED METAL-2  (Fe) 200X200X159</t>
  </si>
  <si>
    <t xml:space="preserve">EMBEDDED PLATE  500X100Xt6 </t>
  </si>
  <si>
    <t>EMBEDDED PLATE  1000X100Xt6</t>
  </si>
  <si>
    <t>EMBEDDED PLATE  1500X100Xt6</t>
  </si>
  <si>
    <t>EMBEDDED PLATE  1500X200Xt9</t>
  </si>
  <si>
    <t>Tấm nền móng, bằng thép, đặt sẵn, đã được gia công để dùng làm kết cấu, dùng cho hệ thống máy phát điện tuabin khí số #1, kích thước: 200X500X159mm -EMBEDDED METAL-1 (Fe) 200X500X159</t>
  </si>
  <si>
    <t>Tấm nền móng, bằng thép, đặt sẵn, đã được gia công để dùng làm kết cấu, dùng cho hệ thống máy phát điện tuabin khí số #1, kích thước: 200X200X159mm -EMBEDDED METAL-2 (Fe) 200X200X159</t>
  </si>
  <si>
    <t>Tấm nền móng, bằng thép, đặt sẵn, đã được gia công để dùng làm kết cấu, dùng cho hệ thống máy phát điện tuabin khí số #1, kích thước: 200x200x159mm -EMBEDDED METAL-2 (Fe) 200X200X159</t>
  </si>
  <si>
    <t>Tấm nền móng, bằng thép, đặt sẵn, đã được gia công để dùng làm kết cấu, dùng cho hệ thống máy phát điện tuabin khí số #1, kích thước: 200x500x159mm -EMBEDDED METAL-1 (Fe) 200X500X159</t>
  </si>
  <si>
    <t>Tấm nền móng, bằng thép, đặt sẵn, đã được gia công để dùng làm kết cấu, dùng cho hệ thống máy phát điện tuabin khí số #2, kích thước: 200x500x159mm -EMBEDDED METAL-1　(Fe) 200X500X159</t>
  </si>
  <si>
    <t>Tấm nền móng, bằng thép, đặt sẵn, đã được gia công để dùng làm kết cấu, dùng cho hệ thống máy phát điện tuabin khí số #2, kích thước: 200x200x159mm -EMBEDDED METAL-2　(Fe) 200X200X159</t>
  </si>
  <si>
    <t>Tấm nền móng, bằng thép, đặt sẵn, đã được gia công để dùng làm kết cấu, dùng cho hệ thống máy phát điện tuabin khí số #1, kích thước: 500X100Xt6mm -EMBEDDED PLATE 500X100Xt6</t>
  </si>
  <si>
    <t>Tấm nền móng, bằng thép, đặt sẵn, đã được gia công để dùng làm kết cấu, dùng cho hệ thống máy phát điện tuabin khí số #1, kích thước: 1000X100Xt6mm -EMBEDDED PLATE 1000X100Xt6</t>
  </si>
  <si>
    <t>Tấm nền móng, bằng thép, đặt sẵn, đã được gia công để dùng làm kết cấu, dùng cho hệ thống máy phát điện tuabin khí số #1, kích thước: 1500X100Xt6mm -EMBEDDED PLATE 1500X100Xt6</t>
  </si>
  <si>
    <t>Tấm nền móng, bằng thép, đặt sẵn, đã được gia công để dùng làm kết cấu, dùng cho hệ thống máy phát điện tuabin khí số #1, kích thước: 1500X200Xt9mm -EMBEDDED PLATE 1500X200Xt9</t>
  </si>
  <si>
    <t>Tấm nền móng, bằng thép, đặt sẵn, đã được gia công để dùng làm kết cấu, dùng cho hệ thống máy phát điện tuabin khí số #2, kích thước: 1500X200Xt9mm -EMBEDDED PLATE 1500X200Xt9</t>
  </si>
  <si>
    <t>Tấm nền móng, bằng thép, đặt sẵn, đã được gia công để dùng làm kết cấu, dùng cho hệ thống máy phát điện tuabin khí số #2, kích thước: 1500X100Xt6mm -EMBEDDED PLATE 1500X100Xt6</t>
  </si>
  <si>
    <t>Tấm nền móng, bằng thép, đặt sẵn, đã được gia công để dùng làm kết cấu, dùng cho hệ thống máy phát điện tuabin khí số #2, kích thước: 1000X100Xt6mm -EMBEDDED PLATE 1000X100Xt6</t>
  </si>
  <si>
    <t>Khung cố định chân đế, bằng thép, đặt sẵn, đã được gia công để dùng làm kết cấu, dùng cho hệ thống máy phát điện tuabin khí số #1, số DWG No.: A13C454 -G01, hàng mới 100% - GROUT RETAINER</t>
  </si>
  <si>
    <t>73089099</t>
  </si>
  <si>
    <t>Khung cố định chân đế, bằng thép, đặt sẵn, đã được gia công để dùng làm kết cấu, dùng cho hệ thống máy phát điện tuabin khí số #1, số DWG No.: A13C454 -G02, hàng mới 100% - GROUT RETAINER</t>
  </si>
  <si>
    <t>Khung cố định chân đế, bằng thép, đặt sẵn, đã được gia công để dùng làm kết cấu, dùng cho hệ thống máy phát điện tuabin khí số #1, số DWG No.: A13C454 -G03, hàng mới 100% - GROUT RETAINER</t>
  </si>
  <si>
    <t>Khung cố định chân đế, bằng thép, đặt sẵn, đã được gia công để dùng làm kết cấu, dùng cho hệ thống máy phát điện tuabin khí số #1, số DWG No.: A13C454 -G04, hàng mới 100% - GROUT RETAINER</t>
  </si>
  <si>
    <t>Khung cố định chân đế, bằng thép, đặt sẵn, đã được gia công để dùng làm kết cấu, dùng cho hệ thống máy phát điện tuabin khí số #1, số DWG No.: A13C454 -G05, hàng mới 100% - GROUT RETAINER</t>
  </si>
  <si>
    <t>Khung cố định chân đế, bằng thép, đặt sẵn, đã được gia công để dùng làm kết cấu, dùng cho hệ thống máy phát điện tuabin khí số #1, số DWG No.: A13C454 -G06, hàng mới 100% - GROUT RETAINER</t>
  </si>
  <si>
    <t>Khung cố định chân đế, bằng thép, đặt sẵn, đã được gia công để dùng làm kết cấu, dùng cho hệ thống máy phát điện tuabin khí số #1, số DWG No.: A13C454 -G07, hàng mới 100% - GROUT RETAINER</t>
  </si>
  <si>
    <t>Khung cố định chân đế, bằng thép, đặt sẵn, đã được gia công để dùng làm kết cấu, dùng cho hệ thống máy phát điện tuabin khí số #1, số DWG No.: A13C454 -G08, hàng mới 100% - GROUT RETAINER</t>
  </si>
  <si>
    <t>Tấm khóa cố định chân đế, bằng thép, đặt sẵn, đã được gia công để dùng làm kết cấu, dùng cho hệ thống máy phát điện tuabin khí số #1, số DWG No.: AS29212 -G03, hàng mới 100% - ANCHOR BLOCK</t>
  </si>
  <si>
    <t>Tấm khóa cố định chân đế, bằng thép, đặt sẵn, đã được gia công để dùng làm kết cấu, dùng cho hệ thống máy phát điện tuabin khí số #1, số DWG No.: AS29643 -G03, hàng mới 100% - ANCHOR BLOCK</t>
  </si>
  <si>
    <t>Hộp gia cố chân đế, bằng thép, đặt sẵn, đã được gia công để dùng làm kết cấu, dùng cho hệ thống máy phát điện tuabin khí số #1, số DWG No.: A12R049 -G01, hàng mới 100% - BOX 1/4</t>
  </si>
  <si>
    <t>Hộp gia cố chân đế, bằng thép, đặt sẵn, đã được gia công để dùng làm kết cấu, dùng cho hệ thống máy phát điện tuabin khí số #1, số DWG No.: A12R049 -G01, hàng mới 100% - BOX 2/4</t>
  </si>
  <si>
    <t>Hộp gia cố chân đế, bằng thép, đặt sẵn, đã được gia công để dùng làm kết cấu, dùng cho hệ thống máy phát điện tuabin khí số #1, số DWG No.: A12R049 -G01, hàng mới 100% - BOX 3/4</t>
  </si>
  <si>
    <t>Hộp gia cố chân đế, bằng thép, đặt sẵn, đã được gia công để dùng làm kết cấu, dùng cho hệ thống máy phát điện tuabin khí số #1, số DWG No.: A12R049 -G01, hàng mới 100% - BOX 4/4</t>
  </si>
  <si>
    <t>Tấm che hộp gia cố chân đế, bằng thép, đặt sẵn, đã được gia công để dùng làm kết cấu, dùng cho hệ thống máy phát điện tuabin khí số #1, số DWG No.: A12R049 -G02, hàng mới 100% - COVER</t>
  </si>
  <si>
    <t>Tấm nền móng, bằng thép, đặt sẵn, đã được gia công để dùng làm kết cấu, dùng cho hệ thống máy phát điện tuabin khí số #1, kích thước: 200X500X159mm, hàng mới 100% - EMBEDDED METAL-1 (Fe) 200X500X159</t>
  </si>
  <si>
    <t>Tấm nền móng, bằng thép, đặt sẵn, đã được gia công để dùng làm kết cấu, dùng cho hệ thống máy phát điện tuabin khí số #1, kích thước: 200X200X159mm, hàng mới 100% - EMBEDDED METAL-2 (Fe) 200X200X159</t>
  </si>
  <si>
    <t>Tấm nền móng, bằng thép, đặt sẵn, đã được gia công để dùng làm kết cấu, dùng cho hệ thống máy phát điện tuabin khí số #1, kích thước: 200x500x159mm, hàng mới 100% - EMBEDDED METAL-1 (Fe) 200X500X159</t>
  </si>
  <si>
    <t>Tấm nền móng, bằng thép, đặt sẵn, đã được gia công để dùng làm kết cấu, dùng cho hệ thống máy phát điện tuabin khí số #1, kích thước: 200x200x159mm, hàng mới 100% - EMBEDDED METAL-2 (Fe) 200X200X159</t>
  </si>
  <si>
    <t>Khung cố định chân đế, bằng thép, đặt sẵn, đã được gia công để dùng làm kết cấu, dùng cho hệ thống máy phát điện tuabin khí số #2, số DWG No.: A13C454 -G01, hàng mới 100% - GROUT RETAINER</t>
  </si>
  <si>
    <t>Khung cố định chân đế, bằng thép, đặt sẵn, đã được gia công để dùng làm kết cấu, dùng cho hệ thống máy phát điện tuabin khí số #2, số DWG No.: A13C454 -G02, hàng mới 100% - GROUT RETAINER</t>
  </si>
  <si>
    <t>Khung cố định chân đế, bằng thép, đặt sẵn, đã được gia công để dùng làm kết cấu, dùng cho hệ thống máy phát điện tuabin khí số #2, số DWG No.: A13C454 -G03, hàng mới 100% - GROUT RETAINER</t>
  </si>
  <si>
    <t>Khung cố định chân đế, bằng thép, đặt sẵn, đã được gia công để dùng làm kết cấu, dùng cho hệ thống máy phát điện tuabin khí số #2, số DWG No.: A13C454 -G04, hàng mới 100% - GROUT RETAINER</t>
  </si>
  <si>
    <t>Khung cố định chân đế, bằng thép, đặt sẵn, đã được gia công để dùng làm kết cấu, dùng cho hệ thống máy phát điện tuabin khí số #2, số DWG No.: A13C454 -G06, hàng mới 100% - GROUT RETAINER</t>
  </si>
  <si>
    <t>Khung cố định chân đế, bằng thép, đặt sẵn, đã được gia công để dùng làm kết cấu, dùng cho hệ thống máy phát điện tuabin khí số #2, số DWG No.: A13C454 -G07, hàng mới 100% - GROUT RETAINER</t>
  </si>
  <si>
    <t>Khung cố định chân đế, bằng thép, đặt sẵn, đã được gia công để dùng làm kết cấu, dùng cho hệ thống máy phát điện tuabin khí số #2, số DWG No.: A13C454 -G08, hàng mới 100% - GROUT RETAINER</t>
  </si>
  <si>
    <t>Tấm khóa cố định chân đế, bằng thép, đặt sẵn, đã được gia công để dùng làm kết cấu, dùng cho hệ thống máy phát điện tuabin khí số #2, số DWG No.: AS29212 -G03, hàng mới 100% - ANCHOR BLOCK</t>
  </si>
  <si>
    <t>Tấm khóa cố định chân đế, bằng thép, đặt sẵn, đã được gia công để dùng làm kết cấu, dùng cho hệ thống máy phát điện tuabin khí số #2, số DWG No.: AS29643 -G03, hàng mới 100% - ANCHOR BLOCK</t>
  </si>
  <si>
    <t>Hộp gia cố chân đế, bằng thép, đặt sẵn, đã được gia công để dùng làm kết cấu, dùng cho hệ thống máy phát điện tuabin khí số #2, số DWG No.: A12R049 -G01, hàng mới 100% - BOX 1/4</t>
  </si>
  <si>
    <t>Hộp gia cố chân đế, bằng thép, đặt sẵn, đã được gia công để dùng làm kết cấu, dùng cho hệ thống máy phát điện tuabin khí số #2, số DWG No.: A12R049 -G01, hàng mới 100% - BOX 2/4</t>
  </si>
  <si>
    <t>Hộp gia cố chân đế, bằng thép, đặt sẵn, đã được gia công để dùng làm kết cấu, dùng cho hệ thống máy phát điện tuabin khí số #2, số DWG No.: A12R049 -G01, hàng mới 100% - BOX 3/4</t>
  </si>
  <si>
    <t>Hộp gia cố chân đế, bằng thép, đặt sẵn, đã được gia công để dùng làm kết cấu, dùng cho hệ thống máy phát điện tuabin khí số #2, số DWG No.: A12R049 -G01, hàng mới 100% - BOX 4/4</t>
  </si>
  <si>
    <t>Tấm nền móng, bằng thép, đặt sẵn, đã được gia công để dùng làm kết cấu, dùng cho hệ thống máy phát điện tuabin khí số #2, kích thước: 200x500x159mm, hàng mới 100% - EMBEDDED METAL-1 (Fe) 200X500X159</t>
  </si>
  <si>
    <t>Tấm nền móng, bằng thép, đặt sẵn, đã được gia công để dùng làm kết cấu, dùng cho hệ thống máy phát điện tuabin khí số #2, kích thước: 200x200x159mm, hàng mới 100% - EMBEDDED METAL-2 (Fe) 200X200X159</t>
  </si>
  <si>
    <t>Tấm nền móng, bằng thép, đặt sẵn, đã được gia công để dùng làm kết cấu, dùng cho hệ thống máy phát điện tuabin khí số #1, kích thước: 500X100Xt6mm, hàng mới 100% - EMBEDDED PLATE 500X100Xt6</t>
  </si>
  <si>
    <t>Tấm nền móng, bằng thép, đặt sẵn, đã được gia công để dùng làm kết cấu, dùng cho hệ thống máy phát điện tuabin khí số #1, kích thước: 1000X100Xt6mm, hàng mới 100% - EMBEDDED PLATE 1000X100Xt6</t>
  </si>
  <si>
    <t>Tấm nền móng, bằng thép, đặt sẵn, đã được gia công để dùng làm kết cấu, dùng cho hệ thống máy phát điện tuabin khí số #1, kích thước: 1500X100Xt6mm, hàng mới 100% - EMBEDDED PLATE 1500X100Xt6</t>
  </si>
  <si>
    <t>Tấm nền móng, bằng thép, đặt sẵn, đã được gia công để dùng làm kết cấu, dùng cho hệ thống máy phát điện tuabin khí số #1, kích thước: 1500X200Xt9mm, hàng mới 100% - EMBEDDED PLATE 1500X200Xt9</t>
  </si>
  <si>
    <t>Bu lông móng bằng thép, loại có ren, có đường kính ngoài của thân: 36mm, dùng cho hệ thống máy phát điện tuabin khí số #1, hàng mới 100% - FOUNDATION BOLT M36 A36P470-5</t>
  </si>
  <si>
    <t>73181590</t>
  </si>
  <si>
    <t>Bu lông móng bằng thép, loại có ren, có đường kính ngoài của thân: 30mm, dùng cho hệ thống máy phát điện tuabin khí số #1, hàng mới 100% - FOUNDATION BOLT M30 A36P470-7</t>
  </si>
  <si>
    <t>Tấm nền móng, bằng thép, đặt sẵn, đã được gia công để dùng làm kết cấu, dùng cho hệ thống máy phát điện tuabin khí số #2, kích thước: 1000X100Xt6mm, hàng mới 100% - EMBEDDED PLATE 1000X100Xt6</t>
  </si>
  <si>
    <t>Tấm nền móng, bằng thép, đặt sẵn, đã được gia công để dùng làm kết cấu, dùng cho hệ thống máy phát điện tuabin khí số #2, kích thước: 1500X100Xt6mm, hàng mới 100% - EMBEDDED PLATE 1500X100Xt6</t>
  </si>
  <si>
    <t>Tấm nền móng, bằng thép, đặt sẵn, đã được gia công để dùng làm kết cấu, dùng cho hệ thống máy phát điện tuabin khí số #2, kích thước: 1500X200Xt9mm, hàng mới 100% - EMBEDDED PLATE 1500X200Xt9</t>
  </si>
  <si>
    <t>Bu lông móng bằng thép, loại có ren, có đường kính ngoài của thân: 36mm, dùng cho hệ thống máy phát điện tuabin khí số #2, hàng mới 100% - FOUNDATION BOLT M36 A36P470-5</t>
  </si>
  <si>
    <t>Bu lông móng bằng thép, loại có ren, có đường kính ngoài của thân: 30mm, dùng cho hệ thống máy phát điện tuabin khí số #2, hàng mới 100% - FOUNDATION BOLT M30 A36P470-7</t>
  </si>
  <si>
    <t>HO CHI MINH, VIET NAM</t>
  </si>
  <si>
    <t>Tên hàng (mô tả chi tiết)</t>
  </si>
  <si>
    <t>Mã HS</t>
  </si>
  <si>
    <t>Vị trí</t>
  </si>
  <si>
    <t>S1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</si>
</sst>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43" formatCode="_-* #,##0.00_-;\-* #,##0.00_-;_-* &quot;-&quot;??_-;_-@_-"/>
    <numFmt numFmtId="164" formatCode="_-* #,##0.00_-;\-* #,##0.00_-;_-* &quot;-&quot;_-;_-@_-"/>
    <numFmt numFmtId="165" formatCode="#,##0_ ;[Red]\-#,##0\ "/>
    <numFmt numFmtId="166" formatCode="_-* #,##0.000_-;\-* #,##0.000_-;_-* &quot;-&quot;???_-;_-@_-"/>
    <numFmt numFmtId="167" formatCode="#,##0.000_);[Red]\(#,##0.000\)"/>
    <numFmt numFmtId="168" formatCode="_-* #,##0.0_-;\-* #,##0.0_-;_-* &quot;-&quot;_-;_-@_-"/>
    <numFmt numFmtId="169" formatCode="0.00_);[Red]\(0.00\)"/>
    <numFmt numFmtId="170" formatCode="&quot;#&quot;\ 00"/>
    <numFmt numFmtId="171" formatCode="&quot;#&quot;00"/>
    <numFmt numFmtId="172" formatCode="0_);[Red]\(0\)"/>
    <numFmt numFmtId="173" formatCode="0.000_);[Red]\(0.000\)"/>
    <numFmt numFmtId="174" formatCode="_(* #,##0_);_(* \(#,##0\);_(* &quot;-&quot;??_);_(@_)"/>
    <numFmt numFmtId="175" formatCode="#,##0_ "/>
    <numFmt numFmtId="176" formatCode="_-* #,##0.000_-;\-* #,##0.000_-;_-* &quot;-&quot;_-;_-@_-"/>
    <numFmt numFmtId="177" formatCode="0.000"/>
  </numFmts>
  <fonts count="65">
    <font>
      <sz val="11"/>
      <name val="돋움"/>
      <family val="3"/>
      <charset val="129"/>
    </font>
    <font>
      <sz val="11"/>
      <name val="돋움"/>
      <family val="3"/>
      <charset val="129"/>
    </font>
    <font>
      <sz val="10"/>
      <name val="Arial"/>
      <family val="2"/>
    </font>
    <font>
      <b/>
      <sz val="10"/>
      <name val="Arial"/>
      <family val="2"/>
    </font>
    <font>
      <b/>
      <sz val="16"/>
      <name val="Arial"/>
      <family val="2"/>
    </font>
    <font>
      <sz val="12"/>
      <name val="바탕체"/>
      <family val="1"/>
      <charset val="129"/>
    </font>
    <font>
      <sz val="10"/>
      <color indexed="12"/>
      <name val="Arial"/>
      <family val="2"/>
    </font>
    <font>
      <b/>
      <sz val="12.1"/>
      <color rgb="FF1F497D"/>
      <name val="Arial"/>
      <family val="2"/>
    </font>
    <font>
      <sz val="10"/>
      <color rgb="FF0000FF"/>
      <name val="Arial"/>
      <family val="2"/>
    </font>
    <font>
      <strike/>
      <sz val="10"/>
      <color rgb="FF0000FF"/>
      <name val="Arial"/>
      <family val="2"/>
    </font>
    <font>
      <b/>
      <u/>
      <sz val="16"/>
      <name val="Arial"/>
      <family val="2"/>
    </font>
    <font>
      <b/>
      <sz val="10"/>
      <color rgb="FF0000FF"/>
      <name val="Arial"/>
      <family val="2"/>
    </font>
    <font>
      <sz val="10"/>
      <name val="Calibri"/>
      <family val="2"/>
    </font>
    <font>
      <sz val="10"/>
      <color rgb="FFFF0000"/>
      <name val="Calibri"/>
      <family val="2"/>
    </font>
    <font>
      <b/>
      <sz val="10"/>
      <name val="Calibri"/>
      <family val="2"/>
    </font>
    <font>
      <b/>
      <sz val="12"/>
      <name val="Arial"/>
      <family val="2"/>
    </font>
    <font>
      <sz val="11"/>
      <name val="Arial"/>
      <family val="2"/>
    </font>
    <font>
      <sz val="9"/>
      <name val="Arial"/>
      <family val="2"/>
    </font>
    <font>
      <b/>
      <sz val="16"/>
      <name val="Calibri"/>
      <family val="2"/>
    </font>
    <font>
      <sz val="11"/>
      <name val="Arial"/>
      <family val="3"/>
      <charset val="129"/>
      <scheme val="minor"/>
    </font>
    <font>
      <sz val="11"/>
      <name val="Calibri"/>
      <family val="2"/>
    </font>
    <font>
      <sz val="10"/>
      <name val="Arial"/>
      <family val="2"/>
      <scheme val="minor"/>
    </font>
    <font>
      <sz val="10"/>
      <name val="Arial"/>
      <family val="3"/>
      <charset val="129"/>
      <scheme val="minor"/>
    </font>
    <font>
      <b/>
      <sz val="10"/>
      <name val="Arial"/>
      <family val="2"/>
      <scheme val="minor"/>
    </font>
    <font>
      <sz val="11"/>
      <color indexed="8"/>
      <name val="맑은 고딕"/>
      <family val="3"/>
      <charset val="129"/>
    </font>
    <font>
      <sz val="9"/>
      <name val="Calibri"/>
      <family val="2"/>
    </font>
    <font>
      <b/>
      <u/>
      <sz val="36"/>
      <name val="Calibri"/>
      <family val="2"/>
    </font>
    <font>
      <sz val="18"/>
      <name val="Calibri"/>
      <family val="2"/>
    </font>
    <font>
      <b/>
      <sz val="20"/>
      <name val="Calibri"/>
      <family val="2"/>
    </font>
    <font>
      <b/>
      <sz val="18"/>
      <name val="Calibri"/>
      <family val="2"/>
    </font>
    <font>
      <sz val="10"/>
      <name val="굴림"/>
      <family val="3"/>
      <charset val="129"/>
    </font>
    <font>
      <sz val="11"/>
      <color rgb="FFFF0000"/>
      <name val="돋움"/>
      <family val="3"/>
      <charset val="129"/>
    </font>
    <font>
      <b/>
      <sz val="11"/>
      <color rgb="FFFF0000"/>
      <name val="돋움"/>
      <family val="3"/>
      <charset val="129"/>
    </font>
    <font>
      <sz val="8"/>
      <name val="돋움"/>
      <family val="3"/>
      <charset val="129"/>
    </font>
    <font>
      <sz val="8"/>
      <name val="Arial"/>
      <family val="2"/>
    </font>
    <font>
      <sz val="9"/>
      <name val="돋움"/>
      <family val="3"/>
      <charset val="129"/>
    </font>
    <font>
      <sz val="10"/>
      <color rgb="FF0000FF"/>
      <name val="Calibri"/>
      <family val="2"/>
    </font>
    <font>
      <u/>
      <sz val="11"/>
      <color theme="10"/>
      <name val="돋움"/>
      <family val="3"/>
      <charset val="129"/>
    </font>
    <font>
      <b/>
      <sz val="14"/>
      <name val="Calibri"/>
      <family val="2"/>
    </font>
    <font>
      <sz val="13"/>
      <name val="Calibri"/>
      <family val="2"/>
    </font>
    <font>
      <i/>
      <sz val="13"/>
      <color rgb="FF0000CC"/>
      <name val="Calibri"/>
      <family val="2"/>
    </font>
    <font>
      <sz val="11"/>
      <name val="굴림체"/>
      <family val="3"/>
      <charset val="129"/>
    </font>
    <font>
      <sz val="13"/>
      <color rgb="FF0000CC"/>
      <name val="Calibri"/>
      <family val="2"/>
    </font>
    <font>
      <sz val="14"/>
      <name val="Calibri"/>
      <family val="2"/>
    </font>
    <font>
      <sz val="1"/>
      <color indexed="8"/>
      <name val="Courier"/>
      <family val="3"/>
    </font>
    <font>
      <b/>
      <sz val="9"/>
      <name val="Calibri"/>
      <family val="2"/>
    </font>
    <font>
      <b/>
      <i/>
      <sz val="9"/>
      <name val="Calibri"/>
      <family val="2"/>
    </font>
    <font>
      <sz val="18"/>
      <name val="돋움"/>
      <family val="3"/>
      <charset val="129"/>
    </font>
    <font>
      <b/>
      <sz val="10"/>
      <name val="돋움"/>
      <family val="3"/>
      <charset val="129"/>
    </font>
    <font>
      <b/>
      <sz val="14"/>
      <name val="Arial"/>
      <family val="2"/>
    </font>
    <font>
      <sz val="10"/>
      <name val="돋움"/>
      <family val="3"/>
      <charset val="129"/>
    </font>
    <font>
      <strike/>
      <sz val="10"/>
      <name val="Arial"/>
      <family val="2"/>
    </font>
    <font>
      <u/>
      <sz val="10"/>
      <name val="Calibri"/>
      <family val="2"/>
    </font>
    <font>
      <b/>
      <i/>
      <sz val="14"/>
      <name val="Calibri"/>
      <family val="2"/>
    </font>
    <font>
      <i/>
      <sz val="13"/>
      <name val="Calibri"/>
      <family val="2"/>
    </font>
    <font>
      <sz val="10"/>
      <color rgb="FFFF0000"/>
      <name val="Arial"/>
      <family val="2"/>
    </font>
    <font>
      <b/>
      <sz val="11"/>
      <color rgb="FF0000FF"/>
      <name val="Arial"/>
      <family val="2"/>
    </font>
    <font>
      <sz val="11"/>
      <name val="ＭＳ Ｐゴシック"/>
      <family val="3"/>
      <charset val="128"/>
    </font>
    <font>
      <sz val="10"/>
      <name val="맑은 고딕"/>
      <family val="2"/>
      <charset val="129"/>
    </font>
    <font>
      <sz val="10"/>
      <name val="ＭＳ Ｐゴシック"/>
      <family val="3"/>
      <charset val="128"/>
    </font>
    <font>
      <sz val="11"/>
      <color rgb="FF000000"/>
      <name val="맑은 고딕"/>
      <family val="3"/>
      <charset val="129"/>
    </font>
    <font>
      <sz val="10"/>
      <name val="ＭＳ ゴシック"/>
      <family val="3"/>
      <charset val="128"/>
    </font>
    <font>
      <b/>
      <sz val="12.1"/>
      <name val="Arial"/>
      <family val="2"/>
    </font>
    <font>
      <sz val="11"/>
      <name val="맑은 고딕"/>
      <family val="3"/>
      <charset val="129"/>
    </font>
    <font>
      <b/>
      <sz val="10"/>
      <color indexed="8"/>
      <name val="Calibri"/>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s>
  <borders count="4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top style="thin">
        <color indexed="8"/>
      </top>
      <bottom/>
      <diagonal/>
    </border>
    <border>
      <left style="thin">
        <color indexed="8"/>
      </left>
      <right/>
      <top style="thin">
        <color indexed="8"/>
      </top>
      <bottom style="thin">
        <color indexed="8"/>
      </bottom>
      <diagonal/>
    </border>
  </borders>
  <cellStyleXfs count="18">
    <xf numFmtId="0" fontId="0" fillId="0" borderId="0">
      <alignment vertical="center"/>
    </xf>
    <xf numFmtId="41" fontId="1" fillId="0" borderId="0" applyFont="0" applyFill="0" applyBorder="0" applyAlignment="0" applyProtection="0">
      <alignment vertical="center"/>
    </xf>
    <xf numFmtId="0" fontId="1" fillId="0" borderId="0">
      <alignment vertical="center"/>
    </xf>
    <xf numFmtId="37" fontId="5" fillId="0" borderId="0"/>
    <xf numFmtId="0" fontId="24" fillId="0" borderId="0">
      <alignment vertical="center"/>
    </xf>
    <xf numFmtId="41" fontId="1" fillId="0" borderId="0" applyFont="0" applyFill="0" applyBorder="0" applyAlignment="0" applyProtection="0"/>
    <xf numFmtId="0" fontId="1" fillId="0" borderId="0">
      <alignment vertical="center"/>
    </xf>
    <xf numFmtId="0" fontId="30" fillId="0" borderId="0">
      <alignment vertical="center"/>
    </xf>
    <xf numFmtId="0" fontId="1" fillId="0" borderId="0">
      <alignment vertical="center"/>
    </xf>
    <xf numFmtId="0" fontId="37" fillId="0" borderId="0" applyNumberFormat="0" applyFill="0" applyBorder="0" applyAlignment="0" applyProtection="0">
      <alignment vertical="center"/>
    </xf>
    <xf numFmtId="0" fontId="41" fillId="0" borderId="0"/>
    <xf numFmtId="4" fontId="44" fillId="0" borderId="0">
      <protection locked="0"/>
    </xf>
    <xf numFmtId="0" fontId="57" fillId="0" borderId="0"/>
    <xf numFmtId="38" fontId="57" fillId="0" borderId="0" applyFont="0" applyFill="0" applyBorder="0" applyAlignment="0" applyProtection="0"/>
    <xf numFmtId="0" fontId="59" fillId="0" borderId="0"/>
    <xf numFmtId="41" fontId="1" fillId="0" borderId="0" applyFont="0" applyFill="0" applyBorder="0" applyAlignment="0" applyProtection="0">
      <alignment vertical="center"/>
    </xf>
    <xf numFmtId="41" fontId="1" fillId="0" borderId="0" applyFont="0" applyFill="0" applyBorder="0" applyAlignment="0" applyProtection="0"/>
    <xf numFmtId="0" fontId="61" fillId="0" borderId="0"/>
  </cellStyleXfs>
  <cellXfs count="547">
    <xf numFmtId="0" fontId="0" fillId="0" borderId="0" xfId="0">
      <alignment vertical="center"/>
    </xf>
    <xf numFmtId="0" fontId="2" fillId="0" borderId="1" xfId="0" applyFont="1" applyBorder="1">
      <alignment vertical="center"/>
    </xf>
    <xf numFmtId="0" fontId="2" fillId="0" borderId="2" xfId="0" applyFont="1" applyBorder="1">
      <alignment vertical="center"/>
    </xf>
    <xf numFmtId="41" fontId="2" fillId="0" borderId="2" xfId="0" applyNumberFormat="1" applyFont="1" applyBorder="1" applyAlignment="1">
      <alignment horizontal="center" vertical="center"/>
    </xf>
    <xf numFmtId="41" fontId="2" fillId="0" borderId="2" xfId="0" applyNumberFormat="1" applyFont="1" applyBorder="1" applyAlignment="1">
      <alignment horizontal="left" vertical="center"/>
    </xf>
    <xf numFmtId="41" fontId="2" fillId="0" borderId="3" xfId="1" applyFont="1" applyFill="1" applyBorder="1" applyAlignment="1">
      <alignment horizontal="center" vertical="center"/>
    </xf>
    <xf numFmtId="41" fontId="2" fillId="0" borderId="0" xfId="0" applyNumberFormat="1" applyFont="1" applyAlignment="1">
      <alignment horizontal="center" vertical="center"/>
    </xf>
    <xf numFmtId="0" fontId="2" fillId="0" borderId="0" xfId="0" applyFont="1">
      <alignment vertical="center"/>
    </xf>
    <xf numFmtId="0" fontId="2" fillId="0" borderId="4" xfId="0" applyFont="1" applyBorder="1">
      <alignment vertical="center"/>
    </xf>
    <xf numFmtId="41" fontId="2" fillId="0" borderId="5" xfId="1" applyFont="1" applyFill="1" applyBorder="1" applyAlignment="1">
      <alignment horizontal="center" vertical="center"/>
    </xf>
    <xf numFmtId="0" fontId="3" fillId="0" borderId="4" xfId="2" applyFont="1" applyBorder="1">
      <alignment vertical="center"/>
    </xf>
    <xf numFmtId="41" fontId="2" fillId="0" borderId="0" xfId="3" applyNumberFormat="1" applyFont="1" applyAlignment="1">
      <alignment horizontal="fill" vertical="center"/>
    </xf>
    <xf numFmtId="37" fontId="6" fillId="0" borderId="0" xfId="3" applyFont="1" applyAlignment="1">
      <alignment vertical="center"/>
    </xf>
    <xf numFmtId="37" fontId="2" fillId="0" borderId="0" xfId="3" applyFont="1" applyAlignment="1">
      <alignment vertical="center"/>
    </xf>
    <xf numFmtId="37" fontId="3" fillId="0" borderId="9" xfId="3" applyFont="1" applyBorder="1" applyAlignment="1">
      <alignment vertical="center"/>
    </xf>
    <xf numFmtId="37" fontId="2" fillId="0" borderId="0" xfId="3" applyFont="1" applyAlignment="1">
      <alignment horizontal="center" vertical="center"/>
    </xf>
    <xf numFmtId="0" fontId="7" fillId="0" borderId="0" xfId="0" applyFont="1">
      <alignment vertical="center"/>
    </xf>
    <xf numFmtId="0" fontId="3" fillId="0" borderId="0" xfId="0" applyFont="1">
      <alignment vertical="center"/>
    </xf>
    <xf numFmtId="0" fontId="3" fillId="0" borderId="12" xfId="0" applyFont="1" applyBorder="1">
      <alignment vertical="center"/>
    </xf>
    <xf numFmtId="0" fontId="2" fillId="0" borderId="10" xfId="0" applyFont="1" applyBorder="1">
      <alignment vertical="center"/>
    </xf>
    <xf numFmtId="0" fontId="3" fillId="0" borderId="9" xfId="0" applyFont="1" applyBorder="1">
      <alignment vertical="center"/>
    </xf>
    <xf numFmtId="0" fontId="2" fillId="0" borderId="11" xfId="0" applyFont="1" applyBorder="1">
      <alignment vertical="center"/>
    </xf>
    <xf numFmtId="0" fontId="2" fillId="0" borderId="6" xfId="0" applyFont="1" applyBorder="1">
      <alignment vertical="center"/>
    </xf>
    <xf numFmtId="0" fontId="3" fillId="0" borderId="4" xfId="0" applyFont="1" applyBorder="1">
      <alignment vertical="center"/>
    </xf>
    <xf numFmtId="0" fontId="2" fillId="0" borderId="19" xfId="0" applyFont="1" applyBorder="1" applyAlignment="1">
      <alignment horizontal="left" vertical="center"/>
    </xf>
    <xf numFmtId="0" fontId="2" fillId="0" borderId="0" xfId="0" applyFont="1" applyAlignment="1">
      <alignment horizontal="left" vertical="center"/>
    </xf>
    <xf numFmtId="0" fontId="3" fillId="0" borderId="11" xfId="0" applyFont="1" applyBorder="1">
      <alignment vertical="center"/>
    </xf>
    <xf numFmtId="0" fontId="2" fillId="0" borderId="15" xfId="0" applyFont="1" applyBorder="1">
      <alignment vertical="center"/>
    </xf>
    <xf numFmtId="41" fontId="2" fillId="0" borderId="19" xfId="0" applyNumberFormat="1" applyFont="1" applyBorder="1" applyAlignment="1">
      <alignment horizontal="center" vertical="center"/>
    </xf>
    <xf numFmtId="0" fontId="2" fillId="0" borderId="12" xfId="0" applyFont="1" applyBorder="1" applyAlignment="1">
      <alignment horizontal="left" vertical="center"/>
    </xf>
    <xf numFmtId="41" fontId="2" fillId="0" borderId="10" xfId="0" applyNumberFormat="1" applyFont="1" applyBorder="1" applyAlignment="1">
      <alignment horizontal="center" vertical="center"/>
    </xf>
    <xf numFmtId="41" fontId="2" fillId="0" borderId="10" xfId="0" applyNumberFormat="1" applyFont="1" applyBorder="1" applyAlignment="1">
      <alignment horizontal="left" vertical="center"/>
    </xf>
    <xf numFmtId="41" fontId="2" fillId="0" borderId="13" xfId="1" applyFont="1" applyFill="1" applyBorder="1" applyAlignment="1">
      <alignment horizontal="center" vertical="center"/>
    </xf>
    <xf numFmtId="0" fontId="2" fillId="0" borderId="15" xfId="0" applyFont="1" applyBorder="1" applyAlignment="1">
      <alignment horizontal="left" vertical="center"/>
    </xf>
    <xf numFmtId="41" fontId="2" fillId="0" borderId="7" xfId="0" applyNumberFormat="1" applyFont="1" applyBorder="1" applyAlignment="1">
      <alignment horizontal="center" vertical="center"/>
    </xf>
    <xf numFmtId="41" fontId="2" fillId="0" borderId="8" xfId="1" applyFont="1" applyFill="1" applyBorder="1" applyAlignment="1">
      <alignment horizontal="center" vertical="center"/>
    </xf>
    <xf numFmtId="41" fontId="3" fillId="0" borderId="21" xfId="0" applyNumberFormat="1" applyFont="1" applyBorder="1" applyAlignment="1">
      <alignment horizontal="center" vertical="center"/>
    </xf>
    <xf numFmtId="41" fontId="3" fillId="0" borderId="21" xfId="0" applyNumberFormat="1" applyFont="1" applyBorder="1" applyAlignment="1">
      <alignment horizontal="center" vertical="center" wrapText="1"/>
    </xf>
    <xf numFmtId="41" fontId="3" fillId="0" borderId="22" xfId="0" applyNumberFormat="1" applyFont="1" applyBorder="1" applyAlignment="1">
      <alignment horizontal="center" vertical="center" wrapText="1"/>
    </xf>
    <xf numFmtId="41" fontId="2" fillId="0" borderId="23" xfId="0" applyNumberFormat="1" applyFont="1" applyBorder="1" applyAlignment="1">
      <alignment horizontal="center" vertical="center"/>
    </xf>
    <xf numFmtId="0" fontId="3" fillId="0" borderId="6" xfId="0" applyFont="1" applyBorder="1">
      <alignment vertical="center"/>
    </xf>
    <xf numFmtId="0" fontId="2" fillId="0" borderId="7" xfId="0" applyFont="1" applyBorder="1">
      <alignment vertical="center"/>
    </xf>
    <xf numFmtId="41" fontId="2" fillId="0" borderId="20" xfId="0" applyNumberFormat="1" applyFont="1" applyBorder="1" applyAlignment="1">
      <alignment horizontal="center" vertical="center"/>
    </xf>
    <xf numFmtId="41" fontId="2" fillId="0" borderId="21" xfId="0" applyNumberFormat="1" applyFont="1" applyBorder="1" applyAlignment="1">
      <alignment horizontal="center" vertical="center"/>
    </xf>
    <xf numFmtId="41" fontId="2" fillId="0" borderId="22" xfId="0" applyNumberFormat="1" applyFont="1" applyBorder="1" applyAlignment="1">
      <alignment horizontal="center" vertical="center"/>
    </xf>
    <xf numFmtId="41" fontId="3" fillId="0" borderId="10" xfId="0" applyNumberFormat="1" applyFont="1" applyBorder="1" applyAlignment="1">
      <alignment horizontal="left" vertical="center"/>
    </xf>
    <xf numFmtId="164" fontId="2" fillId="0" borderId="13" xfId="1" applyNumberFormat="1" applyFont="1" applyFill="1" applyBorder="1" applyAlignment="1">
      <alignment horizontal="left" vertical="center"/>
    </xf>
    <xf numFmtId="41" fontId="2" fillId="0" borderId="7" xfId="0" applyNumberFormat="1" applyFont="1" applyBorder="1" applyAlignment="1">
      <alignment horizontal="left" vertical="center"/>
    </xf>
    <xf numFmtId="41" fontId="2" fillId="0" borderId="8" xfId="1" applyFont="1" applyFill="1" applyBorder="1" applyAlignment="1">
      <alignment horizontal="left" vertical="center"/>
    </xf>
    <xf numFmtId="0" fontId="2" fillId="0" borderId="0" xfId="0" applyFont="1" applyAlignment="1">
      <alignment horizontal="center" vertical="center"/>
    </xf>
    <xf numFmtId="0" fontId="8" fillId="0" borderId="16" xfId="0" applyFont="1" applyBorder="1">
      <alignment vertical="center"/>
    </xf>
    <xf numFmtId="0" fontId="2" fillId="0" borderId="17" xfId="0" applyFont="1" applyBorder="1">
      <alignment vertical="center"/>
    </xf>
    <xf numFmtId="41" fontId="2" fillId="0" borderId="17" xfId="0" applyNumberFormat="1" applyFont="1" applyBorder="1" applyAlignment="1">
      <alignment horizontal="center" vertical="center"/>
    </xf>
    <xf numFmtId="41" fontId="2" fillId="0" borderId="17" xfId="0" applyNumberFormat="1" applyFont="1" applyBorder="1" applyAlignment="1">
      <alignment horizontal="left" vertical="center"/>
    </xf>
    <xf numFmtId="41" fontId="2" fillId="0" borderId="18" xfId="1" applyFont="1" applyFill="1" applyBorder="1" applyAlignment="1">
      <alignment horizontal="center" vertical="center"/>
    </xf>
    <xf numFmtId="41" fontId="2" fillId="0" borderId="0" xfId="1" applyFont="1" applyFill="1" applyAlignment="1">
      <alignment horizontal="center" vertical="center"/>
    </xf>
    <xf numFmtId="0" fontId="12" fillId="0" borderId="0" xfId="0" applyFont="1">
      <alignment vertical="center"/>
    </xf>
    <xf numFmtId="37" fontId="12" fillId="0" borderId="0" xfId="0" applyNumberFormat="1" applyFont="1" applyAlignment="1">
      <alignment horizontal="left" vertical="center" indent="1"/>
    </xf>
    <xf numFmtId="0" fontId="12" fillId="0" borderId="0" xfId="0" applyFont="1" applyAlignment="1">
      <alignment horizontal="left" vertical="center" indent="1"/>
    </xf>
    <xf numFmtId="37" fontId="12" fillId="0" borderId="0" xfId="0" applyNumberFormat="1" applyFont="1">
      <alignment vertical="center"/>
    </xf>
    <xf numFmtId="37" fontId="12" fillId="0" borderId="0" xfId="0" applyNumberFormat="1" applyFont="1" applyAlignment="1">
      <alignment horizontal="center" vertical="center"/>
    </xf>
    <xf numFmtId="0" fontId="12" fillId="0" borderId="0" xfId="0" applyFont="1" applyAlignment="1">
      <alignment horizontal="center" vertical="center"/>
    </xf>
    <xf numFmtId="0" fontId="12" fillId="0" borderId="26" xfId="0" applyFont="1" applyBorder="1" applyAlignment="1">
      <alignment horizontal="center" vertical="center"/>
    </xf>
    <xf numFmtId="0" fontId="12" fillId="0" borderId="0" xfId="0" applyFont="1" applyAlignment="1">
      <alignment vertical="center" wrapText="1"/>
    </xf>
    <xf numFmtId="43" fontId="12" fillId="0" borderId="0" xfId="0" applyNumberFormat="1" applyFont="1">
      <alignment vertical="center"/>
    </xf>
    <xf numFmtId="0" fontId="12" fillId="0" borderId="7" xfId="0" applyFont="1" applyBorder="1">
      <alignment vertical="center"/>
    </xf>
    <xf numFmtId="0" fontId="12" fillId="0" borderId="12" xfId="0" applyFont="1" applyBorder="1">
      <alignment vertical="center"/>
    </xf>
    <xf numFmtId="0" fontId="12" fillId="0" borderId="11" xfId="0" applyFont="1" applyBorder="1">
      <alignment vertical="center"/>
    </xf>
    <xf numFmtId="0" fontId="12" fillId="0" borderId="10" xfId="0" applyFont="1" applyBorder="1">
      <alignment vertical="center"/>
    </xf>
    <xf numFmtId="41" fontId="12" fillId="0" borderId="10" xfId="0" applyNumberFormat="1" applyFont="1" applyBorder="1" applyAlignment="1">
      <alignment horizontal="left" vertical="center"/>
    </xf>
    <xf numFmtId="41" fontId="13" fillId="0" borderId="10" xfId="0" applyNumberFormat="1" applyFont="1" applyBorder="1" applyAlignment="1">
      <alignment horizontal="left" vertical="center"/>
    </xf>
    <xf numFmtId="0" fontId="12" fillId="0" borderId="15" xfId="0" applyFont="1" applyBorder="1">
      <alignment vertical="center"/>
    </xf>
    <xf numFmtId="0" fontId="12" fillId="0" borderId="20" xfId="0" applyFont="1" applyBorder="1">
      <alignment vertical="center"/>
    </xf>
    <xf numFmtId="41" fontId="12" fillId="0" borderId="7" xfId="0" applyNumberFormat="1" applyFont="1" applyBorder="1" applyAlignment="1">
      <alignment horizontal="left" vertical="center"/>
    </xf>
    <xf numFmtId="41" fontId="13" fillId="0" borderId="7" xfId="0" applyNumberFormat="1" applyFont="1" applyBorder="1" applyAlignment="1">
      <alignment horizontal="left" vertical="center"/>
    </xf>
    <xf numFmtId="0" fontId="12" fillId="0" borderId="7" xfId="0" applyFont="1" applyBorder="1" applyAlignment="1">
      <alignment horizontal="center" vertical="center"/>
    </xf>
    <xf numFmtId="166" fontId="2" fillId="0" borderId="0" xfId="0" applyNumberFormat="1" applyFont="1" applyAlignment="1">
      <alignment horizontal="center" vertical="center"/>
    </xf>
    <xf numFmtId="167" fontId="2" fillId="0" borderId="0" xfId="0" applyNumberFormat="1" applyFont="1" applyAlignment="1">
      <alignment horizontal="center" vertical="center"/>
    </xf>
    <xf numFmtId="41" fontId="2" fillId="0" borderId="0" xfId="3" applyNumberFormat="1" applyFont="1" applyAlignment="1">
      <alignment vertical="center"/>
    </xf>
    <xf numFmtId="166" fontId="2" fillId="0" borderId="0" xfId="3" applyNumberFormat="1" applyFont="1" applyAlignment="1">
      <alignment vertical="center"/>
    </xf>
    <xf numFmtId="37" fontId="3" fillId="0" borderId="4" xfId="3" applyFont="1" applyBorder="1" applyAlignment="1">
      <alignment vertical="center"/>
    </xf>
    <xf numFmtId="41" fontId="3" fillId="0" borderId="0" xfId="0" applyNumberFormat="1" applyFont="1" applyAlignment="1">
      <alignment horizontal="center" vertical="center"/>
    </xf>
    <xf numFmtId="166" fontId="3" fillId="0" borderId="0" xfId="0" applyNumberFormat="1" applyFont="1" applyAlignment="1">
      <alignment horizontal="center" vertical="center"/>
    </xf>
    <xf numFmtId="0" fontId="3" fillId="0" borderId="0" xfId="0" applyFont="1" applyAlignment="1">
      <alignment horizontal="center" vertical="center"/>
    </xf>
    <xf numFmtId="167" fontId="3" fillId="0" borderId="0" xfId="0" applyNumberFormat="1" applyFont="1" applyAlignment="1">
      <alignment horizontal="center" vertical="center"/>
    </xf>
    <xf numFmtId="0" fontId="3" fillId="0" borderId="27" xfId="0" applyFont="1" applyBorder="1">
      <alignment vertical="center"/>
    </xf>
    <xf numFmtId="0" fontId="3" fillId="0" borderId="28" xfId="0" applyFont="1" applyBorder="1">
      <alignment vertical="center"/>
    </xf>
    <xf numFmtId="168" fontId="3" fillId="0" borderId="26" xfId="0" applyNumberFormat="1" applyFont="1" applyBorder="1" applyAlignment="1">
      <alignment horizontal="center" vertical="center"/>
    </xf>
    <xf numFmtId="0" fontId="2" fillId="0" borderId="4" xfId="2" applyFont="1" applyBorder="1">
      <alignment vertical="center"/>
    </xf>
    <xf numFmtId="0" fontId="8" fillId="0" borderId="4" xfId="0" applyFont="1" applyBorder="1">
      <alignment vertical="center"/>
    </xf>
    <xf numFmtId="0" fontId="2" fillId="0" borderId="16" xfId="0" applyFont="1" applyBorder="1">
      <alignment vertical="center"/>
    </xf>
    <xf numFmtId="0" fontId="16" fillId="0" borderId="0" xfId="0" applyFont="1">
      <alignment vertical="center"/>
    </xf>
    <xf numFmtId="41" fontId="2" fillId="0" borderId="0" xfId="1" applyFont="1" applyFill="1" applyBorder="1" applyAlignment="1">
      <alignment horizontal="center" vertical="center"/>
    </xf>
    <xf numFmtId="0" fontId="4" fillId="0" borderId="32" xfId="0" applyFont="1" applyBorder="1" applyAlignment="1">
      <alignment horizontal="center" vertical="center"/>
    </xf>
    <xf numFmtId="0" fontId="3" fillId="0" borderId="0" xfId="0" applyFont="1" applyAlignment="1">
      <alignment horizontal="left" vertical="center"/>
    </xf>
    <xf numFmtId="0" fontId="2" fillId="0" borderId="0" xfId="0" applyFont="1" applyAlignment="1">
      <alignment horizontal="right" vertical="center"/>
    </xf>
    <xf numFmtId="15" fontId="2" fillId="0" borderId="0" xfId="0" quotePrefix="1" applyNumberFormat="1" applyFont="1" applyAlignment="1">
      <alignment horizontal="left" vertical="center"/>
    </xf>
    <xf numFmtId="0" fontId="2" fillId="0" borderId="0" xfId="0" applyFont="1" applyAlignment="1">
      <alignment horizontal="left" vertical="center" indent="1"/>
    </xf>
    <xf numFmtId="0" fontId="2" fillId="0" borderId="26" xfId="0" applyFont="1" applyBorder="1" applyAlignment="1">
      <alignment horizontal="left" vertical="center"/>
    </xf>
    <xf numFmtId="0" fontId="2" fillId="0" borderId="26" xfId="0" applyFont="1" applyBorder="1" applyAlignment="1">
      <alignment horizontal="center" vertical="center"/>
    </xf>
    <xf numFmtId="0" fontId="3" fillId="0" borderId="26" xfId="0" applyFont="1" applyBorder="1" applyAlignment="1">
      <alignment horizontal="center" vertical="center"/>
    </xf>
    <xf numFmtId="0" fontId="3" fillId="0" borderId="26" xfId="0" applyFont="1" applyBorder="1" applyAlignment="1">
      <alignment horizontal="center" vertical="center" wrapText="1"/>
    </xf>
    <xf numFmtId="41" fontId="2" fillId="0" borderId="0" xfId="1" applyFont="1" applyFill="1" applyAlignment="1">
      <alignment vertical="center"/>
    </xf>
    <xf numFmtId="0" fontId="2" fillId="0" borderId="0" xfId="0" applyFont="1" applyAlignment="1">
      <alignment vertical="center" wrapText="1"/>
    </xf>
    <xf numFmtId="0" fontId="2" fillId="0" borderId="0" xfId="1" applyNumberFormat="1" applyFont="1" applyFill="1" applyAlignment="1">
      <alignment vertical="center"/>
    </xf>
    <xf numFmtId="41" fontId="2" fillId="0" borderId="0" xfId="1" applyFont="1" applyAlignment="1">
      <alignment vertical="center"/>
    </xf>
    <xf numFmtId="0" fontId="2" fillId="0" borderId="0" xfId="1" applyNumberFormat="1" applyFont="1" applyAlignment="1">
      <alignment vertical="center"/>
    </xf>
    <xf numFmtId="0" fontId="18" fillId="0" borderId="0" xfId="0" applyFont="1" applyAlignment="1">
      <alignment horizontal="center" vertical="center"/>
    </xf>
    <xf numFmtId="0" fontId="19" fillId="0" borderId="0" xfId="0" applyFont="1">
      <alignment vertical="center"/>
    </xf>
    <xf numFmtId="0" fontId="20" fillId="0" borderId="0" xfId="0" applyFont="1" applyAlignment="1">
      <alignment horizontal="center" vertical="center"/>
    </xf>
    <xf numFmtId="0" fontId="20" fillId="0" borderId="0" xfId="0" applyFont="1">
      <alignment vertical="center"/>
    </xf>
    <xf numFmtId="41" fontId="12" fillId="0" borderId="0" xfId="0" applyNumberFormat="1" applyFont="1" applyAlignment="1">
      <alignment horizontal="center" vertical="center"/>
    </xf>
    <xf numFmtId="41" fontId="21" fillId="0" borderId="0" xfId="0" applyNumberFormat="1" applyFont="1" applyAlignment="1">
      <alignment horizontal="left" vertical="center"/>
    </xf>
    <xf numFmtId="41" fontId="12" fillId="0" borderId="0" xfId="1" applyFont="1" applyFill="1" applyBorder="1" applyAlignment="1">
      <alignment horizontal="center" vertical="center"/>
    </xf>
    <xf numFmtId="0" fontId="18" fillId="0" borderId="32" xfId="0" applyFont="1" applyBorder="1" applyAlignment="1">
      <alignment horizontal="center" vertical="center"/>
    </xf>
    <xf numFmtId="0" fontId="14" fillId="0" borderId="0" xfId="0" applyFont="1" applyAlignment="1">
      <alignment horizontal="left" vertical="center"/>
    </xf>
    <xf numFmtId="37" fontId="12" fillId="0" borderId="0" xfId="0" applyNumberFormat="1" applyFont="1" applyAlignment="1">
      <alignment horizontal="left" vertical="center"/>
    </xf>
    <xf numFmtId="169" fontId="12" fillId="0" borderId="0" xfId="0" applyNumberFormat="1" applyFont="1" applyAlignment="1">
      <alignment horizontal="center" vertical="center"/>
    </xf>
    <xf numFmtId="0" fontId="12" fillId="0" borderId="0" xfId="0" applyFont="1" applyAlignment="1">
      <alignment horizontal="right" vertical="center"/>
    </xf>
    <xf numFmtId="0" fontId="22" fillId="0" borderId="0" xfId="0" applyFont="1">
      <alignment vertical="center"/>
    </xf>
    <xf numFmtId="0" fontId="12" fillId="0" borderId="0" xfId="0" applyFont="1" applyAlignment="1">
      <alignment horizontal="left" vertical="center"/>
    </xf>
    <xf numFmtId="169" fontId="12" fillId="0" borderId="0" xfId="0" applyNumberFormat="1" applyFont="1" applyAlignment="1">
      <alignment horizontal="left" vertical="center"/>
    </xf>
    <xf numFmtId="169" fontId="12" fillId="0" borderId="26" xfId="0" applyNumberFormat="1" applyFont="1" applyBorder="1" applyAlignment="1">
      <alignment horizontal="left" vertical="center"/>
    </xf>
    <xf numFmtId="169" fontId="12" fillId="0" borderId="26" xfId="0" applyNumberFormat="1" applyFont="1" applyBorder="1" applyAlignment="1">
      <alignment horizontal="center" vertical="center"/>
    </xf>
    <xf numFmtId="0" fontId="23" fillId="0" borderId="0" xfId="0" applyFont="1">
      <alignment vertical="center"/>
    </xf>
    <xf numFmtId="0" fontId="14" fillId="0" borderId="0" xfId="0" applyFont="1" applyAlignment="1">
      <alignment horizontal="center" vertical="center"/>
    </xf>
    <xf numFmtId="0" fontId="14" fillId="0" borderId="0" xfId="0" applyFont="1">
      <alignment vertical="center"/>
    </xf>
    <xf numFmtId="0" fontId="14" fillId="0" borderId="26" xfId="0" applyFont="1" applyBorder="1" applyAlignment="1">
      <alignment horizontal="center" vertical="center"/>
    </xf>
    <xf numFmtId="0" fontId="14" fillId="0" borderId="26" xfId="0" applyFont="1" applyBorder="1" applyAlignment="1">
      <alignment horizontal="center" vertical="center" wrapText="1"/>
    </xf>
    <xf numFmtId="169" fontId="14" fillId="0" borderId="26" xfId="0" applyNumberFormat="1" applyFont="1" applyBorder="1" applyAlignment="1">
      <alignment horizontal="center" vertical="center" wrapText="1"/>
    </xf>
    <xf numFmtId="41" fontId="12" fillId="0" borderId="0" xfId="1" applyFont="1" applyAlignment="1">
      <alignment vertical="center"/>
    </xf>
    <xf numFmtId="169" fontId="12" fillId="0" borderId="0" xfId="0" applyNumberFormat="1" applyFont="1">
      <alignment vertical="center"/>
    </xf>
    <xf numFmtId="0" fontId="12" fillId="0" borderId="0" xfId="1" applyNumberFormat="1" applyFont="1" applyFill="1" applyAlignment="1">
      <alignment vertical="center"/>
    </xf>
    <xf numFmtId="0" fontId="27" fillId="0" borderId="0" xfId="6" applyFont="1">
      <alignment vertical="center"/>
    </xf>
    <xf numFmtId="0" fontId="27" fillId="0" borderId="0" xfId="6" applyFont="1" applyAlignment="1">
      <alignment horizontal="center" vertical="center"/>
    </xf>
    <xf numFmtId="0" fontId="27" fillId="0" borderId="0" xfId="6" applyFont="1" applyAlignment="1">
      <alignment horizontal="left" vertical="center" indent="2"/>
    </xf>
    <xf numFmtId="0" fontId="29" fillId="0" borderId="0" xfId="6" applyFont="1" applyAlignment="1">
      <alignment horizontal="center" vertical="top"/>
    </xf>
    <xf numFmtId="171" fontId="27" fillId="0" borderId="0" xfId="6" applyNumberFormat="1" applyFont="1" applyAlignment="1">
      <alignment horizontal="left" vertical="center" indent="2"/>
    </xf>
    <xf numFmtId="0" fontId="29" fillId="0" borderId="7" xfId="6" applyFont="1" applyBorder="1" applyAlignment="1">
      <alignment horizontal="center" vertical="top" wrapText="1"/>
    </xf>
    <xf numFmtId="0" fontId="31" fillId="0" borderId="0" xfId="0" quotePrefix="1" applyFont="1" applyAlignment="1">
      <alignment vertical="center" wrapText="1"/>
    </xf>
    <xf numFmtId="0" fontId="27" fillId="0" borderId="23" xfId="6" applyFont="1" applyBorder="1" applyAlignment="1">
      <alignment horizontal="right" vertical="top" wrapText="1" indent="1"/>
    </xf>
    <xf numFmtId="0" fontId="27" fillId="0" borderId="23" xfId="6" applyFont="1" applyBorder="1" applyAlignment="1">
      <alignment horizontal="right" vertical="top" indent="1"/>
    </xf>
    <xf numFmtId="0" fontId="27" fillId="0" borderId="21" xfId="6" applyFont="1" applyBorder="1" applyAlignment="1">
      <alignment horizontal="right" vertical="top" wrapText="1" indent="1"/>
    </xf>
    <xf numFmtId="41" fontId="2" fillId="0" borderId="0" xfId="0" applyNumberFormat="1" applyFont="1" applyAlignment="1">
      <alignment horizontal="left" vertical="center"/>
    </xf>
    <xf numFmtId="0" fontId="0" fillId="0" borderId="0" xfId="0" applyAlignment="1">
      <alignment horizontal="left" vertical="center" wrapText="1"/>
    </xf>
    <xf numFmtId="0" fontId="34" fillId="0" borderId="0" xfId="0" applyFont="1" applyAlignment="1">
      <alignment horizontal="left" vertical="top" wrapText="1"/>
    </xf>
    <xf numFmtId="41" fontId="2" fillId="0" borderId="18" xfId="0" applyNumberFormat="1" applyFont="1" applyBorder="1" applyAlignment="1">
      <alignment horizontal="left" vertical="center"/>
    </xf>
    <xf numFmtId="14" fontId="36" fillId="0" borderId="0" xfId="0" applyNumberFormat="1" applyFont="1">
      <alignment vertical="center"/>
    </xf>
    <xf numFmtId="14" fontId="2" fillId="0" borderId="0" xfId="0" quotePrefix="1" applyNumberFormat="1" applyFont="1" applyAlignment="1">
      <alignment horizontal="left" vertical="center"/>
    </xf>
    <xf numFmtId="0" fontId="2" fillId="0" borderId="0" xfId="0" applyFont="1" applyAlignment="1">
      <alignment horizontal="left" vertical="center" wrapText="1"/>
    </xf>
    <xf numFmtId="0" fontId="2" fillId="0" borderId="0" xfId="0" quotePrefix="1" applyFont="1">
      <alignment vertical="center"/>
    </xf>
    <xf numFmtId="0" fontId="2" fillId="0" borderId="17" xfId="0" quotePrefix="1" applyFont="1" applyBorder="1">
      <alignment vertical="center"/>
    </xf>
    <xf numFmtId="0" fontId="4" fillId="0" borderId="0" xfId="0" applyFont="1">
      <alignment vertical="center"/>
    </xf>
    <xf numFmtId="0" fontId="4" fillId="0" borderId="0" xfId="0" applyFont="1" applyAlignment="1">
      <alignment horizontal="center" vertical="center"/>
    </xf>
    <xf numFmtId="0" fontId="25" fillId="0" borderId="0" xfId="0" applyFont="1">
      <alignment vertical="center"/>
    </xf>
    <xf numFmtId="0" fontId="25" fillId="0" borderId="0" xfId="0" applyFont="1" applyAlignment="1">
      <alignment vertical="center" wrapText="1"/>
    </xf>
    <xf numFmtId="172" fontId="25" fillId="0" borderId="0" xfId="1" applyNumberFormat="1" applyFont="1">
      <alignment vertical="center"/>
    </xf>
    <xf numFmtId="0" fontId="25" fillId="0" borderId="0" xfId="0" applyFont="1" applyAlignment="1">
      <alignment horizontal="center" vertical="center"/>
    </xf>
    <xf numFmtId="0" fontId="38" fillId="0" borderId="0" xfId="0" applyFont="1">
      <alignment vertical="center"/>
    </xf>
    <xf numFmtId="0" fontId="20" fillId="0" borderId="0" xfId="0" applyFont="1" applyAlignment="1">
      <alignment vertical="center" wrapText="1"/>
    </xf>
    <xf numFmtId="172" fontId="20" fillId="0" borderId="0" xfId="1" applyNumberFormat="1" applyFont="1">
      <alignment vertical="center"/>
    </xf>
    <xf numFmtId="173" fontId="25" fillId="0" borderId="0" xfId="0" applyNumberFormat="1" applyFont="1" applyAlignment="1">
      <alignment horizontal="left" vertical="center"/>
    </xf>
    <xf numFmtId="0" fontId="39" fillId="0" borderId="0" xfId="0" applyFont="1" applyAlignment="1">
      <alignment vertical="center" wrapText="1"/>
    </xf>
    <xf numFmtId="0" fontId="39" fillId="0" borderId="0" xfId="0" applyFont="1">
      <alignment vertical="center"/>
    </xf>
    <xf numFmtId="172" fontId="39" fillId="0" borderId="21" xfId="1" applyNumberFormat="1" applyFont="1" applyFill="1" applyBorder="1" applyAlignment="1">
      <alignment horizontal="center" vertical="center" wrapText="1"/>
    </xf>
    <xf numFmtId="173" fontId="39" fillId="0" borderId="21" xfId="0" applyNumberFormat="1" applyFont="1" applyBorder="1" applyAlignment="1">
      <alignment horizontal="center" vertical="center" wrapText="1"/>
    </xf>
    <xf numFmtId="0" fontId="42" fillId="0" borderId="0" xfId="0" applyFont="1" applyAlignment="1">
      <alignment vertical="center" wrapText="1"/>
    </xf>
    <xf numFmtId="0" fontId="40" fillId="0" borderId="0" xfId="0" applyFont="1" applyAlignment="1">
      <alignment vertical="center" wrapText="1"/>
    </xf>
    <xf numFmtId="0" fontId="40" fillId="0" borderId="0" xfId="0" applyFont="1">
      <alignment vertical="center"/>
    </xf>
    <xf numFmtId="0" fontId="25" fillId="0" borderId="0" xfId="0" applyFont="1" applyAlignment="1">
      <alignment horizontal="left" vertical="center"/>
    </xf>
    <xf numFmtId="172" fontId="25" fillId="0" borderId="0" xfId="1" applyNumberFormat="1" applyFont="1" applyFill="1" applyBorder="1" applyAlignment="1">
      <alignment horizontal="left" vertical="center"/>
    </xf>
    <xf numFmtId="174" fontId="25" fillId="0" borderId="0" xfId="11" applyNumberFormat="1" applyFont="1" applyAlignment="1">
      <alignment horizontal="center" vertical="center"/>
      <protection locked="0"/>
    </xf>
    <xf numFmtId="175" fontId="25" fillId="0" borderId="0" xfId="0" applyNumberFormat="1" applyFont="1" applyAlignment="1">
      <alignment horizontal="left" vertical="center"/>
    </xf>
    <xf numFmtId="0" fontId="25" fillId="0" borderId="0" xfId="0" applyFont="1" applyAlignment="1">
      <alignment horizontal="left" vertical="center" wrapText="1"/>
    </xf>
    <xf numFmtId="172" fontId="25" fillId="0" borderId="0" xfId="1" applyNumberFormat="1" applyFont="1" applyFill="1" applyBorder="1" applyAlignment="1">
      <alignment horizontal="center" vertical="center"/>
    </xf>
    <xf numFmtId="173" fontId="25" fillId="0" borderId="0" xfId="0" applyNumberFormat="1" applyFont="1" applyAlignment="1">
      <alignment horizontal="center" vertical="center"/>
    </xf>
    <xf numFmtId="175" fontId="25" fillId="0" borderId="0" xfId="0" applyNumberFormat="1" applyFont="1" applyAlignment="1">
      <alignment horizontal="center" vertical="center"/>
    </xf>
    <xf numFmtId="172" fontId="25" fillId="0" borderId="0" xfId="1" applyNumberFormat="1" applyFont="1" applyBorder="1" applyAlignment="1">
      <alignment horizontal="center" vertical="center"/>
    </xf>
    <xf numFmtId="173" fontId="46" fillId="0" borderId="0" xfId="0" applyNumberFormat="1" applyFont="1" applyAlignment="1">
      <alignment horizontal="center" vertical="center"/>
    </xf>
    <xf numFmtId="172" fontId="12" fillId="0" borderId="0" xfId="1" applyNumberFormat="1" applyFont="1" applyBorder="1">
      <alignment vertical="center"/>
    </xf>
    <xf numFmtId="173" fontId="12" fillId="0" borderId="0" xfId="0" applyNumberFormat="1" applyFont="1">
      <alignment vertical="center"/>
    </xf>
    <xf numFmtId="172" fontId="12" fillId="0" borderId="0" xfId="1" applyNumberFormat="1" applyFont="1">
      <alignment vertical="center"/>
    </xf>
    <xf numFmtId="37" fontId="2" fillId="2" borderId="0" xfId="0" applyNumberFormat="1" applyFont="1" applyFill="1" applyAlignment="1">
      <alignment horizontal="left" vertical="center"/>
    </xf>
    <xf numFmtId="37" fontId="12" fillId="2" borderId="0" xfId="0" applyNumberFormat="1" applyFont="1" applyFill="1" applyAlignment="1">
      <alignment horizontal="left" vertical="center"/>
    </xf>
    <xf numFmtId="0" fontId="27" fillId="2" borderId="7" xfId="7" applyFont="1" applyFill="1" applyBorder="1" applyAlignment="1">
      <alignment vertical="top" wrapText="1"/>
    </xf>
    <xf numFmtId="0" fontId="27" fillId="2" borderId="20" xfId="7" applyFont="1" applyFill="1" applyBorder="1" applyAlignment="1">
      <alignment vertical="top" wrapText="1"/>
    </xf>
    <xf numFmtId="0" fontId="39" fillId="0" borderId="21" xfId="0" applyFont="1" applyBorder="1" applyAlignment="1">
      <alignment horizontal="center" vertical="center" wrapText="1"/>
    </xf>
    <xf numFmtId="0" fontId="27" fillId="0" borderId="0" xfId="1" applyNumberFormat="1" applyFont="1" applyFill="1" applyBorder="1" applyAlignment="1">
      <alignment vertical="top"/>
    </xf>
    <xf numFmtId="41" fontId="27" fillId="0" borderId="0" xfId="1" applyFont="1" applyFill="1" applyBorder="1" applyAlignment="1">
      <alignment horizontal="left" vertical="top"/>
    </xf>
    <xf numFmtId="41" fontId="27" fillId="0" borderId="0" xfId="1" applyFont="1" applyFill="1" applyBorder="1" applyAlignment="1">
      <alignment vertical="top"/>
    </xf>
    <xf numFmtId="164" fontId="27" fillId="0" borderId="0" xfId="1" applyNumberFormat="1" applyFont="1" applyFill="1" applyBorder="1" applyAlignment="1">
      <alignment vertical="top"/>
    </xf>
    <xf numFmtId="49" fontId="27" fillId="0" borderId="14" xfId="6" applyNumberFormat="1" applyFont="1" applyBorder="1" applyAlignment="1">
      <alignment horizontal="left" vertical="top"/>
    </xf>
    <xf numFmtId="37" fontId="3" fillId="2" borderId="9" xfId="3" applyFont="1" applyFill="1" applyBorder="1" applyAlignment="1">
      <alignment vertical="center"/>
    </xf>
    <xf numFmtId="37" fontId="2" fillId="2" borderId="10" xfId="3" applyFont="1" applyFill="1" applyBorder="1" applyAlignment="1">
      <alignment vertical="center"/>
    </xf>
    <xf numFmtId="37" fontId="2" fillId="2" borderId="10" xfId="3" applyFont="1" applyFill="1" applyBorder="1" applyAlignment="1">
      <alignment horizontal="center" vertical="center"/>
    </xf>
    <xf numFmtId="37" fontId="2" fillId="2" borderId="11" xfId="3" applyFont="1" applyFill="1" applyBorder="1" applyAlignment="1">
      <alignment horizontal="center" vertical="center"/>
    </xf>
    <xf numFmtId="37" fontId="3" fillId="2" borderId="12" xfId="3" applyFont="1" applyFill="1" applyBorder="1" applyAlignment="1">
      <alignment vertical="center"/>
    </xf>
    <xf numFmtId="37" fontId="2" fillId="2" borderId="13" xfId="3" applyFont="1" applyFill="1" applyBorder="1" applyAlignment="1">
      <alignment vertical="center"/>
    </xf>
    <xf numFmtId="37" fontId="2" fillId="2" borderId="4" xfId="3" applyFont="1" applyFill="1" applyBorder="1" applyAlignment="1">
      <alignment vertical="center"/>
    </xf>
    <xf numFmtId="37" fontId="3" fillId="2" borderId="15" xfId="3" applyFont="1" applyFill="1" applyBorder="1" applyAlignment="1">
      <alignment vertical="center"/>
    </xf>
    <xf numFmtId="37" fontId="2" fillId="2" borderId="8" xfId="3" applyFont="1" applyFill="1" applyBorder="1" applyAlignment="1">
      <alignment vertical="center"/>
    </xf>
    <xf numFmtId="0" fontId="2" fillId="2" borderId="4" xfId="0" applyFont="1" applyFill="1" applyBorder="1">
      <alignment vertical="center"/>
    </xf>
    <xf numFmtId="0" fontId="3" fillId="2" borderId="12" xfId="0" applyFont="1" applyFill="1" applyBorder="1">
      <alignment vertical="center"/>
    </xf>
    <xf numFmtId="0" fontId="2" fillId="2" borderId="10" xfId="0" applyFont="1" applyFill="1" applyBorder="1">
      <alignment vertical="center"/>
    </xf>
    <xf numFmtId="0" fontId="2" fillId="2" borderId="13" xfId="0" applyFont="1" applyFill="1" applyBorder="1">
      <alignment vertical="center"/>
    </xf>
    <xf numFmtId="37" fontId="2" fillId="2" borderId="7" xfId="3" applyFont="1" applyFill="1" applyBorder="1" applyAlignment="1">
      <alignment vertical="center"/>
    </xf>
    <xf numFmtId="0" fontId="3" fillId="2" borderId="9" xfId="0" applyFont="1" applyFill="1" applyBorder="1">
      <alignment vertical="center"/>
    </xf>
    <xf numFmtId="0" fontId="2" fillId="2" borderId="11" xfId="0" applyFont="1" applyFill="1" applyBorder="1">
      <alignment vertical="center"/>
    </xf>
    <xf numFmtId="0" fontId="2" fillId="2" borderId="6" xfId="0" applyFont="1" applyFill="1" applyBorder="1">
      <alignment vertical="center"/>
    </xf>
    <xf numFmtId="0" fontId="3" fillId="2" borderId="4" xfId="0" applyFont="1" applyFill="1" applyBorder="1">
      <alignment vertical="center"/>
    </xf>
    <xf numFmtId="0" fontId="3" fillId="2" borderId="0" xfId="0" applyFont="1" applyFill="1">
      <alignment vertical="center"/>
    </xf>
    <xf numFmtId="0" fontId="2" fillId="2" borderId="0" xfId="0" applyFont="1" applyFill="1">
      <alignment vertical="center"/>
    </xf>
    <xf numFmtId="0" fontId="2" fillId="2" borderId="19" xfId="0" applyFont="1" applyFill="1" applyBorder="1" applyAlignment="1">
      <alignment horizontal="left" vertical="center"/>
    </xf>
    <xf numFmtId="41" fontId="2" fillId="2" borderId="0" xfId="0" applyNumberFormat="1" applyFont="1" applyFill="1" applyAlignment="1">
      <alignment horizontal="left" vertical="center"/>
    </xf>
    <xf numFmtId="41" fontId="2" fillId="2" borderId="5" xfId="1" applyFont="1" applyFill="1" applyBorder="1" applyAlignment="1">
      <alignment horizontal="center" vertical="center"/>
    </xf>
    <xf numFmtId="41" fontId="2" fillId="2" borderId="14" xfId="0" applyNumberFormat="1" applyFont="1" applyFill="1" applyBorder="1" applyAlignment="1">
      <alignment horizontal="center" vertical="center"/>
    </xf>
    <xf numFmtId="41" fontId="2" fillId="2" borderId="23" xfId="0" applyNumberFormat="1" applyFont="1" applyFill="1" applyBorder="1" applyAlignment="1">
      <alignment horizontal="center" vertical="center"/>
    </xf>
    <xf numFmtId="164" fontId="2" fillId="2" borderId="23" xfId="0" applyNumberFormat="1" applyFont="1" applyFill="1" applyBorder="1" applyAlignment="1">
      <alignment horizontal="center" vertical="center"/>
    </xf>
    <xf numFmtId="0" fontId="12" fillId="2" borderId="26" xfId="0" applyFont="1" applyFill="1" applyBorder="1" applyAlignment="1">
      <alignment horizontal="center" vertical="center"/>
    </xf>
    <xf numFmtId="0" fontId="2" fillId="2" borderId="26" xfId="0" applyFont="1" applyFill="1" applyBorder="1" applyAlignment="1">
      <alignment horizontal="center" vertical="center"/>
    </xf>
    <xf numFmtId="0" fontId="12" fillId="2" borderId="21" xfId="0" applyFont="1" applyFill="1" applyBorder="1" applyAlignment="1">
      <alignment horizontal="center" vertical="center"/>
    </xf>
    <xf numFmtId="0" fontId="12" fillId="2" borderId="21" xfId="0" applyFont="1" applyFill="1" applyBorder="1" applyAlignment="1">
      <alignment horizontal="center" vertical="center" wrapText="1"/>
    </xf>
    <xf numFmtId="41" fontId="2" fillId="2" borderId="7" xfId="0" applyNumberFormat="1" applyFont="1" applyFill="1" applyBorder="1" applyAlignment="1">
      <alignment horizontal="center" vertical="center"/>
    </xf>
    <xf numFmtId="41" fontId="2" fillId="2" borderId="8" xfId="1" applyFont="1" applyFill="1" applyBorder="1" applyAlignment="1">
      <alignment horizontal="center" vertical="center"/>
    </xf>
    <xf numFmtId="41" fontId="3" fillId="2" borderId="26" xfId="0" applyNumberFormat="1" applyFont="1" applyFill="1" applyBorder="1" applyAlignment="1">
      <alignment horizontal="center" vertical="center"/>
    </xf>
    <xf numFmtId="41" fontId="3" fillId="2" borderId="26" xfId="0" applyNumberFormat="1" applyFont="1" applyFill="1" applyBorder="1" applyAlignment="1">
      <alignment horizontal="center" vertical="center" wrapText="1"/>
    </xf>
    <xf numFmtId="168" fontId="2" fillId="2" borderId="23" xfId="0" applyNumberFormat="1" applyFont="1" applyFill="1" applyBorder="1" applyAlignment="1">
      <alignment horizontal="center" vertical="center"/>
    </xf>
    <xf numFmtId="164" fontId="2" fillId="2" borderId="24" xfId="0" applyNumberFormat="1" applyFont="1" applyFill="1" applyBorder="1" applyAlignment="1">
      <alignment horizontal="center" vertical="center"/>
    </xf>
    <xf numFmtId="0" fontId="2" fillId="2" borderId="5" xfId="0" applyFont="1" applyFill="1" applyBorder="1">
      <alignment vertical="center"/>
    </xf>
    <xf numFmtId="0" fontId="51" fillId="2" borderId="19" xfId="0" applyFont="1" applyFill="1" applyBorder="1" applyAlignment="1">
      <alignment horizontal="left" vertical="center"/>
    </xf>
    <xf numFmtId="0" fontId="14" fillId="2" borderId="0" xfId="0" applyFont="1" applyFill="1" applyAlignment="1">
      <alignment horizontal="left" vertical="center"/>
    </xf>
    <xf numFmtId="14" fontId="12" fillId="2" borderId="0" xfId="0" quotePrefix="1" applyNumberFormat="1" applyFont="1" applyFill="1" applyAlignment="1">
      <alignment horizontal="left" vertical="center"/>
    </xf>
    <xf numFmtId="15" fontId="12" fillId="2" borderId="0" xfId="0" applyNumberFormat="1" applyFont="1" applyFill="1" applyAlignment="1">
      <alignment horizontal="left" vertical="center"/>
    </xf>
    <xf numFmtId="0" fontId="12" fillId="2" borderId="0" xfId="0" applyFont="1" applyFill="1">
      <alignment vertical="center"/>
    </xf>
    <xf numFmtId="0" fontId="27" fillId="2" borderId="25" xfId="6" applyFont="1" applyFill="1" applyBorder="1" applyAlignment="1">
      <alignment horizontal="right" vertical="top" wrapText="1" indent="1"/>
    </xf>
    <xf numFmtId="0" fontId="29" fillId="2" borderId="10" xfId="6" applyFont="1" applyFill="1" applyBorder="1" applyAlignment="1">
      <alignment horizontal="center" vertical="top" wrapText="1"/>
    </xf>
    <xf numFmtId="0" fontId="27" fillId="2" borderId="23" xfId="6" applyFont="1" applyFill="1" applyBorder="1" applyAlignment="1">
      <alignment horizontal="right" vertical="top" wrapText="1" indent="1"/>
    </xf>
    <xf numFmtId="0" fontId="29" fillId="2" borderId="0" xfId="6" applyFont="1" applyFill="1" applyAlignment="1">
      <alignment horizontal="center" vertical="top" wrapText="1"/>
    </xf>
    <xf numFmtId="0" fontId="29" fillId="2" borderId="0" xfId="6" applyFont="1" applyFill="1" applyAlignment="1">
      <alignment horizontal="center" vertical="top"/>
    </xf>
    <xf numFmtId="0" fontId="27" fillId="2" borderId="14" xfId="6" applyFont="1" applyFill="1" applyBorder="1" applyAlignment="1">
      <alignment vertical="top"/>
    </xf>
    <xf numFmtId="172" fontId="27" fillId="2" borderId="14" xfId="6" applyNumberFormat="1" applyFont="1" applyFill="1" applyBorder="1" applyAlignment="1">
      <alignment vertical="top"/>
    </xf>
    <xf numFmtId="49" fontId="27" fillId="2" borderId="14" xfId="6" applyNumberFormat="1" applyFont="1" applyFill="1" applyBorder="1" applyAlignment="1">
      <alignment horizontal="left" vertical="top"/>
    </xf>
    <xf numFmtId="40" fontId="43" fillId="2" borderId="30" xfId="1" applyNumberFormat="1" applyFont="1" applyFill="1" applyBorder="1" applyAlignment="1">
      <alignment horizontal="center" vertical="center"/>
    </xf>
    <xf numFmtId="40" fontId="43" fillId="2" borderId="12" xfId="1" applyNumberFormat="1" applyFont="1" applyFill="1" applyBorder="1" applyAlignment="1">
      <alignment horizontal="center" vertical="center"/>
    </xf>
    <xf numFmtId="40" fontId="43" fillId="2" borderId="2" xfId="1" applyNumberFormat="1" applyFont="1" applyFill="1" applyBorder="1" applyAlignment="1">
      <alignment horizontal="center" vertical="center"/>
    </xf>
    <xf numFmtId="173" fontId="25" fillId="2" borderId="0" xfId="0" applyNumberFormat="1" applyFont="1" applyFill="1" applyAlignment="1">
      <alignment horizontal="left" vertical="center"/>
    </xf>
    <xf numFmtId="0" fontId="52" fillId="0" borderId="0" xfId="9" applyFont="1">
      <alignment vertical="center"/>
    </xf>
    <xf numFmtId="37" fontId="53" fillId="0" borderId="0" xfId="0" applyNumberFormat="1" applyFont="1">
      <alignment vertical="center"/>
    </xf>
    <xf numFmtId="0" fontId="54" fillId="0" borderId="44" xfId="0" applyFont="1" applyBorder="1" applyAlignment="1">
      <alignment horizontal="center" vertical="center"/>
    </xf>
    <xf numFmtId="0" fontId="39" fillId="0" borderId="26" xfId="10" applyFont="1" applyBorder="1" applyAlignment="1">
      <alignment horizontal="center" vertical="center"/>
    </xf>
    <xf numFmtId="40" fontId="54" fillId="2" borderId="30" xfId="1" applyNumberFormat="1" applyFont="1" applyFill="1" applyBorder="1" applyAlignment="1">
      <alignment horizontal="center" vertical="center"/>
    </xf>
    <xf numFmtId="4" fontId="39" fillId="2" borderId="29" xfId="0" applyNumberFormat="1" applyFont="1" applyFill="1" applyBorder="1" applyAlignment="1">
      <alignment horizontal="center" vertical="center"/>
    </xf>
    <xf numFmtId="0" fontId="27" fillId="2" borderId="7" xfId="7" applyFont="1" applyFill="1" applyBorder="1" applyAlignment="1">
      <alignment horizontal="left" vertical="top"/>
    </xf>
    <xf numFmtId="14" fontId="2" fillId="2" borderId="7" xfId="3" applyNumberFormat="1" applyFont="1" applyFill="1" applyBorder="1" applyAlignment="1">
      <alignment vertical="center"/>
    </xf>
    <xf numFmtId="43" fontId="2" fillId="0" borderId="0" xfId="0" applyNumberFormat="1" applyFont="1">
      <alignment vertical="center"/>
    </xf>
    <xf numFmtId="41" fontId="2" fillId="0" borderId="0" xfId="1" applyFont="1">
      <alignment vertical="center"/>
    </xf>
    <xf numFmtId="43" fontId="55" fillId="0" borderId="0" xfId="0" applyNumberFormat="1" applyFont="1">
      <alignment vertical="center"/>
    </xf>
    <xf numFmtId="0" fontId="55" fillId="0" borderId="0" xfId="0" applyFont="1">
      <alignment vertical="center"/>
    </xf>
    <xf numFmtId="41" fontId="8" fillId="0" borderId="5" xfId="0" applyNumberFormat="1" applyFont="1" applyBorder="1" applyAlignment="1">
      <alignment vertical="center" wrapText="1"/>
    </xf>
    <xf numFmtId="0" fontId="12" fillId="0" borderId="25" xfId="0" applyFont="1" applyBorder="1" applyAlignment="1">
      <alignment horizontal="center" vertical="center" wrapText="1"/>
    </xf>
    <xf numFmtId="0" fontId="12" fillId="0" borderId="25" xfId="0" applyFont="1" applyBorder="1" applyAlignment="1">
      <alignment horizontal="center" vertical="center"/>
    </xf>
    <xf numFmtId="0" fontId="12" fillId="0" borderId="26" xfId="0" applyFont="1" applyBorder="1" applyAlignment="1">
      <alignment horizontal="center" vertical="center" wrapText="1"/>
    </xf>
    <xf numFmtId="164" fontId="12" fillId="0" borderId="26" xfId="1" applyNumberFormat="1" applyFont="1" applyFill="1" applyBorder="1" applyAlignment="1">
      <alignment horizontal="center" vertical="center"/>
    </xf>
    <xf numFmtId="0" fontId="13" fillId="0" borderId="0" xfId="0" applyFont="1">
      <alignment vertical="center"/>
    </xf>
    <xf numFmtId="164" fontId="14" fillId="0" borderId="14" xfId="0" applyNumberFormat="1" applyFont="1" applyBorder="1">
      <alignment vertical="center"/>
    </xf>
    <xf numFmtId="165" fontId="12" fillId="0" borderId="0" xfId="0" applyNumberFormat="1" applyFont="1" applyAlignment="1">
      <alignment horizontal="center" vertical="center"/>
    </xf>
    <xf numFmtId="164" fontId="13" fillId="0" borderId="0" xfId="1" applyNumberFormat="1" applyFont="1">
      <alignment vertical="center"/>
    </xf>
    <xf numFmtId="9" fontId="13" fillId="0" borderId="0" xfId="0" applyNumberFormat="1" applyFont="1">
      <alignment vertical="center"/>
    </xf>
    <xf numFmtId="14" fontId="13" fillId="0" borderId="0" xfId="0" applyNumberFormat="1" applyFont="1">
      <alignment vertical="center"/>
    </xf>
    <xf numFmtId="43" fontId="13" fillId="0" borderId="0" xfId="0" applyNumberFormat="1" applyFont="1">
      <alignment vertical="center"/>
    </xf>
    <xf numFmtId="0" fontId="27" fillId="2" borderId="0" xfId="6" applyFont="1" applyFill="1" applyAlignment="1">
      <alignment horizontal="left" vertical="top" wrapText="1"/>
    </xf>
    <xf numFmtId="0" fontId="27" fillId="2" borderId="14" xfId="6" applyFont="1" applyFill="1" applyBorder="1" applyAlignment="1">
      <alignment horizontal="left" vertical="top" wrapText="1"/>
    </xf>
    <xf numFmtId="0" fontId="2" fillId="2" borderId="20" xfId="0" applyFont="1" applyFill="1" applyBorder="1" applyAlignment="1">
      <alignment vertical="center" wrapText="1"/>
    </xf>
    <xf numFmtId="0" fontId="2" fillId="2" borderId="15" xfId="0" applyFont="1" applyFill="1" applyBorder="1">
      <alignment vertical="center"/>
    </xf>
    <xf numFmtId="41" fontId="2" fillId="2" borderId="19" xfId="0" applyNumberFormat="1" applyFont="1" applyFill="1" applyBorder="1" applyAlignment="1">
      <alignment horizontal="center" vertical="center"/>
    </xf>
    <xf numFmtId="0" fontId="8" fillId="2" borderId="0" xfId="0" applyFont="1" applyFill="1">
      <alignment vertical="center"/>
    </xf>
    <xf numFmtId="0" fontId="9" fillId="2" borderId="0" xfId="0" applyFont="1" applyFill="1">
      <alignment vertical="center"/>
    </xf>
    <xf numFmtId="0" fontId="9" fillId="2" borderId="14" xfId="0" applyFont="1" applyFill="1" applyBorder="1">
      <alignment vertical="center"/>
    </xf>
    <xf numFmtId="170" fontId="27" fillId="3" borderId="0" xfId="6" applyNumberFormat="1" applyFont="1" applyFill="1" applyAlignment="1">
      <alignment horizontal="left" vertical="top"/>
    </xf>
    <xf numFmtId="164" fontId="27" fillId="3" borderId="0" xfId="1" applyNumberFormat="1" applyFont="1" applyFill="1" applyBorder="1" applyAlignment="1">
      <alignment vertical="top"/>
    </xf>
    <xf numFmtId="0" fontId="39" fillId="0" borderId="22" xfId="0" applyFont="1" applyBorder="1" applyAlignment="1">
      <alignment horizontal="center" vertical="center" wrapText="1"/>
    </xf>
    <xf numFmtId="0" fontId="27" fillId="3" borderId="0" xfId="1" applyNumberFormat="1" applyFont="1" applyFill="1" applyBorder="1" applyAlignment="1">
      <alignment vertical="top"/>
    </xf>
    <xf numFmtId="164" fontId="12" fillId="2" borderId="26" xfId="1" applyNumberFormat="1" applyFont="1" applyFill="1" applyBorder="1" applyAlignment="1">
      <alignment horizontal="center" vertical="center" wrapText="1"/>
    </xf>
    <xf numFmtId="164" fontId="12" fillId="2" borderId="26" xfId="1" applyNumberFormat="1" applyFont="1" applyFill="1" applyBorder="1" applyAlignment="1">
      <alignment horizontal="center" vertical="center"/>
    </xf>
    <xf numFmtId="164" fontId="2" fillId="0" borderId="21" xfId="1" applyNumberFormat="1" applyFont="1" applyBorder="1" applyAlignment="1">
      <alignment horizontal="center" vertical="center"/>
    </xf>
    <xf numFmtId="0" fontId="12" fillId="3" borderId="21" xfId="0" applyFont="1" applyFill="1" applyBorder="1" applyAlignment="1">
      <alignment horizontal="center" vertical="center" wrapText="1"/>
    </xf>
    <xf numFmtId="0" fontId="12" fillId="3" borderId="15" xfId="0" applyFont="1" applyFill="1" applyBorder="1" applyAlignment="1">
      <alignment horizontal="center" vertical="center"/>
    </xf>
    <xf numFmtId="0" fontId="3" fillId="0" borderId="0" xfId="0" applyFont="1" applyAlignment="1">
      <alignment horizontal="center" vertical="center" wrapText="1"/>
    </xf>
    <xf numFmtId="0" fontId="3" fillId="0" borderId="14" xfId="0" applyFont="1" applyBorder="1" applyAlignment="1">
      <alignment horizontal="center" vertical="center" wrapText="1"/>
    </xf>
    <xf numFmtId="0" fontId="15" fillId="2" borderId="0" xfId="0" applyFont="1" applyFill="1" applyAlignment="1">
      <alignment horizontal="center" vertical="center" wrapText="1"/>
    </xf>
    <xf numFmtId="0" fontId="2" fillId="2" borderId="26" xfId="0" applyFont="1" applyFill="1" applyBorder="1" applyAlignment="1">
      <alignment horizontal="left" vertical="center" wrapText="1"/>
    </xf>
    <xf numFmtId="0" fontId="2" fillId="0" borderId="21" xfId="0" applyFont="1" applyBorder="1" applyAlignment="1">
      <alignment horizontal="center" vertical="center"/>
    </xf>
    <xf numFmtId="0" fontId="2" fillId="0" borderId="21" xfId="0" applyFont="1" applyBorder="1" applyAlignment="1">
      <alignment horizontal="center" vertical="center" wrapText="1"/>
    </xf>
    <xf numFmtId="0" fontId="12" fillId="0" borderId="21" xfId="0" applyFont="1" applyBorder="1" applyAlignment="1">
      <alignment horizontal="center" vertical="center"/>
    </xf>
    <xf numFmtId="0" fontId="12" fillId="0" borderId="15" xfId="0" applyFont="1" applyBorder="1" applyAlignment="1">
      <alignment horizontal="left" vertical="center"/>
    </xf>
    <xf numFmtId="0" fontId="2" fillId="3" borderId="26" xfId="0" applyFont="1" applyFill="1" applyBorder="1" applyAlignment="1">
      <alignment horizontal="center" vertical="center" wrapText="1"/>
    </xf>
    <xf numFmtId="0" fontId="2" fillId="3" borderId="21" xfId="0" applyFont="1" applyFill="1" applyBorder="1" applyAlignment="1">
      <alignment horizontal="center" vertical="center" wrapText="1"/>
    </xf>
    <xf numFmtId="173" fontId="39" fillId="0" borderId="15" xfId="0" applyNumberFormat="1" applyFont="1" applyBorder="1" applyAlignment="1">
      <alignment horizontal="center" vertical="center" wrapText="1"/>
    </xf>
    <xf numFmtId="0" fontId="39" fillId="0" borderId="26" xfId="0" applyFont="1" applyBorder="1" applyAlignment="1">
      <alignment horizontal="left" vertical="center" wrapText="1"/>
    </xf>
    <xf numFmtId="15" fontId="2" fillId="2" borderId="7" xfId="3" applyNumberFormat="1" applyFont="1" applyFill="1" applyBorder="1" applyAlignment="1">
      <alignment horizontal="left" vertical="center"/>
    </xf>
    <xf numFmtId="37" fontId="2" fillId="2" borderId="10" xfId="3" applyFont="1" applyFill="1" applyBorder="1" applyAlignment="1">
      <alignment horizontal="left" vertical="center"/>
    </xf>
    <xf numFmtId="37" fontId="2" fillId="2" borderId="7" xfId="3" applyFont="1" applyFill="1" applyBorder="1" applyAlignment="1">
      <alignment horizontal="left" vertical="center"/>
    </xf>
    <xf numFmtId="15" fontId="2" fillId="2" borderId="7" xfId="0" applyNumberFormat="1" applyFont="1" applyFill="1" applyBorder="1" applyAlignment="1">
      <alignment horizontal="left" vertical="center"/>
    </xf>
    <xf numFmtId="0" fontId="2" fillId="2" borderId="19" xfId="0" applyFont="1" applyFill="1" applyBorder="1" applyAlignment="1">
      <alignment horizontal="left" vertical="center" readingOrder="1"/>
    </xf>
    <xf numFmtId="0" fontId="8" fillId="2" borderId="0" xfId="0" applyFont="1" applyFill="1" applyAlignment="1">
      <alignment vertical="center" wrapText="1"/>
    </xf>
    <xf numFmtId="0" fontId="2" fillId="2" borderId="21" xfId="0" applyFont="1" applyFill="1" applyBorder="1" applyAlignment="1">
      <alignment horizontal="center" vertical="center" wrapText="1"/>
    </xf>
    <xf numFmtId="2" fontId="12" fillId="2" borderId="26" xfId="0" applyNumberFormat="1" applyFont="1" applyFill="1" applyBorder="1" applyAlignment="1">
      <alignment vertical="center" wrapText="1"/>
    </xf>
    <xf numFmtId="43" fontId="2" fillId="0" borderId="0" xfId="0" applyNumberFormat="1" applyFont="1" applyAlignment="1">
      <alignment horizontal="center" vertical="center"/>
    </xf>
    <xf numFmtId="164" fontId="12" fillId="2" borderId="21" xfId="1" applyNumberFormat="1" applyFont="1" applyFill="1" applyBorder="1" applyAlignment="1">
      <alignment horizontal="center" vertical="center" wrapText="1"/>
    </xf>
    <xf numFmtId="164" fontId="2" fillId="3" borderId="21" xfId="1" applyNumberFormat="1" applyFont="1" applyFill="1" applyBorder="1" applyAlignment="1">
      <alignment horizontal="center" vertical="center" wrapText="1"/>
    </xf>
    <xf numFmtId="0" fontId="12" fillId="2" borderId="15" xfId="0" applyFont="1" applyFill="1" applyBorder="1" applyAlignment="1">
      <alignment horizontal="center" vertical="center" wrapText="1"/>
    </xf>
    <xf numFmtId="0" fontId="2" fillId="2" borderId="26" xfId="0" applyFont="1" applyFill="1" applyBorder="1" applyAlignment="1">
      <alignment horizontal="center" vertical="center" wrapText="1"/>
    </xf>
    <xf numFmtId="164" fontId="2" fillId="2" borderId="24" xfId="1" applyNumberFormat="1" applyFont="1" applyFill="1" applyBorder="1" applyAlignment="1">
      <alignment horizontal="center" vertical="center"/>
    </xf>
    <xf numFmtId="164" fontId="2" fillId="2" borderId="19" xfId="1" applyNumberFormat="1" applyFont="1" applyFill="1" applyBorder="1" applyAlignment="1">
      <alignment horizontal="center" vertical="center"/>
    </xf>
    <xf numFmtId="164" fontId="2" fillId="2" borderId="26" xfId="1" applyNumberFormat="1" applyFont="1" applyFill="1" applyBorder="1" applyAlignment="1">
      <alignment horizontal="center" vertical="center" wrapText="1"/>
    </xf>
    <xf numFmtId="43" fontId="2" fillId="0" borderId="0" xfId="0" applyNumberFormat="1" applyFont="1" applyAlignment="1">
      <alignment horizontal="left" vertical="center"/>
    </xf>
    <xf numFmtId="0" fontId="14" fillId="3" borderId="0" xfId="0" applyFont="1" applyFill="1">
      <alignment vertical="center"/>
    </xf>
    <xf numFmtId="164" fontId="17" fillId="3" borderId="26" xfId="1" applyNumberFormat="1" applyFont="1" applyFill="1" applyBorder="1" applyAlignment="1">
      <alignment horizontal="center" vertical="center" wrapText="1"/>
    </xf>
    <xf numFmtId="164" fontId="2" fillId="3" borderId="26" xfId="1" applyNumberFormat="1" applyFont="1" applyFill="1" applyBorder="1" applyAlignment="1">
      <alignment horizontal="center" vertical="center" wrapText="1"/>
    </xf>
    <xf numFmtId="0" fontId="14" fillId="3" borderId="0" xfId="0" applyFont="1" applyFill="1" applyAlignment="1">
      <alignment horizontal="center" vertical="center"/>
    </xf>
    <xf numFmtId="0" fontId="12" fillId="2" borderId="15" xfId="0" applyFont="1" applyFill="1" applyBorder="1" applyAlignment="1">
      <alignment horizontal="center" vertical="center"/>
    </xf>
    <xf numFmtId="164" fontId="2" fillId="2" borderId="21" xfId="1" applyNumberFormat="1" applyFont="1" applyFill="1" applyBorder="1" applyAlignment="1">
      <alignment horizontal="center" vertical="center" wrapText="1"/>
    </xf>
    <xf numFmtId="164" fontId="2" fillId="0" borderId="0" xfId="1" applyNumberFormat="1" applyFont="1">
      <alignment vertical="center"/>
    </xf>
    <xf numFmtId="4" fontId="60" fillId="0" borderId="0" xfId="0" applyNumberFormat="1" applyFont="1">
      <alignment vertical="center"/>
    </xf>
    <xf numFmtId="164" fontId="27" fillId="2" borderId="0" xfId="1" applyNumberFormat="1" applyFont="1" applyFill="1" applyBorder="1" applyAlignment="1">
      <alignment horizontal="left" vertical="top"/>
    </xf>
    <xf numFmtId="164" fontId="27" fillId="2" borderId="0" xfId="1" applyNumberFormat="1" applyFont="1" applyFill="1" applyBorder="1" applyAlignment="1">
      <alignment vertical="top"/>
    </xf>
    <xf numFmtId="164" fontId="27" fillId="2" borderId="0" xfId="1" applyNumberFormat="1" applyFont="1" applyFill="1" applyAlignment="1">
      <alignment horizontal="left" vertical="top"/>
    </xf>
    <xf numFmtId="0" fontId="2" fillId="0" borderId="15" xfId="0" applyFont="1" applyBorder="1" applyAlignment="1">
      <alignment horizontal="left" vertical="center" wrapText="1"/>
    </xf>
    <xf numFmtId="0" fontId="12" fillId="0" borderId="30" xfId="0" applyFont="1" applyBorder="1" applyAlignment="1">
      <alignment horizontal="left" vertical="center"/>
    </xf>
    <xf numFmtId="164" fontId="12" fillId="0" borderId="26" xfId="1" applyNumberFormat="1" applyFont="1" applyBorder="1" applyAlignment="1">
      <alignment horizontal="center" vertical="center" wrapText="1"/>
    </xf>
    <xf numFmtId="164" fontId="12" fillId="0" borderId="26" xfId="1" applyNumberFormat="1" applyFont="1" applyBorder="1" applyAlignment="1">
      <alignment horizontal="right" vertical="center" wrapText="1"/>
    </xf>
    <xf numFmtId="0" fontId="12" fillId="0" borderId="28" xfId="0" applyFont="1" applyBorder="1" applyAlignment="1">
      <alignment horizontal="center" vertical="center"/>
    </xf>
    <xf numFmtId="176" fontId="2" fillId="2" borderId="24" xfId="0" applyNumberFormat="1" applyFont="1" applyFill="1" applyBorder="1" applyAlignment="1">
      <alignment horizontal="center" vertical="center"/>
    </xf>
    <xf numFmtId="176" fontId="2" fillId="0" borderId="22" xfId="0" applyNumberFormat="1" applyFont="1" applyBorder="1" applyAlignment="1">
      <alignment horizontal="center" vertical="center"/>
    </xf>
    <xf numFmtId="176" fontId="3" fillId="0" borderId="29" xfId="0" applyNumberFormat="1" applyFont="1" applyBorder="1" applyAlignment="1">
      <alignment horizontal="center" vertical="center"/>
    </xf>
    <xf numFmtId="176" fontId="2" fillId="2" borderId="26" xfId="1" applyNumberFormat="1" applyFont="1" applyFill="1" applyBorder="1" applyAlignment="1">
      <alignment horizontal="center" vertical="center" wrapText="1"/>
    </xf>
    <xf numFmtId="176" fontId="2" fillId="0" borderId="21" xfId="0" applyNumberFormat="1" applyFont="1" applyBorder="1" applyAlignment="1">
      <alignment horizontal="center" vertical="center"/>
    </xf>
    <xf numFmtId="176" fontId="27" fillId="3" borderId="0" xfId="1" applyNumberFormat="1" applyFont="1" applyFill="1" applyBorder="1" applyAlignment="1">
      <alignment vertical="top"/>
    </xf>
    <xf numFmtId="43" fontId="12" fillId="0" borderId="26" xfId="0" applyNumberFormat="1" applyFont="1" applyBorder="1" applyAlignment="1">
      <alignment horizontal="center" vertical="center" wrapText="1"/>
    </xf>
    <xf numFmtId="0" fontId="2" fillId="0" borderId="19" xfId="0" quotePrefix="1" applyFont="1" applyBorder="1" applyAlignment="1">
      <alignment horizontal="left" vertical="center"/>
    </xf>
    <xf numFmtId="0" fontId="2" fillId="0" borderId="15" xfId="0" quotePrefix="1" applyFont="1" applyBorder="1" applyAlignment="1">
      <alignment horizontal="left" vertical="center"/>
    </xf>
    <xf numFmtId="177" fontId="12" fillId="2" borderId="26" xfId="0" applyNumberFormat="1" applyFont="1" applyFill="1" applyBorder="1" applyAlignment="1">
      <alignment vertical="center" wrapText="1"/>
    </xf>
    <xf numFmtId="177" fontId="2" fillId="3" borderId="26" xfId="1" applyNumberFormat="1" applyFont="1" applyFill="1" applyBorder="1" applyAlignment="1">
      <alignment horizontal="center" vertical="center" wrapText="1"/>
    </xf>
    <xf numFmtId="177" fontId="12" fillId="2" borderId="26" xfId="0" applyNumberFormat="1" applyFont="1" applyFill="1" applyBorder="1" applyAlignment="1">
      <alignment horizontal="center" vertical="center"/>
    </xf>
    <xf numFmtId="0" fontId="12" fillId="4" borderId="25" xfId="0" applyFont="1" applyFill="1" applyBorder="1" applyAlignment="1">
      <alignment horizontal="center" vertical="center" wrapText="1"/>
    </xf>
    <xf numFmtId="0" fontId="12" fillId="4" borderId="25" xfId="0" applyFont="1" applyFill="1" applyBorder="1" applyAlignment="1">
      <alignment horizontal="center" vertical="center"/>
    </xf>
    <xf numFmtId="0" fontId="12" fillId="4" borderId="15" xfId="0" applyFont="1" applyFill="1" applyBorder="1" applyAlignment="1">
      <alignment horizontal="left" vertical="center"/>
    </xf>
    <xf numFmtId="0" fontId="12" fillId="4" borderId="7" xfId="0" applyFont="1" applyFill="1" applyBorder="1" applyAlignment="1">
      <alignment horizontal="center" vertical="center"/>
    </xf>
    <xf numFmtId="0" fontId="12" fillId="4" borderId="26" xfId="0" applyFont="1" applyFill="1" applyBorder="1" applyAlignment="1">
      <alignment horizontal="center" vertical="center" wrapText="1"/>
    </xf>
    <xf numFmtId="0" fontId="12" fillId="4" borderId="26" xfId="0" applyFont="1" applyFill="1" applyBorder="1" applyAlignment="1">
      <alignment horizontal="center" vertical="center"/>
    </xf>
    <xf numFmtId="164" fontId="12" fillId="4" borderId="26" xfId="1" applyNumberFormat="1" applyFont="1" applyFill="1" applyBorder="1" applyAlignment="1">
      <alignment horizontal="center" vertical="center" wrapText="1"/>
    </xf>
    <xf numFmtId="43" fontId="12" fillId="4" borderId="26" xfId="0" applyNumberFormat="1" applyFont="1" applyFill="1" applyBorder="1" applyAlignment="1">
      <alignment horizontal="center" vertical="center" wrapText="1"/>
    </xf>
    <xf numFmtId="0" fontId="12" fillId="4" borderId="0" xfId="0" applyFont="1" applyFill="1">
      <alignment vertical="center"/>
    </xf>
    <xf numFmtId="164" fontId="12" fillId="4" borderId="26" xfId="1" applyNumberFormat="1" applyFont="1" applyFill="1" applyBorder="1" applyAlignment="1">
      <alignment horizontal="right" vertical="center" wrapText="1"/>
    </xf>
    <xf numFmtId="0" fontId="58" fillId="4" borderId="0" xfId="0" applyFont="1" applyFill="1">
      <alignment vertical="center"/>
    </xf>
    <xf numFmtId="0" fontId="12" fillId="5" borderId="0" xfId="0" applyFont="1" applyFill="1">
      <alignment vertical="center"/>
    </xf>
    <xf numFmtId="0" fontId="12" fillId="2" borderId="25" xfId="0" applyFont="1" applyFill="1" applyBorder="1" applyAlignment="1">
      <alignment horizontal="center" vertical="center" wrapText="1"/>
    </xf>
    <xf numFmtId="0" fontId="12" fillId="2" borderId="25" xfId="0" applyFont="1" applyFill="1" applyBorder="1" applyAlignment="1">
      <alignment horizontal="center" vertical="center"/>
    </xf>
    <xf numFmtId="0" fontId="12" fillId="2" borderId="15" xfId="0" applyFont="1" applyFill="1" applyBorder="1" applyAlignment="1">
      <alignment horizontal="left" vertical="center"/>
    </xf>
    <xf numFmtId="0" fontId="12" fillId="2" borderId="7" xfId="0" applyFont="1" applyFill="1" applyBorder="1" applyAlignment="1">
      <alignment horizontal="center" vertical="center"/>
    </xf>
    <xf numFmtId="0" fontId="12" fillId="2" borderId="26" xfId="0" applyFont="1" applyFill="1" applyBorder="1" applyAlignment="1">
      <alignment horizontal="center" vertical="center" wrapText="1"/>
    </xf>
    <xf numFmtId="43" fontId="12" fillId="2" borderId="26" xfId="0" applyNumberFormat="1" applyFont="1" applyFill="1" applyBorder="1" applyAlignment="1">
      <alignment horizontal="center" vertical="center" wrapText="1"/>
    </xf>
    <xf numFmtId="0" fontId="58" fillId="2" borderId="0" xfId="0" applyFont="1" applyFill="1">
      <alignment vertical="center"/>
    </xf>
    <xf numFmtId="164" fontId="12" fillId="2" borderId="26" xfId="1" applyNumberFormat="1" applyFont="1" applyFill="1" applyBorder="1" applyAlignment="1">
      <alignment horizontal="right" vertical="center" wrapText="1"/>
    </xf>
    <xf numFmtId="0" fontId="12" fillId="0" borderId="10" xfId="0" applyFont="1" applyBorder="1" applyAlignment="1">
      <alignment horizontal="center" vertical="center"/>
    </xf>
    <xf numFmtId="0" fontId="51" fillId="2" borderId="0" xfId="0" applyFont="1" applyFill="1">
      <alignment vertical="center"/>
    </xf>
    <xf numFmtId="0" fontId="12" fillId="0" borderId="12" xfId="0" applyFont="1" applyBorder="1" applyAlignment="1">
      <alignment horizontal="center" vertical="center"/>
    </xf>
    <xf numFmtId="0" fontId="62" fillId="0" borderId="0" xfId="0" applyFont="1">
      <alignment vertical="center"/>
    </xf>
    <xf numFmtId="41" fontId="2" fillId="0" borderId="5" xfId="0" applyNumberFormat="1" applyFont="1" applyBorder="1" applyAlignment="1">
      <alignment vertical="center" wrapText="1"/>
    </xf>
    <xf numFmtId="0" fontId="51" fillId="2" borderId="14" xfId="0" applyFont="1" applyFill="1" applyBorder="1">
      <alignment vertical="center"/>
    </xf>
    <xf numFmtId="4" fontId="63" fillId="0" borderId="0" xfId="0" applyNumberFormat="1" applyFont="1">
      <alignment vertical="center"/>
    </xf>
    <xf numFmtId="0" fontId="2" fillId="0" borderId="23" xfId="0" applyFont="1" applyBorder="1" applyAlignment="1">
      <alignment horizontal="center" vertical="center"/>
    </xf>
    <xf numFmtId="41" fontId="3" fillId="0" borderId="26" xfId="0" applyNumberFormat="1" applyFont="1" applyBorder="1" applyAlignment="1">
      <alignment horizontal="center" vertical="center" wrapText="1"/>
    </xf>
    <xf numFmtId="164" fontId="2" fillId="2" borderId="23" xfId="1" applyNumberFormat="1" applyFont="1" applyFill="1" applyBorder="1" applyAlignment="1">
      <alignment horizontal="center" vertical="center"/>
    </xf>
    <xf numFmtId="164" fontId="2" fillId="0" borderId="11" xfId="1" applyNumberFormat="1" applyFont="1" applyFill="1" applyBorder="1" applyAlignment="1">
      <alignment horizontal="left" vertical="center"/>
    </xf>
    <xf numFmtId="41" fontId="2" fillId="0" borderId="20" xfId="1" applyFont="1" applyFill="1" applyBorder="1" applyAlignment="1">
      <alignment horizontal="left" vertical="center"/>
    </xf>
    <xf numFmtId="41" fontId="2" fillId="0" borderId="14" xfId="1" applyFont="1" applyFill="1" applyBorder="1" applyAlignment="1">
      <alignment horizontal="center" vertical="center"/>
    </xf>
    <xf numFmtId="0" fontId="12" fillId="4" borderId="30" xfId="0" applyFont="1" applyFill="1" applyBorder="1" applyAlignment="1">
      <alignment vertical="center" wrapText="1"/>
    </xf>
    <xf numFmtId="0" fontId="12" fillId="0" borderId="26" xfId="0" applyFont="1" applyBorder="1" applyAlignment="1">
      <alignment horizontal="left" vertical="center"/>
    </xf>
    <xf numFmtId="0" fontId="12" fillId="0" borderId="12" xfId="0" quotePrefix="1" applyFont="1" applyBorder="1" applyAlignment="1">
      <alignment horizontal="left" vertical="center" wrapText="1"/>
    </xf>
    <xf numFmtId="0" fontId="12" fillId="4" borderId="15" xfId="0" applyFont="1" applyFill="1" applyBorder="1" applyAlignment="1">
      <alignment horizontal="left" vertical="center" wrapText="1"/>
    </xf>
    <xf numFmtId="0" fontId="12" fillId="0" borderId="26" xfId="0" applyFont="1" applyBorder="1" applyAlignment="1">
      <alignment horizontal="left" vertical="center" wrapText="1"/>
    </xf>
    <xf numFmtId="164" fontId="12" fillId="0" borderId="26" xfId="1" applyNumberFormat="1" applyFont="1" applyFill="1" applyBorder="1" applyAlignment="1">
      <alignment horizontal="center" vertical="center" wrapText="1"/>
    </xf>
    <xf numFmtId="164" fontId="12" fillId="0" borderId="26" xfId="1" applyNumberFormat="1" applyFont="1" applyFill="1" applyBorder="1" applyAlignment="1">
      <alignment horizontal="right" vertical="center" wrapText="1"/>
    </xf>
    <xf numFmtId="164" fontId="12" fillId="0" borderId="0" xfId="1" applyNumberFormat="1" applyFont="1" applyFill="1">
      <alignment vertical="center"/>
    </xf>
    <xf numFmtId="176" fontId="12" fillId="0" borderId="26" xfId="1" applyNumberFormat="1" applyFont="1" applyFill="1" applyBorder="1" applyAlignment="1">
      <alignment horizontal="center" vertical="center" wrapText="1"/>
    </xf>
    <xf numFmtId="14" fontId="12" fillId="0" borderId="0" xfId="0" applyNumberFormat="1" applyFont="1">
      <alignment vertical="center"/>
    </xf>
    <xf numFmtId="0" fontId="12" fillId="0" borderId="26" xfId="0" applyFont="1" applyBorder="1" applyAlignment="1">
      <alignment vertical="center" wrapText="1"/>
    </xf>
    <xf numFmtId="9" fontId="12" fillId="0" borderId="0" xfId="0" applyNumberFormat="1" applyFont="1">
      <alignment vertical="center"/>
    </xf>
    <xf numFmtId="49" fontId="64" fillId="3" borderId="45" xfId="0" applyNumberFormat="1" applyFont="1" applyFill="1" applyBorder="1" applyAlignment="1">
      <alignment horizontal="center" vertical="center" wrapText="1"/>
    </xf>
    <xf numFmtId="49" fontId="64" fillId="3" borderId="45" xfId="0" applyNumberFormat="1" applyFont="1" applyFill="1" applyBorder="1" applyAlignment="1">
      <alignment horizontal="center" vertical="center"/>
    </xf>
    <xf numFmtId="49" fontId="12" fillId="3" borderId="45" xfId="0" applyNumberFormat="1" applyFont="1" applyFill="1" applyBorder="1" applyAlignment="1">
      <alignment horizontal="left" vertical="center"/>
    </xf>
    <xf numFmtId="49" fontId="12" fillId="3" borderId="46" xfId="0" applyNumberFormat="1" applyFont="1" applyFill="1" applyBorder="1" applyAlignment="1">
      <alignment horizontal="left" vertical="center"/>
    </xf>
    <xf numFmtId="49" fontId="12" fillId="3" borderId="45" xfId="0" applyNumberFormat="1" applyFont="1" applyFill="1" applyBorder="1" applyAlignment="1">
      <alignment horizontal="center" vertical="center"/>
    </xf>
    <xf numFmtId="49" fontId="12" fillId="3" borderId="46" xfId="0" applyNumberFormat="1" applyFont="1" applyFill="1" applyBorder="1" applyAlignment="1">
      <alignment horizontal="center" vertical="center"/>
    </xf>
    <xf numFmtId="37" fontId="12" fillId="0" borderId="0" xfId="0" applyNumberFormat="1" applyFont="1" applyAlignment="1">
      <alignment horizontal="center" vertical="center"/>
    </xf>
    <xf numFmtId="0" fontId="2" fillId="3" borderId="30" xfId="0" applyFont="1" applyFill="1" applyBorder="1" applyAlignment="1">
      <alignment horizontal="center" vertical="center" wrapText="1"/>
    </xf>
    <xf numFmtId="0" fontId="2" fillId="3" borderId="28" xfId="0" applyFont="1" applyFill="1" applyBorder="1" applyAlignment="1">
      <alignment horizontal="center" vertical="center" wrapText="1"/>
    </xf>
    <xf numFmtId="0" fontId="2" fillId="3" borderId="31" xfId="0" applyFont="1" applyFill="1" applyBorder="1" applyAlignment="1">
      <alignment horizontal="center" vertical="center" wrapText="1"/>
    </xf>
    <xf numFmtId="0" fontId="12" fillId="0" borderId="30" xfId="0" applyFont="1" applyBorder="1" applyAlignment="1">
      <alignment horizontal="left" vertical="center" wrapText="1"/>
    </xf>
    <xf numFmtId="0" fontId="12" fillId="0" borderId="31" xfId="0" applyFont="1" applyBorder="1" applyAlignment="1">
      <alignment horizontal="left" vertical="center" wrapText="1"/>
    </xf>
    <xf numFmtId="0" fontId="14" fillId="0" borderId="25" xfId="0" applyFont="1" applyBorder="1" applyAlignment="1">
      <alignment horizontal="center" vertical="center"/>
    </xf>
    <xf numFmtId="0" fontId="14" fillId="0" borderId="21" xfId="0" applyFont="1" applyBorder="1" applyAlignment="1">
      <alignment horizontal="center" vertical="center"/>
    </xf>
    <xf numFmtId="0" fontId="12" fillId="2" borderId="26" xfId="0" applyFont="1" applyFill="1" applyBorder="1" applyAlignment="1">
      <alignment horizontal="center" vertical="center"/>
    </xf>
    <xf numFmtId="0" fontId="14" fillId="0" borderId="25" xfId="0" applyFont="1" applyBorder="1" applyAlignment="1">
      <alignment horizontal="center" vertical="center" wrapText="1"/>
    </xf>
    <xf numFmtId="0" fontId="14" fillId="0" borderId="21" xfId="0" applyFont="1" applyBorder="1" applyAlignment="1">
      <alignment horizontal="center" vertical="center" wrapText="1"/>
    </xf>
    <xf numFmtId="0" fontId="18" fillId="0" borderId="0" xfId="0" applyFont="1" applyAlignment="1">
      <alignment horizontal="center" vertical="center"/>
    </xf>
    <xf numFmtId="0" fontId="12" fillId="0" borderId="0" xfId="0" applyFont="1" applyAlignment="1">
      <alignment horizontal="left" vertical="center" wrapText="1"/>
    </xf>
    <xf numFmtId="0" fontId="18" fillId="0" borderId="33" xfId="0" applyFont="1" applyBorder="1" applyAlignment="1">
      <alignment horizontal="center" vertical="center"/>
    </xf>
    <xf numFmtId="0" fontId="18" fillId="0" borderId="34" xfId="0" applyFont="1" applyBorder="1" applyAlignment="1">
      <alignment horizontal="center" vertical="center"/>
    </xf>
    <xf numFmtId="0" fontId="18" fillId="0" borderId="35" xfId="0" applyFont="1" applyBorder="1" applyAlignment="1">
      <alignment horizontal="center" vertical="center"/>
    </xf>
    <xf numFmtId="0" fontId="14" fillId="0" borderId="12" xfId="0" applyFont="1" applyBorder="1" applyAlignment="1">
      <alignment horizontal="center" vertical="center"/>
    </xf>
    <xf numFmtId="0" fontId="14" fillId="0" borderId="10" xfId="0" applyFont="1" applyBorder="1" applyAlignment="1">
      <alignment horizontal="center" vertical="center"/>
    </xf>
    <xf numFmtId="0" fontId="14" fillId="0" borderId="15" xfId="0" applyFont="1" applyBorder="1" applyAlignment="1">
      <alignment horizontal="center" vertical="center"/>
    </xf>
    <xf numFmtId="0" fontId="14" fillId="0" borderId="7"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28" xfId="0" applyFont="1" applyBorder="1" applyAlignment="1">
      <alignment horizontal="center" vertical="center"/>
    </xf>
    <xf numFmtId="14" fontId="2" fillId="2" borderId="7" xfId="3" applyNumberFormat="1" applyFont="1" applyFill="1" applyBorder="1" applyAlignment="1">
      <alignment horizontal="left" vertical="center"/>
    </xf>
    <xf numFmtId="14" fontId="2" fillId="2" borderId="20" xfId="3" applyNumberFormat="1" applyFont="1" applyFill="1" applyBorder="1" applyAlignment="1">
      <alignment horizontal="left" vertical="center"/>
    </xf>
    <xf numFmtId="41" fontId="2" fillId="0" borderId="0" xfId="0" applyNumberFormat="1" applyFont="1" applyAlignment="1">
      <alignment horizontal="left" vertical="center" wrapText="1"/>
    </xf>
    <xf numFmtId="41" fontId="2" fillId="0" borderId="5" xfId="0" applyNumberFormat="1" applyFont="1" applyBorder="1" applyAlignment="1">
      <alignment horizontal="left" vertical="center" wrapText="1"/>
    </xf>
    <xf numFmtId="0" fontId="34" fillId="0" borderId="0" xfId="0" applyFont="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17" fillId="2" borderId="0" xfId="2" applyFont="1" applyFill="1" applyAlignment="1">
      <alignment vertical="top" wrapText="1"/>
    </xf>
    <xf numFmtId="0" fontId="35" fillId="2" borderId="0" xfId="0" applyFont="1" applyFill="1" applyAlignment="1">
      <alignment vertical="top"/>
    </xf>
    <xf numFmtId="0" fontId="35" fillId="2" borderId="14" xfId="0" applyFont="1" applyFill="1" applyBorder="1" applyAlignment="1">
      <alignment vertical="top"/>
    </xf>
    <xf numFmtId="0" fontId="35" fillId="2" borderId="7" xfId="0" applyFont="1" applyFill="1" applyBorder="1" applyAlignment="1">
      <alignment vertical="top"/>
    </xf>
    <xf numFmtId="0" fontId="35" fillId="2" borderId="20" xfId="0" applyFont="1" applyFill="1" applyBorder="1" applyAlignment="1">
      <alignment vertical="top"/>
    </xf>
    <xf numFmtId="0" fontId="10" fillId="2" borderId="12" xfId="0" applyFont="1" applyFill="1" applyBorder="1" applyAlignment="1">
      <alignment horizontal="center" vertical="center"/>
    </xf>
    <xf numFmtId="0" fontId="10" fillId="2" borderId="10" xfId="0" applyFont="1" applyFill="1" applyBorder="1" applyAlignment="1">
      <alignment horizontal="center" vertical="center"/>
    </xf>
    <xf numFmtId="0" fontId="10" fillId="2" borderId="13" xfId="0" applyFont="1" applyFill="1" applyBorder="1" applyAlignment="1">
      <alignment horizontal="center" vertical="center"/>
    </xf>
    <xf numFmtId="0" fontId="3" fillId="2" borderId="0" xfId="0" applyFont="1" applyFill="1" applyAlignment="1">
      <alignment vertical="top" wrapText="1"/>
    </xf>
    <xf numFmtId="0" fontId="48" fillId="2" borderId="0" xfId="0" applyFont="1" applyFill="1" applyAlignment="1">
      <alignment vertical="top"/>
    </xf>
    <xf numFmtId="0" fontId="48" fillId="2" borderId="5" xfId="0" applyFont="1" applyFill="1" applyBorder="1" applyAlignment="1">
      <alignment vertical="top"/>
    </xf>
    <xf numFmtId="0" fontId="48" fillId="2" borderId="7" xfId="0" applyFont="1" applyFill="1" applyBorder="1" applyAlignment="1">
      <alignment vertical="top"/>
    </xf>
    <xf numFmtId="0" fontId="48" fillId="2" borderId="8" xfId="0" applyFont="1" applyFill="1" applyBorder="1" applyAlignment="1">
      <alignment vertical="top"/>
    </xf>
    <xf numFmtId="41" fontId="49" fillId="2" borderId="1" xfId="0" applyNumberFormat="1" applyFont="1" applyFill="1" applyBorder="1" applyAlignment="1">
      <alignment horizontal="center" vertical="center"/>
    </xf>
    <xf numFmtId="41" fontId="49" fillId="2" borderId="2" xfId="0" applyNumberFormat="1" applyFont="1" applyFill="1" applyBorder="1" applyAlignment="1">
      <alignment horizontal="center" vertical="center"/>
    </xf>
    <xf numFmtId="41" fontId="49" fillId="2" borderId="3" xfId="0" applyNumberFormat="1" applyFont="1" applyFill="1" applyBorder="1" applyAlignment="1">
      <alignment horizontal="center" vertical="center"/>
    </xf>
    <xf numFmtId="41" fontId="49" fillId="2" borderId="4" xfId="0" applyNumberFormat="1" applyFont="1" applyFill="1" applyBorder="1" applyAlignment="1">
      <alignment horizontal="center" vertical="center"/>
    </xf>
    <xf numFmtId="41" fontId="49" fillId="2" borderId="0" xfId="0" applyNumberFormat="1" applyFont="1" applyFill="1" applyAlignment="1">
      <alignment horizontal="center" vertical="center"/>
    </xf>
    <xf numFmtId="41" fontId="49" fillId="2" borderId="5" xfId="0" applyNumberFormat="1" applyFont="1" applyFill="1" applyBorder="1" applyAlignment="1">
      <alignment horizontal="center" vertical="center"/>
    </xf>
    <xf numFmtId="41" fontId="49" fillId="2" borderId="16" xfId="0" applyNumberFormat="1" applyFont="1" applyFill="1" applyBorder="1" applyAlignment="1">
      <alignment horizontal="center" vertical="center"/>
    </xf>
    <xf numFmtId="41" fontId="49" fillId="2" borderId="17" xfId="0" applyNumberFormat="1" applyFont="1" applyFill="1" applyBorder="1" applyAlignment="1">
      <alignment horizontal="center" vertical="center"/>
    </xf>
    <xf numFmtId="41" fontId="49" fillId="2" borderId="18" xfId="0" applyNumberFormat="1" applyFont="1" applyFill="1" applyBorder="1" applyAlignment="1">
      <alignment horizontal="center" vertical="center"/>
    </xf>
    <xf numFmtId="0" fontId="2" fillId="2" borderId="0" xfId="0" applyFont="1" applyFill="1" applyAlignment="1">
      <alignment vertical="top" wrapText="1"/>
    </xf>
    <xf numFmtId="0" fontId="50" fillId="2" borderId="0" xfId="0" applyFont="1" applyFill="1" applyAlignment="1">
      <alignment vertical="top"/>
    </xf>
    <xf numFmtId="0" fontId="50" fillId="2" borderId="14" xfId="0" applyFont="1" applyFill="1" applyBorder="1" applyAlignment="1">
      <alignment vertical="top"/>
    </xf>
    <xf numFmtId="0" fontId="50" fillId="2" borderId="7" xfId="0" applyFont="1" applyFill="1" applyBorder="1" applyAlignment="1">
      <alignment vertical="top"/>
    </xf>
    <xf numFmtId="0" fontId="50" fillId="2" borderId="20" xfId="0" applyFont="1" applyFill="1" applyBorder="1" applyAlignment="1">
      <alignment vertical="top"/>
    </xf>
    <xf numFmtId="0" fontId="2" fillId="2" borderId="0" xfId="0" applyFont="1" applyFill="1" applyAlignment="1">
      <alignment horizontal="left" vertical="center"/>
    </xf>
    <xf numFmtId="0" fontId="2" fillId="2" borderId="5" xfId="0" applyFont="1" applyFill="1" applyBorder="1" applyAlignment="1">
      <alignment horizontal="left" vertical="center"/>
    </xf>
    <xf numFmtId="0" fontId="2" fillId="2" borderId="0" xfId="0" applyFont="1" applyFill="1" applyAlignment="1">
      <alignment horizontal="left" vertical="top" wrapText="1"/>
    </xf>
    <xf numFmtId="0" fontId="2" fillId="2" borderId="5" xfId="0" applyFont="1" applyFill="1" applyBorder="1" applyAlignment="1">
      <alignment horizontal="left" vertical="top" wrapText="1"/>
    </xf>
    <xf numFmtId="41" fontId="2" fillId="2" borderId="0" xfId="0" applyNumberFormat="1" applyFont="1" applyFill="1" applyAlignment="1">
      <alignment horizontal="left" vertical="center" wrapText="1"/>
    </xf>
    <xf numFmtId="41" fontId="2" fillId="2" borderId="5" xfId="0" applyNumberFormat="1" applyFont="1" applyFill="1" applyBorder="1" applyAlignment="1">
      <alignment horizontal="left" vertical="center" wrapText="1"/>
    </xf>
    <xf numFmtId="0" fontId="3" fillId="0" borderId="10" xfId="0" applyFont="1" applyBorder="1" applyAlignment="1">
      <alignment horizontal="center" vertical="center"/>
    </xf>
    <xf numFmtId="0" fontId="3" fillId="0" borderId="7" xfId="0" applyFont="1" applyBorder="1" applyAlignment="1">
      <alignment horizontal="center" vertical="center"/>
    </xf>
    <xf numFmtId="41" fontId="2" fillId="2" borderId="10" xfId="0" applyNumberFormat="1" applyFont="1" applyFill="1" applyBorder="1" applyAlignment="1">
      <alignment horizontal="center" vertical="center"/>
    </xf>
    <xf numFmtId="0" fontId="2" fillId="0" borderId="0" xfId="0" applyFont="1" applyAlignment="1">
      <alignment horizontal="center" vertical="center" wrapText="1"/>
    </xf>
    <xf numFmtId="0" fontId="2" fillId="0" borderId="14" xfId="0" applyFont="1" applyBorder="1" applyAlignment="1">
      <alignment horizontal="center" vertical="center" wrapText="1"/>
    </xf>
    <xf numFmtId="0" fontId="2" fillId="0" borderId="7" xfId="0" applyFont="1" applyBorder="1" applyAlignment="1">
      <alignment horizontal="center" vertical="center" wrapText="1"/>
    </xf>
    <xf numFmtId="0" fontId="2" fillId="0" borderId="20" xfId="0" applyFont="1" applyBorder="1" applyAlignment="1">
      <alignment horizontal="center" vertical="center" wrapText="1"/>
    </xf>
    <xf numFmtId="0" fontId="3" fillId="0" borderId="6" xfId="0" applyFont="1" applyBorder="1" applyAlignment="1">
      <alignment horizontal="center" vertical="center"/>
    </xf>
    <xf numFmtId="0" fontId="3" fillId="0" borderId="20" xfId="0" applyFont="1" applyBorder="1" applyAlignment="1">
      <alignment horizontal="center" vertical="center"/>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14" xfId="0" applyFont="1" applyFill="1" applyBorder="1" applyAlignment="1">
      <alignment horizontal="center" vertical="center" wrapText="1"/>
    </xf>
    <xf numFmtId="41" fontId="14" fillId="0" borderId="10" xfId="0" applyNumberFormat="1" applyFont="1" applyBorder="1" applyAlignment="1">
      <alignment horizontal="center" vertical="center"/>
    </xf>
    <xf numFmtId="37" fontId="12" fillId="0" borderId="0" xfId="0" applyNumberFormat="1" applyFont="1" applyAlignment="1">
      <alignment horizontal="center" vertical="center"/>
    </xf>
    <xf numFmtId="15" fontId="12" fillId="0" borderId="0" xfId="0" applyNumberFormat="1" applyFont="1" applyAlignment="1">
      <alignment horizontal="center" vertical="center"/>
    </xf>
    <xf numFmtId="14" fontId="55" fillId="2" borderId="7" xfId="3" applyNumberFormat="1" applyFont="1" applyFill="1" applyBorder="1" applyAlignment="1">
      <alignment horizontal="left" vertical="center"/>
    </xf>
    <xf numFmtId="14" fontId="55" fillId="2" borderId="20" xfId="3" applyNumberFormat="1" applyFont="1" applyFill="1" applyBorder="1" applyAlignment="1">
      <alignment horizontal="left" vertical="center"/>
    </xf>
    <xf numFmtId="0" fontId="11" fillId="2" borderId="4" xfId="0" applyFont="1" applyFill="1" applyBorder="1" applyAlignment="1">
      <alignment horizontal="center" vertical="center" wrapText="1"/>
    </xf>
    <xf numFmtId="0" fontId="11" fillId="2" borderId="0" xfId="0" applyFont="1" applyFill="1" applyAlignment="1">
      <alignment horizontal="center" vertical="center" wrapText="1"/>
    </xf>
    <xf numFmtId="0" fontId="11" fillId="2" borderId="14" xfId="0" applyFont="1" applyFill="1" applyBorder="1" applyAlignment="1">
      <alignment horizontal="center" vertical="center" wrapText="1"/>
    </xf>
    <xf numFmtId="0" fontId="12" fillId="4" borderId="30" xfId="0" applyFont="1" applyFill="1" applyBorder="1" applyAlignment="1">
      <alignment horizontal="left" vertical="center" wrapText="1"/>
    </xf>
    <xf numFmtId="0" fontId="12" fillId="4" borderId="28" xfId="0" applyFont="1" applyFill="1" applyBorder="1" applyAlignment="1">
      <alignment horizontal="left" vertical="center" wrapText="1"/>
    </xf>
    <xf numFmtId="0" fontId="12" fillId="0" borderId="12" xfId="0" applyFont="1" applyBorder="1" applyAlignment="1">
      <alignment horizontal="center" vertical="center"/>
    </xf>
    <xf numFmtId="0" fontId="12" fillId="0" borderId="10" xfId="0" applyFont="1" applyBorder="1" applyAlignment="1">
      <alignment horizontal="center" vertical="center"/>
    </xf>
    <xf numFmtId="0" fontId="33" fillId="0" borderId="0" xfId="0" applyFont="1" applyAlignment="1">
      <alignment horizontal="left" vertical="center" wrapText="1"/>
    </xf>
    <xf numFmtId="0" fontId="34" fillId="0" borderId="0" xfId="0" applyFont="1" applyAlignment="1">
      <alignment horizontal="left" vertical="center" wrapText="1" indent="3"/>
    </xf>
    <xf numFmtId="0" fontId="0" fillId="0" borderId="0" xfId="0" applyAlignment="1">
      <alignment horizontal="left" vertical="center" wrapText="1" indent="3"/>
    </xf>
    <xf numFmtId="0" fontId="0" fillId="0" borderId="5" xfId="0" applyBorder="1" applyAlignment="1">
      <alignment horizontal="left" vertical="center" wrapText="1" indent="3"/>
    </xf>
    <xf numFmtId="41" fontId="3" fillId="0" borderId="30" xfId="0" applyNumberFormat="1" applyFont="1" applyBorder="1" applyAlignment="1">
      <alignment horizontal="center" vertical="center"/>
    </xf>
    <xf numFmtId="41" fontId="3" fillId="0" borderId="31" xfId="0" applyNumberFormat="1" applyFont="1" applyBorder="1" applyAlignment="1">
      <alignment horizontal="center" vertical="center"/>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3" fillId="2" borderId="27" xfId="0" applyFont="1" applyFill="1" applyBorder="1" applyAlignment="1">
      <alignment horizontal="center" vertical="center"/>
    </xf>
    <xf numFmtId="0" fontId="3" fillId="2" borderId="28" xfId="0" applyFont="1" applyFill="1" applyBorder="1" applyAlignment="1">
      <alignment horizontal="center" vertical="center"/>
    </xf>
    <xf numFmtId="0" fontId="15" fillId="2" borderId="10" xfId="0" applyFont="1" applyFill="1" applyBorder="1" applyAlignment="1">
      <alignment horizontal="center" vertical="center" wrapText="1"/>
    </xf>
    <xf numFmtId="0" fontId="15" fillId="2" borderId="11" xfId="0" applyFont="1" applyFill="1" applyBorder="1" applyAlignment="1">
      <alignment horizontal="center" vertical="center" wrapText="1"/>
    </xf>
    <xf numFmtId="0" fontId="51" fillId="2" borderId="0" xfId="0" applyFont="1" applyFill="1">
      <alignment vertical="center"/>
    </xf>
    <xf numFmtId="0" fontId="51" fillId="2" borderId="5" xfId="0" applyFont="1" applyFill="1" applyBorder="1">
      <alignment vertical="center"/>
    </xf>
    <xf numFmtId="0" fontId="56" fillId="2" borderId="0" xfId="0" applyFont="1" applyFill="1" applyAlignment="1">
      <alignment horizontal="center" vertical="center" wrapText="1"/>
    </xf>
    <xf numFmtId="0" fontId="56" fillId="2" borderId="14"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14"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3" fillId="0" borderId="30" xfId="0" applyFont="1" applyBorder="1" applyAlignment="1">
      <alignment horizontal="center" vertical="center"/>
    </xf>
    <xf numFmtId="0" fontId="3" fillId="0" borderId="28" xfId="0" applyFont="1" applyBorder="1" applyAlignment="1">
      <alignment horizontal="center" vertical="center"/>
    </xf>
    <xf numFmtId="0" fontId="3" fillId="0" borderId="31" xfId="0" applyFont="1" applyBorder="1" applyAlignment="1">
      <alignment horizontal="center" vertical="center"/>
    </xf>
    <xf numFmtId="0" fontId="2" fillId="0" borderId="0" xfId="0" applyFont="1" applyAlignment="1">
      <alignment horizontal="left" vertical="center" wrapText="1"/>
    </xf>
    <xf numFmtId="0" fontId="3" fillId="0" borderId="25"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5" xfId="0" applyFont="1" applyBorder="1" applyAlignment="1">
      <alignment horizontal="center" vertical="center"/>
    </xf>
    <xf numFmtId="0" fontId="3" fillId="0" borderId="21" xfId="0" applyFont="1" applyBorder="1" applyAlignment="1">
      <alignment horizontal="center" vertical="center"/>
    </xf>
    <xf numFmtId="0" fontId="3" fillId="0" borderId="12" xfId="0" applyFont="1" applyBorder="1" applyAlignment="1">
      <alignment horizontal="center" vertical="center"/>
    </xf>
    <xf numFmtId="0" fontId="3" fillId="0" borderId="15" xfId="0" applyFont="1" applyBorder="1" applyAlignment="1">
      <alignment horizontal="center" vertical="center"/>
    </xf>
    <xf numFmtId="0" fontId="3" fillId="2" borderId="25"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4" fillId="0" borderId="33" xfId="0" applyFont="1" applyBorder="1" applyAlignment="1">
      <alignment horizontal="center" vertical="center"/>
    </xf>
    <xf numFmtId="0" fontId="4" fillId="0" borderId="34" xfId="0" applyFont="1" applyBorder="1" applyAlignment="1">
      <alignment horizontal="center" vertical="center"/>
    </xf>
    <xf numFmtId="0" fontId="4" fillId="0" borderId="35" xfId="0" applyFont="1" applyBorder="1" applyAlignment="1">
      <alignment horizontal="center" vertical="center"/>
    </xf>
    <xf numFmtId="0" fontId="27" fillId="2" borderId="0" xfId="6" applyFont="1" applyFill="1" applyAlignment="1">
      <alignment horizontal="left" vertical="top" wrapText="1"/>
    </xf>
    <xf numFmtId="0" fontId="27" fillId="2" borderId="14" xfId="6" applyFont="1" applyFill="1" applyBorder="1" applyAlignment="1">
      <alignment horizontal="left" vertical="top" wrapText="1"/>
    </xf>
    <xf numFmtId="0" fontId="27" fillId="3" borderId="0" xfId="6" applyFont="1" applyFill="1" applyAlignment="1">
      <alignment horizontal="left" vertical="top" wrapText="1"/>
    </xf>
    <xf numFmtId="0" fontId="27" fillId="3" borderId="14" xfId="6" applyFont="1" applyFill="1" applyBorder="1" applyAlignment="1">
      <alignment horizontal="left" vertical="top" wrapText="1"/>
    </xf>
    <xf numFmtId="0" fontId="26" fillId="2" borderId="17" xfId="6" applyFont="1" applyFill="1" applyBorder="1" applyAlignment="1">
      <alignment horizontal="center" vertical="center"/>
    </xf>
    <xf numFmtId="0" fontId="28" fillId="2" borderId="1" xfId="6" applyFont="1" applyFill="1" applyBorder="1" applyAlignment="1">
      <alignment horizontal="center" vertical="center" wrapText="1"/>
    </xf>
    <xf numFmtId="0" fontId="28" fillId="2" borderId="2" xfId="6" applyFont="1" applyFill="1" applyBorder="1" applyAlignment="1">
      <alignment horizontal="center" vertical="center" wrapText="1"/>
    </xf>
    <xf numFmtId="0" fontId="28" fillId="2" borderId="3" xfId="6" applyFont="1" applyFill="1" applyBorder="1" applyAlignment="1">
      <alignment horizontal="center" vertical="center" wrapText="1"/>
    </xf>
    <xf numFmtId="0" fontId="28" fillId="2" borderId="6" xfId="6" applyFont="1" applyFill="1" applyBorder="1" applyAlignment="1">
      <alignment horizontal="center" vertical="center" wrapText="1"/>
    </xf>
    <xf numFmtId="0" fontId="28" fillId="2" borderId="7" xfId="6" applyFont="1" applyFill="1" applyBorder="1" applyAlignment="1">
      <alignment horizontal="center" vertical="center" wrapText="1"/>
    </xf>
    <xf numFmtId="0" fontId="28" fillId="2" borderId="8" xfId="6" applyFont="1" applyFill="1" applyBorder="1" applyAlignment="1">
      <alignment horizontal="center" vertical="center" wrapText="1"/>
    </xf>
    <xf numFmtId="0" fontId="27" fillId="2" borderId="10" xfId="6" applyFont="1" applyFill="1" applyBorder="1" applyAlignment="1">
      <alignment horizontal="left" vertical="top" wrapText="1"/>
    </xf>
    <xf numFmtId="0" fontId="27" fillId="2" borderId="10" xfId="6" applyFont="1" applyFill="1" applyBorder="1" applyAlignment="1">
      <alignment horizontal="left" vertical="top"/>
    </xf>
    <xf numFmtId="0" fontId="27" fillId="2" borderId="11" xfId="6" applyFont="1" applyFill="1" applyBorder="1" applyAlignment="1">
      <alignment horizontal="left" vertical="top"/>
    </xf>
    <xf numFmtId="0" fontId="45" fillId="0" borderId="0" xfId="0" applyFont="1" applyAlignment="1">
      <alignment horizontal="center" vertical="center"/>
    </xf>
    <xf numFmtId="0" fontId="39" fillId="0" borderId="36" xfId="0" applyFont="1" applyBorder="1" applyAlignment="1">
      <alignment horizontal="center" vertical="center"/>
    </xf>
    <xf numFmtId="0" fontId="39" fillId="0" borderId="43" xfId="0" applyFont="1" applyBorder="1" applyAlignment="1">
      <alignment horizontal="center" vertical="center"/>
    </xf>
    <xf numFmtId="0" fontId="39" fillId="0" borderId="37" xfId="0" applyFont="1" applyBorder="1" applyAlignment="1">
      <alignment horizontal="center" vertical="center" wrapText="1"/>
    </xf>
    <xf numFmtId="0" fontId="39" fillId="0" borderId="21" xfId="0" applyFont="1" applyBorder="1" applyAlignment="1">
      <alignment horizontal="center" vertical="center" wrapText="1"/>
    </xf>
    <xf numFmtId="41" fontId="39" fillId="0" borderId="38" xfId="1" applyFont="1" applyFill="1" applyBorder="1" applyAlignment="1">
      <alignment horizontal="center" vertical="center" wrapText="1"/>
    </xf>
    <xf numFmtId="41" fontId="39" fillId="0" borderId="39" xfId="1" applyFont="1" applyFill="1" applyBorder="1" applyAlignment="1">
      <alignment horizontal="center" vertical="center" wrapText="1"/>
    </xf>
    <xf numFmtId="173" fontId="39" fillId="0" borderId="40" xfId="0" applyNumberFormat="1" applyFont="1" applyBorder="1" applyAlignment="1">
      <alignment horizontal="center" vertical="center" wrapText="1"/>
    </xf>
    <xf numFmtId="173" fontId="39" fillId="0" borderId="41" xfId="0" applyNumberFormat="1" applyFont="1" applyBorder="1" applyAlignment="1">
      <alignment horizontal="center" vertical="center" wrapText="1"/>
    </xf>
    <xf numFmtId="0" fontId="39" fillId="0" borderId="42" xfId="0" applyFont="1" applyBorder="1" applyAlignment="1">
      <alignment horizontal="center" vertical="center" wrapText="1"/>
    </xf>
    <xf numFmtId="0" fontId="39" fillId="0" borderId="22" xfId="0" applyFont="1" applyBorder="1" applyAlignment="1">
      <alignment horizontal="center" vertical="center" wrapText="1"/>
    </xf>
  </cellXfs>
  <cellStyles count="18">
    <cellStyle name="Bình thường" xfId="0" builtinId="0"/>
    <cellStyle name="Comma" xfId="11" xr:uid="{00000000-0005-0000-0000-000000000000}"/>
    <cellStyle name="Dấu phẩy [0]" xfId="1" builtinId="6"/>
    <cellStyle name="Normal 3" xfId="8" xr:uid="{00000000-0005-0000-0000-000001000000}"/>
    <cellStyle name="Siêu kết nối" xfId="9" builtinId="8"/>
    <cellStyle name="쉼표 [0] 2" xfId="13" xr:uid="{FFAAFFB0-FAF1-427A-BBA3-FD407B2511F7}"/>
    <cellStyle name="쉼표 [0] 3" xfId="15" xr:uid="{AE01B983-4958-42E6-948C-29AF2BB81653}"/>
    <cellStyle name="쉼표 [0] 6" xfId="5" xr:uid="{00000000-0005-0000-0000-000003000000}"/>
    <cellStyle name="쉼표 [0] 6 2" xfId="16" xr:uid="{62DCA4DD-9189-4C88-8EEF-B562A1B78E72}"/>
    <cellStyle name="표준 2" xfId="12" xr:uid="{6B862A99-229E-4440-9BB5-FB9BEC2FAD2C}"/>
    <cellStyle name="표준 6" xfId="4" xr:uid="{00000000-0005-0000-0000-000005000000}"/>
    <cellStyle name="표준_080407 3항차 final packing List(r3)통합" xfId="10" xr:uid="{00000000-0005-0000-0000-000006000000}"/>
    <cellStyle name="표준_Cirebon Grating Pk'g list(서흥)_080910_final" xfId="6" xr:uid="{00000000-0005-0000-0000-000007000000}"/>
    <cellStyle name="표준_PACKINGLIST (철골_1항차)" xfId="7" xr:uid="{00000000-0005-0000-0000-000008000000}"/>
    <cellStyle name="표준_STG-PKL" xfId="3" xr:uid="{00000000-0005-0000-0000-00000A000000}"/>
    <cellStyle name="標準 2 2" xfId="14" xr:uid="{CD26FAEC-63F9-4676-B70B-0D79E265C23C}"/>
    <cellStyle name="標準_②PPL詳細・荷姿図" xfId="17" xr:uid="{FB91CD18-3A7A-47BA-8B5D-BE3907D4BFF6}"/>
    <cellStyle name="標準_Proforma PL cirebon 2" xfId="2" xr:uid="{00000000-0005-0000-0000-000009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4</xdr:col>
      <xdr:colOff>0</xdr:colOff>
      <xdr:row>0</xdr:row>
      <xdr:rowOff>93672</xdr:rowOff>
    </xdr:from>
    <xdr:to>
      <xdr:col>11</xdr:col>
      <xdr:colOff>686037</xdr:colOff>
      <xdr:row>3</xdr:row>
      <xdr:rowOff>57150</xdr:rowOff>
    </xdr:to>
    <xdr:sp macro="" textlink="">
      <xdr:nvSpPr>
        <xdr:cNvPr id="2" name="TextBox 1">
          <a:extLst>
            <a:ext uri="{FF2B5EF4-FFF2-40B4-BE49-F238E27FC236}">
              <a16:creationId xmlns:a16="http://schemas.microsoft.com/office/drawing/2014/main" id="{6584CCFB-2574-40A6-8EA7-6BBA589B4CA7}"/>
            </a:ext>
          </a:extLst>
        </xdr:cNvPr>
        <xdr:cNvSpPr txBox="1"/>
      </xdr:nvSpPr>
      <xdr:spPr>
        <a:xfrm>
          <a:off x="4153302" y="93672"/>
          <a:ext cx="5162385" cy="458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600" b="1" u="sng"/>
            <a:t>BREAK DOWN of COMMERCIAL INVOICE</a:t>
          </a:r>
          <a:endParaRPr lang="ko-KR" altLang="en-US" sz="1600" b="1" u="sng"/>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93672</xdr:rowOff>
    </xdr:from>
    <xdr:to>
      <xdr:col>10</xdr:col>
      <xdr:colOff>686037</xdr:colOff>
      <xdr:row>3</xdr:row>
      <xdr:rowOff>57150</xdr:rowOff>
    </xdr:to>
    <xdr:sp macro="" textlink="">
      <xdr:nvSpPr>
        <xdr:cNvPr id="2" name="TextBox 1">
          <a:extLst>
            <a:ext uri="{FF2B5EF4-FFF2-40B4-BE49-F238E27FC236}">
              <a16:creationId xmlns:a16="http://schemas.microsoft.com/office/drawing/2014/main" id="{98116AAC-B047-4037-A531-E521C78ED815}"/>
            </a:ext>
          </a:extLst>
        </xdr:cNvPr>
        <xdr:cNvSpPr txBox="1"/>
      </xdr:nvSpPr>
      <xdr:spPr>
        <a:xfrm>
          <a:off x="4876800" y="93672"/>
          <a:ext cx="9449037" cy="458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600" b="1" u="sng"/>
            <a:t>BREAK DOWN of COMMERCIAL INVOICE</a:t>
          </a:r>
          <a:endParaRPr lang="ko-KR" altLang="en-US" sz="1600" b="1" u="sng"/>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1</xdr:row>
      <xdr:rowOff>3969</xdr:rowOff>
    </xdr:from>
    <xdr:to>
      <xdr:col>2</xdr:col>
      <xdr:colOff>1507636</xdr:colOff>
      <xdr:row>1</xdr:row>
      <xdr:rowOff>286544</xdr:rowOff>
    </xdr:to>
    <xdr:pic>
      <xdr:nvPicPr>
        <xdr:cNvPr id="2" name="그림 2">
          <a:extLst>
            <a:ext uri="{FF2B5EF4-FFF2-40B4-BE49-F238E27FC236}">
              <a16:creationId xmlns:a16="http://schemas.microsoft.com/office/drawing/2014/main" id="{A8E7A8E0-A754-4482-AF74-876E703A6BF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400050" y="118269"/>
          <a:ext cx="1508271" cy="276225"/>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21</xdr:col>
      <xdr:colOff>2569396</xdr:colOff>
      <xdr:row>1</xdr:row>
      <xdr:rowOff>55880</xdr:rowOff>
    </xdr:from>
    <xdr:to>
      <xdr:col>22</xdr:col>
      <xdr:colOff>439341</xdr:colOff>
      <xdr:row>2</xdr:row>
      <xdr:rowOff>36512</xdr:rowOff>
    </xdr:to>
    <xdr:pic>
      <xdr:nvPicPr>
        <xdr:cNvPr id="3" name="Picture 2">
          <a:extLst>
            <a:ext uri="{FF2B5EF4-FFF2-40B4-BE49-F238E27FC236}">
              <a16:creationId xmlns:a16="http://schemas.microsoft.com/office/drawing/2014/main" id="{92708511-8760-4245-8514-006096CE83F1}"/>
            </a:ext>
          </a:extLst>
        </xdr:cNvPr>
        <xdr:cNvPicPr>
          <a:picLocks noChangeAspect="1"/>
        </xdr:cNvPicPr>
      </xdr:nvPicPr>
      <xdr:blipFill>
        <a:blip xmlns:r="http://schemas.openxmlformats.org/officeDocument/2006/relationships" r:embed="rId2"/>
        <a:stretch>
          <a:fillRect/>
        </a:stretch>
      </xdr:blipFill>
      <xdr:spPr>
        <a:xfrm>
          <a:off x="18911575" y="164737"/>
          <a:ext cx="972373" cy="30720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0</xdr:row>
      <xdr:rowOff>181769</xdr:rowOff>
    </xdr:from>
    <xdr:to>
      <xdr:col>1</xdr:col>
      <xdr:colOff>1427626</xdr:colOff>
      <xdr:row>1</xdr:row>
      <xdr:rowOff>173832</xdr:rowOff>
    </xdr:to>
    <xdr:pic>
      <xdr:nvPicPr>
        <xdr:cNvPr id="2" name="그림 2">
          <a:extLst>
            <a:ext uri="{FF2B5EF4-FFF2-40B4-BE49-F238E27FC236}">
              <a16:creationId xmlns:a16="http://schemas.microsoft.com/office/drawing/2014/main" id="{B570963C-6ACB-46BD-92E1-A017E14A536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57150" y="181769"/>
          <a:ext cx="1491126" cy="271463"/>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9</xdr:col>
      <xdr:colOff>327023</xdr:colOff>
      <xdr:row>0</xdr:row>
      <xdr:rowOff>247650</xdr:rowOff>
    </xdr:from>
    <xdr:to>
      <xdr:col>10</xdr:col>
      <xdr:colOff>511123</xdr:colOff>
      <xdr:row>2</xdr:row>
      <xdr:rowOff>17145</xdr:rowOff>
    </xdr:to>
    <xdr:pic>
      <xdr:nvPicPr>
        <xdr:cNvPr id="3" name="Picture 2">
          <a:extLst>
            <a:ext uri="{FF2B5EF4-FFF2-40B4-BE49-F238E27FC236}">
              <a16:creationId xmlns:a16="http://schemas.microsoft.com/office/drawing/2014/main" id="{41D4129C-AD1E-4D45-81FD-64C816E0FEC8}"/>
            </a:ext>
          </a:extLst>
        </xdr:cNvPr>
        <xdr:cNvPicPr>
          <a:picLocks noChangeAspect="1"/>
        </xdr:cNvPicPr>
      </xdr:nvPicPr>
      <xdr:blipFill>
        <a:blip xmlns:r="http://schemas.openxmlformats.org/officeDocument/2006/relationships" r:embed="rId2"/>
        <a:stretch>
          <a:fillRect/>
        </a:stretch>
      </xdr:blipFill>
      <xdr:spPr>
        <a:xfrm>
          <a:off x="7267573" y="247650"/>
          <a:ext cx="1015951" cy="328295"/>
        </a:xfrm>
        <a:prstGeom prst="rect">
          <a:avLst/>
        </a:prstGeom>
      </xdr:spPr>
    </xdr:pic>
    <xdr:clientData/>
  </xdr:twoCellAnchor>
  <xdr:twoCellAnchor editAs="oneCell">
    <xdr:from>
      <xdr:col>7</xdr:col>
      <xdr:colOff>66675</xdr:colOff>
      <xdr:row>38</xdr:row>
      <xdr:rowOff>38100</xdr:rowOff>
    </xdr:from>
    <xdr:to>
      <xdr:col>9</xdr:col>
      <xdr:colOff>407640</xdr:colOff>
      <xdr:row>43</xdr:row>
      <xdr:rowOff>130384</xdr:rowOff>
    </xdr:to>
    <xdr:pic>
      <xdr:nvPicPr>
        <xdr:cNvPr id="4" name="그림 4">
          <a:extLst>
            <a:ext uri="{FF2B5EF4-FFF2-40B4-BE49-F238E27FC236}">
              <a16:creationId xmlns:a16="http://schemas.microsoft.com/office/drawing/2014/main" id="{87AB7B8E-576F-4E78-85A8-816E8B8B7780}"/>
            </a:ext>
          </a:extLst>
        </xdr:cNvPr>
        <xdr:cNvPicPr>
          <a:picLocks noChangeAspect="1"/>
        </xdr:cNvPicPr>
      </xdr:nvPicPr>
      <xdr:blipFill>
        <a:blip xmlns:r="http://schemas.openxmlformats.org/officeDocument/2006/relationships" r:embed="rId3"/>
        <a:stretch>
          <a:fillRect/>
        </a:stretch>
      </xdr:blipFill>
      <xdr:spPr>
        <a:xfrm>
          <a:off x="5591175" y="9626600"/>
          <a:ext cx="1828452" cy="98128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0</xdr:row>
      <xdr:rowOff>181769</xdr:rowOff>
    </xdr:from>
    <xdr:to>
      <xdr:col>1</xdr:col>
      <xdr:colOff>1427626</xdr:colOff>
      <xdr:row>1</xdr:row>
      <xdr:rowOff>173832</xdr:rowOff>
    </xdr:to>
    <xdr:pic>
      <xdr:nvPicPr>
        <xdr:cNvPr id="2" name="그림 2">
          <a:extLst>
            <a:ext uri="{FF2B5EF4-FFF2-40B4-BE49-F238E27FC236}">
              <a16:creationId xmlns:a16="http://schemas.microsoft.com/office/drawing/2014/main" id="{27CA2308-17CA-4D43-B181-58F345A242B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57150" y="181769"/>
          <a:ext cx="1510811" cy="272733"/>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9</xdr:col>
      <xdr:colOff>327023</xdr:colOff>
      <xdr:row>0</xdr:row>
      <xdr:rowOff>247650</xdr:rowOff>
    </xdr:from>
    <xdr:to>
      <xdr:col>10</xdr:col>
      <xdr:colOff>511124</xdr:colOff>
      <xdr:row>2</xdr:row>
      <xdr:rowOff>17145</xdr:rowOff>
    </xdr:to>
    <xdr:pic>
      <xdr:nvPicPr>
        <xdr:cNvPr id="3" name="Picture 2">
          <a:extLst>
            <a:ext uri="{FF2B5EF4-FFF2-40B4-BE49-F238E27FC236}">
              <a16:creationId xmlns:a16="http://schemas.microsoft.com/office/drawing/2014/main" id="{C95DA5F6-69D3-43AF-BC51-61335CF238DA}"/>
            </a:ext>
          </a:extLst>
        </xdr:cNvPr>
        <xdr:cNvPicPr>
          <a:picLocks noChangeAspect="1"/>
        </xdr:cNvPicPr>
      </xdr:nvPicPr>
      <xdr:blipFill>
        <a:blip xmlns:r="http://schemas.openxmlformats.org/officeDocument/2006/relationships" r:embed="rId2"/>
        <a:stretch>
          <a:fillRect/>
        </a:stretch>
      </xdr:blipFill>
      <xdr:spPr>
        <a:xfrm>
          <a:off x="6979283" y="247650"/>
          <a:ext cx="1008966" cy="332740"/>
        </a:xfrm>
        <a:prstGeom prst="rect">
          <a:avLst/>
        </a:prstGeom>
      </xdr:spPr>
    </xdr:pic>
    <xdr:clientData/>
  </xdr:twoCellAnchor>
  <xdr:twoCellAnchor editAs="oneCell">
    <xdr:from>
      <xdr:col>7</xdr:col>
      <xdr:colOff>66675</xdr:colOff>
      <xdr:row>38</xdr:row>
      <xdr:rowOff>38100</xdr:rowOff>
    </xdr:from>
    <xdr:to>
      <xdr:col>9</xdr:col>
      <xdr:colOff>479077</xdr:colOff>
      <xdr:row>43</xdr:row>
      <xdr:rowOff>130384</xdr:rowOff>
    </xdr:to>
    <xdr:pic>
      <xdr:nvPicPr>
        <xdr:cNvPr id="5" name="그림 4">
          <a:extLst>
            <a:ext uri="{FF2B5EF4-FFF2-40B4-BE49-F238E27FC236}">
              <a16:creationId xmlns:a16="http://schemas.microsoft.com/office/drawing/2014/main" id="{06E43351-736E-47EE-800A-C326178C3A3D}"/>
            </a:ext>
          </a:extLst>
        </xdr:cNvPr>
        <xdr:cNvPicPr>
          <a:picLocks noChangeAspect="1"/>
        </xdr:cNvPicPr>
      </xdr:nvPicPr>
      <xdr:blipFill>
        <a:blip xmlns:r="http://schemas.openxmlformats.org/officeDocument/2006/relationships" r:embed="rId3"/>
        <a:stretch>
          <a:fillRect/>
        </a:stretch>
      </xdr:blipFill>
      <xdr:spPr>
        <a:xfrm>
          <a:off x="5248275" y="11020425"/>
          <a:ext cx="1839247" cy="9457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495702</xdr:colOff>
      <xdr:row>0</xdr:row>
      <xdr:rowOff>93672</xdr:rowOff>
    </xdr:from>
    <xdr:to>
      <xdr:col>9</xdr:col>
      <xdr:colOff>686037</xdr:colOff>
      <xdr:row>3</xdr:row>
      <xdr:rowOff>57150</xdr:rowOff>
    </xdr:to>
    <xdr:sp macro="" textlink="">
      <xdr:nvSpPr>
        <xdr:cNvPr id="2" name="TextBox 1">
          <a:extLst>
            <a:ext uri="{FF2B5EF4-FFF2-40B4-BE49-F238E27FC236}">
              <a16:creationId xmlns:a16="http://schemas.microsoft.com/office/drawing/2014/main" id="{95090C1D-DA60-4539-A22B-737534BEB39F}"/>
            </a:ext>
          </a:extLst>
        </xdr:cNvPr>
        <xdr:cNvSpPr txBox="1"/>
      </xdr:nvSpPr>
      <xdr:spPr>
        <a:xfrm>
          <a:off x="4153302" y="93672"/>
          <a:ext cx="5152860" cy="477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600" b="1" u="sng"/>
            <a:t>BREAK DOWN of COMMERCIAL INVOICE</a:t>
          </a:r>
          <a:endParaRPr lang="ko-KR" altLang="en-US" sz="1600" b="1" u="sng"/>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76200</xdr:colOff>
      <xdr:row>0</xdr:row>
      <xdr:rowOff>118269</xdr:rowOff>
    </xdr:from>
    <xdr:to>
      <xdr:col>1</xdr:col>
      <xdr:colOff>1427626</xdr:colOff>
      <xdr:row>1</xdr:row>
      <xdr:rowOff>130334</xdr:rowOff>
    </xdr:to>
    <xdr:pic>
      <xdr:nvPicPr>
        <xdr:cNvPr id="2" name="그림 2">
          <a:extLst>
            <a:ext uri="{FF2B5EF4-FFF2-40B4-BE49-F238E27FC236}">
              <a16:creationId xmlns:a16="http://schemas.microsoft.com/office/drawing/2014/main" id="{EE735AB2-DA11-45E9-BFF6-D446C78AB92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76200" y="118269"/>
          <a:ext cx="1486874" cy="281609"/>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9</xdr:col>
      <xdr:colOff>449633</xdr:colOff>
      <xdr:row>0</xdr:row>
      <xdr:rowOff>187187</xdr:rowOff>
    </xdr:from>
    <xdr:to>
      <xdr:col>10</xdr:col>
      <xdr:colOff>605847</xdr:colOff>
      <xdr:row>1</xdr:row>
      <xdr:rowOff>210999</xdr:rowOff>
    </xdr:to>
    <xdr:pic>
      <xdr:nvPicPr>
        <xdr:cNvPr id="3" name="Picture 2">
          <a:extLst>
            <a:ext uri="{FF2B5EF4-FFF2-40B4-BE49-F238E27FC236}">
              <a16:creationId xmlns:a16="http://schemas.microsoft.com/office/drawing/2014/main" id="{A341C86E-6CD9-43A1-80BE-F58BD5375AD8}"/>
            </a:ext>
          </a:extLst>
        </xdr:cNvPr>
        <xdr:cNvPicPr>
          <a:picLocks noChangeAspect="1"/>
        </xdr:cNvPicPr>
      </xdr:nvPicPr>
      <xdr:blipFill>
        <a:blip xmlns:r="http://schemas.openxmlformats.org/officeDocument/2006/relationships" r:embed="rId2"/>
        <a:stretch>
          <a:fillRect/>
        </a:stretch>
      </xdr:blipFill>
      <xdr:spPr>
        <a:xfrm>
          <a:off x="7698158" y="187187"/>
          <a:ext cx="889639" cy="305752"/>
        </a:xfrm>
        <a:prstGeom prst="rect">
          <a:avLst/>
        </a:prstGeom>
      </xdr:spPr>
    </xdr:pic>
    <xdr:clientData/>
  </xdr:twoCellAnchor>
  <xdr:twoCellAnchor editAs="oneCell">
    <xdr:from>
      <xdr:col>7</xdr:col>
      <xdr:colOff>93345</xdr:colOff>
      <xdr:row>42</xdr:row>
      <xdr:rowOff>45722</xdr:rowOff>
    </xdr:from>
    <xdr:to>
      <xdr:col>9</xdr:col>
      <xdr:colOff>306819</xdr:colOff>
      <xdr:row>47</xdr:row>
      <xdr:rowOff>94564</xdr:rowOff>
    </xdr:to>
    <xdr:pic>
      <xdr:nvPicPr>
        <xdr:cNvPr id="5" name="그림 4">
          <a:extLst>
            <a:ext uri="{FF2B5EF4-FFF2-40B4-BE49-F238E27FC236}">
              <a16:creationId xmlns:a16="http://schemas.microsoft.com/office/drawing/2014/main" id="{E6B4D181-27B0-4F3A-A494-3BBD45AED036}"/>
            </a:ext>
          </a:extLst>
        </xdr:cNvPr>
        <xdr:cNvPicPr>
          <a:picLocks noChangeAspect="1"/>
        </xdr:cNvPicPr>
      </xdr:nvPicPr>
      <xdr:blipFill>
        <a:blip xmlns:r="http://schemas.openxmlformats.org/officeDocument/2006/relationships" r:embed="rId3"/>
        <a:stretch>
          <a:fillRect/>
        </a:stretch>
      </xdr:blipFill>
      <xdr:spPr>
        <a:xfrm>
          <a:off x="5713095" y="11118535"/>
          <a:ext cx="1832724" cy="93561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0</xdr:colOff>
      <xdr:row>1</xdr:row>
      <xdr:rowOff>3969</xdr:rowOff>
    </xdr:from>
    <xdr:to>
      <xdr:col>2</xdr:col>
      <xdr:colOff>1507001</xdr:colOff>
      <xdr:row>1</xdr:row>
      <xdr:rowOff>287179</xdr:rowOff>
    </xdr:to>
    <xdr:pic>
      <xdr:nvPicPr>
        <xdr:cNvPr id="2" name="그림 2">
          <a:extLst>
            <a:ext uri="{FF2B5EF4-FFF2-40B4-BE49-F238E27FC236}">
              <a16:creationId xmlns:a16="http://schemas.microsoft.com/office/drawing/2014/main" id="{043A71AE-9FDB-4AFE-8BA5-7F72736D887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400050" y="118269"/>
          <a:ext cx="1508271" cy="276225"/>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18</xdr:col>
      <xdr:colOff>415422</xdr:colOff>
      <xdr:row>1</xdr:row>
      <xdr:rowOff>92448</xdr:rowOff>
    </xdr:from>
    <xdr:to>
      <xdr:col>19</xdr:col>
      <xdr:colOff>458284</xdr:colOff>
      <xdr:row>2</xdr:row>
      <xdr:rowOff>56085</xdr:rowOff>
    </xdr:to>
    <xdr:pic>
      <xdr:nvPicPr>
        <xdr:cNvPr id="3" name="Picture 2">
          <a:extLst>
            <a:ext uri="{FF2B5EF4-FFF2-40B4-BE49-F238E27FC236}">
              <a16:creationId xmlns:a16="http://schemas.microsoft.com/office/drawing/2014/main" id="{E6D5D902-1B22-4E79-8CDB-6FBE06D6B3AC}"/>
            </a:ext>
          </a:extLst>
        </xdr:cNvPr>
        <xdr:cNvPicPr>
          <a:picLocks noChangeAspect="1"/>
        </xdr:cNvPicPr>
      </xdr:nvPicPr>
      <xdr:blipFill>
        <a:blip xmlns:r="http://schemas.openxmlformats.org/officeDocument/2006/relationships" r:embed="rId2"/>
        <a:stretch>
          <a:fillRect/>
        </a:stretch>
      </xdr:blipFill>
      <xdr:spPr>
        <a:xfrm>
          <a:off x="16607922" y="211511"/>
          <a:ext cx="971550" cy="28510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63</xdr:row>
      <xdr:rowOff>0</xdr:rowOff>
    </xdr:from>
    <xdr:to>
      <xdr:col>5</xdr:col>
      <xdr:colOff>0</xdr:colOff>
      <xdr:row>63</xdr:row>
      <xdr:rowOff>0</xdr:rowOff>
    </xdr:to>
    <xdr:sp macro="" textlink="">
      <xdr:nvSpPr>
        <xdr:cNvPr id="2" name="Text Box 3">
          <a:extLst>
            <a:ext uri="{FF2B5EF4-FFF2-40B4-BE49-F238E27FC236}">
              <a16:creationId xmlns:a16="http://schemas.microsoft.com/office/drawing/2014/main" id="{ADC473BA-3411-4A8B-9C9C-E69045BFF1A9}"/>
            </a:ext>
          </a:extLst>
        </xdr:cNvPr>
        <xdr:cNvSpPr txBox="1">
          <a:spLocks noChangeArrowheads="1"/>
        </xdr:cNvSpPr>
      </xdr:nvSpPr>
      <xdr:spPr bwMode="auto">
        <a:xfrm>
          <a:off x="3048000" y="229666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0</xdr:colOff>
      <xdr:row>63</xdr:row>
      <xdr:rowOff>0</xdr:rowOff>
    </xdr:from>
    <xdr:to>
      <xdr:col>5</xdr:col>
      <xdr:colOff>0</xdr:colOff>
      <xdr:row>63</xdr:row>
      <xdr:rowOff>0</xdr:rowOff>
    </xdr:to>
    <xdr:sp macro="" textlink="">
      <xdr:nvSpPr>
        <xdr:cNvPr id="3" name="Text Box 4">
          <a:extLst>
            <a:ext uri="{FF2B5EF4-FFF2-40B4-BE49-F238E27FC236}">
              <a16:creationId xmlns:a16="http://schemas.microsoft.com/office/drawing/2014/main" id="{05C90271-AA78-44F6-B1F7-316BEE4FCD59}"/>
            </a:ext>
          </a:extLst>
        </xdr:cNvPr>
        <xdr:cNvSpPr txBox="1">
          <a:spLocks noChangeArrowheads="1"/>
        </xdr:cNvSpPr>
      </xdr:nvSpPr>
      <xdr:spPr bwMode="auto">
        <a:xfrm>
          <a:off x="3048000" y="229666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0</xdr:colOff>
      <xdr:row>63</xdr:row>
      <xdr:rowOff>0</xdr:rowOff>
    </xdr:from>
    <xdr:to>
      <xdr:col>5</xdr:col>
      <xdr:colOff>0</xdr:colOff>
      <xdr:row>63</xdr:row>
      <xdr:rowOff>0</xdr:rowOff>
    </xdr:to>
    <xdr:sp macro="" textlink="">
      <xdr:nvSpPr>
        <xdr:cNvPr id="4" name="Text Box 5">
          <a:extLst>
            <a:ext uri="{FF2B5EF4-FFF2-40B4-BE49-F238E27FC236}">
              <a16:creationId xmlns:a16="http://schemas.microsoft.com/office/drawing/2014/main" id="{A718320C-B64B-424A-9A49-4D42B407A836}"/>
            </a:ext>
          </a:extLst>
        </xdr:cNvPr>
        <xdr:cNvSpPr txBox="1">
          <a:spLocks noChangeArrowheads="1"/>
        </xdr:cNvSpPr>
      </xdr:nvSpPr>
      <xdr:spPr bwMode="auto">
        <a:xfrm>
          <a:off x="3048000" y="229666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0</xdr:colOff>
      <xdr:row>41</xdr:row>
      <xdr:rowOff>0</xdr:rowOff>
    </xdr:from>
    <xdr:to>
      <xdr:col>5</xdr:col>
      <xdr:colOff>0</xdr:colOff>
      <xdr:row>41</xdr:row>
      <xdr:rowOff>0</xdr:rowOff>
    </xdr:to>
    <xdr:sp macro="" textlink="">
      <xdr:nvSpPr>
        <xdr:cNvPr id="5" name="Text Box 6">
          <a:extLst>
            <a:ext uri="{FF2B5EF4-FFF2-40B4-BE49-F238E27FC236}">
              <a16:creationId xmlns:a16="http://schemas.microsoft.com/office/drawing/2014/main" id="{4EBFCF58-D3B6-44B0-83F2-6233017A0DE7}"/>
            </a:ext>
          </a:extLst>
        </xdr:cNvPr>
        <xdr:cNvSpPr txBox="1">
          <a:spLocks noChangeArrowheads="1"/>
        </xdr:cNvSpPr>
      </xdr:nvSpPr>
      <xdr:spPr bwMode="auto">
        <a:xfrm>
          <a:off x="3048000" y="190804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oneCellAnchor>
    <xdr:from>
      <xdr:col>0</xdr:col>
      <xdr:colOff>0</xdr:colOff>
      <xdr:row>0</xdr:row>
      <xdr:rowOff>0</xdr:rowOff>
    </xdr:from>
    <xdr:ext cx="1472453" cy="504265"/>
    <xdr:pic>
      <xdr:nvPicPr>
        <xdr:cNvPr id="6" name="그림 6">
          <a:extLst>
            <a:ext uri="{FF2B5EF4-FFF2-40B4-BE49-F238E27FC236}">
              <a16:creationId xmlns:a16="http://schemas.microsoft.com/office/drawing/2014/main" id="{4B1D7ECB-BAF3-4B76-9F87-BE254F9CC5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472453" cy="504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296061</xdr:colOff>
      <xdr:row>42</xdr:row>
      <xdr:rowOff>105795</xdr:rowOff>
    </xdr:to>
    <xdr:pic>
      <xdr:nvPicPr>
        <xdr:cNvPr id="2" name="Picture 1">
          <a:extLst>
            <a:ext uri="{FF2B5EF4-FFF2-40B4-BE49-F238E27FC236}">
              <a16:creationId xmlns:a16="http://schemas.microsoft.com/office/drawing/2014/main" id="{5B384E68-F239-7CF8-8E0C-4636EAD95363}"/>
            </a:ext>
          </a:extLst>
        </xdr:cNvPr>
        <xdr:cNvPicPr>
          <a:picLocks noChangeAspect="1"/>
        </xdr:cNvPicPr>
      </xdr:nvPicPr>
      <xdr:blipFill>
        <a:blip xmlns:r="http://schemas.openxmlformats.org/officeDocument/2006/relationships" r:embed="rId1"/>
        <a:stretch>
          <a:fillRect/>
        </a:stretch>
      </xdr:blipFill>
      <xdr:spPr>
        <a:xfrm>
          <a:off x="0" y="0"/>
          <a:ext cx="5630061" cy="730669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69850</xdr:rowOff>
    </xdr:from>
    <xdr:to>
      <xdr:col>7</xdr:col>
      <xdr:colOff>101600</xdr:colOff>
      <xdr:row>39</xdr:row>
      <xdr:rowOff>5108</xdr:rowOff>
    </xdr:to>
    <xdr:pic>
      <xdr:nvPicPr>
        <xdr:cNvPr id="3" name="그림 2">
          <a:extLst>
            <a:ext uri="{FF2B5EF4-FFF2-40B4-BE49-F238E27FC236}">
              <a16:creationId xmlns:a16="http://schemas.microsoft.com/office/drawing/2014/main" id="{CC591DF6-CC67-2F33-F4D5-8B2D32DAD8F3}"/>
            </a:ext>
          </a:extLst>
        </xdr:cNvPr>
        <xdr:cNvPicPr>
          <a:picLocks noChangeAspect="1"/>
        </xdr:cNvPicPr>
      </xdr:nvPicPr>
      <xdr:blipFill>
        <a:blip xmlns:r="http://schemas.openxmlformats.org/officeDocument/2006/relationships" r:embed="rId1"/>
        <a:stretch>
          <a:fillRect/>
        </a:stretch>
      </xdr:blipFill>
      <xdr:spPr>
        <a:xfrm>
          <a:off x="0" y="247650"/>
          <a:ext cx="4724400" cy="669165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7</xdr:col>
      <xdr:colOff>277008</xdr:colOff>
      <xdr:row>39</xdr:row>
      <xdr:rowOff>86745</xdr:rowOff>
    </xdr:to>
    <xdr:pic>
      <xdr:nvPicPr>
        <xdr:cNvPr id="2" name="Picture 1">
          <a:extLst>
            <a:ext uri="{FF2B5EF4-FFF2-40B4-BE49-F238E27FC236}">
              <a16:creationId xmlns:a16="http://schemas.microsoft.com/office/drawing/2014/main" id="{FAF6769A-280A-914F-EDCC-3763FC93F948}"/>
            </a:ext>
          </a:extLst>
        </xdr:cNvPr>
        <xdr:cNvPicPr>
          <a:picLocks noChangeAspect="1"/>
        </xdr:cNvPicPr>
      </xdr:nvPicPr>
      <xdr:blipFill>
        <a:blip xmlns:r="http://schemas.openxmlformats.org/officeDocument/2006/relationships" r:embed="rId1"/>
        <a:stretch>
          <a:fillRect/>
        </a:stretch>
      </xdr:blipFill>
      <xdr:spPr>
        <a:xfrm>
          <a:off x="0" y="182880"/>
          <a:ext cx="4970928" cy="776770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177800</xdr:colOff>
      <xdr:row>0</xdr:row>
      <xdr:rowOff>0</xdr:rowOff>
    </xdr:from>
    <xdr:to>
      <xdr:col>9</xdr:col>
      <xdr:colOff>514350</xdr:colOff>
      <xdr:row>49</xdr:row>
      <xdr:rowOff>70080</xdr:rowOff>
    </xdr:to>
    <xdr:pic>
      <xdr:nvPicPr>
        <xdr:cNvPr id="6" name="그림 5">
          <a:extLst>
            <a:ext uri="{FF2B5EF4-FFF2-40B4-BE49-F238E27FC236}">
              <a16:creationId xmlns:a16="http://schemas.microsoft.com/office/drawing/2014/main" id="{7CF006AE-F715-0CFA-8C16-7FB6CAE2FA8A}"/>
            </a:ext>
          </a:extLst>
        </xdr:cNvPr>
        <xdr:cNvPicPr>
          <a:picLocks noChangeAspect="1"/>
        </xdr:cNvPicPr>
      </xdr:nvPicPr>
      <xdr:blipFill>
        <a:blip xmlns:r="http://schemas.openxmlformats.org/officeDocument/2006/relationships" r:embed="rId1"/>
        <a:stretch>
          <a:fillRect/>
        </a:stretch>
      </xdr:blipFill>
      <xdr:spPr>
        <a:xfrm>
          <a:off x="177800" y="0"/>
          <a:ext cx="6280150" cy="89092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B9B3E-A920-4FFF-89EC-92FB41538080}">
  <sheetPr>
    <tabColor rgb="FFFFC000"/>
    <pageSetUpPr fitToPage="1"/>
  </sheetPr>
  <dimension ref="A4:AB85"/>
  <sheetViews>
    <sheetView showGridLines="0" tabSelected="1" view="pageBreakPreview" topLeftCell="C1" zoomScale="87" zoomScaleNormal="100" zoomScaleSheetLayoutView="87" workbookViewId="0">
      <selection activeCell="C8" sqref="C8:C57"/>
    </sheetView>
  </sheetViews>
  <sheetFormatPr defaultColWidth="8.76953125" defaultRowHeight="14.25"/>
  <cols>
    <col min="1" max="1" width="6.546875" style="56" customWidth="1"/>
    <col min="2" max="3" width="19.99609375" style="56" customWidth="1"/>
    <col min="4" max="4" width="31.45703125" style="56" customWidth="1"/>
    <col min="5" max="5" width="71.1015625" style="56" customWidth="1"/>
    <col min="6" max="6" width="8.30078125" style="61" customWidth="1"/>
    <col min="7" max="7" width="11.34375" style="56" customWidth="1"/>
    <col min="8" max="8" width="9.703125" style="56" customWidth="1"/>
    <col min="9" max="9" width="8.53515625" style="61" customWidth="1"/>
    <col min="10" max="10" width="5.37890625" style="61" customWidth="1"/>
    <col min="11" max="11" width="9.8203125" style="61" bestFit="1" customWidth="1"/>
    <col min="12" max="12" width="10.9921875" style="56" customWidth="1"/>
    <col min="13" max="14" width="12.86328125" style="56" customWidth="1"/>
    <col min="15" max="15" width="36.13671875" style="56" customWidth="1"/>
    <col min="16" max="16" width="12.51171875" style="56" bestFit="1" customWidth="1"/>
    <col min="17" max="17" width="9.703125" style="56" hidden="1" customWidth="1"/>
    <col min="18" max="19" width="9.5859375" style="56" hidden="1" customWidth="1"/>
    <col min="20" max="25" width="0" style="56" hidden="1" customWidth="1"/>
    <col min="26" max="26" width="10.40625" style="56" bestFit="1" customWidth="1"/>
    <col min="27" max="27" width="8.76953125" style="56"/>
    <col min="28" max="28" width="9.5859375" style="56" customWidth="1"/>
    <col min="29" max="29" width="11.69140625" style="56" customWidth="1"/>
    <col min="30" max="16384" width="8.76953125" style="56"/>
  </cols>
  <sheetData>
    <row r="4" spans="1:25">
      <c r="X4" s="56">
        <v>1</v>
      </c>
      <c r="Y4" s="56">
        <v>15750</v>
      </c>
    </row>
    <row r="5" spans="1:25">
      <c r="A5" s="476" t="s">
        <v>159</v>
      </c>
      <c r="B5" s="476"/>
      <c r="C5" s="395"/>
      <c r="D5" s="57" t="str">
        <f>'Commercial Invoice'!H5</f>
        <v>OM4-DE-IS-0005</v>
      </c>
      <c r="E5" s="57"/>
      <c r="F5" s="60"/>
      <c r="G5" s="58"/>
      <c r="H5" s="57" t="s">
        <v>128</v>
      </c>
      <c r="I5" s="477"/>
      <c r="J5" s="477"/>
      <c r="K5" s="477"/>
      <c r="L5" s="59"/>
      <c r="M5" s="386"/>
      <c r="N5" s="386"/>
      <c r="O5" s="386" t="str">
        <f>'Commercial Invoice'!G6</f>
        <v>DATE:</v>
      </c>
      <c r="P5" s="386">
        <v>46219</v>
      </c>
      <c r="X5" s="56">
        <v>2</v>
      </c>
      <c r="Y5" s="56">
        <v>9817.5</v>
      </c>
    </row>
    <row r="6" spans="1:25">
      <c r="B6" s="60"/>
      <c r="C6" s="395"/>
      <c r="D6" s="60"/>
      <c r="E6" s="60"/>
      <c r="F6" s="60"/>
      <c r="X6" s="56">
        <v>3</v>
      </c>
      <c r="Y6" s="56">
        <v>14280</v>
      </c>
    </row>
    <row r="7" spans="1:25" ht="47.25" customHeight="1">
      <c r="A7" s="261" t="s">
        <v>27</v>
      </c>
      <c r="B7" s="62" t="s">
        <v>28</v>
      </c>
      <c r="C7" s="62" t="s">
        <v>443</v>
      </c>
      <c r="D7" s="62" t="s">
        <v>18</v>
      </c>
      <c r="E7" s="389" t="s">
        <v>441</v>
      </c>
      <c r="F7" s="390" t="s">
        <v>442</v>
      </c>
      <c r="G7" s="261" t="s">
        <v>29</v>
      </c>
      <c r="H7" s="261" t="s">
        <v>30</v>
      </c>
      <c r="I7" s="62" t="s">
        <v>20</v>
      </c>
      <c r="J7" s="62" t="s">
        <v>19</v>
      </c>
      <c r="K7" s="261" t="s">
        <v>160</v>
      </c>
      <c r="L7" s="261" t="s">
        <v>21</v>
      </c>
      <c r="M7" s="261" t="s">
        <v>22</v>
      </c>
      <c r="N7" s="261" t="s">
        <v>270</v>
      </c>
      <c r="O7" s="261" t="s">
        <v>273</v>
      </c>
      <c r="P7" s="261" t="s">
        <v>207</v>
      </c>
      <c r="X7" s="56">
        <v>4</v>
      </c>
      <c r="Y7" s="56">
        <v>12495.000000000002</v>
      </c>
    </row>
    <row r="8" spans="1:25" ht="27" customHeight="1">
      <c r="A8" s="261">
        <v>1</v>
      </c>
      <c r="B8" s="62" t="s">
        <v>245</v>
      </c>
      <c r="C8" s="62" t="s">
        <v>444</v>
      </c>
      <c r="D8" s="378" t="s">
        <v>208</v>
      </c>
      <c r="E8" s="391" t="s">
        <v>393</v>
      </c>
      <c r="F8" s="393" t="s">
        <v>394</v>
      </c>
      <c r="G8" s="261" t="s">
        <v>372</v>
      </c>
      <c r="H8" s="261" t="s">
        <v>238</v>
      </c>
      <c r="I8" s="62">
        <v>4</v>
      </c>
      <c r="J8" s="62" t="s">
        <v>312</v>
      </c>
      <c r="K8" s="382">
        <v>300</v>
      </c>
      <c r="L8" s="338">
        <f>ROUND(M8/I8,2)</f>
        <v>2423.5</v>
      </c>
      <c r="M8" s="382">
        <v>9693.98</v>
      </c>
      <c r="N8" s="261" t="s">
        <v>272</v>
      </c>
      <c r="O8" s="261"/>
      <c r="P8" s="261" t="s">
        <v>316</v>
      </c>
    </row>
    <row r="9" spans="1:25" ht="27" customHeight="1">
      <c r="A9" s="261">
        <v>2</v>
      </c>
      <c r="B9" s="62" t="s">
        <v>246</v>
      </c>
      <c r="C9" s="62" t="s">
        <v>444</v>
      </c>
      <c r="D9" s="378" t="s">
        <v>208</v>
      </c>
      <c r="E9" s="391" t="s">
        <v>395</v>
      </c>
      <c r="F9" s="393" t="s">
        <v>394</v>
      </c>
      <c r="G9" s="261" t="s">
        <v>372</v>
      </c>
      <c r="H9" s="261" t="s">
        <v>238</v>
      </c>
      <c r="I9" s="62">
        <v>1</v>
      </c>
      <c r="J9" s="62" t="s">
        <v>313</v>
      </c>
      <c r="K9" s="382">
        <v>55.555555555555557</v>
      </c>
      <c r="L9" s="338">
        <f t="shared" ref="L9:L57" si="0">ROUND(M9/I9,2)</f>
        <v>4350.9399999999996</v>
      </c>
      <c r="M9" s="382">
        <v>4350.9399999999996</v>
      </c>
      <c r="N9" s="261" t="s">
        <v>275</v>
      </c>
      <c r="O9" s="261"/>
      <c r="P9" s="261" t="s">
        <v>316</v>
      </c>
    </row>
    <row r="10" spans="1:25" ht="27" customHeight="1">
      <c r="A10" s="261">
        <v>3</v>
      </c>
      <c r="B10" s="62" t="s">
        <v>246</v>
      </c>
      <c r="C10" s="62" t="s">
        <v>444</v>
      </c>
      <c r="D10" s="378" t="s">
        <v>208</v>
      </c>
      <c r="E10" s="391" t="s">
        <v>396</v>
      </c>
      <c r="F10" s="393" t="s">
        <v>394</v>
      </c>
      <c r="G10" s="261" t="s">
        <v>372</v>
      </c>
      <c r="H10" s="261" t="s">
        <v>238</v>
      </c>
      <c r="I10" s="62">
        <v>1</v>
      </c>
      <c r="J10" s="62" t="s">
        <v>313</v>
      </c>
      <c r="K10" s="382">
        <v>55.555555555555557</v>
      </c>
      <c r="L10" s="338">
        <f t="shared" si="0"/>
        <v>4350.9399999999996</v>
      </c>
      <c r="M10" s="382">
        <v>4350.9399999999996</v>
      </c>
      <c r="N10" s="261" t="s">
        <v>276</v>
      </c>
      <c r="O10" s="261"/>
      <c r="P10" s="261" t="s">
        <v>316</v>
      </c>
    </row>
    <row r="11" spans="1:25" ht="27" customHeight="1">
      <c r="A11" s="261">
        <v>4</v>
      </c>
      <c r="B11" s="62" t="s">
        <v>246</v>
      </c>
      <c r="C11" s="62" t="s">
        <v>444</v>
      </c>
      <c r="D11" s="378" t="s">
        <v>208</v>
      </c>
      <c r="E11" s="391" t="s">
        <v>397</v>
      </c>
      <c r="F11" s="393" t="s">
        <v>394</v>
      </c>
      <c r="G11" s="261" t="s">
        <v>372</v>
      </c>
      <c r="H11" s="261" t="s">
        <v>238</v>
      </c>
      <c r="I11" s="62">
        <v>1</v>
      </c>
      <c r="J11" s="62" t="s">
        <v>313</v>
      </c>
      <c r="K11" s="382">
        <v>55.555555555555557</v>
      </c>
      <c r="L11" s="338">
        <f t="shared" si="0"/>
        <v>4350.9399999999996</v>
      </c>
      <c r="M11" s="382">
        <v>4350.9399999999996</v>
      </c>
      <c r="N11" s="261" t="s">
        <v>277</v>
      </c>
      <c r="O11" s="261"/>
      <c r="P11" s="261" t="s">
        <v>316</v>
      </c>
    </row>
    <row r="12" spans="1:25" ht="27" customHeight="1">
      <c r="A12" s="261">
        <v>5</v>
      </c>
      <c r="B12" s="62" t="s">
        <v>246</v>
      </c>
      <c r="C12" s="62" t="s">
        <v>444</v>
      </c>
      <c r="D12" s="378" t="s">
        <v>208</v>
      </c>
      <c r="E12" s="391" t="s">
        <v>398</v>
      </c>
      <c r="F12" s="393" t="s">
        <v>394</v>
      </c>
      <c r="G12" s="261" t="s">
        <v>372</v>
      </c>
      <c r="H12" s="261" t="s">
        <v>238</v>
      </c>
      <c r="I12" s="62">
        <v>1</v>
      </c>
      <c r="J12" s="62" t="s">
        <v>313</v>
      </c>
      <c r="K12" s="382">
        <v>55.555555555555557</v>
      </c>
      <c r="L12" s="338">
        <f t="shared" si="0"/>
        <v>4350.9399999999996</v>
      </c>
      <c r="M12" s="382">
        <v>4350.9399999999996</v>
      </c>
      <c r="N12" s="261" t="s">
        <v>278</v>
      </c>
      <c r="O12" s="261"/>
      <c r="P12" s="261" t="s">
        <v>316</v>
      </c>
    </row>
    <row r="13" spans="1:25" ht="27" customHeight="1">
      <c r="A13" s="261">
        <v>6</v>
      </c>
      <c r="B13" s="62" t="s">
        <v>246</v>
      </c>
      <c r="C13" s="62" t="s">
        <v>444</v>
      </c>
      <c r="D13" s="378" t="s">
        <v>208</v>
      </c>
      <c r="E13" s="391" t="s">
        <v>399</v>
      </c>
      <c r="F13" s="393" t="s">
        <v>394</v>
      </c>
      <c r="G13" s="261" t="s">
        <v>372</v>
      </c>
      <c r="H13" s="261" t="s">
        <v>238</v>
      </c>
      <c r="I13" s="62">
        <v>2</v>
      </c>
      <c r="J13" s="62" t="s">
        <v>312</v>
      </c>
      <c r="K13" s="382">
        <v>111.11111111111111</v>
      </c>
      <c r="L13" s="338">
        <f t="shared" si="0"/>
        <v>2782.64</v>
      </c>
      <c r="M13" s="382">
        <v>5565.27</v>
      </c>
      <c r="N13" s="261" t="s">
        <v>279</v>
      </c>
      <c r="O13" s="261"/>
      <c r="P13" s="261" t="s">
        <v>316</v>
      </c>
    </row>
    <row r="14" spans="1:25" ht="27" customHeight="1">
      <c r="A14" s="261">
        <v>7</v>
      </c>
      <c r="B14" s="62" t="s">
        <v>246</v>
      </c>
      <c r="C14" s="62" t="s">
        <v>444</v>
      </c>
      <c r="D14" s="378" t="s">
        <v>287</v>
      </c>
      <c r="E14" s="391" t="s">
        <v>400</v>
      </c>
      <c r="F14" s="393" t="s">
        <v>394</v>
      </c>
      <c r="G14" s="261" t="s">
        <v>372</v>
      </c>
      <c r="H14" s="261" t="s">
        <v>238</v>
      </c>
      <c r="I14" s="62">
        <v>2</v>
      </c>
      <c r="J14" s="62" t="s">
        <v>312</v>
      </c>
      <c r="K14" s="382">
        <v>111.11111111111111</v>
      </c>
      <c r="L14" s="338">
        <f t="shared" si="0"/>
        <v>2782.64</v>
      </c>
      <c r="M14" s="382">
        <v>5565.27</v>
      </c>
      <c r="N14" s="261" t="s">
        <v>280</v>
      </c>
      <c r="O14" s="261"/>
      <c r="P14" s="261" t="s">
        <v>316</v>
      </c>
    </row>
    <row r="15" spans="1:25" ht="27" customHeight="1">
      <c r="A15" s="261">
        <v>8</v>
      </c>
      <c r="B15" s="62" t="s">
        <v>246</v>
      </c>
      <c r="C15" s="62" t="s">
        <v>444</v>
      </c>
      <c r="D15" s="378" t="s">
        <v>208</v>
      </c>
      <c r="E15" s="391" t="s">
        <v>401</v>
      </c>
      <c r="F15" s="393" t="s">
        <v>394</v>
      </c>
      <c r="G15" s="261" t="s">
        <v>372</v>
      </c>
      <c r="H15" s="261" t="s">
        <v>238</v>
      </c>
      <c r="I15" s="62">
        <v>1</v>
      </c>
      <c r="J15" s="62" t="s">
        <v>313</v>
      </c>
      <c r="K15" s="382">
        <v>55.555555555555557</v>
      </c>
      <c r="L15" s="338">
        <f t="shared" si="0"/>
        <v>4350.9399999999996</v>
      </c>
      <c r="M15" s="382">
        <v>4350.9399999999996</v>
      </c>
      <c r="N15" s="261" t="s">
        <v>281</v>
      </c>
      <c r="O15" s="261"/>
      <c r="P15" s="261" t="s">
        <v>316</v>
      </c>
    </row>
    <row r="16" spans="1:25" ht="27" customHeight="1">
      <c r="A16" s="261">
        <v>9</v>
      </c>
      <c r="B16" s="62" t="s">
        <v>248</v>
      </c>
      <c r="C16" s="62" t="s">
        <v>444</v>
      </c>
      <c r="D16" s="378" t="s">
        <v>226</v>
      </c>
      <c r="E16" s="391" t="s">
        <v>402</v>
      </c>
      <c r="F16" s="393" t="s">
        <v>394</v>
      </c>
      <c r="G16" s="261" t="s">
        <v>372</v>
      </c>
      <c r="H16" s="261" t="s">
        <v>238</v>
      </c>
      <c r="I16" s="62">
        <v>1</v>
      </c>
      <c r="J16" s="62" t="s">
        <v>313</v>
      </c>
      <c r="K16" s="382">
        <v>447</v>
      </c>
      <c r="L16" s="338">
        <f t="shared" ref="L16:L51" si="1">ROUND(M16/I16,2)</f>
        <v>9770.49</v>
      </c>
      <c r="M16" s="382">
        <v>9770.49</v>
      </c>
      <c r="N16" s="261" t="s">
        <v>290</v>
      </c>
      <c r="O16" s="261" t="s">
        <v>291</v>
      </c>
      <c r="P16" s="261" t="s">
        <v>316</v>
      </c>
    </row>
    <row r="17" spans="1:16" ht="27" customHeight="1">
      <c r="A17" s="261">
        <v>10</v>
      </c>
      <c r="B17" s="62" t="s">
        <v>249</v>
      </c>
      <c r="C17" s="62" t="s">
        <v>444</v>
      </c>
      <c r="D17" s="378" t="s">
        <v>226</v>
      </c>
      <c r="E17" s="391" t="s">
        <v>403</v>
      </c>
      <c r="F17" s="393" t="s">
        <v>394</v>
      </c>
      <c r="G17" s="261" t="s">
        <v>372</v>
      </c>
      <c r="H17" s="261" t="s">
        <v>238</v>
      </c>
      <c r="I17" s="62">
        <v>1</v>
      </c>
      <c r="J17" s="62" t="s">
        <v>313</v>
      </c>
      <c r="K17" s="382">
        <v>676</v>
      </c>
      <c r="L17" s="338">
        <f t="shared" si="1"/>
        <v>14775.95</v>
      </c>
      <c r="M17" s="382">
        <v>14775.95</v>
      </c>
      <c r="N17" s="261" t="s">
        <v>292</v>
      </c>
      <c r="O17" s="261" t="s">
        <v>291</v>
      </c>
      <c r="P17" s="261" t="s">
        <v>316</v>
      </c>
    </row>
    <row r="18" spans="1:16" ht="27" customHeight="1">
      <c r="A18" s="261">
        <v>11</v>
      </c>
      <c r="B18" s="62" t="s">
        <v>250</v>
      </c>
      <c r="C18" s="62" t="s">
        <v>444</v>
      </c>
      <c r="D18" s="378" t="s">
        <v>300</v>
      </c>
      <c r="E18" s="391" t="s">
        <v>404</v>
      </c>
      <c r="F18" s="393" t="s">
        <v>394</v>
      </c>
      <c r="G18" s="261" t="s">
        <v>372</v>
      </c>
      <c r="H18" s="261" t="s">
        <v>238</v>
      </c>
      <c r="I18" s="62">
        <v>2</v>
      </c>
      <c r="J18" s="62" t="s">
        <v>312</v>
      </c>
      <c r="K18" s="382">
        <v>540</v>
      </c>
      <c r="L18" s="338">
        <f t="shared" si="1"/>
        <v>5901.64</v>
      </c>
      <c r="M18" s="382">
        <v>11803.27</v>
      </c>
      <c r="N18" s="261" t="s">
        <v>293</v>
      </c>
      <c r="O18" s="261" t="s">
        <v>294</v>
      </c>
      <c r="P18" s="261" t="s">
        <v>316</v>
      </c>
    </row>
    <row r="19" spans="1:16" ht="27" customHeight="1">
      <c r="A19" s="261">
        <v>12</v>
      </c>
      <c r="B19" s="62" t="s">
        <v>251</v>
      </c>
      <c r="C19" s="62" t="s">
        <v>444</v>
      </c>
      <c r="D19" s="378" t="s">
        <v>227</v>
      </c>
      <c r="E19" s="391" t="s">
        <v>405</v>
      </c>
      <c r="F19" s="393" t="s">
        <v>394</v>
      </c>
      <c r="G19" s="261" t="s">
        <v>372</v>
      </c>
      <c r="H19" s="261" t="s">
        <v>238</v>
      </c>
      <c r="I19" s="62">
        <v>2</v>
      </c>
      <c r="J19" s="62" t="s">
        <v>312</v>
      </c>
      <c r="K19" s="382">
        <v>540</v>
      </c>
      <c r="L19" s="338">
        <f t="shared" si="1"/>
        <v>5901.64</v>
      </c>
      <c r="M19" s="382">
        <v>11803.27</v>
      </c>
      <c r="N19" s="261" t="s">
        <v>293</v>
      </c>
      <c r="O19" s="261" t="s">
        <v>294</v>
      </c>
      <c r="P19" s="261" t="s">
        <v>316</v>
      </c>
    </row>
    <row r="20" spans="1:16" ht="27" customHeight="1">
      <c r="A20" s="261">
        <v>13</v>
      </c>
      <c r="B20" s="62" t="s">
        <v>252</v>
      </c>
      <c r="C20" s="62" t="s">
        <v>444</v>
      </c>
      <c r="D20" s="378" t="s">
        <v>228</v>
      </c>
      <c r="E20" s="391" t="s">
        <v>406</v>
      </c>
      <c r="F20" s="393" t="s">
        <v>394</v>
      </c>
      <c r="G20" s="261" t="s">
        <v>372</v>
      </c>
      <c r="H20" s="261" t="s">
        <v>238</v>
      </c>
      <c r="I20" s="62">
        <v>2</v>
      </c>
      <c r="J20" s="62" t="s">
        <v>312</v>
      </c>
      <c r="K20" s="382">
        <v>540</v>
      </c>
      <c r="L20" s="338">
        <f t="shared" si="1"/>
        <v>5901.64</v>
      </c>
      <c r="M20" s="382">
        <v>11803.27</v>
      </c>
      <c r="N20" s="261" t="s">
        <v>293</v>
      </c>
      <c r="O20" s="261" t="s">
        <v>294</v>
      </c>
      <c r="P20" s="261" t="s">
        <v>316</v>
      </c>
    </row>
    <row r="21" spans="1:16" ht="27" customHeight="1">
      <c r="A21" s="261">
        <v>14</v>
      </c>
      <c r="B21" s="62" t="s">
        <v>253</v>
      </c>
      <c r="C21" s="62" t="s">
        <v>444</v>
      </c>
      <c r="D21" s="378" t="s">
        <v>229</v>
      </c>
      <c r="E21" s="391" t="s">
        <v>407</v>
      </c>
      <c r="F21" s="393" t="s">
        <v>394</v>
      </c>
      <c r="G21" s="261" t="s">
        <v>372</v>
      </c>
      <c r="H21" s="261" t="s">
        <v>238</v>
      </c>
      <c r="I21" s="62">
        <v>2</v>
      </c>
      <c r="J21" s="62" t="s">
        <v>312</v>
      </c>
      <c r="K21" s="382">
        <v>540</v>
      </c>
      <c r="L21" s="338">
        <f t="shared" si="1"/>
        <v>5901.64</v>
      </c>
      <c r="M21" s="382">
        <v>11803.27</v>
      </c>
      <c r="N21" s="261" t="s">
        <v>293</v>
      </c>
      <c r="O21" s="261" t="s">
        <v>294</v>
      </c>
      <c r="P21" s="261" t="s">
        <v>316</v>
      </c>
    </row>
    <row r="22" spans="1:16" ht="27" customHeight="1">
      <c r="A22" s="261">
        <v>15</v>
      </c>
      <c r="B22" s="62" t="s">
        <v>254</v>
      </c>
      <c r="C22" s="62" t="s">
        <v>444</v>
      </c>
      <c r="D22" s="378" t="s">
        <v>230</v>
      </c>
      <c r="E22" s="391" t="s">
        <v>408</v>
      </c>
      <c r="F22" s="393" t="s">
        <v>394</v>
      </c>
      <c r="G22" s="261" t="s">
        <v>372</v>
      </c>
      <c r="H22" s="261" t="s">
        <v>238</v>
      </c>
      <c r="I22" s="62">
        <v>8</v>
      </c>
      <c r="J22" s="62" t="s">
        <v>312</v>
      </c>
      <c r="K22" s="382">
        <v>55</v>
      </c>
      <c r="L22" s="338">
        <f t="shared" si="1"/>
        <v>150.27000000000001</v>
      </c>
      <c r="M22" s="382">
        <v>1202.19</v>
      </c>
      <c r="N22" s="261" t="s">
        <v>295</v>
      </c>
      <c r="O22" s="261" t="s">
        <v>294</v>
      </c>
      <c r="P22" s="261" t="s">
        <v>316</v>
      </c>
    </row>
    <row r="23" spans="1:16" ht="27" customHeight="1">
      <c r="A23" s="261">
        <v>16</v>
      </c>
      <c r="B23" s="62" t="s">
        <v>256</v>
      </c>
      <c r="C23" s="62" t="s">
        <v>444</v>
      </c>
      <c r="D23" s="378" t="s">
        <v>374</v>
      </c>
      <c r="E23" s="391" t="s">
        <v>409</v>
      </c>
      <c r="F23" s="393" t="s">
        <v>394</v>
      </c>
      <c r="G23" s="261" t="s">
        <v>372</v>
      </c>
      <c r="H23" s="261" t="s">
        <v>238</v>
      </c>
      <c r="I23" s="62">
        <v>3</v>
      </c>
      <c r="J23" s="62" t="s">
        <v>312</v>
      </c>
      <c r="K23" s="382">
        <v>18.333333333333332</v>
      </c>
      <c r="L23" s="338">
        <f t="shared" si="1"/>
        <v>133.58000000000001</v>
      </c>
      <c r="M23" s="382">
        <v>400.73</v>
      </c>
      <c r="N23" s="261"/>
      <c r="O23" s="261" t="s">
        <v>308</v>
      </c>
      <c r="P23" s="261" t="s">
        <v>316</v>
      </c>
    </row>
    <row r="24" spans="1:16" ht="27" customHeight="1">
      <c r="A24" s="261">
        <v>17</v>
      </c>
      <c r="B24" s="62" t="s">
        <v>256</v>
      </c>
      <c r="C24" s="62" t="s">
        <v>444</v>
      </c>
      <c r="D24" s="378" t="s">
        <v>375</v>
      </c>
      <c r="E24" s="391" t="s">
        <v>410</v>
      </c>
      <c r="F24" s="393" t="s">
        <v>394</v>
      </c>
      <c r="G24" s="261" t="s">
        <v>372</v>
      </c>
      <c r="H24" s="261" t="s">
        <v>238</v>
      </c>
      <c r="I24" s="62">
        <v>4</v>
      </c>
      <c r="J24" s="62" t="s">
        <v>312</v>
      </c>
      <c r="K24" s="382">
        <v>24.444444444444443</v>
      </c>
      <c r="L24" s="338">
        <f t="shared" si="1"/>
        <v>133.58000000000001</v>
      </c>
      <c r="M24" s="382">
        <v>534.29999999999995</v>
      </c>
      <c r="N24" s="261"/>
      <c r="O24" s="261" t="s">
        <v>308</v>
      </c>
      <c r="P24" s="261" t="s">
        <v>316</v>
      </c>
    </row>
    <row r="25" spans="1:16" ht="27" customHeight="1">
      <c r="A25" s="261">
        <v>18</v>
      </c>
      <c r="B25" s="62" t="s">
        <v>256</v>
      </c>
      <c r="C25" s="62" t="s">
        <v>444</v>
      </c>
      <c r="D25" s="378" t="s">
        <v>374</v>
      </c>
      <c r="E25" s="391" t="s">
        <v>411</v>
      </c>
      <c r="F25" s="393" t="s">
        <v>394</v>
      </c>
      <c r="G25" s="261" t="s">
        <v>372</v>
      </c>
      <c r="H25" s="261" t="s">
        <v>238</v>
      </c>
      <c r="I25" s="62">
        <v>1</v>
      </c>
      <c r="J25" s="62" t="s">
        <v>313</v>
      </c>
      <c r="K25" s="382">
        <v>6.1111111111111107</v>
      </c>
      <c r="L25" s="338">
        <f t="shared" si="1"/>
        <v>133.58000000000001</v>
      </c>
      <c r="M25" s="382">
        <v>133.58000000000001</v>
      </c>
      <c r="N25" s="261"/>
      <c r="O25" s="261" t="s">
        <v>308</v>
      </c>
      <c r="P25" s="261" t="s">
        <v>316</v>
      </c>
    </row>
    <row r="26" spans="1:16" ht="27" customHeight="1">
      <c r="A26" s="261">
        <v>19</v>
      </c>
      <c r="B26" s="62" t="s">
        <v>256</v>
      </c>
      <c r="C26" s="62" t="s">
        <v>444</v>
      </c>
      <c r="D26" s="378" t="s">
        <v>375</v>
      </c>
      <c r="E26" s="391" t="s">
        <v>412</v>
      </c>
      <c r="F26" s="393" t="s">
        <v>394</v>
      </c>
      <c r="G26" s="261" t="s">
        <v>372</v>
      </c>
      <c r="H26" s="261" t="s">
        <v>238</v>
      </c>
      <c r="I26" s="62">
        <v>1</v>
      </c>
      <c r="J26" s="62" t="s">
        <v>313</v>
      </c>
      <c r="K26" s="383">
        <v>6.1111111111111107</v>
      </c>
      <c r="L26" s="338">
        <f t="shared" si="1"/>
        <v>133.58000000000001</v>
      </c>
      <c r="M26" s="382">
        <v>133.58000000000001</v>
      </c>
      <c r="N26" s="382"/>
      <c r="O26" s="382" t="s">
        <v>308</v>
      </c>
      <c r="P26" s="382" t="s">
        <v>316</v>
      </c>
    </row>
    <row r="27" spans="1:16" ht="27" customHeight="1">
      <c r="A27" s="261">
        <v>20</v>
      </c>
      <c r="B27" s="62" t="s">
        <v>257</v>
      </c>
      <c r="C27" s="62" t="s">
        <v>444</v>
      </c>
      <c r="D27" s="378" t="s">
        <v>208</v>
      </c>
      <c r="E27" s="391" t="s">
        <v>413</v>
      </c>
      <c r="F27" s="393" t="s">
        <v>394</v>
      </c>
      <c r="G27" s="261" t="s">
        <v>373</v>
      </c>
      <c r="H27" s="261" t="s">
        <v>238</v>
      </c>
      <c r="I27" s="62">
        <v>4</v>
      </c>
      <c r="J27" s="62" t="s">
        <v>312</v>
      </c>
      <c r="K27" s="383">
        <v>300</v>
      </c>
      <c r="L27" s="338">
        <f t="shared" si="1"/>
        <v>2423.5</v>
      </c>
      <c r="M27" s="382">
        <v>9693.98</v>
      </c>
      <c r="N27" s="382" t="s">
        <v>272</v>
      </c>
      <c r="O27" s="382"/>
      <c r="P27" s="382" t="s">
        <v>317</v>
      </c>
    </row>
    <row r="28" spans="1:16" ht="27" customHeight="1">
      <c r="A28" s="261">
        <v>21</v>
      </c>
      <c r="B28" s="62" t="s">
        <v>258</v>
      </c>
      <c r="C28" s="62" t="s">
        <v>444</v>
      </c>
      <c r="D28" s="378" t="s">
        <v>208</v>
      </c>
      <c r="E28" s="391" t="s">
        <v>414</v>
      </c>
      <c r="F28" s="393" t="s">
        <v>394</v>
      </c>
      <c r="G28" s="261" t="s">
        <v>373</v>
      </c>
      <c r="H28" s="261" t="s">
        <v>238</v>
      </c>
      <c r="I28" s="62">
        <v>1</v>
      </c>
      <c r="J28" s="62" t="s">
        <v>313</v>
      </c>
      <c r="K28" s="383">
        <v>55.555555555555557</v>
      </c>
      <c r="L28" s="338">
        <f t="shared" si="1"/>
        <v>4350.9399999999996</v>
      </c>
      <c r="M28" s="382">
        <v>4350.9399999999996</v>
      </c>
      <c r="N28" s="382" t="s">
        <v>275</v>
      </c>
      <c r="O28" s="382"/>
      <c r="P28" s="382" t="s">
        <v>317</v>
      </c>
    </row>
    <row r="29" spans="1:16" ht="27" customHeight="1">
      <c r="A29" s="261">
        <v>22</v>
      </c>
      <c r="B29" s="62" t="s">
        <v>258</v>
      </c>
      <c r="C29" s="62" t="s">
        <v>444</v>
      </c>
      <c r="D29" s="378" t="s">
        <v>208</v>
      </c>
      <c r="E29" s="391" t="s">
        <v>415</v>
      </c>
      <c r="F29" s="393" t="s">
        <v>394</v>
      </c>
      <c r="G29" s="261" t="s">
        <v>373</v>
      </c>
      <c r="H29" s="261" t="s">
        <v>238</v>
      </c>
      <c r="I29" s="62">
        <v>1</v>
      </c>
      <c r="J29" s="62" t="s">
        <v>313</v>
      </c>
      <c r="K29" s="383">
        <v>55.555555555555557</v>
      </c>
      <c r="L29" s="338">
        <f t="shared" si="1"/>
        <v>4350.9399999999996</v>
      </c>
      <c r="M29" s="382">
        <v>4350.9399999999996</v>
      </c>
      <c r="N29" s="382" t="s">
        <v>276</v>
      </c>
      <c r="O29" s="382"/>
      <c r="P29" s="382" t="s">
        <v>317</v>
      </c>
    </row>
    <row r="30" spans="1:16" ht="27" customHeight="1">
      <c r="A30" s="261">
        <v>23</v>
      </c>
      <c r="B30" s="62" t="s">
        <v>258</v>
      </c>
      <c r="C30" s="62" t="s">
        <v>444</v>
      </c>
      <c r="D30" s="378" t="s">
        <v>208</v>
      </c>
      <c r="E30" s="391" t="s">
        <v>416</v>
      </c>
      <c r="F30" s="393" t="s">
        <v>394</v>
      </c>
      <c r="G30" s="261" t="s">
        <v>373</v>
      </c>
      <c r="H30" s="261" t="s">
        <v>238</v>
      </c>
      <c r="I30" s="62">
        <v>1</v>
      </c>
      <c r="J30" s="62" t="s">
        <v>313</v>
      </c>
      <c r="K30" s="383">
        <v>55.555555555555557</v>
      </c>
      <c r="L30" s="338">
        <f t="shared" si="1"/>
        <v>4350.9399999999996</v>
      </c>
      <c r="M30" s="382">
        <v>4350.9399999999996</v>
      </c>
      <c r="N30" s="382" t="s">
        <v>277</v>
      </c>
      <c r="O30" s="382"/>
      <c r="P30" s="382" t="s">
        <v>317</v>
      </c>
    </row>
    <row r="31" spans="1:16" ht="27" customHeight="1">
      <c r="A31" s="261">
        <v>24</v>
      </c>
      <c r="B31" s="62" t="s">
        <v>258</v>
      </c>
      <c r="C31" s="62" t="s">
        <v>444</v>
      </c>
      <c r="D31" s="378" t="s">
        <v>208</v>
      </c>
      <c r="E31" s="391" t="s">
        <v>357</v>
      </c>
      <c r="F31" s="393" t="s">
        <v>394</v>
      </c>
      <c r="G31" s="261" t="s">
        <v>373</v>
      </c>
      <c r="H31" s="261" t="s">
        <v>238</v>
      </c>
      <c r="I31" s="62">
        <v>1</v>
      </c>
      <c r="J31" s="62" t="s">
        <v>313</v>
      </c>
      <c r="K31" s="383">
        <v>55.555555555555557</v>
      </c>
      <c r="L31" s="338">
        <f t="shared" si="1"/>
        <v>4350.9399999999996</v>
      </c>
      <c r="M31" s="382">
        <v>4350.9399999999996</v>
      </c>
      <c r="N31" s="382" t="s">
        <v>278</v>
      </c>
      <c r="O31" s="382"/>
      <c r="P31" s="382" t="s">
        <v>317</v>
      </c>
    </row>
    <row r="32" spans="1:16" ht="27" customHeight="1">
      <c r="A32" s="261">
        <v>25</v>
      </c>
      <c r="B32" s="62" t="s">
        <v>258</v>
      </c>
      <c r="C32" s="62" t="s">
        <v>444</v>
      </c>
      <c r="D32" s="378" t="s">
        <v>208</v>
      </c>
      <c r="E32" s="391" t="s">
        <v>417</v>
      </c>
      <c r="F32" s="393" t="s">
        <v>394</v>
      </c>
      <c r="G32" s="261" t="s">
        <v>373</v>
      </c>
      <c r="H32" s="261" t="s">
        <v>238</v>
      </c>
      <c r="I32" s="62">
        <v>2</v>
      </c>
      <c r="J32" s="62" t="s">
        <v>312</v>
      </c>
      <c r="K32" s="383">
        <v>111.11111111111111</v>
      </c>
      <c r="L32" s="338">
        <f t="shared" si="1"/>
        <v>2782.64</v>
      </c>
      <c r="M32" s="382">
        <v>5565.27</v>
      </c>
      <c r="N32" s="382" t="s">
        <v>279</v>
      </c>
      <c r="O32" s="382"/>
      <c r="P32" s="382" t="s">
        <v>317</v>
      </c>
    </row>
    <row r="33" spans="1:28" ht="27" customHeight="1">
      <c r="A33" s="261">
        <v>26</v>
      </c>
      <c r="B33" s="62" t="s">
        <v>258</v>
      </c>
      <c r="C33" s="62" t="s">
        <v>444</v>
      </c>
      <c r="D33" s="378" t="s">
        <v>208</v>
      </c>
      <c r="E33" s="391" t="s">
        <v>418</v>
      </c>
      <c r="F33" s="393" t="s">
        <v>394</v>
      </c>
      <c r="G33" s="261" t="s">
        <v>373</v>
      </c>
      <c r="H33" s="261" t="s">
        <v>238</v>
      </c>
      <c r="I33" s="62">
        <v>2</v>
      </c>
      <c r="J33" s="62" t="s">
        <v>312</v>
      </c>
      <c r="K33" s="383">
        <v>111.11111111111111</v>
      </c>
      <c r="L33" s="338">
        <f t="shared" si="1"/>
        <v>2782.64</v>
      </c>
      <c r="M33" s="382">
        <v>5565.27</v>
      </c>
      <c r="N33" s="382" t="s">
        <v>280</v>
      </c>
      <c r="O33" s="382"/>
      <c r="P33" s="382" t="s">
        <v>317</v>
      </c>
    </row>
    <row r="34" spans="1:28" ht="27" customHeight="1">
      <c r="A34" s="261">
        <v>27</v>
      </c>
      <c r="B34" s="62" t="s">
        <v>258</v>
      </c>
      <c r="C34" s="62" t="s">
        <v>444</v>
      </c>
      <c r="D34" s="378" t="s">
        <v>208</v>
      </c>
      <c r="E34" s="391" t="s">
        <v>419</v>
      </c>
      <c r="F34" s="393" t="s">
        <v>394</v>
      </c>
      <c r="G34" s="261" t="s">
        <v>373</v>
      </c>
      <c r="H34" s="261" t="s">
        <v>238</v>
      </c>
      <c r="I34" s="62">
        <v>1</v>
      </c>
      <c r="J34" s="62" t="s">
        <v>313</v>
      </c>
      <c r="K34" s="383">
        <v>55.555555555555557</v>
      </c>
      <c r="L34" s="338">
        <f t="shared" si="1"/>
        <v>4350.9399999999996</v>
      </c>
      <c r="M34" s="382">
        <v>4350.9399999999996</v>
      </c>
      <c r="N34" s="382" t="s">
        <v>281</v>
      </c>
      <c r="O34" s="382"/>
      <c r="P34" s="382" t="s">
        <v>317</v>
      </c>
    </row>
    <row r="35" spans="1:28" ht="27" customHeight="1">
      <c r="A35" s="261">
        <v>28</v>
      </c>
      <c r="B35" s="62" t="s">
        <v>260</v>
      </c>
      <c r="C35" s="62" t="s">
        <v>444</v>
      </c>
      <c r="D35" s="378" t="s">
        <v>226</v>
      </c>
      <c r="E35" s="391" t="s">
        <v>420</v>
      </c>
      <c r="F35" s="393" t="s">
        <v>394</v>
      </c>
      <c r="G35" s="261" t="s">
        <v>373</v>
      </c>
      <c r="H35" s="261" t="s">
        <v>238</v>
      </c>
      <c r="I35" s="62">
        <v>1</v>
      </c>
      <c r="J35" s="62" t="s">
        <v>313</v>
      </c>
      <c r="K35" s="383">
        <v>447</v>
      </c>
      <c r="L35" s="338">
        <f t="shared" si="1"/>
        <v>9770.49</v>
      </c>
      <c r="M35" s="382">
        <v>9770.49</v>
      </c>
      <c r="N35" s="382" t="s">
        <v>290</v>
      </c>
      <c r="O35" s="382" t="s">
        <v>291</v>
      </c>
      <c r="P35" s="382" t="s">
        <v>317</v>
      </c>
    </row>
    <row r="36" spans="1:28" ht="27" customHeight="1">
      <c r="A36" s="261">
        <v>29</v>
      </c>
      <c r="B36" s="62" t="s">
        <v>261</v>
      </c>
      <c r="C36" s="62" t="s">
        <v>444</v>
      </c>
      <c r="D36" s="378" t="s">
        <v>226</v>
      </c>
      <c r="E36" s="391" t="s">
        <v>421</v>
      </c>
      <c r="F36" s="393" t="s">
        <v>394</v>
      </c>
      <c r="G36" s="261" t="s">
        <v>373</v>
      </c>
      <c r="H36" s="261" t="s">
        <v>238</v>
      </c>
      <c r="I36" s="62">
        <v>1</v>
      </c>
      <c r="J36" s="62" t="s">
        <v>313</v>
      </c>
      <c r="K36" s="383">
        <v>676</v>
      </c>
      <c r="L36" s="338">
        <f t="shared" si="1"/>
        <v>14775.95</v>
      </c>
      <c r="M36" s="382">
        <v>14775.95</v>
      </c>
      <c r="N36" s="382" t="s">
        <v>292</v>
      </c>
      <c r="O36" s="382" t="s">
        <v>291</v>
      </c>
      <c r="P36" s="382" t="s">
        <v>317</v>
      </c>
    </row>
    <row r="37" spans="1:28" ht="27" customHeight="1">
      <c r="A37" s="261">
        <v>30</v>
      </c>
      <c r="B37" s="62" t="s">
        <v>262</v>
      </c>
      <c r="C37" s="62" t="s">
        <v>444</v>
      </c>
      <c r="D37" s="378" t="s">
        <v>210</v>
      </c>
      <c r="E37" s="391" t="s">
        <v>422</v>
      </c>
      <c r="F37" s="393" t="s">
        <v>394</v>
      </c>
      <c r="G37" s="261" t="s">
        <v>373</v>
      </c>
      <c r="H37" s="261" t="s">
        <v>238</v>
      </c>
      <c r="I37" s="62">
        <v>2</v>
      </c>
      <c r="J37" s="62" t="s">
        <v>312</v>
      </c>
      <c r="K37" s="383">
        <v>540</v>
      </c>
      <c r="L37" s="338">
        <f t="shared" si="1"/>
        <v>5901.64</v>
      </c>
      <c r="M37" s="382">
        <v>11803.27</v>
      </c>
      <c r="N37" s="382" t="s">
        <v>293</v>
      </c>
      <c r="O37" s="382" t="s">
        <v>294</v>
      </c>
      <c r="P37" s="382" t="s">
        <v>317</v>
      </c>
    </row>
    <row r="38" spans="1:28" ht="27" customHeight="1">
      <c r="A38" s="261">
        <v>31</v>
      </c>
      <c r="B38" s="62" t="s">
        <v>263</v>
      </c>
      <c r="C38" s="62" t="s">
        <v>444</v>
      </c>
      <c r="D38" s="378" t="s">
        <v>227</v>
      </c>
      <c r="E38" s="391" t="s">
        <v>423</v>
      </c>
      <c r="F38" s="393" t="s">
        <v>394</v>
      </c>
      <c r="G38" s="261" t="s">
        <v>373</v>
      </c>
      <c r="H38" s="261" t="s">
        <v>238</v>
      </c>
      <c r="I38" s="62">
        <v>2</v>
      </c>
      <c r="J38" s="62" t="s">
        <v>312</v>
      </c>
      <c r="K38" s="383">
        <v>540</v>
      </c>
      <c r="L38" s="338">
        <f t="shared" si="1"/>
        <v>5901.64</v>
      </c>
      <c r="M38" s="382">
        <v>11803.27</v>
      </c>
      <c r="N38" s="382" t="s">
        <v>293</v>
      </c>
      <c r="O38" s="382" t="s">
        <v>294</v>
      </c>
      <c r="P38" s="382" t="s">
        <v>317</v>
      </c>
    </row>
    <row r="39" spans="1:28" ht="27" customHeight="1">
      <c r="A39" s="261">
        <v>32</v>
      </c>
      <c r="B39" s="62" t="s">
        <v>264</v>
      </c>
      <c r="C39" s="62" t="s">
        <v>444</v>
      </c>
      <c r="D39" s="378" t="s">
        <v>228</v>
      </c>
      <c r="E39" s="391" t="s">
        <v>424</v>
      </c>
      <c r="F39" s="393" t="s">
        <v>394</v>
      </c>
      <c r="G39" s="261" t="s">
        <v>373</v>
      </c>
      <c r="H39" s="261" t="s">
        <v>238</v>
      </c>
      <c r="I39" s="62">
        <v>2</v>
      </c>
      <c r="J39" s="62" t="s">
        <v>312</v>
      </c>
      <c r="K39" s="383">
        <v>540</v>
      </c>
      <c r="L39" s="338">
        <f t="shared" si="1"/>
        <v>5901.64</v>
      </c>
      <c r="M39" s="382">
        <v>11803.27</v>
      </c>
      <c r="N39" s="382" t="s">
        <v>293</v>
      </c>
      <c r="O39" s="382" t="s">
        <v>294</v>
      </c>
      <c r="P39" s="382" t="s">
        <v>317</v>
      </c>
    </row>
    <row r="40" spans="1:28" ht="27" customHeight="1">
      <c r="A40" s="261">
        <v>33</v>
      </c>
      <c r="B40" s="62" t="s">
        <v>265</v>
      </c>
      <c r="C40" s="62" t="s">
        <v>444</v>
      </c>
      <c r="D40" s="378" t="s">
        <v>229</v>
      </c>
      <c r="E40" s="391" t="s">
        <v>425</v>
      </c>
      <c r="F40" s="393" t="s">
        <v>394</v>
      </c>
      <c r="G40" s="261" t="s">
        <v>373</v>
      </c>
      <c r="H40" s="261" t="s">
        <v>238</v>
      </c>
      <c r="I40" s="62">
        <v>2</v>
      </c>
      <c r="J40" s="62" t="s">
        <v>312</v>
      </c>
      <c r="K40" s="383">
        <v>540</v>
      </c>
      <c r="L40" s="338">
        <f t="shared" si="1"/>
        <v>5901.64</v>
      </c>
      <c r="M40" s="382">
        <v>11803.27</v>
      </c>
      <c r="N40" s="382" t="s">
        <v>293</v>
      </c>
      <c r="O40" s="382" t="s">
        <v>294</v>
      </c>
      <c r="P40" s="382" t="s">
        <v>317</v>
      </c>
    </row>
    <row r="41" spans="1:28" ht="27" customHeight="1">
      <c r="A41" s="261">
        <v>34</v>
      </c>
      <c r="B41" s="62" t="s">
        <v>266</v>
      </c>
      <c r="C41" s="62" t="s">
        <v>444</v>
      </c>
      <c r="D41" s="378" t="s">
        <v>230</v>
      </c>
      <c r="E41" s="391" t="s">
        <v>408</v>
      </c>
      <c r="F41" s="393" t="s">
        <v>394</v>
      </c>
      <c r="G41" s="261" t="s">
        <v>373</v>
      </c>
      <c r="H41" s="261" t="s">
        <v>238</v>
      </c>
      <c r="I41" s="62">
        <v>8</v>
      </c>
      <c r="J41" s="62" t="s">
        <v>312</v>
      </c>
      <c r="K41" s="383">
        <v>55</v>
      </c>
      <c r="L41" s="338">
        <f t="shared" si="1"/>
        <v>150.27000000000001</v>
      </c>
      <c r="M41" s="382">
        <v>1202.19</v>
      </c>
      <c r="N41" s="382" t="s">
        <v>295</v>
      </c>
      <c r="O41" s="382" t="s">
        <v>294</v>
      </c>
      <c r="P41" s="382" t="s">
        <v>317</v>
      </c>
    </row>
    <row r="42" spans="1:28" ht="27" customHeight="1">
      <c r="A42" s="261">
        <v>35</v>
      </c>
      <c r="B42" s="62" t="s">
        <v>268</v>
      </c>
      <c r="C42" s="62" t="s">
        <v>444</v>
      </c>
      <c r="D42" s="378" t="s">
        <v>374</v>
      </c>
      <c r="E42" s="391" t="s">
        <v>426</v>
      </c>
      <c r="F42" s="393" t="s">
        <v>394</v>
      </c>
      <c r="G42" s="261" t="s">
        <v>373</v>
      </c>
      <c r="H42" s="261" t="s">
        <v>238</v>
      </c>
      <c r="I42" s="62">
        <v>3</v>
      </c>
      <c r="J42" s="62" t="s">
        <v>312</v>
      </c>
      <c r="K42" s="383">
        <v>18.333333333333332</v>
      </c>
      <c r="L42" s="338">
        <f t="shared" si="1"/>
        <v>133.58000000000001</v>
      </c>
      <c r="M42" s="382">
        <v>400.73</v>
      </c>
      <c r="N42" s="382"/>
      <c r="O42" s="382" t="s">
        <v>308</v>
      </c>
      <c r="P42" s="382" t="s">
        <v>317</v>
      </c>
    </row>
    <row r="43" spans="1:28" ht="27" customHeight="1">
      <c r="A43" s="261">
        <v>36</v>
      </c>
      <c r="B43" s="62" t="s">
        <v>268</v>
      </c>
      <c r="C43" s="62" t="s">
        <v>444</v>
      </c>
      <c r="D43" s="378" t="s">
        <v>375</v>
      </c>
      <c r="E43" s="391" t="s">
        <v>427</v>
      </c>
      <c r="F43" s="393" t="s">
        <v>394</v>
      </c>
      <c r="G43" s="261" t="s">
        <v>373</v>
      </c>
      <c r="H43" s="261" t="s">
        <v>238</v>
      </c>
      <c r="I43" s="62">
        <v>4</v>
      </c>
      <c r="J43" s="62" t="s">
        <v>312</v>
      </c>
      <c r="K43" s="383">
        <v>24.444444444444443</v>
      </c>
      <c r="L43" s="338">
        <f t="shared" si="1"/>
        <v>133.58000000000001</v>
      </c>
      <c r="M43" s="382">
        <v>534.29999999999995</v>
      </c>
      <c r="N43" s="382"/>
      <c r="O43" s="382" t="s">
        <v>308</v>
      </c>
      <c r="P43" s="382" t="s">
        <v>317</v>
      </c>
    </row>
    <row r="44" spans="1:28" ht="27" customHeight="1">
      <c r="A44" s="261">
        <v>37</v>
      </c>
      <c r="B44" s="62" t="s">
        <v>268</v>
      </c>
      <c r="C44" s="62" t="s">
        <v>444</v>
      </c>
      <c r="D44" s="378" t="s">
        <v>374</v>
      </c>
      <c r="E44" s="391" t="s">
        <v>426</v>
      </c>
      <c r="F44" s="393" t="s">
        <v>394</v>
      </c>
      <c r="G44" s="261" t="s">
        <v>373</v>
      </c>
      <c r="H44" s="261" t="s">
        <v>238</v>
      </c>
      <c r="I44" s="62">
        <v>1</v>
      </c>
      <c r="J44" s="62" t="s">
        <v>313</v>
      </c>
      <c r="K44" s="383">
        <v>6.1111111111111107</v>
      </c>
      <c r="L44" s="338">
        <f t="shared" si="1"/>
        <v>133.58000000000001</v>
      </c>
      <c r="M44" s="382">
        <v>133.58000000000001</v>
      </c>
      <c r="N44" s="382"/>
      <c r="O44" s="382" t="s">
        <v>308</v>
      </c>
      <c r="P44" s="382" t="s">
        <v>317</v>
      </c>
    </row>
    <row r="45" spans="1:28" ht="27" customHeight="1">
      <c r="A45" s="261">
        <v>38</v>
      </c>
      <c r="B45" s="62" t="s">
        <v>268</v>
      </c>
      <c r="C45" s="62" t="s">
        <v>444</v>
      </c>
      <c r="D45" s="378" t="s">
        <v>375</v>
      </c>
      <c r="E45" s="391" t="s">
        <v>427</v>
      </c>
      <c r="F45" s="393" t="s">
        <v>394</v>
      </c>
      <c r="G45" s="261" t="s">
        <v>373</v>
      </c>
      <c r="H45" s="261" t="s">
        <v>238</v>
      </c>
      <c r="I45" s="62">
        <v>1</v>
      </c>
      <c r="J45" s="62" t="s">
        <v>313</v>
      </c>
      <c r="K45" s="383">
        <v>6.1111111111111107</v>
      </c>
      <c r="L45" s="338">
        <f t="shared" si="1"/>
        <v>133.58000000000001</v>
      </c>
      <c r="M45" s="382">
        <v>133.58000000000001</v>
      </c>
      <c r="N45" s="382"/>
      <c r="O45" s="382" t="s">
        <v>308</v>
      </c>
      <c r="P45" s="382" t="s">
        <v>317</v>
      </c>
    </row>
    <row r="46" spans="1:28" ht="27" customHeight="1">
      <c r="A46" s="261">
        <v>39</v>
      </c>
      <c r="B46" s="62" t="s">
        <v>247</v>
      </c>
      <c r="C46" s="62" t="s">
        <v>444</v>
      </c>
      <c r="D46" s="378" t="s">
        <v>376</v>
      </c>
      <c r="E46" s="391" t="s">
        <v>428</v>
      </c>
      <c r="F46" s="393" t="s">
        <v>394</v>
      </c>
      <c r="G46" s="261" t="s">
        <v>372</v>
      </c>
      <c r="H46" s="261" t="s">
        <v>238</v>
      </c>
      <c r="I46" s="62">
        <v>27</v>
      </c>
      <c r="J46" s="62" t="s">
        <v>312</v>
      </c>
      <c r="K46" s="382">
        <v>273.375</v>
      </c>
      <c r="L46" s="338">
        <f t="shared" si="1"/>
        <v>41.26</v>
      </c>
      <c r="M46" s="385">
        <v>1113.9349999999999</v>
      </c>
      <c r="N46" s="261" t="s">
        <v>282</v>
      </c>
      <c r="O46" s="261" t="s">
        <v>286</v>
      </c>
      <c r="P46" s="261" t="s">
        <v>316</v>
      </c>
      <c r="AB46" s="56" t="s">
        <v>325</v>
      </c>
    </row>
    <row r="47" spans="1:28" ht="27" customHeight="1">
      <c r="A47" s="261">
        <v>40</v>
      </c>
      <c r="B47" s="62" t="s">
        <v>247</v>
      </c>
      <c r="C47" s="62" t="s">
        <v>444</v>
      </c>
      <c r="D47" s="378" t="s">
        <v>377</v>
      </c>
      <c r="E47" s="391" t="s">
        <v>429</v>
      </c>
      <c r="F47" s="393" t="s">
        <v>394</v>
      </c>
      <c r="G47" s="261" t="s">
        <v>372</v>
      </c>
      <c r="H47" s="261" t="s">
        <v>238</v>
      </c>
      <c r="I47" s="62">
        <v>42</v>
      </c>
      <c r="J47" s="62" t="s">
        <v>312</v>
      </c>
      <c r="K47" s="382">
        <v>425.25</v>
      </c>
      <c r="L47" s="338">
        <f t="shared" si="1"/>
        <v>41.26</v>
      </c>
      <c r="M47" s="382">
        <v>1732.79</v>
      </c>
      <c r="N47" s="261" t="s">
        <v>283</v>
      </c>
      <c r="O47" s="261" t="s">
        <v>286</v>
      </c>
      <c r="P47" s="261" t="s">
        <v>316</v>
      </c>
      <c r="AB47" s="56" t="s">
        <v>325</v>
      </c>
    </row>
    <row r="48" spans="1:28" ht="27" customHeight="1">
      <c r="A48" s="261">
        <v>41</v>
      </c>
      <c r="B48" s="62" t="s">
        <v>247</v>
      </c>
      <c r="C48" s="62" t="s">
        <v>444</v>
      </c>
      <c r="D48" s="381" t="s">
        <v>378</v>
      </c>
      <c r="E48" s="391" t="s">
        <v>430</v>
      </c>
      <c r="F48" s="393" t="s">
        <v>394</v>
      </c>
      <c r="G48" s="261" t="s">
        <v>372</v>
      </c>
      <c r="H48" s="261" t="s">
        <v>238</v>
      </c>
      <c r="I48" s="62">
        <v>9</v>
      </c>
      <c r="J48" s="62" t="s">
        <v>312</v>
      </c>
      <c r="K48" s="382">
        <v>91.125</v>
      </c>
      <c r="L48" s="338">
        <f t="shared" si="1"/>
        <v>41.26</v>
      </c>
      <c r="M48" s="382">
        <v>371.31</v>
      </c>
      <c r="N48" s="261" t="s">
        <v>284</v>
      </c>
      <c r="O48" s="261" t="s">
        <v>286</v>
      </c>
      <c r="P48" s="261" t="s">
        <v>316</v>
      </c>
      <c r="AB48" s="56" t="s">
        <v>325</v>
      </c>
    </row>
    <row r="49" spans="1:28" ht="27" customHeight="1">
      <c r="A49" s="261">
        <v>42</v>
      </c>
      <c r="B49" s="62" t="s">
        <v>247</v>
      </c>
      <c r="C49" s="62" t="s">
        <v>444</v>
      </c>
      <c r="D49" s="381" t="s">
        <v>379</v>
      </c>
      <c r="E49" s="391" t="s">
        <v>431</v>
      </c>
      <c r="F49" s="393" t="s">
        <v>394</v>
      </c>
      <c r="G49" s="261" t="s">
        <v>372</v>
      </c>
      <c r="H49" s="261" t="s">
        <v>238</v>
      </c>
      <c r="I49" s="62">
        <v>2</v>
      </c>
      <c r="J49" s="62" t="s">
        <v>312</v>
      </c>
      <c r="K49" s="382">
        <v>20.25</v>
      </c>
      <c r="L49" s="338">
        <f t="shared" si="1"/>
        <v>41.24</v>
      </c>
      <c r="M49" s="385">
        <v>82.484999999999999</v>
      </c>
      <c r="N49" s="261" t="s">
        <v>285</v>
      </c>
      <c r="O49" s="261" t="s">
        <v>286</v>
      </c>
      <c r="P49" s="261" t="s">
        <v>316</v>
      </c>
      <c r="AB49" s="56" t="s">
        <v>325</v>
      </c>
    </row>
    <row r="50" spans="1:28" ht="27" customHeight="1">
      <c r="A50" s="261">
        <v>43</v>
      </c>
      <c r="B50" s="62" t="s">
        <v>255</v>
      </c>
      <c r="C50" s="62" t="s">
        <v>444</v>
      </c>
      <c r="D50" s="378" t="s">
        <v>231</v>
      </c>
      <c r="E50" s="391" t="s">
        <v>432</v>
      </c>
      <c r="F50" s="393" t="s">
        <v>433</v>
      </c>
      <c r="G50" s="261" t="s">
        <v>372</v>
      </c>
      <c r="H50" s="261" t="s">
        <v>238</v>
      </c>
      <c r="I50" s="62">
        <v>36</v>
      </c>
      <c r="J50" s="62" t="s">
        <v>312</v>
      </c>
      <c r="K50" s="382">
        <v>556.36363636363637</v>
      </c>
      <c r="L50" s="338">
        <f t="shared" si="1"/>
        <v>67.56</v>
      </c>
      <c r="M50" s="382">
        <v>2432.19</v>
      </c>
      <c r="N50" s="261" t="s">
        <v>233</v>
      </c>
      <c r="O50" s="261" t="s">
        <v>294</v>
      </c>
      <c r="P50" s="261" t="s">
        <v>316</v>
      </c>
      <c r="AB50" s="56" t="s">
        <v>325</v>
      </c>
    </row>
    <row r="51" spans="1:28" ht="27" customHeight="1">
      <c r="A51" s="261">
        <v>44</v>
      </c>
      <c r="B51" s="62" t="s">
        <v>255</v>
      </c>
      <c r="C51" s="62" t="s">
        <v>444</v>
      </c>
      <c r="D51" s="378" t="s">
        <v>232</v>
      </c>
      <c r="E51" s="391" t="s">
        <v>434</v>
      </c>
      <c r="F51" s="393" t="s">
        <v>433</v>
      </c>
      <c r="G51" s="261" t="s">
        <v>372</v>
      </c>
      <c r="H51" s="261" t="s">
        <v>238</v>
      </c>
      <c r="I51" s="62">
        <v>8</v>
      </c>
      <c r="J51" s="62" t="s">
        <v>312</v>
      </c>
      <c r="K51" s="382">
        <v>123.63636363636364</v>
      </c>
      <c r="L51" s="338">
        <f t="shared" si="1"/>
        <v>67.56</v>
      </c>
      <c r="M51" s="382">
        <v>540.49</v>
      </c>
      <c r="N51" s="261" t="s">
        <v>234</v>
      </c>
      <c r="O51" s="261" t="s">
        <v>294</v>
      </c>
      <c r="P51" s="261" t="s">
        <v>316</v>
      </c>
      <c r="AB51" s="56" t="s">
        <v>325</v>
      </c>
    </row>
    <row r="52" spans="1:28" ht="27" customHeight="1">
      <c r="A52" s="261">
        <v>45</v>
      </c>
      <c r="B52" s="62" t="s">
        <v>259</v>
      </c>
      <c r="C52" s="62" t="s">
        <v>444</v>
      </c>
      <c r="D52" s="387" t="s">
        <v>377</v>
      </c>
      <c r="E52" s="391" t="s">
        <v>435</v>
      </c>
      <c r="F52" s="393" t="s">
        <v>394</v>
      </c>
      <c r="G52" s="261" t="s">
        <v>373</v>
      </c>
      <c r="H52" s="261" t="s">
        <v>238</v>
      </c>
      <c r="I52" s="62">
        <v>27</v>
      </c>
      <c r="J52" s="62" t="s">
        <v>312</v>
      </c>
      <c r="K52" s="383">
        <v>236.25</v>
      </c>
      <c r="L52" s="338">
        <f t="shared" si="0"/>
        <v>41.26</v>
      </c>
      <c r="M52" s="385">
        <v>1113.9349999999999</v>
      </c>
      <c r="N52" s="382" t="s">
        <v>282</v>
      </c>
      <c r="O52" s="382" t="s">
        <v>286</v>
      </c>
      <c r="P52" s="382" t="s">
        <v>317</v>
      </c>
      <c r="AB52" s="56" t="s">
        <v>325</v>
      </c>
    </row>
    <row r="53" spans="1:28" ht="27" customHeight="1">
      <c r="A53" s="261">
        <v>46</v>
      </c>
      <c r="B53" s="62" t="s">
        <v>259</v>
      </c>
      <c r="C53" s="62" t="s">
        <v>444</v>
      </c>
      <c r="D53" s="387" t="s">
        <v>377</v>
      </c>
      <c r="E53" s="391" t="s">
        <v>435</v>
      </c>
      <c r="F53" s="393" t="s">
        <v>394</v>
      </c>
      <c r="G53" s="261" t="s">
        <v>373</v>
      </c>
      <c r="H53" s="261" t="s">
        <v>238</v>
      </c>
      <c r="I53" s="62">
        <v>42</v>
      </c>
      <c r="J53" s="62" t="s">
        <v>312</v>
      </c>
      <c r="K53" s="383">
        <v>367.5</v>
      </c>
      <c r="L53" s="338">
        <f t="shared" si="0"/>
        <v>41.26</v>
      </c>
      <c r="M53" s="382">
        <v>1732.79</v>
      </c>
      <c r="N53" s="382" t="s">
        <v>283</v>
      </c>
      <c r="O53" s="382" t="s">
        <v>286</v>
      </c>
      <c r="P53" s="382" t="s">
        <v>317</v>
      </c>
      <c r="AB53" s="56" t="s">
        <v>325</v>
      </c>
    </row>
    <row r="54" spans="1:28" ht="27" customHeight="1">
      <c r="A54" s="261">
        <v>47</v>
      </c>
      <c r="B54" s="62" t="s">
        <v>259</v>
      </c>
      <c r="C54" s="62" t="s">
        <v>444</v>
      </c>
      <c r="D54" s="387" t="s">
        <v>378</v>
      </c>
      <c r="E54" s="391" t="s">
        <v>436</v>
      </c>
      <c r="F54" s="393" t="s">
        <v>394</v>
      </c>
      <c r="G54" s="261" t="s">
        <v>373</v>
      </c>
      <c r="H54" s="261" t="s">
        <v>238</v>
      </c>
      <c r="I54" s="62">
        <v>9</v>
      </c>
      <c r="J54" s="62" t="s">
        <v>312</v>
      </c>
      <c r="K54" s="383">
        <v>78.75</v>
      </c>
      <c r="L54" s="338">
        <f t="shared" si="0"/>
        <v>41.26</v>
      </c>
      <c r="M54" s="382">
        <v>371.31</v>
      </c>
      <c r="N54" s="382" t="s">
        <v>284</v>
      </c>
      <c r="O54" s="382" t="s">
        <v>286</v>
      </c>
      <c r="P54" s="382" t="s">
        <v>317</v>
      </c>
      <c r="AB54" s="56" t="s">
        <v>325</v>
      </c>
    </row>
    <row r="55" spans="1:28" ht="27" customHeight="1">
      <c r="A55" s="261">
        <v>48</v>
      </c>
      <c r="B55" s="62" t="s">
        <v>259</v>
      </c>
      <c r="C55" s="62" t="s">
        <v>444</v>
      </c>
      <c r="D55" s="387" t="s">
        <v>379</v>
      </c>
      <c r="E55" s="391" t="s">
        <v>437</v>
      </c>
      <c r="F55" s="393" t="s">
        <v>394</v>
      </c>
      <c r="G55" s="261" t="s">
        <v>373</v>
      </c>
      <c r="H55" s="261" t="s">
        <v>238</v>
      </c>
      <c r="I55" s="62">
        <v>2</v>
      </c>
      <c r="J55" s="62" t="s">
        <v>312</v>
      </c>
      <c r="K55" s="383">
        <v>17.5</v>
      </c>
      <c r="L55" s="338">
        <f t="shared" si="0"/>
        <v>41.24</v>
      </c>
      <c r="M55" s="385">
        <v>82.484999999999999</v>
      </c>
      <c r="N55" s="382" t="s">
        <v>285</v>
      </c>
      <c r="O55" s="382" t="s">
        <v>286</v>
      </c>
      <c r="P55" s="382" t="s">
        <v>317</v>
      </c>
      <c r="AB55" s="56" t="s">
        <v>325</v>
      </c>
    </row>
    <row r="56" spans="1:28" ht="27" customHeight="1">
      <c r="A56" s="261">
        <v>49</v>
      </c>
      <c r="B56" s="62" t="s">
        <v>267</v>
      </c>
      <c r="C56" s="62" t="s">
        <v>444</v>
      </c>
      <c r="D56" s="378" t="s">
        <v>231</v>
      </c>
      <c r="E56" s="391" t="s">
        <v>438</v>
      </c>
      <c r="F56" s="393" t="s">
        <v>433</v>
      </c>
      <c r="G56" s="261" t="s">
        <v>373</v>
      </c>
      <c r="H56" s="261" t="s">
        <v>238</v>
      </c>
      <c r="I56" s="62">
        <v>36</v>
      </c>
      <c r="J56" s="62" t="s">
        <v>312</v>
      </c>
      <c r="K56" s="383">
        <v>556.36363636363637</v>
      </c>
      <c r="L56" s="338">
        <f t="shared" si="0"/>
        <v>67.56</v>
      </c>
      <c r="M56" s="382">
        <v>2432.19</v>
      </c>
      <c r="N56" s="382" t="s">
        <v>233</v>
      </c>
      <c r="O56" s="382" t="s">
        <v>294</v>
      </c>
      <c r="P56" s="382" t="s">
        <v>317</v>
      </c>
      <c r="AB56" s="56" t="s">
        <v>325</v>
      </c>
    </row>
    <row r="57" spans="1:28" ht="27" customHeight="1">
      <c r="A57" s="261">
        <v>50</v>
      </c>
      <c r="B57" s="62" t="s">
        <v>267</v>
      </c>
      <c r="C57" s="62" t="s">
        <v>444</v>
      </c>
      <c r="D57" s="378" t="s">
        <v>232</v>
      </c>
      <c r="E57" s="392" t="s">
        <v>439</v>
      </c>
      <c r="F57" s="394" t="s">
        <v>433</v>
      </c>
      <c r="G57" s="261" t="s">
        <v>373</v>
      </c>
      <c r="H57" s="261" t="s">
        <v>238</v>
      </c>
      <c r="I57" s="62">
        <v>8</v>
      </c>
      <c r="J57" s="62" t="s">
        <v>312</v>
      </c>
      <c r="K57" s="383">
        <v>123.63636363636364</v>
      </c>
      <c r="L57" s="338">
        <f t="shared" si="0"/>
        <v>67.56</v>
      </c>
      <c r="M57" s="382">
        <v>540.49</v>
      </c>
      <c r="N57" s="382" t="s">
        <v>234</v>
      </c>
      <c r="O57" s="382" t="s">
        <v>294</v>
      </c>
      <c r="P57" s="382" t="s">
        <v>317</v>
      </c>
      <c r="AB57" s="56" t="s">
        <v>325</v>
      </c>
    </row>
    <row r="58" spans="1:28" ht="26.85" customHeight="1">
      <c r="A58" s="66"/>
      <c r="B58" s="67"/>
      <c r="C58" s="68"/>
      <c r="D58" s="68"/>
      <c r="E58" s="68"/>
      <c r="F58" s="364"/>
      <c r="G58" s="69"/>
      <c r="H58" s="69"/>
      <c r="I58" s="475" t="s">
        <v>144</v>
      </c>
      <c r="J58" s="475"/>
      <c r="K58" s="475"/>
      <c r="L58" s="475"/>
      <c r="M58" s="264">
        <f>SUM(M8:M57)</f>
        <v>246032.6399999999</v>
      </c>
      <c r="N58" s="264"/>
      <c r="O58" s="264"/>
      <c r="P58" s="264"/>
      <c r="Q58" s="262" t="e">
        <f>ROUND(#REF!/SUM(#REF!),5)*#REF!</f>
        <v>#REF!</v>
      </c>
      <c r="R58" s="388"/>
      <c r="Z58" s="64"/>
    </row>
    <row r="59" spans="1:28" ht="26.85" customHeight="1">
      <c r="A59" s="71"/>
      <c r="B59" s="72"/>
      <c r="C59" s="65"/>
      <c r="D59" s="65"/>
      <c r="E59" s="65"/>
      <c r="F59" s="75"/>
      <c r="G59" s="73"/>
      <c r="H59" s="73"/>
      <c r="I59" s="75"/>
      <c r="J59" s="75"/>
      <c r="K59" s="75"/>
      <c r="L59" s="65"/>
      <c r="M59" s="72"/>
      <c r="N59" s="72"/>
      <c r="O59" s="72"/>
      <c r="P59" s="72"/>
      <c r="Q59" s="262" t="e">
        <f>ROUND(#REF!/SUM(#REF!),5)*#REF!</f>
        <v>#REF!</v>
      </c>
      <c r="R59" s="388"/>
      <c r="Z59" s="64"/>
    </row>
    <row r="60" spans="1:28" ht="26.85" customHeight="1">
      <c r="Q60" s="262" t="e">
        <f>ROUND($R$60/SUM(#REF!),5)*#REF!</f>
        <v>#REF!</v>
      </c>
      <c r="R60" s="384">
        <v>9817.5</v>
      </c>
      <c r="Z60" s="64"/>
    </row>
    <row r="61" spans="1:28" ht="26.85" customHeight="1">
      <c r="K61" s="265"/>
      <c r="Q61" s="262" t="e">
        <f>ROUND($R$60/SUM(#REF!),5)*#REF!</f>
        <v>#REF!</v>
      </c>
      <c r="S61" s="386"/>
      <c r="Z61" s="64"/>
    </row>
    <row r="62" spans="1:28" ht="26.85" customHeight="1">
      <c r="K62" s="265"/>
      <c r="R62" s="384">
        <f>SUM(Y6:Y7)</f>
        <v>26775</v>
      </c>
      <c r="Z62" s="64"/>
    </row>
    <row r="63" spans="1:28" ht="26.85" customHeight="1">
      <c r="R63" s="384">
        <v>14280</v>
      </c>
      <c r="Z63" s="64"/>
    </row>
    <row r="64" spans="1:28" ht="26.85" customHeight="1">
      <c r="Q64" s="262" t="e">
        <f>ROUND($R$64/SUM(#REF!),5)*#REF!</f>
        <v>#REF!</v>
      </c>
      <c r="R64" s="384">
        <v>9817.5</v>
      </c>
      <c r="Z64" s="64"/>
    </row>
    <row r="65" spans="17:26" ht="26.85" customHeight="1">
      <c r="Q65" s="262" t="e">
        <f>ROUND($R$64/SUM(#REF!),5)*#REF!</f>
        <v>#REF!</v>
      </c>
      <c r="R65" s="384"/>
      <c r="Z65" s="64"/>
    </row>
    <row r="66" spans="17:26" ht="26.85" customHeight="1">
      <c r="Q66" s="262" t="e">
        <f>ROUND($R$64/SUM(#REF!),5)*#REF!</f>
        <v>#REF!</v>
      </c>
      <c r="R66" s="384"/>
      <c r="Z66" s="64"/>
    </row>
    <row r="67" spans="17:26" ht="26.85" customHeight="1">
      <c r="Q67" s="262" t="e">
        <f>ROUND($R$64/SUM(#REF!),5)*#REF!</f>
        <v>#REF!</v>
      </c>
      <c r="R67" s="384"/>
      <c r="Z67" s="64"/>
    </row>
    <row r="68" spans="17:26" ht="26.85" customHeight="1">
      <c r="Q68" s="262" t="e">
        <f>ROUND($R$64/SUM(#REF!),5)*#REF!</f>
        <v>#REF!</v>
      </c>
      <c r="R68" s="384"/>
      <c r="Z68" s="64"/>
    </row>
    <row r="69" spans="17:26" ht="26.85" customHeight="1">
      <c r="Q69" s="262" t="e">
        <f>ROUND($R$64/SUM(#REF!),5)*#REF!</f>
        <v>#REF!</v>
      </c>
      <c r="R69" s="384"/>
      <c r="Z69" s="64"/>
    </row>
    <row r="70" spans="17:26" ht="26.85" customHeight="1">
      <c r="Q70" s="262" t="e">
        <f>ROUND($R$64/SUM(#REF!),5)*#REF!</f>
        <v>#REF!</v>
      </c>
      <c r="R70" s="384"/>
      <c r="Z70" s="64"/>
    </row>
    <row r="71" spans="17:26" ht="26.85" customHeight="1">
      <c r="Q71" s="262" t="e">
        <f>ROUND($R$64/SUM(#REF!),5)*#REF!</f>
        <v>#REF!</v>
      </c>
      <c r="R71" s="384"/>
      <c r="Z71" s="64"/>
    </row>
    <row r="72" spans="17:26" ht="26.85" customHeight="1">
      <c r="Q72" s="262" t="e">
        <f>ROUND($R$72/SUM(#REF!),5)*#REF!</f>
        <v>#REF!</v>
      </c>
      <c r="R72" s="384">
        <v>15172.5</v>
      </c>
      <c r="Z72" s="64"/>
    </row>
    <row r="73" spans="17:26" ht="26.85" customHeight="1">
      <c r="Q73" s="262" t="e">
        <f>ROUND($R$72/SUM(#REF!),5)*#REF!</f>
        <v>#REF!</v>
      </c>
      <c r="R73" s="384"/>
      <c r="T73" s="56">
        <v>122.5</v>
      </c>
      <c r="Z73" s="64"/>
    </row>
    <row r="74" spans="17:26" ht="26.85" customHeight="1">
      <c r="Q74" s="262" t="e">
        <f>ROUND($R$72/SUM(#REF!),5)*#REF!</f>
        <v>#REF!</v>
      </c>
      <c r="R74" s="384"/>
      <c r="Z74" s="64"/>
    </row>
    <row r="75" spans="17:26" ht="26.85" customHeight="1">
      <c r="Q75" s="262" t="e">
        <f>ROUND($R$72/SUM(#REF!),5)*#REF!</f>
        <v>#REF!</v>
      </c>
      <c r="R75" s="384"/>
      <c r="Z75" s="64"/>
    </row>
    <row r="76" spans="17:26" ht="26.85" customHeight="1">
      <c r="Q76" s="262" t="e">
        <f>ROUND($R$72/SUM(#REF!),5)*#REF!</f>
        <v>#REF!</v>
      </c>
      <c r="R76" s="384"/>
      <c r="Z76" s="64"/>
    </row>
    <row r="77" spans="17:26" ht="26.85" customHeight="1">
      <c r="Q77" s="262" t="e">
        <f>ROUND($R$72/SUM(#REF!),5)*#REF!</f>
        <v>#REF!</v>
      </c>
      <c r="R77" s="384"/>
      <c r="Z77" s="64"/>
    </row>
    <row r="78" spans="17:26" ht="26.85" customHeight="1">
      <c r="Q78" s="262" t="e">
        <f>ROUND($R$78/SUM(#REF!),5)*#REF!</f>
        <v>#REF!</v>
      </c>
      <c r="R78" s="384">
        <v>892.5</v>
      </c>
      <c r="Z78" s="64"/>
    </row>
    <row r="79" spans="17:26" ht="26.85" customHeight="1">
      <c r="Q79" s="262" t="e">
        <f>ROUND($R$78/SUM(#REF!),5)*#REF!</f>
        <v>#REF!</v>
      </c>
      <c r="R79" s="384"/>
      <c r="Z79" s="64"/>
    </row>
    <row r="80" spans="17:26" ht="26.85" customHeight="1">
      <c r="Q80" s="262" t="e">
        <f>ROUND($R$78/SUM(#REF!),5)*#REF!</f>
        <v>#REF!</v>
      </c>
      <c r="R80" s="384"/>
      <c r="Z80" s="64"/>
    </row>
    <row r="81" spans="17:26" ht="26.85" customHeight="1">
      <c r="Q81" s="262" t="e">
        <f>ROUND($R$78/SUM(#REF!),5)*#REF!</f>
        <v>#REF!</v>
      </c>
      <c r="R81" s="384"/>
      <c r="Z81" s="64"/>
    </row>
    <row r="82" spans="17:26" ht="14.1" customHeight="1">
      <c r="Q82" s="64"/>
      <c r="R82" s="384"/>
    </row>
    <row r="83" spans="17:26" ht="14.1" customHeight="1">
      <c r="R83" s="384"/>
    </row>
    <row r="84" spans="17:26">
      <c r="R84" s="384"/>
    </row>
    <row r="85" spans="17:26">
      <c r="R85" s="384"/>
    </row>
  </sheetData>
  <autoFilter ref="A7:Z81" xr:uid="{00000000-0001-0000-0100-000000000000}"/>
  <mergeCells count="3">
    <mergeCell ref="I58:L58"/>
    <mergeCell ref="A5:B5"/>
    <mergeCell ref="I5:K5"/>
  </mergeCells>
  <phoneticPr fontId="33" type="noConversion"/>
  <conditionalFormatting sqref="E58:F1048576 E1:F6">
    <cfRule type="duplicateValues" dxfId="2" priority="8"/>
  </conditionalFormatting>
  <printOptions horizontalCentered="1"/>
  <pageMargins left="0.70866141732283472" right="0.31496062992125984" top="0.74803149606299213" bottom="0.74803149606299213" header="0.31496062992125984" footer="0.31496062992125984"/>
  <pageSetup paperSize="9" scale="55"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C2323-0BD2-4771-9853-843E819EA627}">
  <sheetPr>
    <tabColor rgb="FFFFC000"/>
    <pageSetUpPr fitToPage="1"/>
  </sheetPr>
  <dimension ref="A4:AC85"/>
  <sheetViews>
    <sheetView showGridLines="0" view="pageBreakPreview" topLeftCell="D37" zoomScale="90" zoomScaleNormal="100" zoomScaleSheetLayoutView="90" workbookViewId="0">
      <selection activeCell="B26" sqref="B26:F27"/>
    </sheetView>
  </sheetViews>
  <sheetFormatPr defaultColWidth="8.76953125" defaultRowHeight="14.25"/>
  <cols>
    <col min="1" max="1" width="6.546875" style="56" customWidth="1"/>
    <col min="2" max="2" width="19.99609375" style="56" customWidth="1"/>
    <col min="3" max="3" width="37.421875" style="56" customWidth="1"/>
    <col min="4" max="4" width="91.80078125" style="56" customWidth="1"/>
    <col min="5" max="5" width="7.3671875" style="56" bestFit="1" customWidth="1"/>
    <col min="6" max="6" width="11.34375" style="56" customWidth="1"/>
    <col min="7" max="7" width="9.703125" style="56" customWidth="1"/>
    <col min="8" max="8" width="8.65234375" style="61" customWidth="1"/>
    <col min="9" max="9" width="5.37890625" style="61" customWidth="1"/>
    <col min="10" max="10" width="9.8203125" style="61" bestFit="1" customWidth="1"/>
    <col min="11" max="11" width="10.9921875" style="56" customWidth="1"/>
    <col min="12" max="13" width="12.86328125" style="56" customWidth="1"/>
    <col min="14" max="14" width="36.13671875" style="56" customWidth="1"/>
    <col min="15" max="15" width="12.51171875" style="56" bestFit="1" customWidth="1"/>
    <col min="16" max="16" width="9.703125" style="56" hidden="1" customWidth="1"/>
    <col min="17" max="18" width="9.5859375" style="56" hidden="1" customWidth="1"/>
    <col min="19" max="24" width="0" style="56" hidden="1" customWidth="1"/>
    <col min="25" max="25" width="10.40625" style="56" bestFit="1" customWidth="1"/>
    <col min="26" max="26" width="8.76953125" style="56"/>
    <col min="27" max="27" width="9.5859375" style="56" customWidth="1"/>
    <col min="28" max="28" width="11.69140625" style="56" customWidth="1"/>
    <col min="29" max="16384" width="8.76953125" style="56"/>
  </cols>
  <sheetData>
    <row r="4" spans="1:24">
      <c r="W4" s="56">
        <v>1</v>
      </c>
      <c r="X4" s="56">
        <v>15750</v>
      </c>
    </row>
    <row r="5" spans="1:24">
      <c r="A5" s="476" t="s">
        <v>159</v>
      </c>
      <c r="B5" s="476"/>
      <c r="C5" s="57" t="str">
        <f>'Commercial Invoice'!H5</f>
        <v>OM4-DE-IS-0005</v>
      </c>
      <c r="D5" s="57"/>
      <c r="E5" s="57"/>
      <c r="F5" s="58"/>
      <c r="G5" s="57" t="s">
        <v>128</v>
      </c>
      <c r="H5" s="477"/>
      <c r="I5" s="477"/>
      <c r="J5" s="477"/>
      <c r="K5" s="59"/>
      <c r="L5" s="147"/>
      <c r="M5" s="147"/>
      <c r="N5" s="147" t="str">
        <f>'Commercial Invoice'!G6</f>
        <v>DATE:</v>
      </c>
      <c r="O5" s="147">
        <f>'Commercial Invoice'!H6</f>
        <v>46171</v>
      </c>
      <c r="W5" s="56">
        <v>2</v>
      </c>
      <c r="X5" s="56">
        <v>9817.5</v>
      </c>
    </row>
    <row r="6" spans="1:24">
      <c r="B6" s="60"/>
      <c r="C6" s="60"/>
      <c r="D6" s="60"/>
      <c r="E6" s="60"/>
      <c r="W6" s="56">
        <v>3</v>
      </c>
      <c r="X6" s="56">
        <v>14280</v>
      </c>
    </row>
    <row r="7" spans="1:24" ht="47.25" customHeight="1">
      <c r="A7" s="259" t="s">
        <v>27</v>
      </c>
      <c r="B7" s="260" t="s">
        <v>28</v>
      </c>
      <c r="C7" s="366" t="s">
        <v>18</v>
      </c>
      <c r="D7" s="364"/>
      <c r="E7" s="364"/>
      <c r="F7" s="261" t="s">
        <v>29</v>
      </c>
      <c r="G7" s="261" t="s">
        <v>30</v>
      </c>
      <c r="H7" s="62" t="s">
        <v>20</v>
      </c>
      <c r="I7" s="62" t="s">
        <v>19</v>
      </c>
      <c r="J7" s="261" t="s">
        <v>160</v>
      </c>
      <c r="K7" s="261" t="s">
        <v>21</v>
      </c>
      <c r="L7" s="261" t="s">
        <v>22</v>
      </c>
      <c r="M7" s="261" t="s">
        <v>270</v>
      </c>
      <c r="N7" s="261" t="s">
        <v>273</v>
      </c>
      <c r="O7" s="261" t="s">
        <v>207</v>
      </c>
      <c r="W7" s="56">
        <v>4</v>
      </c>
      <c r="X7" s="56">
        <v>12495.000000000002</v>
      </c>
    </row>
    <row r="8" spans="1:24" ht="39" customHeight="1">
      <c r="A8" s="259">
        <v>1</v>
      </c>
      <c r="B8" s="260" t="s">
        <v>245</v>
      </c>
      <c r="C8" s="328" t="s">
        <v>208</v>
      </c>
      <c r="D8" s="381" t="s">
        <v>338</v>
      </c>
      <c r="E8" s="378">
        <v>73089099</v>
      </c>
      <c r="F8" s="261" t="s">
        <v>218</v>
      </c>
      <c r="G8" s="261" t="s">
        <v>238</v>
      </c>
      <c r="H8" s="62">
        <v>4</v>
      </c>
      <c r="I8" s="62" t="s">
        <v>312</v>
      </c>
      <c r="J8" s="329">
        <v>300</v>
      </c>
      <c r="K8" s="338">
        <v>2423.5</v>
      </c>
      <c r="L8" s="329">
        <v>9693.98</v>
      </c>
      <c r="M8" s="261" t="s">
        <v>272</v>
      </c>
      <c r="N8" s="261"/>
      <c r="O8" s="261" t="s">
        <v>316</v>
      </c>
    </row>
    <row r="9" spans="1:24" ht="39" customHeight="1">
      <c r="A9" s="259">
        <v>2</v>
      </c>
      <c r="B9" s="260" t="s">
        <v>246</v>
      </c>
      <c r="C9" s="294" t="s">
        <v>208</v>
      </c>
      <c r="D9" s="381" t="s">
        <v>339</v>
      </c>
      <c r="E9" s="378">
        <v>73089099</v>
      </c>
      <c r="F9" s="261" t="s">
        <v>218</v>
      </c>
      <c r="G9" s="261" t="s">
        <v>238</v>
      </c>
      <c r="H9" s="62">
        <v>1</v>
      </c>
      <c r="I9" s="62" t="s">
        <v>313</v>
      </c>
      <c r="J9" s="329">
        <v>55.555555555555557</v>
      </c>
      <c r="K9" s="338">
        <v>4350.9399999999996</v>
      </c>
      <c r="L9" s="329">
        <v>4350.9399999999996</v>
      </c>
      <c r="M9" s="261" t="s">
        <v>275</v>
      </c>
      <c r="N9" s="261"/>
      <c r="O9" s="261" t="s">
        <v>316</v>
      </c>
    </row>
    <row r="10" spans="1:24" ht="39" customHeight="1">
      <c r="A10" s="259">
        <v>3</v>
      </c>
      <c r="B10" s="260" t="s">
        <v>246</v>
      </c>
      <c r="C10" s="294" t="s">
        <v>208</v>
      </c>
      <c r="D10" s="381" t="s">
        <v>340</v>
      </c>
      <c r="E10" s="378">
        <v>73089099</v>
      </c>
      <c r="F10" s="261" t="s">
        <v>218</v>
      </c>
      <c r="G10" s="261" t="s">
        <v>238</v>
      </c>
      <c r="H10" s="62">
        <v>1</v>
      </c>
      <c r="I10" s="62" t="s">
        <v>313</v>
      </c>
      <c r="J10" s="329">
        <v>55.555555555555557</v>
      </c>
      <c r="K10" s="338">
        <v>4350.9399999999996</v>
      </c>
      <c r="L10" s="329">
        <v>4350.9399999999996</v>
      </c>
      <c r="M10" s="261" t="s">
        <v>276</v>
      </c>
      <c r="N10" s="261"/>
      <c r="O10" s="261" t="s">
        <v>316</v>
      </c>
    </row>
    <row r="11" spans="1:24" ht="39" customHeight="1">
      <c r="A11" s="259">
        <v>4</v>
      </c>
      <c r="B11" s="260" t="s">
        <v>246</v>
      </c>
      <c r="C11" s="294" t="s">
        <v>208</v>
      </c>
      <c r="D11" s="381" t="s">
        <v>341</v>
      </c>
      <c r="E11" s="378">
        <v>73089099</v>
      </c>
      <c r="F11" s="261" t="s">
        <v>218</v>
      </c>
      <c r="G11" s="261" t="s">
        <v>238</v>
      </c>
      <c r="H11" s="62">
        <v>1</v>
      </c>
      <c r="I11" s="62" t="s">
        <v>313</v>
      </c>
      <c r="J11" s="329">
        <v>55.555555555555557</v>
      </c>
      <c r="K11" s="338">
        <v>4350.9399999999996</v>
      </c>
      <c r="L11" s="329">
        <v>4350.9399999999996</v>
      </c>
      <c r="M11" s="261" t="s">
        <v>277</v>
      </c>
      <c r="N11" s="261"/>
      <c r="O11" s="261" t="s">
        <v>316</v>
      </c>
    </row>
    <row r="12" spans="1:24" ht="39" customHeight="1">
      <c r="A12" s="259">
        <v>5</v>
      </c>
      <c r="B12" s="260" t="s">
        <v>246</v>
      </c>
      <c r="C12" s="294" t="s">
        <v>208</v>
      </c>
      <c r="D12" s="381" t="s">
        <v>342</v>
      </c>
      <c r="E12" s="378">
        <v>73089099</v>
      </c>
      <c r="F12" s="261" t="s">
        <v>218</v>
      </c>
      <c r="G12" s="261" t="s">
        <v>238</v>
      </c>
      <c r="H12" s="62">
        <v>1</v>
      </c>
      <c r="I12" s="62" t="s">
        <v>313</v>
      </c>
      <c r="J12" s="329">
        <v>55.555555555555557</v>
      </c>
      <c r="K12" s="338">
        <v>4350.9399999999996</v>
      </c>
      <c r="L12" s="329">
        <v>4350.9399999999996</v>
      </c>
      <c r="M12" s="261" t="s">
        <v>278</v>
      </c>
      <c r="N12" s="261"/>
      <c r="O12" s="261" t="s">
        <v>316</v>
      </c>
    </row>
    <row r="13" spans="1:24" ht="39" customHeight="1">
      <c r="A13" s="259">
        <v>6</v>
      </c>
      <c r="B13" s="260" t="s">
        <v>246</v>
      </c>
      <c r="C13" s="294" t="s">
        <v>208</v>
      </c>
      <c r="D13" s="381" t="s">
        <v>343</v>
      </c>
      <c r="E13" s="378">
        <v>73089099</v>
      </c>
      <c r="F13" s="261" t="s">
        <v>218</v>
      </c>
      <c r="G13" s="261" t="s">
        <v>238</v>
      </c>
      <c r="H13" s="62">
        <v>2</v>
      </c>
      <c r="I13" s="62" t="s">
        <v>312</v>
      </c>
      <c r="J13" s="329">
        <v>111.11111111111111</v>
      </c>
      <c r="K13" s="338">
        <v>2782.64</v>
      </c>
      <c r="L13" s="329">
        <v>5565.27</v>
      </c>
      <c r="M13" s="261" t="s">
        <v>279</v>
      </c>
      <c r="N13" s="261"/>
      <c r="O13" s="261" t="s">
        <v>316</v>
      </c>
    </row>
    <row r="14" spans="1:24" ht="39" customHeight="1">
      <c r="A14" s="259">
        <v>7</v>
      </c>
      <c r="B14" s="260" t="s">
        <v>246</v>
      </c>
      <c r="C14" s="294" t="s">
        <v>287</v>
      </c>
      <c r="D14" s="381" t="s">
        <v>344</v>
      </c>
      <c r="E14" s="378">
        <v>73089099</v>
      </c>
      <c r="F14" s="261" t="s">
        <v>218</v>
      </c>
      <c r="G14" s="261" t="s">
        <v>238</v>
      </c>
      <c r="H14" s="62">
        <v>2</v>
      </c>
      <c r="I14" s="62" t="s">
        <v>312</v>
      </c>
      <c r="J14" s="329">
        <v>111.11111111111111</v>
      </c>
      <c r="K14" s="338">
        <v>2782.64</v>
      </c>
      <c r="L14" s="329">
        <v>5565.27</v>
      </c>
      <c r="M14" s="261" t="s">
        <v>280</v>
      </c>
      <c r="N14" s="261"/>
      <c r="O14" s="261" t="s">
        <v>316</v>
      </c>
    </row>
    <row r="15" spans="1:24" ht="39" customHeight="1">
      <c r="A15" s="259">
        <v>8</v>
      </c>
      <c r="B15" s="260" t="s">
        <v>246</v>
      </c>
      <c r="C15" s="294" t="s">
        <v>208</v>
      </c>
      <c r="D15" s="381" t="s">
        <v>345</v>
      </c>
      <c r="E15" s="378">
        <v>73089099</v>
      </c>
      <c r="F15" s="261" t="s">
        <v>218</v>
      </c>
      <c r="G15" s="261" t="s">
        <v>238</v>
      </c>
      <c r="H15" s="62">
        <v>1</v>
      </c>
      <c r="I15" s="62" t="s">
        <v>313</v>
      </c>
      <c r="J15" s="329">
        <v>55.555555555555557</v>
      </c>
      <c r="K15" s="338">
        <v>4350.9399999999996</v>
      </c>
      <c r="L15" s="329">
        <v>4350.9399999999996</v>
      </c>
      <c r="M15" s="261" t="s">
        <v>281</v>
      </c>
      <c r="N15" s="261"/>
      <c r="O15" s="261" t="s">
        <v>316</v>
      </c>
    </row>
    <row r="16" spans="1:24" ht="39" customHeight="1">
      <c r="A16" s="259">
        <v>13</v>
      </c>
      <c r="B16" s="260" t="s">
        <v>248</v>
      </c>
      <c r="C16" s="294" t="s">
        <v>226</v>
      </c>
      <c r="D16" s="381" t="s">
        <v>346</v>
      </c>
      <c r="E16" s="378">
        <v>73089099</v>
      </c>
      <c r="F16" s="261" t="s">
        <v>218</v>
      </c>
      <c r="G16" s="261" t="s">
        <v>238</v>
      </c>
      <c r="H16" s="62">
        <v>1</v>
      </c>
      <c r="I16" s="62" t="s">
        <v>313</v>
      </c>
      <c r="J16" s="329">
        <v>447</v>
      </c>
      <c r="K16" s="338">
        <v>9770.49</v>
      </c>
      <c r="L16" s="329">
        <v>9770.49</v>
      </c>
      <c r="M16" s="261" t="s">
        <v>290</v>
      </c>
      <c r="N16" s="261" t="s">
        <v>291</v>
      </c>
      <c r="O16" s="261" t="s">
        <v>316</v>
      </c>
    </row>
    <row r="17" spans="1:29" ht="39" customHeight="1">
      <c r="A17" s="259">
        <v>14</v>
      </c>
      <c r="B17" s="260" t="s">
        <v>249</v>
      </c>
      <c r="C17" s="294" t="s">
        <v>226</v>
      </c>
      <c r="D17" s="381" t="s">
        <v>347</v>
      </c>
      <c r="E17" s="378">
        <v>73089099</v>
      </c>
      <c r="F17" s="261" t="s">
        <v>218</v>
      </c>
      <c r="G17" s="261" t="s">
        <v>238</v>
      </c>
      <c r="H17" s="62">
        <v>1</v>
      </c>
      <c r="I17" s="62" t="s">
        <v>313</v>
      </c>
      <c r="J17" s="329">
        <v>676</v>
      </c>
      <c r="K17" s="338">
        <v>14775.95</v>
      </c>
      <c r="L17" s="329">
        <v>14775.95</v>
      </c>
      <c r="M17" s="261" t="s">
        <v>292</v>
      </c>
      <c r="N17" s="261" t="s">
        <v>291</v>
      </c>
      <c r="O17" s="261" t="s">
        <v>316</v>
      </c>
    </row>
    <row r="18" spans="1:29" ht="39" customHeight="1">
      <c r="A18" s="259">
        <v>15</v>
      </c>
      <c r="B18" s="260" t="s">
        <v>250</v>
      </c>
      <c r="C18" s="294" t="s">
        <v>300</v>
      </c>
      <c r="D18" s="381" t="s">
        <v>348</v>
      </c>
      <c r="E18" s="378">
        <v>73089099</v>
      </c>
      <c r="F18" s="261" t="s">
        <v>218</v>
      </c>
      <c r="G18" s="261" t="s">
        <v>238</v>
      </c>
      <c r="H18" s="62">
        <v>2</v>
      </c>
      <c r="I18" s="62" t="s">
        <v>312</v>
      </c>
      <c r="J18" s="329">
        <v>540</v>
      </c>
      <c r="K18" s="338">
        <v>5901.64</v>
      </c>
      <c r="L18" s="329">
        <v>11803.27</v>
      </c>
      <c r="M18" s="261" t="s">
        <v>293</v>
      </c>
      <c r="N18" s="261" t="s">
        <v>294</v>
      </c>
      <c r="O18" s="261" t="s">
        <v>316</v>
      </c>
    </row>
    <row r="19" spans="1:29" ht="39" customHeight="1">
      <c r="A19" s="259">
        <v>16</v>
      </c>
      <c r="B19" s="260" t="s">
        <v>251</v>
      </c>
      <c r="C19" s="294" t="s">
        <v>227</v>
      </c>
      <c r="D19" s="381" t="s">
        <v>349</v>
      </c>
      <c r="E19" s="378">
        <v>73089099</v>
      </c>
      <c r="F19" s="261" t="s">
        <v>218</v>
      </c>
      <c r="G19" s="261" t="s">
        <v>238</v>
      </c>
      <c r="H19" s="62">
        <v>2</v>
      </c>
      <c r="I19" s="62" t="s">
        <v>312</v>
      </c>
      <c r="J19" s="329">
        <v>540</v>
      </c>
      <c r="K19" s="338">
        <v>5901.64</v>
      </c>
      <c r="L19" s="329">
        <v>11803.27</v>
      </c>
      <c r="M19" s="261" t="s">
        <v>293</v>
      </c>
      <c r="N19" s="261" t="s">
        <v>294</v>
      </c>
      <c r="O19" s="261" t="s">
        <v>316</v>
      </c>
    </row>
    <row r="20" spans="1:29" ht="39" customHeight="1">
      <c r="A20" s="259">
        <v>17</v>
      </c>
      <c r="B20" s="260" t="s">
        <v>252</v>
      </c>
      <c r="C20" s="294" t="s">
        <v>228</v>
      </c>
      <c r="D20" s="381" t="s">
        <v>350</v>
      </c>
      <c r="E20" s="378">
        <v>73089099</v>
      </c>
      <c r="F20" s="261" t="s">
        <v>218</v>
      </c>
      <c r="G20" s="261" t="s">
        <v>238</v>
      </c>
      <c r="H20" s="62">
        <v>2</v>
      </c>
      <c r="I20" s="62" t="s">
        <v>312</v>
      </c>
      <c r="J20" s="329">
        <v>540</v>
      </c>
      <c r="K20" s="338">
        <v>5901.64</v>
      </c>
      <c r="L20" s="329">
        <v>11803.27</v>
      </c>
      <c r="M20" s="261" t="s">
        <v>293</v>
      </c>
      <c r="N20" s="261" t="s">
        <v>294</v>
      </c>
      <c r="O20" s="261" t="s">
        <v>316</v>
      </c>
    </row>
    <row r="21" spans="1:29" ht="39" customHeight="1">
      <c r="A21" s="259">
        <v>18</v>
      </c>
      <c r="B21" s="260" t="s">
        <v>253</v>
      </c>
      <c r="C21" s="294" t="s">
        <v>229</v>
      </c>
      <c r="D21" s="381" t="s">
        <v>351</v>
      </c>
      <c r="E21" s="378">
        <v>73089099</v>
      </c>
      <c r="F21" s="261" t="s">
        <v>218</v>
      </c>
      <c r="G21" s="261" t="s">
        <v>238</v>
      </c>
      <c r="H21" s="62">
        <v>2</v>
      </c>
      <c r="I21" s="62" t="s">
        <v>312</v>
      </c>
      <c r="J21" s="329">
        <v>540</v>
      </c>
      <c r="K21" s="338">
        <v>5901.64</v>
      </c>
      <c r="L21" s="329">
        <v>11803.27</v>
      </c>
      <c r="M21" s="261" t="s">
        <v>293</v>
      </c>
      <c r="N21" s="261" t="s">
        <v>294</v>
      </c>
      <c r="O21" s="261" t="s">
        <v>316</v>
      </c>
    </row>
    <row r="22" spans="1:29" ht="39" customHeight="1">
      <c r="A22" s="259">
        <v>19</v>
      </c>
      <c r="B22" s="260" t="s">
        <v>254</v>
      </c>
      <c r="C22" s="294" t="s">
        <v>230</v>
      </c>
      <c r="D22" s="381" t="s">
        <v>352</v>
      </c>
      <c r="E22" s="378">
        <v>73089099</v>
      </c>
      <c r="F22" s="261" t="s">
        <v>218</v>
      </c>
      <c r="G22" s="261" t="s">
        <v>238</v>
      </c>
      <c r="H22" s="62">
        <v>8</v>
      </c>
      <c r="I22" s="62" t="s">
        <v>312</v>
      </c>
      <c r="J22" s="329">
        <v>55</v>
      </c>
      <c r="K22" s="338">
        <v>150.27000000000001</v>
      </c>
      <c r="L22" s="329">
        <v>1202.19</v>
      </c>
      <c r="M22" s="261" t="s">
        <v>295</v>
      </c>
      <c r="N22" s="261" t="s">
        <v>294</v>
      </c>
      <c r="O22" s="261" t="s">
        <v>316</v>
      </c>
    </row>
    <row r="23" spans="1:29" s="233" customFormat="1" ht="39" customHeight="1">
      <c r="A23" s="356">
        <v>22</v>
      </c>
      <c r="B23" s="357" t="s">
        <v>256</v>
      </c>
      <c r="C23" s="358" t="s">
        <v>327</v>
      </c>
      <c r="D23" s="381" t="s">
        <v>380</v>
      </c>
      <c r="E23" s="378">
        <v>73089099</v>
      </c>
      <c r="F23" s="360" t="s">
        <v>218</v>
      </c>
      <c r="G23" s="360" t="s">
        <v>238</v>
      </c>
      <c r="H23" s="218">
        <v>3</v>
      </c>
      <c r="I23" s="218" t="s">
        <v>312</v>
      </c>
      <c r="J23" s="282">
        <v>18.333333333333332</v>
      </c>
      <c r="K23" s="361">
        <v>133.58000000000001</v>
      </c>
      <c r="L23" s="282">
        <v>400.73</v>
      </c>
      <c r="M23" s="360"/>
      <c r="N23" s="360" t="s">
        <v>308</v>
      </c>
      <c r="O23" s="360" t="s">
        <v>316</v>
      </c>
      <c r="AB23" s="56"/>
      <c r="AC23" s="56"/>
    </row>
    <row r="24" spans="1:29" s="233" customFormat="1" ht="39" customHeight="1">
      <c r="A24" s="356">
        <v>23</v>
      </c>
      <c r="B24" s="357" t="s">
        <v>256</v>
      </c>
      <c r="C24" s="358" t="s">
        <v>328</v>
      </c>
      <c r="D24" s="381" t="s">
        <v>381</v>
      </c>
      <c r="E24" s="378">
        <v>73089099</v>
      </c>
      <c r="F24" s="360" t="s">
        <v>218</v>
      </c>
      <c r="G24" s="360" t="s">
        <v>238</v>
      </c>
      <c r="H24" s="218">
        <v>4</v>
      </c>
      <c r="I24" s="218" t="s">
        <v>312</v>
      </c>
      <c r="J24" s="282">
        <v>24.444444444444443</v>
      </c>
      <c r="K24" s="361">
        <v>133.58000000000001</v>
      </c>
      <c r="L24" s="282">
        <v>534.29999999999995</v>
      </c>
      <c r="M24" s="360"/>
      <c r="N24" s="360" t="s">
        <v>308</v>
      </c>
      <c r="O24" s="360" t="s">
        <v>316</v>
      </c>
      <c r="AB24" s="56"/>
      <c r="AC24" s="56"/>
    </row>
    <row r="25" spans="1:29" s="233" customFormat="1" ht="39" customHeight="1">
      <c r="A25" s="356">
        <v>24</v>
      </c>
      <c r="B25" s="357" t="s">
        <v>256</v>
      </c>
      <c r="C25" s="358" t="s">
        <v>329</v>
      </c>
      <c r="D25" s="381" t="s">
        <v>383</v>
      </c>
      <c r="E25" s="378">
        <v>73089099</v>
      </c>
      <c r="F25" s="360" t="s">
        <v>218</v>
      </c>
      <c r="G25" s="360" t="s">
        <v>238</v>
      </c>
      <c r="H25" s="218">
        <v>1</v>
      </c>
      <c r="I25" s="218" t="s">
        <v>313</v>
      </c>
      <c r="J25" s="282">
        <v>6.1111111111111107</v>
      </c>
      <c r="K25" s="361">
        <v>133.58000000000001</v>
      </c>
      <c r="L25" s="282">
        <v>133.58000000000001</v>
      </c>
      <c r="M25" s="360"/>
      <c r="N25" s="360" t="s">
        <v>308</v>
      </c>
      <c r="O25" s="360" t="s">
        <v>316</v>
      </c>
      <c r="AB25" s="56"/>
      <c r="AC25" s="56"/>
    </row>
    <row r="26" spans="1:29" s="233" customFormat="1" ht="39" customHeight="1">
      <c r="A26" s="356">
        <v>25</v>
      </c>
      <c r="B26" s="357" t="s">
        <v>256</v>
      </c>
      <c r="C26" s="358" t="s">
        <v>328</v>
      </c>
      <c r="D26" s="381" t="s">
        <v>382</v>
      </c>
      <c r="E26" s="378">
        <v>73089099</v>
      </c>
      <c r="F26" s="360" t="s">
        <v>218</v>
      </c>
      <c r="G26" s="360" t="s">
        <v>238</v>
      </c>
      <c r="H26" s="218">
        <v>1</v>
      </c>
      <c r="I26" s="218" t="s">
        <v>313</v>
      </c>
      <c r="J26" s="363">
        <v>6.1111111111111107</v>
      </c>
      <c r="K26" s="361">
        <v>133.58000000000001</v>
      </c>
      <c r="L26" s="282">
        <v>133.58000000000001</v>
      </c>
      <c r="M26" s="282"/>
      <c r="N26" s="282" t="s">
        <v>308</v>
      </c>
      <c r="O26" s="282" t="s">
        <v>316</v>
      </c>
      <c r="AB26" s="56"/>
      <c r="AC26" s="56"/>
    </row>
    <row r="27" spans="1:29" ht="39" customHeight="1">
      <c r="A27" s="259">
        <v>26</v>
      </c>
      <c r="B27" s="260" t="s">
        <v>257</v>
      </c>
      <c r="C27" s="294" t="s">
        <v>208</v>
      </c>
      <c r="D27" s="381" t="s">
        <v>353</v>
      </c>
      <c r="E27" s="378">
        <v>73089099</v>
      </c>
      <c r="F27" s="261" t="s">
        <v>322</v>
      </c>
      <c r="G27" s="261" t="s">
        <v>238</v>
      </c>
      <c r="H27" s="218">
        <v>4</v>
      </c>
      <c r="I27" s="218" t="s">
        <v>312</v>
      </c>
      <c r="J27" s="330">
        <v>300</v>
      </c>
      <c r="K27" s="338">
        <v>2423.5</v>
      </c>
      <c r="L27" s="282">
        <v>9693.98</v>
      </c>
      <c r="M27" s="282" t="s">
        <v>272</v>
      </c>
      <c r="N27" s="282"/>
      <c r="O27" s="282" t="s">
        <v>317</v>
      </c>
    </row>
    <row r="28" spans="1:29" ht="39" customHeight="1">
      <c r="A28" s="259">
        <v>27</v>
      </c>
      <c r="B28" s="260" t="s">
        <v>258</v>
      </c>
      <c r="C28" s="294" t="s">
        <v>208</v>
      </c>
      <c r="D28" s="381" t="s">
        <v>354</v>
      </c>
      <c r="E28" s="378">
        <v>73089099</v>
      </c>
      <c r="F28" s="261" t="s">
        <v>322</v>
      </c>
      <c r="G28" s="261" t="s">
        <v>238</v>
      </c>
      <c r="H28" s="218">
        <v>1</v>
      </c>
      <c r="I28" s="218" t="s">
        <v>313</v>
      </c>
      <c r="J28" s="330">
        <v>55.555555555555557</v>
      </c>
      <c r="K28" s="338">
        <v>4350.9399999999996</v>
      </c>
      <c r="L28" s="282">
        <v>4350.9399999999996</v>
      </c>
      <c r="M28" s="282" t="s">
        <v>275</v>
      </c>
      <c r="N28" s="282"/>
      <c r="O28" s="282" t="s">
        <v>317</v>
      </c>
    </row>
    <row r="29" spans="1:29" ht="39" customHeight="1">
      <c r="A29" s="259">
        <v>28</v>
      </c>
      <c r="B29" s="260" t="s">
        <v>258</v>
      </c>
      <c r="C29" s="294" t="s">
        <v>208</v>
      </c>
      <c r="D29" s="381" t="s">
        <v>355</v>
      </c>
      <c r="E29" s="378">
        <v>73089099</v>
      </c>
      <c r="F29" s="261" t="s">
        <v>322</v>
      </c>
      <c r="G29" s="261" t="s">
        <v>238</v>
      </c>
      <c r="H29" s="218">
        <v>1</v>
      </c>
      <c r="I29" s="218" t="s">
        <v>313</v>
      </c>
      <c r="J29" s="330">
        <v>55.555555555555557</v>
      </c>
      <c r="K29" s="338">
        <v>4350.9399999999996</v>
      </c>
      <c r="L29" s="282">
        <v>4350.9399999999996</v>
      </c>
      <c r="M29" s="282" t="s">
        <v>276</v>
      </c>
      <c r="N29" s="282"/>
      <c r="O29" s="282" t="s">
        <v>317</v>
      </c>
    </row>
    <row r="30" spans="1:29" ht="39" customHeight="1">
      <c r="A30" s="259">
        <v>29</v>
      </c>
      <c r="B30" s="260" t="s">
        <v>258</v>
      </c>
      <c r="C30" s="294" t="s">
        <v>208</v>
      </c>
      <c r="D30" s="381" t="s">
        <v>356</v>
      </c>
      <c r="E30" s="378">
        <v>73089099</v>
      </c>
      <c r="F30" s="261" t="s">
        <v>322</v>
      </c>
      <c r="G30" s="261" t="s">
        <v>238</v>
      </c>
      <c r="H30" s="218">
        <v>1</v>
      </c>
      <c r="I30" s="218" t="s">
        <v>313</v>
      </c>
      <c r="J30" s="330">
        <v>55.555555555555557</v>
      </c>
      <c r="K30" s="338">
        <v>4350.9399999999996</v>
      </c>
      <c r="L30" s="282">
        <v>4350.9399999999996</v>
      </c>
      <c r="M30" s="282" t="s">
        <v>277</v>
      </c>
      <c r="N30" s="282"/>
      <c r="O30" s="282" t="s">
        <v>317</v>
      </c>
    </row>
    <row r="31" spans="1:29" ht="39" customHeight="1">
      <c r="A31" s="259">
        <v>30</v>
      </c>
      <c r="B31" s="260" t="s">
        <v>258</v>
      </c>
      <c r="C31" s="294" t="s">
        <v>208</v>
      </c>
      <c r="D31" s="381" t="s">
        <v>357</v>
      </c>
      <c r="E31" s="378">
        <v>73089099</v>
      </c>
      <c r="F31" s="261" t="s">
        <v>322</v>
      </c>
      <c r="G31" s="261" t="s">
        <v>238</v>
      </c>
      <c r="H31" s="218">
        <v>1</v>
      </c>
      <c r="I31" s="218" t="s">
        <v>313</v>
      </c>
      <c r="J31" s="330">
        <v>55.555555555555557</v>
      </c>
      <c r="K31" s="338">
        <v>4350.9399999999996</v>
      </c>
      <c r="L31" s="282">
        <v>4350.9399999999996</v>
      </c>
      <c r="M31" s="282" t="s">
        <v>278</v>
      </c>
      <c r="N31" s="282"/>
      <c r="O31" s="282" t="s">
        <v>317</v>
      </c>
    </row>
    <row r="32" spans="1:29" ht="39" customHeight="1">
      <c r="A32" s="259">
        <v>31</v>
      </c>
      <c r="B32" s="260" t="s">
        <v>258</v>
      </c>
      <c r="C32" s="294" t="s">
        <v>208</v>
      </c>
      <c r="D32" s="381" t="s">
        <v>358</v>
      </c>
      <c r="E32" s="378">
        <v>73089099</v>
      </c>
      <c r="F32" s="261" t="s">
        <v>322</v>
      </c>
      <c r="G32" s="261" t="s">
        <v>238</v>
      </c>
      <c r="H32" s="218">
        <v>2</v>
      </c>
      <c r="I32" s="218" t="s">
        <v>312</v>
      </c>
      <c r="J32" s="330">
        <v>111.11111111111111</v>
      </c>
      <c r="K32" s="338">
        <v>2782.64</v>
      </c>
      <c r="L32" s="282">
        <v>5565.27</v>
      </c>
      <c r="M32" s="282" t="s">
        <v>279</v>
      </c>
      <c r="N32" s="282"/>
      <c r="O32" s="282" t="s">
        <v>317</v>
      </c>
    </row>
    <row r="33" spans="1:29" ht="39" customHeight="1">
      <c r="A33" s="259">
        <v>32</v>
      </c>
      <c r="B33" s="260" t="s">
        <v>258</v>
      </c>
      <c r="C33" s="294" t="s">
        <v>208</v>
      </c>
      <c r="D33" s="381" t="s">
        <v>359</v>
      </c>
      <c r="E33" s="378">
        <v>73089099</v>
      </c>
      <c r="F33" s="261" t="s">
        <v>322</v>
      </c>
      <c r="G33" s="261" t="s">
        <v>238</v>
      </c>
      <c r="H33" s="218">
        <v>2</v>
      </c>
      <c r="I33" s="218" t="s">
        <v>312</v>
      </c>
      <c r="J33" s="330">
        <v>111.11111111111111</v>
      </c>
      <c r="K33" s="338">
        <v>2782.64</v>
      </c>
      <c r="L33" s="282">
        <v>5565.27</v>
      </c>
      <c r="M33" s="282" t="s">
        <v>280</v>
      </c>
      <c r="N33" s="282"/>
      <c r="O33" s="282" t="s">
        <v>317</v>
      </c>
    </row>
    <row r="34" spans="1:29" ht="39" customHeight="1">
      <c r="A34" s="259">
        <v>33</v>
      </c>
      <c r="B34" s="260" t="s">
        <v>258</v>
      </c>
      <c r="C34" s="294" t="s">
        <v>208</v>
      </c>
      <c r="D34" s="381" t="s">
        <v>360</v>
      </c>
      <c r="E34" s="378">
        <v>73089099</v>
      </c>
      <c r="F34" s="261" t="s">
        <v>322</v>
      </c>
      <c r="G34" s="261" t="s">
        <v>238</v>
      </c>
      <c r="H34" s="218">
        <v>1</v>
      </c>
      <c r="I34" s="218" t="s">
        <v>313</v>
      </c>
      <c r="J34" s="330">
        <v>55.555555555555557</v>
      </c>
      <c r="K34" s="338">
        <v>4350.9399999999996</v>
      </c>
      <c r="L34" s="282">
        <v>4350.9399999999996</v>
      </c>
      <c r="M34" s="282" t="s">
        <v>281</v>
      </c>
      <c r="N34" s="282"/>
      <c r="O34" s="282" t="s">
        <v>317</v>
      </c>
    </row>
    <row r="35" spans="1:29" ht="39" customHeight="1">
      <c r="A35" s="259">
        <v>38</v>
      </c>
      <c r="B35" s="260" t="s">
        <v>260</v>
      </c>
      <c r="C35" s="294" t="s">
        <v>226</v>
      </c>
      <c r="D35" s="381" t="s">
        <v>361</v>
      </c>
      <c r="E35" s="378">
        <v>73089099</v>
      </c>
      <c r="F35" s="261" t="s">
        <v>322</v>
      </c>
      <c r="G35" s="261" t="s">
        <v>238</v>
      </c>
      <c r="H35" s="218">
        <v>1</v>
      </c>
      <c r="I35" s="218" t="s">
        <v>313</v>
      </c>
      <c r="J35" s="330">
        <v>447</v>
      </c>
      <c r="K35" s="338">
        <v>9770.49</v>
      </c>
      <c r="L35" s="282">
        <v>9770.49</v>
      </c>
      <c r="M35" s="282" t="s">
        <v>290</v>
      </c>
      <c r="N35" s="282" t="s">
        <v>291</v>
      </c>
      <c r="O35" s="282" t="s">
        <v>317</v>
      </c>
    </row>
    <row r="36" spans="1:29" ht="39" customHeight="1">
      <c r="A36" s="259">
        <v>39</v>
      </c>
      <c r="B36" s="260" t="s">
        <v>261</v>
      </c>
      <c r="C36" s="294" t="s">
        <v>226</v>
      </c>
      <c r="D36" s="381" t="s">
        <v>362</v>
      </c>
      <c r="E36" s="378">
        <v>73089099</v>
      </c>
      <c r="F36" s="261" t="s">
        <v>322</v>
      </c>
      <c r="G36" s="261" t="s">
        <v>238</v>
      </c>
      <c r="H36" s="218">
        <v>1</v>
      </c>
      <c r="I36" s="218" t="s">
        <v>313</v>
      </c>
      <c r="J36" s="330">
        <v>676</v>
      </c>
      <c r="K36" s="338">
        <v>14775.95</v>
      </c>
      <c r="L36" s="282">
        <v>14775.95</v>
      </c>
      <c r="M36" s="282" t="s">
        <v>292</v>
      </c>
      <c r="N36" s="282" t="s">
        <v>291</v>
      </c>
      <c r="O36" s="282" t="s">
        <v>317</v>
      </c>
    </row>
    <row r="37" spans="1:29" ht="39" customHeight="1">
      <c r="A37" s="259">
        <v>40</v>
      </c>
      <c r="B37" s="260" t="s">
        <v>262</v>
      </c>
      <c r="C37" s="294" t="s">
        <v>210</v>
      </c>
      <c r="D37" s="381" t="s">
        <v>363</v>
      </c>
      <c r="E37" s="378">
        <v>73089099</v>
      </c>
      <c r="F37" s="261" t="s">
        <v>322</v>
      </c>
      <c r="G37" s="261" t="s">
        <v>238</v>
      </c>
      <c r="H37" s="218">
        <v>2</v>
      </c>
      <c r="I37" s="218" t="s">
        <v>312</v>
      </c>
      <c r="J37" s="330">
        <v>540</v>
      </c>
      <c r="K37" s="338">
        <v>5901.64</v>
      </c>
      <c r="L37" s="282">
        <v>11803.27</v>
      </c>
      <c r="M37" s="282" t="s">
        <v>293</v>
      </c>
      <c r="N37" s="282" t="s">
        <v>294</v>
      </c>
      <c r="O37" s="282" t="s">
        <v>317</v>
      </c>
    </row>
    <row r="38" spans="1:29" ht="39" customHeight="1">
      <c r="A38" s="259">
        <v>41</v>
      </c>
      <c r="B38" s="260" t="s">
        <v>263</v>
      </c>
      <c r="C38" s="294" t="s">
        <v>227</v>
      </c>
      <c r="D38" s="381" t="s">
        <v>364</v>
      </c>
      <c r="E38" s="378">
        <v>73089099</v>
      </c>
      <c r="F38" s="261" t="s">
        <v>322</v>
      </c>
      <c r="G38" s="261" t="s">
        <v>238</v>
      </c>
      <c r="H38" s="218">
        <v>2</v>
      </c>
      <c r="I38" s="218" t="s">
        <v>312</v>
      </c>
      <c r="J38" s="330">
        <v>540</v>
      </c>
      <c r="K38" s="338">
        <v>5901.64</v>
      </c>
      <c r="L38" s="282">
        <v>11803.27</v>
      </c>
      <c r="M38" s="282" t="s">
        <v>293</v>
      </c>
      <c r="N38" s="282" t="s">
        <v>294</v>
      </c>
      <c r="O38" s="282" t="s">
        <v>317</v>
      </c>
    </row>
    <row r="39" spans="1:29" ht="39" customHeight="1">
      <c r="A39" s="259">
        <v>42</v>
      </c>
      <c r="B39" s="260" t="s">
        <v>264</v>
      </c>
      <c r="C39" s="294" t="s">
        <v>228</v>
      </c>
      <c r="D39" s="381" t="s">
        <v>365</v>
      </c>
      <c r="E39" s="378">
        <v>73089099</v>
      </c>
      <c r="F39" s="261" t="s">
        <v>322</v>
      </c>
      <c r="G39" s="261" t="s">
        <v>238</v>
      </c>
      <c r="H39" s="218">
        <v>2</v>
      </c>
      <c r="I39" s="218" t="s">
        <v>312</v>
      </c>
      <c r="J39" s="330">
        <v>540</v>
      </c>
      <c r="K39" s="338">
        <v>5901.64</v>
      </c>
      <c r="L39" s="282">
        <v>11803.27</v>
      </c>
      <c r="M39" s="282" t="s">
        <v>293</v>
      </c>
      <c r="N39" s="282" t="s">
        <v>294</v>
      </c>
      <c r="O39" s="282" t="s">
        <v>317</v>
      </c>
    </row>
    <row r="40" spans="1:29" ht="39" customHeight="1">
      <c r="A40" s="259">
        <v>43</v>
      </c>
      <c r="B40" s="260" t="s">
        <v>265</v>
      </c>
      <c r="C40" s="294" t="s">
        <v>229</v>
      </c>
      <c r="D40" s="381" t="s">
        <v>366</v>
      </c>
      <c r="E40" s="378">
        <v>73089099</v>
      </c>
      <c r="F40" s="261" t="s">
        <v>322</v>
      </c>
      <c r="G40" s="261" t="s">
        <v>238</v>
      </c>
      <c r="H40" s="218">
        <v>2</v>
      </c>
      <c r="I40" s="218" t="s">
        <v>312</v>
      </c>
      <c r="J40" s="330">
        <v>540</v>
      </c>
      <c r="K40" s="338">
        <v>5901.64</v>
      </c>
      <c r="L40" s="282">
        <v>11803.27</v>
      </c>
      <c r="M40" s="282" t="s">
        <v>293</v>
      </c>
      <c r="N40" s="282" t="s">
        <v>294</v>
      </c>
      <c r="O40" s="282" t="s">
        <v>317</v>
      </c>
    </row>
    <row r="41" spans="1:29" ht="39" customHeight="1">
      <c r="A41" s="259">
        <v>44</v>
      </c>
      <c r="B41" s="260" t="s">
        <v>266</v>
      </c>
      <c r="C41" s="294" t="s">
        <v>230</v>
      </c>
      <c r="D41" s="381" t="s">
        <v>367</v>
      </c>
      <c r="E41" s="378">
        <v>73089099</v>
      </c>
      <c r="F41" s="261" t="s">
        <v>322</v>
      </c>
      <c r="G41" s="261" t="s">
        <v>238</v>
      </c>
      <c r="H41" s="218">
        <v>8</v>
      </c>
      <c r="I41" s="218" t="s">
        <v>312</v>
      </c>
      <c r="J41" s="330">
        <v>55</v>
      </c>
      <c r="K41" s="338">
        <v>150.27000000000001</v>
      </c>
      <c r="L41" s="282">
        <v>1202.19</v>
      </c>
      <c r="M41" s="282" t="s">
        <v>295</v>
      </c>
      <c r="N41" s="282" t="s">
        <v>294</v>
      </c>
      <c r="O41" s="282" t="s">
        <v>317</v>
      </c>
    </row>
    <row r="42" spans="1:29" s="233" customFormat="1" ht="39" customHeight="1">
      <c r="A42" s="356">
        <v>47</v>
      </c>
      <c r="B42" s="357" t="s">
        <v>268</v>
      </c>
      <c r="C42" s="358" t="s">
        <v>327</v>
      </c>
      <c r="D42" s="381" t="s">
        <v>384</v>
      </c>
      <c r="E42" s="378">
        <v>73089099</v>
      </c>
      <c r="F42" s="360" t="s">
        <v>322</v>
      </c>
      <c r="G42" s="360" t="s">
        <v>238</v>
      </c>
      <c r="H42" s="218">
        <v>3</v>
      </c>
      <c r="I42" s="218" t="s">
        <v>312</v>
      </c>
      <c r="J42" s="363">
        <v>18.333333333333332</v>
      </c>
      <c r="K42" s="361">
        <v>133.58000000000001</v>
      </c>
      <c r="L42" s="282">
        <v>400.73</v>
      </c>
      <c r="M42" s="282"/>
      <c r="N42" s="282" t="s">
        <v>308</v>
      </c>
      <c r="O42" s="282" t="s">
        <v>317</v>
      </c>
      <c r="AB42" s="56"/>
      <c r="AC42" s="56"/>
    </row>
    <row r="43" spans="1:29" s="233" customFormat="1" ht="39" customHeight="1">
      <c r="A43" s="356">
        <v>48</v>
      </c>
      <c r="B43" s="357" t="s">
        <v>268</v>
      </c>
      <c r="C43" s="358" t="s">
        <v>328</v>
      </c>
      <c r="D43" s="381" t="s">
        <v>385</v>
      </c>
      <c r="E43" s="378">
        <v>73089099</v>
      </c>
      <c r="F43" s="360" t="s">
        <v>322</v>
      </c>
      <c r="G43" s="360" t="s">
        <v>238</v>
      </c>
      <c r="H43" s="218">
        <v>4</v>
      </c>
      <c r="I43" s="218" t="s">
        <v>312</v>
      </c>
      <c r="J43" s="363">
        <v>24.444444444444443</v>
      </c>
      <c r="K43" s="361">
        <v>133.58000000000001</v>
      </c>
      <c r="L43" s="282">
        <v>534.29999999999995</v>
      </c>
      <c r="M43" s="282"/>
      <c r="N43" s="282" t="s">
        <v>308</v>
      </c>
      <c r="O43" s="282" t="s">
        <v>317</v>
      </c>
      <c r="AB43" s="56"/>
      <c r="AC43" s="56"/>
    </row>
    <row r="44" spans="1:29" s="233" customFormat="1" ht="39" customHeight="1">
      <c r="A44" s="356">
        <v>49</v>
      </c>
      <c r="B44" s="357" t="s">
        <v>268</v>
      </c>
      <c r="C44" s="358" t="s">
        <v>329</v>
      </c>
      <c r="D44" s="381" t="s">
        <v>384</v>
      </c>
      <c r="E44" s="378">
        <v>73089099</v>
      </c>
      <c r="F44" s="360" t="s">
        <v>322</v>
      </c>
      <c r="G44" s="360" t="s">
        <v>238</v>
      </c>
      <c r="H44" s="218">
        <v>1</v>
      </c>
      <c r="I44" s="218" t="s">
        <v>313</v>
      </c>
      <c r="J44" s="363">
        <v>6.1111111111111107</v>
      </c>
      <c r="K44" s="361">
        <v>133.58000000000001</v>
      </c>
      <c r="L44" s="282">
        <v>133.58000000000001</v>
      </c>
      <c r="M44" s="282"/>
      <c r="N44" s="282" t="s">
        <v>308</v>
      </c>
      <c r="O44" s="282" t="s">
        <v>317</v>
      </c>
      <c r="AB44" s="56"/>
      <c r="AC44" s="56"/>
    </row>
    <row r="45" spans="1:29" s="233" customFormat="1" ht="39" customHeight="1">
      <c r="A45" s="356">
        <v>50</v>
      </c>
      <c r="B45" s="357" t="s">
        <v>268</v>
      </c>
      <c r="C45" s="358" t="s">
        <v>328</v>
      </c>
      <c r="D45" s="381" t="s">
        <v>385</v>
      </c>
      <c r="E45" s="378">
        <v>73089099</v>
      </c>
      <c r="F45" s="360" t="s">
        <v>322</v>
      </c>
      <c r="G45" s="360" t="s">
        <v>238</v>
      </c>
      <c r="H45" s="218">
        <v>1</v>
      </c>
      <c r="I45" s="218" t="s">
        <v>313</v>
      </c>
      <c r="J45" s="363">
        <v>6.1111111111111107</v>
      </c>
      <c r="K45" s="361">
        <v>133.58000000000001</v>
      </c>
      <c r="L45" s="282">
        <v>133.58000000000001</v>
      </c>
      <c r="M45" s="282"/>
      <c r="N45" s="282" t="s">
        <v>308</v>
      </c>
      <c r="O45" s="282" t="s">
        <v>317</v>
      </c>
      <c r="AB45" s="56"/>
      <c r="AC45" s="56"/>
    </row>
    <row r="46" spans="1:29" s="352" customFormat="1" ht="39" customHeight="1">
      <c r="A46" s="344">
        <v>9</v>
      </c>
      <c r="B46" s="345" t="s">
        <v>247</v>
      </c>
      <c r="C46" s="346" t="s">
        <v>334</v>
      </c>
      <c r="D46" s="381" t="s">
        <v>386</v>
      </c>
      <c r="E46" s="378">
        <v>73089099</v>
      </c>
      <c r="F46" s="348" t="s">
        <v>218</v>
      </c>
      <c r="G46" s="348" t="s">
        <v>238</v>
      </c>
      <c r="H46" s="349">
        <v>27</v>
      </c>
      <c r="I46" s="349" t="s">
        <v>312</v>
      </c>
      <c r="J46" s="350">
        <v>273.375</v>
      </c>
      <c r="K46" s="351">
        <v>41.26</v>
      </c>
      <c r="L46" s="350">
        <v>1113.9349999999999</v>
      </c>
      <c r="M46" s="348" t="s">
        <v>282</v>
      </c>
      <c r="N46" s="348" t="s">
        <v>286</v>
      </c>
      <c r="O46" s="348" t="s">
        <v>316</v>
      </c>
      <c r="AA46" s="355" t="s">
        <v>325</v>
      </c>
      <c r="AB46" s="56"/>
      <c r="AC46" s="56"/>
    </row>
    <row r="47" spans="1:29" s="352" customFormat="1" ht="39" customHeight="1">
      <c r="A47" s="344">
        <v>10</v>
      </c>
      <c r="B47" s="345" t="s">
        <v>247</v>
      </c>
      <c r="C47" s="346" t="s">
        <v>335</v>
      </c>
      <c r="D47" s="381" t="s">
        <v>387</v>
      </c>
      <c r="E47" s="378">
        <v>73089099</v>
      </c>
      <c r="F47" s="348" t="s">
        <v>218</v>
      </c>
      <c r="G47" s="348" t="s">
        <v>238</v>
      </c>
      <c r="H47" s="349">
        <v>42</v>
      </c>
      <c r="I47" s="349" t="s">
        <v>312</v>
      </c>
      <c r="J47" s="350">
        <v>425.25</v>
      </c>
      <c r="K47" s="351">
        <v>41.26</v>
      </c>
      <c r="L47" s="350">
        <v>1732.79</v>
      </c>
      <c r="M47" s="348" t="s">
        <v>283</v>
      </c>
      <c r="N47" s="348" t="s">
        <v>286</v>
      </c>
      <c r="O47" s="348" t="s">
        <v>316</v>
      </c>
      <c r="AA47" s="355" t="s">
        <v>325</v>
      </c>
      <c r="AB47" s="56"/>
      <c r="AC47" s="56"/>
    </row>
    <row r="48" spans="1:29" s="352" customFormat="1" ht="39" customHeight="1">
      <c r="A48" s="344">
        <v>11</v>
      </c>
      <c r="B48" s="345" t="s">
        <v>247</v>
      </c>
      <c r="C48" s="380" t="s">
        <v>336</v>
      </c>
      <c r="D48" s="381" t="s">
        <v>388</v>
      </c>
      <c r="E48" s="378">
        <v>73089099</v>
      </c>
      <c r="F48" s="348" t="s">
        <v>218</v>
      </c>
      <c r="G48" s="348" t="s">
        <v>238</v>
      </c>
      <c r="H48" s="349">
        <v>9</v>
      </c>
      <c r="I48" s="349" t="s">
        <v>312</v>
      </c>
      <c r="J48" s="350">
        <v>91.125</v>
      </c>
      <c r="K48" s="351">
        <v>41.26</v>
      </c>
      <c r="L48" s="350">
        <v>371.31</v>
      </c>
      <c r="M48" s="348" t="s">
        <v>284</v>
      </c>
      <c r="N48" s="348" t="s">
        <v>286</v>
      </c>
      <c r="O48" s="348" t="s">
        <v>316</v>
      </c>
      <c r="AA48" s="355" t="s">
        <v>325</v>
      </c>
      <c r="AB48" s="56"/>
      <c r="AC48" s="56"/>
    </row>
    <row r="49" spans="1:29" s="352" customFormat="1" ht="39" customHeight="1">
      <c r="A49" s="344">
        <v>12</v>
      </c>
      <c r="B49" s="345" t="s">
        <v>247</v>
      </c>
      <c r="C49" s="380" t="s">
        <v>337</v>
      </c>
      <c r="D49" s="381" t="s">
        <v>389</v>
      </c>
      <c r="E49" s="378">
        <v>73089099</v>
      </c>
      <c r="F49" s="348" t="s">
        <v>218</v>
      </c>
      <c r="G49" s="348" t="s">
        <v>238</v>
      </c>
      <c r="H49" s="349">
        <v>2</v>
      </c>
      <c r="I49" s="349" t="s">
        <v>312</v>
      </c>
      <c r="J49" s="350">
        <v>20.25</v>
      </c>
      <c r="K49" s="351">
        <v>41.24</v>
      </c>
      <c r="L49" s="350">
        <v>82.484999999999999</v>
      </c>
      <c r="M49" s="348" t="s">
        <v>285</v>
      </c>
      <c r="N49" s="348" t="s">
        <v>286</v>
      </c>
      <c r="O49" s="348" t="s">
        <v>316</v>
      </c>
      <c r="AA49" s="355" t="s">
        <v>325</v>
      </c>
      <c r="AB49" s="56"/>
      <c r="AC49" s="56"/>
    </row>
    <row r="50" spans="1:29" s="352" customFormat="1" ht="29.45" customHeight="1">
      <c r="A50" s="344">
        <v>20</v>
      </c>
      <c r="B50" s="345" t="s">
        <v>255</v>
      </c>
      <c r="C50" s="346" t="s">
        <v>231</v>
      </c>
      <c r="D50" s="381" t="s">
        <v>368</v>
      </c>
      <c r="E50" s="378">
        <v>73181590</v>
      </c>
      <c r="F50" s="348" t="s">
        <v>218</v>
      </c>
      <c r="G50" s="348" t="s">
        <v>238</v>
      </c>
      <c r="H50" s="349">
        <v>36</v>
      </c>
      <c r="I50" s="349" t="s">
        <v>312</v>
      </c>
      <c r="J50" s="350">
        <v>556.36363636363637</v>
      </c>
      <c r="K50" s="351">
        <v>67.56</v>
      </c>
      <c r="L50" s="350">
        <v>2432.19</v>
      </c>
      <c r="M50" s="348" t="s">
        <v>233</v>
      </c>
      <c r="N50" s="348" t="s">
        <v>294</v>
      </c>
      <c r="O50" s="348" t="s">
        <v>316</v>
      </c>
      <c r="AA50" s="355" t="s">
        <v>325</v>
      </c>
      <c r="AB50" s="56"/>
      <c r="AC50" s="56"/>
    </row>
    <row r="51" spans="1:29" s="352" customFormat="1" ht="29.45" customHeight="1">
      <c r="A51" s="344">
        <v>21</v>
      </c>
      <c r="B51" s="345" t="s">
        <v>255</v>
      </c>
      <c r="C51" s="346" t="s">
        <v>232</v>
      </c>
      <c r="D51" s="381" t="s">
        <v>369</v>
      </c>
      <c r="E51" s="378">
        <v>73181590</v>
      </c>
      <c r="F51" s="348" t="s">
        <v>218</v>
      </c>
      <c r="G51" s="348" t="s">
        <v>238</v>
      </c>
      <c r="H51" s="349">
        <v>8</v>
      </c>
      <c r="I51" s="349" t="s">
        <v>312</v>
      </c>
      <c r="J51" s="350">
        <v>123.63636363636364</v>
      </c>
      <c r="K51" s="351">
        <v>67.56</v>
      </c>
      <c r="L51" s="350">
        <v>540.49</v>
      </c>
      <c r="M51" s="348" t="s">
        <v>234</v>
      </c>
      <c r="N51" s="348" t="s">
        <v>294</v>
      </c>
      <c r="O51" s="348" t="s">
        <v>316</v>
      </c>
      <c r="AA51" s="355" t="s">
        <v>325</v>
      </c>
      <c r="AB51" s="56"/>
      <c r="AC51" s="56"/>
    </row>
    <row r="52" spans="1:29" s="352" customFormat="1" ht="39" customHeight="1">
      <c r="A52" s="344">
        <v>34</v>
      </c>
      <c r="B52" s="345" t="s">
        <v>259</v>
      </c>
      <c r="C52" s="377" t="s">
        <v>309</v>
      </c>
      <c r="D52" s="381" t="s">
        <v>392</v>
      </c>
      <c r="E52" s="378">
        <v>73089099</v>
      </c>
      <c r="F52" s="348" t="s">
        <v>322</v>
      </c>
      <c r="G52" s="348" t="s">
        <v>238</v>
      </c>
      <c r="H52" s="349">
        <v>27</v>
      </c>
      <c r="I52" s="349" t="s">
        <v>312</v>
      </c>
      <c r="J52" s="353">
        <v>236.25</v>
      </c>
      <c r="K52" s="351">
        <v>41.26</v>
      </c>
      <c r="L52" s="350">
        <v>1113.9349999999999</v>
      </c>
      <c r="M52" s="350" t="s">
        <v>282</v>
      </c>
      <c r="N52" s="350" t="s">
        <v>286</v>
      </c>
      <c r="O52" s="350" t="s">
        <v>317</v>
      </c>
      <c r="AA52" s="355" t="s">
        <v>325</v>
      </c>
      <c r="AB52" s="56"/>
      <c r="AC52" s="56"/>
    </row>
    <row r="53" spans="1:29" s="352" customFormat="1" ht="39" customHeight="1">
      <c r="A53" s="344">
        <v>35</v>
      </c>
      <c r="B53" s="345" t="s">
        <v>259</v>
      </c>
      <c r="C53" s="377" t="s">
        <v>289</v>
      </c>
      <c r="D53" s="381" t="s">
        <v>392</v>
      </c>
      <c r="E53" s="378">
        <v>73089099</v>
      </c>
      <c r="F53" s="348" t="s">
        <v>322</v>
      </c>
      <c r="G53" s="348" t="s">
        <v>238</v>
      </c>
      <c r="H53" s="349">
        <v>42</v>
      </c>
      <c r="I53" s="349" t="s">
        <v>312</v>
      </c>
      <c r="J53" s="353">
        <v>367.5</v>
      </c>
      <c r="K53" s="351">
        <v>41.26</v>
      </c>
      <c r="L53" s="350">
        <v>1732.79</v>
      </c>
      <c r="M53" s="350" t="s">
        <v>283</v>
      </c>
      <c r="N53" s="350" t="s">
        <v>286</v>
      </c>
      <c r="O53" s="350" t="s">
        <v>317</v>
      </c>
      <c r="AA53" s="355" t="s">
        <v>325</v>
      </c>
      <c r="AB53" s="56"/>
      <c r="AC53" s="56"/>
    </row>
    <row r="54" spans="1:29" s="352" customFormat="1" ht="39" customHeight="1">
      <c r="A54" s="344">
        <v>36</v>
      </c>
      <c r="B54" s="345" t="s">
        <v>259</v>
      </c>
      <c r="C54" s="377" t="s">
        <v>310</v>
      </c>
      <c r="D54" s="381" t="s">
        <v>391</v>
      </c>
      <c r="E54" s="378">
        <v>73089099</v>
      </c>
      <c r="F54" s="348" t="s">
        <v>322</v>
      </c>
      <c r="G54" s="348" t="s">
        <v>238</v>
      </c>
      <c r="H54" s="349">
        <v>9</v>
      </c>
      <c r="I54" s="349" t="s">
        <v>312</v>
      </c>
      <c r="J54" s="353">
        <v>78.75</v>
      </c>
      <c r="K54" s="351">
        <v>41.26</v>
      </c>
      <c r="L54" s="350">
        <v>371.31</v>
      </c>
      <c r="M54" s="350" t="s">
        <v>284</v>
      </c>
      <c r="N54" s="350" t="s">
        <v>286</v>
      </c>
      <c r="O54" s="350" t="s">
        <v>317</v>
      </c>
      <c r="AA54" s="355" t="s">
        <v>325</v>
      </c>
      <c r="AB54" s="56"/>
      <c r="AC54" s="56"/>
    </row>
    <row r="55" spans="1:29" s="352" customFormat="1" ht="39" customHeight="1">
      <c r="A55" s="344">
        <v>37</v>
      </c>
      <c r="B55" s="345" t="s">
        <v>259</v>
      </c>
      <c r="C55" s="377" t="s">
        <v>311</v>
      </c>
      <c r="D55" s="381" t="s">
        <v>390</v>
      </c>
      <c r="E55" s="378">
        <v>73089099</v>
      </c>
      <c r="F55" s="348" t="s">
        <v>322</v>
      </c>
      <c r="G55" s="348" t="s">
        <v>238</v>
      </c>
      <c r="H55" s="349">
        <v>2</v>
      </c>
      <c r="I55" s="349" t="s">
        <v>312</v>
      </c>
      <c r="J55" s="353">
        <v>17.5</v>
      </c>
      <c r="K55" s="351">
        <v>41.24</v>
      </c>
      <c r="L55" s="350">
        <v>82.484999999999999</v>
      </c>
      <c r="M55" s="350" t="s">
        <v>285</v>
      </c>
      <c r="N55" s="350" t="s">
        <v>286</v>
      </c>
      <c r="O55" s="350" t="s">
        <v>317</v>
      </c>
      <c r="AA55" s="355" t="s">
        <v>325</v>
      </c>
      <c r="AB55" s="56"/>
      <c r="AC55" s="56"/>
    </row>
    <row r="56" spans="1:29" s="352" customFormat="1" ht="29.45" customHeight="1">
      <c r="A56" s="344">
        <v>45</v>
      </c>
      <c r="B56" s="345" t="s">
        <v>267</v>
      </c>
      <c r="C56" s="346" t="s">
        <v>231</v>
      </c>
      <c r="D56" s="381" t="s">
        <v>370</v>
      </c>
      <c r="E56" s="379">
        <v>73181590</v>
      </c>
      <c r="F56" s="348" t="s">
        <v>322</v>
      </c>
      <c r="G56" s="348" t="s">
        <v>238</v>
      </c>
      <c r="H56" s="349">
        <v>36</v>
      </c>
      <c r="I56" s="349" t="s">
        <v>312</v>
      </c>
      <c r="J56" s="353">
        <v>556.36363636363637</v>
      </c>
      <c r="K56" s="351">
        <v>67.56</v>
      </c>
      <c r="L56" s="350">
        <v>2432.19</v>
      </c>
      <c r="M56" s="350" t="s">
        <v>233</v>
      </c>
      <c r="N56" s="350" t="s">
        <v>294</v>
      </c>
      <c r="O56" s="350" t="s">
        <v>317</v>
      </c>
      <c r="AA56" s="355" t="s">
        <v>325</v>
      </c>
      <c r="AB56" s="56"/>
      <c r="AC56" s="56"/>
    </row>
    <row r="57" spans="1:29" s="352" customFormat="1" ht="29.45" customHeight="1">
      <c r="A57" s="344">
        <v>46</v>
      </c>
      <c r="B57" s="345" t="s">
        <v>267</v>
      </c>
      <c r="C57" s="346" t="s">
        <v>232</v>
      </c>
      <c r="D57" s="381" t="s">
        <v>371</v>
      </c>
      <c r="E57" s="379">
        <v>73181590</v>
      </c>
      <c r="F57" s="348" t="s">
        <v>322</v>
      </c>
      <c r="G57" s="348" t="s">
        <v>238</v>
      </c>
      <c r="H57" s="349">
        <v>8</v>
      </c>
      <c r="I57" s="349" t="s">
        <v>312</v>
      </c>
      <c r="J57" s="353">
        <v>123.63636363636364</v>
      </c>
      <c r="K57" s="351">
        <v>67.56</v>
      </c>
      <c r="L57" s="350">
        <v>540.49</v>
      </c>
      <c r="M57" s="350" t="s">
        <v>234</v>
      </c>
      <c r="N57" s="350" t="s">
        <v>294</v>
      </c>
      <c r="O57" s="350" t="s">
        <v>317</v>
      </c>
      <c r="AA57" s="355" t="s">
        <v>325</v>
      </c>
      <c r="AB57" s="56"/>
      <c r="AC57" s="56"/>
    </row>
    <row r="58" spans="1:29" s="263" customFormat="1" ht="26.85" customHeight="1">
      <c r="A58" s="66"/>
      <c r="B58" s="67"/>
      <c r="C58" s="68"/>
      <c r="D58" s="68"/>
      <c r="E58" s="68"/>
      <c r="F58" s="69"/>
      <c r="G58" s="70"/>
      <c r="H58" s="475" t="s">
        <v>144</v>
      </c>
      <c r="I58" s="475"/>
      <c r="J58" s="475"/>
      <c r="K58" s="475"/>
      <c r="L58" s="264">
        <f>SUM(L8:L57)</f>
        <v>246032.6399999999</v>
      </c>
      <c r="M58" s="264"/>
      <c r="N58" s="264"/>
      <c r="O58" s="264"/>
      <c r="P58" s="262" t="e">
        <f>ROUND(#REF!/SUM(#REF!),5)*#REF!</f>
        <v>#REF!</v>
      </c>
      <c r="Q58" s="267"/>
      <c r="Y58" s="269"/>
    </row>
    <row r="59" spans="1:29" s="263" customFormat="1" ht="26.85" customHeight="1">
      <c r="A59" s="71"/>
      <c r="B59" s="72"/>
      <c r="C59" s="65"/>
      <c r="D59" s="65"/>
      <c r="E59" s="65"/>
      <c r="F59" s="73"/>
      <c r="G59" s="74"/>
      <c r="H59" s="75"/>
      <c r="I59" s="75"/>
      <c r="J59" s="75"/>
      <c r="K59" s="65"/>
      <c r="L59" s="72"/>
      <c r="M59" s="72"/>
      <c r="N59" s="72"/>
      <c r="O59" s="72"/>
      <c r="P59" s="262" t="e">
        <f>ROUND(#REF!/SUM(#REF!),5)*#REF!</f>
        <v>#REF!</v>
      </c>
      <c r="Q59" s="267"/>
      <c r="Y59" s="269"/>
    </row>
    <row r="60" spans="1:29" s="263" customFormat="1" ht="26.85" customHeight="1">
      <c r="A60" s="56"/>
      <c r="B60" s="56"/>
      <c r="C60" s="56"/>
      <c r="D60" s="56"/>
      <c r="E60" s="56"/>
      <c r="F60" s="56"/>
      <c r="G60" s="56"/>
      <c r="H60" s="61"/>
      <c r="I60" s="61"/>
      <c r="J60" s="61"/>
      <c r="K60" s="56"/>
      <c r="L60" s="56"/>
      <c r="M60" s="56"/>
      <c r="N60" s="56"/>
      <c r="O60" s="56"/>
      <c r="P60" s="262" t="e">
        <f>ROUND($Q$60/SUM(#REF!),5)*#REF!</f>
        <v>#REF!</v>
      </c>
      <c r="Q60" s="266">
        <v>9817.5</v>
      </c>
      <c r="Y60" s="269"/>
    </row>
    <row r="61" spans="1:29" s="263" customFormat="1" ht="26.85" customHeight="1">
      <c r="A61" s="56"/>
      <c r="B61" s="56"/>
      <c r="C61" s="56"/>
      <c r="D61" s="56"/>
      <c r="E61" s="56"/>
      <c r="F61" s="56"/>
      <c r="G61" s="56"/>
      <c r="H61" s="61"/>
      <c r="I61" s="61"/>
      <c r="J61" s="265"/>
      <c r="K61" s="56"/>
      <c r="L61" s="56"/>
      <c r="M61" s="56"/>
      <c r="N61" s="56"/>
      <c r="O61" s="56"/>
      <c r="P61" s="262" t="e">
        <f>ROUND($Q$60/SUM(#REF!),5)*#REF!</f>
        <v>#REF!</v>
      </c>
      <c r="R61" s="268"/>
      <c r="Y61" s="269"/>
    </row>
    <row r="62" spans="1:29" s="263" customFormat="1" ht="26.85" customHeight="1">
      <c r="A62" s="56"/>
      <c r="B62" s="56"/>
      <c r="C62" s="56"/>
      <c r="D62" s="56"/>
      <c r="E62" s="56"/>
      <c r="F62" s="56"/>
      <c r="G62" s="56"/>
      <c r="H62" s="61"/>
      <c r="I62" s="61"/>
      <c r="J62" s="265"/>
      <c r="K62" s="56"/>
      <c r="L62" s="56"/>
      <c r="M62" s="56"/>
      <c r="N62" s="56"/>
      <c r="O62" s="56"/>
      <c r="Q62" s="266">
        <f>SUM(X6:X7)</f>
        <v>26775</v>
      </c>
      <c r="Y62" s="269"/>
    </row>
    <row r="63" spans="1:29" s="263" customFormat="1" ht="26.85" customHeight="1">
      <c r="A63" s="56"/>
      <c r="B63" s="56"/>
      <c r="C63" s="56"/>
      <c r="D63" s="56"/>
      <c r="E63" s="56"/>
      <c r="F63" s="56"/>
      <c r="G63" s="56"/>
      <c r="H63" s="61"/>
      <c r="I63" s="61"/>
      <c r="J63" s="61"/>
      <c r="K63" s="56"/>
      <c r="L63" s="56"/>
      <c r="M63" s="56"/>
      <c r="N63" s="56"/>
      <c r="O63" s="56"/>
      <c r="Q63" s="266">
        <v>14280</v>
      </c>
      <c r="Y63" s="269"/>
    </row>
    <row r="64" spans="1:29" s="263" customFormat="1" ht="26.85" customHeight="1">
      <c r="A64" s="56"/>
      <c r="B64" s="56"/>
      <c r="C64" s="56"/>
      <c r="D64" s="56"/>
      <c r="E64" s="56"/>
      <c r="F64" s="56"/>
      <c r="G64" s="56"/>
      <c r="H64" s="61"/>
      <c r="I64" s="61"/>
      <c r="J64" s="61"/>
      <c r="K64" s="56"/>
      <c r="L64" s="56"/>
      <c r="M64" s="56"/>
      <c r="N64" s="56"/>
      <c r="O64" s="56"/>
      <c r="P64" s="262" t="e">
        <f>ROUND($Q$64/SUM(#REF!),5)*#REF!</f>
        <v>#REF!</v>
      </c>
      <c r="Q64" s="266">
        <v>9817.5</v>
      </c>
      <c r="Y64" s="269"/>
    </row>
    <row r="65" spans="1:25" s="263" customFormat="1" ht="26.85" customHeight="1">
      <c r="A65" s="56"/>
      <c r="B65" s="56"/>
      <c r="C65" s="56"/>
      <c r="D65" s="56"/>
      <c r="E65" s="56"/>
      <c r="F65" s="56"/>
      <c r="G65" s="56"/>
      <c r="H65" s="61"/>
      <c r="I65" s="61"/>
      <c r="J65" s="61"/>
      <c r="K65" s="56"/>
      <c r="L65" s="56"/>
      <c r="M65" s="56"/>
      <c r="N65" s="56"/>
      <c r="O65" s="56"/>
      <c r="P65" s="262" t="e">
        <f>ROUND($Q$64/SUM(#REF!),5)*#REF!</f>
        <v>#REF!</v>
      </c>
      <c r="Q65" s="266"/>
      <c r="Y65" s="269"/>
    </row>
    <row r="66" spans="1:25" s="263" customFormat="1" ht="26.85" customHeight="1">
      <c r="A66" s="56"/>
      <c r="B66" s="56"/>
      <c r="C66" s="56"/>
      <c r="D66" s="56"/>
      <c r="E66" s="56"/>
      <c r="F66" s="56"/>
      <c r="G66" s="56"/>
      <c r="H66" s="61"/>
      <c r="I66" s="61"/>
      <c r="J66" s="61"/>
      <c r="K66" s="56"/>
      <c r="L66" s="56"/>
      <c r="M66" s="56"/>
      <c r="N66" s="56"/>
      <c r="O66" s="56"/>
      <c r="P66" s="262" t="e">
        <f>ROUND($Q$64/SUM(#REF!),5)*#REF!</f>
        <v>#REF!</v>
      </c>
      <c r="Q66" s="266"/>
      <c r="Y66" s="269"/>
    </row>
    <row r="67" spans="1:25" s="263" customFormat="1" ht="26.85" customHeight="1">
      <c r="A67" s="56"/>
      <c r="B67" s="56"/>
      <c r="C67" s="56"/>
      <c r="D67" s="56"/>
      <c r="E67" s="56"/>
      <c r="F67" s="56"/>
      <c r="G67" s="56"/>
      <c r="H67" s="61"/>
      <c r="I67" s="61"/>
      <c r="J67" s="61"/>
      <c r="K67" s="56"/>
      <c r="L67" s="56"/>
      <c r="M67" s="56"/>
      <c r="N67" s="56"/>
      <c r="O67" s="56"/>
      <c r="P67" s="262" t="e">
        <f>ROUND($Q$64/SUM(#REF!),5)*#REF!</f>
        <v>#REF!</v>
      </c>
      <c r="Q67" s="266"/>
      <c r="Y67" s="269"/>
    </row>
    <row r="68" spans="1:25" s="263" customFormat="1" ht="26.85" customHeight="1">
      <c r="A68" s="56"/>
      <c r="B68" s="56"/>
      <c r="C68" s="56"/>
      <c r="D68" s="56"/>
      <c r="E68" s="56"/>
      <c r="F68" s="56"/>
      <c r="G68" s="56"/>
      <c r="H68" s="61"/>
      <c r="I68" s="61"/>
      <c r="J68" s="61"/>
      <c r="K68" s="56"/>
      <c r="L68" s="56"/>
      <c r="M68" s="56"/>
      <c r="N68" s="56"/>
      <c r="O68" s="56"/>
      <c r="P68" s="262" t="e">
        <f>ROUND($Q$64/SUM(#REF!),5)*#REF!</f>
        <v>#REF!</v>
      </c>
      <c r="Q68" s="266"/>
      <c r="Y68" s="269"/>
    </row>
    <row r="69" spans="1:25" s="263" customFormat="1" ht="26.85" customHeight="1">
      <c r="A69" s="56"/>
      <c r="B69" s="56"/>
      <c r="C69" s="56"/>
      <c r="D69" s="56"/>
      <c r="E69" s="56"/>
      <c r="F69" s="56"/>
      <c r="G69" s="56"/>
      <c r="H69" s="61"/>
      <c r="I69" s="61"/>
      <c r="J69" s="61"/>
      <c r="K69" s="56"/>
      <c r="L69" s="56"/>
      <c r="M69" s="56"/>
      <c r="N69" s="56"/>
      <c r="O69" s="56"/>
      <c r="P69" s="262" t="e">
        <f>ROUND($Q$64/SUM(#REF!),5)*#REF!</f>
        <v>#REF!</v>
      </c>
      <c r="Q69" s="266"/>
      <c r="Y69" s="269"/>
    </row>
    <row r="70" spans="1:25" s="263" customFormat="1" ht="26.85" customHeight="1">
      <c r="A70" s="56"/>
      <c r="B70" s="56"/>
      <c r="C70" s="56"/>
      <c r="D70" s="56"/>
      <c r="E70" s="56"/>
      <c r="F70" s="56"/>
      <c r="G70" s="56"/>
      <c r="H70" s="61"/>
      <c r="I70" s="61"/>
      <c r="J70" s="61"/>
      <c r="K70" s="56"/>
      <c r="L70" s="56"/>
      <c r="M70" s="56"/>
      <c r="N70" s="56"/>
      <c r="O70" s="56"/>
      <c r="P70" s="262" t="e">
        <f>ROUND($Q$64/SUM(#REF!),5)*#REF!</f>
        <v>#REF!</v>
      </c>
      <c r="Q70" s="266"/>
      <c r="Y70" s="269"/>
    </row>
    <row r="71" spans="1:25" s="263" customFormat="1" ht="26.85" customHeight="1">
      <c r="A71" s="56"/>
      <c r="B71" s="56"/>
      <c r="C71" s="56"/>
      <c r="D71" s="56"/>
      <c r="E71" s="56"/>
      <c r="F71" s="56"/>
      <c r="G71" s="56"/>
      <c r="H71" s="61"/>
      <c r="I71" s="61"/>
      <c r="J71" s="61"/>
      <c r="K71" s="56"/>
      <c r="L71" s="56"/>
      <c r="M71" s="56"/>
      <c r="N71" s="56"/>
      <c r="O71" s="56"/>
      <c r="P71" s="262" t="e">
        <f>ROUND($Q$64/SUM(#REF!),5)*#REF!</f>
        <v>#REF!</v>
      </c>
      <c r="Q71" s="266"/>
      <c r="Y71" s="269"/>
    </row>
    <row r="72" spans="1:25" s="263" customFormat="1" ht="26.85" customHeight="1">
      <c r="A72" s="56"/>
      <c r="B72" s="56"/>
      <c r="C72" s="56"/>
      <c r="D72" s="56"/>
      <c r="E72" s="56"/>
      <c r="F72" s="56"/>
      <c r="G72" s="56"/>
      <c r="H72" s="61"/>
      <c r="I72" s="61"/>
      <c r="J72" s="61"/>
      <c r="K72" s="56"/>
      <c r="L72" s="56"/>
      <c r="M72" s="56"/>
      <c r="N72" s="56"/>
      <c r="O72" s="56"/>
      <c r="P72" s="262" t="e">
        <f>ROUND($Q$72/SUM(#REF!),5)*#REF!</f>
        <v>#REF!</v>
      </c>
      <c r="Q72" s="266">
        <v>15172.5</v>
      </c>
      <c r="Y72" s="269"/>
    </row>
    <row r="73" spans="1:25" s="263" customFormat="1" ht="26.85" customHeight="1">
      <c r="A73" s="56"/>
      <c r="B73" s="56"/>
      <c r="C73" s="56"/>
      <c r="D73" s="56"/>
      <c r="E73" s="56"/>
      <c r="F73" s="56"/>
      <c r="G73" s="56"/>
      <c r="H73" s="61"/>
      <c r="I73" s="61"/>
      <c r="J73" s="61"/>
      <c r="K73" s="56"/>
      <c r="L73" s="56"/>
      <c r="M73" s="56"/>
      <c r="N73" s="56"/>
      <c r="O73" s="56"/>
      <c r="P73" s="262" t="e">
        <f>ROUND($Q$72/SUM(#REF!),5)*#REF!</f>
        <v>#REF!</v>
      </c>
      <c r="Q73" s="266"/>
      <c r="S73" s="263">
        <v>122.5</v>
      </c>
      <c r="Y73" s="269"/>
    </row>
    <row r="74" spans="1:25" s="263" customFormat="1" ht="26.85" customHeight="1">
      <c r="A74" s="56"/>
      <c r="B74" s="56"/>
      <c r="C74" s="56"/>
      <c r="D74" s="56"/>
      <c r="E74" s="56"/>
      <c r="F74" s="56"/>
      <c r="G74" s="56"/>
      <c r="H74" s="61"/>
      <c r="I74" s="61"/>
      <c r="J74" s="61"/>
      <c r="K74" s="56"/>
      <c r="L74" s="56"/>
      <c r="M74" s="56"/>
      <c r="N74" s="56"/>
      <c r="O74" s="56"/>
      <c r="P74" s="262" t="e">
        <f>ROUND($Q$72/SUM(#REF!),5)*#REF!</f>
        <v>#REF!</v>
      </c>
      <c r="Q74" s="266"/>
      <c r="Y74" s="269"/>
    </row>
    <row r="75" spans="1:25" s="263" customFormat="1" ht="26.85" customHeight="1">
      <c r="A75" s="56"/>
      <c r="B75" s="56"/>
      <c r="C75" s="56"/>
      <c r="D75" s="56"/>
      <c r="E75" s="56"/>
      <c r="F75" s="56"/>
      <c r="G75" s="56"/>
      <c r="H75" s="61"/>
      <c r="I75" s="61"/>
      <c r="J75" s="61"/>
      <c r="K75" s="56"/>
      <c r="L75" s="56"/>
      <c r="M75" s="56"/>
      <c r="N75" s="56"/>
      <c r="O75" s="56"/>
      <c r="P75" s="262" t="e">
        <f>ROUND($Q$72/SUM(#REF!),5)*#REF!</f>
        <v>#REF!</v>
      </c>
      <c r="Q75" s="266"/>
      <c r="Y75" s="269"/>
    </row>
    <row r="76" spans="1:25" s="263" customFormat="1" ht="26.85" customHeight="1">
      <c r="A76" s="56"/>
      <c r="B76" s="56"/>
      <c r="C76" s="56"/>
      <c r="D76" s="56"/>
      <c r="E76" s="56"/>
      <c r="F76" s="56"/>
      <c r="G76" s="56"/>
      <c r="H76" s="61"/>
      <c r="I76" s="61"/>
      <c r="J76" s="61"/>
      <c r="K76" s="56"/>
      <c r="L76" s="56"/>
      <c r="M76" s="56"/>
      <c r="N76" s="56"/>
      <c r="O76" s="56"/>
      <c r="P76" s="262" t="e">
        <f>ROUND($Q$72/SUM(#REF!),5)*#REF!</f>
        <v>#REF!</v>
      </c>
      <c r="Q76" s="266"/>
      <c r="Y76" s="269"/>
    </row>
    <row r="77" spans="1:25" s="263" customFormat="1" ht="26.85" customHeight="1">
      <c r="A77" s="56"/>
      <c r="B77" s="56"/>
      <c r="C77" s="56"/>
      <c r="D77" s="56"/>
      <c r="E77" s="56"/>
      <c r="F77" s="56"/>
      <c r="G77" s="56"/>
      <c r="H77" s="61"/>
      <c r="I77" s="61"/>
      <c r="J77" s="61"/>
      <c r="K77" s="56"/>
      <c r="L77" s="56"/>
      <c r="M77" s="56"/>
      <c r="N77" s="56"/>
      <c r="O77" s="56"/>
      <c r="P77" s="262" t="e">
        <f>ROUND($Q$72/SUM(#REF!),5)*#REF!</f>
        <v>#REF!</v>
      </c>
      <c r="Q77" s="266"/>
      <c r="Y77" s="269"/>
    </row>
    <row r="78" spans="1:25" s="263" customFormat="1" ht="26.85" customHeight="1">
      <c r="A78" s="56"/>
      <c r="B78" s="56"/>
      <c r="C78" s="56"/>
      <c r="D78" s="56"/>
      <c r="E78" s="56"/>
      <c r="F78" s="56"/>
      <c r="G78" s="56"/>
      <c r="H78" s="61"/>
      <c r="I78" s="61"/>
      <c r="J78" s="61"/>
      <c r="K78" s="56"/>
      <c r="L78" s="56"/>
      <c r="M78" s="56"/>
      <c r="N78" s="56"/>
      <c r="O78" s="56"/>
      <c r="P78" s="262" t="e">
        <f>ROUND($Q$78/SUM(#REF!),5)*#REF!</f>
        <v>#REF!</v>
      </c>
      <c r="Q78" s="266">
        <v>892.5</v>
      </c>
      <c r="Y78" s="269"/>
    </row>
    <row r="79" spans="1:25" s="263" customFormat="1" ht="26.85" customHeight="1">
      <c r="A79" s="56"/>
      <c r="B79" s="56"/>
      <c r="C79" s="56"/>
      <c r="D79" s="56"/>
      <c r="E79" s="56"/>
      <c r="F79" s="56"/>
      <c r="G79" s="56"/>
      <c r="H79" s="61"/>
      <c r="I79" s="61"/>
      <c r="J79" s="61"/>
      <c r="K79" s="56"/>
      <c r="L79" s="56"/>
      <c r="M79" s="56"/>
      <c r="N79" s="56"/>
      <c r="O79" s="56"/>
      <c r="P79" s="262" t="e">
        <f>ROUND($Q$78/SUM(#REF!),5)*#REF!</f>
        <v>#REF!</v>
      </c>
      <c r="Q79" s="266"/>
      <c r="Y79" s="269"/>
    </row>
    <row r="80" spans="1:25" s="263" customFormat="1" ht="26.85" customHeight="1">
      <c r="A80" s="56"/>
      <c r="B80" s="56"/>
      <c r="C80" s="56"/>
      <c r="D80" s="56"/>
      <c r="E80" s="56"/>
      <c r="F80" s="56"/>
      <c r="G80" s="56"/>
      <c r="H80" s="61"/>
      <c r="I80" s="61"/>
      <c r="J80" s="61"/>
      <c r="K80" s="56"/>
      <c r="L80" s="56"/>
      <c r="M80" s="56"/>
      <c r="N80" s="56"/>
      <c r="O80" s="56"/>
      <c r="P80" s="262" t="e">
        <f>ROUND($Q$78/SUM(#REF!),5)*#REF!</f>
        <v>#REF!</v>
      </c>
      <c r="Q80" s="266"/>
      <c r="Y80" s="269"/>
    </row>
    <row r="81" spans="1:25" s="263" customFormat="1" ht="26.85" customHeight="1">
      <c r="A81" s="56"/>
      <c r="B81" s="56"/>
      <c r="C81" s="56"/>
      <c r="D81" s="56"/>
      <c r="E81" s="56"/>
      <c r="F81" s="56"/>
      <c r="G81" s="56"/>
      <c r="H81" s="61"/>
      <c r="I81" s="61"/>
      <c r="J81" s="61"/>
      <c r="K81" s="56"/>
      <c r="L81" s="56"/>
      <c r="M81" s="56"/>
      <c r="N81" s="56"/>
      <c r="O81" s="56"/>
      <c r="P81" s="262" t="e">
        <f>ROUND($Q$78/SUM(#REF!),5)*#REF!</f>
        <v>#REF!</v>
      </c>
      <c r="Q81" s="266"/>
      <c r="Y81" s="269"/>
    </row>
    <row r="82" spans="1:25" ht="14.1" customHeight="1">
      <c r="P82" s="64"/>
      <c r="Q82" s="266"/>
    </row>
    <row r="83" spans="1:25" ht="14.1" customHeight="1">
      <c r="Q83" s="266"/>
    </row>
    <row r="84" spans="1:25">
      <c r="Q84" s="266"/>
    </row>
    <row r="85" spans="1:25">
      <c r="Q85" s="266"/>
    </row>
  </sheetData>
  <autoFilter ref="A7:Y81" xr:uid="{00000000-0001-0000-0100-000000000000}"/>
  <mergeCells count="3">
    <mergeCell ref="A5:B5"/>
    <mergeCell ref="H5:J5"/>
    <mergeCell ref="H58:K58"/>
  </mergeCells>
  <conditionalFormatting sqref="E9:E55 C58:E1048576 D1:E6 C1:C7 C8:E8 C9:D57">
    <cfRule type="duplicateValues" dxfId="1" priority="1"/>
  </conditionalFormatting>
  <printOptions horizontalCentered="1"/>
  <pageMargins left="0.70866141732283472" right="0.31496062992125984" top="0.74803149606299213" bottom="0.74803149606299213" header="0.31496062992125984" footer="0.31496062992125984"/>
  <pageSetup paperSize="9" scale="40"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B1:AY89"/>
  <sheetViews>
    <sheetView showGridLines="0" view="pageBreakPreview" zoomScale="80" zoomScaleNormal="100" zoomScaleSheetLayoutView="80" workbookViewId="0">
      <selection activeCell="C57" sqref="C57"/>
    </sheetView>
  </sheetViews>
  <sheetFormatPr defaultColWidth="8.76953125" defaultRowHeight="18" customHeight="1"/>
  <cols>
    <col min="1" max="1" width="1.05078125" style="110" customWidth="1"/>
    <col min="2" max="2" width="3.625" style="61" customWidth="1"/>
    <col min="3" max="3" width="21.1640625" style="120" customWidth="1"/>
    <col min="4" max="4" width="23.62109375" style="130" customWidth="1"/>
    <col min="5" max="5" width="25.0234375" style="130" customWidth="1"/>
    <col min="6" max="6" width="11.4609375" style="61" bestFit="1" customWidth="1"/>
    <col min="7" max="7" width="10.9921875" style="130" bestFit="1" customWidth="1"/>
    <col min="8" max="8" width="9.703125" style="56" customWidth="1"/>
    <col min="9" max="9" width="5.37890625" style="63" customWidth="1"/>
    <col min="10" max="10" width="5.37890625" style="56" customWidth="1"/>
    <col min="11" max="11" width="7.6015625" style="56" customWidth="1"/>
    <col min="12" max="14" width="7.71484375" style="56" customWidth="1"/>
    <col min="15" max="15" width="7.71484375" style="131" customWidth="1"/>
    <col min="16" max="16" width="9.9375" style="56" customWidth="1"/>
    <col min="17" max="17" width="9.5859375" style="56" customWidth="1"/>
    <col min="18" max="18" width="8.53515625" style="56" customWidth="1"/>
    <col min="19" max="19" width="10.0546875" style="61" customWidth="1"/>
    <col min="20" max="20" width="6.8984375" style="61" bestFit="1" customWidth="1"/>
    <col min="21" max="21" width="13.4453125" style="61" customWidth="1"/>
    <col min="22" max="22" width="40.578125" style="61" customWidth="1"/>
    <col min="23" max="23" width="7.1328125" style="132" bestFit="1" customWidth="1"/>
    <col min="24" max="24" width="1.05078125" style="108" customWidth="1"/>
    <col min="25" max="30" width="8.76953125" style="109" customWidth="1"/>
    <col min="31" max="36" width="8.76953125" style="110" customWidth="1"/>
    <col min="37" max="41" width="8.76953125" style="109"/>
    <col min="42" max="16384" width="8.76953125" style="110"/>
  </cols>
  <sheetData>
    <row r="1" spans="2:51" ht="9" customHeight="1">
      <c r="B1" s="406"/>
      <c r="C1" s="406"/>
      <c r="D1" s="406"/>
      <c r="E1" s="406"/>
      <c r="F1" s="406"/>
      <c r="G1" s="406"/>
      <c r="H1" s="406"/>
      <c r="I1" s="406"/>
      <c r="J1" s="406"/>
      <c r="K1" s="406"/>
      <c r="L1" s="406"/>
      <c r="M1" s="406"/>
      <c r="N1" s="406"/>
      <c r="O1" s="406"/>
      <c r="P1" s="406"/>
      <c r="Q1" s="406"/>
      <c r="R1" s="406"/>
      <c r="S1" s="406"/>
      <c r="T1" s="406"/>
      <c r="U1" s="406"/>
      <c r="V1" s="406"/>
      <c r="W1" s="406"/>
    </row>
    <row r="2" spans="2:51" ht="26.1" customHeight="1">
      <c r="B2" s="107"/>
      <c r="C2" s="56"/>
      <c r="D2" s="56"/>
      <c r="E2" s="56"/>
      <c r="F2" s="110"/>
      <c r="G2" s="56"/>
      <c r="I2" s="56"/>
      <c r="J2" s="111"/>
      <c r="K2" s="111"/>
      <c r="L2" s="111"/>
      <c r="M2" s="112"/>
      <c r="N2" s="113"/>
      <c r="O2" s="107"/>
      <c r="P2" s="107"/>
      <c r="Q2" s="107"/>
      <c r="R2" s="107"/>
      <c r="S2" s="107"/>
      <c r="T2" s="110"/>
      <c r="U2" s="110"/>
      <c r="V2" s="110"/>
      <c r="W2" s="110"/>
      <c r="X2" s="110"/>
      <c r="Y2" s="110"/>
      <c r="Z2" s="110"/>
      <c r="AA2" s="110"/>
      <c r="AB2" s="110"/>
      <c r="AC2" s="110"/>
      <c r="AD2" s="110"/>
      <c r="AK2" s="110"/>
      <c r="AL2" s="110"/>
      <c r="AM2" s="110"/>
      <c r="AN2" s="110"/>
      <c r="AO2" s="110"/>
    </row>
    <row r="3" spans="2:51" ht="27.6" customHeight="1" thickBot="1">
      <c r="B3" s="107"/>
      <c r="C3" s="407" t="s">
        <v>0</v>
      </c>
      <c r="D3" s="407"/>
      <c r="E3" s="407"/>
      <c r="F3" s="407"/>
      <c r="G3" s="407"/>
      <c r="H3" s="407"/>
      <c r="I3" s="407"/>
      <c r="J3" s="407"/>
      <c r="K3" s="407"/>
      <c r="L3" s="111"/>
      <c r="M3" s="112"/>
      <c r="N3" s="113"/>
      <c r="O3" s="114"/>
      <c r="P3" s="107"/>
      <c r="Q3" s="107"/>
      <c r="R3" s="107"/>
      <c r="S3" s="107"/>
      <c r="T3" s="110"/>
      <c r="U3" s="110"/>
      <c r="V3" s="110"/>
      <c r="W3" s="110"/>
      <c r="X3" s="110"/>
      <c r="Y3" s="110"/>
      <c r="Z3" s="110"/>
      <c r="AA3" s="110"/>
      <c r="AB3" s="110"/>
      <c r="AC3" s="110"/>
      <c r="AD3" s="110"/>
      <c r="AK3" s="110"/>
      <c r="AL3" s="110"/>
      <c r="AM3" s="110"/>
      <c r="AN3" s="110"/>
      <c r="AO3" s="110"/>
    </row>
    <row r="4" spans="2:51" ht="33.75" customHeight="1" thickTop="1" thickBot="1">
      <c r="B4" s="408" t="s">
        <v>88</v>
      </c>
      <c r="C4" s="409"/>
      <c r="D4" s="409"/>
      <c r="E4" s="409"/>
      <c r="F4" s="409"/>
      <c r="G4" s="409"/>
      <c r="H4" s="409"/>
      <c r="I4" s="409"/>
      <c r="J4" s="409"/>
      <c r="K4" s="409"/>
      <c r="L4" s="409"/>
      <c r="M4" s="409"/>
      <c r="N4" s="409"/>
      <c r="O4" s="409"/>
      <c r="P4" s="409"/>
      <c r="Q4" s="409"/>
      <c r="R4" s="409"/>
      <c r="S4" s="409"/>
      <c r="T4" s="409"/>
      <c r="U4" s="409"/>
      <c r="V4" s="409"/>
      <c r="W4" s="410"/>
    </row>
    <row r="5" spans="2:51" s="56" customFormat="1" ht="17.25" customHeight="1" thickTop="1">
      <c r="B5" s="61"/>
      <c r="C5" s="115" t="s">
        <v>89</v>
      </c>
      <c r="D5" s="183" t="str">
        <f>'PL(2_2)'!D5</f>
        <v>OM4-DE-IS-0005</v>
      </c>
      <c r="F5" s="118"/>
      <c r="H5" s="61"/>
      <c r="I5" s="116"/>
      <c r="J5" s="61"/>
      <c r="K5" s="61"/>
      <c r="L5" s="61"/>
      <c r="M5" s="61"/>
      <c r="N5" s="61"/>
      <c r="O5" s="117"/>
      <c r="P5" s="61"/>
      <c r="Q5" s="61"/>
      <c r="R5" s="61"/>
      <c r="S5" s="118"/>
      <c r="T5" s="61"/>
      <c r="U5" s="61"/>
      <c r="V5" s="61"/>
      <c r="W5" s="61"/>
      <c r="X5" s="119"/>
      <c r="Z5" s="56">
        <v>36</v>
      </c>
      <c r="AA5" s="56">
        <v>39</v>
      </c>
      <c r="AB5" s="56">
        <v>40</v>
      </c>
      <c r="AC5" s="56">
        <v>163</v>
      </c>
      <c r="AD5" s="56">
        <v>3</v>
      </c>
      <c r="AE5" s="56">
        <v>8</v>
      </c>
      <c r="AF5" s="56">
        <v>44</v>
      </c>
      <c r="AG5" s="56">
        <v>45</v>
      </c>
      <c r="AH5" s="56">
        <v>46</v>
      </c>
      <c r="AI5" s="56">
        <v>60</v>
      </c>
      <c r="AJ5" s="56">
        <v>66</v>
      </c>
      <c r="AK5" s="61">
        <v>68</v>
      </c>
      <c r="AL5" s="61">
        <v>69</v>
      </c>
      <c r="AM5" s="61">
        <v>70</v>
      </c>
      <c r="AN5" s="61">
        <v>71</v>
      </c>
      <c r="AO5" s="61">
        <v>170</v>
      </c>
      <c r="AP5" s="56">
        <v>110</v>
      </c>
      <c r="AQ5" s="56">
        <v>234</v>
      </c>
      <c r="AR5" s="56">
        <v>33</v>
      </c>
      <c r="AS5" s="56">
        <v>34</v>
      </c>
      <c r="AT5" s="56">
        <v>142</v>
      </c>
      <c r="AV5" s="56">
        <v>79</v>
      </c>
      <c r="AW5" s="56">
        <v>80</v>
      </c>
      <c r="AX5" s="56">
        <v>81</v>
      </c>
      <c r="AY5" s="56">
        <v>82</v>
      </c>
    </row>
    <row r="6" spans="2:51" s="56" customFormat="1" ht="17.25" customHeight="1">
      <c r="B6" s="61"/>
      <c r="C6" s="230" t="s">
        <v>39</v>
      </c>
      <c r="D6" s="231">
        <f>'PL(2_2)'!D6</f>
        <v>46171</v>
      </c>
      <c r="F6" s="61"/>
      <c r="H6" s="61"/>
      <c r="I6" s="61"/>
      <c r="J6" s="120" t="s">
        <v>40</v>
      </c>
      <c r="K6" s="61"/>
      <c r="L6" s="61"/>
      <c r="M6" s="61"/>
      <c r="N6" s="61"/>
      <c r="O6" s="61"/>
      <c r="P6" s="61"/>
      <c r="Q6" s="121" t="s">
        <v>41</v>
      </c>
      <c r="R6" s="61"/>
      <c r="S6" s="61"/>
      <c r="T6" s="61"/>
      <c r="U6" s="61"/>
      <c r="V6" s="61"/>
      <c r="W6" s="61"/>
      <c r="X6" s="119"/>
      <c r="Z6" s="56" t="e">
        <f>SUMIF(#REF!,Z5,#REF!)</f>
        <v>#REF!</v>
      </c>
      <c r="AA6" s="56" t="e">
        <f>SUMIF(#REF!,AA5,#REF!)</f>
        <v>#REF!</v>
      </c>
      <c r="AB6" s="56" t="e">
        <f>SUMIF(#REF!,AB5,#REF!)</f>
        <v>#REF!</v>
      </c>
      <c r="AC6" s="56" t="e">
        <f>SUMIF(#REF!,AC5,#REF!)</f>
        <v>#REF!</v>
      </c>
      <c r="AD6" s="56" t="e">
        <f>SUMIF(#REF!,AD5,#REF!)</f>
        <v>#REF!</v>
      </c>
      <c r="AE6" s="56" t="e">
        <f>SUMIF(#REF!,AE5,#REF!)</f>
        <v>#REF!</v>
      </c>
      <c r="AF6" s="56" t="e">
        <f>SUMIF(#REF!,AF5,#REF!)</f>
        <v>#REF!</v>
      </c>
      <c r="AG6" s="56" t="e">
        <f>SUMIF(#REF!,AG5,#REF!)</f>
        <v>#REF!</v>
      </c>
      <c r="AH6" s="56" t="e">
        <f>SUMIF(#REF!,AH5,#REF!)</f>
        <v>#REF!</v>
      </c>
      <c r="AI6" s="56" t="e">
        <f>SUMIF(#REF!,AI5,#REF!)</f>
        <v>#REF!</v>
      </c>
      <c r="AJ6" s="56" t="e">
        <f>SUMIF(#REF!,AJ5,#REF!)</f>
        <v>#REF!</v>
      </c>
      <c r="AK6" s="61" t="e">
        <f>SUMIF(#REF!,AK5,#REF!)</f>
        <v>#REF!</v>
      </c>
      <c r="AL6" s="61" t="e">
        <f>SUMIF(#REF!,AL5,#REF!)</f>
        <v>#REF!</v>
      </c>
      <c r="AM6" s="61" t="e">
        <f>SUMIF(#REF!,AM5,#REF!)</f>
        <v>#REF!</v>
      </c>
      <c r="AN6" s="61" t="e">
        <f>SUMIF(#REF!,AN5,#REF!)</f>
        <v>#REF!</v>
      </c>
      <c r="AO6" s="61" t="e">
        <f>SUMIF(#REF!,AO5,#REF!)</f>
        <v>#REF!</v>
      </c>
      <c r="AP6" s="56" t="e">
        <f>SUMIF(#REF!,AP5,#REF!)</f>
        <v>#REF!</v>
      </c>
      <c r="AQ6" s="56">
        <f>SUMIF($AH$89:$AH$358,AQ5,$I$89:$I$358)</f>
        <v>0</v>
      </c>
      <c r="AR6" s="56">
        <f>SUMIF($AH$89:$AH$358,AR5,$I$89:$I$358)</f>
        <v>0</v>
      </c>
      <c r="AS6" s="56">
        <f>SUMIF($AH$89:$AH$358,AS5,$I$89:$I$358)</f>
        <v>0</v>
      </c>
      <c r="AT6" s="56" t="e">
        <f>SUMIF(#REF!,AT5,#REF!)</f>
        <v>#REF!</v>
      </c>
      <c r="AU6" s="56" t="e">
        <f>SUM(Z6:AT7)</f>
        <v>#REF!</v>
      </c>
      <c r="AV6" s="56" t="e">
        <f>SUMIF(#REF!,AV5,#REF!)</f>
        <v>#REF!</v>
      </c>
      <c r="AW6" s="56" t="e">
        <f>SUMIF(#REF!,AW5,#REF!)</f>
        <v>#REF!</v>
      </c>
      <c r="AX6" s="56">
        <f>SUMIF($AH$89:$AH$358,AX5,$I$89:$I$358)</f>
        <v>0</v>
      </c>
      <c r="AY6" s="56">
        <f>SUMIF($AH$89:$AH$358,AY5,$I$89:$I$358)</f>
        <v>0</v>
      </c>
    </row>
    <row r="7" spans="2:51" s="56" customFormat="1" ht="17.25" customHeight="1">
      <c r="B7" s="61"/>
      <c r="C7" s="230" t="s">
        <v>42</v>
      </c>
      <c r="D7" s="232" t="str">
        <f>'PL(2_2)'!D7</f>
        <v>O MON IV THERMAL POWER PLANT</v>
      </c>
      <c r="F7" s="61"/>
      <c r="H7" s="61"/>
      <c r="I7" s="61"/>
      <c r="J7" s="58" t="s">
        <v>43</v>
      </c>
      <c r="K7" s="120" t="s">
        <v>44</v>
      </c>
      <c r="L7" s="61"/>
      <c r="M7" s="61"/>
      <c r="N7" s="61"/>
      <c r="O7" s="61"/>
      <c r="P7" s="61"/>
      <c r="Q7" s="122"/>
      <c r="R7" s="62" t="s">
        <v>314</v>
      </c>
      <c r="S7" s="62" t="s">
        <v>315</v>
      </c>
      <c r="T7" s="62" t="s">
        <v>178</v>
      </c>
      <c r="U7" s="62" t="s">
        <v>47</v>
      </c>
      <c r="V7" s="61"/>
      <c r="W7" s="61"/>
      <c r="X7" s="119"/>
      <c r="Y7" s="61"/>
      <c r="Z7" s="61"/>
      <c r="AA7" s="61"/>
      <c r="AB7" s="61"/>
      <c r="AC7" s="61"/>
      <c r="AD7" s="61">
        <v>1</v>
      </c>
      <c r="AE7" s="56">
        <v>1</v>
      </c>
      <c r="AH7" s="56">
        <v>5</v>
      </c>
      <c r="AI7" s="56">
        <v>100</v>
      </c>
      <c r="AK7" s="61"/>
      <c r="AL7" s="61"/>
      <c r="AM7" s="61"/>
      <c r="AN7" s="61"/>
      <c r="AO7" s="61"/>
      <c r="AT7" s="56">
        <v>2</v>
      </c>
      <c r="AV7" s="56">
        <v>105</v>
      </c>
    </row>
    <row r="8" spans="2:51" s="56" customFormat="1" ht="17.25" customHeight="1">
      <c r="B8" s="61"/>
      <c r="C8" s="230" t="s">
        <v>90</v>
      </c>
      <c r="F8" s="61"/>
      <c r="H8" s="61"/>
      <c r="I8" s="61"/>
      <c r="J8" s="58" t="s">
        <v>48</v>
      </c>
      <c r="K8" s="120" t="s">
        <v>49</v>
      </c>
      <c r="L8" s="61"/>
      <c r="M8" s="61"/>
      <c r="N8" s="61"/>
      <c r="O8" s="61"/>
      <c r="P8" s="61"/>
      <c r="Q8" s="123" t="s">
        <v>50</v>
      </c>
      <c r="R8" s="62" t="s">
        <v>51</v>
      </c>
      <c r="S8" s="62" t="s">
        <v>52</v>
      </c>
      <c r="T8" s="62" t="s">
        <v>53</v>
      </c>
      <c r="U8" s="62" t="s">
        <v>54</v>
      </c>
      <c r="V8" s="61"/>
      <c r="W8" s="61"/>
      <c r="X8" s="119"/>
      <c r="Y8" s="61"/>
      <c r="Z8" s="61"/>
      <c r="AA8" s="61"/>
      <c r="AB8" s="61"/>
      <c r="AC8" s="61"/>
      <c r="AD8" s="61"/>
      <c r="AK8" s="61"/>
      <c r="AL8" s="61"/>
      <c r="AM8" s="61"/>
      <c r="AN8" s="61"/>
      <c r="AO8" s="61"/>
    </row>
    <row r="9" spans="2:51" s="56" customFormat="1" ht="17.25" customHeight="1">
      <c r="B9" s="61"/>
      <c r="C9" s="233"/>
      <c r="F9" s="61"/>
      <c r="G9" s="115"/>
      <c r="H9" s="61"/>
      <c r="I9" s="61"/>
      <c r="J9" s="58" t="s">
        <v>55</v>
      </c>
      <c r="K9" s="120" t="s">
        <v>56</v>
      </c>
      <c r="L9" s="61"/>
      <c r="M9" s="61"/>
      <c r="N9" s="61"/>
      <c r="O9" s="61"/>
      <c r="P9" s="61"/>
      <c r="Q9" s="123" t="s">
        <v>57</v>
      </c>
      <c r="R9" s="62" t="s">
        <v>58</v>
      </c>
      <c r="S9" s="62" t="s">
        <v>59</v>
      </c>
      <c r="T9" s="62" t="s">
        <v>60</v>
      </c>
      <c r="U9" s="62" t="s">
        <v>61</v>
      </c>
      <c r="V9" s="61"/>
      <c r="W9" s="61"/>
      <c r="X9" s="119"/>
      <c r="Y9" s="61"/>
      <c r="Z9" s="61"/>
      <c r="AA9" s="61"/>
      <c r="AB9" s="61"/>
      <c r="AC9" s="61"/>
      <c r="AD9" s="61"/>
      <c r="AK9" s="61"/>
      <c r="AL9" s="61"/>
      <c r="AM9" s="61"/>
      <c r="AN9" s="61"/>
      <c r="AO9" s="61"/>
    </row>
    <row r="10" spans="2:51" s="56" customFormat="1" ht="17.25" customHeight="1">
      <c r="B10" s="61"/>
      <c r="C10" s="230"/>
      <c r="F10" s="61"/>
      <c r="G10" s="115"/>
      <c r="H10" s="61"/>
      <c r="I10" s="61"/>
      <c r="J10" s="58" t="s">
        <v>62</v>
      </c>
      <c r="K10" s="120" t="s">
        <v>63</v>
      </c>
      <c r="L10" s="61"/>
      <c r="M10" s="61"/>
      <c r="N10" s="61"/>
      <c r="O10" s="61"/>
      <c r="P10" s="61"/>
      <c r="Q10" s="123" t="s">
        <v>64</v>
      </c>
      <c r="R10" s="62" t="s">
        <v>65</v>
      </c>
      <c r="S10" s="62" t="s">
        <v>66</v>
      </c>
      <c r="T10" s="62" t="s">
        <v>67</v>
      </c>
      <c r="U10" s="62" t="s">
        <v>68</v>
      </c>
      <c r="V10" s="61"/>
      <c r="W10" s="61"/>
      <c r="X10" s="119"/>
      <c r="Y10" s="61"/>
      <c r="Z10" s="61"/>
      <c r="AA10" s="61"/>
      <c r="AB10" s="61"/>
      <c r="AC10" s="61"/>
      <c r="AD10" s="61"/>
      <c r="AK10" s="61"/>
      <c r="AL10" s="61"/>
      <c r="AM10" s="61"/>
      <c r="AN10" s="61"/>
      <c r="AO10" s="61"/>
    </row>
    <row r="11" spans="2:51" s="56" customFormat="1" ht="17.25" customHeight="1">
      <c r="B11" s="61"/>
      <c r="C11" s="115"/>
      <c r="D11" s="115"/>
      <c r="E11" s="115"/>
      <c r="F11" s="61"/>
      <c r="G11" s="115"/>
      <c r="H11" s="61"/>
      <c r="I11" s="61"/>
      <c r="J11" s="58" t="s">
        <v>69</v>
      </c>
      <c r="K11" s="120" t="s">
        <v>70</v>
      </c>
      <c r="L11" s="61"/>
      <c r="M11" s="61"/>
      <c r="N11" s="61"/>
      <c r="O11" s="61"/>
      <c r="P11" s="61"/>
      <c r="Q11" s="61"/>
      <c r="R11" s="61"/>
      <c r="S11" s="61"/>
      <c r="T11" s="61"/>
      <c r="U11" s="61"/>
      <c r="V11" s="61"/>
      <c r="W11" s="61"/>
      <c r="X11" s="119"/>
      <c r="Y11" s="61"/>
      <c r="Z11" s="61"/>
      <c r="AA11" s="61"/>
      <c r="AB11" s="61"/>
      <c r="AC11" s="61"/>
      <c r="AD11" s="61"/>
      <c r="AK11" s="61"/>
      <c r="AL11" s="61"/>
      <c r="AM11" s="61"/>
      <c r="AN11" s="61"/>
      <c r="AO11" s="61"/>
    </row>
    <row r="12" spans="2:51" s="56" customFormat="1" ht="17.25" customHeight="1">
      <c r="B12" s="61"/>
      <c r="C12" s="115"/>
      <c r="D12" s="61"/>
      <c r="E12" s="61"/>
      <c r="F12" s="61"/>
      <c r="G12" s="61"/>
      <c r="H12" s="61"/>
      <c r="I12" s="61"/>
      <c r="J12" s="61"/>
      <c r="K12" s="61"/>
      <c r="L12" s="61"/>
      <c r="M12" s="61"/>
      <c r="N12" s="61"/>
      <c r="O12" s="61"/>
      <c r="P12" s="61"/>
      <c r="Q12" s="61"/>
      <c r="R12" s="61"/>
      <c r="S12" s="61"/>
      <c r="T12" s="61"/>
      <c r="U12" s="61"/>
      <c r="V12" s="61"/>
      <c r="W12" s="61"/>
      <c r="X12" s="119"/>
      <c r="Y12" s="61"/>
      <c r="Z12" s="61"/>
      <c r="AA12" s="61"/>
      <c r="AB12" s="61"/>
      <c r="AC12" s="61"/>
      <c r="AD12" s="61"/>
      <c r="AK12" s="61"/>
      <c r="AL12" s="61"/>
      <c r="AM12" s="61"/>
      <c r="AN12" s="61"/>
      <c r="AO12" s="61"/>
    </row>
    <row r="13" spans="2:51" s="126" customFormat="1" ht="20.25" customHeight="1">
      <c r="B13" s="404" t="s">
        <v>27</v>
      </c>
      <c r="C13" s="401" t="s">
        <v>28</v>
      </c>
      <c r="D13" s="411" t="s">
        <v>71</v>
      </c>
      <c r="E13" s="412"/>
      <c r="F13" s="404" t="s">
        <v>91</v>
      </c>
      <c r="G13" s="401" t="s">
        <v>125</v>
      </c>
      <c r="H13" s="404" t="s">
        <v>72</v>
      </c>
      <c r="I13" s="415" t="s">
        <v>73</v>
      </c>
      <c r="J13" s="416"/>
      <c r="K13" s="404" t="s">
        <v>74</v>
      </c>
      <c r="L13" s="415" t="s">
        <v>75</v>
      </c>
      <c r="M13" s="417"/>
      <c r="N13" s="417"/>
      <c r="O13" s="416"/>
      <c r="P13" s="404" t="s">
        <v>76</v>
      </c>
      <c r="Q13" s="404" t="s">
        <v>77</v>
      </c>
      <c r="R13" s="404" t="s">
        <v>78</v>
      </c>
      <c r="S13" s="404" t="s">
        <v>79</v>
      </c>
      <c r="T13" s="411" t="s">
        <v>92</v>
      </c>
      <c r="U13" s="401" t="s">
        <v>270</v>
      </c>
      <c r="V13" s="404" t="s">
        <v>273</v>
      </c>
      <c r="W13" s="404" t="s">
        <v>80</v>
      </c>
      <c r="X13" s="124"/>
      <c r="Y13" s="125"/>
      <c r="Z13" s="125"/>
      <c r="AA13" s="125"/>
      <c r="AB13" s="125"/>
      <c r="AC13" s="125"/>
      <c r="AD13" s="125"/>
      <c r="AK13" s="125"/>
      <c r="AL13" s="125"/>
      <c r="AM13" s="125"/>
      <c r="AN13" s="125"/>
      <c r="AO13" s="125"/>
    </row>
    <row r="14" spans="2:51" s="126" customFormat="1" ht="28.5" customHeight="1">
      <c r="B14" s="402"/>
      <c r="C14" s="402"/>
      <c r="D14" s="413"/>
      <c r="E14" s="414"/>
      <c r="F14" s="405"/>
      <c r="G14" s="402"/>
      <c r="H14" s="405"/>
      <c r="I14" s="127" t="s">
        <v>81</v>
      </c>
      <c r="J14" s="127" t="s">
        <v>82</v>
      </c>
      <c r="K14" s="405"/>
      <c r="L14" s="128" t="s">
        <v>83</v>
      </c>
      <c r="M14" s="128" t="s">
        <v>84</v>
      </c>
      <c r="N14" s="128" t="s">
        <v>85</v>
      </c>
      <c r="O14" s="129" t="s">
        <v>86</v>
      </c>
      <c r="P14" s="405"/>
      <c r="Q14" s="405"/>
      <c r="R14" s="405"/>
      <c r="S14" s="405"/>
      <c r="T14" s="413"/>
      <c r="U14" s="402"/>
      <c r="V14" s="402"/>
      <c r="W14" s="405"/>
      <c r="Y14" s="125"/>
      <c r="Z14" s="125"/>
      <c r="AA14" s="125"/>
      <c r="AB14" s="125"/>
      <c r="AC14" s="125"/>
      <c r="AD14" s="125"/>
      <c r="AK14" s="125"/>
      <c r="AL14" s="125"/>
      <c r="AM14" s="125"/>
      <c r="AN14" s="125"/>
      <c r="AO14" s="125"/>
    </row>
    <row r="15" spans="2:51" s="126" customFormat="1" ht="15.75">
      <c r="B15" s="293">
        <v>1</v>
      </c>
      <c r="C15" s="291" t="s">
        <v>245</v>
      </c>
      <c r="D15" s="294" t="s">
        <v>208</v>
      </c>
      <c r="E15" s="75"/>
      <c r="F15" s="310" t="s">
        <v>205</v>
      </c>
      <c r="G15" s="220" t="s">
        <v>176</v>
      </c>
      <c r="H15" s="221" t="s">
        <v>219</v>
      </c>
      <c r="I15" s="218">
        <v>4</v>
      </c>
      <c r="J15" s="221" t="s">
        <v>222</v>
      </c>
      <c r="K15" s="221"/>
      <c r="L15" s="306"/>
      <c r="M15" s="306"/>
      <c r="N15" s="306"/>
      <c r="O15" s="341"/>
      <c r="P15" s="308">
        <v>300</v>
      </c>
      <c r="Q15" s="308"/>
      <c r="R15" s="221"/>
      <c r="S15" s="311"/>
      <c r="T15" s="320"/>
      <c r="U15" s="320" t="s">
        <v>272</v>
      </c>
      <c r="V15" s="320"/>
      <c r="W15" s="221" t="s">
        <v>316</v>
      </c>
      <c r="Y15" s="125"/>
      <c r="Z15" s="125"/>
      <c r="AA15" s="125"/>
      <c r="AB15" s="125"/>
      <c r="AC15" s="125"/>
      <c r="AD15" s="125"/>
      <c r="AK15" s="125"/>
      <c r="AL15" s="125"/>
      <c r="AM15" s="125"/>
      <c r="AN15" s="125"/>
      <c r="AO15" s="125"/>
    </row>
    <row r="16" spans="2:51" s="316" customFormat="1" ht="14.25">
      <c r="B16" s="396" t="s">
        <v>221</v>
      </c>
      <c r="C16" s="397"/>
      <c r="D16" s="397"/>
      <c r="E16" s="397"/>
      <c r="F16" s="397"/>
      <c r="G16" s="397"/>
      <c r="H16" s="397"/>
      <c r="I16" s="397"/>
      <c r="J16" s="398"/>
      <c r="K16" s="317" t="s">
        <v>177</v>
      </c>
      <c r="L16" s="318">
        <v>608</v>
      </c>
      <c r="M16" s="318">
        <v>158</v>
      </c>
      <c r="N16" s="318">
        <v>60</v>
      </c>
      <c r="O16" s="342">
        <v>5.7640000000000002</v>
      </c>
      <c r="P16" s="309">
        <v>300</v>
      </c>
      <c r="Q16" s="309">
        <v>930</v>
      </c>
      <c r="R16" s="309" t="s">
        <v>242</v>
      </c>
      <c r="S16" s="285" t="s">
        <v>244</v>
      </c>
      <c r="T16" s="286"/>
      <c r="U16" s="286"/>
      <c r="V16" s="286"/>
      <c r="W16" s="285"/>
      <c r="Y16" s="319"/>
      <c r="Z16" s="319"/>
      <c r="AA16" s="319"/>
      <c r="AB16" s="319"/>
      <c r="AC16" s="319"/>
      <c r="AD16" s="319"/>
      <c r="AK16" s="319"/>
      <c r="AL16" s="319"/>
      <c r="AM16" s="319"/>
      <c r="AN16" s="319"/>
      <c r="AO16" s="319"/>
    </row>
    <row r="17" spans="2:41" s="126" customFormat="1" ht="15.75">
      <c r="B17" s="293">
        <v>2</v>
      </c>
      <c r="C17" s="291" t="s">
        <v>274</v>
      </c>
      <c r="D17" s="294" t="s">
        <v>208</v>
      </c>
      <c r="E17" s="75"/>
      <c r="F17" s="310" t="s">
        <v>205</v>
      </c>
      <c r="G17" s="220" t="s">
        <v>176</v>
      </c>
      <c r="H17" s="221" t="s">
        <v>219</v>
      </c>
      <c r="I17" s="218">
        <v>1</v>
      </c>
      <c r="J17" s="221" t="s">
        <v>223</v>
      </c>
      <c r="K17" s="221"/>
      <c r="L17" s="306"/>
      <c r="M17" s="306"/>
      <c r="N17" s="306"/>
      <c r="O17" s="341"/>
      <c r="P17" s="308">
        <v>55.555555555555557</v>
      </c>
      <c r="Q17" s="308"/>
      <c r="R17" s="221"/>
      <c r="S17" s="311"/>
      <c r="T17" s="320"/>
      <c r="U17" s="320" t="s">
        <v>275</v>
      </c>
      <c r="V17" s="320"/>
      <c r="W17" s="221" t="s">
        <v>316</v>
      </c>
      <c r="Y17" s="125"/>
      <c r="Z17" s="125"/>
      <c r="AA17" s="125"/>
      <c r="AB17" s="125"/>
      <c r="AC17" s="125"/>
      <c r="AD17" s="125"/>
      <c r="AK17" s="125"/>
      <c r="AL17" s="125"/>
      <c r="AM17" s="125"/>
      <c r="AN17" s="125"/>
      <c r="AO17" s="125"/>
    </row>
    <row r="18" spans="2:41" s="126" customFormat="1" ht="15.75">
      <c r="B18" s="293">
        <v>3</v>
      </c>
      <c r="C18" s="291" t="s">
        <v>274</v>
      </c>
      <c r="D18" s="294" t="s">
        <v>208</v>
      </c>
      <c r="E18" s="75"/>
      <c r="F18" s="310" t="s">
        <v>205</v>
      </c>
      <c r="G18" s="220" t="s">
        <v>176</v>
      </c>
      <c r="H18" s="221" t="s">
        <v>219</v>
      </c>
      <c r="I18" s="218">
        <v>1</v>
      </c>
      <c r="J18" s="221" t="s">
        <v>223</v>
      </c>
      <c r="K18" s="221"/>
      <c r="L18" s="306"/>
      <c r="M18" s="306"/>
      <c r="N18" s="306"/>
      <c r="O18" s="341"/>
      <c r="P18" s="308">
        <v>55.555555555555557</v>
      </c>
      <c r="Q18" s="308"/>
      <c r="R18" s="221"/>
      <c r="S18" s="311"/>
      <c r="T18" s="320"/>
      <c r="U18" s="320" t="s">
        <v>276</v>
      </c>
      <c r="V18" s="320"/>
      <c r="W18" s="221" t="s">
        <v>316</v>
      </c>
      <c r="Y18" s="125"/>
      <c r="Z18" s="125"/>
      <c r="AA18" s="125"/>
      <c r="AB18" s="125"/>
      <c r="AC18" s="125"/>
      <c r="AD18" s="125"/>
      <c r="AK18" s="125"/>
      <c r="AL18" s="125"/>
      <c r="AM18" s="125"/>
      <c r="AN18" s="125"/>
      <c r="AO18" s="125"/>
    </row>
    <row r="19" spans="2:41" s="126" customFormat="1" ht="15.75">
      <c r="B19" s="293">
        <v>4</v>
      </c>
      <c r="C19" s="291" t="s">
        <v>274</v>
      </c>
      <c r="D19" s="294" t="s">
        <v>208</v>
      </c>
      <c r="E19" s="75"/>
      <c r="F19" s="310" t="s">
        <v>205</v>
      </c>
      <c r="G19" s="220" t="s">
        <v>176</v>
      </c>
      <c r="H19" s="221" t="s">
        <v>219</v>
      </c>
      <c r="I19" s="218">
        <v>1</v>
      </c>
      <c r="J19" s="221" t="s">
        <v>223</v>
      </c>
      <c r="K19" s="221"/>
      <c r="L19" s="306"/>
      <c r="M19" s="306"/>
      <c r="N19" s="306"/>
      <c r="O19" s="341"/>
      <c r="P19" s="308">
        <v>55.555555555555557</v>
      </c>
      <c r="Q19" s="308"/>
      <c r="R19" s="221"/>
      <c r="S19" s="311"/>
      <c r="T19" s="320"/>
      <c r="U19" s="320" t="s">
        <v>277</v>
      </c>
      <c r="V19" s="320"/>
      <c r="W19" s="221" t="s">
        <v>316</v>
      </c>
      <c r="Y19" s="125"/>
      <c r="Z19" s="125"/>
      <c r="AA19" s="125"/>
      <c r="AB19" s="125"/>
      <c r="AC19" s="125"/>
      <c r="AD19" s="125"/>
      <c r="AK19" s="125"/>
      <c r="AL19" s="125"/>
      <c r="AM19" s="125"/>
      <c r="AN19" s="125"/>
      <c r="AO19" s="125"/>
    </row>
    <row r="20" spans="2:41" s="126" customFormat="1" ht="15.75">
      <c r="B20" s="293">
        <v>5</v>
      </c>
      <c r="C20" s="291" t="s">
        <v>274</v>
      </c>
      <c r="D20" s="294" t="s">
        <v>208</v>
      </c>
      <c r="E20" s="75"/>
      <c r="F20" s="310" t="s">
        <v>205</v>
      </c>
      <c r="G20" s="220" t="s">
        <v>176</v>
      </c>
      <c r="H20" s="221" t="s">
        <v>219</v>
      </c>
      <c r="I20" s="218">
        <v>1</v>
      </c>
      <c r="J20" s="221" t="s">
        <v>223</v>
      </c>
      <c r="K20" s="221"/>
      <c r="L20" s="306"/>
      <c r="M20" s="306"/>
      <c r="N20" s="306"/>
      <c r="O20" s="341"/>
      <c r="P20" s="308">
        <v>55.555555555555557</v>
      </c>
      <c r="Q20" s="308"/>
      <c r="R20" s="221"/>
      <c r="S20" s="311"/>
      <c r="T20" s="320"/>
      <c r="U20" s="320" t="s">
        <v>278</v>
      </c>
      <c r="V20" s="320"/>
      <c r="W20" s="221" t="s">
        <v>316</v>
      </c>
      <c r="Y20" s="125"/>
      <c r="Z20" s="125"/>
      <c r="AA20" s="125"/>
      <c r="AB20" s="125"/>
      <c r="AC20" s="125"/>
      <c r="AD20" s="125"/>
      <c r="AK20" s="125"/>
      <c r="AL20" s="125"/>
      <c r="AM20" s="125"/>
      <c r="AN20" s="125"/>
      <c r="AO20" s="125"/>
    </row>
    <row r="21" spans="2:41" s="126" customFormat="1" ht="15.75">
      <c r="B21" s="293">
        <v>6</v>
      </c>
      <c r="C21" s="291" t="s">
        <v>274</v>
      </c>
      <c r="D21" s="294" t="s">
        <v>208</v>
      </c>
      <c r="E21" s="75"/>
      <c r="F21" s="310" t="s">
        <v>205</v>
      </c>
      <c r="G21" s="220" t="s">
        <v>176</v>
      </c>
      <c r="H21" s="221" t="s">
        <v>219</v>
      </c>
      <c r="I21" s="218">
        <v>2</v>
      </c>
      <c r="J21" s="221" t="s">
        <v>222</v>
      </c>
      <c r="K21" s="221"/>
      <c r="L21" s="306"/>
      <c r="M21" s="306"/>
      <c r="N21" s="306"/>
      <c r="O21" s="341"/>
      <c r="P21" s="308">
        <v>111.11111111111111</v>
      </c>
      <c r="Q21" s="308"/>
      <c r="R21" s="221"/>
      <c r="S21" s="311"/>
      <c r="T21" s="320"/>
      <c r="U21" s="320" t="s">
        <v>279</v>
      </c>
      <c r="V21" s="320"/>
      <c r="W21" s="221" t="s">
        <v>316</v>
      </c>
      <c r="Y21" s="125"/>
      <c r="Z21" s="125"/>
      <c r="AA21" s="125"/>
      <c r="AB21" s="125"/>
      <c r="AC21" s="125"/>
      <c r="AD21" s="125"/>
      <c r="AK21" s="125"/>
      <c r="AL21" s="125"/>
      <c r="AM21" s="125"/>
      <c r="AN21" s="125"/>
      <c r="AO21" s="125"/>
    </row>
    <row r="22" spans="2:41" s="126" customFormat="1" ht="15.75">
      <c r="B22" s="293">
        <v>7</v>
      </c>
      <c r="C22" s="291" t="s">
        <v>274</v>
      </c>
      <c r="D22" s="294" t="s">
        <v>287</v>
      </c>
      <c r="E22" s="75"/>
      <c r="F22" s="310" t="s">
        <v>205</v>
      </c>
      <c r="G22" s="220" t="s">
        <v>176</v>
      </c>
      <c r="H22" s="221" t="s">
        <v>219</v>
      </c>
      <c r="I22" s="218">
        <v>2</v>
      </c>
      <c r="J22" s="221" t="s">
        <v>222</v>
      </c>
      <c r="K22" s="221"/>
      <c r="L22" s="306"/>
      <c r="M22" s="306"/>
      <c r="N22" s="306"/>
      <c r="O22" s="341"/>
      <c r="P22" s="308">
        <v>111.11111111111111</v>
      </c>
      <c r="Q22" s="308"/>
      <c r="R22" s="221"/>
      <c r="S22" s="311"/>
      <c r="T22" s="320"/>
      <c r="U22" s="320" t="s">
        <v>280</v>
      </c>
      <c r="V22" s="320"/>
      <c r="W22" s="221" t="s">
        <v>316</v>
      </c>
      <c r="Y22" s="125"/>
      <c r="Z22" s="125"/>
      <c r="AA22" s="125"/>
      <c r="AB22" s="125"/>
      <c r="AC22" s="125"/>
      <c r="AD22" s="125"/>
      <c r="AK22" s="125"/>
      <c r="AL22" s="125"/>
      <c r="AM22" s="125"/>
      <c r="AN22" s="125"/>
      <c r="AO22" s="125"/>
    </row>
    <row r="23" spans="2:41" s="126" customFormat="1" ht="15.75">
      <c r="B23" s="293">
        <v>8</v>
      </c>
      <c r="C23" s="291" t="s">
        <v>274</v>
      </c>
      <c r="D23" s="294" t="s">
        <v>208</v>
      </c>
      <c r="E23" s="75"/>
      <c r="F23" s="310" t="s">
        <v>205</v>
      </c>
      <c r="G23" s="220" t="s">
        <v>176</v>
      </c>
      <c r="H23" s="221" t="s">
        <v>219</v>
      </c>
      <c r="I23" s="218">
        <v>1</v>
      </c>
      <c r="J23" s="221" t="s">
        <v>223</v>
      </c>
      <c r="K23" s="221"/>
      <c r="L23" s="306"/>
      <c r="M23" s="306"/>
      <c r="N23" s="306"/>
      <c r="O23" s="341"/>
      <c r="P23" s="308">
        <v>55.555555555555557</v>
      </c>
      <c r="Q23" s="308"/>
      <c r="R23" s="221"/>
      <c r="S23" s="311"/>
      <c r="T23" s="320"/>
      <c r="U23" s="320" t="s">
        <v>281</v>
      </c>
      <c r="V23" s="320"/>
      <c r="W23" s="221" t="s">
        <v>316</v>
      </c>
      <c r="Y23" s="125"/>
      <c r="Z23" s="125"/>
      <c r="AA23" s="125"/>
      <c r="AB23" s="125"/>
      <c r="AC23" s="125"/>
      <c r="AD23" s="125"/>
      <c r="AK23" s="125"/>
      <c r="AL23" s="125"/>
      <c r="AM23" s="125"/>
      <c r="AN23" s="125"/>
      <c r="AO23" s="125"/>
    </row>
    <row r="24" spans="2:41" s="316" customFormat="1" ht="14.25">
      <c r="B24" s="396" t="s">
        <v>221</v>
      </c>
      <c r="C24" s="397"/>
      <c r="D24" s="397"/>
      <c r="E24" s="397"/>
      <c r="F24" s="397"/>
      <c r="G24" s="397"/>
      <c r="H24" s="397"/>
      <c r="I24" s="397"/>
      <c r="J24" s="398"/>
      <c r="K24" s="317" t="s">
        <v>177</v>
      </c>
      <c r="L24" s="318">
        <v>354</v>
      </c>
      <c r="M24" s="318">
        <v>204</v>
      </c>
      <c r="N24" s="318">
        <v>100</v>
      </c>
      <c r="O24" s="342">
        <v>7.2220000000000004</v>
      </c>
      <c r="P24" s="309">
        <v>500</v>
      </c>
      <c r="Q24" s="309">
        <v>1030</v>
      </c>
      <c r="R24" s="309" t="s">
        <v>242</v>
      </c>
      <c r="S24" s="285" t="s">
        <v>244</v>
      </c>
      <c r="T24" s="286"/>
      <c r="U24" s="286"/>
      <c r="V24" s="286"/>
      <c r="W24" s="285"/>
      <c r="Y24" s="319"/>
      <c r="Z24" s="319"/>
      <c r="AA24" s="319"/>
      <c r="AB24" s="319"/>
      <c r="AC24" s="319"/>
      <c r="AD24" s="319"/>
      <c r="AK24" s="319"/>
      <c r="AL24" s="319"/>
      <c r="AM24" s="319"/>
      <c r="AN24" s="319"/>
      <c r="AO24" s="319"/>
    </row>
    <row r="25" spans="2:41" s="126" customFormat="1" ht="15.75">
      <c r="B25" s="293">
        <v>9</v>
      </c>
      <c r="C25" s="291" t="s">
        <v>296</v>
      </c>
      <c r="D25" s="294" t="s">
        <v>288</v>
      </c>
      <c r="E25" s="75"/>
      <c r="F25" s="310" t="s">
        <v>205</v>
      </c>
      <c r="G25" s="220" t="s">
        <v>176</v>
      </c>
      <c r="H25" s="221" t="s">
        <v>219</v>
      </c>
      <c r="I25" s="218">
        <v>27</v>
      </c>
      <c r="J25" s="221" t="s">
        <v>222</v>
      </c>
      <c r="K25" s="221"/>
      <c r="L25" s="306"/>
      <c r="M25" s="306"/>
      <c r="N25" s="306"/>
      <c r="O25" s="341"/>
      <c r="P25" s="308">
        <v>273.375</v>
      </c>
      <c r="Q25" s="308"/>
      <c r="R25" s="221"/>
      <c r="S25" s="311"/>
      <c r="T25" s="320"/>
      <c r="U25" s="320" t="s">
        <v>282</v>
      </c>
      <c r="V25" s="320" t="s">
        <v>286</v>
      </c>
      <c r="W25" s="221" t="s">
        <v>316</v>
      </c>
      <c r="Y25" s="125"/>
      <c r="Z25" s="125"/>
      <c r="AA25" s="125"/>
      <c r="AB25" s="125"/>
      <c r="AC25" s="125"/>
      <c r="AD25" s="125"/>
      <c r="AK25" s="125"/>
      <c r="AL25" s="125"/>
      <c r="AM25" s="125"/>
      <c r="AN25" s="125"/>
      <c r="AO25" s="125"/>
    </row>
    <row r="26" spans="2:41" s="126" customFormat="1" ht="15.75">
      <c r="B26" s="293">
        <v>10</v>
      </c>
      <c r="C26" s="291" t="s">
        <v>296</v>
      </c>
      <c r="D26" s="294" t="s">
        <v>289</v>
      </c>
      <c r="E26" s="75"/>
      <c r="F26" s="310" t="s">
        <v>205</v>
      </c>
      <c r="G26" s="220" t="s">
        <v>176</v>
      </c>
      <c r="H26" s="221" t="s">
        <v>219</v>
      </c>
      <c r="I26" s="218">
        <v>42</v>
      </c>
      <c r="J26" s="221" t="s">
        <v>222</v>
      </c>
      <c r="K26" s="221"/>
      <c r="L26" s="306"/>
      <c r="M26" s="306"/>
      <c r="N26" s="306"/>
      <c r="O26" s="341"/>
      <c r="P26" s="308">
        <v>425.25</v>
      </c>
      <c r="Q26" s="308"/>
      <c r="R26" s="221"/>
      <c r="S26" s="311"/>
      <c r="T26" s="320"/>
      <c r="U26" s="320" t="s">
        <v>283</v>
      </c>
      <c r="V26" s="320" t="s">
        <v>286</v>
      </c>
      <c r="W26" s="221" t="s">
        <v>316</v>
      </c>
      <c r="Y26" s="125"/>
      <c r="Z26" s="125"/>
      <c r="AA26" s="125"/>
      <c r="AB26" s="125"/>
      <c r="AC26" s="125"/>
      <c r="AD26" s="125"/>
      <c r="AK26" s="125"/>
      <c r="AL26" s="125"/>
      <c r="AM26" s="125"/>
      <c r="AN26" s="125"/>
      <c r="AO26" s="125"/>
    </row>
    <row r="27" spans="2:41" s="126" customFormat="1" ht="15.75">
      <c r="B27" s="293">
        <v>11</v>
      </c>
      <c r="C27" s="291" t="s">
        <v>296</v>
      </c>
      <c r="D27" s="294" t="s">
        <v>224</v>
      </c>
      <c r="E27" s="75"/>
      <c r="F27" s="310" t="s">
        <v>205</v>
      </c>
      <c r="G27" s="220" t="s">
        <v>176</v>
      </c>
      <c r="H27" s="221" t="s">
        <v>219</v>
      </c>
      <c r="I27" s="218">
        <v>9</v>
      </c>
      <c r="J27" s="221" t="s">
        <v>222</v>
      </c>
      <c r="K27" s="221"/>
      <c r="L27" s="306"/>
      <c r="M27" s="306"/>
      <c r="N27" s="306"/>
      <c r="O27" s="341"/>
      <c r="P27" s="308">
        <v>91.125</v>
      </c>
      <c r="Q27" s="308"/>
      <c r="R27" s="221"/>
      <c r="S27" s="311"/>
      <c r="T27" s="320"/>
      <c r="U27" s="320" t="s">
        <v>284</v>
      </c>
      <c r="V27" s="320" t="s">
        <v>286</v>
      </c>
      <c r="W27" s="221" t="s">
        <v>316</v>
      </c>
      <c r="Y27" s="125"/>
      <c r="Z27" s="125"/>
      <c r="AA27" s="125"/>
      <c r="AB27" s="125"/>
      <c r="AC27" s="125"/>
      <c r="AD27" s="125"/>
      <c r="AK27" s="125"/>
      <c r="AL27" s="125"/>
      <c r="AM27" s="125"/>
      <c r="AN27" s="125"/>
      <c r="AO27" s="125"/>
    </row>
    <row r="28" spans="2:41" s="126" customFormat="1" ht="15.75">
      <c r="B28" s="293">
        <v>12</v>
      </c>
      <c r="C28" s="291" t="s">
        <v>296</v>
      </c>
      <c r="D28" s="294" t="s">
        <v>225</v>
      </c>
      <c r="E28" s="75"/>
      <c r="F28" s="310" t="s">
        <v>205</v>
      </c>
      <c r="G28" s="220" t="s">
        <v>176</v>
      </c>
      <c r="H28" s="221" t="s">
        <v>219</v>
      </c>
      <c r="I28" s="218">
        <v>2</v>
      </c>
      <c r="J28" s="221" t="s">
        <v>222</v>
      </c>
      <c r="K28" s="221"/>
      <c r="L28" s="306"/>
      <c r="M28" s="306"/>
      <c r="N28" s="306"/>
      <c r="O28" s="341"/>
      <c r="P28" s="308">
        <v>20.25</v>
      </c>
      <c r="Q28" s="308"/>
      <c r="R28" s="221"/>
      <c r="S28" s="311"/>
      <c r="T28" s="320"/>
      <c r="U28" s="320" t="s">
        <v>285</v>
      </c>
      <c r="V28" s="320" t="s">
        <v>286</v>
      </c>
      <c r="W28" s="221" t="s">
        <v>316</v>
      </c>
      <c r="Y28" s="125"/>
      <c r="Z28" s="125"/>
      <c r="AA28" s="125"/>
      <c r="AB28" s="125"/>
      <c r="AC28" s="125"/>
      <c r="AD28" s="125"/>
      <c r="AK28" s="125"/>
      <c r="AL28" s="125"/>
      <c r="AM28" s="125"/>
      <c r="AN28" s="125"/>
      <c r="AO28" s="125"/>
    </row>
    <row r="29" spans="2:41" s="316" customFormat="1" ht="14.25">
      <c r="B29" s="396" t="s">
        <v>221</v>
      </c>
      <c r="C29" s="397"/>
      <c r="D29" s="397"/>
      <c r="E29" s="397"/>
      <c r="F29" s="397"/>
      <c r="G29" s="397"/>
      <c r="H29" s="397"/>
      <c r="I29" s="397"/>
      <c r="J29" s="398"/>
      <c r="K29" s="317" t="s">
        <v>177</v>
      </c>
      <c r="L29" s="318">
        <v>340</v>
      </c>
      <c r="M29" s="318">
        <v>208</v>
      </c>
      <c r="N29" s="318">
        <v>138</v>
      </c>
      <c r="O29" s="342">
        <v>9.7590000000000003</v>
      </c>
      <c r="P29" s="309">
        <v>810</v>
      </c>
      <c r="Q29" s="309">
        <v>1350</v>
      </c>
      <c r="R29" s="309" t="s">
        <v>242</v>
      </c>
      <c r="S29" s="285" t="s">
        <v>244</v>
      </c>
      <c r="T29" s="286"/>
      <c r="U29" s="286"/>
      <c r="V29" s="286"/>
      <c r="W29" s="285"/>
      <c r="Y29" s="319"/>
      <c r="Z29" s="319"/>
      <c r="AA29" s="319"/>
      <c r="AB29" s="319"/>
      <c r="AC29" s="319"/>
      <c r="AD29" s="319"/>
      <c r="AK29" s="319"/>
      <c r="AL29" s="319"/>
      <c r="AM29" s="319"/>
      <c r="AN29" s="319"/>
      <c r="AO29" s="319"/>
    </row>
    <row r="30" spans="2:41" s="126" customFormat="1" ht="15.75">
      <c r="B30" s="293">
        <v>13</v>
      </c>
      <c r="C30" s="291" t="s">
        <v>297</v>
      </c>
      <c r="D30" s="294" t="s">
        <v>226</v>
      </c>
      <c r="E30" s="75"/>
      <c r="F30" s="310" t="s">
        <v>205</v>
      </c>
      <c r="G30" s="220" t="s">
        <v>176</v>
      </c>
      <c r="H30" s="221" t="s">
        <v>219</v>
      </c>
      <c r="I30" s="218">
        <v>1</v>
      </c>
      <c r="J30" s="221" t="s">
        <v>223</v>
      </c>
      <c r="K30" s="221"/>
      <c r="L30" s="306"/>
      <c r="M30" s="306"/>
      <c r="N30" s="306"/>
      <c r="O30" s="341"/>
      <c r="P30" s="308">
        <v>447</v>
      </c>
      <c r="Q30" s="308"/>
      <c r="R30" s="221"/>
      <c r="S30" s="311"/>
      <c r="T30" s="320"/>
      <c r="U30" s="320" t="s">
        <v>290</v>
      </c>
      <c r="V30" s="320" t="s">
        <v>291</v>
      </c>
      <c r="W30" s="221" t="s">
        <v>316</v>
      </c>
      <c r="Y30" s="125"/>
      <c r="Z30" s="125"/>
      <c r="AA30" s="125"/>
      <c r="AB30" s="125"/>
      <c r="AC30" s="125"/>
      <c r="AD30" s="125"/>
      <c r="AK30" s="125"/>
      <c r="AL30" s="125"/>
      <c r="AM30" s="125"/>
      <c r="AN30" s="125"/>
      <c r="AO30" s="125"/>
    </row>
    <row r="31" spans="2:41" s="316" customFormat="1" ht="14.25">
      <c r="B31" s="396" t="s">
        <v>221</v>
      </c>
      <c r="C31" s="397"/>
      <c r="D31" s="397"/>
      <c r="E31" s="397"/>
      <c r="F31" s="397"/>
      <c r="G31" s="397"/>
      <c r="H31" s="397"/>
      <c r="I31" s="397"/>
      <c r="J31" s="398"/>
      <c r="K31" s="317" t="s">
        <v>177</v>
      </c>
      <c r="L31" s="318">
        <v>115</v>
      </c>
      <c r="M31" s="318">
        <v>94</v>
      </c>
      <c r="N31" s="318">
        <v>85</v>
      </c>
      <c r="O31" s="342">
        <v>0.91900000000000004</v>
      </c>
      <c r="P31" s="309">
        <v>447</v>
      </c>
      <c r="Q31" s="309">
        <v>540</v>
      </c>
      <c r="R31" s="309" t="s">
        <v>242</v>
      </c>
      <c r="S31" s="285" t="s">
        <v>244</v>
      </c>
      <c r="T31" s="286"/>
      <c r="U31" s="286"/>
      <c r="V31" s="286"/>
      <c r="W31" s="285"/>
      <c r="Y31" s="319"/>
      <c r="Z31" s="319"/>
      <c r="AA31" s="319"/>
      <c r="AB31" s="319"/>
      <c r="AC31" s="319"/>
      <c r="AD31" s="319"/>
      <c r="AK31" s="319"/>
      <c r="AL31" s="319"/>
      <c r="AM31" s="319"/>
      <c r="AN31" s="319"/>
      <c r="AO31" s="319"/>
    </row>
    <row r="32" spans="2:41" s="126" customFormat="1" ht="15.75">
      <c r="B32" s="293">
        <v>14</v>
      </c>
      <c r="C32" s="291" t="s">
        <v>298</v>
      </c>
      <c r="D32" s="294" t="s">
        <v>226</v>
      </c>
      <c r="E32" s="75"/>
      <c r="F32" s="310" t="s">
        <v>205</v>
      </c>
      <c r="G32" s="220" t="s">
        <v>176</v>
      </c>
      <c r="H32" s="221" t="s">
        <v>219</v>
      </c>
      <c r="I32" s="218">
        <v>1</v>
      </c>
      <c r="J32" s="221" t="s">
        <v>223</v>
      </c>
      <c r="K32" s="221"/>
      <c r="L32" s="306"/>
      <c r="M32" s="306"/>
      <c r="N32" s="306"/>
      <c r="O32" s="341"/>
      <c r="P32" s="308">
        <v>676</v>
      </c>
      <c r="Q32" s="308"/>
      <c r="R32" s="221"/>
      <c r="S32" s="311"/>
      <c r="T32" s="320"/>
      <c r="U32" s="320" t="s">
        <v>292</v>
      </c>
      <c r="V32" s="320" t="s">
        <v>291</v>
      </c>
      <c r="W32" s="221" t="s">
        <v>316</v>
      </c>
      <c r="Y32" s="125"/>
      <c r="Z32" s="125"/>
      <c r="AA32" s="125"/>
      <c r="AB32" s="125"/>
      <c r="AC32" s="125"/>
      <c r="AD32" s="125"/>
      <c r="AK32" s="125"/>
      <c r="AL32" s="125"/>
      <c r="AM32" s="125"/>
      <c r="AN32" s="125"/>
      <c r="AO32" s="125"/>
    </row>
    <row r="33" spans="2:41" s="316" customFormat="1" ht="14.25">
      <c r="B33" s="396" t="s">
        <v>221</v>
      </c>
      <c r="C33" s="397"/>
      <c r="D33" s="397"/>
      <c r="E33" s="397"/>
      <c r="F33" s="397"/>
      <c r="G33" s="397"/>
      <c r="H33" s="397"/>
      <c r="I33" s="397"/>
      <c r="J33" s="398"/>
      <c r="K33" s="317" t="s">
        <v>177</v>
      </c>
      <c r="L33" s="318">
        <v>168</v>
      </c>
      <c r="M33" s="318">
        <v>115</v>
      </c>
      <c r="N33" s="318">
        <v>77</v>
      </c>
      <c r="O33" s="342">
        <v>1.488</v>
      </c>
      <c r="P33" s="309">
        <v>676</v>
      </c>
      <c r="Q33" s="309">
        <v>812</v>
      </c>
      <c r="R33" s="309" t="s">
        <v>242</v>
      </c>
      <c r="S33" s="285" t="s">
        <v>244</v>
      </c>
      <c r="T33" s="286"/>
      <c r="U33" s="286"/>
      <c r="V33" s="286"/>
      <c r="W33" s="285"/>
      <c r="Y33" s="319"/>
      <c r="Z33" s="319"/>
      <c r="AA33" s="319"/>
      <c r="AB33" s="319"/>
      <c r="AC33" s="319"/>
      <c r="AD33" s="319"/>
      <c r="AK33" s="319"/>
      <c r="AL33" s="319"/>
      <c r="AM33" s="319"/>
      <c r="AN33" s="319"/>
      <c r="AO33" s="319"/>
    </row>
    <row r="34" spans="2:41" s="126" customFormat="1" ht="15.75">
      <c r="B34" s="293">
        <v>15</v>
      </c>
      <c r="C34" s="291" t="s">
        <v>299</v>
      </c>
      <c r="D34" s="294" t="s">
        <v>300</v>
      </c>
      <c r="E34" s="75"/>
      <c r="F34" s="310" t="s">
        <v>205</v>
      </c>
      <c r="G34" s="220" t="s">
        <v>176</v>
      </c>
      <c r="H34" s="221" t="s">
        <v>219</v>
      </c>
      <c r="I34" s="218">
        <v>2</v>
      </c>
      <c r="J34" s="221" t="s">
        <v>222</v>
      </c>
      <c r="K34" s="221"/>
      <c r="L34" s="306"/>
      <c r="M34" s="306"/>
      <c r="N34" s="306"/>
      <c r="O34" s="341"/>
      <c r="P34" s="308">
        <v>540</v>
      </c>
      <c r="Q34" s="308"/>
      <c r="R34" s="221"/>
      <c r="S34" s="311"/>
      <c r="T34" s="320"/>
      <c r="U34" s="320" t="s">
        <v>293</v>
      </c>
      <c r="V34" s="320" t="s">
        <v>294</v>
      </c>
      <c r="W34" s="221" t="s">
        <v>316</v>
      </c>
      <c r="Y34" s="125"/>
      <c r="Z34" s="125"/>
      <c r="AA34" s="125"/>
      <c r="AB34" s="125"/>
      <c r="AC34" s="125"/>
      <c r="AD34" s="125"/>
      <c r="AK34" s="125"/>
      <c r="AL34" s="125"/>
      <c r="AM34" s="125"/>
      <c r="AN34" s="125"/>
      <c r="AO34" s="125"/>
    </row>
    <row r="35" spans="2:41" s="316" customFormat="1" ht="14.25">
      <c r="B35" s="396" t="s">
        <v>221</v>
      </c>
      <c r="C35" s="397"/>
      <c r="D35" s="397"/>
      <c r="E35" s="397"/>
      <c r="F35" s="397"/>
      <c r="G35" s="397"/>
      <c r="H35" s="397"/>
      <c r="I35" s="397"/>
      <c r="J35" s="398"/>
      <c r="K35" s="317" t="s">
        <v>177</v>
      </c>
      <c r="L35" s="318">
        <v>125</v>
      </c>
      <c r="M35" s="318">
        <v>117</v>
      </c>
      <c r="N35" s="318">
        <v>114</v>
      </c>
      <c r="O35" s="342">
        <v>1.667</v>
      </c>
      <c r="P35" s="309">
        <v>540</v>
      </c>
      <c r="Q35" s="309">
        <v>683</v>
      </c>
      <c r="R35" s="309" t="s">
        <v>242</v>
      </c>
      <c r="S35" s="285" t="s">
        <v>244</v>
      </c>
      <c r="T35" s="286"/>
      <c r="U35" s="286"/>
      <c r="V35" s="286"/>
      <c r="W35" s="285"/>
      <c r="Y35" s="319"/>
      <c r="Z35" s="319"/>
      <c r="AA35" s="319"/>
      <c r="AB35" s="319"/>
      <c r="AC35" s="319"/>
      <c r="AD35" s="319"/>
      <c r="AK35" s="319"/>
      <c r="AL35" s="319"/>
      <c r="AM35" s="319"/>
      <c r="AN35" s="319"/>
      <c r="AO35" s="319"/>
    </row>
    <row r="36" spans="2:41" s="126" customFormat="1" ht="15.75">
      <c r="B36" s="293">
        <v>16</v>
      </c>
      <c r="C36" s="291" t="s">
        <v>301</v>
      </c>
      <c r="D36" s="294" t="s">
        <v>227</v>
      </c>
      <c r="E36" s="75"/>
      <c r="F36" s="310" t="s">
        <v>205</v>
      </c>
      <c r="G36" s="220" t="s">
        <v>176</v>
      </c>
      <c r="H36" s="221" t="s">
        <v>219</v>
      </c>
      <c r="I36" s="218">
        <v>2</v>
      </c>
      <c r="J36" s="221" t="s">
        <v>222</v>
      </c>
      <c r="K36" s="221"/>
      <c r="L36" s="306"/>
      <c r="M36" s="306"/>
      <c r="N36" s="306"/>
      <c r="O36" s="341"/>
      <c r="P36" s="308">
        <v>540</v>
      </c>
      <c r="Q36" s="308"/>
      <c r="R36" s="221"/>
      <c r="S36" s="311"/>
      <c r="T36" s="320"/>
      <c r="U36" s="320" t="s">
        <v>293</v>
      </c>
      <c r="V36" s="320" t="s">
        <v>294</v>
      </c>
      <c r="W36" s="221" t="s">
        <v>316</v>
      </c>
      <c r="Y36" s="125"/>
      <c r="Z36" s="125"/>
      <c r="AA36" s="125"/>
      <c r="AB36" s="125"/>
      <c r="AC36" s="125"/>
      <c r="AD36" s="125"/>
      <c r="AK36" s="125"/>
      <c r="AL36" s="125"/>
      <c r="AM36" s="125"/>
      <c r="AN36" s="125"/>
      <c r="AO36" s="125"/>
    </row>
    <row r="37" spans="2:41" s="316" customFormat="1" ht="14.25">
      <c r="B37" s="396" t="s">
        <v>221</v>
      </c>
      <c r="C37" s="397"/>
      <c r="D37" s="397"/>
      <c r="E37" s="397"/>
      <c r="F37" s="397"/>
      <c r="G37" s="397"/>
      <c r="H37" s="397"/>
      <c r="I37" s="397"/>
      <c r="J37" s="398"/>
      <c r="K37" s="317" t="s">
        <v>177</v>
      </c>
      <c r="L37" s="318">
        <v>125</v>
      </c>
      <c r="M37" s="318">
        <v>117</v>
      </c>
      <c r="N37" s="318">
        <v>114</v>
      </c>
      <c r="O37" s="342">
        <v>1.667</v>
      </c>
      <c r="P37" s="309">
        <v>540</v>
      </c>
      <c r="Q37" s="309">
        <v>683</v>
      </c>
      <c r="R37" s="309" t="s">
        <v>242</v>
      </c>
      <c r="S37" s="285" t="s">
        <v>244</v>
      </c>
      <c r="T37" s="286"/>
      <c r="U37" s="286"/>
      <c r="V37" s="286"/>
      <c r="W37" s="285"/>
      <c r="Y37" s="319"/>
      <c r="Z37" s="319"/>
      <c r="AA37" s="319"/>
      <c r="AB37" s="319"/>
      <c r="AC37" s="319"/>
      <c r="AD37" s="319"/>
      <c r="AK37" s="319"/>
      <c r="AL37" s="319"/>
      <c r="AM37" s="319"/>
      <c r="AN37" s="319"/>
      <c r="AO37" s="319"/>
    </row>
    <row r="38" spans="2:41" s="126" customFormat="1" ht="15.75">
      <c r="B38" s="293">
        <v>17</v>
      </c>
      <c r="C38" s="291" t="s">
        <v>302</v>
      </c>
      <c r="D38" s="294" t="s">
        <v>228</v>
      </c>
      <c r="E38" s="75"/>
      <c r="F38" s="310" t="s">
        <v>205</v>
      </c>
      <c r="G38" s="220" t="s">
        <v>176</v>
      </c>
      <c r="H38" s="221" t="s">
        <v>219</v>
      </c>
      <c r="I38" s="218">
        <v>2</v>
      </c>
      <c r="J38" s="221" t="s">
        <v>222</v>
      </c>
      <c r="K38" s="221"/>
      <c r="L38" s="306"/>
      <c r="M38" s="306"/>
      <c r="N38" s="306"/>
      <c r="O38" s="341"/>
      <c r="P38" s="308">
        <v>540</v>
      </c>
      <c r="Q38" s="308"/>
      <c r="R38" s="221"/>
      <c r="S38" s="311"/>
      <c r="T38" s="320"/>
      <c r="U38" s="320" t="s">
        <v>293</v>
      </c>
      <c r="V38" s="320" t="s">
        <v>294</v>
      </c>
      <c r="W38" s="221" t="s">
        <v>316</v>
      </c>
      <c r="Y38" s="125"/>
      <c r="Z38" s="125"/>
      <c r="AA38" s="125"/>
      <c r="AB38" s="125"/>
      <c r="AC38" s="125"/>
      <c r="AD38" s="125"/>
      <c r="AK38" s="125"/>
      <c r="AL38" s="125"/>
      <c r="AM38" s="125"/>
      <c r="AN38" s="125"/>
      <c r="AO38" s="125"/>
    </row>
    <row r="39" spans="2:41" s="316" customFormat="1" ht="14.25">
      <c r="B39" s="396" t="s">
        <v>221</v>
      </c>
      <c r="C39" s="397"/>
      <c r="D39" s="397"/>
      <c r="E39" s="397"/>
      <c r="F39" s="397"/>
      <c r="G39" s="397"/>
      <c r="H39" s="397"/>
      <c r="I39" s="397"/>
      <c r="J39" s="398"/>
      <c r="K39" s="317" t="s">
        <v>177</v>
      </c>
      <c r="L39" s="318">
        <v>125</v>
      </c>
      <c r="M39" s="318">
        <v>117</v>
      </c>
      <c r="N39" s="318">
        <v>114</v>
      </c>
      <c r="O39" s="342">
        <v>1.667</v>
      </c>
      <c r="P39" s="309">
        <v>540</v>
      </c>
      <c r="Q39" s="309">
        <v>683</v>
      </c>
      <c r="R39" s="309" t="s">
        <v>242</v>
      </c>
      <c r="S39" s="285" t="s">
        <v>244</v>
      </c>
      <c r="T39" s="286"/>
      <c r="U39" s="286"/>
      <c r="V39" s="286"/>
      <c r="W39" s="285"/>
      <c r="Y39" s="319"/>
      <c r="Z39" s="319"/>
      <c r="AA39" s="319"/>
      <c r="AB39" s="319"/>
      <c r="AC39" s="319"/>
      <c r="AD39" s="319"/>
      <c r="AK39" s="319"/>
      <c r="AL39" s="319"/>
      <c r="AM39" s="319"/>
      <c r="AN39" s="319"/>
      <c r="AO39" s="319"/>
    </row>
    <row r="40" spans="2:41" s="126" customFormat="1" ht="15.75">
      <c r="B40" s="293">
        <v>18</v>
      </c>
      <c r="C40" s="291" t="s">
        <v>303</v>
      </c>
      <c r="D40" s="294" t="s">
        <v>229</v>
      </c>
      <c r="E40" s="75"/>
      <c r="F40" s="310" t="s">
        <v>205</v>
      </c>
      <c r="G40" s="220" t="s">
        <v>176</v>
      </c>
      <c r="H40" s="221" t="s">
        <v>219</v>
      </c>
      <c r="I40" s="218">
        <v>2</v>
      </c>
      <c r="J40" s="221" t="s">
        <v>222</v>
      </c>
      <c r="K40" s="221"/>
      <c r="L40" s="306"/>
      <c r="M40" s="306"/>
      <c r="N40" s="306"/>
      <c r="O40" s="341"/>
      <c r="P40" s="308">
        <v>540</v>
      </c>
      <c r="Q40" s="308"/>
      <c r="R40" s="221"/>
      <c r="S40" s="311"/>
      <c r="T40" s="320"/>
      <c r="U40" s="320" t="s">
        <v>293</v>
      </c>
      <c r="V40" s="320" t="s">
        <v>294</v>
      </c>
      <c r="W40" s="221" t="s">
        <v>316</v>
      </c>
      <c r="Y40" s="125"/>
      <c r="Z40" s="125"/>
      <c r="AA40" s="125"/>
      <c r="AB40" s="125"/>
      <c r="AC40" s="125"/>
      <c r="AD40" s="125"/>
      <c r="AK40" s="125"/>
      <c r="AL40" s="125"/>
      <c r="AM40" s="125"/>
      <c r="AN40" s="125"/>
      <c r="AO40" s="125"/>
    </row>
    <row r="41" spans="2:41" s="316" customFormat="1" ht="14.25">
      <c r="B41" s="396" t="s">
        <v>221</v>
      </c>
      <c r="C41" s="397"/>
      <c r="D41" s="397"/>
      <c r="E41" s="397"/>
      <c r="F41" s="397"/>
      <c r="G41" s="397"/>
      <c r="H41" s="397"/>
      <c r="I41" s="397"/>
      <c r="J41" s="398"/>
      <c r="K41" s="317" t="s">
        <v>177</v>
      </c>
      <c r="L41" s="318">
        <v>125</v>
      </c>
      <c r="M41" s="318">
        <v>117</v>
      </c>
      <c r="N41" s="318">
        <v>114</v>
      </c>
      <c r="O41" s="342">
        <v>1.667</v>
      </c>
      <c r="P41" s="309">
        <v>540</v>
      </c>
      <c r="Q41" s="309">
        <v>683</v>
      </c>
      <c r="R41" s="309" t="s">
        <v>242</v>
      </c>
      <c r="S41" s="285" t="s">
        <v>244</v>
      </c>
      <c r="T41" s="286"/>
      <c r="U41" s="286"/>
      <c r="V41" s="286"/>
      <c r="W41" s="285"/>
      <c r="Y41" s="319"/>
      <c r="Z41" s="319"/>
      <c r="AA41" s="319"/>
      <c r="AB41" s="319"/>
      <c r="AC41" s="319"/>
      <c r="AD41" s="319"/>
      <c r="AK41" s="319"/>
      <c r="AL41" s="319"/>
      <c r="AM41" s="319"/>
      <c r="AN41" s="319"/>
      <c r="AO41" s="319"/>
    </row>
    <row r="42" spans="2:41" s="126" customFormat="1" ht="15.75">
      <c r="B42" s="293">
        <v>19</v>
      </c>
      <c r="C42" s="291" t="s">
        <v>304</v>
      </c>
      <c r="D42" s="294" t="s">
        <v>230</v>
      </c>
      <c r="E42" s="75"/>
      <c r="F42" s="310" t="s">
        <v>205</v>
      </c>
      <c r="G42" s="220" t="s">
        <v>176</v>
      </c>
      <c r="H42" s="221" t="s">
        <v>219</v>
      </c>
      <c r="I42" s="218">
        <v>8</v>
      </c>
      <c r="J42" s="221" t="s">
        <v>222</v>
      </c>
      <c r="K42" s="221"/>
      <c r="L42" s="306"/>
      <c r="M42" s="306"/>
      <c r="N42" s="306"/>
      <c r="O42" s="341"/>
      <c r="P42" s="308">
        <v>55</v>
      </c>
      <c r="Q42" s="308"/>
      <c r="R42" s="221"/>
      <c r="S42" s="311"/>
      <c r="T42" s="320"/>
      <c r="U42" s="320" t="s">
        <v>295</v>
      </c>
      <c r="V42" s="320" t="s">
        <v>294</v>
      </c>
      <c r="W42" s="221" t="s">
        <v>316</v>
      </c>
      <c r="Y42" s="125"/>
      <c r="Z42" s="125"/>
      <c r="AA42" s="125"/>
      <c r="AB42" s="125"/>
      <c r="AC42" s="125"/>
      <c r="AD42" s="125"/>
      <c r="AK42" s="125"/>
      <c r="AL42" s="125"/>
      <c r="AM42" s="125"/>
      <c r="AN42" s="125"/>
      <c r="AO42" s="125"/>
    </row>
    <row r="43" spans="2:41" s="316" customFormat="1" ht="14.25">
      <c r="B43" s="396" t="s">
        <v>221</v>
      </c>
      <c r="C43" s="397"/>
      <c r="D43" s="397"/>
      <c r="E43" s="397"/>
      <c r="F43" s="397"/>
      <c r="G43" s="397"/>
      <c r="H43" s="397"/>
      <c r="I43" s="397"/>
      <c r="J43" s="398"/>
      <c r="K43" s="317" t="s">
        <v>177</v>
      </c>
      <c r="L43" s="318">
        <v>100</v>
      </c>
      <c r="M43" s="318">
        <v>80</v>
      </c>
      <c r="N43" s="318">
        <v>63</v>
      </c>
      <c r="O43" s="342">
        <v>0.504</v>
      </c>
      <c r="P43" s="309">
        <v>55</v>
      </c>
      <c r="Q43" s="309">
        <v>100</v>
      </c>
      <c r="R43" s="309" t="s">
        <v>242</v>
      </c>
      <c r="S43" s="285" t="s">
        <v>244</v>
      </c>
      <c r="T43" s="286"/>
      <c r="U43" s="286"/>
      <c r="V43" s="286"/>
      <c r="W43" s="285"/>
      <c r="Y43" s="319"/>
      <c r="Z43" s="319"/>
      <c r="AA43" s="319"/>
      <c r="AB43" s="319"/>
      <c r="AC43" s="319"/>
      <c r="AD43" s="319"/>
      <c r="AK43" s="319"/>
      <c r="AL43" s="319"/>
      <c r="AM43" s="319"/>
      <c r="AN43" s="319"/>
      <c r="AO43" s="319"/>
    </row>
    <row r="44" spans="2:41" s="126" customFormat="1" ht="15.75">
      <c r="B44" s="293">
        <v>20</v>
      </c>
      <c r="C44" s="291" t="s">
        <v>305</v>
      </c>
      <c r="D44" s="294" t="s">
        <v>231</v>
      </c>
      <c r="E44" s="75"/>
      <c r="F44" s="310" t="s">
        <v>205</v>
      </c>
      <c r="G44" s="220" t="s">
        <v>176</v>
      </c>
      <c r="H44" s="221" t="s">
        <v>219</v>
      </c>
      <c r="I44" s="218">
        <v>36</v>
      </c>
      <c r="J44" s="221" t="s">
        <v>222</v>
      </c>
      <c r="K44" s="221"/>
      <c r="L44" s="306"/>
      <c r="M44" s="306"/>
      <c r="N44" s="306"/>
      <c r="O44" s="341"/>
      <c r="P44" s="308">
        <v>556.36363636363637</v>
      </c>
      <c r="Q44" s="308"/>
      <c r="R44" s="221"/>
      <c r="S44" s="311"/>
      <c r="T44" s="320"/>
      <c r="U44" s="320" t="s">
        <v>233</v>
      </c>
      <c r="V44" s="320" t="s">
        <v>294</v>
      </c>
      <c r="W44" s="221" t="s">
        <v>316</v>
      </c>
      <c r="Y44" s="125"/>
      <c r="Z44" s="125"/>
      <c r="AA44" s="125"/>
      <c r="AB44" s="125"/>
      <c r="AC44" s="125"/>
      <c r="AD44" s="125"/>
      <c r="AK44" s="125"/>
      <c r="AL44" s="125"/>
      <c r="AM44" s="125"/>
      <c r="AN44" s="125"/>
      <c r="AO44" s="125"/>
    </row>
    <row r="45" spans="2:41" s="126" customFormat="1" ht="15.75">
      <c r="B45" s="293">
        <v>21</v>
      </c>
      <c r="C45" s="291" t="s">
        <v>305</v>
      </c>
      <c r="D45" s="294" t="s">
        <v>232</v>
      </c>
      <c r="E45" s="75"/>
      <c r="F45" s="310" t="s">
        <v>205</v>
      </c>
      <c r="G45" s="220" t="s">
        <v>176</v>
      </c>
      <c r="H45" s="221" t="s">
        <v>219</v>
      </c>
      <c r="I45" s="218">
        <v>8</v>
      </c>
      <c r="J45" s="221" t="s">
        <v>222</v>
      </c>
      <c r="K45" s="221"/>
      <c r="L45" s="306"/>
      <c r="M45" s="306"/>
      <c r="N45" s="306"/>
      <c r="O45" s="341"/>
      <c r="P45" s="308">
        <v>123.63636363636364</v>
      </c>
      <c r="Q45" s="308"/>
      <c r="R45" s="221"/>
      <c r="S45" s="311"/>
      <c r="T45" s="320"/>
      <c r="U45" s="320" t="s">
        <v>234</v>
      </c>
      <c r="V45" s="320" t="s">
        <v>294</v>
      </c>
      <c r="W45" s="221" t="s">
        <v>316</v>
      </c>
      <c r="Y45" s="125"/>
      <c r="Z45" s="125"/>
      <c r="AA45" s="125"/>
      <c r="AB45" s="125"/>
      <c r="AC45" s="125"/>
      <c r="AD45" s="125"/>
      <c r="AK45" s="125"/>
      <c r="AL45" s="125"/>
      <c r="AM45" s="125"/>
      <c r="AN45" s="125"/>
      <c r="AO45" s="125"/>
    </row>
    <row r="46" spans="2:41" s="316" customFormat="1" ht="14.25">
      <c r="B46" s="396" t="s">
        <v>221</v>
      </c>
      <c r="C46" s="397"/>
      <c r="D46" s="397"/>
      <c r="E46" s="397"/>
      <c r="F46" s="397"/>
      <c r="G46" s="397"/>
      <c r="H46" s="397"/>
      <c r="I46" s="397"/>
      <c r="J46" s="398"/>
      <c r="K46" s="317" t="s">
        <v>177</v>
      </c>
      <c r="L46" s="318">
        <v>148</v>
      </c>
      <c r="M46" s="318">
        <v>138</v>
      </c>
      <c r="N46" s="318">
        <v>96</v>
      </c>
      <c r="O46" s="342">
        <v>1.9610000000000001</v>
      </c>
      <c r="P46" s="309">
        <v>680</v>
      </c>
      <c r="Q46" s="309">
        <v>850</v>
      </c>
      <c r="R46" s="309" t="s">
        <v>242</v>
      </c>
      <c r="S46" s="285" t="s">
        <v>244</v>
      </c>
      <c r="T46" s="286"/>
      <c r="U46" s="286"/>
      <c r="V46" s="286"/>
      <c r="W46" s="285"/>
      <c r="Y46" s="319"/>
      <c r="Z46" s="319"/>
      <c r="AA46" s="319"/>
      <c r="AB46" s="319"/>
      <c r="AC46" s="319"/>
      <c r="AD46" s="319"/>
      <c r="AK46" s="319"/>
      <c r="AL46" s="319"/>
      <c r="AM46" s="319"/>
      <c r="AN46" s="319"/>
      <c r="AO46" s="319"/>
    </row>
    <row r="47" spans="2:41" s="126" customFormat="1" ht="15.75">
      <c r="B47" s="293">
        <v>22</v>
      </c>
      <c r="C47" s="291" t="s">
        <v>256</v>
      </c>
      <c r="D47" s="294" t="s">
        <v>306</v>
      </c>
      <c r="E47" s="75"/>
      <c r="F47" s="310" t="s">
        <v>205</v>
      </c>
      <c r="G47" s="220" t="s">
        <v>176</v>
      </c>
      <c r="H47" s="221" t="s">
        <v>219</v>
      </c>
      <c r="I47" s="218">
        <v>3</v>
      </c>
      <c r="J47" s="221" t="s">
        <v>222</v>
      </c>
      <c r="K47" s="221"/>
      <c r="L47" s="306"/>
      <c r="M47" s="306"/>
      <c r="N47" s="306"/>
      <c r="O47" s="341"/>
      <c r="P47" s="308">
        <v>18.333333333333332</v>
      </c>
      <c r="Q47" s="308"/>
      <c r="R47" s="221"/>
      <c r="S47" s="311"/>
      <c r="T47" s="320"/>
      <c r="U47" s="320"/>
      <c r="V47" s="320" t="s">
        <v>308</v>
      </c>
      <c r="W47" s="221" t="s">
        <v>316</v>
      </c>
      <c r="Y47" s="125"/>
      <c r="Z47" s="125"/>
      <c r="AA47" s="125"/>
      <c r="AB47" s="125"/>
      <c r="AC47" s="125"/>
      <c r="AD47" s="125"/>
      <c r="AK47" s="125"/>
      <c r="AL47" s="125"/>
      <c r="AM47" s="125"/>
      <c r="AN47" s="125"/>
      <c r="AO47" s="125"/>
    </row>
    <row r="48" spans="2:41" s="126" customFormat="1" ht="15.75">
      <c r="B48" s="293">
        <v>23</v>
      </c>
      <c r="C48" s="291" t="s">
        <v>256</v>
      </c>
      <c r="D48" s="294" t="s">
        <v>307</v>
      </c>
      <c r="E48" s="75"/>
      <c r="F48" s="310" t="s">
        <v>205</v>
      </c>
      <c r="G48" s="220" t="s">
        <v>176</v>
      </c>
      <c r="H48" s="221" t="s">
        <v>219</v>
      </c>
      <c r="I48" s="218">
        <v>4</v>
      </c>
      <c r="J48" s="221" t="s">
        <v>222</v>
      </c>
      <c r="K48" s="221"/>
      <c r="L48" s="306"/>
      <c r="M48" s="306"/>
      <c r="N48" s="306"/>
      <c r="O48" s="341"/>
      <c r="P48" s="308">
        <v>24.444444444444443</v>
      </c>
      <c r="Q48" s="308"/>
      <c r="R48" s="221"/>
      <c r="S48" s="311"/>
      <c r="T48" s="320"/>
      <c r="U48" s="320"/>
      <c r="V48" s="320" t="s">
        <v>308</v>
      </c>
      <c r="W48" s="221" t="s">
        <v>316</v>
      </c>
      <c r="Y48" s="125"/>
      <c r="Z48" s="125"/>
      <c r="AA48" s="125"/>
      <c r="AB48" s="125"/>
      <c r="AC48" s="125"/>
      <c r="AD48" s="125"/>
      <c r="AK48" s="125"/>
      <c r="AL48" s="125"/>
      <c r="AM48" s="125"/>
      <c r="AN48" s="125"/>
      <c r="AO48" s="125"/>
    </row>
    <row r="49" spans="2:41" s="126" customFormat="1" ht="15.75">
      <c r="B49" s="293">
        <v>24</v>
      </c>
      <c r="C49" s="291" t="s">
        <v>256</v>
      </c>
      <c r="D49" s="294" t="s">
        <v>237</v>
      </c>
      <c r="E49" s="75"/>
      <c r="F49" s="310" t="s">
        <v>205</v>
      </c>
      <c r="G49" s="220" t="s">
        <v>176</v>
      </c>
      <c r="H49" s="221" t="s">
        <v>219</v>
      </c>
      <c r="I49" s="218">
        <v>1</v>
      </c>
      <c r="J49" s="221" t="s">
        <v>223</v>
      </c>
      <c r="K49" s="221"/>
      <c r="L49" s="306"/>
      <c r="M49" s="306"/>
      <c r="N49" s="306"/>
      <c r="O49" s="341"/>
      <c r="P49" s="308">
        <v>6.1111111111111107</v>
      </c>
      <c r="Q49" s="308"/>
      <c r="R49" s="221"/>
      <c r="S49" s="311"/>
      <c r="T49" s="320"/>
      <c r="U49" s="320"/>
      <c r="V49" s="320" t="s">
        <v>308</v>
      </c>
      <c r="W49" s="221" t="s">
        <v>316</v>
      </c>
      <c r="Y49" s="125"/>
      <c r="Z49" s="125"/>
      <c r="AA49" s="125"/>
      <c r="AB49" s="125"/>
      <c r="AC49" s="125"/>
      <c r="AD49" s="125"/>
      <c r="AK49" s="125"/>
      <c r="AL49" s="125"/>
      <c r="AM49" s="125"/>
      <c r="AN49" s="125"/>
      <c r="AO49" s="125"/>
    </row>
    <row r="50" spans="2:41" s="126" customFormat="1" ht="15.75">
      <c r="B50" s="293">
        <v>25</v>
      </c>
      <c r="C50" s="291" t="s">
        <v>256</v>
      </c>
      <c r="D50" s="294" t="s">
        <v>307</v>
      </c>
      <c r="E50" s="75"/>
      <c r="F50" s="310" t="s">
        <v>205</v>
      </c>
      <c r="G50" s="220" t="s">
        <v>176</v>
      </c>
      <c r="H50" s="221" t="s">
        <v>219</v>
      </c>
      <c r="I50" s="218">
        <v>1</v>
      </c>
      <c r="J50" s="221" t="s">
        <v>223</v>
      </c>
      <c r="K50" s="221"/>
      <c r="L50" s="306"/>
      <c r="M50" s="306"/>
      <c r="N50" s="306"/>
      <c r="O50" s="341"/>
      <c r="P50" s="308">
        <v>6.1111111111111107</v>
      </c>
      <c r="Q50" s="308"/>
      <c r="R50" s="221"/>
      <c r="S50" s="311"/>
      <c r="T50" s="320"/>
      <c r="U50" s="320"/>
      <c r="V50" s="320" t="s">
        <v>308</v>
      </c>
      <c r="W50" s="221" t="s">
        <v>316</v>
      </c>
      <c r="Y50" s="125"/>
      <c r="Z50" s="125"/>
      <c r="AA50" s="125"/>
      <c r="AB50" s="125"/>
      <c r="AC50" s="125"/>
      <c r="AD50" s="125"/>
      <c r="AK50" s="125"/>
      <c r="AL50" s="125"/>
      <c r="AM50" s="125"/>
      <c r="AN50" s="125"/>
      <c r="AO50" s="125"/>
    </row>
    <row r="51" spans="2:41" s="316" customFormat="1" ht="14.25">
      <c r="B51" s="396" t="s">
        <v>221</v>
      </c>
      <c r="C51" s="397"/>
      <c r="D51" s="397"/>
      <c r="E51" s="397"/>
      <c r="F51" s="397"/>
      <c r="G51" s="397"/>
      <c r="H51" s="397"/>
      <c r="I51" s="397"/>
      <c r="J51" s="398"/>
      <c r="K51" s="317" t="s">
        <v>177</v>
      </c>
      <c r="L51" s="318">
        <v>80</v>
      </c>
      <c r="M51" s="318">
        <v>80</v>
      </c>
      <c r="N51" s="318">
        <v>80</v>
      </c>
      <c r="O51" s="342">
        <v>0.51200000000000001</v>
      </c>
      <c r="P51" s="309">
        <v>55</v>
      </c>
      <c r="Q51" s="309">
        <v>100</v>
      </c>
      <c r="R51" s="309" t="s">
        <v>242</v>
      </c>
      <c r="S51" s="285" t="s">
        <v>244</v>
      </c>
      <c r="T51" s="286"/>
      <c r="U51" s="286"/>
      <c r="V51" s="286"/>
      <c r="W51" s="285"/>
      <c r="Y51" s="319"/>
      <c r="Z51" s="319"/>
      <c r="AA51" s="319"/>
      <c r="AB51" s="319"/>
      <c r="AC51" s="319"/>
      <c r="AD51" s="319"/>
      <c r="AK51" s="319"/>
      <c r="AL51" s="319"/>
      <c r="AM51" s="319"/>
      <c r="AN51" s="319"/>
      <c r="AO51" s="319"/>
    </row>
    <row r="52" spans="2:41" s="126" customFormat="1" ht="15.75">
      <c r="B52" s="293">
        <v>26</v>
      </c>
      <c r="C52" s="291" t="s">
        <v>257</v>
      </c>
      <c r="D52" s="294" t="s">
        <v>208</v>
      </c>
      <c r="E52" s="75"/>
      <c r="F52" s="310" t="s">
        <v>205</v>
      </c>
      <c r="G52" s="220" t="s">
        <v>176</v>
      </c>
      <c r="H52" s="221" t="s">
        <v>220</v>
      </c>
      <c r="I52" s="218">
        <v>4</v>
      </c>
      <c r="J52" s="221" t="s">
        <v>222</v>
      </c>
      <c r="K52" s="221"/>
      <c r="L52" s="306"/>
      <c r="M52" s="306"/>
      <c r="N52" s="306"/>
      <c r="O52" s="341"/>
      <c r="P52" s="308">
        <v>300</v>
      </c>
      <c r="Q52" s="308"/>
      <c r="R52" s="221"/>
      <c r="S52" s="311"/>
      <c r="T52" s="320"/>
      <c r="U52" s="320" t="s">
        <v>272</v>
      </c>
      <c r="V52" s="320"/>
      <c r="W52" s="221" t="s">
        <v>317</v>
      </c>
      <c r="Y52" s="125"/>
      <c r="Z52" s="125"/>
      <c r="AA52" s="125"/>
      <c r="AB52" s="125"/>
      <c r="AC52" s="125"/>
      <c r="AD52" s="125"/>
      <c r="AK52" s="125"/>
      <c r="AL52" s="125"/>
      <c r="AM52" s="125"/>
      <c r="AN52" s="125"/>
      <c r="AO52" s="125"/>
    </row>
    <row r="53" spans="2:41" s="316" customFormat="1" ht="14.25">
      <c r="B53" s="396" t="s">
        <v>221</v>
      </c>
      <c r="C53" s="397"/>
      <c r="D53" s="397"/>
      <c r="E53" s="397"/>
      <c r="F53" s="397"/>
      <c r="G53" s="397"/>
      <c r="H53" s="397"/>
      <c r="I53" s="397"/>
      <c r="J53" s="398"/>
      <c r="K53" s="317" t="s">
        <v>177</v>
      </c>
      <c r="L53" s="318">
        <v>608</v>
      </c>
      <c r="M53" s="318">
        <v>158</v>
      </c>
      <c r="N53" s="318">
        <v>60</v>
      </c>
      <c r="O53" s="342">
        <v>5.7640000000000002</v>
      </c>
      <c r="P53" s="309">
        <v>300</v>
      </c>
      <c r="Q53" s="309">
        <v>930</v>
      </c>
      <c r="R53" s="309" t="s">
        <v>242</v>
      </c>
      <c r="S53" s="285" t="s">
        <v>244</v>
      </c>
      <c r="T53" s="286"/>
      <c r="U53" s="286"/>
      <c r="V53" s="286"/>
      <c r="W53" s="285"/>
      <c r="Y53" s="319"/>
      <c r="Z53" s="319"/>
      <c r="AA53" s="319"/>
      <c r="AB53" s="319"/>
      <c r="AC53" s="319"/>
      <c r="AD53" s="319"/>
      <c r="AK53" s="319"/>
      <c r="AL53" s="319"/>
      <c r="AM53" s="319"/>
      <c r="AN53" s="319"/>
      <c r="AO53" s="319"/>
    </row>
    <row r="54" spans="2:41" s="126" customFormat="1" ht="15.75">
      <c r="B54" s="293">
        <v>27</v>
      </c>
      <c r="C54" s="291" t="s">
        <v>258</v>
      </c>
      <c r="D54" s="294" t="s">
        <v>208</v>
      </c>
      <c r="E54" s="75"/>
      <c r="F54" s="310" t="s">
        <v>205</v>
      </c>
      <c r="G54" s="220" t="s">
        <v>176</v>
      </c>
      <c r="H54" s="221" t="s">
        <v>220</v>
      </c>
      <c r="I54" s="218">
        <v>1</v>
      </c>
      <c r="J54" s="221" t="s">
        <v>223</v>
      </c>
      <c r="K54" s="221"/>
      <c r="L54" s="306"/>
      <c r="M54" s="306"/>
      <c r="N54" s="306"/>
      <c r="O54" s="341"/>
      <c r="P54" s="308">
        <v>55.555555555555557</v>
      </c>
      <c r="Q54" s="308"/>
      <c r="R54" s="221"/>
      <c r="S54" s="311"/>
      <c r="T54" s="320"/>
      <c r="U54" s="320" t="s">
        <v>275</v>
      </c>
      <c r="V54" s="320"/>
      <c r="W54" s="221" t="s">
        <v>317</v>
      </c>
      <c r="Y54" s="125"/>
      <c r="Z54" s="125"/>
      <c r="AA54" s="125"/>
      <c r="AB54" s="125"/>
      <c r="AC54" s="125"/>
      <c r="AD54" s="125"/>
      <c r="AK54" s="125"/>
      <c r="AL54" s="125"/>
      <c r="AM54" s="125"/>
      <c r="AN54" s="125"/>
      <c r="AO54" s="125"/>
    </row>
    <row r="55" spans="2:41" s="126" customFormat="1" ht="15.75">
      <c r="B55" s="293">
        <v>28</v>
      </c>
      <c r="C55" s="291" t="s">
        <v>258</v>
      </c>
      <c r="D55" s="294" t="s">
        <v>208</v>
      </c>
      <c r="E55" s="75"/>
      <c r="F55" s="310" t="s">
        <v>205</v>
      </c>
      <c r="G55" s="220" t="s">
        <v>176</v>
      </c>
      <c r="H55" s="221" t="s">
        <v>220</v>
      </c>
      <c r="I55" s="218">
        <v>1</v>
      </c>
      <c r="J55" s="221" t="s">
        <v>223</v>
      </c>
      <c r="K55" s="221"/>
      <c r="L55" s="306"/>
      <c r="M55" s="306"/>
      <c r="N55" s="306"/>
      <c r="O55" s="341"/>
      <c r="P55" s="308">
        <v>55.555555555555557</v>
      </c>
      <c r="Q55" s="308"/>
      <c r="R55" s="221"/>
      <c r="S55" s="311"/>
      <c r="T55" s="320"/>
      <c r="U55" s="320" t="s">
        <v>276</v>
      </c>
      <c r="V55" s="320"/>
      <c r="W55" s="221" t="s">
        <v>317</v>
      </c>
      <c r="Y55" s="125"/>
      <c r="Z55" s="125"/>
      <c r="AA55" s="125"/>
      <c r="AB55" s="125"/>
      <c r="AC55" s="125"/>
      <c r="AD55" s="125"/>
      <c r="AK55" s="125"/>
      <c r="AL55" s="125"/>
      <c r="AM55" s="125"/>
      <c r="AN55" s="125"/>
      <c r="AO55" s="125"/>
    </row>
    <row r="56" spans="2:41" s="126" customFormat="1" ht="15.75">
      <c r="B56" s="293">
        <v>29</v>
      </c>
      <c r="C56" s="291" t="s">
        <v>258</v>
      </c>
      <c r="D56" s="294" t="s">
        <v>208</v>
      </c>
      <c r="E56" s="75"/>
      <c r="F56" s="310" t="s">
        <v>205</v>
      </c>
      <c r="G56" s="220" t="s">
        <v>176</v>
      </c>
      <c r="H56" s="221" t="s">
        <v>220</v>
      </c>
      <c r="I56" s="218">
        <v>1</v>
      </c>
      <c r="J56" s="221" t="s">
        <v>223</v>
      </c>
      <c r="K56" s="221"/>
      <c r="L56" s="306"/>
      <c r="M56" s="306"/>
      <c r="N56" s="306"/>
      <c r="O56" s="341"/>
      <c r="P56" s="308">
        <v>55.555555555555557</v>
      </c>
      <c r="Q56" s="308"/>
      <c r="R56" s="221"/>
      <c r="S56" s="311"/>
      <c r="T56" s="320"/>
      <c r="U56" s="320" t="s">
        <v>277</v>
      </c>
      <c r="V56" s="320"/>
      <c r="W56" s="221" t="s">
        <v>317</v>
      </c>
      <c r="Y56" s="125"/>
      <c r="Z56" s="125"/>
      <c r="AA56" s="125"/>
      <c r="AB56" s="125"/>
      <c r="AC56" s="125"/>
      <c r="AD56" s="125"/>
      <c r="AK56" s="125"/>
      <c r="AL56" s="125"/>
      <c r="AM56" s="125"/>
      <c r="AN56" s="125"/>
      <c r="AO56" s="125"/>
    </row>
    <row r="57" spans="2:41" s="126" customFormat="1" ht="15.75">
      <c r="B57" s="293">
        <v>30</v>
      </c>
      <c r="C57" s="291" t="s">
        <v>258</v>
      </c>
      <c r="D57" s="294" t="s">
        <v>208</v>
      </c>
      <c r="E57" s="75"/>
      <c r="F57" s="310" t="s">
        <v>205</v>
      </c>
      <c r="G57" s="220" t="s">
        <v>176</v>
      </c>
      <c r="H57" s="221" t="s">
        <v>220</v>
      </c>
      <c r="I57" s="218">
        <v>1</v>
      </c>
      <c r="J57" s="221" t="s">
        <v>223</v>
      </c>
      <c r="K57" s="221"/>
      <c r="L57" s="306"/>
      <c r="M57" s="306"/>
      <c r="N57" s="306"/>
      <c r="O57" s="341"/>
      <c r="P57" s="308">
        <v>55.555555555555557</v>
      </c>
      <c r="Q57" s="308"/>
      <c r="R57" s="221"/>
      <c r="S57" s="311"/>
      <c r="T57" s="320"/>
      <c r="U57" s="320" t="s">
        <v>278</v>
      </c>
      <c r="V57" s="320"/>
      <c r="W57" s="221" t="s">
        <v>317</v>
      </c>
      <c r="Y57" s="125"/>
      <c r="Z57" s="125"/>
      <c r="AA57" s="125"/>
      <c r="AB57" s="125"/>
      <c r="AC57" s="125"/>
      <c r="AD57" s="125"/>
      <c r="AK57" s="125"/>
      <c r="AL57" s="125"/>
      <c r="AM57" s="125"/>
      <c r="AN57" s="125"/>
      <c r="AO57" s="125"/>
    </row>
    <row r="58" spans="2:41" s="126" customFormat="1" ht="15.75">
      <c r="B58" s="293">
        <v>31</v>
      </c>
      <c r="C58" s="291" t="s">
        <v>258</v>
      </c>
      <c r="D58" s="294" t="s">
        <v>208</v>
      </c>
      <c r="E58" s="75"/>
      <c r="F58" s="310" t="s">
        <v>205</v>
      </c>
      <c r="G58" s="220" t="s">
        <v>176</v>
      </c>
      <c r="H58" s="221" t="s">
        <v>220</v>
      </c>
      <c r="I58" s="218">
        <v>2</v>
      </c>
      <c r="J58" s="221" t="s">
        <v>222</v>
      </c>
      <c r="K58" s="221"/>
      <c r="L58" s="306"/>
      <c r="M58" s="306"/>
      <c r="N58" s="306"/>
      <c r="O58" s="341"/>
      <c r="P58" s="308">
        <v>111.11111111111111</v>
      </c>
      <c r="Q58" s="308"/>
      <c r="R58" s="221"/>
      <c r="S58" s="311"/>
      <c r="T58" s="320"/>
      <c r="U58" s="320" t="s">
        <v>279</v>
      </c>
      <c r="V58" s="320"/>
      <c r="W58" s="221" t="s">
        <v>317</v>
      </c>
      <c r="Y58" s="125"/>
      <c r="Z58" s="125"/>
      <c r="AA58" s="125"/>
      <c r="AB58" s="125"/>
      <c r="AC58" s="125"/>
      <c r="AD58" s="125"/>
      <c r="AK58" s="125"/>
      <c r="AL58" s="125"/>
      <c r="AM58" s="125"/>
      <c r="AN58" s="125"/>
      <c r="AO58" s="125"/>
    </row>
    <row r="59" spans="2:41" s="126" customFormat="1" ht="15.75">
      <c r="B59" s="293">
        <v>32</v>
      </c>
      <c r="C59" s="291" t="s">
        <v>258</v>
      </c>
      <c r="D59" s="294" t="s">
        <v>208</v>
      </c>
      <c r="E59" s="75"/>
      <c r="F59" s="310" t="s">
        <v>205</v>
      </c>
      <c r="G59" s="220" t="s">
        <v>176</v>
      </c>
      <c r="H59" s="221" t="s">
        <v>220</v>
      </c>
      <c r="I59" s="218">
        <v>2</v>
      </c>
      <c r="J59" s="221" t="s">
        <v>222</v>
      </c>
      <c r="K59" s="221"/>
      <c r="L59" s="306"/>
      <c r="M59" s="306"/>
      <c r="N59" s="306"/>
      <c r="O59" s="341"/>
      <c r="P59" s="308">
        <v>111.11111111111111</v>
      </c>
      <c r="Q59" s="308"/>
      <c r="R59" s="221"/>
      <c r="S59" s="311"/>
      <c r="T59" s="320"/>
      <c r="U59" s="320" t="s">
        <v>280</v>
      </c>
      <c r="V59" s="320"/>
      <c r="W59" s="221" t="s">
        <v>317</v>
      </c>
      <c r="Y59" s="125"/>
      <c r="Z59" s="125"/>
      <c r="AA59" s="125"/>
      <c r="AB59" s="125"/>
      <c r="AC59" s="125"/>
      <c r="AD59" s="125"/>
      <c r="AK59" s="125"/>
      <c r="AL59" s="125"/>
      <c r="AM59" s="125"/>
      <c r="AN59" s="125"/>
      <c r="AO59" s="125"/>
    </row>
    <row r="60" spans="2:41" s="126" customFormat="1" ht="15.75">
      <c r="B60" s="293">
        <v>33</v>
      </c>
      <c r="C60" s="291" t="s">
        <v>258</v>
      </c>
      <c r="D60" s="294" t="s">
        <v>208</v>
      </c>
      <c r="E60" s="75"/>
      <c r="F60" s="310" t="s">
        <v>205</v>
      </c>
      <c r="G60" s="220" t="s">
        <v>176</v>
      </c>
      <c r="H60" s="221" t="s">
        <v>220</v>
      </c>
      <c r="I60" s="218">
        <v>1</v>
      </c>
      <c r="J60" s="221" t="s">
        <v>223</v>
      </c>
      <c r="K60" s="221"/>
      <c r="L60" s="306"/>
      <c r="M60" s="306"/>
      <c r="N60" s="306"/>
      <c r="O60" s="341"/>
      <c r="P60" s="308">
        <v>55.555555555555557</v>
      </c>
      <c r="Q60" s="308"/>
      <c r="R60" s="221"/>
      <c r="S60" s="311"/>
      <c r="T60" s="320"/>
      <c r="U60" s="320" t="s">
        <v>281</v>
      </c>
      <c r="V60" s="320"/>
      <c r="W60" s="221" t="s">
        <v>317</v>
      </c>
      <c r="Y60" s="125"/>
      <c r="Z60" s="125"/>
      <c r="AA60" s="125"/>
      <c r="AB60" s="125"/>
      <c r="AC60" s="125"/>
      <c r="AD60" s="125"/>
      <c r="AK60" s="125"/>
      <c r="AL60" s="125"/>
      <c r="AM60" s="125"/>
      <c r="AN60" s="125"/>
      <c r="AO60" s="125"/>
    </row>
    <row r="61" spans="2:41" s="316" customFormat="1" ht="14.25">
      <c r="B61" s="396" t="s">
        <v>221</v>
      </c>
      <c r="C61" s="397"/>
      <c r="D61" s="397"/>
      <c r="E61" s="397"/>
      <c r="F61" s="397"/>
      <c r="G61" s="397"/>
      <c r="H61" s="397"/>
      <c r="I61" s="397"/>
      <c r="J61" s="398"/>
      <c r="K61" s="317" t="s">
        <v>177</v>
      </c>
      <c r="L61" s="318">
        <v>354</v>
      </c>
      <c r="M61" s="318">
        <v>204</v>
      </c>
      <c r="N61" s="318">
        <v>100</v>
      </c>
      <c r="O61" s="342">
        <v>7.2220000000000004</v>
      </c>
      <c r="P61" s="309">
        <v>500</v>
      </c>
      <c r="Q61" s="309">
        <v>1030</v>
      </c>
      <c r="R61" s="309" t="s">
        <v>242</v>
      </c>
      <c r="S61" s="285" t="s">
        <v>244</v>
      </c>
      <c r="T61" s="286"/>
      <c r="U61" s="286"/>
      <c r="V61" s="286"/>
      <c r="W61" s="285"/>
      <c r="Y61" s="319"/>
      <c r="Z61" s="319"/>
      <c r="AA61" s="319"/>
      <c r="AB61" s="319"/>
      <c r="AC61" s="319"/>
      <c r="AD61" s="319"/>
      <c r="AK61" s="319"/>
      <c r="AL61" s="319"/>
      <c r="AM61" s="319"/>
      <c r="AN61" s="319"/>
      <c r="AO61" s="319"/>
    </row>
    <row r="62" spans="2:41" s="126" customFormat="1" ht="15.75">
      <c r="B62" s="293">
        <v>34</v>
      </c>
      <c r="C62" s="291" t="s">
        <v>259</v>
      </c>
      <c r="D62" s="399" t="s">
        <v>309</v>
      </c>
      <c r="E62" s="400"/>
      <c r="F62" s="310" t="s">
        <v>205</v>
      </c>
      <c r="G62" s="220" t="s">
        <v>176</v>
      </c>
      <c r="H62" s="221" t="s">
        <v>220</v>
      </c>
      <c r="I62" s="218">
        <v>27</v>
      </c>
      <c r="J62" s="221" t="s">
        <v>222</v>
      </c>
      <c r="K62" s="221"/>
      <c r="L62" s="306"/>
      <c r="M62" s="306"/>
      <c r="N62" s="306"/>
      <c r="O62" s="341"/>
      <c r="P62" s="308">
        <v>236.25</v>
      </c>
      <c r="Q62" s="308"/>
      <c r="R62" s="221"/>
      <c r="S62" s="311"/>
      <c r="T62" s="320"/>
      <c r="U62" s="320" t="s">
        <v>282</v>
      </c>
      <c r="V62" s="320" t="s">
        <v>286</v>
      </c>
      <c r="W62" s="221" t="s">
        <v>317</v>
      </c>
      <c r="Y62" s="125"/>
      <c r="Z62" s="125"/>
      <c r="AA62" s="125"/>
      <c r="AB62" s="125"/>
      <c r="AC62" s="125"/>
      <c r="AD62" s="125"/>
      <c r="AK62" s="125"/>
      <c r="AL62" s="125"/>
      <c r="AM62" s="125"/>
      <c r="AN62" s="125"/>
      <c r="AO62" s="125"/>
    </row>
    <row r="63" spans="2:41" s="126" customFormat="1" ht="15.75">
      <c r="B63" s="293">
        <v>35</v>
      </c>
      <c r="C63" s="291" t="s">
        <v>259</v>
      </c>
      <c r="D63" s="399" t="s">
        <v>289</v>
      </c>
      <c r="E63" s="400"/>
      <c r="F63" s="310" t="s">
        <v>205</v>
      </c>
      <c r="G63" s="220" t="s">
        <v>176</v>
      </c>
      <c r="H63" s="221" t="s">
        <v>220</v>
      </c>
      <c r="I63" s="218">
        <v>42</v>
      </c>
      <c r="J63" s="221" t="s">
        <v>222</v>
      </c>
      <c r="K63" s="221"/>
      <c r="L63" s="306"/>
      <c r="M63" s="306"/>
      <c r="N63" s="306"/>
      <c r="O63" s="341"/>
      <c r="P63" s="308">
        <v>367.5</v>
      </c>
      <c r="Q63" s="308"/>
      <c r="R63" s="221"/>
      <c r="S63" s="311"/>
      <c r="T63" s="320"/>
      <c r="U63" s="320" t="s">
        <v>283</v>
      </c>
      <c r="V63" s="320" t="s">
        <v>286</v>
      </c>
      <c r="W63" s="221" t="s">
        <v>317</v>
      </c>
      <c r="Y63" s="125"/>
      <c r="Z63" s="125"/>
      <c r="AA63" s="125"/>
      <c r="AB63" s="125"/>
      <c r="AC63" s="125"/>
      <c r="AD63" s="125"/>
      <c r="AK63" s="125"/>
      <c r="AL63" s="125"/>
      <c r="AM63" s="125"/>
      <c r="AN63" s="125"/>
      <c r="AO63" s="125"/>
    </row>
    <row r="64" spans="2:41" s="126" customFormat="1" ht="15.75">
      <c r="B64" s="293">
        <v>36</v>
      </c>
      <c r="C64" s="291" t="s">
        <v>259</v>
      </c>
      <c r="D64" s="399" t="s">
        <v>310</v>
      </c>
      <c r="E64" s="400"/>
      <c r="F64" s="310" t="s">
        <v>205</v>
      </c>
      <c r="G64" s="220" t="s">
        <v>176</v>
      </c>
      <c r="H64" s="221" t="s">
        <v>220</v>
      </c>
      <c r="I64" s="218">
        <v>9</v>
      </c>
      <c r="J64" s="221" t="s">
        <v>222</v>
      </c>
      <c r="K64" s="221"/>
      <c r="L64" s="306"/>
      <c r="M64" s="306"/>
      <c r="N64" s="306"/>
      <c r="O64" s="341"/>
      <c r="P64" s="308">
        <v>78.75</v>
      </c>
      <c r="Q64" s="308"/>
      <c r="R64" s="221"/>
      <c r="S64" s="311"/>
      <c r="T64" s="320"/>
      <c r="U64" s="320" t="s">
        <v>284</v>
      </c>
      <c r="V64" s="320" t="s">
        <v>286</v>
      </c>
      <c r="W64" s="221" t="s">
        <v>317</v>
      </c>
      <c r="Y64" s="125"/>
      <c r="Z64" s="125"/>
      <c r="AA64" s="125"/>
      <c r="AB64" s="125"/>
      <c r="AC64" s="125"/>
      <c r="AD64" s="125"/>
      <c r="AK64" s="125"/>
      <c r="AL64" s="125"/>
      <c r="AM64" s="125"/>
      <c r="AN64" s="125"/>
      <c r="AO64" s="125"/>
    </row>
    <row r="65" spans="2:41" s="126" customFormat="1" ht="15.75">
      <c r="B65" s="293">
        <v>37</v>
      </c>
      <c r="C65" s="291" t="s">
        <v>259</v>
      </c>
      <c r="D65" s="399" t="s">
        <v>311</v>
      </c>
      <c r="E65" s="400"/>
      <c r="F65" s="310" t="s">
        <v>205</v>
      </c>
      <c r="G65" s="220" t="s">
        <v>176</v>
      </c>
      <c r="H65" s="221" t="s">
        <v>220</v>
      </c>
      <c r="I65" s="218">
        <v>2</v>
      </c>
      <c r="J65" s="221" t="s">
        <v>222</v>
      </c>
      <c r="K65" s="221"/>
      <c r="L65" s="306"/>
      <c r="M65" s="306"/>
      <c r="N65" s="306"/>
      <c r="O65" s="341"/>
      <c r="P65" s="308">
        <v>17.5</v>
      </c>
      <c r="Q65" s="308"/>
      <c r="R65" s="221"/>
      <c r="S65" s="311"/>
      <c r="T65" s="320"/>
      <c r="U65" s="320" t="s">
        <v>285</v>
      </c>
      <c r="V65" s="320" t="s">
        <v>286</v>
      </c>
      <c r="W65" s="221" t="s">
        <v>317</v>
      </c>
      <c r="Y65" s="125"/>
      <c r="Z65" s="125"/>
      <c r="AA65" s="125"/>
      <c r="AB65" s="125"/>
      <c r="AC65" s="125"/>
      <c r="AD65" s="125"/>
      <c r="AK65" s="125"/>
      <c r="AL65" s="125"/>
      <c r="AM65" s="125"/>
      <c r="AN65" s="125"/>
      <c r="AO65" s="125"/>
    </row>
    <row r="66" spans="2:41" s="316" customFormat="1" ht="14.25">
      <c r="B66" s="396" t="s">
        <v>221</v>
      </c>
      <c r="C66" s="397"/>
      <c r="D66" s="397"/>
      <c r="E66" s="397"/>
      <c r="F66" s="397"/>
      <c r="G66" s="397"/>
      <c r="H66" s="397"/>
      <c r="I66" s="397"/>
      <c r="J66" s="398"/>
      <c r="K66" s="317" t="s">
        <v>177</v>
      </c>
      <c r="L66" s="318">
        <v>236</v>
      </c>
      <c r="M66" s="318">
        <v>210</v>
      </c>
      <c r="N66" s="318">
        <v>138</v>
      </c>
      <c r="O66" s="342">
        <v>6.8390000000000004</v>
      </c>
      <c r="P66" s="309">
        <v>700</v>
      </c>
      <c r="Q66" s="309">
        <v>980</v>
      </c>
      <c r="R66" s="309" t="s">
        <v>242</v>
      </c>
      <c r="S66" s="285" t="s">
        <v>244</v>
      </c>
      <c r="T66" s="286"/>
      <c r="U66" s="286"/>
      <c r="V66" s="286"/>
      <c r="W66" s="285"/>
      <c r="Y66" s="319"/>
      <c r="Z66" s="319"/>
      <c r="AA66" s="319"/>
      <c r="AB66" s="319"/>
      <c r="AC66" s="319"/>
      <c r="AD66" s="319"/>
      <c r="AK66" s="319"/>
      <c r="AL66" s="319"/>
      <c r="AM66" s="319"/>
      <c r="AN66" s="319"/>
      <c r="AO66" s="319"/>
    </row>
    <row r="67" spans="2:41" s="126" customFormat="1" ht="15.75">
      <c r="B67" s="293">
        <v>38</v>
      </c>
      <c r="C67" s="291" t="s">
        <v>260</v>
      </c>
      <c r="D67" s="294" t="s">
        <v>226</v>
      </c>
      <c r="E67" s="75"/>
      <c r="F67" s="310" t="s">
        <v>205</v>
      </c>
      <c r="G67" s="220" t="s">
        <v>176</v>
      </c>
      <c r="H67" s="221" t="s">
        <v>220</v>
      </c>
      <c r="I67" s="218">
        <v>1</v>
      </c>
      <c r="J67" s="221" t="s">
        <v>223</v>
      </c>
      <c r="K67" s="221"/>
      <c r="L67" s="306"/>
      <c r="M67" s="306"/>
      <c r="N67" s="306"/>
      <c r="O67" s="341"/>
      <c r="P67" s="308">
        <v>447</v>
      </c>
      <c r="Q67" s="308"/>
      <c r="R67" s="308"/>
      <c r="S67" s="221"/>
      <c r="T67" s="311"/>
      <c r="U67" s="305" t="s">
        <v>290</v>
      </c>
      <c r="V67" s="305" t="s">
        <v>291</v>
      </c>
      <c r="W67" s="221" t="s">
        <v>317</v>
      </c>
      <c r="Y67" s="125"/>
      <c r="Z67" s="125"/>
      <c r="AA67" s="125"/>
      <c r="AB67" s="125"/>
      <c r="AC67" s="125"/>
      <c r="AD67" s="125"/>
      <c r="AK67" s="125"/>
      <c r="AL67" s="125"/>
      <c r="AM67" s="125"/>
      <c r="AN67" s="125"/>
      <c r="AO67" s="125"/>
    </row>
    <row r="68" spans="2:41" s="316" customFormat="1" ht="14.25">
      <c r="B68" s="396" t="s">
        <v>221</v>
      </c>
      <c r="C68" s="397"/>
      <c r="D68" s="397"/>
      <c r="E68" s="397"/>
      <c r="F68" s="397"/>
      <c r="G68" s="397"/>
      <c r="H68" s="397"/>
      <c r="I68" s="397"/>
      <c r="J68" s="398"/>
      <c r="K68" s="317" t="s">
        <v>177</v>
      </c>
      <c r="L68" s="318">
        <v>115</v>
      </c>
      <c r="M68" s="318">
        <v>94</v>
      </c>
      <c r="N68" s="318">
        <v>85</v>
      </c>
      <c r="O68" s="342">
        <v>0.91900000000000004</v>
      </c>
      <c r="P68" s="309">
        <v>447</v>
      </c>
      <c r="Q68" s="309">
        <v>540</v>
      </c>
      <c r="R68" s="309" t="s">
        <v>242</v>
      </c>
      <c r="S68" s="285" t="s">
        <v>244</v>
      </c>
      <c r="T68" s="286"/>
      <c r="U68" s="286"/>
      <c r="V68" s="286"/>
      <c r="W68" s="285"/>
      <c r="Y68" s="319"/>
      <c r="Z68" s="319"/>
      <c r="AA68" s="319"/>
      <c r="AB68" s="319"/>
      <c r="AC68" s="319"/>
      <c r="AD68" s="319"/>
      <c r="AK68" s="319"/>
      <c r="AL68" s="319"/>
      <c r="AM68" s="319"/>
      <c r="AN68" s="319"/>
      <c r="AO68" s="319"/>
    </row>
    <row r="69" spans="2:41" s="126" customFormat="1" ht="15.75">
      <c r="B69" s="293">
        <v>39</v>
      </c>
      <c r="C69" s="291" t="s">
        <v>261</v>
      </c>
      <c r="D69" s="294" t="s">
        <v>226</v>
      </c>
      <c r="E69" s="75"/>
      <c r="F69" s="310" t="s">
        <v>205</v>
      </c>
      <c r="G69" s="220" t="s">
        <v>176</v>
      </c>
      <c r="H69" s="221" t="s">
        <v>220</v>
      </c>
      <c r="I69" s="218">
        <v>1</v>
      </c>
      <c r="J69" s="221" t="s">
        <v>223</v>
      </c>
      <c r="K69" s="221"/>
      <c r="L69" s="306"/>
      <c r="M69" s="306"/>
      <c r="N69" s="306"/>
      <c r="O69" s="341"/>
      <c r="P69" s="308">
        <v>676</v>
      </c>
      <c r="Q69" s="308"/>
      <c r="R69" s="308"/>
      <c r="S69" s="221"/>
      <c r="T69" s="311"/>
      <c r="U69" s="305" t="s">
        <v>292</v>
      </c>
      <c r="V69" s="305" t="s">
        <v>291</v>
      </c>
      <c r="W69" s="221" t="s">
        <v>317</v>
      </c>
      <c r="Y69" s="125"/>
      <c r="Z69" s="125"/>
      <c r="AA69" s="125"/>
      <c r="AB69" s="125"/>
      <c r="AC69" s="125"/>
      <c r="AD69" s="125"/>
      <c r="AK69" s="125"/>
      <c r="AL69" s="125"/>
      <c r="AM69" s="125"/>
      <c r="AN69" s="125"/>
      <c r="AO69" s="125"/>
    </row>
    <row r="70" spans="2:41" s="316" customFormat="1" ht="14.25">
      <c r="B70" s="396" t="s">
        <v>221</v>
      </c>
      <c r="C70" s="397"/>
      <c r="D70" s="397"/>
      <c r="E70" s="397"/>
      <c r="F70" s="397"/>
      <c r="G70" s="397"/>
      <c r="H70" s="397"/>
      <c r="I70" s="397"/>
      <c r="J70" s="398"/>
      <c r="K70" s="317" t="s">
        <v>177</v>
      </c>
      <c r="L70" s="318">
        <v>168</v>
      </c>
      <c r="M70" s="318">
        <v>115</v>
      </c>
      <c r="N70" s="318">
        <v>77</v>
      </c>
      <c r="O70" s="342">
        <v>1.488</v>
      </c>
      <c r="P70" s="309">
        <v>676</v>
      </c>
      <c r="Q70" s="309">
        <v>812</v>
      </c>
      <c r="R70" s="309" t="s">
        <v>242</v>
      </c>
      <c r="S70" s="285" t="s">
        <v>244</v>
      </c>
      <c r="T70" s="286"/>
      <c r="U70" s="286"/>
      <c r="V70" s="286"/>
      <c r="W70" s="285"/>
      <c r="Y70" s="319"/>
      <c r="Z70" s="319"/>
      <c r="AA70" s="319"/>
      <c r="AB70" s="319"/>
      <c r="AC70" s="319"/>
      <c r="AD70" s="319"/>
      <c r="AK70" s="319"/>
      <c r="AL70" s="319"/>
      <c r="AM70" s="319"/>
      <c r="AN70" s="319"/>
      <c r="AO70" s="319"/>
    </row>
    <row r="71" spans="2:41" s="126" customFormat="1" ht="15.75">
      <c r="B71" s="293">
        <v>40</v>
      </c>
      <c r="C71" s="291" t="s">
        <v>262</v>
      </c>
      <c r="D71" s="294" t="s">
        <v>210</v>
      </c>
      <c r="E71" s="75"/>
      <c r="F71" s="310" t="s">
        <v>205</v>
      </c>
      <c r="G71" s="220" t="s">
        <v>176</v>
      </c>
      <c r="H71" s="221" t="s">
        <v>220</v>
      </c>
      <c r="I71" s="218">
        <v>2</v>
      </c>
      <c r="J71" s="221" t="s">
        <v>222</v>
      </c>
      <c r="K71" s="221"/>
      <c r="L71" s="306"/>
      <c r="M71" s="306"/>
      <c r="N71" s="306"/>
      <c r="O71" s="341"/>
      <c r="P71" s="308">
        <v>540</v>
      </c>
      <c r="Q71" s="308"/>
      <c r="R71" s="308"/>
      <c r="S71" s="221"/>
      <c r="T71" s="311"/>
      <c r="U71" s="305" t="s">
        <v>293</v>
      </c>
      <c r="V71" s="305" t="s">
        <v>294</v>
      </c>
      <c r="W71" s="221" t="s">
        <v>317</v>
      </c>
      <c r="Y71" s="125"/>
      <c r="Z71" s="125"/>
      <c r="AA71" s="125"/>
      <c r="AB71" s="125"/>
      <c r="AC71" s="125"/>
      <c r="AD71" s="125"/>
      <c r="AK71" s="125"/>
      <c r="AL71" s="125"/>
      <c r="AM71" s="125"/>
      <c r="AN71" s="125"/>
      <c r="AO71" s="125"/>
    </row>
    <row r="72" spans="2:41" s="316" customFormat="1" ht="14.25">
      <c r="B72" s="396" t="s">
        <v>221</v>
      </c>
      <c r="C72" s="397"/>
      <c r="D72" s="397"/>
      <c r="E72" s="397"/>
      <c r="F72" s="397"/>
      <c r="G72" s="397"/>
      <c r="H72" s="397"/>
      <c r="I72" s="397"/>
      <c r="J72" s="398"/>
      <c r="K72" s="317" t="s">
        <v>177</v>
      </c>
      <c r="L72" s="318">
        <v>125</v>
      </c>
      <c r="M72" s="318">
        <v>117</v>
      </c>
      <c r="N72" s="318">
        <v>114</v>
      </c>
      <c r="O72" s="342">
        <v>1.667</v>
      </c>
      <c r="P72" s="309">
        <v>540</v>
      </c>
      <c r="Q72" s="309">
        <v>683</v>
      </c>
      <c r="R72" s="309" t="s">
        <v>242</v>
      </c>
      <c r="S72" s="285" t="s">
        <v>244</v>
      </c>
      <c r="T72" s="286"/>
      <c r="U72" s="286"/>
      <c r="V72" s="286"/>
      <c r="W72" s="285"/>
      <c r="Y72" s="319"/>
      <c r="Z72" s="319"/>
      <c r="AA72" s="319"/>
      <c r="AB72" s="319"/>
      <c r="AC72" s="319"/>
      <c r="AD72" s="319"/>
      <c r="AK72" s="319"/>
      <c r="AL72" s="319"/>
      <c r="AM72" s="319"/>
      <c r="AN72" s="319"/>
      <c r="AO72" s="319"/>
    </row>
    <row r="73" spans="2:41" s="126" customFormat="1" ht="15.75">
      <c r="B73" s="293">
        <v>41</v>
      </c>
      <c r="C73" s="291" t="s">
        <v>263</v>
      </c>
      <c r="D73" s="294" t="s">
        <v>227</v>
      </c>
      <c r="E73" s="75"/>
      <c r="F73" s="310" t="s">
        <v>205</v>
      </c>
      <c r="G73" s="220" t="s">
        <v>176</v>
      </c>
      <c r="H73" s="221" t="s">
        <v>220</v>
      </c>
      <c r="I73" s="218">
        <v>2</v>
      </c>
      <c r="J73" s="221" t="s">
        <v>222</v>
      </c>
      <c r="K73" s="221"/>
      <c r="L73" s="306"/>
      <c r="M73" s="306"/>
      <c r="N73" s="306"/>
      <c r="O73" s="341"/>
      <c r="P73" s="308">
        <v>540</v>
      </c>
      <c r="Q73" s="308"/>
      <c r="R73" s="308"/>
      <c r="S73" s="221"/>
      <c r="T73" s="311"/>
      <c r="U73" s="305" t="s">
        <v>293</v>
      </c>
      <c r="V73" s="305" t="s">
        <v>294</v>
      </c>
      <c r="W73" s="221" t="s">
        <v>317</v>
      </c>
      <c r="Y73" s="125"/>
      <c r="Z73" s="125"/>
      <c r="AA73" s="125"/>
      <c r="AB73" s="125"/>
      <c r="AC73" s="125"/>
      <c r="AD73" s="125"/>
      <c r="AK73" s="125"/>
      <c r="AL73" s="125"/>
      <c r="AM73" s="125"/>
      <c r="AN73" s="125"/>
      <c r="AO73" s="125"/>
    </row>
    <row r="74" spans="2:41" s="316" customFormat="1" ht="14.25">
      <c r="B74" s="396" t="s">
        <v>221</v>
      </c>
      <c r="C74" s="397"/>
      <c r="D74" s="397"/>
      <c r="E74" s="397"/>
      <c r="F74" s="397"/>
      <c r="G74" s="397"/>
      <c r="H74" s="397"/>
      <c r="I74" s="397"/>
      <c r="J74" s="398"/>
      <c r="K74" s="317" t="s">
        <v>177</v>
      </c>
      <c r="L74" s="318">
        <v>125</v>
      </c>
      <c r="M74" s="318">
        <v>117</v>
      </c>
      <c r="N74" s="318">
        <v>114</v>
      </c>
      <c r="O74" s="342">
        <v>1.667</v>
      </c>
      <c r="P74" s="309">
        <v>540</v>
      </c>
      <c r="Q74" s="309">
        <v>683</v>
      </c>
      <c r="R74" s="309" t="s">
        <v>242</v>
      </c>
      <c r="S74" s="285" t="s">
        <v>244</v>
      </c>
      <c r="T74" s="286"/>
      <c r="U74" s="286"/>
      <c r="V74" s="286"/>
      <c r="W74" s="285"/>
      <c r="Y74" s="319"/>
      <c r="Z74" s="319"/>
      <c r="AA74" s="319"/>
      <c r="AB74" s="319"/>
      <c r="AC74" s="319"/>
      <c r="AD74" s="319"/>
      <c r="AK74" s="319"/>
      <c r="AL74" s="319"/>
      <c r="AM74" s="319"/>
      <c r="AN74" s="319"/>
      <c r="AO74" s="319"/>
    </row>
    <row r="75" spans="2:41" s="126" customFormat="1" ht="15.75">
      <c r="B75" s="293">
        <v>42</v>
      </c>
      <c r="C75" s="291" t="s">
        <v>264</v>
      </c>
      <c r="D75" s="294" t="s">
        <v>228</v>
      </c>
      <c r="E75" s="75"/>
      <c r="F75" s="310" t="s">
        <v>205</v>
      </c>
      <c r="G75" s="220" t="s">
        <v>176</v>
      </c>
      <c r="H75" s="221" t="s">
        <v>220</v>
      </c>
      <c r="I75" s="218">
        <v>2</v>
      </c>
      <c r="J75" s="221" t="s">
        <v>222</v>
      </c>
      <c r="K75" s="221"/>
      <c r="L75" s="306"/>
      <c r="M75" s="306"/>
      <c r="N75" s="306"/>
      <c r="O75" s="341"/>
      <c r="P75" s="308">
        <v>540</v>
      </c>
      <c r="Q75" s="308"/>
      <c r="R75" s="308"/>
      <c r="S75" s="221"/>
      <c r="T75" s="311"/>
      <c r="U75" s="305" t="s">
        <v>293</v>
      </c>
      <c r="V75" s="305" t="s">
        <v>294</v>
      </c>
      <c r="W75" s="221" t="s">
        <v>317</v>
      </c>
      <c r="Y75" s="125"/>
      <c r="Z75" s="125"/>
      <c r="AA75" s="125"/>
      <c r="AB75" s="125"/>
      <c r="AC75" s="125"/>
      <c r="AD75" s="125"/>
      <c r="AK75" s="125"/>
      <c r="AL75" s="125"/>
      <c r="AM75" s="125"/>
      <c r="AN75" s="125"/>
      <c r="AO75" s="125"/>
    </row>
    <row r="76" spans="2:41" s="316" customFormat="1" ht="14.25">
      <c r="B76" s="396" t="s">
        <v>221</v>
      </c>
      <c r="C76" s="397"/>
      <c r="D76" s="397"/>
      <c r="E76" s="397"/>
      <c r="F76" s="397"/>
      <c r="G76" s="397"/>
      <c r="H76" s="397"/>
      <c r="I76" s="397"/>
      <c r="J76" s="398"/>
      <c r="K76" s="317" t="s">
        <v>177</v>
      </c>
      <c r="L76" s="318">
        <v>125</v>
      </c>
      <c r="M76" s="318">
        <v>117</v>
      </c>
      <c r="N76" s="318">
        <v>114</v>
      </c>
      <c r="O76" s="342">
        <v>1.667</v>
      </c>
      <c r="P76" s="309">
        <v>540</v>
      </c>
      <c r="Q76" s="309">
        <v>683</v>
      </c>
      <c r="R76" s="309" t="s">
        <v>242</v>
      </c>
      <c r="S76" s="285" t="s">
        <v>244</v>
      </c>
      <c r="T76" s="286"/>
      <c r="U76" s="286"/>
      <c r="V76" s="286"/>
      <c r="W76" s="285"/>
      <c r="Y76" s="319"/>
      <c r="Z76" s="319"/>
      <c r="AA76" s="319"/>
      <c r="AB76" s="319"/>
      <c r="AC76" s="319"/>
      <c r="AD76" s="319"/>
      <c r="AK76" s="319"/>
      <c r="AL76" s="319"/>
      <c r="AM76" s="319"/>
      <c r="AN76" s="319"/>
      <c r="AO76" s="319"/>
    </row>
    <row r="77" spans="2:41" s="126" customFormat="1" ht="15.75">
      <c r="B77" s="293">
        <v>43</v>
      </c>
      <c r="C77" s="291" t="s">
        <v>265</v>
      </c>
      <c r="D77" s="294" t="s">
        <v>229</v>
      </c>
      <c r="E77" s="75"/>
      <c r="F77" s="310" t="s">
        <v>205</v>
      </c>
      <c r="G77" s="220" t="s">
        <v>176</v>
      </c>
      <c r="H77" s="221" t="s">
        <v>220</v>
      </c>
      <c r="I77" s="218">
        <v>2</v>
      </c>
      <c r="J77" s="221" t="s">
        <v>222</v>
      </c>
      <c r="K77" s="221"/>
      <c r="L77" s="306"/>
      <c r="M77" s="306"/>
      <c r="N77" s="306"/>
      <c r="O77" s="341"/>
      <c r="P77" s="308">
        <v>540</v>
      </c>
      <c r="Q77" s="308"/>
      <c r="R77" s="308"/>
      <c r="S77" s="221"/>
      <c r="T77" s="311"/>
      <c r="U77" s="305" t="s">
        <v>293</v>
      </c>
      <c r="V77" s="305" t="s">
        <v>294</v>
      </c>
      <c r="W77" s="221" t="s">
        <v>317</v>
      </c>
      <c r="Y77" s="125"/>
      <c r="Z77" s="125"/>
      <c r="AA77" s="125"/>
      <c r="AB77" s="125"/>
      <c r="AC77" s="125"/>
      <c r="AD77" s="125"/>
      <c r="AK77" s="125"/>
      <c r="AL77" s="125"/>
      <c r="AM77" s="125"/>
      <c r="AN77" s="125"/>
      <c r="AO77" s="125"/>
    </row>
    <row r="78" spans="2:41" s="316" customFormat="1" ht="14.25">
      <c r="B78" s="396" t="s">
        <v>221</v>
      </c>
      <c r="C78" s="397"/>
      <c r="D78" s="397"/>
      <c r="E78" s="397"/>
      <c r="F78" s="397"/>
      <c r="G78" s="397"/>
      <c r="H78" s="397"/>
      <c r="I78" s="397"/>
      <c r="J78" s="398"/>
      <c r="K78" s="317" t="s">
        <v>177</v>
      </c>
      <c r="L78" s="318">
        <v>125</v>
      </c>
      <c r="M78" s="318">
        <v>117</v>
      </c>
      <c r="N78" s="318">
        <v>114</v>
      </c>
      <c r="O78" s="342">
        <v>1.667</v>
      </c>
      <c r="P78" s="309">
        <v>540</v>
      </c>
      <c r="Q78" s="309">
        <v>683</v>
      </c>
      <c r="R78" s="309" t="s">
        <v>242</v>
      </c>
      <c r="S78" s="285" t="s">
        <v>244</v>
      </c>
      <c r="T78" s="286"/>
      <c r="U78" s="286"/>
      <c r="V78" s="286"/>
      <c r="W78" s="285"/>
      <c r="Y78" s="319"/>
      <c r="Z78" s="319"/>
      <c r="AA78" s="319"/>
      <c r="AB78" s="319"/>
      <c r="AC78" s="319"/>
      <c r="AD78" s="319"/>
      <c r="AK78" s="319"/>
      <c r="AL78" s="319"/>
      <c r="AM78" s="319"/>
      <c r="AN78" s="319"/>
      <c r="AO78" s="319"/>
    </row>
    <row r="79" spans="2:41" s="126" customFormat="1" ht="15.75">
      <c r="B79" s="293">
        <v>44</v>
      </c>
      <c r="C79" s="291" t="s">
        <v>266</v>
      </c>
      <c r="D79" s="294" t="s">
        <v>230</v>
      </c>
      <c r="E79" s="75"/>
      <c r="F79" s="310" t="s">
        <v>205</v>
      </c>
      <c r="G79" s="220" t="s">
        <v>176</v>
      </c>
      <c r="H79" s="221" t="s">
        <v>220</v>
      </c>
      <c r="I79" s="218">
        <v>8</v>
      </c>
      <c r="J79" s="221" t="s">
        <v>222</v>
      </c>
      <c r="K79" s="221"/>
      <c r="L79" s="306"/>
      <c r="M79" s="306"/>
      <c r="N79" s="306"/>
      <c r="O79" s="341"/>
      <c r="P79" s="308">
        <v>55</v>
      </c>
      <c r="Q79" s="308"/>
      <c r="R79" s="308"/>
      <c r="S79" s="221"/>
      <c r="T79" s="311"/>
      <c r="U79" s="305" t="s">
        <v>295</v>
      </c>
      <c r="V79" s="305" t="s">
        <v>294</v>
      </c>
      <c r="W79" s="221" t="s">
        <v>317</v>
      </c>
      <c r="Y79" s="125"/>
      <c r="Z79" s="125"/>
      <c r="AA79" s="125"/>
      <c r="AB79" s="125"/>
      <c r="AC79" s="125"/>
      <c r="AD79" s="125"/>
      <c r="AK79" s="125"/>
      <c r="AL79" s="125"/>
      <c r="AM79" s="125"/>
      <c r="AN79" s="125"/>
      <c r="AO79" s="125"/>
    </row>
    <row r="80" spans="2:41" s="316" customFormat="1" ht="14.25">
      <c r="B80" s="396" t="s">
        <v>221</v>
      </c>
      <c r="C80" s="397"/>
      <c r="D80" s="397"/>
      <c r="E80" s="397"/>
      <c r="F80" s="397"/>
      <c r="G80" s="397"/>
      <c r="H80" s="397"/>
      <c r="I80" s="397"/>
      <c r="J80" s="398"/>
      <c r="K80" s="317" t="s">
        <v>177</v>
      </c>
      <c r="L80" s="318">
        <v>100</v>
      </c>
      <c r="M80" s="318">
        <v>80</v>
      </c>
      <c r="N80" s="318">
        <v>63</v>
      </c>
      <c r="O80" s="342">
        <v>0.504</v>
      </c>
      <c r="P80" s="309">
        <v>55</v>
      </c>
      <c r="Q80" s="309">
        <v>100</v>
      </c>
      <c r="R80" s="309" t="s">
        <v>242</v>
      </c>
      <c r="S80" s="285" t="s">
        <v>244</v>
      </c>
      <c r="T80" s="286"/>
      <c r="U80" s="286"/>
      <c r="V80" s="286"/>
      <c r="W80" s="285"/>
      <c r="Y80" s="319"/>
      <c r="Z80" s="319"/>
      <c r="AA80" s="319"/>
      <c r="AB80" s="319"/>
      <c r="AC80" s="319"/>
      <c r="AD80" s="319"/>
      <c r="AK80" s="319"/>
      <c r="AL80" s="319"/>
      <c r="AM80" s="319"/>
      <c r="AN80" s="319"/>
      <c r="AO80" s="319"/>
    </row>
    <row r="81" spans="2:41" s="126" customFormat="1" ht="15.75">
      <c r="B81" s="293">
        <v>45</v>
      </c>
      <c r="C81" s="291" t="s">
        <v>267</v>
      </c>
      <c r="D81" s="294" t="s">
        <v>231</v>
      </c>
      <c r="E81" s="75"/>
      <c r="F81" s="310" t="s">
        <v>205</v>
      </c>
      <c r="G81" s="220" t="s">
        <v>176</v>
      </c>
      <c r="H81" s="221" t="s">
        <v>220</v>
      </c>
      <c r="I81" s="218">
        <v>36</v>
      </c>
      <c r="J81" s="221" t="s">
        <v>222</v>
      </c>
      <c r="K81" s="221"/>
      <c r="L81" s="306"/>
      <c r="M81" s="306"/>
      <c r="N81" s="306"/>
      <c r="O81" s="341"/>
      <c r="P81" s="308">
        <v>556.36363636363637</v>
      </c>
      <c r="Q81" s="308"/>
      <c r="R81" s="221"/>
      <c r="S81" s="311"/>
      <c r="T81" s="320"/>
      <c r="U81" s="320" t="s">
        <v>233</v>
      </c>
      <c r="V81" s="320" t="s">
        <v>294</v>
      </c>
      <c r="W81" s="221" t="s">
        <v>317</v>
      </c>
      <c r="Y81" s="125"/>
      <c r="Z81" s="125"/>
      <c r="AA81" s="125"/>
      <c r="AB81" s="125"/>
      <c r="AC81" s="125"/>
      <c r="AD81" s="125"/>
      <c r="AK81" s="125"/>
      <c r="AL81" s="125"/>
      <c r="AM81" s="125"/>
      <c r="AN81" s="125"/>
      <c r="AO81" s="125"/>
    </row>
    <row r="82" spans="2:41" s="126" customFormat="1" ht="15.75">
      <c r="B82" s="293">
        <v>46</v>
      </c>
      <c r="C82" s="291" t="s">
        <v>267</v>
      </c>
      <c r="D82" s="294" t="s">
        <v>232</v>
      </c>
      <c r="E82" s="75"/>
      <c r="F82" s="310" t="s">
        <v>205</v>
      </c>
      <c r="G82" s="220" t="s">
        <v>176</v>
      </c>
      <c r="H82" s="221" t="s">
        <v>220</v>
      </c>
      <c r="I82" s="218">
        <v>8</v>
      </c>
      <c r="J82" s="221" t="s">
        <v>222</v>
      </c>
      <c r="K82" s="221"/>
      <c r="L82" s="306"/>
      <c r="M82" s="306"/>
      <c r="N82" s="306"/>
      <c r="O82" s="341"/>
      <c r="P82" s="308">
        <v>123.63636363636364</v>
      </c>
      <c r="Q82" s="308"/>
      <c r="R82" s="221"/>
      <c r="S82" s="311"/>
      <c r="T82" s="320"/>
      <c r="U82" s="320" t="s">
        <v>234</v>
      </c>
      <c r="V82" s="320" t="s">
        <v>294</v>
      </c>
      <c r="W82" s="221" t="s">
        <v>317</v>
      </c>
      <c r="Y82" s="125"/>
      <c r="Z82" s="125"/>
      <c r="AA82" s="125"/>
      <c r="AB82" s="125"/>
      <c r="AC82" s="125"/>
      <c r="AD82" s="125"/>
      <c r="AK82" s="125"/>
      <c r="AL82" s="125"/>
      <c r="AM82" s="125"/>
      <c r="AN82" s="125"/>
      <c r="AO82" s="125"/>
    </row>
    <row r="83" spans="2:41" s="316" customFormat="1" ht="14.25">
      <c r="B83" s="396" t="s">
        <v>221</v>
      </c>
      <c r="C83" s="397"/>
      <c r="D83" s="397"/>
      <c r="E83" s="397"/>
      <c r="F83" s="397"/>
      <c r="G83" s="397"/>
      <c r="H83" s="397"/>
      <c r="I83" s="397"/>
      <c r="J83" s="398"/>
      <c r="K83" s="317" t="s">
        <v>177</v>
      </c>
      <c r="L83" s="318">
        <v>148</v>
      </c>
      <c r="M83" s="318">
        <v>138</v>
      </c>
      <c r="N83" s="318">
        <v>96</v>
      </c>
      <c r="O83" s="342">
        <v>1.9610000000000001</v>
      </c>
      <c r="P83" s="309">
        <v>680</v>
      </c>
      <c r="Q83" s="309">
        <v>850</v>
      </c>
      <c r="R83" s="309" t="s">
        <v>242</v>
      </c>
      <c r="S83" s="285" t="s">
        <v>244</v>
      </c>
      <c r="T83" s="286"/>
      <c r="U83" s="286"/>
      <c r="V83" s="286"/>
      <c r="W83" s="285"/>
      <c r="Y83" s="319"/>
      <c r="Z83" s="319"/>
      <c r="AA83" s="319"/>
      <c r="AB83" s="319"/>
      <c r="AC83" s="319"/>
      <c r="AD83" s="319"/>
      <c r="AK83" s="319"/>
      <c r="AL83" s="319"/>
      <c r="AM83" s="319"/>
      <c r="AN83" s="319"/>
      <c r="AO83" s="319"/>
    </row>
    <row r="84" spans="2:41" s="126" customFormat="1" ht="15.75">
      <c r="B84" s="293">
        <v>47</v>
      </c>
      <c r="C84" s="291" t="s">
        <v>268</v>
      </c>
      <c r="D84" s="294" t="s">
        <v>235</v>
      </c>
      <c r="E84" s="75"/>
      <c r="F84" s="310" t="s">
        <v>205</v>
      </c>
      <c r="G84" s="220" t="s">
        <v>176</v>
      </c>
      <c r="H84" s="221" t="s">
        <v>220</v>
      </c>
      <c r="I84" s="218">
        <v>3</v>
      </c>
      <c r="J84" s="221" t="s">
        <v>222</v>
      </c>
      <c r="K84" s="221"/>
      <c r="L84" s="306"/>
      <c r="M84" s="306"/>
      <c r="N84" s="306"/>
      <c r="O84" s="341"/>
      <c r="P84" s="308">
        <v>18.333333333333332</v>
      </c>
      <c r="Q84" s="308"/>
      <c r="R84" s="221"/>
      <c r="S84" s="311"/>
      <c r="T84" s="320"/>
      <c r="U84" s="320"/>
      <c r="V84" s="320" t="s">
        <v>308</v>
      </c>
      <c r="W84" s="221" t="s">
        <v>317</v>
      </c>
      <c r="Y84" s="125"/>
      <c r="Z84" s="125"/>
      <c r="AA84" s="125"/>
      <c r="AB84" s="125"/>
      <c r="AC84" s="125"/>
      <c r="AD84" s="125"/>
      <c r="AK84" s="125"/>
      <c r="AL84" s="125"/>
      <c r="AM84" s="125"/>
      <c r="AN84" s="125"/>
      <c r="AO84" s="125"/>
    </row>
    <row r="85" spans="2:41" s="126" customFormat="1" ht="15.75">
      <c r="B85" s="293">
        <v>48</v>
      </c>
      <c r="C85" s="291" t="s">
        <v>268</v>
      </c>
      <c r="D85" s="294" t="s">
        <v>236</v>
      </c>
      <c r="E85" s="75"/>
      <c r="F85" s="310" t="s">
        <v>205</v>
      </c>
      <c r="G85" s="220" t="s">
        <v>176</v>
      </c>
      <c r="H85" s="221" t="s">
        <v>220</v>
      </c>
      <c r="I85" s="218">
        <v>4</v>
      </c>
      <c r="J85" s="221" t="s">
        <v>222</v>
      </c>
      <c r="K85" s="221"/>
      <c r="L85" s="306"/>
      <c r="M85" s="306"/>
      <c r="N85" s="306"/>
      <c r="O85" s="341"/>
      <c r="P85" s="308">
        <v>24.444444444444443</v>
      </c>
      <c r="Q85" s="308"/>
      <c r="R85" s="221"/>
      <c r="S85" s="311"/>
      <c r="T85" s="320"/>
      <c r="U85" s="320"/>
      <c r="V85" s="320" t="s">
        <v>308</v>
      </c>
      <c r="W85" s="221" t="s">
        <v>317</v>
      </c>
      <c r="Y85" s="125"/>
      <c r="Z85" s="125"/>
      <c r="AA85" s="125"/>
      <c r="AB85" s="125"/>
      <c r="AC85" s="125"/>
      <c r="AD85" s="125"/>
      <c r="AK85" s="125"/>
      <c r="AL85" s="125"/>
      <c r="AM85" s="125"/>
      <c r="AN85" s="125"/>
      <c r="AO85" s="125"/>
    </row>
    <row r="86" spans="2:41" s="126" customFormat="1" ht="15.75">
      <c r="B86" s="293">
        <v>49</v>
      </c>
      <c r="C86" s="291" t="s">
        <v>268</v>
      </c>
      <c r="D86" s="294" t="s">
        <v>237</v>
      </c>
      <c r="E86" s="75"/>
      <c r="F86" s="310" t="s">
        <v>205</v>
      </c>
      <c r="G86" s="220" t="s">
        <v>176</v>
      </c>
      <c r="H86" s="221" t="s">
        <v>220</v>
      </c>
      <c r="I86" s="218">
        <v>1</v>
      </c>
      <c r="J86" s="221" t="s">
        <v>223</v>
      </c>
      <c r="K86" s="221"/>
      <c r="L86" s="306"/>
      <c r="M86" s="306"/>
      <c r="N86" s="306"/>
      <c r="O86" s="341"/>
      <c r="P86" s="308">
        <v>6.1111111111111107</v>
      </c>
      <c r="Q86" s="308"/>
      <c r="R86" s="221"/>
      <c r="S86" s="311"/>
      <c r="T86" s="320"/>
      <c r="U86" s="320"/>
      <c r="V86" s="320" t="s">
        <v>308</v>
      </c>
      <c r="W86" s="221" t="s">
        <v>317</v>
      </c>
      <c r="Y86" s="125"/>
      <c r="Z86" s="125"/>
      <c r="AA86" s="125"/>
      <c r="AB86" s="125"/>
      <c r="AC86" s="125"/>
      <c r="AD86" s="125"/>
      <c r="AK86" s="125"/>
      <c r="AL86" s="125"/>
      <c r="AM86" s="125"/>
      <c r="AN86" s="125"/>
      <c r="AO86" s="125"/>
    </row>
    <row r="87" spans="2:41" s="126" customFormat="1" ht="15.75">
      <c r="B87" s="293">
        <v>50</v>
      </c>
      <c r="C87" s="291" t="s">
        <v>268</v>
      </c>
      <c r="D87" s="294" t="s">
        <v>236</v>
      </c>
      <c r="E87" s="75"/>
      <c r="F87" s="310" t="s">
        <v>205</v>
      </c>
      <c r="G87" s="220" t="s">
        <v>176</v>
      </c>
      <c r="H87" s="221" t="s">
        <v>220</v>
      </c>
      <c r="I87" s="218">
        <v>1</v>
      </c>
      <c r="J87" s="221" t="s">
        <v>223</v>
      </c>
      <c r="K87" s="221"/>
      <c r="L87" s="306"/>
      <c r="M87" s="306"/>
      <c r="N87" s="306"/>
      <c r="O87" s="341"/>
      <c r="P87" s="308">
        <v>6.1111111111111107</v>
      </c>
      <c r="Q87" s="308"/>
      <c r="R87" s="221"/>
      <c r="S87" s="311"/>
      <c r="T87" s="320"/>
      <c r="U87" s="320"/>
      <c r="V87" s="320" t="s">
        <v>308</v>
      </c>
      <c r="W87" s="221" t="s">
        <v>317</v>
      </c>
      <c r="Y87" s="125"/>
      <c r="Z87" s="125"/>
      <c r="AA87" s="125"/>
      <c r="AB87" s="125"/>
      <c r="AC87" s="125"/>
      <c r="AD87" s="125"/>
      <c r="AK87" s="125"/>
      <c r="AL87" s="125"/>
      <c r="AM87" s="125"/>
      <c r="AN87" s="125"/>
      <c r="AO87" s="125"/>
    </row>
    <row r="88" spans="2:41" s="316" customFormat="1" ht="14.25">
      <c r="B88" s="396" t="s">
        <v>221</v>
      </c>
      <c r="C88" s="397"/>
      <c r="D88" s="397"/>
      <c r="E88" s="397"/>
      <c r="F88" s="397"/>
      <c r="G88" s="397"/>
      <c r="H88" s="397"/>
      <c r="I88" s="397"/>
      <c r="J88" s="398"/>
      <c r="K88" s="317" t="s">
        <v>177</v>
      </c>
      <c r="L88" s="318">
        <v>80</v>
      </c>
      <c r="M88" s="318">
        <v>80</v>
      </c>
      <c r="N88" s="318">
        <v>80</v>
      </c>
      <c r="O88" s="342">
        <v>0.51200000000000001</v>
      </c>
      <c r="P88" s="309">
        <v>55</v>
      </c>
      <c r="Q88" s="309">
        <v>100</v>
      </c>
      <c r="R88" s="309" t="s">
        <v>242</v>
      </c>
      <c r="S88" s="285" t="s">
        <v>244</v>
      </c>
      <c r="T88" s="286"/>
      <c r="U88" s="286"/>
      <c r="V88" s="286"/>
      <c r="W88" s="285"/>
      <c r="Y88" s="319"/>
      <c r="Z88" s="319"/>
      <c r="AA88" s="319"/>
      <c r="AB88" s="319"/>
      <c r="AC88" s="319"/>
      <c r="AD88" s="319"/>
      <c r="AK88" s="319"/>
      <c r="AL88" s="319"/>
      <c r="AM88" s="319"/>
      <c r="AN88" s="319"/>
      <c r="AO88" s="319"/>
    </row>
    <row r="89" spans="2:41" s="56" customFormat="1" ht="32.25" customHeight="1">
      <c r="B89" s="403" t="s">
        <v>93</v>
      </c>
      <c r="C89" s="403"/>
      <c r="D89" s="403"/>
      <c r="E89" s="403"/>
      <c r="F89" s="403"/>
      <c r="G89" s="403"/>
      <c r="H89" s="403"/>
      <c r="I89" s="403"/>
      <c r="J89" s="403"/>
      <c r="K89" s="218"/>
      <c r="L89" s="218"/>
      <c r="M89" s="218"/>
      <c r="N89" s="218"/>
      <c r="O89" s="343">
        <f>SUM(O15:O88)</f>
        <v>66.674000000000007</v>
      </c>
      <c r="P89" s="283">
        <v>11256</v>
      </c>
      <c r="Q89" s="283">
        <f>SUM(Q15:Q88)</f>
        <v>16518</v>
      </c>
      <c r="R89" s="218"/>
      <c r="S89" s="218"/>
      <c r="T89" s="218"/>
      <c r="U89" s="218"/>
      <c r="V89" s="218"/>
      <c r="W89" s="218"/>
      <c r="X89" s="119"/>
      <c r="Y89" s="61"/>
      <c r="Z89" s="61"/>
      <c r="AA89" s="61"/>
      <c r="AB89" s="61"/>
      <c r="AC89" s="61"/>
      <c r="AD89" s="61"/>
      <c r="AK89" s="61"/>
      <c r="AL89" s="61"/>
      <c r="AM89" s="61"/>
      <c r="AN89" s="61"/>
      <c r="AO89" s="61"/>
    </row>
  </sheetData>
  <mergeCells count="49">
    <mergeCell ref="V13:V14"/>
    <mergeCell ref="B1:W1"/>
    <mergeCell ref="C3:K3"/>
    <mergeCell ref="B4:W4"/>
    <mergeCell ref="B13:B14"/>
    <mergeCell ref="C13:C14"/>
    <mergeCell ref="D13:E14"/>
    <mergeCell ref="H13:H14"/>
    <mergeCell ref="I13:J13"/>
    <mergeCell ref="K13:K14"/>
    <mergeCell ref="L13:O13"/>
    <mergeCell ref="W13:W14"/>
    <mergeCell ref="S13:S14"/>
    <mergeCell ref="T13:T14"/>
    <mergeCell ref="G13:G14"/>
    <mergeCell ref="F13:F14"/>
    <mergeCell ref="U13:U14"/>
    <mergeCell ref="B89:J89"/>
    <mergeCell ref="P13:P14"/>
    <mergeCell ref="Q13:Q14"/>
    <mergeCell ref="R13:R14"/>
    <mergeCell ref="B16:J16"/>
    <mergeCell ref="B24:J24"/>
    <mergeCell ref="B29:J29"/>
    <mergeCell ref="B31:J31"/>
    <mergeCell ref="B33:J33"/>
    <mergeCell ref="B35:J35"/>
    <mergeCell ref="B37:J37"/>
    <mergeCell ref="B39:J39"/>
    <mergeCell ref="B41:J41"/>
    <mergeCell ref="B43:J43"/>
    <mergeCell ref="B46:J46"/>
    <mergeCell ref="B51:J51"/>
    <mergeCell ref="B53:J53"/>
    <mergeCell ref="B61:J61"/>
    <mergeCell ref="B66:J66"/>
    <mergeCell ref="D62:E62"/>
    <mergeCell ref="D63:E63"/>
    <mergeCell ref="D64:E64"/>
    <mergeCell ref="D65:E65"/>
    <mergeCell ref="B78:J78"/>
    <mergeCell ref="B80:J80"/>
    <mergeCell ref="B83:J83"/>
    <mergeCell ref="B88:J88"/>
    <mergeCell ref="B68:J68"/>
    <mergeCell ref="B70:J70"/>
    <mergeCell ref="B72:J72"/>
    <mergeCell ref="B74:J74"/>
    <mergeCell ref="B76:J76"/>
  </mergeCells>
  <phoneticPr fontId="33" type="noConversion"/>
  <printOptions horizontalCentered="1"/>
  <pageMargins left="0.23622047244094491" right="0.23622047244094491" top="0.47244094488188981" bottom="0.51181102362204722" header="0.31496062992125984" footer="0.31496062992125984"/>
  <pageSetup paperSize="9" scale="47" fitToHeight="0" orientation="landscape" r:id="rId1"/>
  <headerFooter alignWithMargins="0">
    <oddFooter>&amp;C&amp;P/&amp;N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A34D5-7FDB-4C04-8317-66FFFEC06CDC}">
  <sheetPr>
    <tabColor rgb="FFFFC000"/>
  </sheetPr>
  <dimension ref="A1:O46"/>
  <sheetViews>
    <sheetView showGridLines="0" view="pageBreakPreview" topLeftCell="A10" zoomScale="80" zoomScaleNormal="100" zoomScaleSheetLayoutView="80" workbookViewId="0">
      <selection activeCell="G26" sqref="G26"/>
    </sheetView>
  </sheetViews>
  <sheetFormatPr defaultColWidth="9.5859375" defaultRowHeight="17.25" customHeight="1"/>
  <cols>
    <col min="1" max="1" width="1.51953125" style="7" customWidth="1"/>
    <col min="2" max="2" width="27.36328125" style="7" customWidth="1"/>
    <col min="3" max="3" width="1.87109375" style="7" customWidth="1"/>
    <col min="4" max="4" width="6.3125" style="7" customWidth="1"/>
    <col min="5" max="5" width="4.32421875" style="7" customWidth="1"/>
    <col min="6" max="6" width="13.4453125" style="7" customWidth="1"/>
    <col min="7" max="7" width="17.65625" style="6" customWidth="1"/>
    <col min="8" max="8" width="9.5859375" style="6" customWidth="1"/>
    <col min="9" max="9" width="9.9375" style="6" customWidth="1"/>
    <col min="10" max="10" width="10.875" style="6" customWidth="1"/>
    <col min="11" max="11" width="12.16015625" style="55" customWidth="1"/>
    <col min="12" max="12" width="7.71484375" style="6" customWidth="1"/>
    <col min="13" max="13" width="10.875" style="7" bestFit="1" customWidth="1"/>
    <col min="14" max="14" width="11.69140625" style="7" bestFit="1" customWidth="1"/>
    <col min="15" max="15" width="10.875" style="7" bestFit="1" customWidth="1"/>
    <col min="16" max="16384" width="9.5859375" style="7"/>
  </cols>
  <sheetData>
    <row r="1" spans="1:14" ht="22.35" customHeight="1">
      <c r="A1" s="1"/>
      <c r="B1" s="2"/>
      <c r="C1" s="2"/>
      <c r="D1" s="2"/>
      <c r="E1" s="2"/>
      <c r="F1" s="2"/>
      <c r="G1" s="3"/>
      <c r="H1" s="3"/>
      <c r="I1" s="3"/>
      <c r="J1" s="4"/>
      <c r="K1" s="5"/>
    </row>
    <row r="2" spans="1:14" ht="22.35" customHeight="1">
      <c r="A2" s="8"/>
      <c r="J2" s="143"/>
      <c r="K2" s="9"/>
    </row>
    <row r="3" spans="1:14" ht="9" customHeight="1">
      <c r="A3" s="10"/>
      <c r="B3" s="422"/>
      <c r="C3" s="423"/>
      <c r="D3" s="423"/>
      <c r="E3" s="423"/>
      <c r="F3" s="144"/>
      <c r="G3" s="145"/>
      <c r="H3" s="422"/>
      <c r="I3" s="423"/>
      <c r="J3" s="423"/>
      <c r="K3" s="424"/>
    </row>
    <row r="4" spans="1:14" s="13" customFormat="1" ht="24.75" customHeight="1">
      <c r="A4" s="425" t="s">
        <v>1</v>
      </c>
      <c r="B4" s="426"/>
      <c r="C4" s="426"/>
      <c r="D4" s="426"/>
      <c r="E4" s="426"/>
      <c r="F4" s="426"/>
      <c r="G4" s="426"/>
      <c r="H4" s="426"/>
      <c r="I4" s="426"/>
      <c r="J4" s="426"/>
      <c r="K4" s="427"/>
      <c r="L4" s="11"/>
    </row>
    <row r="5" spans="1:14" s="13" customFormat="1" ht="16.350000000000001" customHeight="1">
      <c r="A5" s="192" t="s">
        <v>2</v>
      </c>
      <c r="B5" s="193"/>
      <c r="C5" s="193"/>
      <c r="D5" s="193"/>
      <c r="E5" s="194"/>
      <c r="F5" s="195"/>
      <c r="G5" s="196" t="s">
        <v>141</v>
      </c>
      <c r="H5" s="300" t="s">
        <v>179</v>
      </c>
      <c r="I5" s="300"/>
      <c r="J5" s="300"/>
      <c r="K5" s="197"/>
      <c r="L5" s="15"/>
      <c r="M5" s="367"/>
    </row>
    <row r="6" spans="1:14" s="13" customFormat="1" ht="14.85" customHeight="1">
      <c r="A6" s="198"/>
      <c r="B6" s="428" t="s">
        <v>332</v>
      </c>
      <c r="C6" s="429"/>
      <c r="D6" s="429"/>
      <c r="E6" s="429"/>
      <c r="F6" s="430"/>
      <c r="G6" s="199" t="s">
        <v>3</v>
      </c>
      <c r="H6" s="253">
        <v>46219</v>
      </c>
      <c r="I6" s="301"/>
      <c r="J6" s="302"/>
      <c r="K6" s="200"/>
      <c r="L6" s="15"/>
    </row>
    <row r="7" spans="1:14" ht="15.6" customHeight="1">
      <c r="A7" s="201"/>
      <c r="B7" s="429"/>
      <c r="C7" s="429"/>
      <c r="D7" s="429"/>
      <c r="E7" s="429"/>
      <c r="F7" s="430"/>
      <c r="G7" s="202" t="s">
        <v>4</v>
      </c>
      <c r="H7" s="203" t="s">
        <v>115</v>
      </c>
      <c r="I7" s="203"/>
      <c r="J7" s="203"/>
      <c r="K7" s="204"/>
    </row>
    <row r="8" spans="1:14" ht="16.5" customHeight="1">
      <c r="A8" s="201"/>
      <c r="B8" s="431"/>
      <c r="C8" s="431"/>
      <c r="D8" s="431"/>
      <c r="E8" s="431"/>
      <c r="F8" s="432"/>
      <c r="G8" s="199" t="s">
        <v>3</v>
      </c>
      <c r="H8" s="253">
        <v>45814</v>
      </c>
      <c r="I8" s="205"/>
      <c r="J8" s="205"/>
      <c r="K8" s="200"/>
    </row>
    <row r="9" spans="1:14" ht="22.35" customHeight="1" thickBot="1">
      <c r="A9" s="206" t="s">
        <v>6</v>
      </c>
      <c r="B9" s="203"/>
      <c r="C9" s="203"/>
      <c r="D9" s="203"/>
      <c r="E9" s="203"/>
      <c r="F9" s="207"/>
      <c r="G9" s="433" t="s">
        <v>7</v>
      </c>
      <c r="H9" s="434"/>
      <c r="I9" s="434"/>
      <c r="J9" s="434"/>
      <c r="K9" s="435"/>
    </row>
    <row r="10" spans="1:14" ht="14.1" customHeight="1">
      <c r="A10" s="201"/>
      <c r="B10" s="436" t="s">
        <v>156</v>
      </c>
      <c r="C10" s="437"/>
      <c r="D10" s="437"/>
      <c r="E10" s="437"/>
      <c r="F10" s="438"/>
      <c r="G10" s="441" t="s">
        <v>127</v>
      </c>
      <c r="H10" s="442"/>
      <c r="I10" s="442"/>
      <c r="J10" s="442"/>
      <c r="K10" s="443"/>
    </row>
    <row r="11" spans="1:14" ht="14.1" customHeight="1">
      <c r="A11" s="201"/>
      <c r="B11" s="437"/>
      <c r="C11" s="437"/>
      <c r="D11" s="437"/>
      <c r="E11" s="437"/>
      <c r="F11" s="438"/>
      <c r="G11" s="444"/>
      <c r="H11" s="445"/>
      <c r="I11" s="445"/>
      <c r="J11" s="445"/>
      <c r="K11" s="446"/>
    </row>
    <row r="12" spans="1:14" ht="28.35" customHeight="1" thickBot="1">
      <c r="A12" s="208"/>
      <c r="B12" s="439"/>
      <c r="C12" s="439"/>
      <c r="D12" s="439"/>
      <c r="E12" s="439"/>
      <c r="F12" s="440"/>
      <c r="G12" s="447"/>
      <c r="H12" s="448"/>
      <c r="I12" s="448"/>
      <c r="J12" s="448"/>
      <c r="K12" s="449"/>
    </row>
    <row r="13" spans="1:14" ht="14.1" customHeight="1">
      <c r="A13" s="209" t="s">
        <v>9</v>
      </c>
      <c r="B13" s="210"/>
      <c r="C13" s="211"/>
      <c r="D13" s="211"/>
      <c r="E13" s="211"/>
      <c r="F13" s="211"/>
      <c r="G13" s="212"/>
      <c r="H13" s="211"/>
      <c r="I13" s="211"/>
      <c r="J13" s="213"/>
      <c r="K13" s="214"/>
    </row>
    <row r="14" spans="1:14" ht="14.1" customHeight="1">
      <c r="A14" s="201"/>
      <c r="B14" s="450" t="s">
        <v>333</v>
      </c>
      <c r="C14" s="451"/>
      <c r="D14" s="451"/>
      <c r="E14" s="451"/>
      <c r="F14" s="452"/>
      <c r="G14" s="212"/>
      <c r="H14" s="455"/>
      <c r="I14" s="455"/>
      <c r="J14" s="455"/>
      <c r="K14" s="456"/>
    </row>
    <row r="15" spans="1:14" ht="14.1" customHeight="1">
      <c r="A15" s="201"/>
      <c r="B15" s="451"/>
      <c r="C15" s="451"/>
      <c r="D15" s="451"/>
      <c r="E15" s="451"/>
      <c r="F15" s="452"/>
      <c r="G15" s="303" t="s">
        <v>142</v>
      </c>
      <c r="H15" s="457" t="s">
        <v>179</v>
      </c>
      <c r="I15" s="457"/>
      <c r="J15" s="457"/>
      <c r="K15" s="458"/>
      <c r="N15" s="25"/>
    </row>
    <row r="16" spans="1:14" ht="12.75">
      <c r="A16" s="201"/>
      <c r="B16" s="451"/>
      <c r="C16" s="451"/>
      <c r="D16" s="451"/>
      <c r="E16" s="451"/>
      <c r="F16" s="452"/>
      <c r="G16" s="212"/>
      <c r="H16" s="457"/>
      <c r="I16" s="457"/>
      <c r="J16" s="457"/>
      <c r="K16" s="458"/>
    </row>
    <row r="17" spans="1:15" ht="94.5" customHeight="1">
      <c r="A17" s="201"/>
      <c r="B17" s="453"/>
      <c r="C17" s="453"/>
      <c r="D17" s="453"/>
      <c r="E17" s="453"/>
      <c r="F17" s="454"/>
      <c r="G17" s="212" t="s">
        <v>143</v>
      </c>
      <c r="H17" s="459" t="s">
        <v>324</v>
      </c>
      <c r="I17" s="459"/>
      <c r="J17" s="459"/>
      <c r="K17" s="460"/>
    </row>
    <row r="18" spans="1:15" ht="18.600000000000001" customHeight="1">
      <c r="A18" s="20" t="s">
        <v>152</v>
      </c>
      <c r="B18" s="26"/>
      <c r="C18" s="18" t="s">
        <v>12</v>
      </c>
      <c r="D18" s="19"/>
      <c r="E18" s="19"/>
      <c r="F18" s="21"/>
      <c r="G18" s="24"/>
      <c r="H18" s="420"/>
      <c r="I18" s="420"/>
      <c r="J18" s="420"/>
      <c r="K18" s="421"/>
    </row>
    <row r="19" spans="1:15" s="6" customFormat="1" ht="14.45" customHeight="1">
      <c r="A19" s="22"/>
      <c r="B19" s="272" t="s">
        <v>323</v>
      </c>
      <c r="C19" s="27"/>
      <c r="D19" s="418">
        <v>46222</v>
      </c>
      <c r="E19" s="418"/>
      <c r="F19" s="419"/>
      <c r="G19" s="24" t="s">
        <v>110</v>
      </c>
      <c r="H19" s="420" t="s">
        <v>111</v>
      </c>
      <c r="I19" s="420"/>
      <c r="J19" s="420"/>
      <c r="K19" s="421"/>
      <c r="M19" s="7"/>
      <c r="N19" s="7"/>
      <c r="O19" s="7"/>
    </row>
    <row r="20" spans="1:15" s="6" customFormat="1" ht="18.600000000000001" customHeight="1">
      <c r="A20" s="20" t="s">
        <v>13</v>
      </c>
      <c r="B20" s="19"/>
      <c r="C20" s="18" t="s">
        <v>14</v>
      </c>
      <c r="D20" s="203"/>
      <c r="E20" s="203"/>
      <c r="F20" s="207"/>
      <c r="G20" s="212" t="s">
        <v>155</v>
      </c>
      <c r="H20" s="459" t="s">
        <v>206</v>
      </c>
      <c r="I20" s="459"/>
      <c r="J20" s="459"/>
      <c r="K20" s="368"/>
      <c r="M20" s="7"/>
      <c r="N20" s="7"/>
      <c r="O20" s="7"/>
    </row>
    <row r="21" spans="1:15" s="6" customFormat="1" ht="15.6" customHeight="1">
      <c r="A21" s="8"/>
      <c r="B21" s="211" t="s">
        <v>174</v>
      </c>
      <c r="C21" s="28"/>
      <c r="D21" s="211" t="s">
        <v>440</v>
      </c>
      <c r="E21" s="365"/>
      <c r="F21" s="369"/>
      <c r="H21" s="143"/>
      <c r="K21" s="9"/>
      <c r="M21" s="7"/>
      <c r="N21" s="7"/>
      <c r="O21" s="7"/>
    </row>
    <row r="22" spans="1:15" s="6" customFormat="1" ht="18.600000000000001" customHeight="1">
      <c r="A22" s="20" t="s">
        <v>153</v>
      </c>
      <c r="B22" s="26"/>
      <c r="C22" s="18" t="s">
        <v>154</v>
      </c>
      <c r="D22" s="203"/>
      <c r="E22" s="203"/>
      <c r="F22" s="207"/>
      <c r="G22" s="24"/>
      <c r="H22" s="143"/>
      <c r="K22" s="9"/>
      <c r="M22" s="7"/>
      <c r="N22" s="7"/>
      <c r="O22" s="7"/>
    </row>
    <row r="23" spans="1:15" s="6" customFormat="1" ht="15.6" customHeight="1">
      <c r="A23" s="22"/>
      <c r="B23" s="272" t="s">
        <v>326</v>
      </c>
      <c r="C23" s="273"/>
      <c r="D23" s="418">
        <v>46222</v>
      </c>
      <c r="E23" s="418"/>
      <c r="F23" s="419"/>
      <c r="G23" s="24"/>
      <c r="K23" s="9"/>
      <c r="M23" s="7"/>
      <c r="N23" s="7"/>
      <c r="O23" s="7"/>
    </row>
    <row r="24" spans="1:15" s="6" customFormat="1" ht="19.350000000000001" customHeight="1">
      <c r="A24" s="20" t="s">
        <v>17</v>
      </c>
      <c r="B24" s="19"/>
      <c r="C24" s="19"/>
      <c r="D24" s="19"/>
      <c r="E24" s="19"/>
      <c r="F24" s="19"/>
      <c r="G24" s="29" t="s">
        <v>318</v>
      </c>
      <c r="H24" s="30"/>
      <c r="I24" s="31"/>
      <c r="J24" s="30"/>
      <c r="K24" s="32"/>
      <c r="M24" s="7"/>
      <c r="N24" s="7"/>
      <c r="O24" s="7"/>
    </row>
    <row r="25" spans="1:15" s="6" customFormat="1" ht="12.75">
      <c r="A25" s="8"/>
      <c r="B25" s="17" t="s">
        <v>8</v>
      </c>
      <c r="C25" s="7"/>
      <c r="D25" s="7"/>
      <c r="E25" s="7"/>
      <c r="F25" s="7"/>
      <c r="G25" s="339" t="s">
        <v>319</v>
      </c>
      <c r="K25" s="9"/>
      <c r="M25" s="7"/>
      <c r="N25" s="7"/>
      <c r="O25" s="7"/>
    </row>
    <row r="26" spans="1:15" s="6" customFormat="1" ht="12.75">
      <c r="A26" s="8"/>
      <c r="B26" s="464" t="s">
        <v>151</v>
      </c>
      <c r="C26" s="464"/>
      <c r="D26" s="464"/>
      <c r="E26" s="464"/>
      <c r="F26" s="465"/>
      <c r="G26" s="339" t="s">
        <v>320</v>
      </c>
      <c r="K26" s="9"/>
      <c r="M26" s="7"/>
      <c r="N26" s="7"/>
      <c r="O26" s="7"/>
    </row>
    <row r="27" spans="1:15" s="6" customFormat="1" ht="16.5" customHeight="1">
      <c r="A27" s="22"/>
      <c r="B27" s="466"/>
      <c r="C27" s="466"/>
      <c r="D27" s="466"/>
      <c r="E27" s="466"/>
      <c r="F27" s="467"/>
      <c r="G27" s="340" t="s">
        <v>330</v>
      </c>
      <c r="H27" s="34"/>
      <c r="I27" s="34"/>
      <c r="J27" s="34"/>
      <c r="K27" s="35"/>
      <c r="M27" s="7"/>
      <c r="N27" s="7"/>
      <c r="O27" s="7"/>
    </row>
    <row r="28" spans="1:15" ht="45" customHeight="1">
      <c r="A28" s="468" t="s">
        <v>18</v>
      </c>
      <c r="B28" s="462"/>
      <c r="C28" s="462"/>
      <c r="D28" s="462"/>
      <c r="E28" s="462"/>
      <c r="F28" s="462"/>
      <c r="G28" s="469"/>
      <c r="H28" s="36" t="s">
        <v>19</v>
      </c>
      <c r="I28" s="36" t="s">
        <v>20</v>
      </c>
      <c r="J28" s="37" t="s">
        <v>21</v>
      </c>
      <c r="K28" s="372" t="s">
        <v>22</v>
      </c>
    </row>
    <row r="29" spans="1:15" ht="36" customHeight="1">
      <c r="A29" s="23"/>
      <c r="B29" s="470" t="s">
        <v>164</v>
      </c>
      <c r="C29" s="470"/>
      <c r="D29" s="470"/>
      <c r="E29" s="470"/>
      <c r="F29" s="470"/>
      <c r="G29" s="471"/>
      <c r="H29" s="39"/>
      <c r="I29" s="39"/>
      <c r="J29" s="216"/>
      <c r="K29" s="373"/>
      <c r="N29" s="322"/>
      <c r="O29" s="254"/>
    </row>
    <row r="30" spans="1:15" ht="13.35" customHeight="1">
      <c r="A30" s="472" t="s">
        <v>241</v>
      </c>
      <c r="B30" s="473"/>
      <c r="C30" s="473"/>
      <c r="D30" s="473"/>
      <c r="E30" s="473"/>
      <c r="F30" s="473"/>
      <c r="G30" s="474"/>
      <c r="H30" s="216"/>
      <c r="I30" s="39"/>
      <c r="J30" s="217"/>
      <c r="K30" s="373"/>
      <c r="N30" s="322"/>
      <c r="O30" s="254"/>
    </row>
    <row r="31" spans="1:15" ht="12.75">
      <c r="A31" s="472"/>
      <c r="B31" s="473"/>
      <c r="C31" s="473"/>
      <c r="D31" s="473"/>
      <c r="E31" s="473"/>
      <c r="F31" s="473"/>
      <c r="G31" s="474"/>
      <c r="H31" s="216" t="s">
        <v>331</v>
      </c>
      <c r="I31" s="371">
        <v>1</v>
      </c>
      <c r="J31" s="217"/>
      <c r="K31" s="373">
        <v>246032.63999999993</v>
      </c>
      <c r="N31" s="322"/>
      <c r="O31" s="254"/>
    </row>
    <row r="32" spans="1:15" ht="12.75">
      <c r="A32" s="472"/>
      <c r="B32" s="473"/>
      <c r="C32" s="473"/>
      <c r="D32" s="473"/>
      <c r="E32" s="473"/>
      <c r="F32" s="473"/>
      <c r="G32" s="474"/>
      <c r="H32" s="216"/>
      <c r="I32" s="39"/>
      <c r="J32" s="217"/>
      <c r="K32" s="373"/>
      <c r="N32" s="322"/>
      <c r="O32" s="254"/>
    </row>
    <row r="33" spans="1:15" ht="12.75">
      <c r="A33" s="472"/>
      <c r="B33" s="473"/>
      <c r="C33" s="473"/>
      <c r="D33" s="473"/>
      <c r="E33" s="473"/>
      <c r="F33" s="473"/>
      <c r="G33" s="474"/>
      <c r="H33" s="216"/>
      <c r="I33" s="39"/>
      <c r="J33" s="217"/>
      <c r="K33" s="373"/>
      <c r="N33" s="322"/>
      <c r="O33" s="254"/>
    </row>
    <row r="34" spans="1:15" ht="12.75">
      <c r="A34" s="23"/>
      <c r="B34" s="287"/>
      <c r="C34" s="287"/>
      <c r="D34" s="287"/>
      <c r="E34" s="287"/>
      <c r="F34" s="287"/>
      <c r="G34" s="288"/>
      <c r="H34" s="216"/>
      <c r="I34" s="39"/>
      <c r="J34" s="217"/>
      <c r="K34" s="373"/>
      <c r="N34" s="255"/>
      <c r="O34" s="254"/>
    </row>
    <row r="35" spans="1:15" ht="18" customHeight="1">
      <c r="A35" s="23"/>
      <c r="B35" s="211" t="s">
        <v>158</v>
      </c>
      <c r="C35" s="211"/>
      <c r="D35" s="211"/>
      <c r="E35" s="211"/>
      <c r="F35" s="211"/>
      <c r="G35" s="215"/>
      <c r="H35" s="216"/>
      <c r="I35" s="216"/>
      <c r="J35" s="217"/>
      <c r="K35" s="217"/>
      <c r="M35" s="254"/>
      <c r="N35" s="370"/>
    </row>
    <row r="36" spans="1:15" ht="18" customHeight="1">
      <c r="A36" s="40"/>
      <c r="B36" s="41"/>
      <c r="C36" s="41"/>
      <c r="D36" s="41"/>
      <c r="E36" s="41"/>
      <c r="F36" s="41"/>
      <c r="G36" s="42"/>
      <c r="H36" s="43"/>
      <c r="I36" s="43"/>
      <c r="J36" s="43"/>
      <c r="K36" s="43"/>
    </row>
    <row r="37" spans="1:15" ht="14.1" customHeight="1">
      <c r="A37" s="20"/>
      <c r="B37" s="461" t="s">
        <v>25</v>
      </c>
      <c r="C37" s="461"/>
      <c r="D37" s="461"/>
      <c r="E37" s="461"/>
      <c r="F37" s="461"/>
      <c r="G37" s="461"/>
      <c r="H37" s="45"/>
      <c r="I37" s="31"/>
      <c r="J37" s="31"/>
      <c r="K37" s="374">
        <f>SUM(K30:K36)</f>
        <v>246032.63999999993</v>
      </c>
      <c r="M37" s="254"/>
    </row>
    <row r="38" spans="1:15" ht="14.1" customHeight="1">
      <c r="A38" s="40"/>
      <c r="B38" s="462"/>
      <c r="C38" s="462"/>
      <c r="D38" s="462"/>
      <c r="E38" s="462"/>
      <c r="F38" s="462"/>
      <c r="G38" s="462"/>
      <c r="H38" s="47"/>
      <c r="I38" s="47"/>
      <c r="J38" s="47"/>
      <c r="K38" s="375"/>
    </row>
    <row r="39" spans="1:15" ht="14.1" customHeight="1">
      <c r="A39" s="23"/>
      <c r="K39" s="376"/>
    </row>
    <row r="40" spans="1:15" ht="14.1" customHeight="1">
      <c r="A40" s="23"/>
      <c r="K40" s="376"/>
    </row>
    <row r="41" spans="1:15" ht="14.1" customHeight="1">
      <c r="A41" s="8"/>
      <c r="K41" s="376"/>
    </row>
    <row r="42" spans="1:15" ht="14.1" customHeight="1">
      <c r="A42" s="8"/>
      <c r="K42" s="376"/>
    </row>
    <row r="43" spans="1:15" ht="14.1" customHeight="1">
      <c r="A43" s="8"/>
      <c r="K43" s="9"/>
    </row>
    <row r="44" spans="1:15" ht="14.1" customHeight="1">
      <c r="A44" s="8"/>
      <c r="G44" s="49" t="s">
        <v>26</v>
      </c>
      <c r="H44" s="34"/>
      <c r="I44" s="34"/>
      <c r="J44" s="34"/>
      <c r="K44" s="9"/>
    </row>
    <row r="45" spans="1:15" ht="14.1" customHeight="1">
      <c r="A45" s="8"/>
      <c r="H45" s="463" t="s">
        <v>169</v>
      </c>
      <c r="I45" s="463"/>
      <c r="J45" s="463"/>
      <c r="K45" s="9"/>
    </row>
    <row r="46" spans="1:15" ht="14.1" customHeight="1" thickBot="1">
      <c r="A46" s="90"/>
      <c r="B46" s="51"/>
      <c r="C46" s="51"/>
      <c r="D46" s="51"/>
      <c r="E46" s="51"/>
      <c r="F46" s="51"/>
      <c r="G46" s="52"/>
      <c r="H46" s="53"/>
      <c r="I46" s="53"/>
      <c r="J46" s="53"/>
      <c r="K46" s="146"/>
    </row>
  </sheetData>
  <sheetProtection selectLockedCells="1" selectUnlockedCells="1"/>
  <mergeCells count="22">
    <mergeCell ref="B37:G38"/>
    <mergeCell ref="H45:J45"/>
    <mergeCell ref="H20:J20"/>
    <mergeCell ref="D23:F23"/>
    <mergeCell ref="B26:F27"/>
    <mergeCell ref="A28:G28"/>
    <mergeCell ref="B29:G29"/>
    <mergeCell ref="A30:G33"/>
    <mergeCell ref="D19:F19"/>
    <mergeCell ref="H19:K19"/>
    <mergeCell ref="B3:E3"/>
    <mergeCell ref="H3:K3"/>
    <mergeCell ref="A4:K4"/>
    <mergeCell ref="B6:F8"/>
    <mergeCell ref="G9:K9"/>
    <mergeCell ref="B10:F12"/>
    <mergeCell ref="G10:K12"/>
    <mergeCell ref="B14:F17"/>
    <mergeCell ref="H14:K14"/>
    <mergeCell ref="H15:K16"/>
    <mergeCell ref="H17:K17"/>
    <mergeCell ref="H18:K18"/>
  </mergeCells>
  <printOptions horizontalCentered="1" verticalCentered="1"/>
  <pageMargins left="0.25" right="0.25" top="0.25" bottom="0.57999999999999996" header="0.31496062992126" footer="0.31496062992126"/>
  <pageSetup paperSize="9" scale="70" fitToHeight="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O46"/>
  <sheetViews>
    <sheetView showGridLines="0" view="pageBreakPreview" zoomScale="80" zoomScaleNormal="100" zoomScaleSheetLayoutView="80" workbookViewId="0">
      <selection activeCell="B26" sqref="B26:F27"/>
    </sheetView>
  </sheetViews>
  <sheetFormatPr defaultColWidth="9.5859375" defaultRowHeight="17.25" customHeight="1"/>
  <cols>
    <col min="1" max="1" width="1.51953125" style="7" customWidth="1"/>
    <col min="2" max="2" width="27.36328125" style="7" customWidth="1"/>
    <col min="3" max="3" width="1.87109375" style="7" customWidth="1"/>
    <col min="4" max="4" width="6.3125" style="7" customWidth="1"/>
    <col min="5" max="5" width="4.32421875" style="7" customWidth="1"/>
    <col min="6" max="6" width="13.4453125" style="7" customWidth="1"/>
    <col min="7" max="7" width="17.65625" style="6" customWidth="1"/>
    <col min="8" max="8" width="9.5859375" style="6" customWidth="1"/>
    <col min="9" max="9" width="9.00390625" style="6" customWidth="1"/>
    <col min="10" max="10" width="10.875" style="6" customWidth="1"/>
    <col min="11" max="11" width="12.16015625" style="55" customWidth="1"/>
    <col min="12" max="12" width="7.71484375" style="6" customWidth="1"/>
    <col min="13" max="13" width="10.875" style="7" bestFit="1" customWidth="1"/>
    <col min="14" max="14" width="11.69140625" style="7" bestFit="1" customWidth="1"/>
    <col min="15" max="15" width="10.875" style="7" bestFit="1" customWidth="1"/>
    <col min="16" max="16384" width="9.5859375" style="7"/>
  </cols>
  <sheetData>
    <row r="1" spans="1:14" ht="22.35" customHeight="1">
      <c r="A1" s="1"/>
      <c r="B1" s="2"/>
      <c r="C1" s="2"/>
      <c r="D1" s="2"/>
      <c r="E1" s="2"/>
      <c r="F1" s="2"/>
      <c r="G1" s="3"/>
      <c r="H1" s="3"/>
      <c r="I1" s="3"/>
      <c r="J1" s="4"/>
      <c r="K1" s="5"/>
    </row>
    <row r="2" spans="1:14" ht="22.35" customHeight="1">
      <c r="A2" s="8"/>
      <c r="J2" s="143"/>
      <c r="K2" s="9"/>
    </row>
    <row r="3" spans="1:14" ht="37.5" customHeight="1">
      <c r="A3" s="10"/>
      <c r="B3" s="422" t="s">
        <v>114</v>
      </c>
      <c r="C3" s="423"/>
      <c r="D3" s="423"/>
      <c r="E3" s="423"/>
      <c r="F3" s="144"/>
      <c r="G3" s="145"/>
      <c r="H3" s="422"/>
      <c r="I3" s="423"/>
      <c r="J3" s="423"/>
      <c r="K3" s="424"/>
    </row>
    <row r="4" spans="1:14" s="13" customFormat="1" ht="24.75" customHeight="1">
      <c r="A4" s="425" t="s">
        <v>1</v>
      </c>
      <c r="B4" s="426"/>
      <c r="C4" s="426"/>
      <c r="D4" s="426"/>
      <c r="E4" s="426"/>
      <c r="F4" s="426"/>
      <c r="G4" s="426"/>
      <c r="H4" s="426"/>
      <c r="I4" s="426"/>
      <c r="J4" s="426"/>
      <c r="K4" s="427"/>
      <c r="L4" s="11"/>
      <c r="M4" s="12"/>
      <c r="N4" s="12"/>
    </row>
    <row r="5" spans="1:14" s="13" customFormat="1" ht="16.350000000000001" customHeight="1">
      <c r="A5" s="192" t="s">
        <v>2</v>
      </c>
      <c r="B5" s="193"/>
      <c r="C5" s="193"/>
      <c r="D5" s="193"/>
      <c r="E5" s="194"/>
      <c r="F5" s="195"/>
      <c r="G5" s="196" t="s">
        <v>141</v>
      </c>
      <c r="H5" s="300" t="s">
        <v>179</v>
      </c>
      <c r="I5" s="300"/>
      <c r="J5" s="300"/>
      <c r="K5" s="197"/>
      <c r="L5" s="15"/>
      <c r="M5" s="16"/>
      <c r="N5" s="12"/>
    </row>
    <row r="6" spans="1:14" s="13" customFormat="1" ht="14.85" customHeight="1">
      <c r="A6" s="198"/>
      <c r="B6" s="428" t="s">
        <v>150</v>
      </c>
      <c r="C6" s="429"/>
      <c r="D6" s="429"/>
      <c r="E6" s="429"/>
      <c r="F6" s="430"/>
      <c r="G6" s="199" t="s">
        <v>3</v>
      </c>
      <c r="H6" s="253">
        <v>46171</v>
      </c>
      <c r="I6" s="301"/>
      <c r="J6" s="302"/>
      <c r="K6" s="200"/>
      <c r="L6" s="15"/>
      <c r="M6" s="12"/>
      <c r="N6" s="12"/>
    </row>
    <row r="7" spans="1:14" ht="15.6" customHeight="1">
      <c r="A7" s="201"/>
      <c r="B7" s="429"/>
      <c r="C7" s="429"/>
      <c r="D7" s="429"/>
      <c r="E7" s="429"/>
      <c r="F7" s="430"/>
      <c r="G7" s="202" t="s">
        <v>4</v>
      </c>
      <c r="H7" s="203" t="s">
        <v>115</v>
      </c>
      <c r="I7" s="203"/>
      <c r="J7" s="203"/>
      <c r="K7" s="204"/>
    </row>
    <row r="8" spans="1:14" ht="16.5" customHeight="1">
      <c r="A8" s="201"/>
      <c r="B8" s="431"/>
      <c r="C8" s="431"/>
      <c r="D8" s="431"/>
      <c r="E8" s="431"/>
      <c r="F8" s="432"/>
      <c r="G8" s="199" t="s">
        <v>3</v>
      </c>
      <c r="H8" s="253">
        <v>45814</v>
      </c>
      <c r="I8" s="205"/>
      <c r="J8" s="205"/>
      <c r="K8" s="200"/>
    </row>
    <row r="9" spans="1:14" ht="22.35" customHeight="1" thickBot="1">
      <c r="A9" s="206" t="s">
        <v>6</v>
      </c>
      <c r="B9" s="203"/>
      <c r="C9" s="203"/>
      <c r="D9" s="203"/>
      <c r="E9" s="203"/>
      <c r="F9" s="207"/>
      <c r="G9" s="433" t="s">
        <v>7</v>
      </c>
      <c r="H9" s="434"/>
      <c r="I9" s="434"/>
      <c r="J9" s="434"/>
      <c r="K9" s="435"/>
    </row>
    <row r="10" spans="1:14" ht="14.1" customHeight="1">
      <c r="A10" s="201"/>
      <c r="B10" s="436" t="s">
        <v>161</v>
      </c>
      <c r="C10" s="437"/>
      <c r="D10" s="437"/>
      <c r="E10" s="437"/>
      <c r="F10" s="438"/>
      <c r="G10" s="441" t="s">
        <v>127</v>
      </c>
      <c r="H10" s="442"/>
      <c r="I10" s="442"/>
      <c r="J10" s="442"/>
      <c r="K10" s="443"/>
    </row>
    <row r="11" spans="1:14" ht="14.1" customHeight="1">
      <c r="A11" s="201"/>
      <c r="B11" s="437"/>
      <c r="C11" s="437"/>
      <c r="D11" s="437"/>
      <c r="E11" s="437"/>
      <c r="F11" s="438"/>
      <c r="G11" s="444"/>
      <c r="H11" s="445"/>
      <c r="I11" s="445"/>
      <c r="J11" s="445"/>
      <c r="K11" s="446"/>
    </row>
    <row r="12" spans="1:14" ht="28.35" customHeight="1" thickBot="1">
      <c r="A12" s="208"/>
      <c r="B12" s="439"/>
      <c r="C12" s="439"/>
      <c r="D12" s="439"/>
      <c r="E12" s="439"/>
      <c r="F12" s="440"/>
      <c r="G12" s="447"/>
      <c r="H12" s="448"/>
      <c r="I12" s="448"/>
      <c r="J12" s="448"/>
      <c r="K12" s="449"/>
    </row>
    <row r="13" spans="1:14" ht="14.1" customHeight="1">
      <c r="A13" s="209" t="s">
        <v>9</v>
      </c>
      <c r="B13" s="210"/>
      <c r="C13" s="211"/>
      <c r="D13" s="211"/>
      <c r="E13" s="211"/>
      <c r="F13" s="211"/>
      <c r="G13" s="212"/>
      <c r="H13" s="211"/>
      <c r="I13" s="211"/>
      <c r="J13" s="213"/>
      <c r="K13" s="214"/>
    </row>
    <row r="14" spans="1:14" ht="14.1" customHeight="1">
      <c r="A14" s="201"/>
      <c r="B14" s="450" t="s">
        <v>157</v>
      </c>
      <c r="C14" s="451"/>
      <c r="D14" s="451"/>
      <c r="E14" s="451"/>
      <c r="F14" s="452"/>
      <c r="G14" s="212"/>
      <c r="H14" s="455"/>
      <c r="I14" s="455"/>
      <c r="J14" s="455"/>
      <c r="K14" s="456"/>
    </row>
    <row r="15" spans="1:14" ht="14.1" customHeight="1">
      <c r="A15" s="201"/>
      <c r="B15" s="451"/>
      <c r="C15" s="451"/>
      <c r="D15" s="451"/>
      <c r="E15" s="451"/>
      <c r="F15" s="452"/>
      <c r="G15" s="303" t="s">
        <v>142</v>
      </c>
      <c r="H15" s="457" t="s">
        <v>179</v>
      </c>
      <c r="I15" s="457"/>
      <c r="J15" s="457"/>
      <c r="K15" s="458"/>
      <c r="N15" s="25"/>
    </row>
    <row r="16" spans="1:14" ht="12.75">
      <c r="A16" s="201"/>
      <c r="B16" s="451"/>
      <c r="C16" s="451"/>
      <c r="D16" s="451"/>
      <c r="E16" s="451"/>
      <c r="F16" s="452"/>
      <c r="G16" s="212"/>
      <c r="H16" s="457"/>
      <c r="I16" s="457"/>
      <c r="J16" s="457"/>
      <c r="K16" s="458"/>
    </row>
    <row r="17" spans="1:15" ht="94.5" customHeight="1">
      <c r="A17" s="201"/>
      <c r="B17" s="453"/>
      <c r="C17" s="453"/>
      <c r="D17" s="453"/>
      <c r="E17" s="453"/>
      <c r="F17" s="454"/>
      <c r="G17" s="212" t="s">
        <v>143</v>
      </c>
      <c r="H17" s="459" t="s">
        <v>324</v>
      </c>
      <c r="I17" s="459"/>
      <c r="J17" s="459"/>
      <c r="K17" s="460"/>
    </row>
    <row r="18" spans="1:15" ht="18.600000000000001" customHeight="1">
      <c r="A18" s="20" t="s">
        <v>152</v>
      </c>
      <c r="B18" s="26"/>
      <c r="C18" s="18" t="s">
        <v>12</v>
      </c>
      <c r="D18" s="19"/>
      <c r="E18" s="19"/>
      <c r="F18" s="21"/>
      <c r="G18" s="24"/>
      <c r="H18" s="420"/>
      <c r="I18" s="420"/>
      <c r="J18" s="420"/>
      <c r="K18" s="421"/>
    </row>
    <row r="19" spans="1:15" s="6" customFormat="1" ht="11.85" customHeight="1">
      <c r="A19" s="22"/>
      <c r="B19" s="272" t="s">
        <v>323</v>
      </c>
      <c r="C19" s="27"/>
      <c r="D19" s="478">
        <v>46223</v>
      </c>
      <c r="E19" s="478"/>
      <c r="F19" s="479"/>
      <c r="G19" s="24" t="s">
        <v>110</v>
      </c>
      <c r="H19" s="420" t="s">
        <v>111</v>
      </c>
      <c r="I19" s="420"/>
      <c r="J19" s="420"/>
      <c r="K19" s="421"/>
      <c r="M19" s="7"/>
      <c r="N19" s="7"/>
      <c r="O19" s="7"/>
    </row>
    <row r="20" spans="1:15" s="6" customFormat="1" ht="18.600000000000001" customHeight="1">
      <c r="A20" s="20" t="s">
        <v>13</v>
      </c>
      <c r="B20" s="19"/>
      <c r="C20" s="18" t="s">
        <v>14</v>
      </c>
      <c r="D20" s="203"/>
      <c r="E20" s="203"/>
      <c r="F20" s="207"/>
      <c r="G20" s="212" t="s">
        <v>155</v>
      </c>
      <c r="H20" s="459" t="s">
        <v>206</v>
      </c>
      <c r="I20" s="459"/>
      <c r="J20" s="459"/>
      <c r="K20" s="258"/>
      <c r="M20" s="7"/>
      <c r="N20" s="7"/>
      <c r="O20" s="7"/>
    </row>
    <row r="21" spans="1:15" s="6" customFormat="1" ht="13.35" customHeight="1">
      <c r="A21" s="8"/>
      <c r="B21" s="211" t="s">
        <v>174</v>
      </c>
      <c r="C21" s="28"/>
      <c r="D21" s="275" t="s">
        <v>175</v>
      </c>
      <c r="E21" s="276"/>
      <c r="F21" s="277"/>
      <c r="H21" s="143"/>
      <c r="K21" s="9"/>
      <c r="M21" s="7"/>
      <c r="N21" s="7"/>
      <c r="O21" s="7"/>
    </row>
    <row r="22" spans="1:15" s="6" customFormat="1" ht="18.600000000000001" customHeight="1">
      <c r="A22" s="20" t="s">
        <v>153</v>
      </c>
      <c r="B22" s="26"/>
      <c r="C22" s="18" t="s">
        <v>154</v>
      </c>
      <c r="D22" s="203"/>
      <c r="E22" s="203"/>
      <c r="F22" s="207"/>
      <c r="G22" s="24"/>
      <c r="H22" s="143"/>
      <c r="K22" s="9"/>
      <c r="M22" s="7"/>
      <c r="N22" s="7"/>
      <c r="O22" s="7"/>
    </row>
    <row r="23" spans="1:15" s="6" customFormat="1" ht="14.1" customHeight="1">
      <c r="A23" s="22"/>
      <c r="B23" s="272" t="s">
        <v>326</v>
      </c>
      <c r="C23" s="273"/>
      <c r="D23" s="478">
        <v>46222</v>
      </c>
      <c r="E23" s="478"/>
      <c r="F23" s="479"/>
      <c r="G23" s="24"/>
      <c r="K23" s="9"/>
      <c r="M23" s="7"/>
      <c r="N23" s="7"/>
      <c r="O23" s="7"/>
    </row>
    <row r="24" spans="1:15" s="6" customFormat="1" ht="19.350000000000001" customHeight="1">
      <c r="A24" s="20" t="s">
        <v>17</v>
      </c>
      <c r="B24" s="19"/>
      <c r="C24" s="19"/>
      <c r="D24" s="19"/>
      <c r="E24" s="19"/>
      <c r="F24" s="19"/>
      <c r="G24" s="29" t="s">
        <v>318</v>
      </c>
      <c r="H24" s="30"/>
      <c r="I24" s="31"/>
      <c r="J24" s="30"/>
      <c r="K24" s="32"/>
      <c r="M24" s="7"/>
      <c r="N24" s="7"/>
      <c r="O24" s="7"/>
    </row>
    <row r="25" spans="1:15" s="6" customFormat="1" ht="12.75">
      <c r="A25" s="8"/>
      <c r="B25" s="17" t="s">
        <v>8</v>
      </c>
      <c r="C25" s="7"/>
      <c r="D25" s="7"/>
      <c r="E25" s="7"/>
      <c r="F25" s="7"/>
      <c r="G25" s="339" t="s">
        <v>319</v>
      </c>
      <c r="K25" s="9"/>
      <c r="M25" s="7"/>
      <c r="N25" s="7"/>
      <c r="O25" s="7"/>
    </row>
    <row r="26" spans="1:15" s="6" customFormat="1" ht="12.75">
      <c r="A26" s="8"/>
      <c r="B26" s="464" t="s">
        <v>151</v>
      </c>
      <c r="C26" s="464"/>
      <c r="D26" s="464"/>
      <c r="E26" s="464"/>
      <c r="F26" s="465"/>
      <c r="G26" s="339" t="s">
        <v>320</v>
      </c>
      <c r="K26" s="9"/>
      <c r="M26" s="7"/>
      <c r="N26" s="7"/>
      <c r="O26" s="7"/>
    </row>
    <row r="27" spans="1:15" s="6" customFormat="1" ht="12.75">
      <c r="A27" s="22"/>
      <c r="B27" s="466"/>
      <c r="C27" s="466"/>
      <c r="D27" s="466"/>
      <c r="E27" s="466"/>
      <c r="F27" s="467"/>
      <c r="G27" s="340" t="s">
        <v>321</v>
      </c>
      <c r="H27" s="34"/>
      <c r="I27" s="34"/>
      <c r="J27" s="34"/>
      <c r="K27" s="35"/>
      <c r="M27" s="7"/>
      <c r="N27" s="7"/>
      <c r="O27" s="7"/>
    </row>
    <row r="28" spans="1:15" ht="45" customHeight="1">
      <c r="A28" s="468" t="s">
        <v>18</v>
      </c>
      <c r="B28" s="462"/>
      <c r="C28" s="462"/>
      <c r="D28" s="462"/>
      <c r="E28" s="462"/>
      <c r="F28" s="462"/>
      <c r="G28" s="469"/>
      <c r="H28" s="36" t="s">
        <v>19</v>
      </c>
      <c r="I28" s="36" t="s">
        <v>20</v>
      </c>
      <c r="J28" s="37" t="s">
        <v>21</v>
      </c>
      <c r="K28" s="38" t="s">
        <v>22</v>
      </c>
    </row>
    <row r="29" spans="1:15" ht="36" customHeight="1">
      <c r="A29" s="23"/>
      <c r="B29" s="470" t="s">
        <v>164</v>
      </c>
      <c r="C29" s="470"/>
      <c r="D29" s="470"/>
      <c r="E29" s="470"/>
      <c r="F29" s="470"/>
      <c r="G29" s="471"/>
      <c r="H29" s="39"/>
      <c r="I29" s="39"/>
      <c r="J29" s="216"/>
      <c r="K29" s="312"/>
      <c r="N29" s="322"/>
      <c r="O29" s="254"/>
    </row>
    <row r="30" spans="1:15" ht="13.35" customHeight="1">
      <c r="A30" s="480" t="s">
        <v>241</v>
      </c>
      <c r="B30" s="481"/>
      <c r="C30" s="481"/>
      <c r="D30" s="481"/>
      <c r="E30" s="481"/>
      <c r="F30" s="481"/>
      <c r="G30" s="482"/>
      <c r="H30" s="216"/>
      <c r="I30" s="39"/>
      <c r="J30" s="217"/>
      <c r="K30" s="313"/>
      <c r="N30" s="322"/>
      <c r="O30" s="254"/>
    </row>
    <row r="31" spans="1:15" ht="12.75">
      <c r="A31" s="480"/>
      <c r="B31" s="481"/>
      <c r="C31" s="481"/>
      <c r="D31" s="481"/>
      <c r="E31" s="481"/>
      <c r="F31" s="481"/>
      <c r="G31" s="482"/>
      <c r="H31" s="216" t="s">
        <v>177</v>
      </c>
      <c r="I31" s="39">
        <v>24</v>
      </c>
      <c r="J31" s="217">
        <f>ROUND(K31/I31,2)</f>
        <v>10251.36</v>
      </c>
      <c r="K31" s="313">
        <f>'Break Down CI'!K58</f>
        <v>246032.63999999993</v>
      </c>
      <c r="N31" s="322"/>
      <c r="O31" s="254"/>
    </row>
    <row r="32" spans="1:15" ht="12.75">
      <c r="A32" s="480"/>
      <c r="B32" s="481"/>
      <c r="C32" s="481"/>
      <c r="D32" s="481"/>
      <c r="E32" s="481"/>
      <c r="F32" s="481"/>
      <c r="G32" s="482"/>
      <c r="H32" s="216"/>
      <c r="I32" s="39"/>
      <c r="J32" s="217"/>
      <c r="K32" s="313"/>
      <c r="N32" s="322"/>
      <c r="O32" s="254"/>
    </row>
    <row r="33" spans="1:15" ht="12.75">
      <c r="A33" s="480"/>
      <c r="B33" s="481"/>
      <c r="C33" s="481"/>
      <c r="D33" s="481"/>
      <c r="E33" s="481"/>
      <c r="F33" s="481"/>
      <c r="G33" s="482"/>
      <c r="H33" s="216"/>
      <c r="I33" s="39"/>
      <c r="J33" s="217"/>
      <c r="K33" s="313"/>
      <c r="N33" s="322"/>
      <c r="O33" s="254"/>
    </row>
    <row r="34" spans="1:15" ht="12.75">
      <c r="A34" s="23"/>
      <c r="B34" s="287"/>
      <c r="C34" s="287"/>
      <c r="D34" s="287"/>
      <c r="E34" s="287"/>
      <c r="F34" s="287"/>
      <c r="G34" s="288"/>
      <c r="H34" s="216"/>
      <c r="I34" s="39"/>
      <c r="J34" s="217"/>
      <c r="K34" s="313"/>
      <c r="N34" s="255"/>
      <c r="O34" s="254"/>
    </row>
    <row r="35" spans="1:15" ht="18" customHeight="1">
      <c r="A35" s="23"/>
      <c r="B35" s="211" t="s">
        <v>158</v>
      </c>
      <c r="C35" s="211"/>
      <c r="D35" s="211"/>
      <c r="E35" s="211"/>
      <c r="F35" s="211"/>
      <c r="G35" s="215"/>
      <c r="H35" s="216"/>
      <c r="I35" s="216"/>
      <c r="J35" s="217"/>
      <c r="K35" s="217"/>
      <c r="M35" s="256"/>
      <c r="N35" s="323"/>
    </row>
    <row r="36" spans="1:15" ht="18" customHeight="1">
      <c r="A36" s="40"/>
      <c r="B36" s="41"/>
      <c r="C36" s="41"/>
      <c r="D36" s="41"/>
      <c r="E36" s="41"/>
      <c r="F36" s="41"/>
      <c r="G36" s="42"/>
      <c r="H36" s="43"/>
      <c r="I36" s="43"/>
      <c r="J36" s="43"/>
      <c r="K36" s="44"/>
      <c r="M36" s="257"/>
    </row>
    <row r="37" spans="1:15" ht="14.1" customHeight="1">
      <c r="A37" s="20"/>
      <c r="B37" s="461" t="s">
        <v>25</v>
      </c>
      <c r="C37" s="461"/>
      <c r="D37" s="461"/>
      <c r="E37" s="461"/>
      <c r="F37" s="461"/>
      <c r="G37" s="461"/>
      <c r="H37" s="45"/>
      <c r="I37" s="31"/>
      <c r="J37" s="31"/>
      <c r="K37" s="46">
        <f>SUM(K30:K36)</f>
        <v>246032.63999999993</v>
      </c>
      <c r="M37" s="256"/>
    </row>
    <row r="38" spans="1:15" ht="14.1" customHeight="1">
      <c r="A38" s="40"/>
      <c r="B38" s="462"/>
      <c r="C38" s="462"/>
      <c r="D38" s="462"/>
      <c r="E38" s="462"/>
      <c r="F38" s="462"/>
      <c r="G38" s="462"/>
      <c r="H38" s="47"/>
      <c r="I38" s="47"/>
      <c r="J38" s="47"/>
      <c r="K38" s="48"/>
    </row>
    <row r="39" spans="1:15" ht="14.1" customHeight="1">
      <c r="A39" s="23"/>
      <c r="K39" s="9"/>
    </row>
    <row r="40" spans="1:15" ht="14.1" customHeight="1">
      <c r="A40" s="23"/>
      <c r="K40" s="9"/>
    </row>
    <row r="41" spans="1:15" ht="14.1" customHeight="1">
      <c r="A41" s="8"/>
      <c r="K41" s="9"/>
    </row>
    <row r="42" spans="1:15" ht="14.1" customHeight="1">
      <c r="A42" s="8"/>
      <c r="K42" s="9"/>
    </row>
    <row r="43" spans="1:15" ht="14.1" customHeight="1">
      <c r="A43" s="8"/>
      <c r="K43" s="9"/>
    </row>
    <row r="44" spans="1:15" ht="14.1" customHeight="1">
      <c r="A44" s="8"/>
      <c r="G44" s="49" t="s">
        <v>26</v>
      </c>
      <c r="H44" s="34"/>
      <c r="I44" s="34"/>
      <c r="J44" s="34"/>
      <c r="K44" s="9"/>
    </row>
    <row r="45" spans="1:15" ht="14.1" customHeight="1">
      <c r="A45" s="8"/>
      <c r="H45" s="463" t="s">
        <v>169</v>
      </c>
      <c r="I45" s="463"/>
      <c r="J45" s="463"/>
      <c r="K45" s="9"/>
    </row>
    <row r="46" spans="1:15" ht="14.1" customHeight="1" thickBot="1">
      <c r="A46" s="90"/>
      <c r="B46" s="51"/>
      <c r="C46" s="51"/>
      <c r="D46" s="51"/>
      <c r="E46" s="51"/>
      <c r="F46" s="51"/>
      <c r="G46" s="52"/>
      <c r="H46" s="53"/>
      <c r="I46" s="53"/>
      <c r="J46" s="53"/>
      <c r="K46" s="146"/>
    </row>
  </sheetData>
  <sheetProtection selectLockedCells="1" selectUnlockedCells="1"/>
  <mergeCells count="22">
    <mergeCell ref="H45:J45"/>
    <mergeCell ref="H18:K18"/>
    <mergeCell ref="D19:F19"/>
    <mergeCell ref="H19:K19"/>
    <mergeCell ref="B37:G38"/>
    <mergeCell ref="D23:F23"/>
    <mergeCell ref="A28:G28"/>
    <mergeCell ref="B29:G29"/>
    <mergeCell ref="H20:J20"/>
    <mergeCell ref="A30:G33"/>
    <mergeCell ref="B26:F27"/>
    <mergeCell ref="G10:K12"/>
    <mergeCell ref="H14:K14"/>
    <mergeCell ref="H15:K16"/>
    <mergeCell ref="H17:K17"/>
    <mergeCell ref="B10:F12"/>
    <mergeCell ref="B14:F17"/>
    <mergeCell ref="B3:E3"/>
    <mergeCell ref="H3:K3"/>
    <mergeCell ref="A4:K4"/>
    <mergeCell ref="G9:K9"/>
    <mergeCell ref="B6:F8"/>
  </mergeCells>
  <phoneticPr fontId="33" type="noConversion"/>
  <printOptions horizontalCentered="1" verticalCentered="1"/>
  <pageMargins left="0.49" right="0.53" top="0.41" bottom="0.57999999999999996" header="0.31496062992125984" footer="0.31496062992125984"/>
  <pageSetup paperSize="9" scale="70" fitToHeight="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4:AA85"/>
  <sheetViews>
    <sheetView showGridLines="0" view="pageBreakPreview" zoomScale="72" zoomScaleNormal="100" zoomScaleSheetLayoutView="72" workbookViewId="0">
      <selection activeCell="B26" sqref="B26:F27"/>
    </sheetView>
  </sheetViews>
  <sheetFormatPr defaultColWidth="8.76953125" defaultRowHeight="14.25"/>
  <cols>
    <col min="1" max="1" width="6.546875" style="56" customWidth="1"/>
    <col min="2" max="2" width="21.046875" style="56" customWidth="1"/>
    <col min="3" max="4" width="20.34765625" style="56" customWidth="1"/>
    <col min="5" max="5" width="11.34375" style="56" customWidth="1"/>
    <col min="6" max="6" width="9.703125" style="56" customWidth="1"/>
    <col min="7" max="7" width="8.65234375" style="61" customWidth="1"/>
    <col min="8" max="8" width="5.37890625" style="61" customWidth="1"/>
    <col min="9" max="9" width="9.8203125" style="61" bestFit="1" customWidth="1"/>
    <col min="10" max="10" width="10.9921875" style="56" customWidth="1"/>
    <col min="11" max="12" width="12.86328125" style="56" customWidth="1"/>
    <col min="13" max="13" width="36.13671875" style="56" bestFit="1" customWidth="1"/>
    <col min="14" max="14" width="12.51171875" style="56" bestFit="1" customWidth="1"/>
    <col min="15" max="15" width="9.703125" style="56" hidden="1" customWidth="1"/>
    <col min="16" max="17" width="9.5859375" style="56" hidden="1" customWidth="1"/>
    <col min="18" max="23" width="0" style="56" hidden="1" customWidth="1"/>
    <col min="24" max="24" width="10.40625" style="56" bestFit="1" customWidth="1"/>
    <col min="25" max="16384" width="8.76953125" style="56"/>
  </cols>
  <sheetData>
    <row r="4" spans="1:26">
      <c r="V4" s="56">
        <v>1</v>
      </c>
      <c r="W4" s="56">
        <v>15750</v>
      </c>
    </row>
    <row r="5" spans="1:26">
      <c r="A5" s="476" t="s">
        <v>159</v>
      </c>
      <c r="B5" s="476"/>
      <c r="C5" s="57" t="str">
        <f>'Commercial Invoice'!H5</f>
        <v>OM4-DE-IS-0005</v>
      </c>
      <c r="D5" s="57"/>
      <c r="E5" s="58"/>
      <c r="F5" s="57" t="s">
        <v>128</v>
      </c>
      <c r="G5" s="477"/>
      <c r="H5" s="477"/>
      <c r="I5" s="477"/>
      <c r="J5" s="59"/>
      <c r="K5" s="147"/>
      <c r="L5" s="147"/>
      <c r="M5" s="147" t="str">
        <f>'Commercial Invoice'!G6</f>
        <v>DATE:</v>
      </c>
      <c r="N5" s="147">
        <f>'Commercial Invoice'!H6</f>
        <v>46171</v>
      </c>
      <c r="V5" s="56">
        <v>2</v>
      </c>
      <c r="W5" s="56">
        <v>9817.5</v>
      </c>
    </row>
    <row r="6" spans="1:26">
      <c r="B6" s="60"/>
      <c r="C6" s="60"/>
      <c r="D6" s="60"/>
      <c r="V6" s="56">
        <v>3</v>
      </c>
      <c r="W6" s="56">
        <v>14280</v>
      </c>
    </row>
    <row r="7" spans="1:26" ht="47.25" customHeight="1">
      <c r="A7" s="259" t="s">
        <v>27</v>
      </c>
      <c r="B7" s="260" t="s">
        <v>28</v>
      </c>
      <c r="C7" s="485" t="s">
        <v>18</v>
      </c>
      <c r="D7" s="486"/>
      <c r="E7" s="261" t="s">
        <v>29</v>
      </c>
      <c r="F7" s="261" t="s">
        <v>30</v>
      </c>
      <c r="G7" s="62" t="s">
        <v>20</v>
      </c>
      <c r="H7" s="62" t="s">
        <v>19</v>
      </c>
      <c r="I7" s="261" t="s">
        <v>160</v>
      </c>
      <c r="J7" s="261" t="s">
        <v>21</v>
      </c>
      <c r="K7" s="261" t="s">
        <v>22</v>
      </c>
      <c r="L7" s="261" t="s">
        <v>271</v>
      </c>
      <c r="M7" s="261" t="s">
        <v>273</v>
      </c>
      <c r="N7" s="261" t="s">
        <v>207</v>
      </c>
      <c r="V7" s="56">
        <v>4</v>
      </c>
      <c r="W7" s="56">
        <v>12495.000000000002</v>
      </c>
    </row>
    <row r="8" spans="1:26" ht="17.25">
      <c r="A8" s="259">
        <v>1</v>
      </c>
      <c r="B8" s="260" t="s">
        <v>245</v>
      </c>
      <c r="C8" s="328" t="s">
        <v>208</v>
      </c>
      <c r="D8" s="331"/>
      <c r="E8" s="261" t="s">
        <v>218</v>
      </c>
      <c r="F8" s="261" t="s">
        <v>238</v>
      </c>
      <c r="G8" s="62">
        <v>4</v>
      </c>
      <c r="H8" s="62" t="s">
        <v>312</v>
      </c>
      <c r="I8" s="329">
        <v>300</v>
      </c>
      <c r="J8" s="338">
        <f>ROUND(K8/G8,2)</f>
        <v>2423.5</v>
      </c>
      <c r="K8" s="329">
        <v>9693.98</v>
      </c>
      <c r="L8" s="261" t="s">
        <v>272</v>
      </c>
      <c r="M8" s="261"/>
      <c r="N8" s="261" t="s">
        <v>316</v>
      </c>
    </row>
    <row r="9" spans="1:26" ht="17.25">
      <c r="A9" s="259">
        <v>2</v>
      </c>
      <c r="B9" s="260" t="s">
        <v>246</v>
      </c>
      <c r="C9" s="294" t="s">
        <v>208</v>
      </c>
      <c r="D9" s="75"/>
      <c r="E9" s="261" t="s">
        <v>218</v>
      </c>
      <c r="F9" s="261" t="s">
        <v>238</v>
      </c>
      <c r="G9" s="62">
        <v>1</v>
      </c>
      <c r="H9" s="62" t="s">
        <v>313</v>
      </c>
      <c r="I9" s="329">
        <v>55.555555555555557</v>
      </c>
      <c r="J9" s="338">
        <f t="shared" ref="J9:J57" si="0">ROUND(K9/G9,2)</f>
        <v>4350.9399999999996</v>
      </c>
      <c r="K9" s="329">
        <v>4350.9399999999996</v>
      </c>
      <c r="L9" s="261" t="s">
        <v>275</v>
      </c>
      <c r="M9" s="261"/>
      <c r="N9" s="261" t="s">
        <v>316</v>
      </c>
    </row>
    <row r="10" spans="1:26" ht="17.25">
      <c r="A10" s="259">
        <v>3</v>
      </c>
      <c r="B10" s="260" t="s">
        <v>246</v>
      </c>
      <c r="C10" s="294" t="s">
        <v>208</v>
      </c>
      <c r="D10" s="75"/>
      <c r="E10" s="261" t="s">
        <v>218</v>
      </c>
      <c r="F10" s="261" t="s">
        <v>238</v>
      </c>
      <c r="G10" s="62">
        <v>1</v>
      </c>
      <c r="H10" s="62" t="s">
        <v>313</v>
      </c>
      <c r="I10" s="329">
        <v>55.555555555555557</v>
      </c>
      <c r="J10" s="338">
        <f t="shared" si="0"/>
        <v>4350.9399999999996</v>
      </c>
      <c r="K10" s="329">
        <v>4350.9399999999996</v>
      </c>
      <c r="L10" s="261" t="s">
        <v>276</v>
      </c>
      <c r="M10" s="261"/>
      <c r="N10" s="261" t="s">
        <v>316</v>
      </c>
    </row>
    <row r="11" spans="1:26" ht="17.25">
      <c r="A11" s="259">
        <v>4</v>
      </c>
      <c r="B11" s="260" t="s">
        <v>246</v>
      </c>
      <c r="C11" s="294" t="s">
        <v>208</v>
      </c>
      <c r="D11" s="75"/>
      <c r="E11" s="261" t="s">
        <v>218</v>
      </c>
      <c r="F11" s="261" t="s">
        <v>238</v>
      </c>
      <c r="G11" s="62">
        <v>1</v>
      </c>
      <c r="H11" s="62" t="s">
        <v>313</v>
      </c>
      <c r="I11" s="329">
        <v>55.555555555555557</v>
      </c>
      <c r="J11" s="338">
        <f t="shared" si="0"/>
        <v>4350.9399999999996</v>
      </c>
      <c r="K11" s="329">
        <v>4350.9399999999996</v>
      </c>
      <c r="L11" s="261" t="s">
        <v>277</v>
      </c>
      <c r="M11" s="261"/>
      <c r="N11" s="261" t="s">
        <v>316</v>
      </c>
    </row>
    <row r="12" spans="1:26" ht="17.25">
      <c r="A12" s="259">
        <v>5</v>
      </c>
      <c r="B12" s="260" t="s">
        <v>246</v>
      </c>
      <c r="C12" s="294" t="s">
        <v>208</v>
      </c>
      <c r="D12" s="75"/>
      <c r="E12" s="261" t="s">
        <v>218</v>
      </c>
      <c r="F12" s="261" t="s">
        <v>238</v>
      </c>
      <c r="G12" s="62">
        <v>1</v>
      </c>
      <c r="H12" s="62" t="s">
        <v>313</v>
      </c>
      <c r="I12" s="329">
        <v>55.555555555555557</v>
      </c>
      <c r="J12" s="338">
        <f t="shared" si="0"/>
        <v>4350.9399999999996</v>
      </c>
      <c r="K12" s="329">
        <v>4350.9399999999996</v>
      </c>
      <c r="L12" s="261" t="s">
        <v>278</v>
      </c>
      <c r="M12" s="261"/>
      <c r="N12" s="261" t="s">
        <v>316</v>
      </c>
    </row>
    <row r="13" spans="1:26" ht="17.25">
      <c r="A13" s="259">
        <v>6</v>
      </c>
      <c r="B13" s="260" t="s">
        <v>246</v>
      </c>
      <c r="C13" s="294" t="s">
        <v>208</v>
      </c>
      <c r="D13" s="75"/>
      <c r="E13" s="261" t="s">
        <v>218</v>
      </c>
      <c r="F13" s="261" t="s">
        <v>238</v>
      </c>
      <c r="G13" s="62">
        <v>2</v>
      </c>
      <c r="H13" s="62" t="s">
        <v>312</v>
      </c>
      <c r="I13" s="329">
        <v>111.11111111111111</v>
      </c>
      <c r="J13" s="338">
        <f t="shared" si="0"/>
        <v>2782.64</v>
      </c>
      <c r="K13" s="329">
        <v>5565.27</v>
      </c>
      <c r="L13" s="261" t="s">
        <v>279</v>
      </c>
      <c r="M13" s="261"/>
      <c r="N13" s="261" t="s">
        <v>316</v>
      </c>
    </row>
    <row r="14" spans="1:26" ht="17.25">
      <c r="A14" s="259">
        <v>7</v>
      </c>
      <c r="B14" s="260" t="s">
        <v>246</v>
      </c>
      <c r="C14" s="294" t="s">
        <v>287</v>
      </c>
      <c r="D14" s="75"/>
      <c r="E14" s="261" t="s">
        <v>218</v>
      </c>
      <c r="F14" s="261" t="s">
        <v>238</v>
      </c>
      <c r="G14" s="62">
        <v>2</v>
      </c>
      <c r="H14" s="62" t="s">
        <v>312</v>
      </c>
      <c r="I14" s="329">
        <v>111.11111111111111</v>
      </c>
      <c r="J14" s="338">
        <f t="shared" si="0"/>
        <v>2782.64</v>
      </c>
      <c r="K14" s="329">
        <v>5565.27</v>
      </c>
      <c r="L14" s="261" t="s">
        <v>280</v>
      </c>
      <c r="M14" s="261"/>
      <c r="N14" s="261" t="s">
        <v>316</v>
      </c>
    </row>
    <row r="15" spans="1:26" ht="17.25">
      <c r="A15" s="259">
        <v>8</v>
      </c>
      <c r="B15" s="260" t="s">
        <v>246</v>
      </c>
      <c r="C15" s="294" t="s">
        <v>208</v>
      </c>
      <c r="D15" s="75"/>
      <c r="E15" s="261" t="s">
        <v>218</v>
      </c>
      <c r="F15" s="261" t="s">
        <v>238</v>
      </c>
      <c r="G15" s="62">
        <v>1</v>
      </c>
      <c r="H15" s="62" t="s">
        <v>313</v>
      </c>
      <c r="I15" s="329">
        <v>55.555555555555557</v>
      </c>
      <c r="J15" s="338">
        <f t="shared" si="0"/>
        <v>4350.9399999999996</v>
      </c>
      <c r="K15" s="329">
        <v>4350.9399999999996</v>
      </c>
      <c r="L15" s="261" t="s">
        <v>281</v>
      </c>
      <c r="M15" s="261"/>
      <c r="N15" s="261" t="s">
        <v>316</v>
      </c>
    </row>
    <row r="16" spans="1:26" s="352" customFormat="1" ht="17.25">
      <c r="A16" s="344">
        <v>9</v>
      </c>
      <c r="B16" s="345" t="s">
        <v>247</v>
      </c>
      <c r="C16" s="346" t="s">
        <v>288</v>
      </c>
      <c r="D16" s="347"/>
      <c r="E16" s="348" t="s">
        <v>218</v>
      </c>
      <c r="F16" s="348" t="s">
        <v>238</v>
      </c>
      <c r="G16" s="349">
        <v>27</v>
      </c>
      <c r="H16" s="349" t="s">
        <v>312</v>
      </c>
      <c r="I16" s="350">
        <v>273.375</v>
      </c>
      <c r="J16" s="351">
        <f t="shared" si="0"/>
        <v>41.26</v>
      </c>
      <c r="K16" s="350">
        <v>1113.9349999999999</v>
      </c>
      <c r="L16" s="348" t="s">
        <v>282</v>
      </c>
      <c r="M16" s="348" t="s">
        <v>286</v>
      </c>
      <c r="N16" s="348" t="s">
        <v>316</v>
      </c>
      <c r="Z16" s="355" t="s">
        <v>325</v>
      </c>
    </row>
    <row r="17" spans="1:27" s="352" customFormat="1" ht="17.25">
      <c r="A17" s="344">
        <v>10</v>
      </c>
      <c r="B17" s="345" t="s">
        <v>247</v>
      </c>
      <c r="C17" s="346" t="s">
        <v>289</v>
      </c>
      <c r="D17" s="347"/>
      <c r="E17" s="348" t="s">
        <v>218</v>
      </c>
      <c r="F17" s="348" t="s">
        <v>238</v>
      </c>
      <c r="G17" s="349">
        <v>42</v>
      </c>
      <c r="H17" s="349" t="s">
        <v>312</v>
      </c>
      <c r="I17" s="350">
        <v>425.25</v>
      </c>
      <c r="J17" s="351">
        <f t="shared" si="0"/>
        <v>41.26</v>
      </c>
      <c r="K17" s="350">
        <v>1732.79</v>
      </c>
      <c r="L17" s="348" t="s">
        <v>283</v>
      </c>
      <c r="M17" s="348" t="s">
        <v>286</v>
      </c>
      <c r="N17" s="348" t="s">
        <v>316</v>
      </c>
      <c r="Z17" s="355" t="s">
        <v>325</v>
      </c>
    </row>
    <row r="18" spans="1:27" s="352" customFormat="1" ht="17.25">
      <c r="A18" s="344">
        <v>11</v>
      </c>
      <c r="B18" s="345" t="s">
        <v>247</v>
      </c>
      <c r="C18" s="346" t="s">
        <v>224</v>
      </c>
      <c r="D18" s="347"/>
      <c r="E18" s="348" t="s">
        <v>218</v>
      </c>
      <c r="F18" s="348" t="s">
        <v>238</v>
      </c>
      <c r="G18" s="349">
        <v>9</v>
      </c>
      <c r="H18" s="349" t="s">
        <v>312</v>
      </c>
      <c r="I18" s="350">
        <v>91.125</v>
      </c>
      <c r="J18" s="351">
        <f t="shared" si="0"/>
        <v>41.26</v>
      </c>
      <c r="K18" s="350">
        <v>371.31</v>
      </c>
      <c r="L18" s="348" t="s">
        <v>284</v>
      </c>
      <c r="M18" s="348" t="s">
        <v>286</v>
      </c>
      <c r="N18" s="348" t="s">
        <v>316</v>
      </c>
      <c r="Z18" s="355" t="s">
        <v>325</v>
      </c>
    </row>
    <row r="19" spans="1:27" s="352" customFormat="1" ht="17.25">
      <c r="A19" s="344">
        <v>12</v>
      </c>
      <c r="B19" s="345" t="s">
        <v>247</v>
      </c>
      <c r="C19" s="346" t="s">
        <v>225</v>
      </c>
      <c r="D19" s="347"/>
      <c r="E19" s="348" t="s">
        <v>218</v>
      </c>
      <c r="F19" s="348" t="s">
        <v>238</v>
      </c>
      <c r="G19" s="349">
        <v>2</v>
      </c>
      <c r="H19" s="349" t="s">
        <v>312</v>
      </c>
      <c r="I19" s="350">
        <v>20.25</v>
      </c>
      <c r="J19" s="351">
        <f t="shared" si="0"/>
        <v>41.24</v>
      </c>
      <c r="K19" s="350">
        <v>82.484999999999999</v>
      </c>
      <c r="L19" s="348" t="s">
        <v>285</v>
      </c>
      <c r="M19" s="348" t="s">
        <v>286</v>
      </c>
      <c r="N19" s="348" t="s">
        <v>316</v>
      </c>
      <c r="Z19" s="355" t="s">
        <v>325</v>
      </c>
      <c r="AA19" s="354"/>
    </row>
    <row r="20" spans="1:27" ht="17.25">
      <c r="A20" s="259">
        <v>13</v>
      </c>
      <c r="B20" s="260" t="s">
        <v>248</v>
      </c>
      <c r="C20" s="294" t="s">
        <v>226</v>
      </c>
      <c r="D20" s="75"/>
      <c r="E20" s="261" t="s">
        <v>218</v>
      </c>
      <c r="F20" s="261" t="s">
        <v>238</v>
      </c>
      <c r="G20" s="62">
        <v>1</v>
      </c>
      <c r="H20" s="62" t="s">
        <v>313</v>
      </c>
      <c r="I20" s="329">
        <v>447</v>
      </c>
      <c r="J20" s="338">
        <f t="shared" si="0"/>
        <v>9770.49</v>
      </c>
      <c r="K20" s="329">
        <v>9770.49</v>
      </c>
      <c r="L20" s="261" t="s">
        <v>290</v>
      </c>
      <c r="M20" s="261" t="s">
        <v>291</v>
      </c>
      <c r="N20" s="261" t="s">
        <v>316</v>
      </c>
    </row>
    <row r="21" spans="1:27" ht="17.25">
      <c r="A21" s="259">
        <v>14</v>
      </c>
      <c r="B21" s="260" t="s">
        <v>249</v>
      </c>
      <c r="C21" s="294" t="s">
        <v>226</v>
      </c>
      <c r="D21" s="75"/>
      <c r="E21" s="261" t="s">
        <v>218</v>
      </c>
      <c r="F21" s="261" t="s">
        <v>238</v>
      </c>
      <c r="G21" s="62">
        <v>1</v>
      </c>
      <c r="H21" s="62" t="s">
        <v>313</v>
      </c>
      <c r="I21" s="329">
        <v>676</v>
      </c>
      <c r="J21" s="338">
        <f t="shared" si="0"/>
        <v>14775.95</v>
      </c>
      <c r="K21" s="329">
        <v>14775.95</v>
      </c>
      <c r="L21" s="261" t="s">
        <v>292</v>
      </c>
      <c r="M21" s="261" t="s">
        <v>291</v>
      </c>
      <c r="N21" s="261" t="s">
        <v>316</v>
      </c>
    </row>
    <row r="22" spans="1:27" ht="17.25">
      <c r="A22" s="259">
        <v>15</v>
      </c>
      <c r="B22" s="260" t="s">
        <v>250</v>
      </c>
      <c r="C22" s="294" t="s">
        <v>300</v>
      </c>
      <c r="D22" s="75"/>
      <c r="E22" s="261" t="s">
        <v>218</v>
      </c>
      <c r="F22" s="261" t="s">
        <v>238</v>
      </c>
      <c r="G22" s="62">
        <v>2</v>
      </c>
      <c r="H22" s="62" t="s">
        <v>312</v>
      </c>
      <c r="I22" s="329">
        <v>540</v>
      </c>
      <c r="J22" s="338">
        <f t="shared" si="0"/>
        <v>5901.64</v>
      </c>
      <c r="K22" s="329">
        <v>11803.27</v>
      </c>
      <c r="L22" s="261" t="s">
        <v>293</v>
      </c>
      <c r="M22" s="261" t="s">
        <v>294</v>
      </c>
      <c r="N22" s="261" t="s">
        <v>316</v>
      </c>
    </row>
    <row r="23" spans="1:27" ht="17.25">
      <c r="A23" s="259">
        <v>16</v>
      </c>
      <c r="B23" s="260" t="s">
        <v>251</v>
      </c>
      <c r="C23" s="294" t="s">
        <v>227</v>
      </c>
      <c r="D23" s="75"/>
      <c r="E23" s="261" t="s">
        <v>218</v>
      </c>
      <c r="F23" s="261" t="s">
        <v>238</v>
      </c>
      <c r="G23" s="62">
        <v>2</v>
      </c>
      <c r="H23" s="62" t="s">
        <v>312</v>
      </c>
      <c r="I23" s="329">
        <v>540</v>
      </c>
      <c r="J23" s="338">
        <f t="shared" si="0"/>
        <v>5901.64</v>
      </c>
      <c r="K23" s="329">
        <v>11803.27</v>
      </c>
      <c r="L23" s="261" t="s">
        <v>293</v>
      </c>
      <c r="M23" s="261" t="s">
        <v>294</v>
      </c>
      <c r="N23" s="261" t="s">
        <v>316</v>
      </c>
    </row>
    <row r="24" spans="1:27" ht="17.25">
      <c r="A24" s="259">
        <v>17</v>
      </c>
      <c r="B24" s="260" t="s">
        <v>252</v>
      </c>
      <c r="C24" s="294" t="s">
        <v>228</v>
      </c>
      <c r="D24" s="75"/>
      <c r="E24" s="261" t="s">
        <v>218</v>
      </c>
      <c r="F24" s="261" t="s">
        <v>238</v>
      </c>
      <c r="G24" s="62">
        <v>2</v>
      </c>
      <c r="H24" s="62" t="s">
        <v>312</v>
      </c>
      <c r="I24" s="329">
        <v>540</v>
      </c>
      <c r="J24" s="338">
        <f t="shared" si="0"/>
        <v>5901.64</v>
      </c>
      <c r="K24" s="329">
        <v>11803.27</v>
      </c>
      <c r="L24" s="261" t="s">
        <v>293</v>
      </c>
      <c r="M24" s="261" t="s">
        <v>294</v>
      </c>
      <c r="N24" s="261" t="s">
        <v>316</v>
      </c>
    </row>
    <row r="25" spans="1:27" ht="17.25">
      <c r="A25" s="259">
        <v>18</v>
      </c>
      <c r="B25" s="260" t="s">
        <v>253</v>
      </c>
      <c r="C25" s="294" t="s">
        <v>229</v>
      </c>
      <c r="D25" s="75"/>
      <c r="E25" s="261" t="s">
        <v>218</v>
      </c>
      <c r="F25" s="261" t="s">
        <v>238</v>
      </c>
      <c r="G25" s="62">
        <v>2</v>
      </c>
      <c r="H25" s="62" t="s">
        <v>312</v>
      </c>
      <c r="I25" s="329">
        <v>540</v>
      </c>
      <c r="J25" s="338">
        <f t="shared" si="0"/>
        <v>5901.64</v>
      </c>
      <c r="K25" s="329">
        <v>11803.27</v>
      </c>
      <c r="L25" s="261" t="s">
        <v>293</v>
      </c>
      <c r="M25" s="261" t="s">
        <v>294</v>
      </c>
      <c r="N25" s="261" t="s">
        <v>316</v>
      </c>
    </row>
    <row r="26" spans="1:27" ht="17.25">
      <c r="A26" s="259">
        <v>19</v>
      </c>
      <c r="B26" s="260" t="s">
        <v>254</v>
      </c>
      <c r="C26" s="294" t="s">
        <v>230</v>
      </c>
      <c r="D26" s="75"/>
      <c r="E26" s="261" t="s">
        <v>218</v>
      </c>
      <c r="F26" s="261" t="s">
        <v>238</v>
      </c>
      <c r="G26" s="62">
        <v>8</v>
      </c>
      <c r="H26" s="62" t="s">
        <v>312</v>
      </c>
      <c r="I26" s="329">
        <v>55</v>
      </c>
      <c r="J26" s="338">
        <f t="shared" si="0"/>
        <v>150.27000000000001</v>
      </c>
      <c r="K26" s="329">
        <v>1202.19</v>
      </c>
      <c r="L26" s="261" t="s">
        <v>295</v>
      </c>
      <c r="M26" s="261" t="s">
        <v>294</v>
      </c>
      <c r="N26" s="261" t="s">
        <v>316</v>
      </c>
    </row>
    <row r="27" spans="1:27" s="352" customFormat="1" ht="17.25">
      <c r="A27" s="344">
        <v>20</v>
      </c>
      <c r="B27" s="345" t="s">
        <v>255</v>
      </c>
      <c r="C27" s="346" t="s">
        <v>231</v>
      </c>
      <c r="D27" s="347"/>
      <c r="E27" s="348" t="s">
        <v>218</v>
      </c>
      <c r="F27" s="348" t="s">
        <v>238</v>
      </c>
      <c r="G27" s="349">
        <v>36</v>
      </c>
      <c r="H27" s="349" t="s">
        <v>312</v>
      </c>
      <c r="I27" s="350">
        <v>556.36363636363637</v>
      </c>
      <c r="J27" s="351">
        <f t="shared" si="0"/>
        <v>67.56</v>
      </c>
      <c r="K27" s="350">
        <v>2432.19</v>
      </c>
      <c r="L27" s="348" t="s">
        <v>233</v>
      </c>
      <c r="M27" s="348" t="s">
        <v>294</v>
      </c>
      <c r="N27" s="348" t="s">
        <v>316</v>
      </c>
      <c r="Z27" s="355" t="s">
        <v>325</v>
      </c>
    </row>
    <row r="28" spans="1:27" s="352" customFormat="1" ht="17.25">
      <c r="A28" s="344">
        <v>21</v>
      </c>
      <c r="B28" s="345" t="s">
        <v>255</v>
      </c>
      <c r="C28" s="346" t="s">
        <v>232</v>
      </c>
      <c r="D28" s="347"/>
      <c r="E28" s="348" t="s">
        <v>218</v>
      </c>
      <c r="F28" s="348" t="s">
        <v>238</v>
      </c>
      <c r="G28" s="349">
        <v>8</v>
      </c>
      <c r="H28" s="349" t="s">
        <v>312</v>
      </c>
      <c r="I28" s="350">
        <v>123.63636363636364</v>
      </c>
      <c r="J28" s="351">
        <f t="shared" si="0"/>
        <v>67.56</v>
      </c>
      <c r="K28" s="350">
        <v>540.49</v>
      </c>
      <c r="L28" s="348" t="s">
        <v>234</v>
      </c>
      <c r="M28" s="348" t="s">
        <v>294</v>
      </c>
      <c r="N28" s="348" t="s">
        <v>316</v>
      </c>
      <c r="Z28" s="355" t="s">
        <v>325</v>
      </c>
    </row>
    <row r="29" spans="1:27" s="233" customFormat="1" ht="17.25">
      <c r="A29" s="356">
        <v>22</v>
      </c>
      <c r="B29" s="357" t="s">
        <v>256</v>
      </c>
      <c r="C29" s="358" t="s">
        <v>306</v>
      </c>
      <c r="D29" s="359"/>
      <c r="E29" s="360" t="s">
        <v>218</v>
      </c>
      <c r="F29" s="360" t="s">
        <v>238</v>
      </c>
      <c r="G29" s="218">
        <v>3</v>
      </c>
      <c r="H29" s="218" t="s">
        <v>312</v>
      </c>
      <c r="I29" s="282">
        <v>18.333333333333332</v>
      </c>
      <c r="J29" s="361">
        <f t="shared" si="0"/>
        <v>133.58000000000001</v>
      </c>
      <c r="K29" s="282">
        <v>400.73</v>
      </c>
      <c r="L29" s="360"/>
      <c r="M29" s="360" t="s">
        <v>308</v>
      </c>
      <c r="N29" s="360" t="s">
        <v>316</v>
      </c>
      <c r="AA29" s="362"/>
    </row>
    <row r="30" spans="1:27" s="233" customFormat="1" ht="17.25">
      <c r="A30" s="356">
        <v>23</v>
      </c>
      <c r="B30" s="357" t="s">
        <v>256</v>
      </c>
      <c r="C30" s="358" t="s">
        <v>307</v>
      </c>
      <c r="D30" s="359"/>
      <c r="E30" s="360" t="s">
        <v>218</v>
      </c>
      <c r="F30" s="360" t="s">
        <v>238</v>
      </c>
      <c r="G30" s="218">
        <v>4</v>
      </c>
      <c r="H30" s="218" t="s">
        <v>312</v>
      </c>
      <c r="I30" s="282">
        <v>24.444444444444443</v>
      </c>
      <c r="J30" s="361">
        <f t="shared" si="0"/>
        <v>133.58000000000001</v>
      </c>
      <c r="K30" s="282">
        <v>534.29999999999995</v>
      </c>
      <c r="L30" s="360"/>
      <c r="M30" s="360" t="s">
        <v>308</v>
      </c>
      <c r="N30" s="360" t="s">
        <v>316</v>
      </c>
    </row>
    <row r="31" spans="1:27" s="233" customFormat="1" ht="17.25">
      <c r="A31" s="356">
        <v>24</v>
      </c>
      <c r="B31" s="357" t="s">
        <v>256</v>
      </c>
      <c r="C31" s="358" t="s">
        <v>237</v>
      </c>
      <c r="D31" s="359"/>
      <c r="E31" s="360" t="s">
        <v>218</v>
      </c>
      <c r="F31" s="360" t="s">
        <v>238</v>
      </c>
      <c r="G31" s="218">
        <v>1</v>
      </c>
      <c r="H31" s="218" t="s">
        <v>313</v>
      </c>
      <c r="I31" s="282">
        <v>6.1111111111111107</v>
      </c>
      <c r="J31" s="361">
        <f t="shared" si="0"/>
        <v>133.58000000000001</v>
      </c>
      <c r="K31" s="282">
        <v>133.58000000000001</v>
      </c>
      <c r="L31" s="360"/>
      <c r="M31" s="360" t="s">
        <v>308</v>
      </c>
      <c r="N31" s="360" t="s">
        <v>316</v>
      </c>
    </row>
    <row r="32" spans="1:27" s="233" customFormat="1" ht="17.25">
      <c r="A32" s="356">
        <v>25</v>
      </c>
      <c r="B32" s="357" t="s">
        <v>256</v>
      </c>
      <c r="C32" s="358" t="s">
        <v>307</v>
      </c>
      <c r="D32" s="359"/>
      <c r="E32" s="360" t="s">
        <v>218</v>
      </c>
      <c r="F32" s="360" t="s">
        <v>238</v>
      </c>
      <c r="G32" s="218">
        <v>1</v>
      </c>
      <c r="H32" s="218" t="s">
        <v>313</v>
      </c>
      <c r="I32" s="363">
        <v>6.1111111111111107</v>
      </c>
      <c r="J32" s="361">
        <f t="shared" si="0"/>
        <v>133.58000000000001</v>
      </c>
      <c r="K32" s="282">
        <v>133.58000000000001</v>
      </c>
      <c r="L32" s="282"/>
      <c r="M32" s="282" t="s">
        <v>308</v>
      </c>
      <c r="N32" s="282" t="s">
        <v>316</v>
      </c>
    </row>
    <row r="33" spans="1:26" ht="17.25">
      <c r="A33" s="259">
        <v>26</v>
      </c>
      <c r="B33" s="260" t="s">
        <v>257</v>
      </c>
      <c r="C33" s="294" t="s">
        <v>208</v>
      </c>
      <c r="D33" s="75"/>
      <c r="E33" s="261" t="s">
        <v>322</v>
      </c>
      <c r="F33" s="261" t="s">
        <v>238</v>
      </c>
      <c r="G33" s="218">
        <v>4</v>
      </c>
      <c r="H33" s="218" t="s">
        <v>312</v>
      </c>
      <c r="I33" s="330">
        <v>300</v>
      </c>
      <c r="J33" s="338">
        <f t="shared" si="0"/>
        <v>2423.5</v>
      </c>
      <c r="K33" s="282">
        <v>9693.98</v>
      </c>
      <c r="L33" s="282" t="s">
        <v>272</v>
      </c>
      <c r="M33" s="282"/>
      <c r="N33" s="282" t="s">
        <v>317</v>
      </c>
    </row>
    <row r="34" spans="1:26" ht="17.25">
      <c r="A34" s="259">
        <v>27</v>
      </c>
      <c r="B34" s="260" t="s">
        <v>258</v>
      </c>
      <c r="C34" s="294" t="s">
        <v>208</v>
      </c>
      <c r="D34" s="75"/>
      <c r="E34" s="261" t="s">
        <v>322</v>
      </c>
      <c r="F34" s="261" t="s">
        <v>238</v>
      </c>
      <c r="G34" s="218">
        <v>1</v>
      </c>
      <c r="H34" s="218" t="s">
        <v>313</v>
      </c>
      <c r="I34" s="330">
        <v>55.555555555555557</v>
      </c>
      <c r="J34" s="338">
        <f t="shared" si="0"/>
        <v>4350.9399999999996</v>
      </c>
      <c r="K34" s="282">
        <v>4350.9399999999996</v>
      </c>
      <c r="L34" s="282" t="s">
        <v>275</v>
      </c>
      <c r="M34" s="282"/>
      <c r="N34" s="282" t="s">
        <v>317</v>
      </c>
    </row>
    <row r="35" spans="1:26" ht="17.25">
      <c r="A35" s="259">
        <v>28</v>
      </c>
      <c r="B35" s="260" t="s">
        <v>258</v>
      </c>
      <c r="C35" s="294" t="s">
        <v>208</v>
      </c>
      <c r="D35" s="75"/>
      <c r="E35" s="261" t="s">
        <v>322</v>
      </c>
      <c r="F35" s="261" t="s">
        <v>238</v>
      </c>
      <c r="G35" s="218">
        <v>1</v>
      </c>
      <c r="H35" s="218" t="s">
        <v>313</v>
      </c>
      <c r="I35" s="330">
        <v>55.555555555555557</v>
      </c>
      <c r="J35" s="338">
        <f t="shared" si="0"/>
        <v>4350.9399999999996</v>
      </c>
      <c r="K35" s="282">
        <v>4350.9399999999996</v>
      </c>
      <c r="L35" s="282" t="s">
        <v>276</v>
      </c>
      <c r="M35" s="282"/>
      <c r="N35" s="282" t="s">
        <v>317</v>
      </c>
    </row>
    <row r="36" spans="1:26" ht="17.25">
      <c r="A36" s="259">
        <v>29</v>
      </c>
      <c r="B36" s="260" t="s">
        <v>258</v>
      </c>
      <c r="C36" s="294" t="s">
        <v>208</v>
      </c>
      <c r="D36" s="75"/>
      <c r="E36" s="261" t="s">
        <v>322</v>
      </c>
      <c r="F36" s="261" t="s">
        <v>238</v>
      </c>
      <c r="G36" s="218">
        <v>1</v>
      </c>
      <c r="H36" s="218" t="s">
        <v>313</v>
      </c>
      <c r="I36" s="330">
        <v>55.555555555555557</v>
      </c>
      <c r="J36" s="338">
        <f t="shared" si="0"/>
        <v>4350.9399999999996</v>
      </c>
      <c r="K36" s="282">
        <v>4350.9399999999996</v>
      </c>
      <c r="L36" s="282" t="s">
        <v>277</v>
      </c>
      <c r="M36" s="282"/>
      <c r="N36" s="282" t="s">
        <v>317</v>
      </c>
    </row>
    <row r="37" spans="1:26" ht="17.25">
      <c r="A37" s="259">
        <v>30</v>
      </c>
      <c r="B37" s="260" t="s">
        <v>258</v>
      </c>
      <c r="C37" s="294" t="s">
        <v>208</v>
      </c>
      <c r="D37" s="75"/>
      <c r="E37" s="261" t="s">
        <v>322</v>
      </c>
      <c r="F37" s="261" t="s">
        <v>238</v>
      </c>
      <c r="G37" s="218">
        <v>1</v>
      </c>
      <c r="H37" s="218" t="s">
        <v>313</v>
      </c>
      <c r="I37" s="330">
        <v>55.555555555555557</v>
      </c>
      <c r="J37" s="338">
        <f t="shared" si="0"/>
        <v>4350.9399999999996</v>
      </c>
      <c r="K37" s="282">
        <v>4350.9399999999996</v>
      </c>
      <c r="L37" s="282" t="s">
        <v>278</v>
      </c>
      <c r="M37" s="282"/>
      <c r="N37" s="282" t="s">
        <v>317</v>
      </c>
    </row>
    <row r="38" spans="1:26" ht="17.25">
      <c r="A38" s="259">
        <v>31</v>
      </c>
      <c r="B38" s="260" t="s">
        <v>258</v>
      </c>
      <c r="C38" s="294" t="s">
        <v>208</v>
      </c>
      <c r="D38" s="75"/>
      <c r="E38" s="261" t="s">
        <v>322</v>
      </c>
      <c r="F38" s="261" t="s">
        <v>238</v>
      </c>
      <c r="G38" s="218">
        <v>2</v>
      </c>
      <c r="H38" s="218" t="s">
        <v>312</v>
      </c>
      <c r="I38" s="330">
        <v>111.11111111111111</v>
      </c>
      <c r="J38" s="338">
        <f t="shared" si="0"/>
        <v>2782.64</v>
      </c>
      <c r="K38" s="282">
        <v>5565.27</v>
      </c>
      <c r="L38" s="282" t="s">
        <v>279</v>
      </c>
      <c r="M38" s="282"/>
      <c r="N38" s="282" t="s">
        <v>317</v>
      </c>
    </row>
    <row r="39" spans="1:26" ht="17.25">
      <c r="A39" s="259">
        <v>32</v>
      </c>
      <c r="B39" s="260" t="s">
        <v>258</v>
      </c>
      <c r="C39" s="294" t="s">
        <v>208</v>
      </c>
      <c r="D39" s="75"/>
      <c r="E39" s="261" t="s">
        <v>322</v>
      </c>
      <c r="F39" s="261" t="s">
        <v>238</v>
      </c>
      <c r="G39" s="218">
        <v>2</v>
      </c>
      <c r="H39" s="218" t="s">
        <v>312</v>
      </c>
      <c r="I39" s="330">
        <v>111.11111111111111</v>
      </c>
      <c r="J39" s="338">
        <f t="shared" si="0"/>
        <v>2782.64</v>
      </c>
      <c r="K39" s="282">
        <v>5565.27</v>
      </c>
      <c r="L39" s="282" t="s">
        <v>280</v>
      </c>
      <c r="M39" s="282"/>
      <c r="N39" s="282" t="s">
        <v>317</v>
      </c>
    </row>
    <row r="40" spans="1:26" ht="17.25">
      <c r="A40" s="259">
        <v>33</v>
      </c>
      <c r="B40" s="260" t="s">
        <v>258</v>
      </c>
      <c r="C40" s="294" t="s">
        <v>208</v>
      </c>
      <c r="D40" s="75"/>
      <c r="E40" s="261" t="s">
        <v>322</v>
      </c>
      <c r="F40" s="261" t="s">
        <v>238</v>
      </c>
      <c r="G40" s="218">
        <v>1</v>
      </c>
      <c r="H40" s="218" t="s">
        <v>313</v>
      </c>
      <c r="I40" s="330">
        <v>55.555555555555557</v>
      </c>
      <c r="J40" s="338">
        <f t="shared" si="0"/>
        <v>4350.9399999999996</v>
      </c>
      <c r="K40" s="282">
        <v>4350.9399999999996</v>
      </c>
      <c r="L40" s="282" t="s">
        <v>281</v>
      </c>
      <c r="M40" s="282"/>
      <c r="N40" s="282" t="s">
        <v>317</v>
      </c>
    </row>
    <row r="41" spans="1:26" s="352" customFormat="1" ht="17.25">
      <c r="A41" s="344">
        <v>34</v>
      </c>
      <c r="B41" s="345" t="s">
        <v>259</v>
      </c>
      <c r="C41" s="483" t="s">
        <v>309</v>
      </c>
      <c r="D41" s="484"/>
      <c r="E41" s="348" t="s">
        <v>322</v>
      </c>
      <c r="F41" s="348" t="s">
        <v>238</v>
      </c>
      <c r="G41" s="349">
        <v>27</v>
      </c>
      <c r="H41" s="349" t="s">
        <v>312</v>
      </c>
      <c r="I41" s="353">
        <v>236.25</v>
      </c>
      <c r="J41" s="351">
        <f t="shared" si="0"/>
        <v>41.26</v>
      </c>
      <c r="K41" s="350">
        <v>1113.9349999999999</v>
      </c>
      <c r="L41" s="350" t="s">
        <v>282</v>
      </c>
      <c r="M41" s="350" t="s">
        <v>286</v>
      </c>
      <c r="N41" s="350" t="s">
        <v>317</v>
      </c>
      <c r="Z41" s="355" t="s">
        <v>325</v>
      </c>
    </row>
    <row r="42" spans="1:26" s="352" customFormat="1" ht="17.25">
      <c r="A42" s="344">
        <v>35</v>
      </c>
      <c r="B42" s="345" t="s">
        <v>259</v>
      </c>
      <c r="C42" s="483" t="s">
        <v>289</v>
      </c>
      <c r="D42" s="484"/>
      <c r="E42" s="348" t="s">
        <v>322</v>
      </c>
      <c r="F42" s="348" t="s">
        <v>238</v>
      </c>
      <c r="G42" s="349">
        <v>42</v>
      </c>
      <c r="H42" s="349" t="s">
        <v>312</v>
      </c>
      <c r="I42" s="353">
        <v>367.5</v>
      </c>
      <c r="J42" s="351">
        <f t="shared" si="0"/>
        <v>41.26</v>
      </c>
      <c r="K42" s="350">
        <v>1732.79</v>
      </c>
      <c r="L42" s="350" t="s">
        <v>283</v>
      </c>
      <c r="M42" s="350" t="s">
        <v>286</v>
      </c>
      <c r="N42" s="350" t="s">
        <v>317</v>
      </c>
      <c r="Z42" s="355" t="s">
        <v>325</v>
      </c>
    </row>
    <row r="43" spans="1:26" s="352" customFormat="1" ht="17.25">
      <c r="A43" s="344">
        <v>36</v>
      </c>
      <c r="B43" s="345" t="s">
        <v>259</v>
      </c>
      <c r="C43" s="483" t="s">
        <v>310</v>
      </c>
      <c r="D43" s="484"/>
      <c r="E43" s="348" t="s">
        <v>322</v>
      </c>
      <c r="F43" s="348" t="s">
        <v>238</v>
      </c>
      <c r="G43" s="349">
        <v>9</v>
      </c>
      <c r="H43" s="349" t="s">
        <v>312</v>
      </c>
      <c r="I43" s="353">
        <v>78.75</v>
      </c>
      <c r="J43" s="351">
        <f t="shared" si="0"/>
        <v>41.26</v>
      </c>
      <c r="K43" s="350">
        <v>371.31</v>
      </c>
      <c r="L43" s="350" t="s">
        <v>284</v>
      </c>
      <c r="M43" s="350" t="s">
        <v>286</v>
      </c>
      <c r="N43" s="350" t="s">
        <v>317</v>
      </c>
      <c r="Z43" s="355" t="s">
        <v>325</v>
      </c>
    </row>
    <row r="44" spans="1:26" s="352" customFormat="1" ht="17.25">
      <c r="A44" s="344">
        <v>37</v>
      </c>
      <c r="B44" s="345" t="s">
        <v>259</v>
      </c>
      <c r="C44" s="483" t="s">
        <v>311</v>
      </c>
      <c r="D44" s="484"/>
      <c r="E44" s="348" t="s">
        <v>322</v>
      </c>
      <c r="F44" s="348" t="s">
        <v>238</v>
      </c>
      <c r="G44" s="349">
        <v>2</v>
      </c>
      <c r="H44" s="349" t="s">
        <v>312</v>
      </c>
      <c r="I44" s="353">
        <v>17.5</v>
      </c>
      <c r="J44" s="351">
        <f t="shared" si="0"/>
        <v>41.24</v>
      </c>
      <c r="K44" s="350">
        <v>82.484999999999999</v>
      </c>
      <c r="L44" s="350" t="s">
        <v>285</v>
      </c>
      <c r="M44" s="350" t="s">
        <v>286</v>
      </c>
      <c r="N44" s="350" t="s">
        <v>317</v>
      </c>
      <c r="Z44" s="355" t="s">
        <v>325</v>
      </c>
    </row>
    <row r="45" spans="1:26" ht="17.25">
      <c r="A45" s="259">
        <v>38</v>
      </c>
      <c r="B45" s="260" t="s">
        <v>260</v>
      </c>
      <c r="C45" s="294" t="s">
        <v>226</v>
      </c>
      <c r="D45" s="75"/>
      <c r="E45" s="261" t="s">
        <v>322</v>
      </c>
      <c r="F45" s="261" t="s">
        <v>238</v>
      </c>
      <c r="G45" s="218">
        <v>1</v>
      </c>
      <c r="H45" s="218" t="s">
        <v>313</v>
      </c>
      <c r="I45" s="330">
        <v>447</v>
      </c>
      <c r="J45" s="338">
        <f t="shared" si="0"/>
        <v>9770.49</v>
      </c>
      <c r="K45" s="282">
        <v>9770.49</v>
      </c>
      <c r="L45" s="282" t="s">
        <v>290</v>
      </c>
      <c r="M45" s="282" t="s">
        <v>291</v>
      </c>
      <c r="N45" s="282" t="s">
        <v>317</v>
      </c>
    </row>
    <row r="46" spans="1:26" ht="17.25">
      <c r="A46" s="259">
        <v>39</v>
      </c>
      <c r="B46" s="260" t="s">
        <v>261</v>
      </c>
      <c r="C46" s="294" t="s">
        <v>226</v>
      </c>
      <c r="D46" s="75"/>
      <c r="E46" s="261" t="s">
        <v>322</v>
      </c>
      <c r="F46" s="261" t="s">
        <v>238</v>
      </c>
      <c r="G46" s="218">
        <v>1</v>
      </c>
      <c r="H46" s="218" t="s">
        <v>313</v>
      </c>
      <c r="I46" s="330">
        <v>676</v>
      </c>
      <c r="J46" s="338">
        <f t="shared" si="0"/>
        <v>14775.95</v>
      </c>
      <c r="K46" s="282">
        <v>14775.95</v>
      </c>
      <c r="L46" s="282" t="s">
        <v>292</v>
      </c>
      <c r="M46" s="282" t="s">
        <v>291</v>
      </c>
      <c r="N46" s="282" t="s">
        <v>317</v>
      </c>
    </row>
    <row r="47" spans="1:26" ht="17.25">
      <c r="A47" s="259">
        <v>40</v>
      </c>
      <c r="B47" s="260" t="s">
        <v>262</v>
      </c>
      <c r="C47" s="294" t="s">
        <v>210</v>
      </c>
      <c r="D47" s="75"/>
      <c r="E47" s="261" t="s">
        <v>322</v>
      </c>
      <c r="F47" s="261" t="s">
        <v>238</v>
      </c>
      <c r="G47" s="218">
        <v>2</v>
      </c>
      <c r="H47" s="218" t="s">
        <v>312</v>
      </c>
      <c r="I47" s="330">
        <v>540</v>
      </c>
      <c r="J47" s="338">
        <f t="shared" si="0"/>
        <v>5901.64</v>
      </c>
      <c r="K47" s="282">
        <v>11803.27</v>
      </c>
      <c r="L47" s="282" t="s">
        <v>293</v>
      </c>
      <c r="M47" s="282" t="s">
        <v>294</v>
      </c>
      <c r="N47" s="282" t="s">
        <v>317</v>
      </c>
    </row>
    <row r="48" spans="1:26" ht="17.25">
      <c r="A48" s="259">
        <v>41</v>
      </c>
      <c r="B48" s="260" t="s">
        <v>263</v>
      </c>
      <c r="C48" s="294" t="s">
        <v>227</v>
      </c>
      <c r="D48" s="75"/>
      <c r="E48" s="261" t="s">
        <v>322</v>
      </c>
      <c r="F48" s="261" t="s">
        <v>238</v>
      </c>
      <c r="G48" s="218">
        <v>2</v>
      </c>
      <c r="H48" s="218" t="s">
        <v>312</v>
      </c>
      <c r="I48" s="330">
        <v>540</v>
      </c>
      <c r="J48" s="338">
        <f t="shared" si="0"/>
        <v>5901.64</v>
      </c>
      <c r="K48" s="282">
        <v>11803.27</v>
      </c>
      <c r="L48" s="282" t="s">
        <v>293</v>
      </c>
      <c r="M48" s="282" t="s">
        <v>294</v>
      </c>
      <c r="N48" s="282" t="s">
        <v>317</v>
      </c>
    </row>
    <row r="49" spans="1:27" ht="17.25">
      <c r="A49" s="259">
        <v>42</v>
      </c>
      <c r="B49" s="260" t="s">
        <v>264</v>
      </c>
      <c r="C49" s="294" t="s">
        <v>228</v>
      </c>
      <c r="D49" s="75"/>
      <c r="E49" s="261" t="s">
        <v>322</v>
      </c>
      <c r="F49" s="261" t="s">
        <v>238</v>
      </c>
      <c r="G49" s="218">
        <v>2</v>
      </c>
      <c r="H49" s="218" t="s">
        <v>312</v>
      </c>
      <c r="I49" s="330">
        <v>540</v>
      </c>
      <c r="J49" s="338">
        <f t="shared" si="0"/>
        <v>5901.64</v>
      </c>
      <c r="K49" s="282">
        <v>11803.27</v>
      </c>
      <c r="L49" s="282" t="s">
        <v>293</v>
      </c>
      <c r="M49" s="282" t="s">
        <v>294</v>
      </c>
      <c r="N49" s="282" t="s">
        <v>317</v>
      </c>
    </row>
    <row r="50" spans="1:27" ht="17.25">
      <c r="A50" s="259">
        <v>43</v>
      </c>
      <c r="B50" s="260" t="s">
        <v>265</v>
      </c>
      <c r="C50" s="294" t="s">
        <v>229</v>
      </c>
      <c r="D50" s="75"/>
      <c r="E50" s="261" t="s">
        <v>322</v>
      </c>
      <c r="F50" s="261" t="s">
        <v>238</v>
      </c>
      <c r="G50" s="218">
        <v>2</v>
      </c>
      <c r="H50" s="218" t="s">
        <v>312</v>
      </c>
      <c r="I50" s="330">
        <v>540</v>
      </c>
      <c r="J50" s="338">
        <f t="shared" si="0"/>
        <v>5901.64</v>
      </c>
      <c r="K50" s="282">
        <v>11803.27</v>
      </c>
      <c r="L50" s="282" t="s">
        <v>293</v>
      </c>
      <c r="M50" s="282" t="s">
        <v>294</v>
      </c>
      <c r="N50" s="282" t="s">
        <v>317</v>
      </c>
    </row>
    <row r="51" spans="1:27" ht="17.25">
      <c r="A51" s="259">
        <v>44</v>
      </c>
      <c r="B51" s="260" t="s">
        <v>266</v>
      </c>
      <c r="C51" s="294" t="s">
        <v>230</v>
      </c>
      <c r="D51" s="75"/>
      <c r="E51" s="261" t="s">
        <v>322</v>
      </c>
      <c r="F51" s="261" t="s">
        <v>238</v>
      </c>
      <c r="G51" s="218">
        <v>8</v>
      </c>
      <c r="H51" s="218" t="s">
        <v>312</v>
      </c>
      <c r="I51" s="330">
        <v>55</v>
      </c>
      <c r="J51" s="338">
        <f t="shared" si="0"/>
        <v>150.27000000000001</v>
      </c>
      <c r="K51" s="282">
        <v>1202.19</v>
      </c>
      <c r="L51" s="282" t="s">
        <v>295</v>
      </c>
      <c r="M51" s="282" t="s">
        <v>294</v>
      </c>
      <c r="N51" s="282" t="s">
        <v>317</v>
      </c>
    </row>
    <row r="52" spans="1:27" s="352" customFormat="1" ht="17.25">
      <c r="A52" s="344">
        <v>45</v>
      </c>
      <c r="B52" s="345" t="s">
        <v>267</v>
      </c>
      <c r="C52" s="346" t="s">
        <v>231</v>
      </c>
      <c r="D52" s="347"/>
      <c r="E52" s="348" t="s">
        <v>322</v>
      </c>
      <c r="F52" s="348" t="s">
        <v>238</v>
      </c>
      <c r="G52" s="349">
        <v>36</v>
      </c>
      <c r="H52" s="349" t="s">
        <v>312</v>
      </c>
      <c r="I52" s="353">
        <v>556.36363636363637</v>
      </c>
      <c r="J52" s="351">
        <f t="shared" si="0"/>
        <v>67.56</v>
      </c>
      <c r="K52" s="350">
        <v>2432.19</v>
      </c>
      <c r="L52" s="350" t="s">
        <v>233</v>
      </c>
      <c r="M52" s="350" t="s">
        <v>294</v>
      </c>
      <c r="N52" s="350" t="s">
        <v>317</v>
      </c>
      <c r="Z52" s="355" t="s">
        <v>325</v>
      </c>
    </row>
    <row r="53" spans="1:27" s="352" customFormat="1" ht="17.25">
      <c r="A53" s="344">
        <v>46</v>
      </c>
      <c r="B53" s="345" t="s">
        <v>267</v>
      </c>
      <c r="C53" s="346" t="s">
        <v>232</v>
      </c>
      <c r="D53" s="347"/>
      <c r="E53" s="348" t="s">
        <v>322</v>
      </c>
      <c r="F53" s="348" t="s">
        <v>238</v>
      </c>
      <c r="G53" s="349">
        <v>8</v>
      </c>
      <c r="H53" s="349" t="s">
        <v>312</v>
      </c>
      <c r="I53" s="353">
        <v>123.63636363636364</v>
      </c>
      <c r="J53" s="351">
        <f t="shared" si="0"/>
        <v>67.56</v>
      </c>
      <c r="K53" s="350">
        <v>540.49</v>
      </c>
      <c r="L53" s="350" t="s">
        <v>234</v>
      </c>
      <c r="M53" s="350" t="s">
        <v>294</v>
      </c>
      <c r="N53" s="350" t="s">
        <v>317</v>
      </c>
      <c r="Z53" s="355" t="s">
        <v>325</v>
      </c>
    </row>
    <row r="54" spans="1:27" s="233" customFormat="1" ht="17.25">
      <c r="A54" s="356">
        <v>47</v>
      </c>
      <c r="B54" s="357" t="s">
        <v>268</v>
      </c>
      <c r="C54" s="358" t="s">
        <v>235</v>
      </c>
      <c r="D54" s="359"/>
      <c r="E54" s="360" t="s">
        <v>322</v>
      </c>
      <c r="F54" s="360" t="s">
        <v>238</v>
      </c>
      <c r="G54" s="218">
        <v>3</v>
      </c>
      <c r="H54" s="218" t="s">
        <v>312</v>
      </c>
      <c r="I54" s="363">
        <v>18.333333333333332</v>
      </c>
      <c r="J54" s="361">
        <f t="shared" si="0"/>
        <v>133.58000000000001</v>
      </c>
      <c r="K54" s="282">
        <v>400.73</v>
      </c>
      <c r="L54" s="282"/>
      <c r="M54" s="282" t="s">
        <v>308</v>
      </c>
      <c r="N54" s="282" t="s">
        <v>317</v>
      </c>
      <c r="AA54" s="362"/>
    </row>
    <row r="55" spans="1:27" s="233" customFormat="1" ht="17.25">
      <c r="A55" s="356">
        <v>48</v>
      </c>
      <c r="B55" s="357" t="s">
        <v>268</v>
      </c>
      <c r="C55" s="358" t="s">
        <v>236</v>
      </c>
      <c r="D55" s="359"/>
      <c r="E55" s="360" t="s">
        <v>322</v>
      </c>
      <c r="F55" s="360" t="s">
        <v>238</v>
      </c>
      <c r="G55" s="218">
        <v>4</v>
      </c>
      <c r="H55" s="218" t="s">
        <v>312</v>
      </c>
      <c r="I55" s="363">
        <v>24.444444444444443</v>
      </c>
      <c r="J55" s="361">
        <f t="shared" si="0"/>
        <v>133.58000000000001</v>
      </c>
      <c r="K55" s="282">
        <v>534.29999999999995</v>
      </c>
      <c r="L55" s="282"/>
      <c r="M55" s="282" t="s">
        <v>308</v>
      </c>
      <c r="N55" s="282" t="s">
        <v>317</v>
      </c>
    </row>
    <row r="56" spans="1:27" s="233" customFormat="1" ht="17.25">
      <c r="A56" s="356">
        <v>49</v>
      </c>
      <c r="B56" s="357" t="s">
        <v>268</v>
      </c>
      <c r="C56" s="358" t="s">
        <v>237</v>
      </c>
      <c r="D56" s="359"/>
      <c r="E56" s="360" t="s">
        <v>322</v>
      </c>
      <c r="F56" s="360" t="s">
        <v>238</v>
      </c>
      <c r="G56" s="218">
        <v>1</v>
      </c>
      <c r="H56" s="218" t="s">
        <v>313</v>
      </c>
      <c r="I56" s="363">
        <v>6.1111111111111107</v>
      </c>
      <c r="J56" s="361">
        <f t="shared" si="0"/>
        <v>133.58000000000001</v>
      </c>
      <c r="K56" s="282">
        <v>133.58000000000001</v>
      </c>
      <c r="L56" s="282"/>
      <c r="M56" s="282" t="s">
        <v>308</v>
      </c>
      <c r="N56" s="282" t="s">
        <v>317</v>
      </c>
    </row>
    <row r="57" spans="1:27" s="233" customFormat="1" ht="17.25">
      <c r="A57" s="356">
        <v>50</v>
      </c>
      <c r="B57" s="357" t="s">
        <v>268</v>
      </c>
      <c r="C57" s="358" t="s">
        <v>236</v>
      </c>
      <c r="D57" s="359"/>
      <c r="E57" s="360" t="s">
        <v>322</v>
      </c>
      <c r="F57" s="360" t="s">
        <v>238</v>
      </c>
      <c r="G57" s="218">
        <v>1</v>
      </c>
      <c r="H57" s="218" t="s">
        <v>313</v>
      </c>
      <c r="I57" s="363">
        <v>6.1111111111111107</v>
      </c>
      <c r="J57" s="361">
        <f t="shared" si="0"/>
        <v>133.58000000000001</v>
      </c>
      <c r="K57" s="282">
        <v>133.58000000000001</v>
      </c>
      <c r="L57" s="282"/>
      <c r="M57" s="282" t="s">
        <v>308</v>
      </c>
      <c r="N57" s="282" t="s">
        <v>317</v>
      </c>
    </row>
    <row r="58" spans="1:27" s="263" customFormat="1" ht="26.85" customHeight="1">
      <c r="A58" s="66"/>
      <c r="B58" s="67"/>
      <c r="C58" s="68"/>
      <c r="D58" s="68"/>
      <c r="E58" s="69"/>
      <c r="F58" s="70"/>
      <c r="G58" s="475" t="s">
        <v>144</v>
      </c>
      <c r="H58" s="475"/>
      <c r="I58" s="475"/>
      <c r="J58" s="475"/>
      <c r="K58" s="264">
        <f>SUM(K8:K57)</f>
        <v>246032.63999999993</v>
      </c>
      <c r="L58" s="264"/>
      <c r="M58" s="264"/>
      <c r="N58" s="264"/>
      <c r="O58" s="262" t="e">
        <f>ROUND(#REF!/SUM(#REF!),5)*#REF!</f>
        <v>#REF!</v>
      </c>
      <c r="P58" s="267"/>
      <c r="X58" s="269"/>
    </row>
    <row r="59" spans="1:27" s="263" customFormat="1" ht="26.85" customHeight="1">
      <c r="A59" s="71"/>
      <c r="B59" s="72"/>
      <c r="C59" s="65"/>
      <c r="D59" s="65"/>
      <c r="E59" s="73"/>
      <c r="F59" s="74"/>
      <c r="G59" s="75"/>
      <c r="H59" s="75"/>
      <c r="I59" s="75"/>
      <c r="J59" s="65"/>
      <c r="K59" s="72"/>
      <c r="L59" s="72"/>
      <c r="M59" s="72"/>
      <c r="N59" s="72"/>
      <c r="O59" s="262" t="e">
        <f>ROUND(#REF!/SUM(#REF!),5)*#REF!</f>
        <v>#REF!</v>
      </c>
      <c r="P59" s="267"/>
      <c r="X59" s="269"/>
    </row>
    <row r="60" spans="1:27" s="263" customFormat="1" ht="26.85" customHeight="1">
      <c r="A60" s="56"/>
      <c r="B60" s="56"/>
      <c r="C60" s="56"/>
      <c r="D60" s="56"/>
      <c r="E60" s="56"/>
      <c r="F60" s="56"/>
      <c r="G60" s="61"/>
      <c r="H60" s="61"/>
      <c r="I60" s="61"/>
      <c r="J60" s="56"/>
      <c r="K60" s="56"/>
      <c r="L60" s="56"/>
      <c r="M60" s="56"/>
      <c r="N60" s="56"/>
      <c r="O60" s="262" t="e">
        <f>ROUND($P$60/SUM(#REF!),5)*#REF!</f>
        <v>#REF!</v>
      </c>
      <c r="P60" s="266">
        <v>9817.5</v>
      </c>
      <c r="X60" s="269"/>
    </row>
    <row r="61" spans="1:27" s="263" customFormat="1" ht="26.85" customHeight="1">
      <c r="A61" s="56"/>
      <c r="B61" s="56"/>
      <c r="C61" s="56"/>
      <c r="D61" s="56"/>
      <c r="E61" s="56"/>
      <c r="F61" s="56"/>
      <c r="G61" s="61"/>
      <c r="H61" s="61"/>
      <c r="I61" s="265"/>
      <c r="J61" s="56"/>
      <c r="K61" s="56"/>
      <c r="L61" s="56"/>
      <c r="M61" s="56"/>
      <c r="N61" s="56"/>
      <c r="O61" s="262" t="e">
        <f>ROUND($P$60/SUM(#REF!),5)*#REF!</f>
        <v>#REF!</v>
      </c>
      <c r="Q61" s="268"/>
      <c r="X61" s="269"/>
    </row>
    <row r="62" spans="1:27" s="263" customFormat="1" ht="26.85" customHeight="1">
      <c r="A62" s="56"/>
      <c r="B62" s="56"/>
      <c r="C62" s="56"/>
      <c r="D62" s="56"/>
      <c r="E62" s="56"/>
      <c r="F62" s="56"/>
      <c r="G62" s="61"/>
      <c r="H62" s="61"/>
      <c r="I62" s="265"/>
      <c r="J62" s="56"/>
      <c r="K62" s="56"/>
      <c r="L62" s="56"/>
      <c r="M62" s="56"/>
      <c r="N62" s="56"/>
      <c r="P62" s="266">
        <f>SUM(W6:W7)</f>
        <v>26775</v>
      </c>
      <c r="X62" s="269"/>
    </row>
    <row r="63" spans="1:27" s="263" customFormat="1" ht="26.85" customHeight="1">
      <c r="A63" s="56"/>
      <c r="B63" s="56"/>
      <c r="C63" s="56"/>
      <c r="D63" s="56"/>
      <c r="E63" s="56"/>
      <c r="F63" s="56"/>
      <c r="G63" s="61"/>
      <c r="H63" s="61"/>
      <c r="I63" s="61"/>
      <c r="J63" s="56"/>
      <c r="K63" s="56"/>
      <c r="L63" s="56"/>
      <c r="M63" s="56"/>
      <c r="N63" s="56"/>
      <c r="P63" s="266">
        <v>14280</v>
      </c>
      <c r="X63" s="269"/>
    </row>
    <row r="64" spans="1:27" s="263" customFormat="1" ht="26.85" customHeight="1">
      <c r="A64" s="56"/>
      <c r="B64" s="56"/>
      <c r="C64" s="56"/>
      <c r="D64" s="56"/>
      <c r="E64" s="56"/>
      <c r="F64" s="56"/>
      <c r="G64" s="61"/>
      <c r="H64" s="61"/>
      <c r="I64" s="61"/>
      <c r="J64" s="56"/>
      <c r="K64" s="56"/>
      <c r="L64" s="56"/>
      <c r="M64" s="56"/>
      <c r="N64" s="56"/>
      <c r="O64" s="262" t="e">
        <f>ROUND($P$64/SUM(#REF!),5)*#REF!</f>
        <v>#REF!</v>
      </c>
      <c r="P64" s="266">
        <v>9817.5</v>
      </c>
      <c r="X64" s="269"/>
    </row>
    <row r="65" spans="1:24" s="263" customFormat="1" ht="26.85" customHeight="1">
      <c r="A65" s="56"/>
      <c r="B65" s="56"/>
      <c r="C65" s="56"/>
      <c r="D65" s="56"/>
      <c r="E65" s="56"/>
      <c r="F65" s="56"/>
      <c r="G65" s="61"/>
      <c r="H65" s="61"/>
      <c r="I65" s="61"/>
      <c r="J65" s="56"/>
      <c r="K65" s="56"/>
      <c r="L65" s="56"/>
      <c r="M65" s="56"/>
      <c r="N65" s="56"/>
      <c r="O65" s="262" t="e">
        <f>ROUND($P$64/SUM(#REF!),5)*#REF!</f>
        <v>#REF!</v>
      </c>
      <c r="P65" s="266"/>
      <c r="X65" s="269"/>
    </row>
    <row r="66" spans="1:24" s="263" customFormat="1" ht="26.85" customHeight="1">
      <c r="A66" s="56"/>
      <c r="B66" s="56"/>
      <c r="C66" s="56"/>
      <c r="D66" s="56"/>
      <c r="E66" s="56"/>
      <c r="F66" s="56"/>
      <c r="G66" s="61"/>
      <c r="H66" s="61"/>
      <c r="I66" s="61"/>
      <c r="J66" s="56"/>
      <c r="K66" s="56"/>
      <c r="L66" s="56"/>
      <c r="M66" s="56"/>
      <c r="N66" s="56"/>
      <c r="O66" s="262" t="e">
        <f>ROUND($P$64/SUM(#REF!),5)*#REF!</f>
        <v>#REF!</v>
      </c>
      <c r="P66" s="266"/>
      <c r="X66" s="269"/>
    </row>
    <row r="67" spans="1:24" s="263" customFormat="1" ht="26.85" customHeight="1">
      <c r="A67" s="56"/>
      <c r="B67" s="56"/>
      <c r="C67" s="56"/>
      <c r="D67" s="56"/>
      <c r="E67" s="56"/>
      <c r="F67" s="56"/>
      <c r="G67" s="61"/>
      <c r="H67" s="61"/>
      <c r="I67" s="61"/>
      <c r="J67" s="56"/>
      <c r="K67" s="56"/>
      <c r="L67" s="56"/>
      <c r="M67" s="56"/>
      <c r="N67" s="56"/>
      <c r="O67" s="262" t="e">
        <f>ROUND($P$64/SUM(#REF!),5)*#REF!</f>
        <v>#REF!</v>
      </c>
      <c r="P67" s="266"/>
      <c r="X67" s="269"/>
    </row>
    <row r="68" spans="1:24" s="263" customFormat="1" ht="26.85" customHeight="1">
      <c r="A68" s="56"/>
      <c r="B68" s="56"/>
      <c r="C68" s="56"/>
      <c r="D68" s="56"/>
      <c r="E68" s="56"/>
      <c r="F68" s="56"/>
      <c r="G68" s="61"/>
      <c r="H68" s="61"/>
      <c r="I68" s="61"/>
      <c r="J68" s="56"/>
      <c r="K68" s="56"/>
      <c r="L68" s="56"/>
      <c r="M68" s="56"/>
      <c r="N68" s="56"/>
      <c r="O68" s="262" t="e">
        <f>ROUND($P$64/SUM(#REF!),5)*#REF!</f>
        <v>#REF!</v>
      </c>
      <c r="P68" s="266"/>
      <c r="X68" s="269"/>
    </row>
    <row r="69" spans="1:24" s="263" customFormat="1" ht="26.85" customHeight="1">
      <c r="A69" s="56"/>
      <c r="B69" s="56"/>
      <c r="C69" s="56"/>
      <c r="D69" s="56"/>
      <c r="E69" s="56"/>
      <c r="F69" s="56"/>
      <c r="G69" s="61"/>
      <c r="H69" s="61"/>
      <c r="I69" s="61"/>
      <c r="J69" s="56"/>
      <c r="K69" s="56"/>
      <c r="L69" s="56"/>
      <c r="M69" s="56"/>
      <c r="N69" s="56"/>
      <c r="O69" s="262" t="e">
        <f>ROUND($P$64/SUM(#REF!),5)*#REF!</f>
        <v>#REF!</v>
      </c>
      <c r="P69" s="266"/>
      <c r="X69" s="269"/>
    </row>
    <row r="70" spans="1:24" s="263" customFormat="1" ht="26.85" customHeight="1">
      <c r="A70" s="56"/>
      <c r="B70" s="56"/>
      <c r="C70" s="56"/>
      <c r="D70" s="56"/>
      <c r="E70" s="56"/>
      <c r="F70" s="56"/>
      <c r="G70" s="61"/>
      <c r="H70" s="61"/>
      <c r="I70" s="61"/>
      <c r="J70" s="56"/>
      <c r="K70" s="56"/>
      <c r="L70" s="56"/>
      <c r="M70" s="56"/>
      <c r="N70" s="56"/>
      <c r="O70" s="262" t="e">
        <f>ROUND($P$64/SUM(#REF!),5)*#REF!</f>
        <v>#REF!</v>
      </c>
      <c r="P70" s="266"/>
      <c r="X70" s="269"/>
    </row>
    <row r="71" spans="1:24" s="263" customFormat="1" ht="26.85" customHeight="1">
      <c r="A71" s="56"/>
      <c r="B71" s="56"/>
      <c r="C71" s="56"/>
      <c r="D71" s="56"/>
      <c r="E71" s="56"/>
      <c r="F71" s="56"/>
      <c r="G71" s="61"/>
      <c r="H71" s="61"/>
      <c r="I71" s="61"/>
      <c r="J71" s="56"/>
      <c r="K71" s="56"/>
      <c r="L71" s="56"/>
      <c r="M71" s="56"/>
      <c r="N71" s="56"/>
      <c r="O71" s="262" t="e">
        <f>ROUND($P$64/SUM(#REF!),5)*#REF!</f>
        <v>#REF!</v>
      </c>
      <c r="P71" s="266"/>
      <c r="X71" s="269"/>
    </row>
    <row r="72" spans="1:24" s="263" customFormat="1" ht="26.85" customHeight="1">
      <c r="A72" s="56"/>
      <c r="B72" s="56"/>
      <c r="C72" s="56"/>
      <c r="D72" s="56"/>
      <c r="E72" s="56"/>
      <c r="F72" s="56"/>
      <c r="G72" s="61"/>
      <c r="H72" s="61"/>
      <c r="I72" s="61"/>
      <c r="J72" s="56"/>
      <c r="K72" s="56"/>
      <c r="L72" s="56"/>
      <c r="M72" s="56"/>
      <c r="N72" s="56"/>
      <c r="O72" s="262" t="e">
        <f>ROUND($P$72/SUM(#REF!),5)*#REF!</f>
        <v>#REF!</v>
      </c>
      <c r="P72" s="266">
        <v>15172.5</v>
      </c>
      <c r="X72" s="269"/>
    </row>
    <row r="73" spans="1:24" s="263" customFormat="1" ht="26.85" customHeight="1">
      <c r="A73" s="56"/>
      <c r="B73" s="56"/>
      <c r="C73" s="56"/>
      <c r="D73" s="56"/>
      <c r="E73" s="56"/>
      <c r="F73" s="56"/>
      <c r="G73" s="61"/>
      <c r="H73" s="61"/>
      <c r="I73" s="61"/>
      <c r="J73" s="56"/>
      <c r="K73" s="56"/>
      <c r="L73" s="56"/>
      <c r="M73" s="56"/>
      <c r="N73" s="56"/>
      <c r="O73" s="262" t="e">
        <f>ROUND($P$72/SUM(#REF!),5)*#REF!</f>
        <v>#REF!</v>
      </c>
      <c r="P73" s="266"/>
      <c r="R73" s="263">
        <v>122.5</v>
      </c>
      <c r="X73" s="269"/>
    </row>
    <row r="74" spans="1:24" s="263" customFormat="1" ht="26.85" customHeight="1">
      <c r="A74" s="56"/>
      <c r="B74" s="56"/>
      <c r="C74" s="56"/>
      <c r="D74" s="56"/>
      <c r="E74" s="56"/>
      <c r="F74" s="56"/>
      <c r="G74" s="61"/>
      <c r="H74" s="61"/>
      <c r="I74" s="61"/>
      <c r="J74" s="56"/>
      <c r="K74" s="56"/>
      <c r="L74" s="56"/>
      <c r="M74" s="56"/>
      <c r="N74" s="56"/>
      <c r="O74" s="262" t="e">
        <f>ROUND($P$72/SUM(#REF!),5)*#REF!</f>
        <v>#REF!</v>
      </c>
      <c r="P74" s="266"/>
      <c r="X74" s="269"/>
    </row>
    <row r="75" spans="1:24" s="263" customFormat="1" ht="26.85" customHeight="1">
      <c r="A75" s="56"/>
      <c r="B75" s="56"/>
      <c r="C75" s="56"/>
      <c r="D75" s="56"/>
      <c r="E75" s="56"/>
      <c r="F75" s="56"/>
      <c r="G75" s="61"/>
      <c r="H75" s="61"/>
      <c r="I75" s="61"/>
      <c r="J75" s="56"/>
      <c r="K75" s="56"/>
      <c r="L75" s="56"/>
      <c r="M75" s="56"/>
      <c r="N75" s="56"/>
      <c r="O75" s="262" t="e">
        <f>ROUND($P$72/SUM(#REF!),5)*#REF!</f>
        <v>#REF!</v>
      </c>
      <c r="P75" s="266"/>
      <c r="X75" s="269"/>
    </row>
    <row r="76" spans="1:24" s="263" customFormat="1" ht="26.85" customHeight="1">
      <c r="A76" s="56"/>
      <c r="B76" s="56"/>
      <c r="C76" s="56"/>
      <c r="D76" s="56"/>
      <c r="E76" s="56"/>
      <c r="F76" s="56"/>
      <c r="G76" s="61"/>
      <c r="H76" s="61"/>
      <c r="I76" s="61"/>
      <c r="J76" s="56"/>
      <c r="K76" s="56"/>
      <c r="L76" s="56"/>
      <c r="M76" s="56"/>
      <c r="N76" s="56"/>
      <c r="O76" s="262" t="e">
        <f>ROUND($P$72/SUM(#REF!),5)*#REF!</f>
        <v>#REF!</v>
      </c>
      <c r="P76" s="266"/>
      <c r="X76" s="269"/>
    </row>
    <row r="77" spans="1:24" s="263" customFormat="1" ht="26.85" customHeight="1">
      <c r="A77" s="56"/>
      <c r="B77" s="56"/>
      <c r="C77" s="56"/>
      <c r="D77" s="56"/>
      <c r="E77" s="56"/>
      <c r="F77" s="56"/>
      <c r="G77" s="61"/>
      <c r="H77" s="61"/>
      <c r="I77" s="61"/>
      <c r="J77" s="56"/>
      <c r="K77" s="56"/>
      <c r="L77" s="56"/>
      <c r="M77" s="56"/>
      <c r="N77" s="56"/>
      <c r="O77" s="262" t="e">
        <f>ROUND($P$72/SUM(#REF!),5)*#REF!</f>
        <v>#REF!</v>
      </c>
      <c r="P77" s="266"/>
      <c r="X77" s="269"/>
    </row>
    <row r="78" spans="1:24" s="263" customFormat="1" ht="26.85" customHeight="1">
      <c r="A78" s="56"/>
      <c r="B78" s="56"/>
      <c r="C78" s="56"/>
      <c r="D78" s="56"/>
      <c r="E78" s="56"/>
      <c r="F78" s="56"/>
      <c r="G78" s="61"/>
      <c r="H78" s="61"/>
      <c r="I78" s="61"/>
      <c r="J78" s="56"/>
      <c r="K78" s="56"/>
      <c r="L78" s="56"/>
      <c r="M78" s="56"/>
      <c r="N78" s="56"/>
      <c r="O78" s="262" t="e">
        <f>ROUND($P$78/SUM(#REF!),5)*#REF!</f>
        <v>#REF!</v>
      </c>
      <c r="P78" s="266">
        <v>892.5</v>
      </c>
      <c r="X78" s="269"/>
    </row>
    <row r="79" spans="1:24" s="263" customFormat="1" ht="26.85" customHeight="1">
      <c r="A79" s="56"/>
      <c r="B79" s="56"/>
      <c r="C79" s="56"/>
      <c r="D79" s="56"/>
      <c r="E79" s="56"/>
      <c r="F79" s="56"/>
      <c r="G79" s="61"/>
      <c r="H79" s="61"/>
      <c r="I79" s="61"/>
      <c r="J79" s="56"/>
      <c r="K79" s="56"/>
      <c r="L79" s="56"/>
      <c r="M79" s="56"/>
      <c r="N79" s="56"/>
      <c r="O79" s="262" t="e">
        <f>ROUND($P$78/SUM(#REF!),5)*#REF!</f>
        <v>#REF!</v>
      </c>
      <c r="P79" s="266"/>
      <c r="X79" s="269"/>
    </row>
    <row r="80" spans="1:24" s="263" customFormat="1" ht="26.85" customHeight="1">
      <c r="A80" s="56"/>
      <c r="B80" s="56"/>
      <c r="C80" s="56"/>
      <c r="D80" s="56"/>
      <c r="E80" s="56"/>
      <c r="F80" s="56"/>
      <c r="G80" s="61"/>
      <c r="H80" s="61"/>
      <c r="I80" s="61"/>
      <c r="J80" s="56"/>
      <c r="K80" s="56"/>
      <c r="L80" s="56"/>
      <c r="M80" s="56"/>
      <c r="N80" s="56"/>
      <c r="O80" s="262" t="e">
        <f>ROUND($P$78/SUM(#REF!),5)*#REF!</f>
        <v>#REF!</v>
      </c>
      <c r="P80" s="266"/>
      <c r="X80" s="269"/>
    </row>
    <row r="81" spans="1:24" s="263" customFormat="1" ht="26.85" customHeight="1">
      <c r="A81" s="56"/>
      <c r="B81" s="56"/>
      <c r="C81" s="56"/>
      <c r="D81" s="56"/>
      <c r="E81" s="56"/>
      <c r="F81" s="56"/>
      <c r="G81" s="61"/>
      <c r="H81" s="61"/>
      <c r="I81" s="61"/>
      <c r="J81" s="56"/>
      <c r="K81" s="56"/>
      <c r="L81" s="56"/>
      <c r="M81" s="56"/>
      <c r="N81" s="56"/>
      <c r="O81" s="262" t="e">
        <f>ROUND($P$78/SUM(#REF!),5)*#REF!</f>
        <v>#REF!</v>
      </c>
      <c r="P81" s="266"/>
      <c r="X81" s="269"/>
    </row>
    <row r="82" spans="1:24" ht="14.1" customHeight="1">
      <c r="O82" s="64"/>
      <c r="P82" s="266"/>
    </row>
    <row r="83" spans="1:24" ht="14.1" customHeight="1">
      <c r="P83" s="266"/>
    </row>
    <row r="84" spans="1:24">
      <c r="P84" s="266"/>
    </row>
    <row r="85" spans="1:24">
      <c r="P85" s="266"/>
    </row>
  </sheetData>
  <autoFilter ref="A7:X81" xr:uid="{00000000-0001-0000-0100-000000000000}"/>
  <mergeCells count="8">
    <mergeCell ref="A5:B5"/>
    <mergeCell ref="G5:I5"/>
    <mergeCell ref="G58:J58"/>
    <mergeCell ref="C41:D41"/>
    <mergeCell ref="C42:D42"/>
    <mergeCell ref="C43:D43"/>
    <mergeCell ref="C44:D44"/>
    <mergeCell ref="C7:D7"/>
  </mergeCells>
  <phoneticPr fontId="33" type="noConversion"/>
  <conditionalFormatting sqref="C1:D6 C7 C41:C44 C8:D40 C45:D1048576">
    <cfRule type="duplicateValues" dxfId="0" priority="3"/>
  </conditionalFormatting>
  <printOptions horizontalCentered="1"/>
  <pageMargins left="0.70866141732283472" right="0.31496062992125984" top="0.74803149606299213" bottom="0.74803149606299213" header="0.31496062992125984" footer="0.31496062992125984"/>
  <pageSetup paperSize="9" scale="59"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V50"/>
  <sheetViews>
    <sheetView showGridLines="0" view="pageBreakPreview" topLeftCell="A22" zoomScale="80" zoomScaleNormal="100" zoomScaleSheetLayoutView="80" workbookViewId="0">
      <selection activeCell="B26" sqref="B26:F27"/>
    </sheetView>
  </sheetViews>
  <sheetFormatPr defaultColWidth="9.5859375" defaultRowHeight="17.25" customHeight="1"/>
  <cols>
    <col min="1" max="1" width="1.51953125" style="7" customWidth="1"/>
    <col min="2" max="2" width="27.12890625" style="7" customWidth="1"/>
    <col min="3" max="3" width="3.625" style="7" customWidth="1"/>
    <col min="4" max="4" width="6.6640625" style="7" customWidth="1"/>
    <col min="5" max="5" width="7.6015625" style="7" customWidth="1"/>
    <col min="6" max="6" width="9.8203125" style="7" customWidth="1"/>
    <col min="7" max="7" width="17.421875" style="6" customWidth="1"/>
    <col min="8" max="8" width="11.57421875" style="6" customWidth="1"/>
    <col min="9" max="10" width="9.5859375" style="6" customWidth="1"/>
    <col min="11" max="11" width="8.88671875" style="55" customWidth="1"/>
    <col min="12" max="12" width="7.71484375" style="6" customWidth="1"/>
    <col min="13" max="13" width="9.00390625" style="76" bestFit="1" customWidth="1"/>
    <col min="14" max="14" width="9.00390625" style="49" bestFit="1" customWidth="1"/>
    <col min="15" max="15" width="9.5859375" style="77"/>
    <col min="16" max="17" width="9.5859375" style="49"/>
    <col min="18" max="16384" width="9.5859375" style="7"/>
  </cols>
  <sheetData>
    <row r="1" spans="1:21" ht="22.35" customHeight="1">
      <c r="A1" s="1"/>
      <c r="B1" s="2"/>
      <c r="C1" s="2"/>
      <c r="D1" s="2"/>
      <c r="E1" s="2"/>
      <c r="F1" s="2"/>
      <c r="G1" s="3"/>
      <c r="H1" s="3"/>
      <c r="I1" s="3"/>
      <c r="J1" s="4"/>
      <c r="K1" s="5"/>
    </row>
    <row r="2" spans="1:21" ht="22.35" customHeight="1">
      <c r="A2" s="8"/>
      <c r="J2" s="143"/>
      <c r="K2" s="9"/>
    </row>
    <row r="3" spans="1:21" ht="37.5" customHeight="1">
      <c r="A3" s="10"/>
      <c r="B3" s="422" t="s">
        <v>126</v>
      </c>
      <c r="C3" s="487"/>
      <c r="D3" s="487"/>
      <c r="E3" s="487"/>
      <c r="F3" s="487"/>
      <c r="G3" s="149"/>
      <c r="H3" s="488"/>
      <c r="I3" s="489"/>
      <c r="J3" s="489"/>
      <c r="K3" s="490"/>
    </row>
    <row r="4" spans="1:21" s="13" customFormat="1" ht="22.35" customHeight="1">
      <c r="A4" s="425" t="s">
        <v>31</v>
      </c>
      <c r="B4" s="426"/>
      <c r="C4" s="426"/>
      <c r="D4" s="426"/>
      <c r="E4" s="426"/>
      <c r="F4" s="426"/>
      <c r="G4" s="426"/>
      <c r="H4" s="426"/>
      <c r="I4" s="426"/>
      <c r="J4" s="426"/>
      <c r="K4" s="427"/>
      <c r="L4" s="11"/>
      <c r="M4" s="11"/>
      <c r="N4" s="78"/>
      <c r="O4" s="78"/>
      <c r="P4" s="79"/>
      <c r="R4" s="12"/>
      <c r="S4" s="12"/>
      <c r="T4" s="12"/>
      <c r="U4" s="12"/>
    </row>
    <row r="5" spans="1:21" s="13" customFormat="1" ht="12.75">
      <c r="A5" s="14" t="s">
        <v>2</v>
      </c>
      <c r="B5" s="193"/>
      <c r="C5" s="193"/>
      <c r="D5" s="193"/>
      <c r="E5" s="194"/>
      <c r="F5" s="195"/>
      <c r="G5" s="196" t="s">
        <v>32</v>
      </c>
      <c r="H5" s="300" t="str">
        <f>'Commercial Invoice'!H5</f>
        <v>OM4-DE-IS-0005</v>
      </c>
      <c r="I5" s="300"/>
      <c r="J5" s="300"/>
      <c r="K5" s="197"/>
      <c r="L5" s="15"/>
      <c r="M5" s="15"/>
      <c r="N5" s="15"/>
      <c r="O5" s="15"/>
      <c r="P5" s="15"/>
      <c r="Q5" s="15"/>
      <c r="R5" s="12"/>
      <c r="S5" s="12"/>
      <c r="T5" s="12"/>
      <c r="U5" s="12"/>
    </row>
    <row r="6" spans="1:21" s="13" customFormat="1" ht="12.75">
      <c r="A6" s="80"/>
      <c r="B6" s="428" t="s">
        <v>150</v>
      </c>
      <c r="C6" s="429"/>
      <c r="D6" s="429"/>
      <c r="E6" s="429"/>
      <c r="F6" s="430"/>
      <c r="G6" s="199" t="s">
        <v>3</v>
      </c>
      <c r="H6" s="253">
        <f>'Commercial Invoice'!H6</f>
        <v>46171</v>
      </c>
      <c r="I6" s="205"/>
      <c r="J6" s="299"/>
      <c r="K6" s="200"/>
      <c r="L6" s="15"/>
      <c r="M6" s="15"/>
      <c r="N6" s="15"/>
      <c r="O6" s="15"/>
      <c r="P6" s="15"/>
      <c r="Q6" s="15"/>
      <c r="R6" s="12"/>
      <c r="S6" s="12"/>
      <c r="T6" s="12"/>
      <c r="U6" s="12"/>
    </row>
    <row r="7" spans="1:21" ht="12.75">
      <c r="A7" s="8"/>
      <c r="B7" s="429"/>
      <c r="C7" s="429"/>
      <c r="D7" s="429"/>
      <c r="E7" s="429"/>
      <c r="F7" s="430"/>
      <c r="G7" s="202" t="s">
        <v>4</v>
      </c>
      <c r="H7" s="203" t="s">
        <v>5</v>
      </c>
      <c r="I7" s="203"/>
      <c r="J7" s="203"/>
      <c r="K7" s="228"/>
    </row>
    <row r="8" spans="1:21" ht="12.75">
      <c r="A8" s="8"/>
      <c r="B8" s="431"/>
      <c r="C8" s="431"/>
      <c r="D8" s="431"/>
      <c r="E8" s="431"/>
      <c r="F8" s="432"/>
      <c r="G8" s="199" t="s">
        <v>3</v>
      </c>
      <c r="H8" s="253">
        <f>'Commercial Invoice'!H8</f>
        <v>45814</v>
      </c>
      <c r="I8" s="205"/>
      <c r="J8" s="205"/>
      <c r="K8" s="228"/>
    </row>
    <row r="9" spans="1:21" ht="21" thickBot="1">
      <c r="A9" s="20" t="s">
        <v>6</v>
      </c>
      <c r="B9" s="203"/>
      <c r="C9" s="203"/>
      <c r="D9" s="203"/>
      <c r="E9" s="203"/>
      <c r="F9" s="207"/>
      <c r="G9" s="433" t="s">
        <v>7</v>
      </c>
      <c r="H9" s="434"/>
      <c r="I9" s="434"/>
      <c r="J9" s="434"/>
      <c r="K9" s="435"/>
    </row>
    <row r="10" spans="1:21" ht="17.850000000000001" customHeight="1">
      <c r="A10" s="8"/>
      <c r="B10" s="436" t="s">
        <v>156</v>
      </c>
      <c r="C10" s="437"/>
      <c r="D10" s="437"/>
      <c r="E10" s="437"/>
      <c r="F10" s="438"/>
      <c r="G10" s="441" t="s">
        <v>8</v>
      </c>
      <c r="H10" s="442"/>
      <c r="I10" s="442"/>
      <c r="J10" s="442"/>
      <c r="K10" s="443"/>
    </row>
    <row r="11" spans="1:21" ht="17.850000000000001" customHeight="1">
      <c r="A11" s="8"/>
      <c r="B11" s="437"/>
      <c r="C11" s="437"/>
      <c r="D11" s="437"/>
      <c r="E11" s="437"/>
      <c r="F11" s="438"/>
      <c r="G11" s="444"/>
      <c r="H11" s="445"/>
      <c r="I11" s="445"/>
      <c r="J11" s="445"/>
      <c r="K11" s="446"/>
    </row>
    <row r="12" spans="1:21" ht="24" customHeight="1" thickBot="1">
      <c r="A12" s="22"/>
      <c r="B12" s="439"/>
      <c r="C12" s="439"/>
      <c r="D12" s="439"/>
      <c r="E12" s="439"/>
      <c r="F12" s="440"/>
      <c r="G12" s="447"/>
      <c r="H12" s="448"/>
      <c r="I12" s="448"/>
      <c r="J12" s="448"/>
      <c r="K12" s="449"/>
    </row>
    <row r="13" spans="1:21" ht="21.6" customHeight="1">
      <c r="A13" s="23" t="s">
        <v>9</v>
      </c>
      <c r="B13" s="210"/>
      <c r="C13" s="211"/>
      <c r="D13" s="211"/>
      <c r="E13" s="211"/>
      <c r="F13" s="211"/>
      <c r="G13" s="229"/>
      <c r="H13" s="499"/>
      <c r="I13" s="499"/>
      <c r="J13" s="499"/>
      <c r="K13" s="500"/>
    </row>
    <row r="14" spans="1:21" ht="14.1" customHeight="1">
      <c r="A14" s="8"/>
      <c r="B14" s="450" t="s">
        <v>157</v>
      </c>
      <c r="C14" s="451"/>
      <c r="D14" s="451"/>
      <c r="E14" s="451"/>
      <c r="F14" s="452"/>
      <c r="G14" s="212"/>
      <c r="H14" s="455"/>
      <c r="I14" s="455"/>
      <c r="J14" s="455"/>
      <c r="K14" s="456"/>
    </row>
    <row r="15" spans="1:21" ht="14.1" customHeight="1">
      <c r="A15" s="8"/>
      <c r="B15" s="451"/>
      <c r="C15" s="451"/>
      <c r="D15" s="451"/>
      <c r="E15" s="451"/>
      <c r="F15" s="452"/>
      <c r="G15" s="212" t="s">
        <v>10</v>
      </c>
      <c r="H15" s="493" t="str">
        <f>'Commercial Invoice'!H15:K16</f>
        <v>OM4-DE-IS-0005</v>
      </c>
      <c r="I15" s="493"/>
      <c r="J15" s="493"/>
      <c r="K15" s="494"/>
    </row>
    <row r="16" spans="1:21" ht="14.1" customHeight="1">
      <c r="A16" s="8"/>
      <c r="B16" s="451"/>
      <c r="C16" s="451"/>
      <c r="D16" s="451"/>
      <c r="E16" s="451"/>
      <c r="F16" s="452"/>
      <c r="G16" s="212"/>
      <c r="H16" s="493"/>
      <c r="I16" s="493"/>
      <c r="J16" s="493"/>
      <c r="K16" s="494"/>
    </row>
    <row r="17" spans="1:22" ht="99.6" customHeight="1">
      <c r="A17" s="8"/>
      <c r="B17" s="453"/>
      <c r="C17" s="453"/>
      <c r="D17" s="453"/>
      <c r="E17" s="453"/>
      <c r="F17" s="454"/>
      <c r="G17" s="212" t="s">
        <v>143</v>
      </c>
      <c r="H17" s="459" t="s">
        <v>324</v>
      </c>
      <c r="I17" s="459"/>
      <c r="J17" s="459"/>
      <c r="K17" s="460"/>
      <c r="N17" s="77"/>
    </row>
    <row r="18" spans="1:22" ht="18.600000000000001" customHeight="1">
      <c r="A18" s="20" t="s">
        <v>11</v>
      </c>
      <c r="B18" s="26"/>
      <c r="C18" s="18" t="s">
        <v>12</v>
      </c>
      <c r="D18" s="19"/>
      <c r="E18" s="19"/>
      <c r="F18" s="21"/>
      <c r="G18" s="24"/>
      <c r="H18" s="420"/>
      <c r="I18" s="420"/>
      <c r="J18" s="420"/>
      <c r="K18" s="421"/>
    </row>
    <row r="19" spans="1:22" s="6" customFormat="1" ht="12.75">
      <c r="A19" s="22"/>
      <c r="B19" s="272" t="s">
        <v>323</v>
      </c>
      <c r="C19" s="27"/>
      <c r="D19" s="478">
        <v>46223</v>
      </c>
      <c r="E19" s="478"/>
      <c r="F19" s="479"/>
      <c r="G19" s="24" t="s">
        <v>110</v>
      </c>
      <c r="H19" s="420" t="s">
        <v>111</v>
      </c>
      <c r="I19" s="420"/>
      <c r="J19" s="420"/>
      <c r="K19" s="421"/>
      <c r="M19" s="76"/>
      <c r="N19" s="49"/>
      <c r="O19" s="77"/>
      <c r="P19" s="49"/>
      <c r="Q19" s="49"/>
      <c r="R19" s="7"/>
      <c r="S19" s="7"/>
      <c r="T19" s="7"/>
      <c r="U19" s="7"/>
      <c r="V19" s="7"/>
    </row>
    <row r="20" spans="1:22" s="6" customFormat="1" ht="18.600000000000001" customHeight="1">
      <c r="A20" s="20" t="s">
        <v>13</v>
      </c>
      <c r="B20" s="19"/>
      <c r="C20" s="18" t="s">
        <v>14</v>
      </c>
      <c r="D20" s="19"/>
      <c r="E20" s="19"/>
      <c r="F20" s="21"/>
      <c r="G20" s="212"/>
      <c r="H20" s="459"/>
      <c r="I20" s="459"/>
      <c r="J20" s="459"/>
      <c r="K20" s="258"/>
      <c r="M20" s="76"/>
      <c r="N20" s="49"/>
      <c r="O20" s="77"/>
      <c r="P20" s="49"/>
      <c r="Q20" s="49"/>
      <c r="R20" s="7"/>
      <c r="S20" s="7"/>
      <c r="T20" s="7"/>
      <c r="U20" s="7"/>
      <c r="V20" s="7"/>
    </row>
    <row r="21" spans="1:22" s="6" customFormat="1" ht="12.75">
      <c r="A21" s="8"/>
      <c r="B21" s="211" t="s">
        <v>174</v>
      </c>
      <c r="C21" s="274"/>
      <c r="D21" s="275" t="s">
        <v>175</v>
      </c>
      <c r="E21" s="276"/>
      <c r="F21" s="277"/>
      <c r="G21" s="24"/>
      <c r="H21" s="143"/>
      <c r="K21" s="9"/>
      <c r="M21" s="76"/>
      <c r="N21" s="49"/>
      <c r="O21" s="77"/>
      <c r="P21" s="49"/>
      <c r="Q21" s="49"/>
      <c r="R21" s="7"/>
      <c r="S21" s="7"/>
      <c r="T21" s="7"/>
      <c r="U21" s="7"/>
      <c r="V21" s="7"/>
    </row>
    <row r="22" spans="1:22" s="6" customFormat="1" ht="18.600000000000001" customHeight="1">
      <c r="A22" s="20" t="s">
        <v>15</v>
      </c>
      <c r="B22" s="26"/>
      <c r="C22" s="18" t="s">
        <v>16</v>
      </c>
      <c r="D22" s="19"/>
      <c r="E22" s="19"/>
      <c r="F22" s="21"/>
      <c r="G22" s="24"/>
      <c r="H22" s="143"/>
      <c r="K22" s="9"/>
      <c r="M22" s="76"/>
      <c r="N22" s="49"/>
      <c r="O22" s="77"/>
      <c r="P22" s="49"/>
      <c r="Q22" s="49"/>
      <c r="R22" s="7"/>
      <c r="S22" s="7"/>
      <c r="T22" s="7"/>
      <c r="U22" s="7"/>
      <c r="V22" s="7"/>
    </row>
    <row r="23" spans="1:22" s="6" customFormat="1" ht="12.75">
      <c r="A23" s="22"/>
      <c r="B23" s="272" t="s">
        <v>326</v>
      </c>
      <c r="C23" s="273"/>
      <c r="D23" s="478">
        <v>46222</v>
      </c>
      <c r="E23" s="478"/>
      <c r="F23" s="479"/>
      <c r="G23" s="24"/>
      <c r="K23" s="9"/>
      <c r="M23" s="76"/>
      <c r="N23" s="49"/>
      <c r="O23" s="77"/>
      <c r="P23" s="49"/>
      <c r="Q23" s="49"/>
      <c r="R23" s="7"/>
      <c r="S23" s="7"/>
      <c r="T23" s="7"/>
      <c r="U23" s="7"/>
      <c r="V23" s="7"/>
    </row>
    <row r="24" spans="1:22" s="6" customFormat="1" ht="12.75">
      <c r="A24" s="20" t="s">
        <v>17</v>
      </c>
      <c r="B24" s="19"/>
      <c r="C24" s="19"/>
      <c r="D24" s="19"/>
      <c r="E24" s="19"/>
      <c r="F24" s="19"/>
      <c r="G24" s="29" t="s">
        <v>318</v>
      </c>
      <c r="H24" s="30"/>
      <c r="I24" s="30"/>
      <c r="J24" s="30"/>
      <c r="K24" s="32"/>
      <c r="M24" s="76"/>
      <c r="N24" s="49"/>
      <c r="O24" s="77"/>
      <c r="P24" s="49"/>
      <c r="Q24" s="49"/>
      <c r="R24" s="7"/>
      <c r="S24" s="7"/>
      <c r="T24" s="7"/>
      <c r="U24" s="7"/>
      <c r="V24" s="7"/>
    </row>
    <row r="25" spans="1:22" s="6" customFormat="1" ht="12.75">
      <c r="A25" s="8"/>
      <c r="B25" s="17" t="s">
        <v>8</v>
      </c>
      <c r="C25" s="7"/>
      <c r="D25" s="7"/>
      <c r="E25" s="7"/>
      <c r="F25" s="7"/>
      <c r="G25" s="339" t="s">
        <v>319</v>
      </c>
      <c r="K25" s="9"/>
      <c r="M25" s="76"/>
      <c r="N25" s="49"/>
      <c r="O25" s="77"/>
      <c r="P25" s="49"/>
      <c r="Q25" s="49"/>
      <c r="R25" s="7"/>
      <c r="S25" s="7"/>
      <c r="T25" s="7"/>
      <c r="U25" s="7"/>
      <c r="V25" s="7"/>
    </row>
    <row r="26" spans="1:22" s="6" customFormat="1" ht="12.75">
      <c r="A26" s="8"/>
      <c r="B26" s="503" t="s">
        <v>151</v>
      </c>
      <c r="C26" s="503"/>
      <c r="D26" s="503"/>
      <c r="E26" s="503"/>
      <c r="F26" s="504"/>
      <c r="G26" s="339" t="s">
        <v>320</v>
      </c>
      <c r="K26" s="9"/>
      <c r="M26" s="76"/>
      <c r="N26" s="49"/>
      <c r="O26" s="77"/>
      <c r="P26" s="49"/>
      <c r="Q26" s="49"/>
      <c r="R26" s="7"/>
      <c r="S26" s="7"/>
      <c r="T26" s="7"/>
      <c r="U26" s="7"/>
      <c r="V26" s="7"/>
    </row>
    <row r="27" spans="1:22" s="6" customFormat="1" ht="12.75">
      <c r="A27" s="208"/>
      <c r="B27" s="505"/>
      <c r="C27" s="505"/>
      <c r="D27" s="505"/>
      <c r="E27" s="505"/>
      <c r="F27" s="506"/>
      <c r="G27" s="340" t="s">
        <v>321</v>
      </c>
      <c r="H27" s="222"/>
      <c r="I27" s="222"/>
      <c r="J27" s="222"/>
      <c r="K27" s="223"/>
      <c r="M27" s="76"/>
      <c r="N27" s="49"/>
      <c r="O27" s="77"/>
      <c r="P27" s="49"/>
      <c r="Q27" s="49"/>
      <c r="R27" s="7"/>
      <c r="S27" s="7"/>
      <c r="T27" s="7"/>
      <c r="U27" s="7"/>
      <c r="V27" s="7"/>
    </row>
    <row r="28" spans="1:22" s="17" customFormat="1" ht="51.6" customHeight="1">
      <c r="A28" s="495" t="s">
        <v>18</v>
      </c>
      <c r="B28" s="496"/>
      <c r="C28" s="496"/>
      <c r="D28" s="496"/>
      <c r="E28" s="496"/>
      <c r="F28" s="496"/>
      <c r="G28" s="224" t="s">
        <v>19</v>
      </c>
      <c r="H28" s="224" t="s">
        <v>20</v>
      </c>
      <c r="I28" s="225" t="s">
        <v>33</v>
      </c>
      <c r="J28" s="225" t="s">
        <v>34</v>
      </c>
      <c r="K28" s="225" t="s">
        <v>35</v>
      </c>
      <c r="L28" s="81"/>
      <c r="M28" s="82"/>
      <c r="N28" s="83"/>
      <c r="O28" s="84"/>
      <c r="P28" s="83"/>
      <c r="Q28" s="83"/>
    </row>
    <row r="29" spans="1:22" ht="45.6" customHeight="1">
      <c r="A29" s="209"/>
      <c r="B29" s="497" t="s">
        <v>165</v>
      </c>
      <c r="C29" s="497"/>
      <c r="D29" s="497"/>
      <c r="E29" s="497"/>
      <c r="F29" s="498"/>
      <c r="G29" s="216"/>
      <c r="H29" s="216"/>
      <c r="I29" s="226"/>
      <c r="J29" s="226"/>
      <c r="K29" s="227"/>
    </row>
    <row r="30" spans="1:22" ht="14.25">
      <c r="A30" s="209"/>
      <c r="B30" s="289"/>
      <c r="C30" s="289"/>
      <c r="D30" s="289"/>
      <c r="E30" s="289"/>
      <c r="F30" s="289"/>
      <c r="G30" s="216"/>
      <c r="H30" s="216"/>
      <c r="I30" s="226"/>
      <c r="J30" s="226"/>
      <c r="K30" s="227"/>
    </row>
    <row r="31" spans="1:22" ht="14.1" customHeight="1">
      <c r="A31" s="209"/>
      <c r="B31" s="501" t="s">
        <v>241</v>
      </c>
      <c r="C31" s="501"/>
      <c r="D31" s="501"/>
      <c r="E31" s="501"/>
      <c r="F31" s="502"/>
      <c r="G31" s="216" t="s">
        <v>204</v>
      </c>
      <c r="H31" s="216">
        <v>4</v>
      </c>
      <c r="I31" s="217">
        <v>2246</v>
      </c>
      <c r="J31" s="217">
        <v>2704</v>
      </c>
      <c r="K31" s="332">
        <v>4.8140000000000001</v>
      </c>
      <c r="M31" s="315" t="s">
        <v>209</v>
      </c>
      <c r="N31" s="307"/>
    </row>
    <row r="32" spans="1:22" ht="15.6" customHeight="1">
      <c r="A32" s="209"/>
      <c r="B32" s="501"/>
      <c r="C32" s="501"/>
      <c r="D32" s="501"/>
      <c r="E32" s="501"/>
      <c r="F32" s="502"/>
      <c r="G32" s="216" t="s">
        <v>204</v>
      </c>
      <c r="H32" s="216">
        <v>2</v>
      </c>
      <c r="I32" s="217">
        <v>1080</v>
      </c>
      <c r="J32" s="217">
        <v>1366</v>
      </c>
      <c r="K32" s="332">
        <v>3.3340000000000001</v>
      </c>
      <c r="M32" s="315" t="s">
        <v>210</v>
      </c>
      <c r="N32" s="307"/>
    </row>
    <row r="33" spans="1:22" ht="15.6" customHeight="1">
      <c r="A33" s="209"/>
      <c r="B33" s="501"/>
      <c r="C33" s="501"/>
      <c r="D33" s="501"/>
      <c r="E33" s="501"/>
      <c r="F33" s="502"/>
      <c r="G33" s="216" t="s">
        <v>204</v>
      </c>
      <c r="H33" s="216">
        <v>2</v>
      </c>
      <c r="I33" s="217">
        <v>1080</v>
      </c>
      <c r="J33" s="217">
        <v>1366</v>
      </c>
      <c r="K33" s="332">
        <v>3.3340000000000001</v>
      </c>
      <c r="M33" s="315" t="s">
        <v>211</v>
      </c>
      <c r="N33" s="307"/>
    </row>
    <row r="34" spans="1:22" ht="15.6" customHeight="1">
      <c r="A34" s="209"/>
      <c r="B34" s="501"/>
      <c r="C34" s="501"/>
      <c r="D34" s="501"/>
      <c r="E34" s="501"/>
      <c r="F34" s="502"/>
      <c r="G34" s="216" t="s">
        <v>204</v>
      </c>
      <c r="H34" s="216">
        <v>2</v>
      </c>
      <c r="I34" s="217">
        <v>1080</v>
      </c>
      <c r="J34" s="217">
        <v>1366</v>
      </c>
      <c r="K34" s="332">
        <f t="shared" ref="K34:K35" si="0">1.667*2</f>
        <v>3.3340000000000001</v>
      </c>
      <c r="M34" s="315" t="s">
        <v>212</v>
      </c>
      <c r="N34" s="307"/>
    </row>
    <row r="35" spans="1:22" ht="15.6" customHeight="1">
      <c r="A35" s="209"/>
      <c r="B35" s="501"/>
      <c r="C35" s="501"/>
      <c r="D35" s="501"/>
      <c r="E35" s="501"/>
      <c r="F35" s="502"/>
      <c r="G35" s="216" t="s">
        <v>204</v>
      </c>
      <c r="H35" s="216">
        <v>2</v>
      </c>
      <c r="I35" s="217">
        <v>1080</v>
      </c>
      <c r="J35" s="217">
        <v>1366</v>
      </c>
      <c r="K35" s="332">
        <f t="shared" si="0"/>
        <v>3.3340000000000001</v>
      </c>
      <c r="M35" s="315" t="s">
        <v>213</v>
      </c>
      <c r="N35" s="307"/>
    </row>
    <row r="36" spans="1:22" ht="15.6" customHeight="1">
      <c r="A36" s="209"/>
      <c r="B36" s="501"/>
      <c r="C36" s="501"/>
      <c r="D36" s="501"/>
      <c r="E36" s="501"/>
      <c r="F36" s="502"/>
      <c r="G36" s="216" t="s">
        <v>204</v>
      </c>
      <c r="H36" s="216">
        <v>2</v>
      </c>
      <c r="I36" s="217">
        <v>110</v>
      </c>
      <c r="J36" s="217">
        <v>200</v>
      </c>
      <c r="K36" s="332">
        <v>1.008</v>
      </c>
      <c r="M36" s="315" t="s">
        <v>214</v>
      </c>
      <c r="N36" s="307"/>
    </row>
    <row r="37" spans="1:22" ht="15.6" customHeight="1">
      <c r="A37" s="209"/>
      <c r="B37" s="501"/>
      <c r="C37" s="501"/>
      <c r="D37" s="501"/>
      <c r="E37" s="501"/>
      <c r="F37" s="502"/>
      <c r="G37" s="216" t="s">
        <v>204</v>
      </c>
      <c r="H37" s="216">
        <v>2</v>
      </c>
      <c r="I37" s="217">
        <v>110</v>
      </c>
      <c r="J37" s="217">
        <v>200</v>
      </c>
      <c r="K37" s="332">
        <v>1.024</v>
      </c>
      <c r="M37" s="315" t="s">
        <v>216</v>
      </c>
      <c r="N37" s="307"/>
    </row>
    <row r="38" spans="1:22" ht="12.75">
      <c r="A38" s="209"/>
      <c r="B38" s="304" t="s">
        <v>23</v>
      </c>
      <c r="C38" s="211"/>
      <c r="D38" s="275">
        <v>24</v>
      </c>
      <c r="E38" s="211" t="s">
        <v>24</v>
      </c>
      <c r="F38" s="211"/>
      <c r="G38" s="216" t="s">
        <v>204</v>
      </c>
      <c r="H38" s="216">
        <v>2</v>
      </c>
      <c r="I38" s="217">
        <v>1510</v>
      </c>
      <c r="J38" s="217">
        <v>2330</v>
      </c>
      <c r="K38" s="332">
        <v>16.597999999999999</v>
      </c>
      <c r="M38" s="315" t="s">
        <v>217</v>
      </c>
      <c r="N38" s="307"/>
    </row>
    <row r="39" spans="1:22" ht="12.75">
      <c r="A39" s="209"/>
      <c r="B39" s="211"/>
      <c r="C39" s="211"/>
      <c r="D39" s="211"/>
      <c r="E39" s="211"/>
      <c r="F39" s="211"/>
      <c r="G39" s="216" t="s">
        <v>204</v>
      </c>
      <c r="H39" s="216">
        <v>2</v>
      </c>
      <c r="I39" s="217">
        <v>1360</v>
      </c>
      <c r="J39" s="217">
        <v>1700</v>
      </c>
      <c r="K39" s="332">
        <f>1.961*2</f>
        <v>3.9220000000000002</v>
      </c>
      <c r="M39" s="315" t="s">
        <v>215</v>
      </c>
      <c r="N39" s="307"/>
    </row>
    <row r="40" spans="1:22" ht="14.25">
      <c r="A40" s="209"/>
      <c r="B40" s="289"/>
      <c r="C40" s="289"/>
      <c r="D40" s="289"/>
      <c r="E40" s="289"/>
      <c r="F40" s="289"/>
      <c r="G40" s="216" t="s">
        <v>204</v>
      </c>
      <c r="H40" s="216">
        <v>4</v>
      </c>
      <c r="I40" s="217">
        <v>1600</v>
      </c>
      <c r="J40" s="217">
        <v>3920</v>
      </c>
      <c r="K40" s="332">
        <v>25.972000000000001</v>
      </c>
      <c r="M40" s="315" t="s">
        <v>208</v>
      </c>
      <c r="N40" s="307"/>
    </row>
    <row r="41" spans="1:22" ht="14.1" customHeight="1">
      <c r="A41" s="40"/>
      <c r="B41" s="41"/>
      <c r="C41" s="41"/>
      <c r="D41" s="41"/>
      <c r="E41" s="41"/>
      <c r="F41" s="41"/>
      <c r="G41" s="43"/>
      <c r="H41" s="43"/>
      <c r="I41" s="43"/>
      <c r="J41" s="43"/>
      <c r="K41" s="333"/>
    </row>
    <row r="42" spans="1:22" s="81" customFormat="1" ht="23.1" customHeight="1">
      <c r="A42" s="85"/>
      <c r="B42" s="86"/>
      <c r="C42" s="86"/>
      <c r="D42" s="86"/>
      <c r="E42" s="86"/>
      <c r="F42" s="86"/>
      <c r="G42" s="491" t="s">
        <v>36</v>
      </c>
      <c r="H42" s="492"/>
      <c r="I42" s="87">
        <f>SUM(I29:I41)</f>
        <v>11256</v>
      </c>
      <c r="J42" s="87">
        <f>SUM(J29:J41)</f>
        <v>16518</v>
      </c>
      <c r="K42" s="334">
        <f>SUM(K29:K41)</f>
        <v>66.674000000000007</v>
      </c>
      <c r="M42" s="82"/>
      <c r="N42" s="83"/>
      <c r="O42" s="84"/>
      <c r="P42" s="83"/>
      <c r="Q42" s="83"/>
      <c r="R42" s="17"/>
      <c r="S42" s="17"/>
      <c r="T42" s="17"/>
      <c r="U42" s="17"/>
      <c r="V42" s="17"/>
    </row>
    <row r="43" spans="1:22" s="6" customFormat="1" ht="14.1" customHeight="1">
      <c r="A43" s="23"/>
      <c r="B43" s="7"/>
      <c r="C43" s="7"/>
      <c r="D43" s="7"/>
      <c r="E43" s="7"/>
      <c r="F43" s="7"/>
      <c r="K43" s="9"/>
      <c r="M43" s="76"/>
      <c r="N43" s="49"/>
      <c r="O43" s="77"/>
      <c r="P43" s="49"/>
      <c r="Q43" s="49"/>
      <c r="R43" s="7"/>
      <c r="S43" s="7"/>
      <c r="T43" s="7"/>
      <c r="U43" s="7"/>
      <c r="V43" s="7"/>
    </row>
    <row r="44" spans="1:22" s="6" customFormat="1" ht="14.1" customHeight="1">
      <c r="A44" s="8"/>
      <c r="B44" s="7"/>
      <c r="C44" s="7"/>
      <c r="D44" s="7"/>
      <c r="E44" s="7"/>
      <c r="F44" s="7"/>
      <c r="K44" s="9"/>
      <c r="M44" s="76"/>
      <c r="N44" s="49"/>
      <c r="O44" s="77"/>
      <c r="P44" s="49"/>
      <c r="Q44" s="49"/>
      <c r="R44" s="7"/>
      <c r="S44" s="7"/>
      <c r="T44" s="7"/>
      <c r="U44" s="7"/>
      <c r="V44" s="7"/>
    </row>
    <row r="46" spans="1:22" s="6" customFormat="1" ht="14.1" customHeight="1">
      <c r="A46" s="88"/>
      <c r="B46" s="7"/>
      <c r="C46" s="7"/>
      <c r="D46" s="7"/>
      <c r="E46" s="7"/>
      <c r="F46" s="7"/>
      <c r="K46" s="9"/>
      <c r="M46" s="76"/>
      <c r="N46" s="49"/>
      <c r="O46" s="77"/>
      <c r="P46" s="49"/>
      <c r="Q46" s="49"/>
      <c r="R46" s="7"/>
      <c r="S46" s="7"/>
      <c r="T46" s="7"/>
      <c r="U46" s="7"/>
      <c r="V46" s="7"/>
    </row>
    <row r="47" spans="1:22" s="6" customFormat="1" ht="14.1" customHeight="1">
      <c r="A47" s="89"/>
      <c r="B47" s="7"/>
      <c r="C47" s="7"/>
      <c r="D47" s="7"/>
      <c r="E47" s="7"/>
      <c r="F47" s="7"/>
      <c r="K47" s="9"/>
      <c r="M47" s="76"/>
      <c r="N47" s="49"/>
      <c r="O47" s="77"/>
      <c r="P47" s="49"/>
      <c r="Q47" s="49"/>
      <c r="R47" s="7"/>
      <c r="S47" s="7"/>
      <c r="T47" s="7"/>
      <c r="U47" s="7"/>
      <c r="V47" s="7"/>
    </row>
    <row r="48" spans="1:22" s="6" customFormat="1" ht="14.1" customHeight="1">
      <c r="A48" s="89"/>
      <c r="B48" s="150"/>
      <c r="C48" s="7"/>
      <c r="D48" s="7"/>
      <c r="E48" s="7"/>
      <c r="F48" s="7"/>
      <c r="G48" s="49" t="s">
        <v>26</v>
      </c>
      <c r="H48" s="34"/>
      <c r="I48" s="34"/>
      <c r="J48" s="34"/>
      <c r="K48" s="9"/>
      <c r="M48" s="76"/>
      <c r="N48" s="49"/>
      <c r="O48" s="77"/>
      <c r="P48" s="49"/>
      <c r="Q48" s="49"/>
      <c r="R48" s="7"/>
      <c r="S48" s="7"/>
      <c r="T48" s="7"/>
      <c r="U48" s="7"/>
      <c r="V48" s="7"/>
    </row>
    <row r="49" spans="1:22" s="6" customFormat="1" ht="14.1" customHeight="1">
      <c r="A49" s="89"/>
      <c r="B49" s="150"/>
      <c r="C49" s="7"/>
      <c r="D49" s="7"/>
      <c r="E49" s="7"/>
      <c r="F49" s="7"/>
      <c r="G49" s="49"/>
      <c r="H49" s="463" t="s">
        <v>169</v>
      </c>
      <c r="I49" s="463"/>
      <c r="J49" s="463"/>
      <c r="K49" s="9"/>
      <c r="M49" s="76"/>
      <c r="N49" s="49"/>
      <c r="O49" s="77"/>
      <c r="P49" s="49"/>
      <c r="Q49" s="49"/>
      <c r="R49" s="7"/>
      <c r="S49" s="7"/>
      <c r="T49" s="7"/>
      <c r="U49" s="7"/>
      <c r="V49" s="7"/>
    </row>
    <row r="50" spans="1:22" s="6" customFormat="1" ht="24" customHeight="1" thickBot="1">
      <c r="A50" s="50"/>
      <c r="B50" s="151"/>
      <c r="C50" s="51"/>
      <c r="D50" s="51"/>
      <c r="E50" s="51"/>
      <c r="F50" s="51"/>
      <c r="G50" s="52"/>
      <c r="H50" s="53"/>
      <c r="I50" s="53"/>
      <c r="J50" s="52"/>
      <c r="K50" s="54"/>
      <c r="M50" s="76"/>
      <c r="N50" s="49"/>
      <c r="O50" s="77"/>
      <c r="P50" s="49"/>
      <c r="Q50" s="49"/>
      <c r="R50" s="7"/>
      <c r="S50" s="7"/>
      <c r="T50" s="7"/>
      <c r="U50" s="7"/>
      <c r="V50" s="7"/>
    </row>
  </sheetData>
  <mergeCells count="23">
    <mergeCell ref="H49:J49"/>
    <mergeCell ref="H17:K17"/>
    <mergeCell ref="A4:K4"/>
    <mergeCell ref="G9:K9"/>
    <mergeCell ref="G10:K12"/>
    <mergeCell ref="B10:F12"/>
    <mergeCell ref="B6:F8"/>
    <mergeCell ref="B31:F37"/>
    <mergeCell ref="B26:F27"/>
    <mergeCell ref="B3:F3"/>
    <mergeCell ref="H3:K3"/>
    <mergeCell ref="G42:H42"/>
    <mergeCell ref="H14:K14"/>
    <mergeCell ref="H15:K16"/>
    <mergeCell ref="H18:K18"/>
    <mergeCell ref="D19:F19"/>
    <mergeCell ref="H19:K19"/>
    <mergeCell ref="D23:F23"/>
    <mergeCell ref="A28:F28"/>
    <mergeCell ref="B29:F29"/>
    <mergeCell ref="B14:F17"/>
    <mergeCell ref="H20:J20"/>
    <mergeCell ref="H13:K13"/>
  </mergeCells>
  <phoneticPr fontId="33" type="noConversion"/>
  <printOptions horizontalCentered="1"/>
  <pageMargins left="0.70866141732283505" right="0.52" top="0.59" bottom="0.74803149606299202" header="0.31496062992126" footer="0.31496062992126"/>
  <pageSetup paperSize="9" scale="68" fitToHeight="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B1:V49"/>
  <sheetViews>
    <sheetView showGridLines="0" view="pageBreakPreview" zoomScale="80" zoomScaleNormal="100" zoomScaleSheetLayoutView="80" workbookViewId="0">
      <selection activeCell="B26" sqref="B26:F27"/>
    </sheetView>
  </sheetViews>
  <sheetFormatPr defaultColWidth="8.76953125" defaultRowHeight="18" customHeight="1"/>
  <cols>
    <col min="1" max="1" width="1.05078125" style="91" customWidth="1"/>
    <col min="2" max="2" width="3.625" style="49" customWidth="1"/>
    <col min="3" max="3" width="22.3359375" style="25" customWidth="1"/>
    <col min="4" max="4" width="63.3828125" style="105" customWidth="1"/>
    <col min="5" max="5" width="11.4609375" style="7" customWidth="1"/>
    <col min="6" max="6" width="5.37890625" style="103" customWidth="1"/>
    <col min="7" max="7" width="6.4296875" style="7" customWidth="1"/>
    <col min="8" max="8" width="8.30078125" style="7" customWidth="1"/>
    <col min="9" max="11" width="7.3671875" style="7" customWidth="1"/>
    <col min="12" max="12" width="8.53515625" style="7" customWidth="1"/>
    <col min="13" max="14" width="10.0546875" style="7" bestFit="1" customWidth="1"/>
    <col min="15" max="15" width="11.109375" style="7" customWidth="1"/>
    <col min="16" max="16" width="9.5859375" style="49" customWidth="1"/>
    <col min="17" max="17" width="9.9375" style="106" customWidth="1"/>
    <col min="18" max="18" width="9.9375" style="91" customWidth="1"/>
    <col min="19" max="19" width="12.04296875" style="91" customWidth="1"/>
    <col min="20" max="20" width="8.53515625" style="91" bestFit="1" customWidth="1"/>
    <col min="21" max="22" width="8.76953125" style="91"/>
    <col min="23" max="23" width="4.44140625" style="91" bestFit="1" customWidth="1"/>
    <col min="24" max="24" width="5.14453125" style="91" bestFit="1" customWidth="1"/>
    <col min="25" max="16384" width="8.76953125" style="91"/>
  </cols>
  <sheetData>
    <row r="1" spans="2:22" ht="9" customHeight="1">
      <c r="B1" s="152"/>
      <c r="C1" s="7"/>
      <c r="D1" s="7"/>
      <c r="F1" s="7"/>
      <c r="H1" s="6"/>
      <c r="I1" s="6"/>
      <c r="J1" s="6"/>
      <c r="K1" s="143"/>
      <c r="L1" s="92"/>
      <c r="M1" s="152"/>
      <c r="N1" s="152"/>
      <c r="O1" s="152"/>
      <c r="P1" s="152"/>
      <c r="Q1" s="152"/>
    </row>
    <row r="2" spans="2:22" ht="26.1" customHeight="1">
      <c r="B2" s="153"/>
      <c r="C2" s="7"/>
      <c r="D2" s="7"/>
      <c r="F2" s="7"/>
      <c r="H2" s="6"/>
      <c r="I2" s="6"/>
      <c r="J2" s="6"/>
      <c r="K2" s="143"/>
      <c r="L2" s="92"/>
      <c r="M2" s="153"/>
      <c r="N2" s="153"/>
      <c r="O2" s="153"/>
      <c r="P2" s="153"/>
      <c r="Q2" s="153"/>
    </row>
    <row r="3" spans="2:22" ht="27.6" customHeight="1" thickBot="1">
      <c r="B3" s="153"/>
      <c r="C3" s="510" t="s">
        <v>0</v>
      </c>
      <c r="D3" s="510"/>
      <c r="E3" s="510"/>
      <c r="F3" s="510"/>
      <c r="G3" s="510"/>
      <c r="H3" s="510"/>
      <c r="I3" s="510"/>
      <c r="J3" s="6"/>
      <c r="K3" s="143"/>
      <c r="L3" s="92"/>
      <c r="M3" s="93"/>
      <c r="N3" s="153"/>
      <c r="O3" s="153"/>
      <c r="P3" s="153"/>
      <c r="Q3" s="153"/>
    </row>
    <row r="4" spans="2:22" ht="33.75" customHeight="1" thickTop="1" thickBot="1">
      <c r="B4" s="519" t="s">
        <v>37</v>
      </c>
      <c r="C4" s="520"/>
      <c r="D4" s="520"/>
      <c r="E4" s="520"/>
      <c r="F4" s="520"/>
      <c r="G4" s="520"/>
      <c r="H4" s="520"/>
      <c r="I4" s="520"/>
      <c r="J4" s="520"/>
      <c r="K4" s="520"/>
      <c r="L4" s="520"/>
      <c r="M4" s="520"/>
      <c r="N4" s="520"/>
      <c r="O4" s="520"/>
      <c r="P4" s="520"/>
      <c r="Q4" s="520"/>
      <c r="R4" s="520"/>
      <c r="S4" s="520"/>
      <c r="T4" s="521"/>
    </row>
    <row r="5" spans="2:22" s="7" customFormat="1" ht="17.25" customHeight="1" thickTop="1">
      <c r="B5" s="49"/>
      <c r="C5" s="94" t="s">
        <v>38</v>
      </c>
      <c r="D5" s="182" t="str">
        <f>'Packing List (1_2)'!H5</f>
        <v>OM4-DE-IS-0005</v>
      </c>
      <c r="E5" s="49"/>
      <c r="F5" s="49"/>
      <c r="G5" s="49"/>
      <c r="H5" s="49"/>
      <c r="I5" s="49"/>
      <c r="J5" s="49"/>
      <c r="K5" s="49"/>
      <c r="L5" s="49"/>
      <c r="M5" s="49"/>
      <c r="N5" s="49"/>
      <c r="O5" s="49"/>
      <c r="P5" s="95"/>
      <c r="Q5" s="49"/>
    </row>
    <row r="6" spans="2:22" s="7" customFormat="1" ht="17.25" customHeight="1">
      <c r="B6" s="49"/>
      <c r="C6" s="94" t="s">
        <v>39</v>
      </c>
      <c r="D6" s="148">
        <f>'Packing List (1_2)'!H6</f>
        <v>46171</v>
      </c>
      <c r="E6" s="49"/>
      <c r="F6" s="49"/>
      <c r="G6" s="25" t="s">
        <v>40</v>
      </c>
      <c r="H6" s="49"/>
      <c r="I6" s="49"/>
      <c r="J6" s="49"/>
      <c r="K6" s="49"/>
      <c r="L6" s="49"/>
      <c r="M6" s="49"/>
      <c r="N6" s="49"/>
      <c r="O6" s="25" t="s">
        <v>41</v>
      </c>
      <c r="P6" s="49"/>
      <c r="Q6" s="49"/>
      <c r="R6" s="49"/>
      <c r="S6" s="49"/>
    </row>
    <row r="7" spans="2:22" s="7" customFormat="1" ht="17.25" customHeight="1">
      <c r="B7" s="49"/>
      <c r="C7" s="94" t="s">
        <v>42</v>
      </c>
      <c r="D7" s="96" t="s">
        <v>127</v>
      </c>
      <c r="E7" s="49"/>
      <c r="F7" s="49"/>
      <c r="G7" s="97" t="s">
        <v>43</v>
      </c>
      <c r="H7" s="25" t="s">
        <v>44</v>
      </c>
      <c r="I7" s="49"/>
      <c r="J7" s="49"/>
      <c r="K7" s="49"/>
      <c r="L7" s="49"/>
      <c r="M7" s="49"/>
      <c r="N7" s="49"/>
      <c r="O7" s="98"/>
      <c r="P7" s="99" t="s">
        <v>178</v>
      </c>
      <c r="Q7" s="99" t="s">
        <v>45</v>
      </c>
      <c r="R7" s="99" t="s">
        <v>46</v>
      </c>
      <c r="S7" s="99" t="s">
        <v>47</v>
      </c>
    </row>
    <row r="8" spans="2:22" s="7" customFormat="1" ht="17.25" customHeight="1">
      <c r="B8" s="49"/>
      <c r="D8" s="94"/>
      <c r="E8" s="49"/>
      <c r="F8" s="49"/>
      <c r="G8" s="97" t="s">
        <v>48</v>
      </c>
      <c r="H8" s="25" t="s">
        <v>49</v>
      </c>
      <c r="I8" s="49"/>
      <c r="J8" s="49"/>
      <c r="K8" s="49"/>
      <c r="L8" s="49"/>
      <c r="M8" s="49"/>
      <c r="N8" s="49"/>
      <c r="O8" s="99" t="s">
        <v>50</v>
      </c>
      <c r="P8" s="99" t="s">
        <v>51</v>
      </c>
      <c r="Q8" s="99" t="s">
        <v>52</v>
      </c>
      <c r="R8" s="99" t="s">
        <v>53</v>
      </c>
      <c r="S8" s="99" t="s">
        <v>54</v>
      </c>
    </row>
    <row r="9" spans="2:22" s="7" customFormat="1" ht="17.25" customHeight="1">
      <c r="B9" s="49"/>
      <c r="C9" s="94"/>
      <c r="D9" s="94"/>
      <c r="E9" s="49"/>
      <c r="F9" s="49"/>
      <c r="G9" s="97" t="s">
        <v>55</v>
      </c>
      <c r="H9" s="25" t="s">
        <v>56</v>
      </c>
      <c r="I9" s="49"/>
      <c r="J9" s="49"/>
      <c r="K9" s="49"/>
      <c r="L9" s="49"/>
      <c r="M9" s="49"/>
      <c r="N9" s="49"/>
      <c r="O9" s="99" t="s">
        <v>57</v>
      </c>
      <c r="P9" s="99" t="s">
        <v>58</v>
      </c>
      <c r="Q9" s="99" t="s">
        <v>59</v>
      </c>
      <c r="R9" s="99" t="s">
        <v>60</v>
      </c>
      <c r="S9" s="99" t="s">
        <v>61</v>
      </c>
    </row>
    <row r="10" spans="2:22" s="7" customFormat="1" ht="17.25" customHeight="1">
      <c r="B10" s="49"/>
      <c r="D10" s="94"/>
      <c r="E10" s="49"/>
      <c r="F10" s="49"/>
      <c r="G10" s="97" t="s">
        <v>62</v>
      </c>
      <c r="H10" s="25" t="s">
        <v>63</v>
      </c>
      <c r="I10" s="49"/>
      <c r="J10" s="49"/>
      <c r="K10" s="49"/>
      <c r="L10" s="49"/>
      <c r="M10" s="49"/>
      <c r="N10" s="49"/>
      <c r="O10" s="99" t="s">
        <v>64</v>
      </c>
      <c r="P10" s="99" t="s">
        <v>65</v>
      </c>
      <c r="Q10" s="99" t="s">
        <v>66</v>
      </c>
      <c r="R10" s="99" t="s">
        <v>67</v>
      </c>
      <c r="S10" s="99" t="s">
        <v>68</v>
      </c>
    </row>
    <row r="11" spans="2:22" s="7" customFormat="1" ht="17.25" customHeight="1">
      <c r="B11" s="49"/>
      <c r="D11" s="94"/>
      <c r="E11" s="49"/>
      <c r="F11" s="49"/>
      <c r="G11" s="97" t="s">
        <v>69</v>
      </c>
      <c r="H11" s="25" t="s">
        <v>70</v>
      </c>
      <c r="I11" s="49"/>
      <c r="J11" s="49"/>
      <c r="K11" s="49"/>
      <c r="L11" s="49"/>
      <c r="M11" s="49"/>
      <c r="N11" s="49"/>
      <c r="O11" s="49"/>
      <c r="P11" s="49"/>
      <c r="Q11" s="49"/>
    </row>
    <row r="12" spans="2:22" s="7" customFormat="1" ht="17.25" customHeight="1">
      <c r="B12" s="49"/>
      <c r="C12" s="94"/>
      <c r="D12" s="49"/>
      <c r="E12" s="49"/>
      <c r="F12" s="49"/>
      <c r="I12" s="49"/>
      <c r="J12" s="49"/>
      <c r="K12" s="49"/>
      <c r="L12" s="49"/>
      <c r="M12" s="49"/>
      <c r="N12" s="49"/>
      <c r="O12" s="49"/>
      <c r="P12" s="49"/>
      <c r="Q12" s="49"/>
    </row>
    <row r="13" spans="2:22" s="17" customFormat="1" ht="32.1" customHeight="1">
      <c r="B13" s="511" t="s">
        <v>27</v>
      </c>
      <c r="C13" s="513" t="s">
        <v>28</v>
      </c>
      <c r="D13" s="515" t="s">
        <v>71</v>
      </c>
      <c r="E13" s="511" t="s">
        <v>72</v>
      </c>
      <c r="F13" s="507" t="s">
        <v>73</v>
      </c>
      <c r="G13" s="509"/>
      <c r="H13" s="511" t="s">
        <v>74</v>
      </c>
      <c r="I13" s="507" t="s">
        <v>75</v>
      </c>
      <c r="J13" s="508"/>
      <c r="K13" s="508"/>
      <c r="L13" s="509"/>
      <c r="M13" s="511" t="s">
        <v>76</v>
      </c>
      <c r="N13" s="511" t="s">
        <v>77</v>
      </c>
      <c r="O13" s="511" t="s">
        <v>170</v>
      </c>
      <c r="P13" s="517" t="s">
        <v>171</v>
      </c>
      <c r="Q13" s="517" t="s">
        <v>172</v>
      </c>
      <c r="R13" s="517" t="s">
        <v>173</v>
      </c>
      <c r="S13" s="511" t="s">
        <v>79</v>
      </c>
      <c r="T13" s="511" t="s">
        <v>80</v>
      </c>
    </row>
    <row r="14" spans="2:22" s="17" customFormat="1" ht="28.35" customHeight="1">
      <c r="B14" s="512"/>
      <c r="C14" s="514"/>
      <c r="D14" s="516"/>
      <c r="E14" s="512"/>
      <c r="F14" s="100" t="s">
        <v>81</v>
      </c>
      <c r="G14" s="100" t="s">
        <v>82</v>
      </c>
      <c r="H14" s="512"/>
      <c r="I14" s="101" t="s">
        <v>83</v>
      </c>
      <c r="J14" s="101" t="s">
        <v>84</v>
      </c>
      <c r="K14" s="101" t="s">
        <v>85</v>
      </c>
      <c r="L14" s="101" t="s">
        <v>86</v>
      </c>
      <c r="M14" s="512"/>
      <c r="N14" s="512"/>
      <c r="O14" s="512"/>
      <c r="P14" s="518"/>
      <c r="Q14" s="518"/>
      <c r="R14" s="518"/>
      <c r="S14" s="512"/>
      <c r="T14" s="512"/>
      <c r="V14" s="7"/>
    </row>
    <row r="15" spans="2:22" s="7" customFormat="1" ht="15.75">
      <c r="B15" s="219">
        <v>1</v>
      </c>
      <c r="C15" s="291" t="s">
        <v>245</v>
      </c>
      <c r="D15" s="33" t="s">
        <v>208</v>
      </c>
      <c r="E15" s="292" t="s">
        <v>219</v>
      </c>
      <c r="F15" s="219">
        <v>1</v>
      </c>
      <c r="G15" s="305"/>
      <c r="H15" s="305" t="s">
        <v>177</v>
      </c>
      <c r="I15" s="314">
        <v>608</v>
      </c>
      <c r="J15" s="314">
        <v>158</v>
      </c>
      <c r="K15" s="314">
        <v>60</v>
      </c>
      <c r="L15" s="335">
        <v>5.7640000000000002</v>
      </c>
      <c r="M15" s="321">
        <v>300</v>
      </c>
      <c r="N15" s="321">
        <v>930</v>
      </c>
      <c r="O15" s="309" t="s">
        <v>242</v>
      </c>
      <c r="P15" s="296" t="s">
        <v>243</v>
      </c>
      <c r="Q15" s="296" t="s">
        <v>243</v>
      </c>
      <c r="R15" s="296" t="s">
        <v>243</v>
      </c>
      <c r="S15" s="295" t="s">
        <v>244</v>
      </c>
      <c r="T15" s="311" t="s">
        <v>316</v>
      </c>
    </row>
    <row r="16" spans="2:22" s="7" customFormat="1" ht="15.75">
      <c r="B16" s="219">
        <v>2</v>
      </c>
      <c r="C16" s="291" t="s">
        <v>246</v>
      </c>
      <c r="D16" s="33" t="s">
        <v>208</v>
      </c>
      <c r="E16" s="292" t="s">
        <v>219</v>
      </c>
      <c r="F16" s="219">
        <v>1</v>
      </c>
      <c r="G16" s="305"/>
      <c r="H16" s="305" t="s">
        <v>177</v>
      </c>
      <c r="I16" s="314">
        <v>354</v>
      </c>
      <c r="J16" s="314">
        <v>204</v>
      </c>
      <c r="K16" s="314">
        <v>100</v>
      </c>
      <c r="L16" s="335">
        <v>7.2220000000000004</v>
      </c>
      <c r="M16" s="321">
        <v>500</v>
      </c>
      <c r="N16" s="321">
        <v>1030</v>
      </c>
      <c r="O16" s="309" t="s">
        <v>242</v>
      </c>
      <c r="P16" s="296" t="s">
        <v>243</v>
      </c>
      <c r="Q16" s="296" t="s">
        <v>243</v>
      </c>
      <c r="R16" s="296" t="s">
        <v>243</v>
      </c>
      <c r="S16" s="295" t="s">
        <v>244</v>
      </c>
      <c r="T16" s="311" t="s">
        <v>316</v>
      </c>
    </row>
    <row r="17" spans="2:20" s="7" customFormat="1" ht="15.75">
      <c r="B17" s="219">
        <v>3</v>
      </c>
      <c r="C17" s="291" t="s">
        <v>247</v>
      </c>
      <c r="D17" s="327" t="s">
        <v>269</v>
      </c>
      <c r="E17" s="292" t="s">
        <v>219</v>
      </c>
      <c r="F17" s="219">
        <v>1</v>
      </c>
      <c r="G17" s="305"/>
      <c r="H17" s="305" t="s">
        <v>177</v>
      </c>
      <c r="I17" s="314">
        <v>340</v>
      </c>
      <c r="J17" s="314">
        <v>208</v>
      </c>
      <c r="K17" s="314">
        <v>138</v>
      </c>
      <c r="L17" s="335">
        <v>9.7590000000000003</v>
      </c>
      <c r="M17" s="321">
        <v>810</v>
      </c>
      <c r="N17" s="321">
        <v>1350</v>
      </c>
      <c r="O17" s="309" t="s">
        <v>242</v>
      </c>
      <c r="P17" s="296" t="s">
        <v>243</v>
      </c>
      <c r="Q17" s="296" t="s">
        <v>243</v>
      </c>
      <c r="R17" s="296" t="s">
        <v>243</v>
      </c>
      <c r="S17" s="295" t="s">
        <v>244</v>
      </c>
      <c r="T17" s="311" t="s">
        <v>316</v>
      </c>
    </row>
    <row r="18" spans="2:20" s="7" customFormat="1" ht="15.75">
      <c r="B18" s="219">
        <v>4</v>
      </c>
      <c r="C18" s="291" t="s">
        <v>248</v>
      </c>
      <c r="D18" s="33" t="s">
        <v>209</v>
      </c>
      <c r="E18" s="292" t="s">
        <v>219</v>
      </c>
      <c r="F18" s="219">
        <v>1</v>
      </c>
      <c r="G18" s="305"/>
      <c r="H18" s="305" t="s">
        <v>177</v>
      </c>
      <c r="I18" s="314">
        <v>115</v>
      </c>
      <c r="J18" s="314">
        <v>94</v>
      </c>
      <c r="K18" s="314">
        <v>85</v>
      </c>
      <c r="L18" s="335">
        <v>0.91900000000000004</v>
      </c>
      <c r="M18" s="321">
        <v>447</v>
      </c>
      <c r="N18" s="321">
        <v>540</v>
      </c>
      <c r="O18" s="309" t="s">
        <v>242</v>
      </c>
      <c r="P18" s="296" t="s">
        <v>243</v>
      </c>
      <c r="Q18" s="296" t="s">
        <v>243</v>
      </c>
      <c r="R18" s="296" t="s">
        <v>243</v>
      </c>
      <c r="S18" s="295" t="s">
        <v>244</v>
      </c>
      <c r="T18" s="311" t="s">
        <v>316</v>
      </c>
    </row>
    <row r="19" spans="2:20" s="7" customFormat="1" ht="15.75">
      <c r="B19" s="219">
        <v>5</v>
      </c>
      <c r="C19" s="291" t="s">
        <v>249</v>
      </c>
      <c r="D19" s="33" t="s">
        <v>209</v>
      </c>
      <c r="E19" s="292" t="s">
        <v>219</v>
      </c>
      <c r="F19" s="219">
        <v>1</v>
      </c>
      <c r="G19" s="305"/>
      <c r="H19" s="305" t="s">
        <v>177</v>
      </c>
      <c r="I19" s="314">
        <v>168</v>
      </c>
      <c r="J19" s="314">
        <v>115</v>
      </c>
      <c r="K19" s="314">
        <v>77</v>
      </c>
      <c r="L19" s="335">
        <v>1.488</v>
      </c>
      <c r="M19" s="321">
        <v>676</v>
      </c>
      <c r="N19" s="321">
        <v>812</v>
      </c>
      <c r="O19" s="309" t="s">
        <v>242</v>
      </c>
      <c r="P19" s="296" t="s">
        <v>243</v>
      </c>
      <c r="Q19" s="296" t="s">
        <v>243</v>
      </c>
      <c r="R19" s="296" t="s">
        <v>243</v>
      </c>
      <c r="S19" s="295" t="s">
        <v>244</v>
      </c>
      <c r="T19" s="311" t="s">
        <v>316</v>
      </c>
    </row>
    <row r="20" spans="2:20" s="7" customFormat="1" ht="15.75">
      <c r="B20" s="219">
        <v>6</v>
      </c>
      <c r="C20" s="291" t="s">
        <v>250</v>
      </c>
      <c r="D20" s="33" t="s">
        <v>210</v>
      </c>
      <c r="E20" s="292" t="s">
        <v>219</v>
      </c>
      <c r="F20" s="219">
        <v>1</v>
      </c>
      <c r="G20" s="305"/>
      <c r="H20" s="305" t="s">
        <v>177</v>
      </c>
      <c r="I20" s="314">
        <v>125</v>
      </c>
      <c r="J20" s="314">
        <v>117</v>
      </c>
      <c r="K20" s="314">
        <v>114</v>
      </c>
      <c r="L20" s="335">
        <v>1.667</v>
      </c>
      <c r="M20" s="321">
        <v>540</v>
      </c>
      <c r="N20" s="321">
        <v>683</v>
      </c>
      <c r="O20" s="309" t="s">
        <v>242</v>
      </c>
      <c r="P20" s="296" t="s">
        <v>243</v>
      </c>
      <c r="Q20" s="296" t="s">
        <v>243</v>
      </c>
      <c r="R20" s="296" t="s">
        <v>243</v>
      </c>
      <c r="S20" s="295" t="s">
        <v>244</v>
      </c>
      <c r="T20" s="311" t="s">
        <v>316</v>
      </c>
    </row>
    <row r="21" spans="2:20" s="7" customFormat="1" ht="15.75">
      <c r="B21" s="219">
        <v>7</v>
      </c>
      <c r="C21" s="291" t="s">
        <v>251</v>
      </c>
      <c r="D21" s="33" t="s">
        <v>211</v>
      </c>
      <c r="E21" s="292" t="s">
        <v>219</v>
      </c>
      <c r="F21" s="219">
        <v>1</v>
      </c>
      <c r="G21" s="305"/>
      <c r="H21" s="305" t="s">
        <v>177</v>
      </c>
      <c r="I21" s="314">
        <v>125</v>
      </c>
      <c r="J21" s="314">
        <v>117</v>
      </c>
      <c r="K21" s="314">
        <v>114</v>
      </c>
      <c r="L21" s="335">
        <v>1.667</v>
      </c>
      <c r="M21" s="321">
        <v>540</v>
      </c>
      <c r="N21" s="321">
        <v>683</v>
      </c>
      <c r="O21" s="309" t="s">
        <v>242</v>
      </c>
      <c r="P21" s="296" t="s">
        <v>243</v>
      </c>
      <c r="Q21" s="296" t="s">
        <v>243</v>
      </c>
      <c r="R21" s="296" t="s">
        <v>243</v>
      </c>
      <c r="S21" s="295" t="s">
        <v>244</v>
      </c>
      <c r="T21" s="311" t="s">
        <v>316</v>
      </c>
    </row>
    <row r="22" spans="2:20" s="7" customFormat="1" ht="15.75">
      <c r="B22" s="219">
        <v>8</v>
      </c>
      <c r="C22" s="291" t="s">
        <v>252</v>
      </c>
      <c r="D22" s="33" t="s">
        <v>212</v>
      </c>
      <c r="E22" s="292" t="s">
        <v>219</v>
      </c>
      <c r="F22" s="219">
        <v>1</v>
      </c>
      <c r="G22" s="305"/>
      <c r="H22" s="305" t="s">
        <v>177</v>
      </c>
      <c r="I22" s="314">
        <v>125</v>
      </c>
      <c r="J22" s="314">
        <v>117</v>
      </c>
      <c r="K22" s="314">
        <v>114</v>
      </c>
      <c r="L22" s="335">
        <v>1.667</v>
      </c>
      <c r="M22" s="321">
        <v>540</v>
      </c>
      <c r="N22" s="321">
        <v>683</v>
      </c>
      <c r="O22" s="309" t="s">
        <v>242</v>
      </c>
      <c r="P22" s="296" t="s">
        <v>243</v>
      </c>
      <c r="Q22" s="296" t="s">
        <v>243</v>
      </c>
      <c r="R22" s="296" t="s">
        <v>243</v>
      </c>
      <c r="S22" s="295" t="s">
        <v>244</v>
      </c>
      <c r="T22" s="311" t="s">
        <v>316</v>
      </c>
    </row>
    <row r="23" spans="2:20" s="7" customFormat="1" ht="15.75">
      <c r="B23" s="219">
        <v>9</v>
      </c>
      <c r="C23" s="291" t="s">
        <v>253</v>
      </c>
      <c r="D23" s="33" t="s">
        <v>213</v>
      </c>
      <c r="E23" s="292" t="s">
        <v>219</v>
      </c>
      <c r="F23" s="219">
        <v>1</v>
      </c>
      <c r="G23" s="305"/>
      <c r="H23" s="305" t="s">
        <v>177</v>
      </c>
      <c r="I23" s="314">
        <v>125</v>
      </c>
      <c r="J23" s="314">
        <v>117</v>
      </c>
      <c r="K23" s="314">
        <v>114</v>
      </c>
      <c r="L23" s="335">
        <v>1.667</v>
      </c>
      <c r="M23" s="321">
        <v>540</v>
      </c>
      <c r="N23" s="321">
        <v>683</v>
      </c>
      <c r="O23" s="309" t="s">
        <v>242</v>
      </c>
      <c r="P23" s="296" t="s">
        <v>243</v>
      </c>
      <c r="Q23" s="296" t="s">
        <v>243</v>
      </c>
      <c r="R23" s="296" t="s">
        <v>243</v>
      </c>
      <c r="S23" s="295" t="s">
        <v>244</v>
      </c>
      <c r="T23" s="311" t="s">
        <v>316</v>
      </c>
    </row>
    <row r="24" spans="2:20" s="7" customFormat="1" ht="15.75">
      <c r="B24" s="219">
        <v>10</v>
      </c>
      <c r="C24" s="291" t="s">
        <v>254</v>
      </c>
      <c r="D24" s="33" t="s">
        <v>214</v>
      </c>
      <c r="E24" s="292" t="s">
        <v>219</v>
      </c>
      <c r="F24" s="219">
        <v>1</v>
      </c>
      <c r="G24" s="305"/>
      <c r="H24" s="305" t="s">
        <v>177</v>
      </c>
      <c r="I24" s="314">
        <v>100</v>
      </c>
      <c r="J24" s="314">
        <v>80</v>
      </c>
      <c r="K24" s="314">
        <v>63</v>
      </c>
      <c r="L24" s="335">
        <v>0.504</v>
      </c>
      <c r="M24" s="321">
        <v>55</v>
      </c>
      <c r="N24" s="321">
        <v>100</v>
      </c>
      <c r="O24" s="309" t="s">
        <v>242</v>
      </c>
      <c r="P24" s="296" t="s">
        <v>243</v>
      </c>
      <c r="Q24" s="296" t="s">
        <v>243</v>
      </c>
      <c r="R24" s="296" t="s">
        <v>243</v>
      </c>
      <c r="S24" s="295" t="s">
        <v>244</v>
      </c>
      <c r="T24" s="311" t="s">
        <v>316</v>
      </c>
    </row>
    <row r="25" spans="2:20" s="7" customFormat="1" ht="15.75">
      <c r="B25" s="219">
        <v>11</v>
      </c>
      <c r="C25" s="291" t="s">
        <v>255</v>
      </c>
      <c r="D25" s="33" t="s">
        <v>215</v>
      </c>
      <c r="E25" s="292" t="s">
        <v>219</v>
      </c>
      <c r="F25" s="219">
        <v>1</v>
      </c>
      <c r="G25" s="305"/>
      <c r="H25" s="305" t="s">
        <v>177</v>
      </c>
      <c r="I25" s="314">
        <v>148</v>
      </c>
      <c r="J25" s="314">
        <v>138</v>
      </c>
      <c r="K25" s="314">
        <v>96</v>
      </c>
      <c r="L25" s="335">
        <v>1.9610000000000001</v>
      </c>
      <c r="M25" s="321">
        <v>680</v>
      </c>
      <c r="N25" s="321">
        <v>850</v>
      </c>
      <c r="O25" s="309" t="s">
        <v>242</v>
      </c>
      <c r="P25" s="296" t="s">
        <v>243</v>
      </c>
      <c r="Q25" s="296" t="s">
        <v>243</v>
      </c>
      <c r="R25" s="296" t="s">
        <v>243</v>
      </c>
      <c r="S25" s="295" t="s">
        <v>244</v>
      </c>
      <c r="T25" s="311" t="s">
        <v>316</v>
      </c>
    </row>
    <row r="26" spans="2:20" s="7" customFormat="1" ht="15.75">
      <c r="B26" s="219">
        <v>12</v>
      </c>
      <c r="C26" s="291" t="s">
        <v>256</v>
      </c>
      <c r="D26" s="33" t="s">
        <v>216</v>
      </c>
      <c r="E26" s="292" t="s">
        <v>219</v>
      </c>
      <c r="F26" s="219">
        <v>1</v>
      </c>
      <c r="G26" s="305"/>
      <c r="H26" s="305" t="s">
        <v>177</v>
      </c>
      <c r="I26" s="314">
        <v>80</v>
      </c>
      <c r="J26" s="314">
        <v>80</v>
      </c>
      <c r="K26" s="314">
        <v>80</v>
      </c>
      <c r="L26" s="335">
        <v>0.51200000000000001</v>
      </c>
      <c r="M26" s="321">
        <v>55</v>
      </c>
      <c r="N26" s="321">
        <v>100</v>
      </c>
      <c r="O26" s="309" t="s">
        <v>242</v>
      </c>
      <c r="P26" s="296" t="s">
        <v>242</v>
      </c>
      <c r="Q26" s="296" t="s">
        <v>242</v>
      </c>
      <c r="R26" s="296" t="s">
        <v>243</v>
      </c>
      <c r="S26" s="295" t="s">
        <v>244</v>
      </c>
      <c r="T26" s="311" t="s">
        <v>316</v>
      </c>
    </row>
    <row r="27" spans="2:20" s="7" customFormat="1" ht="15.75">
      <c r="B27" s="219">
        <v>13</v>
      </c>
      <c r="C27" s="291" t="s">
        <v>257</v>
      </c>
      <c r="D27" s="290" t="s">
        <v>208</v>
      </c>
      <c r="E27" s="292" t="s">
        <v>220</v>
      </c>
      <c r="F27" s="219">
        <v>1</v>
      </c>
      <c r="G27" s="305"/>
      <c r="H27" s="305" t="s">
        <v>177</v>
      </c>
      <c r="I27" s="314">
        <v>608</v>
      </c>
      <c r="J27" s="314">
        <v>158</v>
      </c>
      <c r="K27" s="314">
        <v>60</v>
      </c>
      <c r="L27" s="335">
        <v>5.7640000000000002</v>
      </c>
      <c r="M27" s="314">
        <v>300</v>
      </c>
      <c r="N27" s="314">
        <v>930</v>
      </c>
      <c r="O27" s="309" t="s">
        <v>242</v>
      </c>
      <c r="P27" s="296" t="s">
        <v>243</v>
      </c>
      <c r="Q27" s="296" t="s">
        <v>243</v>
      </c>
      <c r="R27" s="296" t="s">
        <v>243</v>
      </c>
      <c r="S27" s="295" t="s">
        <v>244</v>
      </c>
      <c r="T27" s="311" t="s">
        <v>317</v>
      </c>
    </row>
    <row r="28" spans="2:20" s="7" customFormat="1" ht="15.75">
      <c r="B28" s="219">
        <v>14</v>
      </c>
      <c r="C28" s="291" t="s">
        <v>258</v>
      </c>
      <c r="D28" s="290" t="s">
        <v>208</v>
      </c>
      <c r="E28" s="292" t="s">
        <v>220</v>
      </c>
      <c r="F28" s="219">
        <v>1</v>
      </c>
      <c r="G28" s="305"/>
      <c r="H28" s="305" t="s">
        <v>177</v>
      </c>
      <c r="I28" s="314">
        <v>354</v>
      </c>
      <c r="J28" s="314">
        <v>204</v>
      </c>
      <c r="K28" s="314">
        <v>100</v>
      </c>
      <c r="L28" s="335">
        <v>7.2220000000000004</v>
      </c>
      <c r="M28" s="314">
        <v>500</v>
      </c>
      <c r="N28" s="314">
        <v>1030</v>
      </c>
      <c r="O28" s="309" t="s">
        <v>242</v>
      </c>
      <c r="P28" s="296" t="s">
        <v>243</v>
      </c>
      <c r="Q28" s="296" t="s">
        <v>243</v>
      </c>
      <c r="R28" s="296" t="s">
        <v>243</v>
      </c>
      <c r="S28" s="295" t="s">
        <v>244</v>
      </c>
      <c r="T28" s="311" t="s">
        <v>317</v>
      </c>
    </row>
    <row r="29" spans="2:20" s="7" customFormat="1" ht="15.75">
      <c r="B29" s="219">
        <v>15</v>
      </c>
      <c r="C29" s="291" t="s">
        <v>259</v>
      </c>
      <c r="D29" s="290" t="s">
        <v>269</v>
      </c>
      <c r="E29" s="292" t="s">
        <v>220</v>
      </c>
      <c r="F29" s="219">
        <v>1</v>
      </c>
      <c r="G29" s="305"/>
      <c r="H29" s="305" t="s">
        <v>177</v>
      </c>
      <c r="I29" s="314">
        <v>236</v>
      </c>
      <c r="J29" s="314">
        <v>210</v>
      </c>
      <c r="K29" s="314">
        <v>138</v>
      </c>
      <c r="L29" s="335">
        <v>6.8390000000000004</v>
      </c>
      <c r="M29" s="314">
        <v>700</v>
      </c>
      <c r="N29" s="314">
        <v>980</v>
      </c>
      <c r="O29" s="309" t="s">
        <v>242</v>
      </c>
      <c r="P29" s="296" t="s">
        <v>243</v>
      </c>
      <c r="Q29" s="296" t="s">
        <v>243</v>
      </c>
      <c r="R29" s="296" t="s">
        <v>243</v>
      </c>
      <c r="S29" s="295" t="s">
        <v>244</v>
      </c>
      <c r="T29" s="311" t="s">
        <v>317</v>
      </c>
    </row>
    <row r="30" spans="2:20" s="7" customFormat="1" ht="15.75">
      <c r="B30" s="219">
        <v>16</v>
      </c>
      <c r="C30" s="291" t="s">
        <v>260</v>
      </c>
      <c r="D30" s="290" t="s">
        <v>209</v>
      </c>
      <c r="E30" s="292" t="s">
        <v>220</v>
      </c>
      <c r="F30" s="219">
        <v>1</v>
      </c>
      <c r="G30" s="305"/>
      <c r="H30" s="305" t="s">
        <v>177</v>
      </c>
      <c r="I30" s="314">
        <v>115</v>
      </c>
      <c r="J30" s="314">
        <v>94</v>
      </c>
      <c r="K30" s="314">
        <v>85</v>
      </c>
      <c r="L30" s="335">
        <v>0.91900000000000004</v>
      </c>
      <c r="M30" s="314">
        <v>447</v>
      </c>
      <c r="N30" s="314">
        <v>540</v>
      </c>
      <c r="O30" s="309" t="s">
        <v>242</v>
      </c>
      <c r="P30" s="296" t="s">
        <v>243</v>
      </c>
      <c r="Q30" s="296" t="s">
        <v>243</v>
      </c>
      <c r="R30" s="296" t="s">
        <v>243</v>
      </c>
      <c r="S30" s="295" t="s">
        <v>244</v>
      </c>
      <c r="T30" s="311" t="s">
        <v>317</v>
      </c>
    </row>
    <row r="31" spans="2:20" s="7" customFormat="1" ht="15.75">
      <c r="B31" s="219">
        <v>17</v>
      </c>
      <c r="C31" s="291" t="s">
        <v>261</v>
      </c>
      <c r="D31" s="290" t="s">
        <v>209</v>
      </c>
      <c r="E31" s="292" t="s">
        <v>220</v>
      </c>
      <c r="F31" s="219">
        <v>1</v>
      </c>
      <c r="G31" s="305"/>
      <c r="H31" s="305" t="s">
        <v>177</v>
      </c>
      <c r="I31" s="314">
        <v>168</v>
      </c>
      <c r="J31" s="314">
        <v>115</v>
      </c>
      <c r="K31" s="314">
        <v>77</v>
      </c>
      <c r="L31" s="335">
        <v>1.488</v>
      </c>
      <c r="M31" s="314">
        <v>676</v>
      </c>
      <c r="N31" s="314">
        <v>812</v>
      </c>
      <c r="O31" s="309" t="s">
        <v>242</v>
      </c>
      <c r="P31" s="296" t="s">
        <v>243</v>
      </c>
      <c r="Q31" s="296" t="s">
        <v>243</v>
      </c>
      <c r="R31" s="296" t="s">
        <v>243</v>
      </c>
      <c r="S31" s="295" t="s">
        <v>244</v>
      </c>
      <c r="T31" s="311" t="s">
        <v>317</v>
      </c>
    </row>
    <row r="32" spans="2:20" s="7" customFormat="1" ht="15.75">
      <c r="B32" s="219">
        <v>18</v>
      </c>
      <c r="C32" s="291" t="s">
        <v>262</v>
      </c>
      <c r="D32" s="290" t="s">
        <v>210</v>
      </c>
      <c r="E32" s="292" t="s">
        <v>220</v>
      </c>
      <c r="F32" s="219">
        <v>1</v>
      </c>
      <c r="G32" s="305"/>
      <c r="H32" s="305" t="s">
        <v>177</v>
      </c>
      <c r="I32" s="314">
        <v>125</v>
      </c>
      <c r="J32" s="314">
        <v>117</v>
      </c>
      <c r="K32" s="314">
        <v>114</v>
      </c>
      <c r="L32" s="335">
        <v>1.667</v>
      </c>
      <c r="M32" s="314">
        <v>540</v>
      </c>
      <c r="N32" s="314">
        <v>683</v>
      </c>
      <c r="O32" s="309" t="s">
        <v>242</v>
      </c>
      <c r="P32" s="296" t="s">
        <v>243</v>
      </c>
      <c r="Q32" s="296" t="s">
        <v>243</v>
      </c>
      <c r="R32" s="296" t="s">
        <v>243</v>
      </c>
      <c r="S32" s="295" t="s">
        <v>244</v>
      </c>
      <c r="T32" s="311" t="s">
        <v>317</v>
      </c>
    </row>
    <row r="33" spans="2:20" s="7" customFormat="1" ht="15.75">
      <c r="B33" s="219">
        <v>19</v>
      </c>
      <c r="C33" s="291" t="s">
        <v>263</v>
      </c>
      <c r="D33" s="290" t="s">
        <v>211</v>
      </c>
      <c r="E33" s="292" t="s">
        <v>220</v>
      </c>
      <c r="F33" s="219">
        <v>1</v>
      </c>
      <c r="G33" s="305"/>
      <c r="H33" s="305" t="s">
        <v>177</v>
      </c>
      <c r="I33" s="314">
        <v>125</v>
      </c>
      <c r="J33" s="314">
        <v>117</v>
      </c>
      <c r="K33" s="314">
        <v>114</v>
      </c>
      <c r="L33" s="335">
        <v>1.667</v>
      </c>
      <c r="M33" s="314">
        <v>540</v>
      </c>
      <c r="N33" s="314">
        <v>683</v>
      </c>
      <c r="O33" s="309" t="s">
        <v>242</v>
      </c>
      <c r="P33" s="296" t="s">
        <v>243</v>
      </c>
      <c r="Q33" s="296" t="s">
        <v>243</v>
      </c>
      <c r="R33" s="296" t="s">
        <v>243</v>
      </c>
      <c r="S33" s="295" t="s">
        <v>244</v>
      </c>
      <c r="T33" s="311" t="s">
        <v>317</v>
      </c>
    </row>
    <row r="34" spans="2:20" s="7" customFormat="1" ht="15.75">
      <c r="B34" s="219">
        <v>20</v>
      </c>
      <c r="C34" s="291" t="s">
        <v>264</v>
      </c>
      <c r="D34" s="290" t="s">
        <v>212</v>
      </c>
      <c r="E34" s="292" t="s">
        <v>220</v>
      </c>
      <c r="F34" s="219">
        <v>1</v>
      </c>
      <c r="G34" s="305"/>
      <c r="H34" s="305" t="s">
        <v>177</v>
      </c>
      <c r="I34" s="314">
        <v>125</v>
      </c>
      <c r="J34" s="314">
        <v>117</v>
      </c>
      <c r="K34" s="314">
        <v>114</v>
      </c>
      <c r="L34" s="335">
        <v>1.667</v>
      </c>
      <c r="M34" s="314">
        <v>540</v>
      </c>
      <c r="N34" s="314">
        <v>683</v>
      </c>
      <c r="O34" s="309" t="s">
        <v>242</v>
      </c>
      <c r="P34" s="296" t="s">
        <v>243</v>
      </c>
      <c r="Q34" s="296" t="s">
        <v>243</v>
      </c>
      <c r="R34" s="296" t="s">
        <v>243</v>
      </c>
      <c r="S34" s="295" t="s">
        <v>244</v>
      </c>
      <c r="T34" s="311" t="s">
        <v>317</v>
      </c>
    </row>
    <row r="35" spans="2:20" s="7" customFormat="1" ht="15.75">
      <c r="B35" s="219">
        <v>21</v>
      </c>
      <c r="C35" s="291" t="s">
        <v>265</v>
      </c>
      <c r="D35" s="290" t="s">
        <v>213</v>
      </c>
      <c r="E35" s="292" t="s">
        <v>220</v>
      </c>
      <c r="F35" s="219">
        <v>1</v>
      </c>
      <c r="G35" s="305"/>
      <c r="H35" s="305" t="s">
        <v>177</v>
      </c>
      <c r="I35" s="314">
        <v>125</v>
      </c>
      <c r="J35" s="314">
        <v>117</v>
      </c>
      <c r="K35" s="314">
        <v>114</v>
      </c>
      <c r="L35" s="335">
        <v>1.667</v>
      </c>
      <c r="M35" s="314">
        <v>540</v>
      </c>
      <c r="N35" s="314">
        <v>683</v>
      </c>
      <c r="O35" s="309" t="s">
        <v>242</v>
      </c>
      <c r="P35" s="296" t="s">
        <v>243</v>
      </c>
      <c r="Q35" s="296" t="s">
        <v>243</v>
      </c>
      <c r="R35" s="296" t="s">
        <v>243</v>
      </c>
      <c r="S35" s="295" t="s">
        <v>244</v>
      </c>
      <c r="T35" s="311" t="s">
        <v>317</v>
      </c>
    </row>
    <row r="36" spans="2:20" s="7" customFormat="1" ht="15.75">
      <c r="B36" s="219">
        <v>22</v>
      </c>
      <c r="C36" s="291" t="s">
        <v>266</v>
      </c>
      <c r="D36" s="290" t="s">
        <v>214</v>
      </c>
      <c r="E36" s="292" t="s">
        <v>220</v>
      </c>
      <c r="F36" s="219">
        <v>1</v>
      </c>
      <c r="G36" s="305"/>
      <c r="H36" s="305" t="s">
        <v>177</v>
      </c>
      <c r="I36" s="314">
        <v>100</v>
      </c>
      <c r="J36" s="314">
        <v>80</v>
      </c>
      <c r="K36" s="314">
        <v>63</v>
      </c>
      <c r="L36" s="335">
        <v>0.504</v>
      </c>
      <c r="M36" s="314">
        <v>55</v>
      </c>
      <c r="N36" s="314">
        <v>100</v>
      </c>
      <c r="O36" s="309" t="s">
        <v>242</v>
      </c>
      <c r="P36" s="296" t="s">
        <v>243</v>
      </c>
      <c r="Q36" s="296" t="s">
        <v>243</v>
      </c>
      <c r="R36" s="296" t="s">
        <v>243</v>
      </c>
      <c r="S36" s="295" t="s">
        <v>244</v>
      </c>
      <c r="T36" s="311" t="s">
        <v>317</v>
      </c>
    </row>
    <row r="37" spans="2:20" s="7" customFormat="1" ht="15.75">
      <c r="B37" s="219">
        <v>23</v>
      </c>
      <c r="C37" s="291" t="s">
        <v>267</v>
      </c>
      <c r="D37" s="290" t="s">
        <v>215</v>
      </c>
      <c r="E37" s="292" t="s">
        <v>220</v>
      </c>
      <c r="F37" s="219">
        <v>1</v>
      </c>
      <c r="G37" s="305"/>
      <c r="H37" s="305" t="s">
        <v>177</v>
      </c>
      <c r="I37" s="314">
        <v>148</v>
      </c>
      <c r="J37" s="314">
        <v>138</v>
      </c>
      <c r="K37" s="314">
        <v>96</v>
      </c>
      <c r="L37" s="335">
        <v>1.9610000000000001</v>
      </c>
      <c r="M37" s="314">
        <v>680</v>
      </c>
      <c r="N37" s="314">
        <v>850</v>
      </c>
      <c r="O37" s="309" t="s">
        <v>242</v>
      </c>
      <c r="P37" s="296" t="s">
        <v>243</v>
      </c>
      <c r="Q37" s="296" t="s">
        <v>243</v>
      </c>
      <c r="R37" s="296" t="s">
        <v>243</v>
      </c>
      <c r="S37" s="295" t="s">
        <v>244</v>
      </c>
      <c r="T37" s="311" t="s">
        <v>317</v>
      </c>
    </row>
    <row r="38" spans="2:20" s="7" customFormat="1" ht="15.75">
      <c r="B38" s="219">
        <v>24</v>
      </c>
      <c r="C38" s="291" t="s">
        <v>268</v>
      </c>
      <c r="D38" s="290" t="s">
        <v>216</v>
      </c>
      <c r="E38" s="292" t="s">
        <v>220</v>
      </c>
      <c r="F38" s="219">
        <v>1</v>
      </c>
      <c r="G38" s="305"/>
      <c r="H38" s="305" t="s">
        <v>177</v>
      </c>
      <c r="I38" s="314">
        <v>80</v>
      </c>
      <c r="J38" s="314">
        <v>80</v>
      </c>
      <c r="K38" s="314">
        <v>80</v>
      </c>
      <c r="L38" s="335">
        <v>0.51200000000000001</v>
      </c>
      <c r="M38" s="314">
        <v>55</v>
      </c>
      <c r="N38" s="314">
        <v>100</v>
      </c>
      <c r="O38" s="309" t="s">
        <v>242</v>
      </c>
      <c r="P38" s="295" t="s">
        <v>242</v>
      </c>
      <c r="Q38" s="295" t="s">
        <v>242</v>
      </c>
      <c r="R38" s="296" t="s">
        <v>243</v>
      </c>
      <c r="S38" s="295" t="s">
        <v>244</v>
      </c>
      <c r="T38" s="311" t="s">
        <v>317</v>
      </c>
    </row>
    <row r="39" spans="2:20" ht="18.75" customHeight="1">
      <c r="B39" s="507" t="s">
        <v>87</v>
      </c>
      <c r="C39" s="508"/>
      <c r="D39" s="508"/>
      <c r="E39" s="508"/>
      <c r="F39" s="508"/>
      <c r="G39" s="508"/>
      <c r="H39" s="508"/>
      <c r="I39" s="508"/>
      <c r="J39" s="508"/>
      <c r="K39" s="509"/>
      <c r="L39" s="336">
        <f>SUM(L15:L38)</f>
        <v>66.674000000000007</v>
      </c>
      <c r="M39" s="284">
        <f>SUM(M14:M38)</f>
        <v>11256</v>
      </c>
      <c r="N39" s="284">
        <f>SUM(N14:N38)</f>
        <v>16518</v>
      </c>
      <c r="O39" s="99"/>
      <c r="P39" s="99"/>
      <c r="Q39" s="99"/>
    </row>
    <row r="40" spans="2:20" ht="18" customHeight="1">
      <c r="D40" s="102"/>
      <c r="Q40" s="104"/>
    </row>
    <row r="41" spans="2:20" ht="18" customHeight="1">
      <c r="D41" s="102"/>
      <c r="Q41" s="104"/>
    </row>
    <row r="42" spans="2:20" ht="18" customHeight="1">
      <c r="D42" s="102"/>
      <c r="Q42" s="104"/>
    </row>
    <row r="43" spans="2:20" ht="18" customHeight="1">
      <c r="D43" s="102"/>
      <c r="Q43" s="104"/>
    </row>
    <row r="44" spans="2:20" ht="18" customHeight="1">
      <c r="D44" s="102"/>
      <c r="Q44" s="104"/>
    </row>
    <row r="45" spans="2:20" ht="18" customHeight="1">
      <c r="D45" s="102"/>
      <c r="Q45" s="104"/>
    </row>
    <row r="46" spans="2:20" ht="18" customHeight="1">
      <c r="D46" s="102"/>
      <c r="Q46" s="104"/>
    </row>
    <row r="47" spans="2:20" ht="18" customHeight="1">
      <c r="D47" s="102"/>
      <c r="Q47" s="104"/>
    </row>
    <row r="48" spans="2:20" ht="18" customHeight="1">
      <c r="D48" s="102"/>
      <c r="Q48" s="104"/>
    </row>
    <row r="49" spans="4:17" ht="18" customHeight="1">
      <c r="D49" s="102"/>
      <c r="Q49" s="104"/>
    </row>
  </sheetData>
  <autoFilter ref="B14:V39" xr:uid="{00000000-0001-0000-0400-000000000000}"/>
  <mergeCells count="18">
    <mergeCell ref="R13:R14"/>
    <mergeCell ref="S13:S14"/>
    <mergeCell ref="T13:T14"/>
    <mergeCell ref="B4:T4"/>
    <mergeCell ref="M13:M14"/>
    <mergeCell ref="N13:N14"/>
    <mergeCell ref="O13:O14"/>
    <mergeCell ref="P13:P14"/>
    <mergeCell ref="Q13:Q14"/>
    <mergeCell ref="B39:K39"/>
    <mergeCell ref="C3:I3"/>
    <mergeCell ref="B13:B14"/>
    <mergeCell ref="C13:C14"/>
    <mergeCell ref="D13:D14"/>
    <mergeCell ref="E13:E14"/>
    <mergeCell ref="F13:G13"/>
    <mergeCell ref="H13:H14"/>
    <mergeCell ref="I13:L13"/>
  </mergeCells>
  <phoneticPr fontId="33" type="noConversion"/>
  <printOptions horizontalCentered="1"/>
  <pageMargins left="0.70866141732283472" right="0.70866141732283472" top="0.74803149606299213" bottom="0.74803149606299213" header="0.31496062992125984" footer="0.31496062992125984"/>
  <pageSetup paperSize="9" scale="48" fitToHeight="0" orientation="landscape" r:id="rId1"/>
  <headerFooter alignWithMargins="0">
    <oddFooter>&amp;C&amp;P/&amp;N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3ADEB-B5CB-48DA-B4B4-B1206F8CC8F6}">
  <sheetPr>
    <tabColor rgb="FF00B050"/>
    <pageSetUpPr fitToPage="1"/>
  </sheetPr>
  <dimension ref="A1:M39"/>
  <sheetViews>
    <sheetView showGridLines="0" view="pageBreakPreview" topLeftCell="A7" zoomScale="70" zoomScaleNormal="70" zoomScaleSheetLayoutView="70" workbookViewId="0">
      <selection activeCell="B26" sqref="B26:F27"/>
    </sheetView>
  </sheetViews>
  <sheetFormatPr defaultColWidth="7.71484375" defaultRowHeight="23.25"/>
  <cols>
    <col min="1" max="1" width="43.03515625" style="133" customWidth="1"/>
    <col min="2" max="2" width="2.5703125" style="134" customWidth="1"/>
    <col min="3" max="3" width="12.16015625" style="133" customWidth="1"/>
    <col min="4" max="4" width="10.875" style="133" customWidth="1"/>
    <col min="5" max="5" width="12.04296875" style="133" customWidth="1"/>
    <col min="6" max="6" width="14.03125" style="133" customWidth="1"/>
    <col min="7" max="7" width="12.04296875" style="133" customWidth="1"/>
    <col min="8" max="8" width="10.0546875" style="133" customWidth="1"/>
    <col min="9" max="9" width="12.0429687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1.35" customHeight="1" thickBot="1">
      <c r="A1" s="526" t="s">
        <v>94</v>
      </c>
      <c r="B1" s="526"/>
      <c r="C1" s="526"/>
      <c r="D1" s="526"/>
      <c r="E1" s="526"/>
      <c r="F1" s="526"/>
      <c r="G1" s="526"/>
      <c r="H1" s="526"/>
      <c r="I1" s="526"/>
      <c r="J1" s="526"/>
    </row>
    <row r="2" spans="1:13" ht="32.85" customHeight="1">
      <c r="A2" s="527" t="s">
        <v>95</v>
      </c>
      <c r="B2" s="528"/>
      <c r="C2" s="528"/>
      <c r="D2" s="528"/>
      <c r="E2" s="528"/>
      <c r="F2" s="528"/>
      <c r="G2" s="528"/>
      <c r="H2" s="528"/>
      <c r="I2" s="528"/>
      <c r="J2" s="529"/>
    </row>
    <row r="3" spans="1:13" ht="28.35" customHeight="1">
      <c r="A3" s="530" t="s">
        <v>167</v>
      </c>
      <c r="B3" s="531"/>
      <c r="C3" s="531"/>
      <c r="D3" s="531"/>
      <c r="E3" s="531"/>
      <c r="F3" s="531"/>
      <c r="G3" s="531"/>
      <c r="H3" s="531"/>
      <c r="I3" s="531"/>
      <c r="J3" s="532"/>
    </row>
    <row r="4" spans="1:13" s="135" customFormat="1" ht="30" customHeight="1">
      <c r="A4" s="234" t="s">
        <v>96</v>
      </c>
      <c r="B4" s="235" t="s">
        <v>97</v>
      </c>
      <c r="C4" s="533" t="s">
        <v>145</v>
      </c>
      <c r="D4" s="534"/>
      <c r="E4" s="534"/>
      <c r="F4" s="534"/>
      <c r="G4" s="534"/>
      <c r="H4" s="534"/>
      <c r="I4" s="534"/>
      <c r="J4" s="535"/>
    </row>
    <row r="5" spans="1:13" s="135" customFormat="1" ht="55.5" customHeight="1">
      <c r="A5" s="236" t="s">
        <v>98</v>
      </c>
      <c r="B5" s="237" t="s">
        <v>97</v>
      </c>
      <c r="C5" s="522" t="s">
        <v>146</v>
      </c>
      <c r="D5" s="522"/>
      <c r="E5" s="522"/>
      <c r="F5" s="522"/>
      <c r="G5" s="522"/>
      <c r="H5" s="522"/>
      <c r="I5" s="522"/>
      <c r="J5" s="523"/>
    </row>
    <row r="6" spans="1:13" s="135" customFormat="1" ht="101.85" customHeight="1">
      <c r="A6" s="236" t="s">
        <v>116</v>
      </c>
      <c r="B6" s="238" t="s">
        <v>97</v>
      </c>
      <c r="C6" s="522" t="s">
        <v>162</v>
      </c>
      <c r="D6" s="522"/>
      <c r="E6" s="522"/>
      <c r="F6" s="522"/>
      <c r="G6" s="522"/>
      <c r="H6" s="522"/>
      <c r="I6" s="522"/>
      <c r="J6" s="523"/>
    </row>
    <row r="7" spans="1:13" s="135" customFormat="1" ht="243.6" customHeight="1">
      <c r="A7" s="236" t="s">
        <v>99</v>
      </c>
      <c r="B7" s="238" t="s">
        <v>100</v>
      </c>
      <c r="C7" s="522" t="s">
        <v>163</v>
      </c>
      <c r="D7" s="522"/>
      <c r="E7" s="522"/>
      <c r="F7" s="522"/>
      <c r="G7" s="522"/>
      <c r="H7" s="522"/>
      <c r="I7" s="522"/>
      <c r="J7" s="523"/>
    </row>
    <row r="8" spans="1:13" s="135" customFormat="1" ht="28.35" customHeight="1">
      <c r="A8" s="236" t="s">
        <v>117</v>
      </c>
      <c r="B8" s="237" t="s">
        <v>97</v>
      </c>
      <c r="C8" s="522" t="s">
        <v>115</v>
      </c>
      <c r="D8" s="522"/>
      <c r="E8" s="522"/>
      <c r="F8" s="522"/>
      <c r="G8" s="522"/>
      <c r="H8" s="522"/>
      <c r="I8" s="522"/>
      <c r="J8" s="523"/>
    </row>
    <row r="9" spans="1:13" s="135" customFormat="1" ht="33.6" customHeight="1">
      <c r="A9" s="236" t="s">
        <v>101</v>
      </c>
      <c r="B9" s="237" t="s">
        <v>100</v>
      </c>
      <c r="C9" s="522" t="s">
        <v>179</v>
      </c>
      <c r="D9" s="522"/>
      <c r="E9" s="522"/>
      <c r="F9" s="522"/>
      <c r="G9" s="522"/>
      <c r="H9" s="522"/>
      <c r="I9" s="522"/>
      <c r="J9" s="523"/>
    </row>
    <row r="10" spans="1:13" s="135" customFormat="1" ht="29.1" customHeight="1">
      <c r="A10" s="236" t="s">
        <v>118</v>
      </c>
      <c r="B10" s="237" t="s">
        <v>97</v>
      </c>
      <c r="C10" s="522" t="s">
        <v>168</v>
      </c>
      <c r="D10" s="522"/>
      <c r="E10" s="522"/>
      <c r="F10" s="522"/>
      <c r="G10" s="522"/>
      <c r="H10" s="522"/>
      <c r="I10" s="522"/>
      <c r="J10" s="523"/>
    </row>
    <row r="11" spans="1:13" s="135" customFormat="1">
      <c r="A11" s="236" t="s">
        <v>147</v>
      </c>
      <c r="B11" s="237" t="s">
        <v>97</v>
      </c>
      <c r="C11" s="524"/>
      <c r="D11" s="524"/>
      <c r="E11" s="524"/>
      <c r="F11" s="524"/>
      <c r="G11" s="524"/>
      <c r="H11" s="524"/>
      <c r="I11" s="524"/>
      <c r="J11" s="525"/>
      <c r="L11" s="135" t="s">
        <v>148</v>
      </c>
    </row>
    <row r="12" spans="1:13" s="135" customFormat="1" ht="32.1" customHeight="1">
      <c r="A12" s="236" t="s">
        <v>124</v>
      </c>
      <c r="B12" s="238" t="s">
        <v>100</v>
      </c>
      <c r="C12" s="278" t="s">
        <v>205</v>
      </c>
      <c r="D12" s="270"/>
      <c r="E12" s="270"/>
      <c r="F12" s="270"/>
      <c r="G12" s="270"/>
      <c r="H12" s="270"/>
      <c r="I12" s="270"/>
      <c r="J12" s="271"/>
      <c r="M12" s="137"/>
    </row>
    <row r="13" spans="1:13" s="135" customFormat="1" ht="37.5" customHeight="1">
      <c r="A13" s="236" t="s">
        <v>121</v>
      </c>
      <c r="B13" s="238" t="s">
        <v>100</v>
      </c>
      <c r="C13" s="278" t="str">
        <f>'PL(2_2)'!C15</f>
        <v>OM4-MG-GEN1-KOB-0001</v>
      </c>
      <c r="D13" s="270"/>
      <c r="E13" s="270"/>
      <c r="F13" s="270"/>
      <c r="G13" s="270"/>
      <c r="H13" s="270"/>
      <c r="I13" s="270"/>
      <c r="J13" s="271"/>
      <c r="L13" s="135" t="s">
        <v>149</v>
      </c>
      <c r="M13" s="137"/>
    </row>
    <row r="14" spans="1:13" s="135" customFormat="1" ht="36.6" customHeight="1">
      <c r="A14" s="236" t="s">
        <v>119</v>
      </c>
      <c r="B14" s="237" t="s">
        <v>97</v>
      </c>
      <c r="C14" s="279">
        <f>'PL(2_2)'!M15</f>
        <v>300</v>
      </c>
      <c r="D14" s="324" t="s">
        <v>102</v>
      </c>
      <c r="E14" s="325"/>
      <c r="F14" s="325"/>
      <c r="G14" s="325"/>
      <c r="H14" s="325"/>
      <c r="I14" s="325"/>
      <c r="J14" s="239"/>
    </row>
    <row r="15" spans="1:13" s="135" customFormat="1" ht="57.6" customHeight="1">
      <c r="A15" s="236" t="s">
        <v>120</v>
      </c>
      <c r="B15" s="237" t="s">
        <v>97</v>
      </c>
      <c r="C15" s="279">
        <f>'PL(2_2)'!N15</f>
        <v>930</v>
      </c>
      <c r="D15" s="324" t="s">
        <v>102</v>
      </c>
      <c r="E15" s="325"/>
      <c r="F15" s="326"/>
      <c r="G15" s="325"/>
      <c r="H15" s="325"/>
      <c r="I15" s="325"/>
      <c r="J15" s="240"/>
    </row>
    <row r="16" spans="1:13" s="135" customFormat="1" ht="53.85" customHeight="1">
      <c r="A16" s="236" t="s">
        <v>122</v>
      </c>
      <c r="B16" s="238" t="s">
        <v>97</v>
      </c>
      <c r="C16" s="279">
        <f>'PL(2_2)'!I15</f>
        <v>608</v>
      </c>
      <c r="D16" s="324" t="s">
        <v>103</v>
      </c>
      <c r="E16" s="279">
        <f>'PL(2_2)'!J15</f>
        <v>158</v>
      </c>
      <c r="F16" s="324" t="s">
        <v>104</v>
      </c>
      <c r="G16" s="279">
        <f>'PL(2_2)'!K15</f>
        <v>60</v>
      </c>
      <c r="H16" s="324" t="s">
        <v>105</v>
      </c>
      <c r="I16" s="337">
        <f>'PL(2_2)'!L15</f>
        <v>5.7640000000000002</v>
      </c>
      <c r="J16" s="241" t="s">
        <v>106</v>
      </c>
    </row>
    <row r="17" spans="1:13" s="135" customFormat="1" ht="31.35" customHeight="1">
      <c r="A17" s="140" t="s">
        <v>113</v>
      </c>
      <c r="B17" s="136" t="s">
        <v>97</v>
      </c>
      <c r="C17" s="187" t="s">
        <v>174</v>
      </c>
      <c r="D17" s="188"/>
      <c r="E17" s="189"/>
      <c r="F17" s="188"/>
      <c r="G17" s="189"/>
      <c r="H17" s="188"/>
      <c r="I17" s="190"/>
      <c r="J17" s="191"/>
    </row>
    <row r="18" spans="1:13" s="135" customFormat="1" ht="45">
      <c r="A18" s="140" t="s">
        <v>123</v>
      </c>
      <c r="B18" s="136" t="s">
        <v>97</v>
      </c>
      <c r="C18" s="187" t="s">
        <v>166</v>
      </c>
      <c r="D18" s="188"/>
      <c r="E18" s="189"/>
      <c r="F18" s="188"/>
      <c r="G18" s="189"/>
      <c r="H18" s="188"/>
      <c r="I18" s="190"/>
      <c r="J18" s="191"/>
    </row>
    <row r="19" spans="1:13" s="135" customFormat="1">
      <c r="A19" s="141" t="s">
        <v>107</v>
      </c>
      <c r="B19" s="136" t="s">
        <v>97</v>
      </c>
      <c r="C19" s="281" t="s">
        <v>176</v>
      </c>
      <c r="D19" s="188"/>
      <c r="E19" s="189"/>
      <c r="F19" s="188"/>
      <c r="G19" s="189"/>
      <c r="H19" s="188"/>
      <c r="I19" s="190"/>
      <c r="J19" s="191"/>
    </row>
    <row r="20" spans="1:13" s="135" customFormat="1" ht="40.35" customHeight="1">
      <c r="A20" s="142" t="s">
        <v>108</v>
      </c>
      <c r="B20" s="138" t="s">
        <v>97</v>
      </c>
      <c r="C20" s="252" t="s">
        <v>109</v>
      </c>
      <c r="D20" s="184"/>
      <c r="E20" s="184"/>
      <c r="F20" s="184"/>
      <c r="G20" s="184"/>
      <c r="H20" s="184"/>
      <c r="I20" s="184"/>
      <c r="J20" s="185"/>
    </row>
    <row r="21" spans="1:13" ht="120" hidden="1" customHeight="1" thickBot="1"/>
    <row r="22" spans="1:13" ht="55.35" hidden="1" customHeight="1"/>
    <row r="23" spans="1:13" ht="55.35" hidden="1" customHeight="1" thickBot="1"/>
    <row r="24" spans="1:13" ht="40.35" hidden="1" customHeight="1"/>
    <row r="25" spans="1:13" s="135" customFormat="1" ht="40.35"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40.35" hidden="1" customHeight="1">
      <c r="A29" s="133"/>
      <c r="B29" s="134"/>
      <c r="C29" s="133"/>
      <c r="D29" s="133"/>
      <c r="E29" s="133"/>
      <c r="F29" s="133"/>
      <c r="G29" s="133"/>
      <c r="H29" s="133"/>
      <c r="I29" s="133"/>
      <c r="J29" s="133"/>
    </row>
    <row r="30" spans="1:13" s="135" customFormat="1" ht="40.35"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40.35" hidden="1" customHeight="1">
      <c r="A32" s="133"/>
      <c r="B32" s="134"/>
      <c r="C32" s="133"/>
      <c r="D32" s="133"/>
      <c r="E32" s="133"/>
      <c r="F32" s="133"/>
      <c r="G32" s="133"/>
      <c r="H32" s="133"/>
      <c r="I32" s="133"/>
      <c r="J32" s="133"/>
      <c r="M32" s="137"/>
    </row>
    <row r="33" spans="1:10" s="135" customFormat="1" ht="40.35" hidden="1" customHeight="1">
      <c r="A33" s="133"/>
      <c r="B33" s="134"/>
      <c r="C33" s="133"/>
      <c r="D33" s="133"/>
      <c r="E33" s="133"/>
      <c r="F33" s="133"/>
      <c r="G33" s="133"/>
      <c r="H33" s="133"/>
      <c r="I33" s="133"/>
      <c r="J33" s="133"/>
    </row>
    <row r="34" spans="1:10" s="135" customFormat="1" ht="40.35" hidden="1" customHeight="1">
      <c r="A34" s="133"/>
      <c r="B34" s="134"/>
      <c r="C34" s="133"/>
      <c r="D34" s="133"/>
      <c r="E34" s="133"/>
      <c r="F34" s="133"/>
      <c r="G34" s="133"/>
      <c r="H34" s="133"/>
      <c r="I34" s="133"/>
      <c r="J34" s="133"/>
    </row>
    <row r="35" spans="1:10" s="135" customFormat="1" ht="40.35" hidden="1" customHeight="1">
      <c r="A35" s="133"/>
      <c r="B35" s="134"/>
      <c r="C35" s="133"/>
      <c r="D35" s="133"/>
      <c r="E35" s="133"/>
      <c r="F35" s="133"/>
      <c r="G35" s="133"/>
      <c r="H35" s="133"/>
      <c r="I35" s="133"/>
      <c r="J35" s="133"/>
    </row>
    <row r="36" spans="1:10" s="135" customFormat="1" ht="40.35" hidden="1" customHeight="1">
      <c r="A36" s="133"/>
      <c r="B36" s="134"/>
      <c r="C36" s="133"/>
      <c r="D36" s="133"/>
      <c r="E36" s="133"/>
      <c r="F36" s="133"/>
      <c r="G36" s="133"/>
      <c r="H36" s="133"/>
      <c r="I36" s="133"/>
      <c r="J36" s="133"/>
    </row>
    <row r="37" spans="1:10" s="135" customFormat="1" ht="40.35" hidden="1" customHeight="1">
      <c r="A37" s="133"/>
      <c r="B37" s="134"/>
      <c r="C37" s="133"/>
      <c r="D37" s="133"/>
      <c r="E37" s="133"/>
      <c r="F37" s="133"/>
      <c r="G37" s="133"/>
      <c r="H37" s="133"/>
      <c r="I37" s="133"/>
      <c r="J37" s="133"/>
    </row>
    <row r="38" spans="1:10" s="135" customFormat="1" ht="40.35" hidden="1" customHeight="1">
      <c r="A38" s="133"/>
      <c r="B38" s="134"/>
      <c r="C38" s="133"/>
      <c r="D38" s="133"/>
      <c r="E38" s="133"/>
      <c r="F38" s="133"/>
      <c r="G38" s="133"/>
      <c r="H38" s="133"/>
      <c r="I38" s="133"/>
      <c r="J38" s="133"/>
    </row>
    <row r="39" spans="1:10" s="135" customFormat="1" ht="40.35" hidden="1" customHeight="1">
      <c r="A39" s="133"/>
      <c r="B39" s="134"/>
      <c r="C39" s="133"/>
      <c r="D39" s="133"/>
      <c r="E39" s="133"/>
      <c r="F39" s="133"/>
      <c r="G39" s="133"/>
      <c r="H39" s="133"/>
      <c r="I39" s="133"/>
      <c r="J39" s="133"/>
    </row>
  </sheetData>
  <mergeCells count="11">
    <mergeCell ref="C6:J6"/>
    <mergeCell ref="A1:J1"/>
    <mergeCell ref="A2:J2"/>
    <mergeCell ref="A3:J3"/>
    <mergeCell ref="C4:J4"/>
    <mergeCell ref="C5:J5"/>
    <mergeCell ref="C7:J7"/>
    <mergeCell ref="C8:J8"/>
    <mergeCell ref="C9:J9"/>
    <mergeCell ref="C10:J10"/>
    <mergeCell ref="C11:J11"/>
  </mergeCells>
  <phoneticPr fontId="33" type="noConversion"/>
  <printOptions horizontalCentered="1"/>
  <pageMargins left="0.25" right="0.25" top="0.75" bottom="0.75" header="0.3" footer="0.3"/>
  <pageSetup paperSize="9" scale="62"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6E540-AB46-44B9-8355-B405B1F4FF90}">
  <sheetPr>
    <tabColor rgb="FF00B050"/>
    <pageSetUpPr fitToPage="1"/>
  </sheetPr>
  <dimension ref="A1:M39"/>
  <sheetViews>
    <sheetView showGridLines="0" view="pageBreakPreview" zoomScale="70" zoomScaleNormal="70" zoomScaleSheetLayoutView="70" workbookViewId="0">
      <selection activeCell="B26" sqref="B26:F27"/>
    </sheetView>
  </sheetViews>
  <sheetFormatPr defaultColWidth="7.71484375" defaultRowHeight="23.25"/>
  <cols>
    <col min="1" max="1" width="43.03515625" style="133" customWidth="1"/>
    <col min="2" max="2" width="2.5703125" style="134" customWidth="1"/>
    <col min="3" max="3" width="15.203125" style="133" customWidth="1"/>
    <col min="4" max="4" width="10.875" style="133" customWidth="1"/>
    <col min="5" max="5" width="12.04296875" style="133" customWidth="1"/>
    <col min="6" max="6" width="14.03125" style="133" customWidth="1"/>
    <col min="7" max="7" width="12.04296875" style="133" customWidth="1"/>
    <col min="8" max="8" width="10.0546875" style="133" customWidth="1"/>
    <col min="9" max="9" width="12.0429687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1.35" customHeight="1" thickBot="1">
      <c r="A1" s="526" t="s">
        <v>94</v>
      </c>
      <c r="B1" s="526"/>
      <c r="C1" s="526"/>
      <c r="D1" s="526"/>
      <c r="E1" s="526"/>
      <c r="F1" s="526"/>
      <c r="G1" s="526"/>
      <c r="H1" s="526"/>
      <c r="I1" s="526"/>
      <c r="J1" s="526"/>
    </row>
    <row r="2" spans="1:13" ht="32.85" customHeight="1">
      <c r="A2" s="527" t="s">
        <v>95</v>
      </c>
      <c r="B2" s="528"/>
      <c r="C2" s="528"/>
      <c r="D2" s="528"/>
      <c r="E2" s="528"/>
      <c r="F2" s="528"/>
      <c r="G2" s="528"/>
      <c r="H2" s="528"/>
      <c r="I2" s="528"/>
      <c r="J2" s="529"/>
    </row>
    <row r="3" spans="1:13" ht="28.35" customHeight="1">
      <c r="A3" s="530" t="s">
        <v>167</v>
      </c>
      <c r="B3" s="531"/>
      <c r="C3" s="531"/>
      <c r="D3" s="531"/>
      <c r="E3" s="531"/>
      <c r="F3" s="531"/>
      <c r="G3" s="531"/>
      <c r="H3" s="531"/>
      <c r="I3" s="531"/>
      <c r="J3" s="532"/>
    </row>
    <row r="4" spans="1:13" s="135" customFormat="1" ht="30" customHeight="1">
      <c r="A4" s="234" t="s">
        <v>96</v>
      </c>
      <c r="B4" s="235" t="s">
        <v>97</v>
      </c>
      <c r="C4" s="533" t="s">
        <v>145</v>
      </c>
      <c r="D4" s="534"/>
      <c r="E4" s="534"/>
      <c r="F4" s="534"/>
      <c r="G4" s="534"/>
      <c r="H4" s="534"/>
      <c r="I4" s="534"/>
      <c r="J4" s="535"/>
    </row>
    <row r="5" spans="1:13" s="135" customFormat="1" ht="55.5" customHeight="1">
      <c r="A5" s="236" t="s">
        <v>98</v>
      </c>
      <c r="B5" s="237" t="s">
        <v>97</v>
      </c>
      <c r="C5" s="522" t="s">
        <v>146</v>
      </c>
      <c r="D5" s="522"/>
      <c r="E5" s="522"/>
      <c r="F5" s="522"/>
      <c r="G5" s="522"/>
      <c r="H5" s="522"/>
      <c r="I5" s="522"/>
      <c r="J5" s="523"/>
    </row>
    <row r="6" spans="1:13" s="135" customFormat="1" ht="101.85" customHeight="1">
      <c r="A6" s="236" t="s">
        <v>116</v>
      </c>
      <c r="B6" s="238" t="s">
        <v>97</v>
      </c>
      <c r="C6" s="522" t="s">
        <v>162</v>
      </c>
      <c r="D6" s="522"/>
      <c r="E6" s="522"/>
      <c r="F6" s="522"/>
      <c r="G6" s="522"/>
      <c r="H6" s="522"/>
      <c r="I6" s="522"/>
      <c r="J6" s="523"/>
    </row>
    <row r="7" spans="1:13" s="135" customFormat="1" ht="243.6" customHeight="1">
      <c r="A7" s="236" t="s">
        <v>99</v>
      </c>
      <c r="B7" s="238" t="s">
        <v>100</v>
      </c>
      <c r="C7" s="522" t="s">
        <v>163</v>
      </c>
      <c r="D7" s="522"/>
      <c r="E7" s="522"/>
      <c r="F7" s="522"/>
      <c r="G7" s="522"/>
      <c r="H7" s="522"/>
      <c r="I7" s="522"/>
      <c r="J7" s="523"/>
    </row>
    <row r="8" spans="1:13" s="135" customFormat="1" ht="28.35" customHeight="1">
      <c r="A8" s="236" t="s">
        <v>117</v>
      </c>
      <c r="B8" s="237" t="s">
        <v>97</v>
      </c>
      <c r="C8" s="522" t="s">
        <v>115</v>
      </c>
      <c r="D8" s="522"/>
      <c r="E8" s="522"/>
      <c r="F8" s="522"/>
      <c r="G8" s="522"/>
      <c r="H8" s="522"/>
      <c r="I8" s="522"/>
      <c r="J8" s="523"/>
    </row>
    <row r="9" spans="1:13" s="135" customFormat="1" ht="33.6" customHeight="1">
      <c r="A9" s="236" t="s">
        <v>101</v>
      </c>
      <c r="B9" s="237" t="s">
        <v>100</v>
      </c>
      <c r="C9" s="522" t="s">
        <v>179</v>
      </c>
      <c r="D9" s="522"/>
      <c r="E9" s="522"/>
      <c r="F9" s="522"/>
      <c r="G9" s="522"/>
      <c r="H9" s="522"/>
      <c r="I9" s="522"/>
      <c r="J9" s="523"/>
    </row>
    <row r="10" spans="1:13" s="135" customFormat="1" ht="29.1" customHeight="1">
      <c r="A10" s="236" t="s">
        <v>118</v>
      </c>
      <c r="B10" s="237" t="s">
        <v>97</v>
      </c>
      <c r="C10" s="522" t="s">
        <v>168</v>
      </c>
      <c r="D10" s="522"/>
      <c r="E10" s="522"/>
      <c r="F10" s="522"/>
      <c r="G10" s="522"/>
      <c r="H10" s="522"/>
      <c r="I10" s="522"/>
      <c r="J10" s="523"/>
    </row>
    <row r="11" spans="1:13" s="135" customFormat="1">
      <c r="A11" s="236" t="s">
        <v>147</v>
      </c>
      <c r="B11" s="237" t="s">
        <v>97</v>
      </c>
      <c r="C11" s="524"/>
      <c r="D11" s="524"/>
      <c r="E11" s="524"/>
      <c r="F11" s="524"/>
      <c r="G11" s="524"/>
      <c r="H11" s="524"/>
      <c r="I11" s="524"/>
      <c r="J11" s="525"/>
      <c r="L11" s="135" t="s">
        <v>148</v>
      </c>
    </row>
    <row r="12" spans="1:13" s="135" customFormat="1" ht="32.1" customHeight="1">
      <c r="A12" s="236" t="s">
        <v>124</v>
      </c>
      <c r="B12" s="238" t="s">
        <v>100</v>
      </c>
      <c r="C12" s="278" t="s">
        <v>205</v>
      </c>
      <c r="D12" s="270"/>
      <c r="E12" s="270"/>
      <c r="F12" s="270"/>
      <c r="G12" s="270"/>
      <c r="H12" s="270"/>
      <c r="I12" s="270"/>
      <c r="J12" s="271"/>
      <c r="M12" s="137"/>
    </row>
    <row r="13" spans="1:13" s="135" customFormat="1" ht="37.5" customHeight="1">
      <c r="A13" s="236" t="s">
        <v>121</v>
      </c>
      <c r="B13" s="238" t="s">
        <v>100</v>
      </c>
      <c r="C13" s="278" t="str">
        <f>'PL(2_2)'!C16</f>
        <v>OM4-MG-GEN1-KOB-0002</v>
      </c>
      <c r="D13" s="270"/>
      <c r="E13" s="270"/>
      <c r="F13" s="270"/>
      <c r="G13" s="270"/>
      <c r="H13" s="270"/>
      <c r="I13" s="270"/>
      <c r="J13" s="271"/>
      <c r="L13" s="135" t="s">
        <v>149</v>
      </c>
      <c r="M13" s="137"/>
    </row>
    <row r="14" spans="1:13" s="135" customFormat="1" ht="36.6" customHeight="1">
      <c r="A14" s="236" t="s">
        <v>119</v>
      </c>
      <c r="B14" s="237" t="s">
        <v>97</v>
      </c>
      <c r="C14" s="279">
        <f>'PL(2_2)'!M16</f>
        <v>500</v>
      </c>
      <c r="D14" s="324" t="s">
        <v>102</v>
      </c>
      <c r="E14" s="325"/>
      <c r="F14" s="325"/>
      <c r="G14" s="325"/>
      <c r="H14" s="325"/>
      <c r="I14" s="325"/>
      <c r="J14" s="239"/>
    </row>
    <row r="15" spans="1:13" s="135" customFormat="1" ht="57.6" customHeight="1">
      <c r="A15" s="236" t="s">
        <v>120</v>
      </c>
      <c r="B15" s="237" t="s">
        <v>97</v>
      </c>
      <c r="C15" s="279">
        <f>'PL(2_2)'!N16</f>
        <v>1030</v>
      </c>
      <c r="D15" s="324" t="s">
        <v>102</v>
      </c>
      <c r="E15" s="325"/>
      <c r="F15" s="326"/>
      <c r="G15" s="325"/>
      <c r="H15" s="325"/>
      <c r="I15" s="325"/>
      <c r="J15" s="240"/>
    </row>
    <row r="16" spans="1:13" s="135" customFormat="1" ht="53.85" customHeight="1">
      <c r="A16" s="236" t="s">
        <v>122</v>
      </c>
      <c r="B16" s="238" t="s">
        <v>97</v>
      </c>
      <c r="C16" s="279">
        <f>'PL(2_2)'!I16</f>
        <v>354</v>
      </c>
      <c r="D16" s="324" t="s">
        <v>103</v>
      </c>
      <c r="E16" s="279">
        <f>'PL(2_2)'!J16</f>
        <v>204</v>
      </c>
      <c r="F16" s="324" t="s">
        <v>104</v>
      </c>
      <c r="G16" s="279">
        <f>'PL(2_2)'!K16</f>
        <v>100</v>
      </c>
      <c r="H16" s="324" t="s">
        <v>105</v>
      </c>
      <c r="I16" s="337">
        <f>'PL(2_2)'!L16</f>
        <v>7.2220000000000004</v>
      </c>
      <c r="J16" s="241" t="s">
        <v>106</v>
      </c>
    </row>
    <row r="17" spans="1:13" s="135" customFormat="1" ht="31.35" customHeight="1">
      <c r="A17" s="140" t="s">
        <v>113</v>
      </c>
      <c r="B17" s="136" t="s">
        <v>97</v>
      </c>
      <c r="C17" s="187" t="s">
        <v>174</v>
      </c>
      <c r="D17" s="188"/>
      <c r="E17" s="189"/>
      <c r="F17" s="188"/>
      <c r="G17" s="189"/>
      <c r="H17" s="188"/>
      <c r="I17" s="190"/>
      <c r="J17" s="191"/>
    </row>
    <row r="18" spans="1:13" s="135" customFormat="1" ht="45">
      <c r="A18" s="140" t="s">
        <v>123</v>
      </c>
      <c r="B18" s="136" t="s">
        <v>97</v>
      </c>
      <c r="C18" s="187" t="s">
        <v>166</v>
      </c>
      <c r="D18" s="188"/>
      <c r="E18" s="189"/>
      <c r="F18" s="188"/>
      <c r="G18" s="189"/>
      <c r="H18" s="188"/>
      <c r="I18" s="190"/>
      <c r="J18" s="191"/>
    </row>
    <row r="19" spans="1:13" s="135" customFormat="1">
      <c r="A19" s="141" t="s">
        <v>107</v>
      </c>
      <c r="B19" s="136" t="s">
        <v>97</v>
      </c>
      <c r="C19" s="281" t="s">
        <v>176</v>
      </c>
      <c r="D19" s="188"/>
      <c r="E19" s="189"/>
      <c r="F19" s="188"/>
      <c r="G19" s="189"/>
      <c r="H19" s="188"/>
      <c r="I19" s="190"/>
      <c r="J19" s="191"/>
    </row>
    <row r="20" spans="1:13" s="135" customFormat="1" ht="40.35" customHeight="1">
      <c r="A20" s="142" t="s">
        <v>108</v>
      </c>
      <c r="B20" s="138" t="s">
        <v>97</v>
      </c>
      <c r="C20" s="252" t="s">
        <v>109</v>
      </c>
      <c r="D20" s="184"/>
      <c r="E20" s="184"/>
      <c r="F20" s="184"/>
      <c r="G20" s="184"/>
      <c r="H20" s="184"/>
      <c r="I20" s="184"/>
      <c r="J20" s="185"/>
    </row>
    <row r="21" spans="1:13" ht="120" hidden="1" customHeight="1" thickBot="1"/>
    <row r="22" spans="1:13" ht="55.35" hidden="1" customHeight="1"/>
    <row r="23" spans="1:13" ht="55.35" hidden="1" customHeight="1" thickBot="1"/>
    <row r="24" spans="1:13" ht="40.35" hidden="1" customHeight="1"/>
    <row r="25" spans="1:13" s="135" customFormat="1" ht="40.35"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40.35" hidden="1" customHeight="1">
      <c r="A29" s="133"/>
      <c r="B29" s="134"/>
      <c r="C29" s="133"/>
      <c r="D29" s="133"/>
      <c r="E29" s="133"/>
      <c r="F29" s="133"/>
      <c r="G29" s="133"/>
      <c r="H29" s="133"/>
      <c r="I29" s="133"/>
      <c r="J29" s="133"/>
    </row>
    <row r="30" spans="1:13" s="135" customFormat="1" ht="40.35"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40.35" hidden="1" customHeight="1">
      <c r="A32" s="133"/>
      <c r="B32" s="134"/>
      <c r="C32" s="133"/>
      <c r="D32" s="133"/>
      <c r="E32" s="133"/>
      <c r="F32" s="133"/>
      <c r="G32" s="133"/>
      <c r="H32" s="133"/>
      <c r="I32" s="133"/>
      <c r="J32" s="133"/>
      <c r="M32" s="137"/>
    </row>
    <row r="33" spans="1:10" s="135" customFormat="1" ht="40.35" hidden="1" customHeight="1">
      <c r="A33" s="133"/>
      <c r="B33" s="134"/>
      <c r="C33" s="133"/>
      <c r="D33" s="133"/>
      <c r="E33" s="133"/>
      <c r="F33" s="133"/>
      <c r="G33" s="133"/>
      <c r="H33" s="133"/>
      <c r="I33" s="133"/>
      <c r="J33" s="133"/>
    </row>
    <row r="34" spans="1:10" s="135" customFormat="1" ht="40.35" hidden="1" customHeight="1">
      <c r="A34" s="133"/>
      <c r="B34" s="134"/>
      <c r="C34" s="133"/>
      <c r="D34" s="133"/>
      <c r="E34" s="133"/>
      <c r="F34" s="133"/>
      <c r="G34" s="133"/>
      <c r="H34" s="133"/>
      <c r="I34" s="133"/>
      <c r="J34" s="133"/>
    </row>
    <row r="35" spans="1:10" s="135" customFormat="1" ht="40.35" hidden="1" customHeight="1">
      <c r="A35" s="133"/>
      <c r="B35" s="134"/>
      <c r="C35" s="133"/>
      <c r="D35" s="133"/>
      <c r="E35" s="133"/>
      <c r="F35" s="133"/>
      <c r="G35" s="133"/>
      <c r="H35" s="133"/>
      <c r="I35" s="133"/>
      <c r="J35" s="133"/>
    </row>
    <row r="36" spans="1:10" s="135" customFormat="1" ht="40.35" hidden="1" customHeight="1">
      <c r="A36" s="133"/>
      <c r="B36" s="134"/>
      <c r="C36" s="133"/>
      <c r="D36" s="133"/>
      <c r="E36" s="133"/>
      <c r="F36" s="133"/>
      <c r="G36" s="133"/>
      <c r="H36" s="133"/>
      <c r="I36" s="133"/>
      <c r="J36" s="133"/>
    </row>
    <row r="37" spans="1:10" s="135" customFormat="1" ht="40.35" hidden="1" customHeight="1">
      <c r="A37" s="133"/>
      <c r="B37" s="134"/>
      <c r="C37" s="133"/>
      <c r="D37" s="133"/>
      <c r="E37" s="133"/>
      <c r="F37" s="133"/>
      <c r="G37" s="133"/>
      <c r="H37" s="133"/>
      <c r="I37" s="133"/>
      <c r="J37" s="133"/>
    </row>
    <row r="38" spans="1:10" s="135" customFormat="1" ht="40.35" hidden="1" customHeight="1">
      <c r="A38" s="133"/>
      <c r="B38" s="134"/>
      <c r="C38" s="133"/>
      <c r="D38" s="133"/>
      <c r="E38" s="133"/>
      <c r="F38" s="133"/>
      <c r="G38" s="133"/>
      <c r="H38" s="133"/>
      <c r="I38" s="133"/>
      <c r="J38" s="133"/>
    </row>
    <row r="39" spans="1:10" s="135" customFormat="1" ht="40.35"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D5E8E-4A9A-48B0-907C-231E34C33E06}">
  <sheetPr>
    <tabColor rgb="FF00B050"/>
    <pageSetUpPr fitToPage="1"/>
  </sheetPr>
  <dimension ref="A1:M39"/>
  <sheetViews>
    <sheetView showGridLines="0" view="pageBreakPreview" zoomScale="70" zoomScaleNormal="70" zoomScaleSheetLayoutView="70" workbookViewId="0">
      <selection activeCell="B26" sqref="B26:F27"/>
    </sheetView>
  </sheetViews>
  <sheetFormatPr defaultColWidth="7.71484375" defaultRowHeight="23.25"/>
  <cols>
    <col min="1" max="1" width="43.03515625" style="133" customWidth="1"/>
    <col min="2" max="2" width="2.5703125" style="134" customWidth="1"/>
    <col min="3" max="3" width="15.203125" style="133" customWidth="1"/>
    <col min="4" max="4" width="10.875" style="133" customWidth="1"/>
    <col min="5" max="5" width="12.04296875" style="133" customWidth="1"/>
    <col min="6" max="6" width="14.1484375" style="133" customWidth="1"/>
    <col min="7" max="7" width="12.04296875" style="133" customWidth="1"/>
    <col min="8" max="8" width="10.0546875" style="133" customWidth="1"/>
    <col min="9" max="9" width="12.0429687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1.35" customHeight="1" thickBot="1">
      <c r="A1" s="526" t="s">
        <v>94</v>
      </c>
      <c r="B1" s="526"/>
      <c r="C1" s="526"/>
      <c r="D1" s="526"/>
      <c r="E1" s="526"/>
      <c r="F1" s="526"/>
      <c r="G1" s="526"/>
      <c r="H1" s="526"/>
      <c r="I1" s="526"/>
      <c r="J1" s="526"/>
    </row>
    <row r="2" spans="1:13" ht="32.85" customHeight="1">
      <c r="A2" s="527" t="s">
        <v>95</v>
      </c>
      <c r="B2" s="528"/>
      <c r="C2" s="528"/>
      <c r="D2" s="528"/>
      <c r="E2" s="528"/>
      <c r="F2" s="528"/>
      <c r="G2" s="528"/>
      <c r="H2" s="528"/>
      <c r="I2" s="528"/>
      <c r="J2" s="529"/>
    </row>
    <row r="3" spans="1:13" ht="28.35" customHeight="1">
      <c r="A3" s="530" t="s">
        <v>167</v>
      </c>
      <c r="B3" s="531"/>
      <c r="C3" s="531"/>
      <c r="D3" s="531"/>
      <c r="E3" s="531"/>
      <c r="F3" s="531"/>
      <c r="G3" s="531"/>
      <c r="H3" s="531"/>
      <c r="I3" s="531"/>
      <c r="J3" s="532"/>
    </row>
    <row r="4" spans="1:13" s="135" customFormat="1" ht="30" customHeight="1">
      <c r="A4" s="234" t="s">
        <v>96</v>
      </c>
      <c r="B4" s="235" t="s">
        <v>97</v>
      </c>
      <c r="C4" s="533" t="s">
        <v>145</v>
      </c>
      <c r="D4" s="534"/>
      <c r="E4" s="534"/>
      <c r="F4" s="534"/>
      <c r="G4" s="534"/>
      <c r="H4" s="534"/>
      <c r="I4" s="534"/>
      <c r="J4" s="535"/>
    </row>
    <row r="5" spans="1:13" s="135" customFormat="1" ht="55.5" customHeight="1">
      <c r="A5" s="236" t="s">
        <v>98</v>
      </c>
      <c r="B5" s="237" t="s">
        <v>97</v>
      </c>
      <c r="C5" s="522" t="s">
        <v>146</v>
      </c>
      <c r="D5" s="522"/>
      <c r="E5" s="522"/>
      <c r="F5" s="522"/>
      <c r="G5" s="522"/>
      <c r="H5" s="522"/>
      <c r="I5" s="522"/>
      <c r="J5" s="523"/>
    </row>
    <row r="6" spans="1:13" s="135" customFormat="1" ht="101.85" customHeight="1">
      <c r="A6" s="236" t="s">
        <v>116</v>
      </c>
      <c r="B6" s="238" t="s">
        <v>97</v>
      </c>
      <c r="C6" s="522" t="s">
        <v>162</v>
      </c>
      <c r="D6" s="522"/>
      <c r="E6" s="522"/>
      <c r="F6" s="522"/>
      <c r="G6" s="522"/>
      <c r="H6" s="522"/>
      <c r="I6" s="522"/>
      <c r="J6" s="523"/>
    </row>
    <row r="7" spans="1:13" s="135" customFormat="1" ht="243.6" customHeight="1">
      <c r="A7" s="236" t="s">
        <v>99</v>
      </c>
      <c r="B7" s="238" t="s">
        <v>100</v>
      </c>
      <c r="C7" s="522" t="s">
        <v>163</v>
      </c>
      <c r="D7" s="522"/>
      <c r="E7" s="522"/>
      <c r="F7" s="522"/>
      <c r="G7" s="522"/>
      <c r="H7" s="522"/>
      <c r="I7" s="522"/>
      <c r="J7" s="523"/>
    </row>
    <row r="8" spans="1:13" s="135" customFormat="1" ht="28.35" customHeight="1">
      <c r="A8" s="236" t="s">
        <v>117</v>
      </c>
      <c r="B8" s="237" t="s">
        <v>97</v>
      </c>
      <c r="C8" s="522" t="s">
        <v>115</v>
      </c>
      <c r="D8" s="522"/>
      <c r="E8" s="522"/>
      <c r="F8" s="522"/>
      <c r="G8" s="522"/>
      <c r="H8" s="522"/>
      <c r="I8" s="522"/>
      <c r="J8" s="523"/>
    </row>
    <row r="9" spans="1:13" s="135" customFormat="1" ht="33.6" customHeight="1">
      <c r="A9" s="236" t="s">
        <v>101</v>
      </c>
      <c r="B9" s="237" t="s">
        <v>100</v>
      </c>
      <c r="C9" s="522" t="s">
        <v>179</v>
      </c>
      <c r="D9" s="522"/>
      <c r="E9" s="522"/>
      <c r="F9" s="522"/>
      <c r="G9" s="522"/>
      <c r="H9" s="522"/>
      <c r="I9" s="522"/>
      <c r="J9" s="523"/>
    </row>
    <row r="10" spans="1:13" s="135" customFormat="1" ht="29.1" customHeight="1">
      <c r="A10" s="236" t="s">
        <v>118</v>
      </c>
      <c r="B10" s="237" t="s">
        <v>97</v>
      </c>
      <c r="C10" s="522" t="s">
        <v>168</v>
      </c>
      <c r="D10" s="522"/>
      <c r="E10" s="522"/>
      <c r="F10" s="522"/>
      <c r="G10" s="522"/>
      <c r="H10" s="522"/>
      <c r="I10" s="522"/>
      <c r="J10" s="523"/>
    </row>
    <row r="11" spans="1:13" s="135" customFormat="1">
      <c r="A11" s="236" t="s">
        <v>147</v>
      </c>
      <c r="B11" s="237" t="s">
        <v>97</v>
      </c>
      <c r="C11" s="524"/>
      <c r="D11" s="524"/>
      <c r="E11" s="524"/>
      <c r="F11" s="524"/>
      <c r="G11" s="524"/>
      <c r="H11" s="524"/>
      <c r="I11" s="524"/>
      <c r="J11" s="525"/>
      <c r="L11" s="135" t="s">
        <v>148</v>
      </c>
    </row>
    <row r="12" spans="1:13" s="135" customFormat="1" ht="32.1" customHeight="1">
      <c r="A12" s="236" t="s">
        <v>124</v>
      </c>
      <c r="B12" s="238" t="s">
        <v>100</v>
      </c>
      <c r="C12" s="278" t="s">
        <v>205</v>
      </c>
      <c r="D12" s="270"/>
      <c r="E12" s="270"/>
      <c r="F12" s="270"/>
      <c r="G12" s="270"/>
      <c r="H12" s="270"/>
      <c r="I12" s="270"/>
      <c r="J12" s="271"/>
      <c r="M12" s="137"/>
    </row>
    <row r="13" spans="1:13" s="135" customFormat="1" ht="37.5" customHeight="1">
      <c r="A13" s="236" t="s">
        <v>121</v>
      </c>
      <c r="B13" s="238" t="s">
        <v>100</v>
      </c>
      <c r="C13" s="278" t="str">
        <f>'PL(2_2)'!C17</f>
        <v>OM4-MG-GEN1-KOB-0003</v>
      </c>
      <c r="D13" s="270"/>
      <c r="E13" s="270"/>
      <c r="F13" s="270"/>
      <c r="G13" s="270"/>
      <c r="H13" s="270"/>
      <c r="I13" s="270"/>
      <c r="J13" s="271"/>
      <c r="L13" s="135" t="s">
        <v>149</v>
      </c>
      <c r="M13" s="137"/>
    </row>
    <row r="14" spans="1:13" s="135" customFormat="1" ht="36.6" customHeight="1">
      <c r="A14" s="236" t="s">
        <v>119</v>
      </c>
      <c r="B14" s="237" t="s">
        <v>97</v>
      </c>
      <c r="C14" s="279">
        <f>'PL(2_2)'!M17</f>
        <v>810</v>
      </c>
      <c r="D14" s="324" t="s">
        <v>102</v>
      </c>
      <c r="E14" s="325"/>
      <c r="F14" s="325"/>
      <c r="G14" s="325"/>
      <c r="H14" s="325"/>
      <c r="I14" s="325"/>
      <c r="J14" s="239"/>
    </row>
    <row r="15" spans="1:13" s="135" customFormat="1" ht="57.6" customHeight="1">
      <c r="A15" s="236" t="s">
        <v>120</v>
      </c>
      <c r="B15" s="237" t="s">
        <v>97</v>
      </c>
      <c r="C15" s="279">
        <f>'PL(2_2)'!N17</f>
        <v>1350</v>
      </c>
      <c r="D15" s="324" t="s">
        <v>102</v>
      </c>
      <c r="E15" s="325"/>
      <c r="F15" s="326"/>
      <c r="G15" s="325"/>
      <c r="H15" s="325"/>
      <c r="I15" s="325"/>
      <c r="J15" s="240"/>
    </row>
    <row r="16" spans="1:13" s="135" customFormat="1" ht="53.85" customHeight="1">
      <c r="A16" s="236" t="s">
        <v>122</v>
      </c>
      <c r="B16" s="238" t="s">
        <v>97</v>
      </c>
      <c r="C16" s="279">
        <f>'PL(2_2)'!I17</f>
        <v>340</v>
      </c>
      <c r="D16" s="324" t="s">
        <v>103</v>
      </c>
      <c r="E16" s="279">
        <f>'PL(2_2)'!J17</f>
        <v>208</v>
      </c>
      <c r="F16" s="324" t="s">
        <v>104</v>
      </c>
      <c r="G16" s="279">
        <f>'PL(2_2)'!K17</f>
        <v>138</v>
      </c>
      <c r="H16" s="324" t="s">
        <v>105</v>
      </c>
      <c r="I16" s="337">
        <f>'PL(2_2)'!L17</f>
        <v>9.7590000000000003</v>
      </c>
      <c r="J16" s="241" t="s">
        <v>106</v>
      </c>
    </row>
    <row r="17" spans="1:13" s="135" customFormat="1" ht="31.35" customHeight="1">
      <c r="A17" s="140" t="s">
        <v>113</v>
      </c>
      <c r="B17" s="136" t="s">
        <v>97</v>
      </c>
      <c r="C17" s="187" t="s">
        <v>174</v>
      </c>
      <c r="D17" s="188"/>
      <c r="E17" s="189"/>
      <c r="F17" s="188"/>
      <c r="G17" s="189"/>
      <c r="H17" s="188"/>
      <c r="I17" s="190"/>
      <c r="J17" s="191"/>
    </row>
    <row r="18" spans="1:13" s="135" customFormat="1" ht="45">
      <c r="A18" s="140" t="s">
        <v>123</v>
      </c>
      <c r="B18" s="136" t="s">
        <v>97</v>
      </c>
      <c r="C18" s="187" t="s">
        <v>166</v>
      </c>
      <c r="D18" s="188"/>
      <c r="E18" s="189"/>
      <c r="F18" s="188"/>
      <c r="G18" s="189"/>
      <c r="H18" s="188"/>
      <c r="I18" s="190"/>
      <c r="J18" s="191"/>
    </row>
    <row r="19" spans="1:13" s="135" customFormat="1">
      <c r="A19" s="141" t="s">
        <v>107</v>
      </c>
      <c r="B19" s="136" t="s">
        <v>97</v>
      </c>
      <c r="C19" s="281" t="s">
        <v>176</v>
      </c>
      <c r="D19" s="188"/>
      <c r="E19" s="189"/>
      <c r="F19" s="188"/>
      <c r="G19" s="189"/>
      <c r="H19" s="188"/>
      <c r="I19" s="190"/>
      <c r="J19" s="191"/>
    </row>
    <row r="20" spans="1:13" s="135" customFormat="1" ht="40.35" customHeight="1">
      <c r="A20" s="142" t="s">
        <v>108</v>
      </c>
      <c r="B20" s="138" t="s">
        <v>97</v>
      </c>
      <c r="C20" s="252" t="s">
        <v>109</v>
      </c>
      <c r="D20" s="184"/>
      <c r="E20" s="184"/>
      <c r="F20" s="184"/>
      <c r="G20" s="184"/>
      <c r="H20" s="184"/>
      <c r="I20" s="184"/>
      <c r="J20" s="185"/>
    </row>
    <row r="21" spans="1:13" ht="120" hidden="1" customHeight="1" thickBot="1"/>
    <row r="22" spans="1:13" ht="55.35" hidden="1" customHeight="1"/>
    <row r="23" spans="1:13" ht="55.35" hidden="1" customHeight="1" thickBot="1"/>
    <row r="24" spans="1:13" ht="40.35" hidden="1" customHeight="1"/>
    <row r="25" spans="1:13" s="135" customFormat="1" ht="40.35"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40.35" hidden="1" customHeight="1">
      <c r="A29" s="133"/>
      <c r="B29" s="134"/>
      <c r="C29" s="133"/>
      <c r="D29" s="133"/>
      <c r="E29" s="133"/>
      <c r="F29" s="133"/>
      <c r="G29" s="133"/>
      <c r="H29" s="133"/>
      <c r="I29" s="133"/>
      <c r="J29" s="133"/>
    </row>
    <row r="30" spans="1:13" s="135" customFormat="1" ht="40.35"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40.35" hidden="1" customHeight="1">
      <c r="A32" s="133"/>
      <c r="B32" s="134"/>
      <c r="C32" s="133"/>
      <c r="D32" s="133"/>
      <c r="E32" s="133"/>
      <c r="F32" s="133"/>
      <c r="G32" s="133"/>
      <c r="H32" s="133"/>
      <c r="I32" s="133"/>
      <c r="J32" s="133"/>
      <c r="M32" s="137"/>
    </row>
    <row r="33" spans="1:10" s="135" customFormat="1" ht="40.35" hidden="1" customHeight="1">
      <c r="A33" s="133"/>
      <c r="B33" s="134"/>
      <c r="C33" s="133"/>
      <c r="D33" s="133"/>
      <c r="E33" s="133"/>
      <c r="F33" s="133"/>
      <c r="G33" s="133"/>
      <c r="H33" s="133"/>
      <c r="I33" s="133"/>
      <c r="J33" s="133"/>
    </row>
    <row r="34" spans="1:10" s="135" customFormat="1" ht="40.35" hidden="1" customHeight="1">
      <c r="A34" s="133"/>
      <c r="B34" s="134"/>
      <c r="C34" s="133"/>
      <c r="D34" s="133"/>
      <c r="E34" s="133"/>
      <c r="F34" s="133"/>
      <c r="G34" s="133"/>
      <c r="H34" s="133"/>
      <c r="I34" s="133"/>
      <c r="J34" s="133"/>
    </row>
    <row r="35" spans="1:10" s="135" customFormat="1" ht="40.35" hidden="1" customHeight="1">
      <c r="A35" s="133"/>
      <c r="B35" s="134"/>
      <c r="C35" s="133"/>
      <c r="D35" s="133"/>
      <c r="E35" s="133"/>
      <c r="F35" s="133"/>
      <c r="G35" s="133"/>
      <c r="H35" s="133"/>
      <c r="I35" s="133"/>
      <c r="J35" s="133"/>
    </row>
    <row r="36" spans="1:10" s="135" customFormat="1" ht="40.35" hidden="1" customHeight="1">
      <c r="A36" s="133"/>
      <c r="B36" s="134"/>
      <c r="C36" s="133"/>
      <c r="D36" s="133"/>
      <c r="E36" s="133"/>
      <c r="F36" s="133"/>
      <c r="G36" s="133"/>
      <c r="H36" s="133"/>
      <c r="I36" s="133"/>
      <c r="J36" s="133"/>
    </row>
    <row r="37" spans="1:10" s="135" customFormat="1" ht="40.35" hidden="1" customHeight="1">
      <c r="A37" s="133"/>
      <c r="B37" s="134"/>
      <c r="C37" s="133"/>
      <c r="D37" s="133"/>
      <c r="E37" s="133"/>
      <c r="F37" s="133"/>
      <c r="G37" s="133"/>
      <c r="H37" s="133"/>
      <c r="I37" s="133"/>
      <c r="J37" s="133"/>
    </row>
    <row r="38" spans="1:10" s="135" customFormat="1" ht="40.35" hidden="1" customHeight="1">
      <c r="A38" s="133"/>
      <c r="B38" s="134"/>
      <c r="C38" s="133"/>
      <c r="D38" s="133"/>
      <c r="E38" s="133"/>
      <c r="F38" s="133"/>
      <c r="G38" s="133"/>
      <c r="H38" s="133"/>
      <c r="I38" s="133"/>
      <c r="J38" s="133"/>
    </row>
    <row r="39" spans="1:10" s="135" customFormat="1" ht="40.35"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04300-731E-4D0A-9C52-27A23D87582C}">
  <sheetPr>
    <tabColor rgb="FF00B050"/>
    <pageSetUpPr fitToPage="1"/>
  </sheetPr>
  <dimension ref="A1:M39"/>
  <sheetViews>
    <sheetView showGridLines="0" view="pageBreakPreview" zoomScale="70" zoomScaleNormal="70" zoomScaleSheetLayoutView="70" workbookViewId="0">
      <selection activeCell="B26" sqref="B26:F27"/>
    </sheetView>
  </sheetViews>
  <sheetFormatPr defaultColWidth="7.71484375" defaultRowHeight="23.25"/>
  <cols>
    <col min="1" max="1" width="43.03515625" style="133" customWidth="1"/>
    <col min="2" max="2" width="2.5703125" style="134" customWidth="1"/>
    <col min="3" max="3" width="15.203125" style="133" customWidth="1"/>
    <col min="4" max="4" width="10.875" style="133" customWidth="1"/>
    <col min="5" max="5" width="12.04296875" style="133" customWidth="1"/>
    <col min="6" max="6" width="14.1484375" style="133" customWidth="1"/>
    <col min="7" max="7" width="12.04296875" style="133" customWidth="1"/>
    <col min="8" max="8" width="10.0546875" style="133" customWidth="1"/>
    <col min="9" max="9" width="12.0429687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1.35" customHeight="1" thickBot="1">
      <c r="A1" s="526" t="s">
        <v>94</v>
      </c>
      <c r="B1" s="526"/>
      <c r="C1" s="526"/>
      <c r="D1" s="526"/>
      <c r="E1" s="526"/>
      <c r="F1" s="526"/>
      <c r="G1" s="526"/>
      <c r="H1" s="526"/>
      <c r="I1" s="526"/>
      <c r="J1" s="526"/>
    </row>
    <row r="2" spans="1:13" ht="32.85" customHeight="1">
      <c r="A2" s="527" t="s">
        <v>95</v>
      </c>
      <c r="B2" s="528"/>
      <c r="C2" s="528"/>
      <c r="D2" s="528"/>
      <c r="E2" s="528"/>
      <c r="F2" s="528"/>
      <c r="G2" s="528"/>
      <c r="H2" s="528"/>
      <c r="I2" s="528"/>
      <c r="J2" s="529"/>
    </row>
    <row r="3" spans="1:13" ht="28.35" customHeight="1">
      <c r="A3" s="530" t="s">
        <v>167</v>
      </c>
      <c r="B3" s="531"/>
      <c r="C3" s="531"/>
      <c r="D3" s="531"/>
      <c r="E3" s="531"/>
      <c r="F3" s="531"/>
      <c r="G3" s="531"/>
      <c r="H3" s="531"/>
      <c r="I3" s="531"/>
      <c r="J3" s="532"/>
    </row>
    <row r="4" spans="1:13" s="135" customFormat="1" ht="30" customHeight="1">
      <c r="A4" s="234" t="s">
        <v>96</v>
      </c>
      <c r="B4" s="235" t="s">
        <v>97</v>
      </c>
      <c r="C4" s="533" t="s">
        <v>145</v>
      </c>
      <c r="D4" s="534"/>
      <c r="E4" s="534"/>
      <c r="F4" s="534"/>
      <c r="G4" s="534"/>
      <c r="H4" s="534"/>
      <c r="I4" s="534"/>
      <c r="J4" s="535"/>
    </row>
    <row r="5" spans="1:13" s="135" customFormat="1" ht="55.5" customHeight="1">
      <c r="A5" s="236" t="s">
        <v>98</v>
      </c>
      <c r="B5" s="237" t="s">
        <v>97</v>
      </c>
      <c r="C5" s="522" t="s">
        <v>146</v>
      </c>
      <c r="D5" s="522"/>
      <c r="E5" s="522"/>
      <c r="F5" s="522"/>
      <c r="G5" s="522"/>
      <c r="H5" s="522"/>
      <c r="I5" s="522"/>
      <c r="J5" s="523"/>
    </row>
    <row r="6" spans="1:13" s="135" customFormat="1" ht="101.85" customHeight="1">
      <c r="A6" s="236" t="s">
        <v>116</v>
      </c>
      <c r="B6" s="238" t="s">
        <v>97</v>
      </c>
      <c r="C6" s="522" t="s">
        <v>162</v>
      </c>
      <c r="D6" s="522"/>
      <c r="E6" s="522"/>
      <c r="F6" s="522"/>
      <c r="G6" s="522"/>
      <c r="H6" s="522"/>
      <c r="I6" s="522"/>
      <c r="J6" s="523"/>
    </row>
    <row r="7" spans="1:13" s="135" customFormat="1" ht="243.6" customHeight="1">
      <c r="A7" s="236" t="s">
        <v>99</v>
      </c>
      <c r="B7" s="238" t="s">
        <v>100</v>
      </c>
      <c r="C7" s="522" t="s">
        <v>163</v>
      </c>
      <c r="D7" s="522"/>
      <c r="E7" s="522"/>
      <c r="F7" s="522"/>
      <c r="G7" s="522"/>
      <c r="H7" s="522"/>
      <c r="I7" s="522"/>
      <c r="J7" s="523"/>
    </row>
    <row r="8" spans="1:13" s="135" customFormat="1" ht="28.35" customHeight="1">
      <c r="A8" s="236" t="s">
        <v>117</v>
      </c>
      <c r="B8" s="237" t="s">
        <v>97</v>
      </c>
      <c r="C8" s="522" t="s">
        <v>115</v>
      </c>
      <c r="D8" s="522"/>
      <c r="E8" s="522"/>
      <c r="F8" s="522"/>
      <c r="G8" s="522"/>
      <c r="H8" s="522"/>
      <c r="I8" s="522"/>
      <c r="J8" s="523"/>
    </row>
    <row r="9" spans="1:13" s="135" customFormat="1" ht="33.6" customHeight="1">
      <c r="A9" s="236" t="s">
        <v>101</v>
      </c>
      <c r="B9" s="237" t="s">
        <v>100</v>
      </c>
      <c r="C9" s="522" t="s">
        <v>179</v>
      </c>
      <c r="D9" s="522"/>
      <c r="E9" s="522"/>
      <c r="F9" s="522"/>
      <c r="G9" s="522"/>
      <c r="H9" s="522"/>
      <c r="I9" s="522"/>
      <c r="J9" s="523"/>
    </row>
    <row r="10" spans="1:13" s="135" customFormat="1" ht="29.1" customHeight="1">
      <c r="A10" s="236" t="s">
        <v>118</v>
      </c>
      <c r="B10" s="237" t="s">
        <v>97</v>
      </c>
      <c r="C10" s="522" t="s">
        <v>168</v>
      </c>
      <c r="D10" s="522"/>
      <c r="E10" s="522"/>
      <c r="F10" s="522"/>
      <c r="G10" s="522"/>
      <c r="H10" s="522"/>
      <c r="I10" s="522"/>
      <c r="J10" s="523"/>
    </row>
    <row r="11" spans="1:13" s="135" customFormat="1">
      <c r="A11" s="236" t="s">
        <v>147</v>
      </c>
      <c r="B11" s="237" t="s">
        <v>97</v>
      </c>
      <c r="C11" s="524"/>
      <c r="D11" s="524"/>
      <c r="E11" s="524"/>
      <c r="F11" s="524"/>
      <c r="G11" s="524"/>
      <c r="H11" s="524"/>
      <c r="I11" s="524"/>
      <c r="J11" s="525"/>
      <c r="L11" s="135" t="s">
        <v>148</v>
      </c>
    </row>
    <row r="12" spans="1:13" s="135" customFormat="1" ht="32.1" customHeight="1">
      <c r="A12" s="236" t="s">
        <v>124</v>
      </c>
      <c r="B12" s="238" t="s">
        <v>100</v>
      </c>
      <c r="C12" s="278" t="s">
        <v>205</v>
      </c>
      <c r="D12" s="270"/>
      <c r="E12" s="270"/>
      <c r="F12" s="270"/>
      <c r="G12" s="270"/>
      <c r="H12" s="270"/>
      <c r="I12" s="270"/>
      <c r="J12" s="271"/>
      <c r="M12" s="137"/>
    </row>
    <row r="13" spans="1:13" s="135" customFormat="1" ht="37.5" customHeight="1">
      <c r="A13" s="236" t="s">
        <v>121</v>
      </c>
      <c r="B13" s="238" t="s">
        <v>100</v>
      </c>
      <c r="C13" s="278" t="str">
        <f>'PL(2_2)'!C18</f>
        <v>OM4-MG-GEN1-KOB-0004</v>
      </c>
      <c r="D13" s="270"/>
      <c r="E13" s="270"/>
      <c r="F13" s="270"/>
      <c r="G13" s="270"/>
      <c r="H13" s="270"/>
      <c r="I13" s="270"/>
      <c r="J13" s="271"/>
      <c r="L13" s="135" t="s">
        <v>149</v>
      </c>
      <c r="M13" s="137"/>
    </row>
    <row r="14" spans="1:13" s="135" customFormat="1" ht="36.6" customHeight="1">
      <c r="A14" s="236" t="s">
        <v>119</v>
      </c>
      <c r="B14" s="237" t="s">
        <v>97</v>
      </c>
      <c r="C14" s="279">
        <f>'PL(2_2)'!M18</f>
        <v>447</v>
      </c>
      <c r="D14" s="324" t="s">
        <v>102</v>
      </c>
      <c r="E14" s="325"/>
      <c r="F14" s="325"/>
      <c r="G14" s="325"/>
      <c r="H14" s="325"/>
      <c r="I14" s="325"/>
      <c r="J14" s="239"/>
    </row>
    <row r="15" spans="1:13" s="135" customFormat="1" ht="57.6" customHeight="1">
      <c r="A15" s="236" t="s">
        <v>120</v>
      </c>
      <c r="B15" s="237" t="s">
        <v>97</v>
      </c>
      <c r="C15" s="279">
        <f>'PL(2_2)'!N18</f>
        <v>540</v>
      </c>
      <c r="D15" s="324" t="s">
        <v>102</v>
      </c>
      <c r="E15" s="325"/>
      <c r="F15" s="326"/>
      <c r="G15" s="325"/>
      <c r="H15" s="325"/>
      <c r="I15" s="325"/>
      <c r="J15" s="240"/>
    </row>
    <row r="16" spans="1:13" s="135" customFormat="1" ht="53.85" customHeight="1">
      <c r="A16" s="236" t="s">
        <v>122</v>
      </c>
      <c r="B16" s="238" t="s">
        <v>97</v>
      </c>
      <c r="C16" s="279">
        <f>'PL(2_2)'!I18</f>
        <v>115</v>
      </c>
      <c r="D16" s="324" t="s">
        <v>103</v>
      </c>
      <c r="E16" s="279">
        <f>'PL(2_2)'!J18</f>
        <v>94</v>
      </c>
      <c r="F16" s="324" t="s">
        <v>104</v>
      </c>
      <c r="G16" s="279">
        <f>'PL(2_2)'!K18</f>
        <v>85</v>
      </c>
      <c r="H16" s="324" t="s">
        <v>105</v>
      </c>
      <c r="I16" s="337">
        <f>'PL(2_2)'!L18</f>
        <v>0.91900000000000004</v>
      </c>
      <c r="J16" s="241" t="s">
        <v>106</v>
      </c>
    </row>
    <row r="17" spans="1:13" s="135" customFormat="1" ht="31.35" customHeight="1">
      <c r="A17" s="140" t="s">
        <v>113</v>
      </c>
      <c r="B17" s="136" t="s">
        <v>97</v>
      </c>
      <c r="C17" s="187" t="s">
        <v>174</v>
      </c>
      <c r="D17" s="188"/>
      <c r="E17" s="189"/>
      <c r="F17" s="188"/>
      <c r="G17" s="189"/>
      <c r="H17" s="188"/>
      <c r="I17" s="190"/>
      <c r="J17" s="191"/>
    </row>
    <row r="18" spans="1:13" s="135" customFormat="1" ht="45">
      <c r="A18" s="140" t="s">
        <v>123</v>
      </c>
      <c r="B18" s="136" t="s">
        <v>97</v>
      </c>
      <c r="C18" s="187" t="s">
        <v>166</v>
      </c>
      <c r="D18" s="188"/>
      <c r="E18" s="189"/>
      <c r="F18" s="188"/>
      <c r="G18" s="189"/>
      <c r="H18" s="188"/>
      <c r="I18" s="190"/>
      <c r="J18" s="191"/>
    </row>
    <row r="19" spans="1:13" s="135" customFormat="1">
      <c r="A19" s="141" t="s">
        <v>107</v>
      </c>
      <c r="B19" s="136" t="s">
        <v>97</v>
      </c>
      <c r="C19" s="281" t="s">
        <v>176</v>
      </c>
      <c r="D19" s="188"/>
      <c r="E19" s="189"/>
      <c r="F19" s="188"/>
      <c r="G19" s="189"/>
      <c r="H19" s="188"/>
      <c r="I19" s="190"/>
      <c r="J19" s="191"/>
    </row>
    <row r="20" spans="1:13" s="135" customFormat="1" ht="40.35" customHeight="1">
      <c r="A20" s="142" t="s">
        <v>108</v>
      </c>
      <c r="B20" s="138" t="s">
        <v>97</v>
      </c>
      <c r="C20" s="252" t="s">
        <v>109</v>
      </c>
      <c r="D20" s="184"/>
      <c r="E20" s="184"/>
      <c r="F20" s="184"/>
      <c r="G20" s="184"/>
      <c r="H20" s="184"/>
      <c r="I20" s="184"/>
      <c r="J20" s="185"/>
    </row>
    <row r="21" spans="1:13" ht="120" hidden="1" customHeight="1" thickBot="1"/>
    <row r="22" spans="1:13" ht="55.35" hidden="1" customHeight="1"/>
    <row r="23" spans="1:13" ht="55.35" hidden="1" customHeight="1" thickBot="1"/>
    <row r="24" spans="1:13" ht="40.35" hidden="1" customHeight="1"/>
    <row r="25" spans="1:13" s="135" customFormat="1" ht="40.35"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40.35" hidden="1" customHeight="1">
      <c r="A29" s="133"/>
      <c r="B29" s="134"/>
      <c r="C29" s="133"/>
      <c r="D29" s="133"/>
      <c r="E29" s="133"/>
      <c r="F29" s="133"/>
      <c r="G29" s="133"/>
      <c r="H29" s="133"/>
      <c r="I29" s="133"/>
      <c r="J29" s="133"/>
    </row>
    <row r="30" spans="1:13" s="135" customFormat="1" ht="40.35"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40.35" hidden="1" customHeight="1">
      <c r="A32" s="133"/>
      <c r="B32" s="134"/>
      <c r="C32" s="133"/>
      <c r="D32" s="133"/>
      <c r="E32" s="133"/>
      <c r="F32" s="133"/>
      <c r="G32" s="133"/>
      <c r="H32" s="133"/>
      <c r="I32" s="133"/>
      <c r="J32" s="133"/>
      <c r="M32" s="137"/>
    </row>
    <row r="33" spans="1:10" s="135" customFormat="1" ht="40.35" hidden="1" customHeight="1">
      <c r="A33" s="133"/>
      <c r="B33" s="134"/>
      <c r="C33" s="133"/>
      <c r="D33" s="133"/>
      <c r="E33" s="133"/>
      <c r="F33" s="133"/>
      <c r="G33" s="133"/>
      <c r="H33" s="133"/>
      <c r="I33" s="133"/>
      <c r="J33" s="133"/>
    </row>
    <row r="34" spans="1:10" s="135" customFormat="1" ht="40.35" hidden="1" customHeight="1">
      <c r="A34" s="133"/>
      <c r="B34" s="134"/>
      <c r="C34" s="133"/>
      <c r="D34" s="133"/>
      <c r="E34" s="133"/>
      <c r="F34" s="133"/>
      <c r="G34" s="133"/>
      <c r="H34" s="133"/>
      <c r="I34" s="133"/>
      <c r="J34" s="133"/>
    </row>
    <row r="35" spans="1:10" s="135" customFormat="1" ht="40.35" hidden="1" customHeight="1">
      <c r="A35" s="133"/>
      <c r="B35" s="134"/>
      <c r="C35" s="133"/>
      <c r="D35" s="133"/>
      <c r="E35" s="133"/>
      <c r="F35" s="133"/>
      <c r="G35" s="133"/>
      <c r="H35" s="133"/>
      <c r="I35" s="133"/>
      <c r="J35" s="133"/>
    </row>
    <row r="36" spans="1:10" s="135" customFormat="1" ht="40.35" hidden="1" customHeight="1">
      <c r="A36" s="133"/>
      <c r="B36" s="134"/>
      <c r="C36" s="133"/>
      <c r="D36" s="133"/>
      <c r="E36" s="133"/>
      <c r="F36" s="133"/>
      <c r="G36" s="133"/>
      <c r="H36" s="133"/>
      <c r="I36" s="133"/>
      <c r="J36" s="133"/>
    </row>
    <row r="37" spans="1:10" s="135" customFormat="1" ht="40.35" hidden="1" customHeight="1">
      <c r="A37" s="133"/>
      <c r="B37" s="134"/>
      <c r="C37" s="133"/>
      <c r="D37" s="133"/>
      <c r="E37" s="133"/>
      <c r="F37" s="133"/>
      <c r="G37" s="133"/>
      <c r="H37" s="133"/>
      <c r="I37" s="133"/>
      <c r="J37" s="133"/>
    </row>
    <row r="38" spans="1:10" s="135" customFormat="1" ht="40.35" hidden="1" customHeight="1">
      <c r="A38" s="133"/>
      <c r="B38" s="134"/>
      <c r="C38" s="133"/>
      <c r="D38" s="133"/>
      <c r="E38" s="133"/>
      <c r="F38" s="133"/>
      <c r="G38" s="133"/>
      <c r="H38" s="133"/>
      <c r="I38" s="133"/>
      <c r="J38" s="133"/>
    </row>
    <row r="39" spans="1:10" s="135" customFormat="1" ht="40.35"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8A6C3-25B1-4276-A3A7-D2D43FCCAE51}">
  <sheetPr>
    <tabColor rgb="FF00B050"/>
    <pageSetUpPr fitToPage="1"/>
  </sheetPr>
  <dimension ref="A1:M39"/>
  <sheetViews>
    <sheetView showGridLines="0" view="pageBreakPreview" zoomScale="70" zoomScaleNormal="70" zoomScaleSheetLayoutView="70" workbookViewId="0">
      <selection activeCell="B26" sqref="B26:F27"/>
    </sheetView>
  </sheetViews>
  <sheetFormatPr defaultColWidth="7.71484375" defaultRowHeight="23.25"/>
  <cols>
    <col min="1" max="1" width="43.03515625" style="133" customWidth="1"/>
    <col min="2" max="2" width="2.5703125" style="134" customWidth="1"/>
    <col min="3" max="3" width="15.203125" style="133" customWidth="1"/>
    <col min="4" max="4" width="10.875" style="133" customWidth="1"/>
    <col min="5" max="5" width="12.04296875" style="133" customWidth="1"/>
    <col min="6" max="6" width="14.1484375" style="133" customWidth="1"/>
    <col min="7" max="7" width="12.04296875" style="133" customWidth="1"/>
    <col min="8" max="8" width="10.0546875" style="133" customWidth="1"/>
    <col min="9" max="9" width="12.0429687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1.35" customHeight="1" thickBot="1">
      <c r="A1" s="526" t="s">
        <v>94</v>
      </c>
      <c r="B1" s="526"/>
      <c r="C1" s="526"/>
      <c r="D1" s="526"/>
      <c r="E1" s="526"/>
      <c r="F1" s="526"/>
      <c r="G1" s="526"/>
      <c r="H1" s="526"/>
      <c r="I1" s="526"/>
      <c r="J1" s="526"/>
    </row>
    <row r="2" spans="1:13" ht="32.85" customHeight="1">
      <c r="A2" s="527" t="s">
        <v>95</v>
      </c>
      <c r="B2" s="528"/>
      <c r="C2" s="528"/>
      <c r="D2" s="528"/>
      <c r="E2" s="528"/>
      <c r="F2" s="528"/>
      <c r="G2" s="528"/>
      <c r="H2" s="528"/>
      <c r="I2" s="528"/>
      <c r="J2" s="529"/>
    </row>
    <row r="3" spans="1:13" ht="28.35" customHeight="1">
      <c r="A3" s="530" t="s">
        <v>167</v>
      </c>
      <c r="B3" s="531"/>
      <c r="C3" s="531"/>
      <c r="D3" s="531"/>
      <c r="E3" s="531"/>
      <c r="F3" s="531"/>
      <c r="G3" s="531"/>
      <c r="H3" s="531"/>
      <c r="I3" s="531"/>
      <c r="J3" s="532"/>
    </row>
    <row r="4" spans="1:13" s="135" customFormat="1" ht="30" customHeight="1">
      <c r="A4" s="234" t="s">
        <v>96</v>
      </c>
      <c r="B4" s="235" t="s">
        <v>97</v>
      </c>
      <c r="C4" s="533" t="s">
        <v>145</v>
      </c>
      <c r="D4" s="534"/>
      <c r="E4" s="534"/>
      <c r="F4" s="534"/>
      <c r="G4" s="534"/>
      <c r="H4" s="534"/>
      <c r="I4" s="534"/>
      <c r="J4" s="535"/>
    </row>
    <row r="5" spans="1:13" s="135" customFormat="1" ht="55.5" customHeight="1">
      <c r="A5" s="236" t="s">
        <v>98</v>
      </c>
      <c r="B5" s="237" t="s">
        <v>97</v>
      </c>
      <c r="C5" s="522" t="s">
        <v>146</v>
      </c>
      <c r="D5" s="522"/>
      <c r="E5" s="522"/>
      <c r="F5" s="522"/>
      <c r="G5" s="522"/>
      <c r="H5" s="522"/>
      <c r="I5" s="522"/>
      <c r="J5" s="523"/>
    </row>
    <row r="6" spans="1:13" s="135" customFormat="1" ht="101.85" customHeight="1">
      <c r="A6" s="236" t="s">
        <v>116</v>
      </c>
      <c r="B6" s="238" t="s">
        <v>97</v>
      </c>
      <c r="C6" s="522" t="s">
        <v>162</v>
      </c>
      <c r="D6" s="522"/>
      <c r="E6" s="522"/>
      <c r="F6" s="522"/>
      <c r="G6" s="522"/>
      <c r="H6" s="522"/>
      <c r="I6" s="522"/>
      <c r="J6" s="523"/>
    </row>
    <row r="7" spans="1:13" s="135" customFormat="1" ht="243.6" customHeight="1">
      <c r="A7" s="236" t="s">
        <v>99</v>
      </c>
      <c r="B7" s="238" t="s">
        <v>100</v>
      </c>
      <c r="C7" s="522" t="s">
        <v>163</v>
      </c>
      <c r="D7" s="522"/>
      <c r="E7" s="522"/>
      <c r="F7" s="522"/>
      <c r="G7" s="522"/>
      <c r="H7" s="522"/>
      <c r="I7" s="522"/>
      <c r="J7" s="523"/>
    </row>
    <row r="8" spans="1:13" s="135" customFormat="1" ht="28.35" customHeight="1">
      <c r="A8" s="236" t="s">
        <v>117</v>
      </c>
      <c r="B8" s="237" t="s">
        <v>97</v>
      </c>
      <c r="C8" s="522" t="s">
        <v>115</v>
      </c>
      <c r="D8" s="522"/>
      <c r="E8" s="522"/>
      <c r="F8" s="522"/>
      <c r="G8" s="522"/>
      <c r="H8" s="522"/>
      <c r="I8" s="522"/>
      <c r="J8" s="523"/>
    </row>
    <row r="9" spans="1:13" s="135" customFormat="1" ht="33.6" customHeight="1">
      <c r="A9" s="236" t="s">
        <v>101</v>
      </c>
      <c r="B9" s="237" t="s">
        <v>100</v>
      </c>
      <c r="C9" s="522" t="s">
        <v>179</v>
      </c>
      <c r="D9" s="522"/>
      <c r="E9" s="522"/>
      <c r="F9" s="522"/>
      <c r="G9" s="522"/>
      <c r="H9" s="522"/>
      <c r="I9" s="522"/>
      <c r="J9" s="523"/>
    </row>
    <row r="10" spans="1:13" s="135" customFormat="1" ht="29.1" customHeight="1">
      <c r="A10" s="236" t="s">
        <v>118</v>
      </c>
      <c r="B10" s="237" t="s">
        <v>97</v>
      </c>
      <c r="C10" s="522" t="s">
        <v>168</v>
      </c>
      <c r="D10" s="522"/>
      <c r="E10" s="522"/>
      <c r="F10" s="522"/>
      <c r="G10" s="522"/>
      <c r="H10" s="522"/>
      <c r="I10" s="522"/>
      <c r="J10" s="523"/>
    </row>
    <row r="11" spans="1:13" s="135" customFormat="1">
      <c r="A11" s="236" t="s">
        <v>147</v>
      </c>
      <c r="B11" s="237" t="s">
        <v>97</v>
      </c>
      <c r="C11" s="524"/>
      <c r="D11" s="524"/>
      <c r="E11" s="524"/>
      <c r="F11" s="524"/>
      <c r="G11" s="524"/>
      <c r="H11" s="524"/>
      <c r="I11" s="524"/>
      <c r="J11" s="525"/>
      <c r="L11" s="135" t="s">
        <v>148</v>
      </c>
    </row>
    <row r="12" spans="1:13" s="135" customFormat="1" ht="32.1" customHeight="1">
      <c r="A12" s="236" t="s">
        <v>124</v>
      </c>
      <c r="B12" s="238" t="s">
        <v>100</v>
      </c>
      <c r="C12" s="278" t="s">
        <v>205</v>
      </c>
      <c r="D12" s="270"/>
      <c r="E12" s="270"/>
      <c r="F12" s="270"/>
      <c r="G12" s="270"/>
      <c r="H12" s="270"/>
      <c r="I12" s="270"/>
      <c r="J12" s="271"/>
      <c r="M12" s="137"/>
    </row>
    <row r="13" spans="1:13" s="135" customFormat="1" ht="37.5" customHeight="1">
      <c r="A13" s="236" t="s">
        <v>121</v>
      </c>
      <c r="B13" s="238" t="s">
        <v>100</v>
      </c>
      <c r="C13" s="278" t="str">
        <f>'PL(2_2)'!C19</f>
        <v>OM4-MG-GEN1-KOB-0005</v>
      </c>
      <c r="D13" s="270"/>
      <c r="E13" s="270"/>
      <c r="F13" s="270"/>
      <c r="G13" s="270"/>
      <c r="H13" s="270"/>
      <c r="I13" s="270"/>
      <c r="J13" s="271"/>
      <c r="L13" s="135" t="s">
        <v>149</v>
      </c>
      <c r="M13" s="137"/>
    </row>
    <row r="14" spans="1:13" s="135" customFormat="1" ht="36.6" customHeight="1">
      <c r="A14" s="236" t="s">
        <v>119</v>
      </c>
      <c r="B14" s="237" t="s">
        <v>97</v>
      </c>
      <c r="C14" s="279">
        <f>'PL(2_2)'!M19</f>
        <v>676</v>
      </c>
      <c r="D14" s="324" t="s">
        <v>102</v>
      </c>
      <c r="E14" s="325"/>
      <c r="F14" s="325"/>
      <c r="G14" s="325"/>
      <c r="H14" s="325"/>
      <c r="I14" s="325"/>
      <c r="J14" s="239"/>
    </row>
    <row r="15" spans="1:13" s="135" customFormat="1" ht="57.6" customHeight="1">
      <c r="A15" s="236" t="s">
        <v>120</v>
      </c>
      <c r="B15" s="237" t="s">
        <v>97</v>
      </c>
      <c r="C15" s="279">
        <f>'PL(2_2)'!N19</f>
        <v>812</v>
      </c>
      <c r="D15" s="324" t="s">
        <v>102</v>
      </c>
      <c r="E15" s="325"/>
      <c r="F15" s="326"/>
      <c r="G15" s="325"/>
      <c r="H15" s="325"/>
      <c r="I15" s="325"/>
      <c r="J15" s="240"/>
    </row>
    <row r="16" spans="1:13" s="135" customFormat="1" ht="53.85" customHeight="1">
      <c r="A16" s="236" t="s">
        <v>122</v>
      </c>
      <c r="B16" s="238" t="s">
        <v>97</v>
      </c>
      <c r="C16" s="279">
        <f>'PL(2_2)'!I19</f>
        <v>168</v>
      </c>
      <c r="D16" s="324" t="s">
        <v>103</v>
      </c>
      <c r="E16" s="279">
        <f>'PL(2_2)'!J19</f>
        <v>115</v>
      </c>
      <c r="F16" s="324" t="s">
        <v>104</v>
      </c>
      <c r="G16" s="279">
        <f>'PL(2_2)'!K19</f>
        <v>77</v>
      </c>
      <c r="H16" s="324" t="s">
        <v>105</v>
      </c>
      <c r="I16" s="337">
        <f>'PL(2_2)'!L19</f>
        <v>1.488</v>
      </c>
      <c r="J16" s="241" t="s">
        <v>106</v>
      </c>
    </row>
    <row r="17" spans="1:13" s="135" customFormat="1" ht="31.35" customHeight="1">
      <c r="A17" s="140" t="s">
        <v>113</v>
      </c>
      <c r="B17" s="136" t="s">
        <v>97</v>
      </c>
      <c r="C17" s="187" t="s">
        <v>174</v>
      </c>
      <c r="D17" s="188"/>
      <c r="E17" s="189"/>
      <c r="F17" s="188"/>
      <c r="G17" s="189"/>
      <c r="H17" s="188"/>
      <c r="I17" s="190"/>
      <c r="J17" s="191"/>
    </row>
    <row r="18" spans="1:13" s="135" customFormat="1" ht="45">
      <c r="A18" s="140" t="s">
        <v>123</v>
      </c>
      <c r="B18" s="136" t="s">
        <v>97</v>
      </c>
      <c r="C18" s="187" t="s">
        <v>166</v>
      </c>
      <c r="D18" s="188"/>
      <c r="E18" s="189"/>
      <c r="F18" s="188"/>
      <c r="G18" s="189"/>
      <c r="H18" s="188"/>
      <c r="I18" s="190"/>
      <c r="J18" s="191"/>
    </row>
    <row r="19" spans="1:13" s="135" customFormat="1">
      <c r="A19" s="141" t="s">
        <v>107</v>
      </c>
      <c r="B19" s="136" t="s">
        <v>97</v>
      </c>
      <c r="C19" s="281" t="s">
        <v>176</v>
      </c>
      <c r="D19" s="188"/>
      <c r="E19" s="189"/>
      <c r="F19" s="188"/>
      <c r="G19" s="189"/>
      <c r="H19" s="188"/>
      <c r="I19" s="190"/>
      <c r="J19" s="191"/>
    </row>
    <row r="20" spans="1:13" s="135" customFormat="1" ht="40.35" customHeight="1">
      <c r="A20" s="142" t="s">
        <v>108</v>
      </c>
      <c r="B20" s="138" t="s">
        <v>97</v>
      </c>
      <c r="C20" s="252" t="s">
        <v>109</v>
      </c>
      <c r="D20" s="184"/>
      <c r="E20" s="184"/>
      <c r="F20" s="184"/>
      <c r="G20" s="184"/>
      <c r="H20" s="184"/>
      <c r="I20" s="184"/>
      <c r="J20" s="185"/>
    </row>
    <row r="21" spans="1:13" ht="120" hidden="1" customHeight="1" thickBot="1"/>
    <row r="22" spans="1:13" ht="55.35" hidden="1" customHeight="1"/>
    <row r="23" spans="1:13" ht="55.35" hidden="1" customHeight="1" thickBot="1"/>
    <row r="24" spans="1:13" ht="40.35" hidden="1" customHeight="1"/>
    <row r="25" spans="1:13" s="135" customFormat="1" ht="40.35"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40.35" hidden="1" customHeight="1">
      <c r="A29" s="133"/>
      <c r="B29" s="134"/>
      <c r="C29" s="133"/>
      <c r="D29" s="133"/>
      <c r="E29" s="133"/>
      <c r="F29" s="133"/>
      <c r="G29" s="133"/>
      <c r="H29" s="133"/>
      <c r="I29" s="133"/>
      <c r="J29" s="133"/>
    </row>
    <row r="30" spans="1:13" s="135" customFormat="1" ht="40.35"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40.35" hidden="1" customHeight="1">
      <c r="A32" s="133"/>
      <c r="B32" s="134"/>
      <c r="C32" s="133"/>
      <c r="D32" s="133"/>
      <c r="E32" s="133"/>
      <c r="F32" s="133"/>
      <c r="G32" s="133"/>
      <c r="H32" s="133"/>
      <c r="I32" s="133"/>
      <c r="J32" s="133"/>
      <c r="M32" s="137"/>
    </row>
    <row r="33" spans="1:10" s="135" customFormat="1" ht="40.35" hidden="1" customHeight="1">
      <c r="A33" s="133"/>
      <c r="B33" s="134"/>
      <c r="C33" s="133"/>
      <c r="D33" s="133"/>
      <c r="E33" s="133"/>
      <c r="F33" s="133"/>
      <c r="G33" s="133"/>
      <c r="H33" s="133"/>
      <c r="I33" s="133"/>
      <c r="J33" s="133"/>
    </row>
    <row r="34" spans="1:10" s="135" customFormat="1" ht="40.35" hidden="1" customHeight="1">
      <c r="A34" s="133"/>
      <c r="B34" s="134"/>
      <c r="C34" s="133"/>
      <c r="D34" s="133"/>
      <c r="E34" s="133"/>
      <c r="F34" s="133"/>
      <c r="G34" s="133"/>
      <c r="H34" s="133"/>
      <c r="I34" s="133"/>
      <c r="J34" s="133"/>
    </row>
    <row r="35" spans="1:10" s="135" customFormat="1" ht="40.35" hidden="1" customHeight="1">
      <c r="A35" s="133"/>
      <c r="B35" s="134"/>
      <c r="C35" s="133"/>
      <c r="D35" s="133"/>
      <c r="E35" s="133"/>
      <c r="F35" s="133"/>
      <c r="G35" s="133"/>
      <c r="H35" s="133"/>
      <c r="I35" s="133"/>
      <c r="J35" s="133"/>
    </row>
    <row r="36" spans="1:10" s="135" customFormat="1" ht="40.35" hidden="1" customHeight="1">
      <c r="A36" s="133"/>
      <c r="B36" s="134"/>
      <c r="C36" s="133"/>
      <c r="D36" s="133"/>
      <c r="E36" s="133"/>
      <c r="F36" s="133"/>
      <c r="G36" s="133"/>
      <c r="H36" s="133"/>
      <c r="I36" s="133"/>
      <c r="J36" s="133"/>
    </row>
    <row r="37" spans="1:10" s="135" customFormat="1" ht="40.35" hidden="1" customHeight="1">
      <c r="A37" s="133"/>
      <c r="B37" s="134"/>
      <c r="C37" s="133"/>
      <c r="D37" s="133"/>
      <c r="E37" s="133"/>
      <c r="F37" s="133"/>
      <c r="G37" s="133"/>
      <c r="H37" s="133"/>
      <c r="I37" s="133"/>
      <c r="J37" s="133"/>
    </row>
    <row r="38" spans="1:10" s="135" customFormat="1" ht="40.35" hidden="1" customHeight="1">
      <c r="A38" s="133"/>
      <c r="B38" s="134"/>
      <c r="C38" s="133"/>
      <c r="D38" s="133"/>
      <c r="E38" s="133"/>
      <c r="F38" s="133"/>
      <c r="G38" s="133"/>
      <c r="H38" s="133"/>
      <c r="I38" s="133"/>
      <c r="J38" s="133"/>
    </row>
    <row r="39" spans="1:10" s="135" customFormat="1" ht="40.35"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6C45E-756B-4166-A31E-4DB1FB68BADB}">
  <sheetPr>
    <tabColor rgb="FF00B050"/>
    <pageSetUpPr fitToPage="1"/>
  </sheetPr>
  <dimension ref="A1:M39"/>
  <sheetViews>
    <sheetView showGridLines="0" view="pageBreakPreview" zoomScale="70" zoomScaleNormal="70" zoomScaleSheetLayoutView="70" workbookViewId="0">
      <selection activeCell="B26" sqref="B26:F27"/>
    </sheetView>
  </sheetViews>
  <sheetFormatPr defaultColWidth="7.71484375" defaultRowHeight="23.25"/>
  <cols>
    <col min="1" max="1" width="43.03515625" style="133" customWidth="1"/>
    <col min="2" max="2" width="2.5703125" style="134" customWidth="1"/>
    <col min="3" max="3" width="15.203125" style="133" customWidth="1"/>
    <col min="4" max="4" width="10.875" style="133" customWidth="1"/>
    <col min="5" max="5" width="12.04296875" style="133" customWidth="1"/>
    <col min="6" max="6" width="14.1484375" style="133" customWidth="1"/>
    <col min="7" max="7" width="12.04296875" style="133" customWidth="1"/>
    <col min="8" max="8" width="10.0546875" style="133" customWidth="1"/>
    <col min="9" max="9" width="12.0429687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1.35" customHeight="1" thickBot="1">
      <c r="A1" s="526" t="s">
        <v>94</v>
      </c>
      <c r="B1" s="526"/>
      <c r="C1" s="526"/>
      <c r="D1" s="526"/>
      <c r="E1" s="526"/>
      <c r="F1" s="526"/>
      <c r="G1" s="526"/>
      <c r="H1" s="526"/>
      <c r="I1" s="526"/>
      <c r="J1" s="526"/>
    </row>
    <row r="2" spans="1:13" ht="32.85" customHeight="1">
      <c r="A2" s="527" t="s">
        <v>95</v>
      </c>
      <c r="B2" s="528"/>
      <c r="C2" s="528"/>
      <c r="D2" s="528"/>
      <c r="E2" s="528"/>
      <c r="F2" s="528"/>
      <c r="G2" s="528"/>
      <c r="H2" s="528"/>
      <c r="I2" s="528"/>
      <c r="J2" s="529"/>
    </row>
    <row r="3" spans="1:13" ht="28.35" customHeight="1">
      <c r="A3" s="530" t="s">
        <v>167</v>
      </c>
      <c r="B3" s="531"/>
      <c r="C3" s="531"/>
      <c r="D3" s="531"/>
      <c r="E3" s="531"/>
      <c r="F3" s="531"/>
      <c r="G3" s="531"/>
      <c r="H3" s="531"/>
      <c r="I3" s="531"/>
      <c r="J3" s="532"/>
    </row>
    <row r="4" spans="1:13" s="135" customFormat="1" ht="30" customHeight="1">
      <c r="A4" s="234" t="s">
        <v>96</v>
      </c>
      <c r="B4" s="235" t="s">
        <v>97</v>
      </c>
      <c r="C4" s="533" t="s">
        <v>145</v>
      </c>
      <c r="D4" s="534"/>
      <c r="E4" s="534"/>
      <c r="F4" s="534"/>
      <c r="G4" s="534"/>
      <c r="H4" s="534"/>
      <c r="I4" s="534"/>
      <c r="J4" s="535"/>
    </row>
    <row r="5" spans="1:13" s="135" customFormat="1" ht="55.5" customHeight="1">
      <c r="A5" s="236" t="s">
        <v>98</v>
      </c>
      <c r="B5" s="237" t="s">
        <v>97</v>
      </c>
      <c r="C5" s="522" t="s">
        <v>146</v>
      </c>
      <c r="D5" s="522"/>
      <c r="E5" s="522"/>
      <c r="F5" s="522"/>
      <c r="G5" s="522"/>
      <c r="H5" s="522"/>
      <c r="I5" s="522"/>
      <c r="J5" s="523"/>
    </row>
    <row r="6" spans="1:13" s="135" customFormat="1" ht="101.85" customHeight="1">
      <c r="A6" s="236" t="s">
        <v>116</v>
      </c>
      <c r="B6" s="238" t="s">
        <v>97</v>
      </c>
      <c r="C6" s="522" t="s">
        <v>162</v>
      </c>
      <c r="D6" s="522"/>
      <c r="E6" s="522"/>
      <c r="F6" s="522"/>
      <c r="G6" s="522"/>
      <c r="H6" s="522"/>
      <c r="I6" s="522"/>
      <c r="J6" s="523"/>
    </row>
    <row r="7" spans="1:13" s="135" customFormat="1" ht="243.6" customHeight="1">
      <c r="A7" s="236" t="s">
        <v>99</v>
      </c>
      <c r="B7" s="238" t="s">
        <v>100</v>
      </c>
      <c r="C7" s="522" t="s">
        <v>163</v>
      </c>
      <c r="D7" s="522"/>
      <c r="E7" s="522"/>
      <c r="F7" s="522"/>
      <c r="G7" s="522"/>
      <c r="H7" s="522"/>
      <c r="I7" s="522"/>
      <c r="J7" s="523"/>
    </row>
    <row r="8" spans="1:13" s="135" customFormat="1" ht="28.35" customHeight="1">
      <c r="A8" s="236" t="s">
        <v>117</v>
      </c>
      <c r="B8" s="237" t="s">
        <v>97</v>
      </c>
      <c r="C8" s="522" t="s">
        <v>115</v>
      </c>
      <c r="D8" s="522"/>
      <c r="E8" s="522"/>
      <c r="F8" s="522"/>
      <c r="G8" s="522"/>
      <c r="H8" s="522"/>
      <c r="I8" s="522"/>
      <c r="J8" s="523"/>
    </row>
    <row r="9" spans="1:13" s="135" customFormat="1" ht="33.6" customHeight="1">
      <c r="A9" s="236" t="s">
        <v>101</v>
      </c>
      <c r="B9" s="237" t="s">
        <v>100</v>
      </c>
      <c r="C9" s="522" t="s">
        <v>179</v>
      </c>
      <c r="D9" s="522"/>
      <c r="E9" s="522"/>
      <c r="F9" s="522"/>
      <c r="G9" s="522"/>
      <c r="H9" s="522"/>
      <c r="I9" s="522"/>
      <c r="J9" s="523"/>
    </row>
    <row r="10" spans="1:13" s="135" customFormat="1" ht="29.1" customHeight="1">
      <c r="A10" s="236" t="s">
        <v>118</v>
      </c>
      <c r="B10" s="237" t="s">
        <v>97</v>
      </c>
      <c r="C10" s="522" t="s">
        <v>168</v>
      </c>
      <c r="D10" s="522"/>
      <c r="E10" s="522"/>
      <c r="F10" s="522"/>
      <c r="G10" s="522"/>
      <c r="H10" s="522"/>
      <c r="I10" s="522"/>
      <c r="J10" s="523"/>
    </row>
    <row r="11" spans="1:13" s="135" customFormat="1">
      <c r="A11" s="236" t="s">
        <v>147</v>
      </c>
      <c r="B11" s="237" t="s">
        <v>97</v>
      </c>
      <c r="C11" s="524"/>
      <c r="D11" s="524"/>
      <c r="E11" s="524"/>
      <c r="F11" s="524"/>
      <c r="G11" s="524"/>
      <c r="H11" s="524"/>
      <c r="I11" s="524"/>
      <c r="J11" s="525"/>
      <c r="L11" s="135" t="s">
        <v>148</v>
      </c>
    </row>
    <row r="12" spans="1:13" s="135" customFormat="1" ht="32.1" customHeight="1">
      <c r="A12" s="236" t="s">
        <v>124</v>
      </c>
      <c r="B12" s="238" t="s">
        <v>100</v>
      </c>
      <c r="C12" s="278" t="s">
        <v>205</v>
      </c>
      <c r="D12" s="270"/>
      <c r="E12" s="270"/>
      <c r="F12" s="270"/>
      <c r="G12" s="270"/>
      <c r="H12" s="270"/>
      <c r="I12" s="270"/>
      <c r="J12" s="271"/>
      <c r="M12" s="137"/>
    </row>
    <row r="13" spans="1:13" s="135" customFormat="1" ht="37.5" customHeight="1">
      <c r="A13" s="236" t="s">
        <v>121</v>
      </c>
      <c r="B13" s="238" t="s">
        <v>100</v>
      </c>
      <c r="C13" s="278" t="str">
        <f>'PL(2_2)'!C20</f>
        <v>OM4-MG-GEN1-KOB-0006</v>
      </c>
      <c r="D13" s="270"/>
      <c r="E13" s="270"/>
      <c r="F13" s="270"/>
      <c r="G13" s="270"/>
      <c r="H13" s="270"/>
      <c r="I13" s="270"/>
      <c r="J13" s="271"/>
      <c r="L13" s="135" t="s">
        <v>149</v>
      </c>
      <c r="M13" s="137"/>
    </row>
    <row r="14" spans="1:13" s="135" customFormat="1" ht="36.6" customHeight="1">
      <c r="A14" s="236" t="s">
        <v>119</v>
      </c>
      <c r="B14" s="237" t="s">
        <v>97</v>
      </c>
      <c r="C14" s="279">
        <f>'PL(2_2)'!M20</f>
        <v>540</v>
      </c>
      <c r="D14" s="324" t="s">
        <v>102</v>
      </c>
      <c r="E14" s="325"/>
      <c r="F14" s="325"/>
      <c r="G14" s="325"/>
      <c r="H14" s="325"/>
      <c r="I14" s="325"/>
      <c r="J14" s="239"/>
    </row>
    <row r="15" spans="1:13" s="135" customFormat="1" ht="57.6" customHeight="1">
      <c r="A15" s="236" t="s">
        <v>120</v>
      </c>
      <c r="B15" s="237" t="s">
        <v>97</v>
      </c>
      <c r="C15" s="279">
        <f>'PL(2_2)'!N20</f>
        <v>683</v>
      </c>
      <c r="D15" s="324" t="s">
        <v>102</v>
      </c>
      <c r="E15" s="325"/>
      <c r="F15" s="326"/>
      <c r="G15" s="325"/>
      <c r="H15" s="325"/>
      <c r="I15" s="325"/>
      <c r="J15" s="240"/>
    </row>
    <row r="16" spans="1:13" s="135" customFormat="1" ht="53.85" customHeight="1">
      <c r="A16" s="236" t="s">
        <v>122</v>
      </c>
      <c r="B16" s="238" t="s">
        <v>97</v>
      </c>
      <c r="C16" s="279">
        <f>'PL(2_2)'!I20</f>
        <v>125</v>
      </c>
      <c r="D16" s="324" t="s">
        <v>103</v>
      </c>
      <c r="E16" s="279">
        <f>'PL(2_2)'!J20</f>
        <v>117</v>
      </c>
      <c r="F16" s="324" t="s">
        <v>104</v>
      </c>
      <c r="G16" s="279">
        <f>'PL(2_2)'!K20</f>
        <v>114</v>
      </c>
      <c r="H16" s="324" t="s">
        <v>105</v>
      </c>
      <c r="I16" s="337">
        <f>'PL(2_2)'!L20</f>
        <v>1.667</v>
      </c>
      <c r="J16" s="241" t="s">
        <v>106</v>
      </c>
    </row>
    <row r="17" spans="1:13" s="135" customFormat="1" ht="31.35" customHeight="1">
      <c r="A17" s="140" t="s">
        <v>113</v>
      </c>
      <c r="B17" s="136" t="s">
        <v>97</v>
      </c>
      <c r="C17" s="187" t="s">
        <v>174</v>
      </c>
      <c r="D17" s="188"/>
      <c r="E17" s="189"/>
      <c r="F17" s="188"/>
      <c r="G17" s="189"/>
      <c r="H17" s="188"/>
      <c r="I17" s="190"/>
      <c r="J17" s="191"/>
    </row>
    <row r="18" spans="1:13" s="135" customFormat="1" ht="45">
      <c r="A18" s="140" t="s">
        <v>123</v>
      </c>
      <c r="B18" s="136" t="s">
        <v>97</v>
      </c>
      <c r="C18" s="187" t="s">
        <v>166</v>
      </c>
      <c r="D18" s="188"/>
      <c r="E18" s="189"/>
      <c r="F18" s="188"/>
      <c r="G18" s="189"/>
      <c r="H18" s="188"/>
      <c r="I18" s="190"/>
      <c r="J18" s="191"/>
    </row>
    <row r="19" spans="1:13" s="135" customFormat="1">
      <c r="A19" s="141" t="s">
        <v>107</v>
      </c>
      <c r="B19" s="136" t="s">
        <v>97</v>
      </c>
      <c r="C19" s="281" t="s">
        <v>176</v>
      </c>
      <c r="D19" s="188"/>
      <c r="E19" s="189"/>
      <c r="F19" s="188"/>
      <c r="G19" s="189"/>
      <c r="H19" s="188"/>
      <c r="I19" s="190"/>
      <c r="J19" s="191"/>
    </row>
    <row r="20" spans="1:13" s="135" customFormat="1" ht="40.35" customHeight="1">
      <c r="A20" s="142" t="s">
        <v>108</v>
      </c>
      <c r="B20" s="138" t="s">
        <v>97</v>
      </c>
      <c r="C20" s="252" t="s">
        <v>109</v>
      </c>
      <c r="D20" s="184"/>
      <c r="E20" s="184"/>
      <c r="F20" s="184"/>
      <c r="G20" s="184"/>
      <c r="H20" s="184"/>
      <c r="I20" s="184"/>
      <c r="J20" s="185"/>
    </row>
    <row r="21" spans="1:13" ht="120" hidden="1" customHeight="1" thickBot="1"/>
    <row r="22" spans="1:13" ht="55.35" hidden="1" customHeight="1"/>
    <row r="23" spans="1:13" ht="55.35" hidden="1" customHeight="1" thickBot="1"/>
    <row r="24" spans="1:13" ht="40.35" hidden="1" customHeight="1"/>
    <row r="25" spans="1:13" s="135" customFormat="1" ht="40.35"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40.35" hidden="1" customHeight="1">
      <c r="A29" s="133"/>
      <c r="B29" s="134"/>
      <c r="C29" s="133"/>
      <c r="D29" s="133"/>
      <c r="E29" s="133"/>
      <c r="F29" s="133"/>
      <c r="G29" s="133"/>
      <c r="H29" s="133"/>
      <c r="I29" s="133"/>
      <c r="J29" s="133"/>
    </row>
    <row r="30" spans="1:13" s="135" customFormat="1" ht="40.35"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40.35" hidden="1" customHeight="1">
      <c r="A32" s="133"/>
      <c r="B32" s="134"/>
      <c r="C32" s="133"/>
      <c r="D32" s="133"/>
      <c r="E32" s="133"/>
      <c r="F32" s="133"/>
      <c r="G32" s="133"/>
      <c r="H32" s="133"/>
      <c r="I32" s="133"/>
      <c r="J32" s="133"/>
      <c r="M32" s="137"/>
    </row>
    <row r="33" spans="1:10" s="135" customFormat="1" ht="40.35" hidden="1" customHeight="1">
      <c r="A33" s="133"/>
      <c r="B33" s="134"/>
      <c r="C33" s="133"/>
      <c r="D33" s="133"/>
      <c r="E33" s="133"/>
      <c r="F33" s="133"/>
      <c r="G33" s="133"/>
      <c r="H33" s="133"/>
      <c r="I33" s="133"/>
      <c r="J33" s="133"/>
    </row>
    <row r="34" spans="1:10" s="135" customFormat="1" ht="40.35" hidden="1" customHeight="1">
      <c r="A34" s="133"/>
      <c r="B34" s="134"/>
      <c r="C34" s="133"/>
      <c r="D34" s="133"/>
      <c r="E34" s="133"/>
      <c r="F34" s="133"/>
      <c r="G34" s="133"/>
      <c r="H34" s="133"/>
      <c r="I34" s="133"/>
      <c r="J34" s="133"/>
    </row>
    <row r="35" spans="1:10" s="135" customFormat="1" ht="40.35" hidden="1" customHeight="1">
      <c r="A35" s="133"/>
      <c r="B35" s="134"/>
      <c r="C35" s="133"/>
      <c r="D35" s="133"/>
      <c r="E35" s="133"/>
      <c r="F35" s="133"/>
      <c r="G35" s="133"/>
      <c r="H35" s="133"/>
      <c r="I35" s="133"/>
      <c r="J35" s="133"/>
    </row>
    <row r="36" spans="1:10" s="135" customFormat="1" ht="40.35" hidden="1" customHeight="1">
      <c r="A36" s="133"/>
      <c r="B36" s="134"/>
      <c r="C36" s="133"/>
      <c r="D36" s="133"/>
      <c r="E36" s="133"/>
      <c r="F36" s="133"/>
      <c r="G36" s="133"/>
      <c r="H36" s="133"/>
      <c r="I36" s="133"/>
      <c r="J36" s="133"/>
    </row>
    <row r="37" spans="1:10" s="135" customFormat="1" ht="40.35" hidden="1" customHeight="1">
      <c r="A37" s="133"/>
      <c r="B37" s="134"/>
      <c r="C37" s="133"/>
      <c r="D37" s="133"/>
      <c r="E37" s="133"/>
      <c r="F37" s="133"/>
      <c r="G37" s="133"/>
      <c r="H37" s="133"/>
      <c r="I37" s="133"/>
      <c r="J37" s="133"/>
    </row>
    <row r="38" spans="1:10" s="135" customFormat="1" ht="40.35" hidden="1" customHeight="1">
      <c r="A38" s="133"/>
      <c r="B38" s="134"/>
      <c r="C38" s="133"/>
      <c r="D38" s="133"/>
      <c r="E38" s="133"/>
      <c r="F38" s="133"/>
      <c r="G38" s="133"/>
      <c r="H38" s="133"/>
      <c r="I38" s="133"/>
      <c r="J38" s="133"/>
    </row>
    <row r="39" spans="1:10" s="135" customFormat="1" ht="40.35"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0DD1D-8D45-49DA-82F9-42974966621B}">
  <sheetPr>
    <tabColor rgb="FF00B050"/>
    <pageSetUpPr fitToPage="1"/>
  </sheetPr>
  <dimension ref="A1:M39"/>
  <sheetViews>
    <sheetView showGridLines="0" view="pageBreakPreview" zoomScale="70" zoomScaleNormal="70" zoomScaleSheetLayoutView="70" workbookViewId="0">
      <selection activeCell="B26" sqref="B26:F27"/>
    </sheetView>
  </sheetViews>
  <sheetFormatPr defaultColWidth="7.71484375" defaultRowHeight="23.25"/>
  <cols>
    <col min="1" max="1" width="43.03515625" style="133" customWidth="1"/>
    <col min="2" max="2" width="2.5703125" style="134" customWidth="1"/>
    <col min="3" max="3" width="15.203125" style="133" customWidth="1"/>
    <col min="4" max="4" width="10.875" style="133" customWidth="1"/>
    <col min="5" max="5" width="12.04296875" style="133" customWidth="1"/>
    <col min="6" max="6" width="14.1484375" style="133" customWidth="1"/>
    <col min="7" max="7" width="12.04296875" style="133" customWidth="1"/>
    <col min="8" max="8" width="10.0546875" style="133" customWidth="1"/>
    <col min="9" max="9" width="12.0429687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1.35" customHeight="1" thickBot="1">
      <c r="A1" s="526" t="s">
        <v>94</v>
      </c>
      <c r="B1" s="526"/>
      <c r="C1" s="526"/>
      <c r="D1" s="526"/>
      <c r="E1" s="526"/>
      <c r="F1" s="526"/>
      <c r="G1" s="526"/>
      <c r="H1" s="526"/>
      <c r="I1" s="526"/>
      <c r="J1" s="526"/>
    </row>
    <row r="2" spans="1:13" ht="32.85" customHeight="1">
      <c r="A2" s="527" t="s">
        <v>95</v>
      </c>
      <c r="B2" s="528"/>
      <c r="C2" s="528"/>
      <c r="D2" s="528"/>
      <c r="E2" s="528"/>
      <c r="F2" s="528"/>
      <c r="G2" s="528"/>
      <c r="H2" s="528"/>
      <c r="I2" s="528"/>
      <c r="J2" s="529"/>
    </row>
    <row r="3" spans="1:13" ht="28.35" customHeight="1">
      <c r="A3" s="530" t="s">
        <v>167</v>
      </c>
      <c r="B3" s="531"/>
      <c r="C3" s="531"/>
      <c r="D3" s="531"/>
      <c r="E3" s="531"/>
      <c r="F3" s="531"/>
      <c r="G3" s="531"/>
      <c r="H3" s="531"/>
      <c r="I3" s="531"/>
      <c r="J3" s="532"/>
    </row>
    <row r="4" spans="1:13" s="135" customFormat="1" ht="30" customHeight="1">
      <c r="A4" s="234" t="s">
        <v>96</v>
      </c>
      <c r="B4" s="235" t="s">
        <v>97</v>
      </c>
      <c r="C4" s="533" t="s">
        <v>145</v>
      </c>
      <c r="D4" s="534"/>
      <c r="E4" s="534"/>
      <c r="F4" s="534"/>
      <c r="G4" s="534"/>
      <c r="H4" s="534"/>
      <c r="I4" s="534"/>
      <c r="J4" s="535"/>
    </row>
    <row r="5" spans="1:13" s="135" customFormat="1" ht="55.5" customHeight="1">
      <c r="A5" s="236" t="s">
        <v>98</v>
      </c>
      <c r="B5" s="237" t="s">
        <v>97</v>
      </c>
      <c r="C5" s="522" t="s">
        <v>146</v>
      </c>
      <c r="D5" s="522"/>
      <c r="E5" s="522"/>
      <c r="F5" s="522"/>
      <c r="G5" s="522"/>
      <c r="H5" s="522"/>
      <c r="I5" s="522"/>
      <c r="J5" s="523"/>
    </row>
    <row r="6" spans="1:13" s="135" customFormat="1" ht="101.85" customHeight="1">
      <c r="A6" s="236" t="s">
        <v>116</v>
      </c>
      <c r="B6" s="238" t="s">
        <v>97</v>
      </c>
      <c r="C6" s="522" t="s">
        <v>162</v>
      </c>
      <c r="D6" s="522"/>
      <c r="E6" s="522"/>
      <c r="F6" s="522"/>
      <c r="G6" s="522"/>
      <c r="H6" s="522"/>
      <c r="I6" s="522"/>
      <c r="J6" s="523"/>
    </row>
    <row r="7" spans="1:13" s="135" customFormat="1" ht="243.6" customHeight="1">
      <c r="A7" s="236" t="s">
        <v>99</v>
      </c>
      <c r="B7" s="238" t="s">
        <v>100</v>
      </c>
      <c r="C7" s="522" t="s">
        <v>163</v>
      </c>
      <c r="D7" s="522"/>
      <c r="E7" s="522"/>
      <c r="F7" s="522"/>
      <c r="G7" s="522"/>
      <c r="H7" s="522"/>
      <c r="I7" s="522"/>
      <c r="J7" s="523"/>
    </row>
    <row r="8" spans="1:13" s="135" customFormat="1" ht="28.35" customHeight="1">
      <c r="A8" s="236" t="s">
        <v>117</v>
      </c>
      <c r="B8" s="237" t="s">
        <v>97</v>
      </c>
      <c r="C8" s="522" t="s">
        <v>115</v>
      </c>
      <c r="D8" s="522"/>
      <c r="E8" s="522"/>
      <c r="F8" s="522"/>
      <c r="G8" s="522"/>
      <c r="H8" s="522"/>
      <c r="I8" s="522"/>
      <c r="J8" s="523"/>
    </row>
    <row r="9" spans="1:13" s="135" customFormat="1" ht="33.6" customHeight="1">
      <c r="A9" s="236" t="s">
        <v>101</v>
      </c>
      <c r="B9" s="237" t="s">
        <v>100</v>
      </c>
      <c r="C9" s="522" t="s">
        <v>179</v>
      </c>
      <c r="D9" s="522"/>
      <c r="E9" s="522"/>
      <c r="F9" s="522"/>
      <c r="G9" s="522"/>
      <c r="H9" s="522"/>
      <c r="I9" s="522"/>
      <c r="J9" s="523"/>
    </row>
    <row r="10" spans="1:13" s="135" customFormat="1" ht="29.1" customHeight="1">
      <c r="A10" s="236" t="s">
        <v>118</v>
      </c>
      <c r="B10" s="237" t="s">
        <v>97</v>
      </c>
      <c r="C10" s="522" t="s">
        <v>168</v>
      </c>
      <c r="D10" s="522"/>
      <c r="E10" s="522"/>
      <c r="F10" s="522"/>
      <c r="G10" s="522"/>
      <c r="H10" s="522"/>
      <c r="I10" s="522"/>
      <c r="J10" s="523"/>
    </row>
    <row r="11" spans="1:13" s="135" customFormat="1">
      <c r="A11" s="236" t="s">
        <v>147</v>
      </c>
      <c r="B11" s="237" t="s">
        <v>97</v>
      </c>
      <c r="C11" s="524"/>
      <c r="D11" s="524"/>
      <c r="E11" s="524"/>
      <c r="F11" s="524"/>
      <c r="G11" s="524"/>
      <c r="H11" s="524"/>
      <c r="I11" s="524"/>
      <c r="J11" s="525"/>
      <c r="L11" s="135" t="s">
        <v>148</v>
      </c>
    </row>
    <row r="12" spans="1:13" s="135" customFormat="1" ht="32.1" customHeight="1">
      <c r="A12" s="236" t="s">
        <v>124</v>
      </c>
      <c r="B12" s="238" t="s">
        <v>100</v>
      </c>
      <c r="C12" s="278" t="s">
        <v>205</v>
      </c>
      <c r="D12" s="270"/>
      <c r="E12" s="270"/>
      <c r="F12" s="270"/>
      <c r="G12" s="270"/>
      <c r="H12" s="270"/>
      <c r="I12" s="270"/>
      <c r="J12" s="271"/>
      <c r="M12" s="137"/>
    </row>
    <row r="13" spans="1:13" s="135" customFormat="1" ht="37.5" customHeight="1">
      <c r="A13" s="236" t="s">
        <v>121</v>
      </c>
      <c r="B13" s="238" t="s">
        <v>100</v>
      </c>
      <c r="C13" s="278" t="str">
        <f>'PL(2_2)'!C21</f>
        <v>OM4-MG-GEN1-KOB-0007</v>
      </c>
      <c r="D13" s="270"/>
      <c r="E13" s="270"/>
      <c r="F13" s="270"/>
      <c r="G13" s="270"/>
      <c r="H13" s="270"/>
      <c r="I13" s="270"/>
      <c r="J13" s="271"/>
      <c r="L13" s="135" t="s">
        <v>149</v>
      </c>
      <c r="M13" s="137"/>
    </row>
    <row r="14" spans="1:13" s="135" customFormat="1" ht="36.6" customHeight="1">
      <c r="A14" s="236" t="s">
        <v>119</v>
      </c>
      <c r="B14" s="237" t="s">
        <v>97</v>
      </c>
      <c r="C14" s="279">
        <f>'PL(2_2)'!M21</f>
        <v>540</v>
      </c>
      <c r="D14" s="324" t="s">
        <v>102</v>
      </c>
      <c r="E14" s="325"/>
      <c r="F14" s="325"/>
      <c r="G14" s="325"/>
      <c r="H14" s="325"/>
      <c r="I14" s="325"/>
      <c r="J14" s="239"/>
    </row>
    <row r="15" spans="1:13" s="135" customFormat="1" ht="57.6" customHeight="1">
      <c r="A15" s="236" t="s">
        <v>120</v>
      </c>
      <c r="B15" s="237" t="s">
        <v>97</v>
      </c>
      <c r="C15" s="279">
        <f>'PL(2_2)'!N21</f>
        <v>683</v>
      </c>
      <c r="D15" s="324" t="s">
        <v>102</v>
      </c>
      <c r="E15" s="325"/>
      <c r="F15" s="326"/>
      <c r="G15" s="325"/>
      <c r="H15" s="325"/>
      <c r="I15" s="325"/>
      <c r="J15" s="240"/>
    </row>
    <row r="16" spans="1:13" s="135" customFormat="1" ht="53.85" customHeight="1">
      <c r="A16" s="236" t="s">
        <v>122</v>
      </c>
      <c r="B16" s="238" t="s">
        <v>97</v>
      </c>
      <c r="C16" s="279">
        <f>'PL(2_2)'!I21</f>
        <v>125</v>
      </c>
      <c r="D16" s="324" t="s">
        <v>103</v>
      </c>
      <c r="E16" s="279">
        <f>'PL(2_2)'!J21</f>
        <v>117</v>
      </c>
      <c r="F16" s="324" t="s">
        <v>104</v>
      </c>
      <c r="G16" s="279">
        <f>'PL(2_2)'!K21</f>
        <v>114</v>
      </c>
      <c r="H16" s="324" t="s">
        <v>105</v>
      </c>
      <c r="I16" s="337">
        <f>'PL(2_2)'!L21</f>
        <v>1.667</v>
      </c>
      <c r="J16" s="241" t="s">
        <v>106</v>
      </c>
    </row>
    <row r="17" spans="1:13" s="135" customFormat="1" ht="31.35" customHeight="1">
      <c r="A17" s="140" t="s">
        <v>113</v>
      </c>
      <c r="B17" s="136" t="s">
        <v>97</v>
      </c>
      <c r="C17" s="187" t="s">
        <v>174</v>
      </c>
      <c r="D17" s="188"/>
      <c r="E17" s="189"/>
      <c r="F17" s="188"/>
      <c r="G17" s="189"/>
      <c r="H17" s="188"/>
      <c r="I17" s="190"/>
      <c r="J17" s="191"/>
    </row>
    <row r="18" spans="1:13" s="135" customFormat="1" ht="45">
      <c r="A18" s="140" t="s">
        <v>123</v>
      </c>
      <c r="B18" s="136" t="s">
        <v>97</v>
      </c>
      <c r="C18" s="187" t="s">
        <v>166</v>
      </c>
      <c r="D18" s="188"/>
      <c r="E18" s="189"/>
      <c r="F18" s="188"/>
      <c r="G18" s="189"/>
      <c r="H18" s="188"/>
      <c r="I18" s="190"/>
      <c r="J18" s="191"/>
    </row>
    <row r="19" spans="1:13" s="135" customFormat="1">
      <c r="A19" s="141" t="s">
        <v>107</v>
      </c>
      <c r="B19" s="136" t="s">
        <v>97</v>
      </c>
      <c r="C19" s="281" t="s">
        <v>176</v>
      </c>
      <c r="D19" s="188"/>
      <c r="E19" s="189"/>
      <c r="F19" s="188"/>
      <c r="G19" s="189"/>
      <c r="H19" s="188"/>
      <c r="I19" s="190"/>
      <c r="J19" s="191"/>
    </row>
    <row r="20" spans="1:13" s="135" customFormat="1" ht="40.35" customHeight="1">
      <c r="A20" s="142" t="s">
        <v>108</v>
      </c>
      <c r="B20" s="138" t="s">
        <v>97</v>
      </c>
      <c r="C20" s="252" t="s">
        <v>109</v>
      </c>
      <c r="D20" s="184"/>
      <c r="E20" s="184"/>
      <c r="F20" s="184"/>
      <c r="G20" s="184"/>
      <c r="H20" s="184"/>
      <c r="I20" s="184"/>
      <c r="J20" s="185"/>
    </row>
    <row r="21" spans="1:13" ht="120" hidden="1" customHeight="1" thickBot="1"/>
    <row r="22" spans="1:13" ht="55.35" hidden="1" customHeight="1"/>
    <row r="23" spans="1:13" ht="55.35" hidden="1" customHeight="1" thickBot="1"/>
    <row r="24" spans="1:13" ht="40.35" hidden="1" customHeight="1"/>
    <row r="25" spans="1:13" s="135" customFormat="1" ht="40.35"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40.35" hidden="1" customHeight="1">
      <c r="A29" s="133"/>
      <c r="B29" s="134"/>
      <c r="C29" s="133"/>
      <c r="D29" s="133"/>
      <c r="E29" s="133"/>
      <c r="F29" s="133"/>
      <c r="G29" s="133"/>
      <c r="H29" s="133"/>
      <c r="I29" s="133"/>
      <c r="J29" s="133"/>
    </row>
    <row r="30" spans="1:13" s="135" customFormat="1" ht="40.35"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40.35" hidden="1" customHeight="1">
      <c r="A32" s="133"/>
      <c r="B32" s="134"/>
      <c r="C32" s="133"/>
      <c r="D32" s="133"/>
      <c r="E32" s="133"/>
      <c r="F32" s="133"/>
      <c r="G32" s="133"/>
      <c r="H32" s="133"/>
      <c r="I32" s="133"/>
      <c r="J32" s="133"/>
      <c r="M32" s="137"/>
    </row>
    <row r="33" spans="1:10" s="135" customFormat="1" ht="40.35" hidden="1" customHeight="1">
      <c r="A33" s="133"/>
      <c r="B33" s="134"/>
      <c r="C33" s="133"/>
      <c r="D33" s="133"/>
      <c r="E33" s="133"/>
      <c r="F33" s="133"/>
      <c r="G33" s="133"/>
      <c r="H33" s="133"/>
      <c r="I33" s="133"/>
      <c r="J33" s="133"/>
    </row>
    <row r="34" spans="1:10" s="135" customFormat="1" ht="40.35" hidden="1" customHeight="1">
      <c r="A34" s="133"/>
      <c r="B34" s="134"/>
      <c r="C34" s="133"/>
      <c r="D34" s="133"/>
      <c r="E34" s="133"/>
      <c r="F34" s="133"/>
      <c r="G34" s="133"/>
      <c r="H34" s="133"/>
      <c r="I34" s="133"/>
      <c r="J34" s="133"/>
    </row>
    <row r="35" spans="1:10" s="135" customFormat="1" ht="40.35" hidden="1" customHeight="1">
      <c r="A35" s="133"/>
      <c r="B35" s="134"/>
      <c r="C35" s="133"/>
      <c r="D35" s="133"/>
      <c r="E35" s="133"/>
      <c r="F35" s="133"/>
      <c r="G35" s="133"/>
      <c r="H35" s="133"/>
      <c r="I35" s="133"/>
      <c r="J35" s="133"/>
    </row>
    <row r="36" spans="1:10" s="135" customFormat="1" ht="40.35" hidden="1" customHeight="1">
      <c r="A36" s="133"/>
      <c r="B36" s="134"/>
      <c r="C36" s="133"/>
      <c r="D36" s="133"/>
      <c r="E36" s="133"/>
      <c r="F36" s="133"/>
      <c r="G36" s="133"/>
      <c r="H36" s="133"/>
      <c r="I36" s="133"/>
      <c r="J36" s="133"/>
    </row>
    <row r="37" spans="1:10" s="135" customFormat="1" ht="40.35" hidden="1" customHeight="1">
      <c r="A37" s="133"/>
      <c r="B37" s="134"/>
      <c r="C37" s="133"/>
      <c r="D37" s="133"/>
      <c r="E37" s="133"/>
      <c r="F37" s="133"/>
      <c r="G37" s="133"/>
      <c r="H37" s="133"/>
      <c r="I37" s="133"/>
      <c r="J37" s="133"/>
    </row>
    <row r="38" spans="1:10" s="135" customFormat="1" ht="40.35" hidden="1" customHeight="1">
      <c r="A38" s="133"/>
      <c r="B38" s="134"/>
      <c r="C38" s="133"/>
      <c r="D38" s="133"/>
      <c r="E38" s="133"/>
      <c r="F38" s="133"/>
      <c r="G38" s="133"/>
      <c r="H38" s="133"/>
      <c r="I38" s="133"/>
      <c r="J38" s="133"/>
    </row>
    <row r="39" spans="1:10" s="135" customFormat="1" ht="40.35"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13653-D1BF-4306-AA6A-5EEA12E5CA94}">
  <sheetPr>
    <tabColor rgb="FF00B050"/>
    <pageSetUpPr fitToPage="1"/>
  </sheetPr>
  <dimension ref="A1:M39"/>
  <sheetViews>
    <sheetView showGridLines="0" view="pageBreakPreview" zoomScale="70" zoomScaleNormal="70" zoomScaleSheetLayoutView="70" workbookViewId="0">
      <selection activeCell="B26" sqref="B26:F27"/>
    </sheetView>
  </sheetViews>
  <sheetFormatPr defaultColWidth="7.71484375" defaultRowHeight="23.25"/>
  <cols>
    <col min="1" max="1" width="43.03515625" style="133" customWidth="1"/>
    <col min="2" max="2" width="2.5703125" style="134" customWidth="1"/>
    <col min="3" max="3" width="15.203125" style="133" customWidth="1"/>
    <col min="4" max="4" width="10.875" style="133" customWidth="1"/>
    <col min="5" max="5" width="12.04296875" style="133" customWidth="1"/>
    <col min="6" max="6" width="14.1484375" style="133" customWidth="1"/>
    <col min="7" max="7" width="12.04296875" style="133" customWidth="1"/>
    <col min="8" max="8" width="10.0546875" style="133" customWidth="1"/>
    <col min="9" max="9" width="12.0429687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1.35" customHeight="1" thickBot="1">
      <c r="A1" s="526" t="s">
        <v>94</v>
      </c>
      <c r="B1" s="526"/>
      <c r="C1" s="526"/>
      <c r="D1" s="526"/>
      <c r="E1" s="526"/>
      <c r="F1" s="526"/>
      <c r="G1" s="526"/>
      <c r="H1" s="526"/>
      <c r="I1" s="526"/>
      <c r="J1" s="526"/>
    </row>
    <row r="2" spans="1:13" ht="32.85" customHeight="1">
      <c r="A2" s="527" t="s">
        <v>95</v>
      </c>
      <c r="B2" s="528"/>
      <c r="C2" s="528"/>
      <c r="D2" s="528"/>
      <c r="E2" s="528"/>
      <c r="F2" s="528"/>
      <c r="G2" s="528"/>
      <c r="H2" s="528"/>
      <c r="I2" s="528"/>
      <c r="J2" s="529"/>
    </row>
    <row r="3" spans="1:13" ht="28.35" customHeight="1">
      <c r="A3" s="530" t="s">
        <v>167</v>
      </c>
      <c r="B3" s="531"/>
      <c r="C3" s="531"/>
      <c r="D3" s="531"/>
      <c r="E3" s="531"/>
      <c r="F3" s="531"/>
      <c r="G3" s="531"/>
      <c r="H3" s="531"/>
      <c r="I3" s="531"/>
      <c r="J3" s="532"/>
    </row>
    <row r="4" spans="1:13" s="135" customFormat="1" ht="30" customHeight="1">
      <c r="A4" s="234" t="s">
        <v>96</v>
      </c>
      <c r="B4" s="235" t="s">
        <v>97</v>
      </c>
      <c r="C4" s="533" t="s">
        <v>145</v>
      </c>
      <c r="D4" s="534"/>
      <c r="E4" s="534"/>
      <c r="F4" s="534"/>
      <c r="G4" s="534"/>
      <c r="H4" s="534"/>
      <c r="I4" s="534"/>
      <c r="J4" s="535"/>
    </row>
    <row r="5" spans="1:13" s="135" customFormat="1" ht="55.5" customHeight="1">
      <c r="A5" s="236" t="s">
        <v>98</v>
      </c>
      <c r="B5" s="237" t="s">
        <v>97</v>
      </c>
      <c r="C5" s="522" t="s">
        <v>146</v>
      </c>
      <c r="D5" s="522"/>
      <c r="E5" s="522"/>
      <c r="F5" s="522"/>
      <c r="G5" s="522"/>
      <c r="H5" s="522"/>
      <c r="I5" s="522"/>
      <c r="J5" s="523"/>
    </row>
    <row r="6" spans="1:13" s="135" customFormat="1" ht="101.85" customHeight="1">
      <c r="A6" s="236" t="s">
        <v>116</v>
      </c>
      <c r="B6" s="238" t="s">
        <v>97</v>
      </c>
      <c r="C6" s="522" t="s">
        <v>162</v>
      </c>
      <c r="D6" s="522"/>
      <c r="E6" s="522"/>
      <c r="F6" s="522"/>
      <c r="G6" s="522"/>
      <c r="H6" s="522"/>
      <c r="I6" s="522"/>
      <c r="J6" s="523"/>
    </row>
    <row r="7" spans="1:13" s="135" customFormat="1" ht="243.6" customHeight="1">
      <c r="A7" s="236" t="s">
        <v>99</v>
      </c>
      <c r="B7" s="238" t="s">
        <v>100</v>
      </c>
      <c r="C7" s="522" t="s">
        <v>163</v>
      </c>
      <c r="D7" s="522"/>
      <c r="E7" s="522"/>
      <c r="F7" s="522"/>
      <c r="G7" s="522"/>
      <c r="H7" s="522"/>
      <c r="I7" s="522"/>
      <c r="J7" s="523"/>
    </row>
    <row r="8" spans="1:13" s="135" customFormat="1" ht="28.35" customHeight="1">
      <c r="A8" s="236" t="s">
        <v>117</v>
      </c>
      <c r="B8" s="237" t="s">
        <v>97</v>
      </c>
      <c r="C8" s="522" t="s">
        <v>115</v>
      </c>
      <c r="D8" s="522"/>
      <c r="E8" s="522"/>
      <c r="F8" s="522"/>
      <c r="G8" s="522"/>
      <c r="H8" s="522"/>
      <c r="I8" s="522"/>
      <c r="J8" s="523"/>
    </row>
    <row r="9" spans="1:13" s="135" customFormat="1" ht="33.6" customHeight="1">
      <c r="A9" s="236" t="s">
        <v>101</v>
      </c>
      <c r="B9" s="237" t="s">
        <v>100</v>
      </c>
      <c r="C9" s="522" t="s">
        <v>179</v>
      </c>
      <c r="D9" s="522"/>
      <c r="E9" s="522"/>
      <c r="F9" s="522"/>
      <c r="G9" s="522"/>
      <c r="H9" s="522"/>
      <c r="I9" s="522"/>
      <c r="J9" s="523"/>
    </row>
    <row r="10" spans="1:13" s="135" customFormat="1" ht="29.1" customHeight="1">
      <c r="A10" s="236" t="s">
        <v>118</v>
      </c>
      <c r="B10" s="237" t="s">
        <v>97</v>
      </c>
      <c r="C10" s="522" t="s">
        <v>168</v>
      </c>
      <c r="D10" s="522"/>
      <c r="E10" s="522"/>
      <c r="F10" s="522"/>
      <c r="G10" s="522"/>
      <c r="H10" s="522"/>
      <c r="I10" s="522"/>
      <c r="J10" s="523"/>
    </row>
    <row r="11" spans="1:13" s="135" customFormat="1">
      <c r="A11" s="236" t="s">
        <v>147</v>
      </c>
      <c r="B11" s="237" t="s">
        <v>97</v>
      </c>
      <c r="C11" s="524"/>
      <c r="D11" s="524"/>
      <c r="E11" s="524"/>
      <c r="F11" s="524"/>
      <c r="G11" s="524"/>
      <c r="H11" s="524"/>
      <c r="I11" s="524"/>
      <c r="J11" s="525"/>
      <c r="L11" s="135" t="s">
        <v>148</v>
      </c>
    </row>
    <row r="12" spans="1:13" s="135" customFormat="1" ht="32.1" customHeight="1">
      <c r="A12" s="236" t="s">
        <v>124</v>
      </c>
      <c r="B12" s="238" t="s">
        <v>100</v>
      </c>
      <c r="C12" s="278" t="s">
        <v>205</v>
      </c>
      <c r="D12" s="270"/>
      <c r="E12" s="270"/>
      <c r="F12" s="270"/>
      <c r="G12" s="270"/>
      <c r="H12" s="270"/>
      <c r="I12" s="270"/>
      <c r="J12" s="271"/>
      <c r="M12" s="137"/>
    </row>
    <row r="13" spans="1:13" s="135" customFormat="1" ht="37.5" customHeight="1">
      <c r="A13" s="236" t="s">
        <v>121</v>
      </c>
      <c r="B13" s="238" t="s">
        <v>100</v>
      </c>
      <c r="C13" s="278" t="str">
        <f>'PL(2_2)'!C22</f>
        <v>OM4-MG-GEN1-KOB-0008</v>
      </c>
      <c r="D13" s="270"/>
      <c r="E13" s="270"/>
      <c r="F13" s="270"/>
      <c r="G13" s="270"/>
      <c r="H13" s="270"/>
      <c r="I13" s="270"/>
      <c r="J13" s="271"/>
      <c r="L13" s="135" t="s">
        <v>149</v>
      </c>
      <c r="M13" s="137"/>
    </row>
    <row r="14" spans="1:13" s="135" customFormat="1" ht="36.6" customHeight="1">
      <c r="A14" s="236" t="s">
        <v>119</v>
      </c>
      <c r="B14" s="237" t="s">
        <v>97</v>
      </c>
      <c r="C14" s="279">
        <f>'PL(2_2)'!M22</f>
        <v>540</v>
      </c>
      <c r="D14" s="324" t="s">
        <v>102</v>
      </c>
      <c r="E14" s="325"/>
      <c r="F14" s="325"/>
      <c r="G14" s="325"/>
      <c r="H14" s="325"/>
      <c r="I14" s="325"/>
      <c r="J14" s="239"/>
    </row>
    <row r="15" spans="1:13" s="135" customFormat="1" ht="57.6" customHeight="1">
      <c r="A15" s="236" t="s">
        <v>120</v>
      </c>
      <c r="B15" s="237" t="s">
        <v>97</v>
      </c>
      <c r="C15" s="279">
        <f>'PL(2_2)'!N22</f>
        <v>683</v>
      </c>
      <c r="D15" s="324" t="s">
        <v>102</v>
      </c>
      <c r="E15" s="325"/>
      <c r="F15" s="326"/>
      <c r="G15" s="325"/>
      <c r="H15" s="325"/>
      <c r="I15" s="325"/>
      <c r="J15" s="240"/>
    </row>
    <row r="16" spans="1:13" s="135" customFormat="1" ht="53.85" customHeight="1">
      <c r="A16" s="236" t="s">
        <v>122</v>
      </c>
      <c r="B16" s="238" t="s">
        <v>97</v>
      </c>
      <c r="C16" s="279">
        <f>'PL(2_2)'!I22</f>
        <v>125</v>
      </c>
      <c r="D16" s="324" t="s">
        <v>103</v>
      </c>
      <c r="E16" s="279">
        <f>'PL(2_2)'!J22</f>
        <v>117</v>
      </c>
      <c r="F16" s="324" t="s">
        <v>104</v>
      </c>
      <c r="G16" s="279">
        <f>'PL(2_2)'!K22</f>
        <v>114</v>
      </c>
      <c r="H16" s="324" t="s">
        <v>105</v>
      </c>
      <c r="I16" s="337">
        <f>'PL(2_2)'!L22</f>
        <v>1.667</v>
      </c>
      <c r="J16" s="241" t="s">
        <v>106</v>
      </c>
    </row>
    <row r="17" spans="1:13" s="135" customFormat="1" ht="31.35" customHeight="1">
      <c r="A17" s="140" t="s">
        <v>113</v>
      </c>
      <c r="B17" s="136" t="s">
        <v>97</v>
      </c>
      <c r="C17" s="187" t="s">
        <v>174</v>
      </c>
      <c r="D17" s="188"/>
      <c r="E17" s="189"/>
      <c r="F17" s="188"/>
      <c r="G17" s="189"/>
      <c r="H17" s="188"/>
      <c r="I17" s="190"/>
      <c r="J17" s="191"/>
    </row>
    <row r="18" spans="1:13" s="135" customFormat="1" ht="45">
      <c r="A18" s="140" t="s">
        <v>123</v>
      </c>
      <c r="B18" s="136" t="s">
        <v>97</v>
      </c>
      <c r="C18" s="187" t="s">
        <v>166</v>
      </c>
      <c r="D18" s="188"/>
      <c r="E18" s="189"/>
      <c r="F18" s="188"/>
      <c r="G18" s="189"/>
      <c r="H18" s="188"/>
      <c r="I18" s="190"/>
      <c r="J18" s="191"/>
    </row>
    <row r="19" spans="1:13" s="135" customFormat="1">
      <c r="A19" s="141" t="s">
        <v>107</v>
      </c>
      <c r="B19" s="136" t="s">
        <v>97</v>
      </c>
      <c r="C19" s="281" t="s">
        <v>176</v>
      </c>
      <c r="D19" s="188"/>
      <c r="E19" s="189"/>
      <c r="F19" s="188"/>
      <c r="G19" s="189"/>
      <c r="H19" s="188"/>
      <c r="I19" s="190"/>
      <c r="J19" s="191"/>
    </row>
    <row r="20" spans="1:13" s="135" customFormat="1" ht="40.35" customHeight="1">
      <c r="A20" s="142" t="s">
        <v>108</v>
      </c>
      <c r="B20" s="138" t="s">
        <v>97</v>
      </c>
      <c r="C20" s="252" t="s">
        <v>109</v>
      </c>
      <c r="D20" s="184"/>
      <c r="E20" s="184"/>
      <c r="F20" s="184"/>
      <c r="G20" s="184"/>
      <c r="H20" s="184"/>
      <c r="I20" s="184"/>
      <c r="J20" s="185"/>
    </row>
    <row r="21" spans="1:13" ht="120" hidden="1" customHeight="1" thickBot="1"/>
    <row r="22" spans="1:13" ht="55.35" hidden="1" customHeight="1"/>
    <row r="23" spans="1:13" ht="55.35" hidden="1" customHeight="1" thickBot="1"/>
    <row r="24" spans="1:13" ht="40.35" hidden="1" customHeight="1"/>
    <row r="25" spans="1:13" s="135" customFormat="1" ht="40.35"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40.35" hidden="1" customHeight="1">
      <c r="A29" s="133"/>
      <c r="B29" s="134"/>
      <c r="C29" s="133"/>
      <c r="D29" s="133"/>
      <c r="E29" s="133"/>
      <c r="F29" s="133"/>
      <c r="G29" s="133"/>
      <c r="H29" s="133"/>
      <c r="I29" s="133"/>
      <c r="J29" s="133"/>
    </row>
    <row r="30" spans="1:13" s="135" customFormat="1" ht="40.35"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40.35" hidden="1" customHeight="1">
      <c r="A32" s="133"/>
      <c r="B32" s="134"/>
      <c r="C32" s="133"/>
      <c r="D32" s="133"/>
      <c r="E32" s="133"/>
      <c r="F32" s="133"/>
      <c r="G32" s="133"/>
      <c r="H32" s="133"/>
      <c r="I32" s="133"/>
      <c r="J32" s="133"/>
      <c r="M32" s="137"/>
    </row>
    <row r="33" spans="1:10" s="135" customFormat="1" ht="40.35" hidden="1" customHeight="1">
      <c r="A33" s="133"/>
      <c r="B33" s="134"/>
      <c r="C33" s="133"/>
      <c r="D33" s="133"/>
      <c r="E33" s="133"/>
      <c r="F33" s="133"/>
      <c r="G33" s="133"/>
      <c r="H33" s="133"/>
      <c r="I33" s="133"/>
      <c r="J33" s="133"/>
    </row>
    <row r="34" spans="1:10" s="135" customFormat="1" ht="40.35" hidden="1" customHeight="1">
      <c r="A34" s="133"/>
      <c r="B34" s="134"/>
      <c r="C34" s="133"/>
      <c r="D34" s="133"/>
      <c r="E34" s="133"/>
      <c r="F34" s="133"/>
      <c r="G34" s="133"/>
      <c r="H34" s="133"/>
      <c r="I34" s="133"/>
      <c r="J34" s="133"/>
    </row>
    <row r="35" spans="1:10" s="135" customFormat="1" ht="40.35" hidden="1" customHeight="1">
      <c r="A35" s="133"/>
      <c r="B35" s="134"/>
      <c r="C35" s="133"/>
      <c r="D35" s="133"/>
      <c r="E35" s="133"/>
      <c r="F35" s="133"/>
      <c r="G35" s="133"/>
      <c r="H35" s="133"/>
      <c r="I35" s="133"/>
      <c r="J35" s="133"/>
    </row>
    <row r="36" spans="1:10" s="135" customFormat="1" ht="40.35" hidden="1" customHeight="1">
      <c r="A36" s="133"/>
      <c r="B36" s="134"/>
      <c r="C36" s="133"/>
      <c r="D36" s="133"/>
      <c r="E36" s="133"/>
      <c r="F36" s="133"/>
      <c r="G36" s="133"/>
      <c r="H36" s="133"/>
      <c r="I36" s="133"/>
      <c r="J36" s="133"/>
    </row>
    <row r="37" spans="1:10" s="135" customFormat="1" ht="40.35" hidden="1" customHeight="1">
      <c r="A37" s="133"/>
      <c r="B37" s="134"/>
      <c r="C37" s="133"/>
      <c r="D37" s="133"/>
      <c r="E37" s="133"/>
      <c r="F37" s="133"/>
      <c r="G37" s="133"/>
      <c r="H37" s="133"/>
      <c r="I37" s="133"/>
      <c r="J37" s="133"/>
    </row>
    <row r="38" spans="1:10" s="135" customFormat="1" ht="40.35" hidden="1" customHeight="1">
      <c r="A38" s="133"/>
      <c r="B38" s="134"/>
      <c r="C38" s="133"/>
      <c r="D38" s="133"/>
      <c r="E38" s="133"/>
      <c r="F38" s="133"/>
      <c r="G38" s="133"/>
      <c r="H38" s="133"/>
      <c r="I38" s="133"/>
      <c r="J38" s="133"/>
    </row>
    <row r="39" spans="1:10" s="135" customFormat="1" ht="40.35"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9E974-E8EB-4E6A-8C5B-6ADDAADD49AB}">
  <sheetPr>
    <tabColor rgb="FF00B050"/>
    <pageSetUpPr fitToPage="1"/>
  </sheetPr>
  <dimension ref="A1:M39"/>
  <sheetViews>
    <sheetView showGridLines="0" view="pageBreakPreview" zoomScale="70" zoomScaleNormal="70" zoomScaleSheetLayoutView="70" workbookViewId="0">
      <selection activeCell="B26" sqref="B26:F27"/>
    </sheetView>
  </sheetViews>
  <sheetFormatPr defaultColWidth="7.71484375" defaultRowHeight="23.25"/>
  <cols>
    <col min="1" max="1" width="43.03515625" style="133" customWidth="1"/>
    <col min="2" max="2" width="2.5703125" style="134" customWidth="1"/>
    <col min="3" max="3" width="15.203125" style="133" customWidth="1"/>
    <col min="4" max="4" width="10.875" style="133" customWidth="1"/>
    <col min="5" max="5" width="12.04296875" style="133" customWidth="1"/>
    <col min="6" max="6" width="14.1484375" style="133" customWidth="1"/>
    <col min="7" max="7" width="12.04296875" style="133" customWidth="1"/>
    <col min="8" max="8" width="10.0546875" style="133" customWidth="1"/>
    <col min="9" max="9" width="12.0429687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1.35" customHeight="1" thickBot="1">
      <c r="A1" s="526" t="s">
        <v>94</v>
      </c>
      <c r="B1" s="526"/>
      <c r="C1" s="526"/>
      <c r="D1" s="526"/>
      <c r="E1" s="526"/>
      <c r="F1" s="526"/>
      <c r="G1" s="526"/>
      <c r="H1" s="526"/>
      <c r="I1" s="526"/>
      <c r="J1" s="526"/>
    </row>
    <row r="2" spans="1:13" ht="32.85" customHeight="1">
      <c r="A2" s="527" t="s">
        <v>95</v>
      </c>
      <c r="B2" s="528"/>
      <c r="C2" s="528"/>
      <c r="D2" s="528"/>
      <c r="E2" s="528"/>
      <c r="F2" s="528"/>
      <c r="G2" s="528"/>
      <c r="H2" s="528"/>
      <c r="I2" s="528"/>
      <c r="J2" s="529"/>
    </row>
    <row r="3" spans="1:13" ht="28.35" customHeight="1">
      <c r="A3" s="530" t="s">
        <v>167</v>
      </c>
      <c r="B3" s="531"/>
      <c r="C3" s="531"/>
      <c r="D3" s="531"/>
      <c r="E3" s="531"/>
      <c r="F3" s="531"/>
      <c r="G3" s="531"/>
      <c r="H3" s="531"/>
      <c r="I3" s="531"/>
      <c r="J3" s="532"/>
    </row>
    <row r="4" spans="1:13" s="135" customFormat="1" ht="30" customHeight="1">
      <c r="A4" s="234" t="s">
        <v>96</v>
      </c>
      <c r="B4" s="235" t="s">
        <v>97</v>
      </c>
      <c r="C4" s="533" t="s">
        <v>145</v>
      </c>
      <c r="D4" s="534"/>
      <c r="E4" s="534"/>
      <c r="F4" s="534"/>
      <c r="G4" s="534"/>
      <c r="H4" s="534"/>
      <c r="I4" s="534"/>
      <c r="J4" s="535"/>
    </row>
    <row r="5" spans="1:13" s="135" customFormat="1" ht="55.5" customHeight="1">
      <c r="A5" s="236" t="s">
        <v>98</v>
      </c>
      <c r="B5" s="237" t="s">
        <v>97</v>
      </c>
      <c r="C5" s="522" t="s">
        <v>146</v>
      </c>
      <c r="D5" s="522"/>
      <c r="E5" s="522"/>
      <c r="F5" s="522"/>
      <c r="G5" s="522"/>
      <c r="H5" s="522"/>
      <c r="I5" s="522"/>
      <c r="J5" s="523"/>
    </row>
    <row r="6" spans="1:13" s="135" customFormat="1" ht="101.85" customHeight="1">
      <c r="A6" s="236" t="s">
        <v>116</v>
      </c>
      <c r="B6" s="238" t="s">
        <v>97</v>
      </c>
      <c r="C6" s="522" t="s">
        <v>162</v>
      </c>
      <c r="D6" s="522"/>
      <c r="E6" s="522"/>
      <c r="F6" s="522"/>
      <c r="G6" s="522"/>
      <c r="H6" s="522"/>
      <c r="I6" s="522"/>
      <c r="J6" s="523"/>
    </row>
    <row r="7" spans="1:13" s="135" customFormat="1" ht="243.6" customHeight="1">
      <c r="A7" s="236" t="s">
        <v>99</v>
      </c>
      <c r="B7" s="238" t="s">
        <v>100</v>
      </c>
      <c r="C7" s="522" t="s">
        <v>163</v>
      </c>
      <c r="D7" s="522"/>
      <c r="E7" s="522"/>
      <c r="F7" s="522"/>
      <c r="G7" s="522"/>
      <c r="H7" s="522"/>
      <c r="I7" s="522"/>
      <c r="J7" s="523"/>
    </row>
    <row r="8" spans="1:13" s="135" customFormat="1" ht="28.35" customHeight="1">
      <c r="A8" s="236" t="s">
        <v>117</v>
      </c>
      <c r="B8" s="237" t="s">
        <v>97</v>
      </c>
      <c r="C8" s="522" t="s">
        <v>115</v>
      </c>
      <c r="D8" s="522"/>
      <c r="E8" s="522"/>
      <c r="F8" s="522"/>
      <c r="G8" s="522"/>
      <c r="H8" s="522"/>
      <c r="I8" s="522"/>
      <c r="J8" s="523"/>
    </row>
    <row r="9" spans="1:13" s="135" customFormat="1" ht="33.6" customHeight="1">
      <c r="A9" s="236" t="s">
        <v>101</v>
      </c>
      <c r="B9" s="237" t="s">
        <v>100</v>
      </c>
      <c r="C9" s="522" t="s">
        <v>179</v>
      </c>
      <c r="D9" s="522"/>
      <c r="E9" s="522"/>
      <c r="F9" s="522"/>
      <c r="G9" s="522"/>
      <c r="H9" s="522"/>
      <c r="I9" s="522"/>
      <c r="J9" s="523"/>
    </row>
    <row r="10" spans="1:13" s="135" customFormat="1" ht="29.1" customHeight="1">
      <c r="A10" s="236" t="s">
        <v>118</v>
      </c>
      <c r="B10" s="237" t="s">
        <v>97</v>
      </c>
      <c r="C10" s="522" t="s">
        <v>168</v>
      </c>
      <c r="D10" s="522"/>
      <c r="E10" s="522"/>
      <c r="F10" s="522"/>
      <c r="G10" s="522"/>
      <c r="H10" s="522"/>
      <c r="I10" s="522"/>
      <c r="J10" s="523"/>
    </row>
    <row r="11" spans="1:13" s="135" customFormat="1">
      <c r="A11" s="236" t="s">
        <v>147</v>
      </c>
      <c r="B11" s="237" t="s">
        <v>97</v>
      </c>
      <c r="C11" s="524"/>
      <c r="D11" s="524"/>
      <c r="E11" s="524"/>
      <c r="F11" s="524"/>
      <c r="G11" s="524"/>
      <c r="H11" s="524"/>
      <c r="I11" s="524"/>
      <c r="J11" s="525"/>
      <c r="L11" s="135" t="s">
        <v>148</v>
      </c>
    </row>
    <row r="12" spans="1:13" s="135" customFormat="1" ht="32.1" customHeight="1">
      <c r="A12" s="236" t="s">
        <v>124</v>
      </c>
      <c r="B12" s="238" t="s">
        <v>100</v>
      </c>
      <c r="C12" s="278" t="s">
        <v>205</v>
      </c>
      <c r="D12" s="270"/>
      <c r="E12" s="270"/>
      <c r="F12" s="270"/>
      <c r="G12" s="270"/>
      <c r="H12" s="270"/>
      <c r="I12" s="270"/>
      <c r="J12" s="271"/>
      <c r="M12" s="137"/>
    </row>
    <row r="13" spans="1:13" s="135" customFormat="1" ht="37.5" customHeight="1">
      <c r="A13" s="236" t="s">
        <v>121</v>
      </c>
      <c r="B13" s="238" t="s">
        <v>100</v>
      </c>
      <c r="C13" s="278" t="str">
        <f>'PL(2_2)'!C23</f>
        <v>OM4-MG-GEN1-KOB-0009</v>
      </c>
      <c r="D13" s="270"/>
      <c r="E13" s="270"/>
      <c r="F13" s="270"/>
      <c r="G13" s="270"/>
      <c r="H13" s="270"/>
      <c r="I13" s="270"/>
      <c r="J13" s="271"/>
      <c r="L13" s="135" t="s">
        <v>149</v>
      </c>
      <c r="M13" s="137"/>
    </row>
    <row r="14" spans="1:13" s="135" customFormat="1" ht="36.6" customHeight="1">
      <c r="A14" s="236" t="s">
        <v>119</v>
      </c>
      <c r="B14" s="237" t="s">
        <v>97</v>
      </c>
      <c r="C14" s="279">
        <f>'PL(2_2)'!M23</f>
        <v>540</v>
      </c>
      <c r="D14" s="324" t="s">
        <v>102</v>
      </c>
      <c r="E14" s="325"/>
      <c r="F14" s="325"/>
      <c r="G14" s="325"/>
      <c r="H14" s="325"/>
      <c r="I14" s="325"/>
      <c r="J14" s="239"/>
    </row>
    <row r="15" spans="1:13" s="135" customFormat="1" ht="57.6" customHeight="1">
      <c r="A15" s="236" t="s">
        <v>120</v>
      </c>
      <c r="B15" s="237" t="s">
        <v>97</v>
      </c>
      <c r="C15" s="279">
        <f>'PL(2_2)'!N23</f>
        <v>683</v>
      </c>
      <c r="D15" s="324" t="s">
        <v>102</v>
      </c>
      <c r="E15" s="325"/>
      <c r="F15" s="326"/>
      <c r="G15" s="325"/>
      <c r="H15" s="325"/>
      <c r="I15" s="325"/>
      <c r="J15" s="240"/>
    </row>
    <row r="16" spans="1:13" s="135" customFormat="1" ht="53.85" customHeight="1">
      <c r="A16" s="236" t="s">
        <v>122</v>
      </c>
      <c r="B16" s="238" t="s">
        <v>97</v>
      </c>
      <c r="C16" s="279">
        <f>'PL(2_2)'!I23</f>
        <v>125</v>
      </c>
      <c r="D16" s="324" t="s">
        <v>103</v>
      </c>
      <c r="E16" s="279">
        <f>'PL(2_2)'!J23</f>
        <v>117</v>
      </c>
      <c r="F16" s="324" t="s">
        <v>104</v>
      </c>
      <c r="G16" s="279">
        <f>'PL(2_2)'!K23</f>
        <v>114</v>
      </c>
      <c r="H16" s="324" t="s">
        <v>105</v>
      </c>
      <c r="I16" s="337">
        <f>'PL(2_2)'!L23</f>
        <v>1.667</v>
      </c>
      <c r="J16" s="241" t="s">
        <v>106</v>
      </c>
    </row>
    <row r="17" spans="1:13" s="135" customFormat="1" ht="31.35" customHeight="1">
      <c r="A17" s="140" t="s">
        <v>113</v>
      </c>
      <c r="B17" s="136" t="s">
        <v>97</v>
      </c>
      <c r="C17" s="187" t="s">
        <v>174</v>
      </c>
      <c r="D17" s="188"/>
      <c r="E17" s="189"/>
      <c r="F17" s="188"/>
      <c r="G17" s="189"/>
      <c r="H17" s="188"/>
      <c r="I17" s="190"/>
      <c r="J17" s="191"/>
    </row>
    <row r="18" spans="1:13" s="135" customFormat="1" ht="45">
      <c r="A18" s="140" t="s">
        <v>123</v>
      </c>
      <c r="B18" s="136" t="s">
        <v>97</v>
      </c>
      <c r="C18" s="187" t="s">
        <v>166</v>
      </c>
      <c r="D18" s="188"/>
      <c r="E18" s="189"/>
      <c r="F18" s="188"/>
      <c r="G18" s="189"/>
      <c r="H18" s="188"/>
      <c r="I18" s="190"/>
      <c r="J18" s="191"/>
    </row>
    <row r="19" spans="1:13" s="135" customFormat="1">
      <c r="A19" s="141" t="s">
        <v>107</v>
      </c>
      <c r="B19" s="136" t="s">
        <v>97</v>
      </c>
      <c r="C19" s="281" t="s">
        <v>176</v>
      </c>
      <c r="D19" s="188"/>
      <c r="E19" s="189"/>
      <c r="F19" s="188"/>
      <c r="G19" s="189"/>
      <c r="H19" s="188"/>
      <c r="I19" s="190"/>
      <c r="J19" s="191"/>
    </row>
    <row r="20" spans="1:13" s="135" customFormat="1" ht="40.35" customHeight="1">
      <c r="A20" s="142" t="s">
        <v>108</v>
      </c>
      <c r="B20" s="138" t="s">
        <v>97</v>
      </c>
      <c r="C20" s="252" t="s">
        <v>109</v>
      </c>
      <c r="D20" s="184"/>
      <c r="E20" s="184"/>
      <c r="F20" s="184"/>
      <c r="G20" s="184"/>
      <c r="H20" s="184"/>
      <c r="I20" s="184"/>
      <c r="J20" s="185"/>
    </row>
    <row r="21" spans="1:13" ht="120" hidden="1" customHeight="1" thickBot="1"/>
    <row r="22" spans="1:13" ht="55.35" hidden="1" customHeight="1"/>
    <row r="23" spans="1:13" ht="55.35" hidden="1" customHeight="1" thickBot="1"/>
    <row r="24" spans="1:13" ht="40.35" hidden="1" customHeight="1"/>
    <row r="25" spans="1:13" s="135" customFormat="1" ht="40.35"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40.35" hidden="1" customHeight="1">
      <c r="A29" s="133"/>
      <c r="B29" s="134"/>
      <c r="C29" s="133"/>
      <c r="D29" s="133"/>
      <c r="E29" s="133"/>
      <c r="F29" s="133"/>
      <c r="G29" s="133"/>
      <c r="H29" s="133"/>
      <c r="I29" s="133"/>
      <c r="J29" s="133"/>
    </row>
    <row r="30" spans="1:13" s="135" customFormat="1" ht="40.35"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40.35" hidden="1" customHeight="1">
      <c r="A32" s="133"/>
      <c r="B32" s="134"/>
      <c r="C32" s="133"/>
      <c r="D32" s="133"/>
      <c r="E32" s="133"/>
      <c r="F32" s="133"/>
      <c r="G32" s="133"/>
      <c r="H32" s="133"/>
      <c r="I32" s="133"/>
      <c r="J32" s="133"/>
      <c r="M32" s="137"/>
    </row>
    <row r="33" spans="1:10" s="135" customFormat="1" ht="40.35" hidden="1" customHeight="1">
      <c r="A33" s="133"/>
      <c r="B33" s="134"/>
      <c r="C33" s="133"/>
      <c r="D33" s="133"/>
      <c r="E33" s="133"/>
      <c r="F33" s="133"/>
      <c r="G33" s="133"/>
      <c r="H33" s="133"/>
      <c r="I33" s="133"/>
      <c r="J33" s="133"/>
    </row>
    <row r="34" spans="1:10" s="135" customFormat="1" ht="40.35" hidden="1" customHeight="1">
      <c r="A34" s="133"/>
      <c r="B34" s="134"/>
      <c r="C34" s="133"/>
      <c r="D34" s="133"/>
      <c r="E34" s="133"/>
      <c r="F34" s="133"/>
      <c r="G34" s="133"/>
      <c r="H34" s="133"/>
      <c r="I34" s="133"/>
      <c r="J34" s="133"/>
    </row>
    <row r="35" spans="1:10" s="135" customFormat="1" ht="40.35" hidden="1" customHeight="1">
      <c r="A35" s="133"/>
      <c r="B35" s="134"/>
      <c r="C35" s="133"/>
      <c r="D35" s="133"/>
      <c r="E35" s="133"/>
      <c r="F35" s="133"/>
      <c r="G35" s="133"/>
      <c r="H35" s="133"/>
      <c r="I35" s="133"/>
      <c r="J35" s="133"/>
    </row>
    <row r="36" spans="1:10" s="135" customFormat="1" ht="40.35" hidden="1" customHeight="1">
      <c r="A36" s="133"/>
      <c r="B36" s="134"/>
      <c r="C36" s="133"/>
      <c r="D36" s="133"/>
      <c r="E36" s="133"/>
      <c r="F36" s="133"/>
      <c r="G36" s="133"/>
      <c r="H36" s="133"/>
      <c r="I36" s="133"/>
      <c r="J36" s="133"/>
    </row>
    <row r="37" spans="1:10" s="135" customFormat="1" ht="40.35" hidden="1" customHeight="1">
      <c r="A37" s="133"/>
      <c r="B37" s="134"/>
      <c r="C37" s="133"/>
      <c r="D37" s="133"/>
      <c r="E37" s="133"/>
      <c r="F37" s="133"/>
      <c r="G37" s="133"/>
      <c r="H37" s="133"/>
      <c r="I37" s="133"/>
      <c r="J37" s="133"/>
    </row>
    <row r="38" spans="1:10" s="135" customFormat="1" ht="40.35" hidden="1" customHeight="1">
      <c r="A38" s="133"/>
      <c r="B38" s="134"/>
      <c r="C38" s="133"/>
      <c r="D38" s="133"/>
      <c r="E38" s="133"/>
      <c r="F38" s="133"/>
      <c r="G38" s="133"/>
      <c r="H38" s="133"/>
      <c r="I38" s="133"/>
      <c r="J38" s="133"/>
    </row>
    <row r="39" spans="1:10" s="135" customFormat="1" ht="40.35"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E49B9-A007-482F-A981-D9664E6A2CB9}">
  <sheetPr>
    <tabColor rgb="FF00B050"/>
    <pageSetUpPr fitToPage="1"/>
  </sheetPr>
  <dimension ref="A1:M39"/>
  <sheetViews>
    <sheetView showGridLines="0" view="pageBreakPreview" zoomScale="70" zoomScaleNormal="70" zoomScaleSheetLayoutView="70" workbookViewId="0">
      <selection activeCell="B26" sqref="B26:F27"/>
    </sheetView>
  </sheetViews>
  <sheetFormatPr defaultColWidth="7.71484375" defaultRowHeight="23.25"/>
  <cols>
    <col min="1" max="1" width="43.03515625" style="133" customWidth="1"/>
    <col min="2" max="2" width="2.5703125" style="134" customWidth="1"/>
    <col min="3" max="3" width="15.203125" style="133" customWidth="1"/>
    <col min="4" max="4" width="10.875" style="133" customWidth="1"/>
    <col min="5" max="5" width="12.04296875" style="133" customWidth="1"/>
    <col min="6" max="6" width="14.1484375" style="133" customWidth="1"/>
    <col min="7" max="7" width="12.04296875" style="133" customWidth="1"/>
    <col min="8" max="8" width="10.0546875" style="133" customWidth="1"/>
    <col min="9" max="9" width="12.0429687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1.35" customHeight="1" thickBot="1">
      <c r="A1" s="526" t="s">
        <v>94</v>
      </c>
      <c r="B1" s="526"/>
      <c r="C1" s="526"/>
      <c r="D1" s="526"/>
      <c r="E1" s="526"/>
      <c r="F1" s="526"/>
      <c r="G1" s="526"/>
      <c r="H1" s="526"/>
      <c r="I1" s="526"/>
      <c r="J1" s="526"/>
    </row>
    <row r="2" spans="1:13" ht="32.85" customHeight="1">
      <c r="A2" s="527" t="s">
        <v>95</v>
      </c>
      <c r="B2" s="528"/>
      <c r="C2" s="528"/>
      <c r="D2" s="528"/>
      <c r="E2" s="528"/>
      <c r="F2" s="528"/>
      <c r="G2" s="528"/>
      <c r="H2" s="528"/>
      <c r="I2" s="528"/>
      <c r="J2" s="529"/>
    </row>
    <row r="3" spans="1:13" ht="28.35" customHeight="1">
      <c r="A3" s="530" t="s">
        <v>167</v>
      </c>
      <c r="B3" s="531"/>
      <c r="C3" s="531"/>
      <c r="D3" s="531"/>
      <c r="E3" s="531"/>
      <c r="F3" s="531"/>
      <c r="G3" s="531"/>
      <c r="H3" s="531"/>
      <c r="I3" s="531"/>
      <c r="J3" s="532"/>
    </row>
    <row r="4" spans="1:13" s="135" customFormat="1" ht="30" customHeight="1">
      <c r="A4" s="234" t="s">
        <v>96</v>
      </c>
      <c r="B4" s="235" t="s">
        <v>97</v>
      </c>
      <c r="C4" s="533" t="s">
        <v>145</v>
      </c>
      <c r="D4" s="534"/>
      <c r="E4" s="534"/>
      <c r="F4" s="534"/>
      <c r="G4" s="534"/>
      <c r="H4" s="534"/>
      <c r="I4" s="534"/>
      <c r="J4" s="535"/>
    </row>
    <row r="5" spans="1:13" s="135" customFormat="1" ht="55.5" customHeight="1">
      <c r="A5" s="236" t="s">
        <v>98</v>
      </c>
      <c r="B5" s="237" t="s">
        <v>97</v>
      </c>
      <c r="C5" s="522" t="s">
        <v>146</v>
      </c>
      <c r="D5" s="522"/>
      <c r="E5" s="522"/>
      <c r="F5" s="522"/>
      <c r="G5" s="522"/>
      <c r="H5" s="522"/>
      <c r="I5" s="522"/>
      <c r="J5" s="523"/>
    </row>
    <row r="6" spans="1:13" s="135" customFormat="1" ht="101.85" customHeight="1">
      <c r="A6" s="236" t="s">
        <v>116</v>
      </c>
      <c r="B6" s="238" t="s">
        <v>97</v>
      </c>
      <c r="C6" s="522" t="s">
        <v>162</v>
      </c>
      <c r="D6" s="522"/>
      <c r="E6" s="522"/>
      <c r="F6" s="522"/>
      <c r="G6" s="522"/>
      <c r="H6" s="522"/>
      <c r="I6" s="522"/>
      <c r="J6" s="523"/>
    </row>
    <row r="7" spans="1:13" s="135" customFormat="1" ht="243.6" customHeight="1">
      <c r="A7" s="236" t="s">
        <v>99</v>
      </c>
      <c r="B7" s="238" t="s">
        <v>100</v>
      </c>
      <c r="C7" s="522" t="s">
        <v>163</v>
      </c>
      <c r="D7" s="522"/>
      <c r="E7" s="522"/>
      <c r="F7" s="522"/>
      <c r="G7" s="522"/>
      <c r="H7" s="522"/>
      <c r="I7" s="522"/>
      <c r="J7" s="523"/>
    </row>
    <row r="8" spans="1:13" s="135" customFormat="1" ht="28.35" customHeight="1">
      <c r="A8" s="236" t="s">
        <v>117</v>
      </c>
      <c r="B8" s="237" t="s">
        <v>97</v>
      </c>
      <c r="C8" s="522" t="s">
        <v>115</v>
      </c>
      <c r="D8" s="522"/>
      <c r="E8" s="522"/>
      <c r="F8" s="522"/>
      <c r="G8" s="522"/>
      <c r="H8" s="522"/>
      <c r="I8" s="522"/>
      <c r="J8" s="523"/>
    </row>
    <row r="9" spans="1:13" s="135" customFormat="1" ht="33.6" customHeight="1">
      <c r="A9" s="236" t="s">
        <v>101</v>
      </c>
      <c r="B9" s="237" t="s">
        <v>100</v>
      </c>
      <c r="C9" s="522" t="s">
        <v>179</v>
      </c>
      <c r="D9" s="522"/>
      <c r="E9" s="522"/>
      <c r="F9" s="522"/>
      <c r="G9" s="522"/>
      <c r="H9" s="522"/>
      <c r="I9" s="522"/>
      <c r="J9" s="523"/>
    </row>
    <row r="10" spans="1:13" s="135" customFormat="1" ht="29.1" customHeight="1">
      <c r="A10" s="236" t="s">
        <v>118</v>
      </c>
      <c r="B10" s="237" t="s">
        <v>97</v>
      </c>
      <c r="C10" s="522" t="s">
        <v>168</v>
      </c>
      <c r="D10" s="522"/>
      <c r="E10" s="522"/>
      <c r="F10" s="522"/>
      <c r="G10" s="522"/>
      <c r="H10" s="522"/>
      <c r="I10" s="522"/>
      <c r="J10" s="523"/>
    </row>
    <row r="11" spans="1:13" s="135" customFormat="1">
      <c r="A11" s="236" t="s">
        <v>147</v>
      </c>
      <c r="B11" s="237" t="s">
        <v>97</v>
      </c>
      <c r="C11" s="524"/>
      <c r="D11" s="524"/>
      <c r="E11" s="524"/>
      <c r="F11" s="524"/>
      <c r="G11" s="524"/>
      <c r="H11" s="524"/>
      <c r="I11" s="524"/>
      <c r="J11" s="525"/>
      <c r="L11" s="135" t="s">
        <v>148</v>
      </c>
    </row>
    <row r="12" spans="1:13" s="135" customFormat="1" ht="32.1" customHeight="1">
      <c r="A12" s="236" t="s">
        <v>124</v>
      </c>
      <c r="B12" s="238" t="s">
        <v>100</v>
      </c>
      <c r="C12" s="278" t="s">
        <v>205</v>
      </c>
      <c r="D12" s="270"/>
      <c r="E12" s="270"/>
      <c r="F12" s="270"/>
      <c r="G12" s="270"/>
      <c r="H12" s="270"/>
      <c r="I12" s="270"/>
      <c r="J12" s="271"/>
      <c r="M12" s="137"/>
    </row>
    <row r="13" spans="1:13" s="135" customFormat="1" ht="37.5" customHeight="1">
      <c r="A13" s="236" t="s">
        <v>121</v>
      </c>
      <c r="B13" s="238" t="s">
        <v>100</v>
      </c>
      <c r="C13" s="278" t="str">
        <f>'PL(2_2)'!C24</f>
        <v>OM4-MG-GEN1-KOB-0010</v>
      </c>
      <c r="D13" s="270"/>
      <c r="E13" s="270"/>
      <c r="F13" s="270"/>
      <c r="G13" s="270"/>
      <c r="H13" s="270"/>
      <c r="I13" s="270"/>
      <c r="J13" s="271"/>
      <c r="L13" s="135" t="s">
        <v>149</v>
      </c>
      <c r="M13" s="137"/>
    </row>
    <row r="14" spans="1:13" s="135" customFormat="1" ht="36.6" customHeight="1">
      <c r="A14" s="236" t="s">
        <v>119</v>
      </c>
      <c r="B14" s="237" t="s">
        <v>97</v>
      </c>
      <c r="C14" s="279">
        <f>'PL(2_2)'!M24</f>
        <v>55</v>
      </c>
      <c r="D14" s="324" t="s">
        <v>102</v>
      </c>
      <c r="E14" s="325"/>
      <c r="F14" s="325"/>
      <c r="G14" s="325"/>
      <c r="H14" s="325"/>
      <c r="I14" s="325"/>
      <c r="J14" s="239"/>
    </row>
    <row r="15" spans="1:13" s="135" customFormat="1" ht="57.6" customHeight="1">
      <c r="A15" s="236" t="s">
        <v>120</v>
      </c>
      <c r="B15" s="237" t="s">
        <v>97</v>
      </c>
      <c r="C15" s="279">
        <f>'PL(2_2)'!N24</f>
        <v>100</v>
      </c>
      <c r="D15" s="324" t="s">
        <v>102</v>
      </c>
      <c r="E15" s="325"/>
      <c r="F15" s="326"/>
      <c r="G15" s="325"/>
      <c r="H15" s="325"/>
      <c r="I15" s="325"/>
      <c r="J15" s="240"/>
    </row>
    <row r="16" spans="1:13" s="135" customFormat="1" ht="53.85" customHeight="1">
      <c r="A16" s="236" t="s">
        <v>122</v>
      </c>
      <c r="B16" s="238" t="s">
        <v>97</v>
      </c>
      <c r="C16" s="279">
        <f>'PL(2_2)'!I24</f>
        <v>100</v>
      </c>
      <c r="D16" s="324" t="s">
        <v>103</v>
      </c>
      <c r="E16" s="279">
        <f>'PL(2_2)'!J24</f>
        <v>80</v>
      </c>
      <c r="F16" s="324" t="s">
        <v>104</v>
      </c>
      <c r="G16" s="279">
        <f>'PL(2_2)'!K24</f>
        <v>63</v>
      </c>
      <c r="H16" s="324" t="s">
        <v>105</v>
      </c>
      <c r="I16" s="337">
        <f>'PL(2_2)'!L24</f>
        <v>0.504</v>
      </c>
      <c r="J16" s="241" t="s">
        <v>106</v>
      </c>
    </row>
    <row r="17" spans="1:13" s="135" customFormat="1" ht="31.35" customHeight="1">
      <c r="A17" s="140" t="s">
        <v>113</v>
      </c>
      <c r="B17" s="136" t="s">
        <v>97</v>
      </c>
      <c r="C17" s="187" t="s">
        <v>174</v>
      </c>
      <c r="D17" s="188"/>
      <c r="E17" s="189"/>
      <c r="F17" s="188"/>
      <c r="G17" s="189"/>
      <c r="H17" s="188"/>
      <c r="I17" s="190"/>
      <c r="J17" s="191"/>
    </row>
    <row r="18" spans="1:13" s="135" customFormat="1" ht="45">
      <c r="A18" s="140" t="s">
        <v>123</v>
      </c>
      <c r="B18" s="136" t="s">
        <v>97</v>
      </c>
      <c r="C18" s="187" t="s">
        <v>166</v>
      </c>
      <c r="D18" s="188"/>
      <c r="E18" s="189"/>
      <c r="F18" s="188"/>
      <c r="G18" s="189"/>
      <c r="H18" s="188"/>
      <c r="I18" s="190"/>
      <c r="J18" s="191"/>
    </row>
    <row r="19" spans="1:13" s="135" customFormat="1">
      <c r="A19" s="141" t="s">
        <v>107</v>
      </c>
      <c r="B19" s="136" t="s">
        <v>97</v>
      </c>
      <c r="C19" s="281" t="s">
        <v>176</v>
      </c>
      <c r="D19" s="188"/>
      <c r="E19" s="189"/>
      <c r="F19" s="188"/>
      <c r="G19" s="189"/>
      <c r="H19" s="188"/>
      <c r="I19" s="190"/>
      <c r="J19" s="191"/>
    </row>
    <row r="20" spans="1:13" s="135" customFormat="1" ht="40.35" customHeight="1">
      <c r="A20" s="142" t="s">
        <v>108</v>
      </c>
      <c r="B20" s="138" t="s">
        <v>97</v>
      </c>
      <c r="C20" s="252" t="s">
        <v>109</v>
      </c>
      <c r="D20" s="184"/>
      <c r="E20" s="184"/>
      <c r="F20" s="184"/>
      <c r="G20" s="184"/>
      <c r="H20" s="184"/>
      <c r="I20" s="184"/>
      <c r="J20" s="185"/>
    </row>
    <row r="21" spans="1:13" ht="120" hidden="1" customHeight="1" thickBot="1"/>
    <row r="22" spans="1:13" ht="55.35" hidden="1" customHeight="1"/>
    <row r="23" spans="1:13" ht="55.35" hidden="1" customHeight="1" thickBot="1"/>
    <row r="24" spans="1:13" ht="40.35" hidden="1" customHeight="1"/>
    <row r="25" spans="1:13" s="135" customFormat="1" ht="40.35"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40.35" hidden="1" customHeight="1">
      <c r="A29" s="133"/>
      <c r="B29" s="134"/>
      <c r="C29" s="133"/>
      <c r="D29" s="133"/>
      <c r="E29" s="133"/>
      <c r="F29" s="133"/>
      <c r="G29" s="133"/>
      <c r="H29" s="133"/>
      <c r="I29" s="133"/>
      <c r="J29" s="133"/>
    </row>
    <row r="30" spans="1:13" s="135" customFormat="1" ht="40.35"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40.35" hidden="1" customHeight="1">
      <c r="A32" s="133"/>
      <c r="B32" s="134"/>
      <c r="C32" s="133"/>
      <c r="D32" s="133"/>
      <c r="E32" s="133"/>
      <c r="F32" s="133"/>
      <c r="G32" s="133"/>
      <c r="H32" s="133"/>
      <c r="I32" s="133"/>
      <c r="J32" s="133"/>
      <c r="M32" s="137"/>
    </row>
    <row r="33" spans="1:10" s="135" customFormat="1" ht="40.35" hidden="1" customHeight="1">
      <c r="A33" s="133"/>
      <c r="B33" s="134"/>
      <c r="C33" s="133"/>
      <c r="D33" s="133"/>
      <c r="E33" s="133"/>
      <c r="F33" s="133"/>
      <c r="G33" s="133"/>
      <c r="H33" s="133"/>
      <c r="I33" s="133"/>
      <c r="J33" s="133"/>
    </row>
    <row r="34" spans="1:10" s="135" customFormat="1" ht="40.35" hidden="1" customHeight="1">
      <c r="A34" s="133"/>
      <c r="B34" s="134"/>
      <c r="C34" s="133"/>
      <c r="D34" s="133"/>
      <c r="E34" s="133"/>
      <c r="F34" s="133"/>
      <c r="G34" s="133"/>
      <c r="H34" s="133"/>
      <c r="I34" s="133"/>
      <c r="J34" s="133"/>
    </row>
    <row r="35" spans="1:10" s="135" customFormat="1" ht="40.35" hidden="1" customHeight="1">
      <c r="A35" s="133"/>
      <c r="B35" s="134"/>
      <c r="C35" s="133"/>
      <c r="D35" s="133"/>
      <c r="E35" s="133"/>
      <c r="F35" s="133"/>
      <c r="G35" s="133"/>
      <c r="H35" s="133"/>
      <c r="I35" s="133"/>
      <c r="J35" s="133"/>
    </row>
    <row r="36" spans="1:10" s="135" customFormat="1" ht="40.35" hidden="1" customHeight="1">
      <c r="A36" s="133"/>
      <c r="B36" s="134"/>
      <c r="C36" s="133"/>
      <c r="D36" s="133"/>
      <c r="E36" s="133"/>
      <c r="F36" s="133"/>
      <c r="G36" s="133"/>
      <c r="H36" s="133"/>
      <c r="I36" s="133"/>
      <c r="J36" s="133"/>
    </row>
    <row r="37" spans="1:10" s="135" customFormat="1" ht="40.35" hidden="1" customHeight="1">
      <c r="A37" s="133"/>
      <c r="B37" s="134"/>
      <c r="C37" s="133"/>
      <c r="D37" s="133"/>
      <c r="E37" s="133"/>
      <c r="F37" s="133"/>
      <c r="G37" s="133"/>
      <c r="H37" s="133"/>
      <c r="I37" s="133"/>
      <c r="J37" s="133"/>
    </row>
    <row r="38" spans="1:10" s="135" customFormat="1" ht="40.35" hidden="1" customHeight="1">
      <c r="A38" s="133"/>
      <c r="B38" s="134"/>
      <c r="C38" s="133"/>
      <c r="D38" s="133"/>
      <c r="E38" s="133"/>
      <c r="F38" s="133"/>
      <c r="G38" s="133"/>
      <c r="H38" s="133"/>
      <c r="I38" s="133"/>
      <c r="J38" s="133"/>
    </row>
    <row r="39" spans="1:10" s="135" customFormat="1" ht="40.35"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C2C89-7FC4-4B41-A775-19199147DBFE}">
  <sheetPr>
    <tabColor rgb="FF00B050"/>
    <pageSetUpPr fitToPage="1"/>
  </sheetPr>
  <dimension ref="A1:M39"/>
  <sheetViews>
    <sheetView showGridLines="0" view="pageBreakPreview" zoomScale="70" zoomScaleNormal="70" zoomScaleSheetLayoutView="70" workbookViewId="0">
      <selection activeCell="B26" sqref="B26:F27"/>
    </sheetView>
  </sheetViews>
  <sheetFormatPr defaultColWidth="7.71484375" defaultRowHeight="23.25"/>
  <cols>
    <col min="1" max="1" width="43.03515625" style="133" customWidth="1"/>
    <col min="2" max="2" width="2.5703125" style="134" customWidth="1"/>
    <col min="3" max="3" width="15.203125" style="133" customWidth="1"/>
    <col min="4" max="4" width="10.875" style="133" customWidth="1"/>
    <col min="5" max="5" width="12.04296875" style="133" customWidth="1"/>
    <col min="6" max="6" width="14.1484375" style="133" customWidth="1"/>
    <col min="7" max="7" width="12.04296875" style="133" customWidth="1"/>
    <col min="8" max="8" width="10.0546875" style="133" customWidth="1"/>
    <col min="9" max="9" width="12.0429687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1.35" customHeight="1" thickBot="1">
      <c r="A1" s="526" t="s">
        <v>94</v>
      </c>
      <c r="B1" s="526"/>
      <c r="C1" s="526"/>
      <c r="D1" s="526"/>
      <c r="E1" s="526"/>
      <c r="F1" s="526"/>
      <c r="G1" s="526"/>
      <c r="H1" s="526"/>
      <c r="I1" s="526"/>
      <c r="J1" s="526"/>
    </row>
    <row r="2" spans="1:13" ht="32.85" customHeight="1">
      <c r="A2" s="527" t="s">
        <v>95</v>
      </c>
      <c r="B2" s="528"/>
      <c r="C2" s="528"/>
      <c r="D2" s="528"/>
      <c r="E2" s="528"/>
      <c r="F2" s="528"/>
      <c r="G2" s="528"/>
      <c r="H2" s="528"/>
      <c r="I2" s="528"/>
      <c r="J2" s="529"/>
    </row>
    <row r="3" spans="1:13" ht="28.35" customHeight="1">
      <c r="A3" s="530" t="s">
        <v>167</v>
      </c>
      <c r="B3" s="531"/>
      <c r="C3" s="531"/>
      <c r="D3" s="531"/>
      <c r="E3" s="531"/>
      <c r="F3" s="531"/>
      <c r="G3" s="531"/>
      <c r="H3" s="531"/>
      <c r="I3" s="531"/>
      <c r="J3" s="532"/>
    </row>
    <row r="4" spans="1:13" s="135" customFormat="1" ht="30" customHeight="1">
      <c r="A4" s="234" t="s">
        <v>96</v>
      </c>
      <c r="B4" s="235" t="s">
        <v>97</v>
      </c>
      <c r="C4" s="533" t="s">
        <v>145</v>
      </c>
      <c r="D4" s="534"/>
      <c r="E4" s="534"/>
      <c r="F4" s="534"/>
      <c r="G4" s="534"/>
      <c r="H4" s="534"/>
      <c r="I4" s="534"/>
      <c r="J4" s="535"/>
    </row>
    <row r="5" spans="1:13" s="135" customFormat="1" ht="55.5" customHeight="1">
      <c r="A5" s="236" t="s">
        <v>98</v>
      </c>
      <c r="B5" s="237" t="s">
        <v>97</v>
      </c>
      <c r="C5" s="522" t="s">
        <v>146</v>
      </c>
      <c r="D5" s="522"/>
      <c r="E5" s="522"/>
      <c r="F5" s="522"/>
      <c r="G5" s="522"/>
      <c r="H5" s="522"/>
      <c r="I5" s="522"/>
      <c r="J5" s="523"/>
    </row>
    <row r="6" spans="1:13" s="135" customFormat="1" ht="101.85" customHeight="1">
      <c r="A6" s="236" t="s">
        <v>116</v>
      </c>
      <c r="B6" s="238" t="s">
        <v>97</v>
      </c>
      <c r="C6" s="522" t="s">
        <v>162</v>
      </c>
      <c r="D6" s="522"/>
      <c r="E6" s="522"/>
      <c r="F6" s="522"/>
      <c r="G6" s="522"/>
      <c r="H6" s="522"/>
      <c r="I6" s="522"/>
      <c r="J6" s="523"/>
    </row>
    <row r="7" spans="1:13" s="135" customFormat="1" ht="243.6" customHeight="1">
      <c r="A7" s="236" t="s">
        <v>99</v>
      </c>
      <c r="B7" s="238" t="s">
        <v>100</v>
      </c>
      <c r="C7" s="522" t="s">
        <v>163</v>
      </c>
      <c r="D7" s="522"/>
      <c r="E7" s="522"/>
      <c r="F7" s="522"/>
      <c r="G7" s="522"/>
      <c r="H7" s="522"/>
      <c r="I7" s="522"/>
      <c r="J7" s="523"/>
    </row>
    <row r="8" spans="1:13" s="135" customFormat="1" ht="28.35" customHeight="1">
      <c r="A8" s="236" t="s">
        <v>117</v>
      </c>
      <c r="B8" s="237" t="s">
        <v>97</v>
      </c>
      <c r="C8" s="522" t="s">
        <v>115</v>
      </c>
      <c r="D8" s="522"/>
      <c r="E8" s="522"/>
      <c r="F8" s="522"/>
      <c r="G8" s="522"/>
      <c r="H8" s="522"/>
      <c r="I8" s="522"/>
      <c r="J8" s="523"/>
    </row>
    <row r="9" spans="1:13" s="135" customFormat="1" ht="33.6" customHeight="1">
      <c r="A9" s="236" t="s">
        <v>101</v>
      </c>
      <c r="B9" s="237" t="s">
        <v>100</v>
      </c>
      <c r="C9" s="522" t="s">
        <v>179</v>
      </c>
      <c r="D9" s="522"/>
      <c r="E9" s="522"/>
      <c r="F9" s="522"/>
      <c r="G9" s="522"/>
      <c r="H9" s="522"/>
      <c r="I9" s="522"/>
      <c r="J9" s="523"/>
    </row>
    <row r="10" spans="1:13" s="135" customFormat="1" ht="29.1" customHeight="1">
      <c r="A10" s="236" t="s">
        <v>118</v>
      </c>
      <c r="B10" s="237" t="s">
        <v>97</v>
      </c>
      <c r="C10" s="522" t="s">
        <v>168</v>
      </c>
      <c r="D10" s="522"/>
      <c r="E10" s="522"/>
      <c r="F10" s="522"/>
      <c r="G10" s="522"/>
      <c r="H10" s="522"/>
      <c r="I10" s="522"/>
      <c r="J10" s="523"/>
    </row>
    <row r="11" spans="1:13" s="135" customFormat="1">
      <c r="A11" s="236" t="s">
        <v>147</v>
      </c>
      <c r="B11" s="237" t="s">
        <v>97</v>
      </c>
      <c r="C11" s="524"/>
      <c r="D11" s="524"/>
      <c r="E11" s="524"/>
      <c r="F11" s="524"/>
      <c r="G11" s="524"/>
      <c r="H11" s="524"/>
      <c r="I11" s="524"/>
      <c r="J11" s="525"/>
      <c r="L11" s="135" t="s">
        <v>148</v>
      </c>
    </row>
    <row r="12" spans="1:13" s="135" customFormat="1" ht="32.1" customHeight="1">
      <c r="A12" s="236" t="s">
        <v>124</v>
      </c>
      <c r="B12" s="238" t="s">
        <v>100</v>
      </c>
      <c r="C12" s="278" t="s">
        <v>205</v>
      </c>
      <c r="D12" s="270"/>
      <c r="E12" s="270"/>
      <c r="F12" s="270"/>
      <c r="G12" s="270"/>
      <c r="H12" s="270"/>
      <c r="I12" s="270"/>
      <c r="J12" s="271"/>
      <c r="M12" s="137"/>
    </row>
    <row r="13" spans="1:13" s="135" customFormat="1" ht="37.5" customHeight="1">
      <c r="A13" s="236" t="s">
        <v>121</v>
      </c>
      <c r="B13" s="238" t="s">
        <v>100</v>
      </c>
      <c r="C13" s="278" t="str">
        <f>'PL(2_2)'!C25</f>
        <v>OM4-MG-GEN1-KOB-0011</v>
      </c>
      <c r="D13" s="270"/>
      <c r="E13" s="270"/>
      <c r="F13" s="270"/>
      <c r="G13" s="270"/>
      <c r="H13" s="270"/>
      <c r="I13" s="270"/>
      <c r="J13" s="271"/>
      <c r="L13" s="135" t="s">
        <v>149</v>
      </c>
      <c r="M13" s="137"/>
    </row>
    <row r="14" spans="1:13" s="135" customFormat="1" ht="36.6" customHeight="1">
      <c r="A14" s="236" t="s">
        <v>119</v>
      </c>
      <c r="B14" s="237" t="s">
        <v>97</v>
      </c>
      <c r="C14" s="279">
        <f>'PL(2_2)'!M25</f>
        <v>680</v>
      </c>
      <c r="D14" s="324" t="s">
        <v>102</v>
      </c>
      <c r="E14" s="325"/>
      <c r="F14" s="325"/>
      <c r="G14" s="325"/>
      <c r="H14" s="325"/>
      <c r="I14" s="325"/>
      <c r="J14" s="239"/>
    </row>
    <row r="15" spans="1:13" s="135" customFormat="1" ht="57.6" customHeight="1">
      <c r="A15" s="236" t="s">
        <v>120</v>
      </c>
      <c r="B15" s="237" t="s">
        <v>97</v>
      </c>
      <c r="C15" s="279">
        <f>'PL(2_2)'!N25</f>
        <v>850</v>
      </c>
      <c r="D15" s="324" t="s">
        <v>102</v>
      </c>
      <c r="E15" s="325"/>
      <c r="F15" s="326"/>
      <c r="G15" s="325"/>
      <c r="H15" s="325"/>
      <c r="I15" s="325"/>
      <c r="J15" s="240"/>
    </row>
    <row r="16" spans="1:13" s="135" customFormat="1" ht="53.85" customHeight="1">
      <c r="A16" s="236" t="s">
        <v>122</v>
      </c>
      <c r="B16" s="238" t="s">
        <v>97</v>
      </c>
      <c r="C16" s="279">
        <f>'PL(2_2)'!I25</f>
        <v>148</v>
      </c>
      <c r="D16" s="324" t="s">
        <v>103</v>
      </c>
      <c r="E16" s="279">
        <f>'PL(2_2)'!J25</f>
        <v>138</v>
      </c>
      <c r="F16" s="324" t="s">
        <v>104</v>
      </c>
      <c r="G16" s="279">
        <f>'PL(2_2)'!K25</f>
        <v>96</v>
      </c>
      <c r="H16" s="324" t="s">
        <v>105</v>
      </c>
      <c r="I16" s="337">
        <f>'PL(2_2)'!L25</f>
        <v>1.9610000000000001</v>
      </c>
      <c r="J16" s="241" t="s">
        <v>106</v>
      </c>
    </row>
    <row r="17" spans="1:13" s="135" customFormat="1" ht="31.35" customHeight="1">
      <c r="A17" s="140" t="s">
        <v>113</v>
      </c>
      <c r="B17" s="136" t="s">
        <v>97</v>
      </c>
      <c r="C17" s="187" t="s">
        <v>174</v>
      </c>
      <c r="D17" s="188"/>
      <c r="E17" s="189"/>
      <c r="F17" s="188"/>
      <c r="G17" s="189"/>
      <c r="H17" s="188"/>
      <c r="I17" s="190"/>
      <c r="J17" s="191"/>
    </row>
    <row r="18" spans="1:13" s="135" customFormat="1" ht="45">
      <c r="A18" s="140" t="s">
        <v>123</v>
      </c>
      <c r="B18" s="136" t="s">
        <v>97</v>
      </c>
      <c r="C18" s="187" t="s">
        <v>166</v>
      </c>
      <c r="D18" s="188"/>
      <c r="E18" s="189"/>
      <c r="F18" s="188"/>
      <c r="G18" s="189"/>
      <c r="H18" s="188"/>
      <c r="I18" s="190"/>
      <c r="J18" s="191"/>
    </row>
    <row r="19" spans="1:13" s="135" customFormat="1">
      <c r="A19" s="141" t="s">
        <v>107</v>
      </c>
      <c r="B19" s="136" t="s">
        <v>97</v>
      </c>
      <c r="C19" s="281" t="s">
        <v>176</v>
      </c>
      <c r="D19" s="188"/>
      <c r="E19" s="189"/>
      <c r="F19" s="188"/>
      <c r="G19" s="189"/>
      <c r="H19" s="188"/>
      <c r="I19" s="190"/>
      <c r="J19" s="191"/>
    </row>
    <row r="20" spans="1:13" s="135" customFormat="1" ht="40.35" customHeight="1">
      <c r="A20" s="142" t="s">
        <v>108</v>
      </c>
      <c r="B20" s="138" t="s">
        <v>97</v>
      </c>
      <c r="C20" s="252" t="s">
        <v>109</v>
      </c>
      <c r="D20" s="184"/>
      <c r="E20" s="184"/>
      <c r="F20" s="184"/>
      <c r="G20" s="184"/>
      <c r="H20" s="184"/>
      <c r="I20" s="184"/>
      <c r="J20" s="185"/>
    </row>
    <row r="21" spans="1:13" ht="120" hidden="1" customHeight="1" thickBot="1"/>
    <row r="22" spans="1:13" ht="55.35" hidden="1" customHeight="1"/>
    <row r="23" spans="1:13" ht="55.35" hidden="1" customHeight="1" thickBot="1"/>
    <row r="24" spans="1:13" ht="40.35" hidden="1" customHeight="1"/>
    <row r="25" spans="1:13" s="135" customFormat="1" ht="40.35"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40.35" hidden="1" customHeight="1">
      <c r="A29" s="133"/>
      <c r="B29" s="134"/>
      <c r="C29" s="133"/>
      <c r="D29" s="133"/>
      <c r="E29" s="133"/>
      <c r="F29" s="133"/>
      <c r="G29" s="133"/>
      <c r="H29" s="133"/>
      <c r="I29" s="133"/>
      <c r="J29" s="133"/>
    </row>
    <row r="30" spans="1:13" s="135" customFormat="1" ht="40.35"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40.35" hidden="1" customHeight="1">
      <c r="A32" s="133"/>
      <c r="B32" s="134"/>
      <c r="C32" s="133"/>
      <c r="D32" s="133"/>
      <c r="E32" s="133"/>
      <c r="F32" s="133"/>
      <c r="G32" s="133"/>
      <c r="H32" s="133"/>
      <c r="I32" s="133"/>
      <c r="J32" s="133"/>
      <c r="M32" s="137"/>
    </row>
    <row r="33" spans="1:10" s="135" customFormat="1" ht="40.35" hidden="1" customHeight="1">
      <c r="A33" s="133"/>
      <c r="B33" s="134"/>
      <c r="C33" s="133"/>
      <c r="D33" s="133"/>
      <c r="E33" s="133"/>
      <c r="F33" s="133"/>
      <c r="G33" s="133"/>
      <c r="H33" s="133"/>
      <c r="I33" s="133"/>
      <c r="J33" s="133"/>
    </row>
    <row r="34" spans="1:10" s="135" customFormat="1" ht="40.35" hidden="1" customHeight="1">
      <c r="A34" s="133"/>
      <c r="B34" s="134"/>
      <c r="C34" s="133"/>
      <c r="D34" s="133"/>
      <c r="E34" s="133"/>
      <c r="F34" s="133"/>
      <c r="G34" s="133"/>
      <c r="H34" s="133"/>
      <c r="I34" s="133"/>
      <c r="J34" s="133"/>
    </row>
    <row r="35" spans="1:10" s="135" customFormat="1" ht="40.35" hidden="1" customHeight="1">
      <c r="A35" s="133"/>
      <c r="B35" s="134"/>
      <c r="C35" s="133"/>
      <c r="D35" s="133"/>
      <c r="E35" s="133"/>
      <c r="F35" s="133"/>
      <c r="G35" s="133"/>
      <c r="H35" s="133"/>
      <c r="I35" s="133"/>
      <c r="J35" s="133"/>
    </row>
    <row r="36" spans="1:10" s="135" customFormat="1" ht="40.35" hidden="1" customHeight="1">
      <c r="A36" s="133"/>
      <c r="B36" s="134"/>
      <c r="C36" s="133"/>
      <c r="D36" s="133"/>
      <c r="E36" s="133"/>
      <c r="F36" s="133"/>
      <c r="G36" s="133"/>
      <c r="H36" s="133"/>
      <c r="I36" s="133"/>
      <c r="J36" s="133"/>
    </row>
    <row r="37" spans="1:10" s="135" customFormat="1" ht="40.35" hidden="1" customHeight="1">
      <c r="A37" s="133"/>
      <c r="B37" s="134"/>
      <c r="C37" s="133"/>
      <c r="D37" s="133"/>
      <c r="E37" s="133"/>
      <c r="F37" s="133"/>
      <c r="G37" s="133"/>
      <c r="H37" s="133"/>
      <c r="I37" s="133"/>
      <c r="J37" s="133"/>
    </row>
    <row r="38" spans="1:10" s="135" customFormat="1" ht="40.35" hidden="1" customHeight="1">
      <c r="A38" s="133"/>
      <c r="B38" s="134"/>
      <c r="C38" s="133"/>
      <c r="D38" s="133"/>
      <c r="E38" s="133"/>
      <c r="F38" s="133"/>
      <c r="G38" s="133"/>
      <c r="H38" s="133"/>
      <c r="I38" s="133"/>
      <c r="J38" s="133"/>
    </row>
    <row r="39" spans="1:10" s="135" customFormat="1" ht="40.35"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03D28-AC26-4294-8D7B-195A8795B6CF}">
  <sheetPr>
    <tabColor rgb="FF00B050"/>
    <pageSetUpPr fitToPage="1"/>
  </sheetPr>
  <dimension ref="A1:M39"/>
  <sheetViews>
    <sheetView showGridLines="0" view="pageBreakPreview" zoomScale="70" zoomScaleNormal="70" zoomScaleSheetLayoutView="70" workbookViewId="0">
      <selection activeCell="B26" sqref="B26:F27"/>
    </sheetView>
  </sheetViews>
  <sheetFormatPr defaultColWidth="7.71484375" defaultRowHeight="23.25"/>
  <cols>
    <col min="1" max="1" width="43.03515625" style="133" customWidth="1"/>
    <col min="2" max="2" width="2.5703125" style="134" customWidth="1"/>
    <col min="3" max="3" width="15.203125" style="133" customWidth="1"/>
    <col min="4" max="4" width="10.875" style="133" customWidth="1"/>
    <col min="5" max="5" width="12.04296875" style="133" customWidth="1"/>
    <col min="6" max="6" width="14.1484375" style="133" customWidth="1"/>
    <col min="7" max="7" width="12.04296875" style="133" customWidth="1"/>
    <col min="8" max="8" width="10.0546875" style="133" customWidth="1"/>
    <col min="9" max="9" width="12.0429687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1.35" customHeight="1" thickBot="1">
      <c r="A1" s="526" t="s">
        <v>94</v>
      </c>
      <c r="B1" s="526"/>
      <c r="C1" s="526"/>
      <c r="D1" s="526"/>
      <c r="E1" s="526"/>
      <c r="F1" s="526"/>
      <c r="G1" s="526"/>
      <c r="H1" s="526"/>
      <c r="I1" s="526"/>
      <c r="J1" s="526"/>
    </row>
    <row r="2" spans="1:13" ht="32.85" customHeight="1">
      <c r="A2" s="527" t="s">
        <v>95</v>
      </c>
      <c r="B2" s="528"/>
      <c r="C2" s="528"/>
      <c r="D2" s="528"/>
      <c r="E2" s="528"/>
      <c r="F2" s="528"/>
      <c r="G2" s="528"/>
      <c r="H2" s="528"/>
      <c r="I2" s="528"/>
      <c r="J2" s="529"/>
    </row>
    <row r="3" spans="1:13" ht="28.35" customHeight="1">
      <c r="A3" s="530" t="s">
        <v>167</v>
      </c>
      <c r="B3" s="531"/>
      <c r="C3" s="531"/>
      <c r="D3" s="531"/>
      <c r="E3" s="531"/>
      <c r="F3" s="531"/>
      <c r="G3" s="531"/>
      <c r="H3" s="531"/>
      <c r="I3" s="531"/>
      <c r="J3" s="532"/>
    </row>
    <row r="4" spans="1:13" s="135" customFormat="1" ht="30" customHeight="1">
      <c r="A4" s="234" t="s">
        <v>96</v>
      </c>
      <c r="B4" s="235" t="s">
        <v>97</v>
      </c>
      <c r="C4" s="533" t="s">
        <v>145</v>
      </c>
      <c r="D4" s="534"/>
      <c r="E4" s="534"/>
      <c r="F4" s="534"/>
      <c r="G4" s="534"/>
      <c r="H4" s="534"/>
      <c r="I4" s="534"/>
      <c r="J4" s="535"/>
    </row>
    <row r="5" spans="1:13" s="135" customFormat="1" ht="55.5" customHeight="1">
      <c r="A5" s="236" t="s">
        <v>98</v>
      </c>
      <c r="B5" s="237" t="s">
        <v>97</v>
      </c>
      <c r="C5" s="522" t="s">
        <v>146</v>
      </c>
      <c r="D5" s="522"/>
      <c r="E5" s="522"/>
      <c r="F5" s="522"/>
      <c r="G5" s="522"/>
      <c r="H5" s="522"/>
      <c r="I5" s="522"/>
      <c r="J5" s="523"/>
    </row>
    <row r="6" spans="1:13" s="135" customFormat="1" ht="101.85" customHeight="1">
      <c r="A6" s="236" t="s">
        <v>116</v>
      </c>
      <c r="B6" s="238" t="s">
        <v>97</v>
      </c>
      <c r="C6" s="522" t="s">
        <v>162</v>
      </c>
      <c r="D6" s="522"/>
      <c r="E6" s="522"/>
      <c r="F6" s="522"/>
      <c r="G6" s="522"/>
      <c r="H6" s="522"/>
      <c r="I6" s="522"/>
      <c r="J6" s="523"/>
    </row>
    <row r="7" spans="1:13" s="135" customFormat="1" ht="243.6" customHeight="1">
      <c r="A7" s="236" t="s">
        <v>99</v>
      </c>
      <c r="B7" s="238" t="s">
        <v>100</v>
      </c>
      <c r="C7" s="522" t="s">
        <v>163</v>
      </c>
      <c r="D7" s="522"/>
      <c r="E7" s="522"/>
      <c r="F7" s="522"/>
      <c r="G7" s="522"/>
      <c r="H7" s="522"/>
      <c r="I7" s="522"/>
      <c r="J7" s="523"/>
    </row>
    <row r="8" spans="1:13" s="135" customFormat="1" ht="28.35" customHeight="1">
      <c r="A8" s="236" t="s">
        <v>117</v>
      </c>
      <c r="B8" s="237" t="s">
        <v>97</v>
      </c>
      <c r="C8" s="522" t="s">
        <v>115</v>
      </c>
      <c r="D8" s="522"/>
      <c r="E8" s="522"/>
      <c r="F8" s="522"/>
      <c r="G8" s="522"/>
      <c r="H8" s="522"/>
      <c r="I8" s="522"/>
      <c r="J8" s="523"/>
    </row>
    <row r="9" spans="1:13" s="135" customFormat="1" ht="33.6" customHeight="1">
      <c r="A9" s="236" t="s">
        <v>101</v>
      </c>
      <c r="B9" s="237" t="s">
        <v>100</v>
      </c>
      <c r="C9" s="522" t="s">
        <v>179</v>
      </c>
      <c r="D9" s="522"/>
      <c r="E9" s="522"/>
      <c r="F9" s="522"/>
      <c r="G9" s="522"/>
      <c r="H9" s="522"/>
      <c r="I9" s="522"/>
      <c r="J9" s="523"/>
    </row>
    <row r="10" spans="1:13" s="135" customFormat="1" ht="29.1" customHeight="1">
      <c r="A10" s="236" t="s">
        <v>118</v>
      </c>
      <c r="B10" s="237" t="s">
        <v>97</v>
      </c>
      <c r="C10" s="522" t="s">
        <v>168</v>
      </c>
      <c r="D10" s="522"/>
      <c r="E10" s="522"/>
      <c r="F10" s="522"/>
      <c r="G10" s="522"/>
      <c r="H10" s="522"/>
      <c r="I10" s="522"/>
      <c r="J10" s="523"/>
    </row>
    <row r="11" spans="1:13" s="135" customFormat="1">
      <c r="A11" s="236" t="s">
        <v>147</v>
      </c>
      <c r="B11" s="237" t="s">
        <v>97</v>
      </c>
      <c r="C11" s="524"/>
      <c r="D11" s="524"/>
      <c r="E11" s="524"/>
      <c r="F11" s="524"/>
      <c r="G11" s="524"/>
      <c r="H11" s="524"/>
      <c r="I11" s="524"/>
      <c r="J11" s="525"/>
      <c r="L11" s="135" t="s">
        <v>148</v>
      </c>
    </row>
    <row r="12" spans="1:13" s="135" customFormat="1" ht="32.1" customHeight="1">
      <c r="A12" s="236" t="s">
        <v>124</v>
      </c>
      <c r="B12" s="238" t="s">
        <v>100</v>
      </c>
      <c r="C12" s="278" t="s">
        <v>205</v>
      </c>
      <c r="D12" s="270"/>
      <c r="E12" s="270"/>
      <c r="F12" s="270"/>
      <c r="G12" s="270"/>
      <c r="H12" s="270"/>
      <c r="I12" s="270"/>
      <c r="J12" s="271"/>
      <c r="M12" s="137"/>
    </row>
    <row r="13" spans="1:13" s="135" customFormat="1" ht="37.5" customHeight="1">
      <c r="A13" s="236" t="s">
        <v>121</v>
      </c>
      <c r="B13" s="238" t="s">
        <v>100</v>
      </c>
      <c r="C13" s="278" t="str">
        <f>'PL(2_2)'!C26</f>
        <v>OM4-MG-GEN1-MAR-0001</v>
      </c>
      <c r="D13" s="270"/>
      <c r="E13" s="270"/>
      <c r="F13" s="270"/>
      <c r="G13" s="270"/>
      <c r="H13" s="270"/>
      <c r="I13" s="270"/>
      <c r="J13" s="271"/>
      <c r="L13" s="135" t="s">
        <v>149</v>
      </c>
      <c r="M13" s="137"/>
    </row>
    <row r="14" spans="1:13" s="135" customFormat="1" ht="36.6" customHeight="1">
      <c r="A14" s="236" t="s">
        <v>119</v>
      </c>
      <c r="B14" s="237" t="s">
        <v>97</v>
      </c>
      <c r="C14" s="279">
        <f>'PL(2_2)'!M26</f>
        <v>55</v>
      </c>
      <c r="D14" s="324" t="s">
        <v>102</v>
      </c>
      <c r="E14" s="325"/>
      <c r="F14" s="325"/>
      <c r="G14" s="325"/>
      <c r="H14" s="325"/>
      <c r="I14" s="325"/>
      <c r="J14" s="239"/>
    </row>
    <row r="15" spans="1:13" s="135" customFormat="1" ht="57.6" customHeight="1">
      <c r="A15" s="236" t="s">
        <v>120</v>
      </c>
      <c r="B15" s="237" t="s">
        <v>97</v>
      </c>
      <c r="C15" s="279">
        <f>'PL(2_2)'!N26</f>
        <v>100</v>
      </c>
      <c r="D15" s="324" t="s">
        <v>102</v>
      </c>
      <c r="E15" s="325"/>
      <c r="F15" s="326"/>
      <c r="G15" s="325"/>
      <c r="H15" s="325"/>
      <c r="I15" s="325"/>
      <c r="J15" s="240"/>
    </row>
    <row r="16" spans="1:13" s="135" customFormat="1" ht="53.85" customHeight="1">
      <c r="A16" s="236" t="s">
        <v>122</v>
      </c>
      <c r="B16" s="238" t="s">
        <v>97</v>
      </c>
      <c r="C16" s="279">
        <f>'PL(2_2)'!I26</f>
        <v>80</v>
      </c>
      <c r="D16" s="324" t="s">
        <v>103</v>
      </c>
      <c r="E16" s="279">
        <f>'PL(2_2)'!J26</f>
        <v>80</v>
      </c>
      <c r="F16" s="324" t="s">
        <v>104</v>
      </c>
      <c r="G16" s="279">
        <f>'PL(2_2)'!K26</f>
        <v>80</v>
      </c>
      <c r="H16" s="324" t="s">
        <v>105</v>
      </c>
      <c r="I16" s="337">
        <f>'PL(2_2)'!L26</f>
        <v>0.51200000000000001</v>
      </c>
      <c r="J16" s="241" t="s">
        <v>106</v>
      </c>
    </row>
    <row r="17" spans="1:13" s="135" customFormat="1" ht="31.35" customHeight="1">
      <c r="A17" s="140" t="s">
        <v>113</v>
      </c>
      <c r="B17" s="136" t="s">
        <v>97</v>
      </c>
      <c r="C17" s="187" t="s">
        <v>174</v>
      </c>
      <c r="D17" s="188"/>
      <c r="E17" s="189"/>
      <c r="F17" s="188"/>
      <c r="G17" s="189"/>
      <c r="H17" s="188"/>
      <c r="I17" s="190"/>
      <c r="J17" s="191"/>
    </row>
    <row r="18" spans="1:13" s="135" customFormat="1" ht="45">
      <c r="A18" s="140" t="s">
        <v>123</v>
      </c>
      <c r="B18" s="136" t="s">
        <v>97</v>
      </c>
      <c r="C18" s="187" t="s">
        <v>166</v>
      </c>
      <c r="D18" s="188"/>
      <c r="E18" s="189"/>
      <c r="F18" s="188"/>
      <c r="G18" s="189"/>
      <c r="H18" s="188"/>
      <c r="I18" s="190"/>
      <c r="J18" s="191"/>
    </row>
    <row r="19" spans="1:13" s="135" customFormat="1">
      <c r="A19" s="141" t="s">
        <v>107</v>
      </c>
      <c r="B19" s="136" t="s">
        <v>97</v>
      </c>
      <c r="C19" s="281" t="s">
        <v>176</v>
      </c>
      <c r="D19" s="188"/>
      <c r="E19" s="189"/>
      <c r="F19" s="188"/>
      <c r="G19" s="189"/>
      <c r="H19" s="188"/>
      <c r="I19" s="190"/>
      <c r="J19" s="191"/>
    </row>
    <row r="20" spans="1:13" s="135" customFormat="1" ht="40.35" customHeight="1">
      <c r="A20" s="142" t="s">
        <v>108</v>
      </c>
      <c r="B20" s="138" t="s">
        <v>97</v>
      </c>
      <c r="C20" s="252" t="s">
        <v>109</v>
      </c>
      <c r="D20" s="184"/>
      <c r="E20" s="184"/>
      <c r="F20" s="184"/>
      <c r="G20" s="184"/>
      <c r="H20" s="184"/>
      <c r="I20" s="184"/>
      <c r="J20" s="185"/>
    </row>
    <row r="21" spans="1:13" ht="120" hidden="1" customHeight="1" thickBot="1"/>
    <row r="22" spans="1:13" ht="55.35" hidden="1" customHeight="1"/>
    <row r="23" spans="1:13" ht="55.35" hidden="1" customHeight="1" thickBot="1"/>
    <row r="24" spans="1:13" ht="40.35" hidden="1" customHeight="1"/>
    <row r="25" spans="1:13" s="135" customFormat="1" ht="40.35"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40.35" hidden="1" customHeight="1">
      <c r="A29" s="133"/>
      <c r="B29" s="134"/>
      <c r="C29" s="133"/>
      <c r="D29" s="133"/>
      <c r="E29" s="133"/>
      <c r="F29" s="133"/>
      <c r="G29" s="133"/>
      <c r="H29" s="133"/>
      <c r="I29" s="133"/>
      <c r="J29" s="133"/>
    </row>
    <row r="30" spans="1:13" s="135" customFormat="1" ht="40.35"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40.35" hidden="1" customHeight="1">
      <c r="A32" s="133"/>
      <c r="B32" s="134"/>
      <c r="C32" s="133"/>
      <c r="D32" s="133"/>
      <c r="E32" s="133"/>
      <c r="F32" s="133"/>
      <c r="G32" s="133"/>
      <c r="H32" s="133"/>
      <c r="I32" s="133"/>
      <c r="J32" s="133"/>
      <c r="M32" s="137"/>
    </row>
    <row r="33" spans="1:10" s="135" customFormat="1" ht="40.35" hidden="1" customHeight="1">
      <c r="A33" s="133"/>
      <c r="B33" s="134"/>
      <c r="C33" s="133"/>
      <c r="D33" s="133"/>
      <c r="E33" s="133"/>
      <c r="F33" s="133"/>
      <c r="G33" s="133"/>
      <c r="H33" s="133"/>
      <c r="I33" s="133"/>
      <c r="J33" s="133"/>
    </row>
    <row r="34" spans="1:10" s="135" customFormat="1" ht="40.35" hidden="1" customHeight="1">
      <c r="A34" s="133"/>
      <c r="B34" s="134"/>
      <c r="C34" s="133"/>
      <c r="D34" s="133"/>
      <c r="E34" s="133"/>
      <c r="F34" s="133"/>
      <c r="G34" s="133"/>
      <c r="H34" s="133"/>
      <c r="I34" s="133"/>
      <c r="J34" s="133"/>
    </row>
    <row r="35" spans="1:10" s="135" customFormat="1" ht="40.35" hidden="1" customHeight="1">
      <c r="A35" s="133"/>
      <c r="B35" s="134"/>
      <c r="C35" s="133"/>
      <c r="D35" s="133"/>
      <c r="E35" s="133"/>
      <c r="F35" s="133"/>
      <c r="G35" s="133"/>
      <c r="H35" s="133"/>
      <c r="I35" s="133"/>
      <c r="J35" s="133"/>
    </row>
    <row r="36" spans="1:10" s="135" customFormat="1" ht="40.35" hidden="1" customHeight="1">
      <c r="A36" s="133"/>
      <c r="B36" s="134"/>
      <c r="C36" s="133"/>
      <c r="D36" s="133"/>
      <c r="E36" s="133"/>
      <c r="F36" s="133"/>
      <c r="G36" s="133"/>
      <c r="H36" s="133"/>
      <c r="I36" s="133"/>
      <c r="J36" s="133"/>
    </row>
    <row r="37" spans="1:10" s="135" customFormat="1" ht="40.35" hidden="1" customHeight="1">
      <c r="A37" s="133"/>
      <c r="B37" s="134"/>
      <c r="C37" s="133"/>
      <c r="D37" s="133"/>
      <c r="E37" s="133"/>
      <c r="F37" s="133"/>
      <c r="G37" s="133"/>
      <c r="H37" s="133"/>
      <c r="I37" s="133"/>
      <c r="J37" s="133"/>
    </row>
    <row r="38" spans="1:10" s="135" customFormat="1" ht="40.35" hidden="1" customHeight="1">
      <c r="A38" s="133"/>
      <c r="B38" s="134"/>
      <c r="C38" s="133"/>
      <c r="D38" s="133"/>
      <c r="E38" s="133"/>
      <c r="F38" s="133"/>
      <c r="G38" s="133"/>
      <c r="H38" s="133"/>
      <c r="I38" s="133"/>
      <c r="J38" s="133"/>
    </row>
    <row r="39" spans="1:10" s="135" customFormat="1" ht="40.35"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56205-FF10-4865-9E43-3ABE22888FFC}">
  <sheetPr>
    <tabColor rgb="FF00B050"/>
    <pageSetUpPr fitToPage="1"/>
  </sheetPr>
  <dimension ref="A1:M39"/>
  <sheetViews>
    <sheetView showGridLines="0" view="pageBreakPreview" zoomScale="70" zoomScaleNormal="70" zoomScaleSheetLayoutView="70" workbookViewId="0">
      <selection activeCell="B26" sqref="B26:F27"/>
    </sheetView>
  </sheetViews>
  <sheetFormatPr defaultColWidth="7.71484375" defaultRowHeight="23.25"/>
  <cols>
    <col min="1" max="1" width="43.03515625" style="133" customWidth="1"/>
    <col min="2" max="2" width="2.5703125" style="134" customWidth="1"/>
    <col min="3" max="3" width="15.203125" style="133" customWidth="1"/>
    <col min="4" max="4" width="10.875" style="133" customWidth="1"/>
    <col min="5" max="5" width="12.04296875" style="133" customWidth="1"/>
    <col min="6" max="6" width="14.1484375" style="133" customWidth="1"/>
    <col min="7" max="7" width="12.04296875" style="133" customWidth="1"/>
    <col min="8" max="8" width="10.0546875" style="133" customWidth="1"/>
    <col min="9" max="9" width="12.0429687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1.35" customHeight="1" thickBot="1">
      <c r="A1" s="526" t="s">
        <v>94</v>
      </c>
      <c r="B1" s="526"/>
      <c r="C1" s="526"/>
      <c r="D1" s="526"/>
      <c r="E1" s="526"/>
      <c r="F1" s="526"/>
      <c r="G1" s="526"/>
      <c r="H1" s="526"/>
      <c r="I1" s="526"/>
      <c r="J1" s="526"/>
    </row>
    <row r="2" spans="1:13" ht="32.85" customHeight="1">
      <c r="A2" s="527" t="s">
        <v>95</v>
      </c>
      <c r="B2" s="528"/>
      <c r="C2" s="528"/>
      <c r="D2" s="528"/>
      <c r="E2" s="528"/>
      <c r="F2" s="528"/>
      <c r="G2" s="528"/>
      <c r="H2" s="528"/>
      <c r="I2" s="528"/>
      <c r="J2" s="529"/>
    </row>
    <row r="3" spans="1:13" ht="28.35" customHeight="1">
      <c r="A3" s="530" t="s">
        <v>167</v>
      </c>
      <c r="B3" s="531"/>
      <c r="C3" s="531"/>
      <c r="D3" s="531"/>
      <c r="E3" s="531"/>
      <c r="F3" s="531"/>
      <c r="G3" s="531"/>
      <c r="H3" s="531"/>
      <c r="I3" s="531"/>
      <c r="J3" s="532"/>
    </row>
    <row r="4" spans="1:13" s="135" customFormat="1" ht="30" customHeight="1">
      <c r="A4" s="234" t="s">
        <v>96</v>
      </c>
      <c r="B4" s="235" t="s">
        <v>97</v>
      </c>
      <c r="C4" s="533" t="s">
        <v>145</v>
      </c>
      <c r="D4" s="534"/>
      <c r="E4" s="534"/>
      <c r="F4" s="534"/>
      <c r="G4" s="534"/>
      <c r="H4" s="534"/>
      <c r="I4" s="534"/>
      <c r="J4" s="535"/>
    </row>
    <row r="5" spans="1:13" s="135" customFormat="1" ht="55.5" customHeight="1">
      <c r="A5" s="236" t="s">
        <v>98</v>
      </c>
      <c r="B5" s="237" t="s">
        <v>97</v>
      </c>
      <c r="C5" s="522" t="s">
        <v>146</v>
      </c>
      <c r="D5" s="522"/>
      <c r="E5" s="522"/>
      <c r="F5" s="522"/>
      <c r="G5" s="522"/>
      <c r="H5" s="522"/>
      <c r="I5" s="522"/>
      <c r="J5" s="523"/>
    </row>
    <row r="6" spans="1:13" s="135" customFormat="1" ht="101.85" customHeight="1">
      <c r="A6" s="236" t="s">
        <v>116</v>
      </c>
      <c r="B6" s="238" t="s">
        <v>97</v>
      </c>
      <c r="C6" s="522" t="s">
        <v>162</v>
      </c>
      <c r="D6" s="522"/>
      <c r="E6" s="522"/>
      <c r="F6" s="522"/>
      <c r="G6" s="522"/>
      <c r="H6" s="522"/>
      <c r="I6" s="522"/>
      <c r="J6" s="523"/>
    </row>
    <row r="7" spans="1:13" s="135" customFormat="1" ht="243.6" customHeight="1">
      <c r="A7" s="236" t="s">
        <v>99</v>
      </c>
      <c r="B7" s="238" t="s">
        <v>100</v>
      </c>
      <c r="C7" s="522" t="s">
        <v>163</v>
      </c>
      <c r="D7" s="522"/>
      <c r="E7" s="522"/>
      <c r="F7" s="522"/>
      <c r="G7" s="522"/>
      <c r="H7" s="522"/>
      <c r="I7" s="522"/>
      <c r="J7" s="523"/>
    </row>
    <row r="8" spans="1:13" s="135" customFormat="1" ht="28.35" customHeight="1">
      <c r="A8" s="236" t="s">
        <v>117</v>
      </c>
      <c r="B8" s="237" t="s">
        <v>97</v>
      </c>
      <c r="C8" s="522" t="s">
        <v>115</v>
      </c>
      <c r="D8" s="522"/>
      <c r="E8" s="522"/>
      <c r="F8" s="522"/>
      <c r="G8" s="522"/>
      <c r="H8" s="522"/>
      <c r="I8" s="522"/>
      <c r="J8" s="523"/>
    </row>
    <row r="9" spans="1:13" s="135" customFormat="1" ht="33.6" customHeight="1">
      <c r="A9" s="236" t="s">
        <v>101</v>
      </c>
      <c r="B9" s="237" t="s">
        <v>100</v>
      </c>
      <c r="C9" s="522" t="s">
        <v>179</v>
      </c>
      <c r="D9" s="522"/>
      <c r="E9" s="522"/>
      <c r="F9" s="522"/>
      <c r="G9" s="522"/>
      <c r="H9" s="522"/>
      <c r="I9" s="522"/>
      <c r="J9" s="523"/>
    </row>
    <row r="10" spans="1:13" s="135" customFormat="1" ht="29.1" customHeight="1">
      <c r="A10" s="236" t="s">
        <v>118</v>
      </c>
      <c r="B10" s="237" t="s">
        <v>97</v>
      </c>
      <c r="C10" s="522" t="s">
        <v>168</v>
      </c>
      <c r="D10" s="522"/>
      <c r="E10" s="522"/>
      <c r="F10" s="522"/>
      <c r="G10" s="522"/>
      <c r="H10" s="522"/>
      <c r="I10" s="522"/>
      <c r="J10" s="523"/>
    </row>
    <row r="11" spans="1:13" s="135" customFormat="1">
      <c r="A11" s="236" t="s">
        <v>147</v>
      </c>
      <c r="B11" s="237" t="s">
        <v>97</v>
      </c>
      <c r="C11" s="524"/>
      <c r="D11" s="524"/>
      <c r="E11" s="524"/>
      <c r="F11" s="524"/>
      <c r="G11" s="524"/>
      <c r="H11" s="524"/>
      <c r="I11" s="524"/>
      <c r="J11" s="525"/>
      <c r="L11" s="135" t="s">
        <v>148</v>
      </c>
    </row>
    <row r="12" spans="1:13" s="135" customFormat="1" ht="32.1" customHeight="1">
      <c r="A12" s="236" t="s">
        <v>124</v>
      </c>
      <c r="B12" s="238" t="s">
        <v>100</v>
      </c>
      <c r="C12" s="278" t="s">
        <v>205</v>
      </c>
      <c r="D12" s="270"/>
      <c r="E12" s="270"/>
      <c r="F12" s="270"/>
      <c r="G12" s="270"/>
      <c r="H12" s="270"/>
      <c r="I12" s="270"/>
      <c r="J12" s="271"/>
      <c r="M12" s="137"/>
    </row>
    <row r="13" spans="1:13" s="135" customFormat="1" ht="37.5" customHeight="1">
      <c r="A13" s="236" t="s">
        <v>121</v>
      </c>
      <c r="B13" s="238" t="s">
        <v>100</v>
      </c>
      <c r="C13" s="278" t="str">
        <f>'PL(2_2)'!C27</f>
        <v>OM4-MG-GEN2-KOB-0001</v>
      </c>
      <c r="D13" s="270"/>
      <c r="E13" s="270"/>
      <c r="F13" s="270"/>
      <c r="G13" s="270"/>
      <c r="H13" s="270"/>
      <c r="I13" s="270"/>
      <c r="J13" s="271"/>
      <c r="L13" s="135" t="s">
        <v>149</v>
      </c>
      <c r="M13" s="137"/>
    </row>
    <row r="14" spans="1:13" s="135" customFormat="1" ht="36.6" customHeight="1">
      <c r="A14" s="236" t="s">
        <v>119</v>
      </c>
      <c r="B14" s="237" t="s">
        <v>97</v>
      </c>
      <c r="C14" s="279">
        <f>'PL(2_2)'!M27</f>
        <v>300</v>
      </c>
      <c r="D14" s="324" t="s">
        <v>102</v>
      </c>
      <c r="E14" s="325"/>
      <c r="F14" s="325"/>
      <c r="G14" s="325"/>
      <c r="H14" s="325"/>
      <c r="I14" s="325"/>
      <c r="J14" s="239"/>
    </row>
    <row r="15" spans="1:13" s="135" customFormat="1" ht="57.6" customHeight="1">
      <c r="A15" s="236" t="s">
        <v>120</v>
      </c>
      <c r="B15" s="237" t="s">
        <v>97</v>
      </c>
      <c r="C15" s="279">
        <f>'PL(2_2)'!N27</f>
        <v>930</v>
      </c>
      <c r="D15" s="324" t="s">
        <v>102</v>
      </c>
      <c r="E15" s="325"/>
      <c r="F15" s="326"/>
      <c r="G15" s="325"/>
      <c r="H15" s="325"/>
      <c r="I15" s="325"/>
      <c r="J15" s="240"/>
    </row>
    <row r="16" spans="1:13" s="135" customFormat="1" ht="53.85" customHeight="1">
      <c r="A16" s="236" t="s">
        <v>122</v>
      </c>
      <c r="B16" s="238" t="s">
        <v>97</v>
      </c>
      <c r="C16" s="279">
        <f>'PL(2_2)'!I27</f>
        <v>608</v>
      </c>
      <c r="D16" s="324" t="s">
        <v>103</v>
      </c>
      <c r="E16" s="279">
        <f>'PL(2_2)'!J27</f>
        <v>158</v>
      </c>
      <c r="F16" s="324" t="s">
        <v>104</v>
      </c>
      <c r="G16" s="279">
        <f>'PL(2_2)'!K27</f>
        <v>60</v>
      </c>
      <c r="H16" s="324" t="s">
        <v>105</v>
      </c>
      <c r="I16" s="337">
        <f>'PL(2_2)'!L27</f>
        <v>5.7640000000000002</v>
      </c>
      <c r="J16" s="241" t="s">
        <v>106</v>
      </c>
    </row>
    <row r="17" spans="1:13" s="135" customFormat="1" ht="31.35" customHeight="1">
      <c r="A17" s="140" t="s">
        <v>113</v>
      </c>
      <c r="B17" s="136" t="s">
        <v>97</v>
      </c>
      <c r="C17" s="187" t="s">
        <v>174</v>
      </c>
      <c r="D17" s="188"/>
      <c r="E17" s="189"/>
      <c r="F17" s="188"/>
      <c r="G17" s="189"/>
      <c r="H17" s="188"/>
      <c r="I17" s="190"/>
      <c r="J17" s="191"/>
    </row>
    <row r="18" spans="1:13" s="135" customFormat="1" ht="45">
      <c r="A18" s="140" t="s">
        <v>123</v>
      </c>
      <c r="B18" s="136" t="s">
        <v>97</v>
      </c>
      <c r="C18" s="187" t="s">
        <v>166</v>
      </c>
      <c r="D18" s="188"/>
      <c r="E18" s="189"/>
      <c r="F18" s="188"/>
      <c r="G18" s="189"/>
      <c r="H18" s="188"/>
      <c r="I18" s="190"/>
      <c r="J18" s="191"/>
    </row>
    <row r="19" spans="1:13" s="135" customFormat="1">
      <c r="A19" s="141" t="s">
        <v>107</v>
      </c>
      <c r="B19" s="136" t="s">
        <v>97</v>
      </c>
      <c r="C19" s="281" t="s">
        <v>176</v>
      </c>
      <c r="D19" s="188"/>
      <c r="E19" s="189"/>
      <c r="F19" s="188"/>
      <c r="G19" s="189"/>
      <c r="H19" s="188"/>
      <c r="I19" s="190"/>
      <c r="J19" s="191"/>
    </row>
    <row r="20" spans="1:13" s="135" customFormat="1" ht="40.35" customHeight="1">
      <c r="A20" s="142" t="s">
        <v>108</v>
      </c>
      <c r="B20" s="138" t="s">
        <v>97</v>
      </c>
      <c r="C20" s="252" t="s">
        <v>109</v>
      </c>
      <c r="D20" s="184"/>
      <c r="E20" s="184"/>
      <c r="F20" s="184"/>
      <c r="G20" s="184"/>
      <c r="H20" s="184"/>
      <c r="I20" s="184"/>
      <c r="J20" s="185"/>
    </row>
    <row r="21" spans="1:13" ht="120" hidden="1" customHeight="1" thickBot="1"/>
    <row r="22" spans="1:13" ht="55.35" hidden="1" customHeight="1"/>
    <row r="23" spans="1:13" ht="55.35" hidden="1" customHeight="1" thickBot="1"/>
    <row r="24" spans="1:13" ht="40.35" hidden="1" customHeight="1"/>
    <row r="25" spans="1:13" s="135" customFormat="1" ht="40.35"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40.35" hidden="1" customHeight="1">
      <c r="A29" s="133"/>
      <c r="B29" s="134"/>
      <c r="C29" s="133"/>
      <c r="D29" s="133"/>
      <c r="E29" s="133"/>
      <c r="F29" s="133"/>
      <c r="G29" s="133"/>
      <c r="H29" s="133"/>
      <c r="I29" s="133"/>
      <c r="J29" s="133"/>
    </row>
    <row r="30" spans="1:13" s="135" customFormat="1" ht="40.35"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40.35" hidden="1" customHeight="1">
      <c r="A32" s="133"/>
      <c r="B32" s="134"/>
      <c r="C32" s="133"/>
      <c r="D32" s="133"/>
      <c r="E32" s="133"/>
      <c r="F32" s="133"/>
      <c r="G32" s="133"/>
      <c r="H32" s="133"/>
      <c r="I32" s="133"/>
      <c r="J32" s="133"/>
      <c r="M32" s="137"/>
    </row>
    <row r="33" spans="1:10" s="135" customFormat="1" ht="40.35" hidden="1" customHeight="1">
      <c r="A33" s="133"/>
      <c r="B33" s="134"/>
      <c r="C33" s="133"/>
      <c r="D33" s="133"/>
      <c r="E33" s="133"/>
      <c r="F33" s="133"/>
      <c r="G33" s="133"/>
      <c r="H33" s="133"/>
      <c r="I33" s="133"/>
      <c r="J33" s="133"/>
    </row>
    <row r="34" spans="1:10" s="135" customFormat="1" ht="40.35" hidden="1" customHeight="1">
      <c r="A34" s="133"/>
      <c r="B34" s="134"/>
      <c r="C34" s="133"/>
      <c r="D34" s="133"/>
      <c r="E34" s="133"/>
      <c r="F34" s="133"/>
      <c r="G34" s="133"/>
      <c r="H34" s="133"/>
      <c r="I34" s="133"/>
      <c r="J34" s="133"/>
    </row>
    <row r="35" spans="1:10" s="135" customFormat="1" ht="40.35" hidden="1" customHeight="1">
      <c r="A35" s="133"/>
      <c r="B35" s="134"/>
      <c r="C35" s="133"/>
      <c r="D35" s="133"/>
      <c r="E35" s="133"/>
      <c r="F35" s="133"/>
      <c r="G35" s="133"/>
      <c r="H35" s="133"/>
      <c r="I35" s="133"/>
      <c r="J35" s="133"/>
    </row>
    <row r="36" spans="1:10" s="135" customFormat="1" ht="40.35" hidden="1" customHeight="1">
      <c r="A36" s="133"/>
      <c r="B36" s="134"/>
      <c r="C36" s="133"/>
      <c r="D36" s="133"/>
      <c r="E36" s="133"/>
      <c r="F36" s="133"/>
      <c r="G36" s="133"/>
      <c r="H36" s="133"/>
      <c r="I36" s="133"/>
      <c r="J36" s="133"/>
    </row>
    <row r="37" spans="1:10" s="135" customFormat="1" ht="40.35" hidden="1" customHeight="1">
      <c r="A37" s="133"/>
      <c r="B37" s="134"/>
      <c r="C37" s="133"/>
      <c r="D37" s="133"/>
      <c r="E37" s="133"/>
      <c r="F37" s="133"/>
      <c r="G37" s="133"/>
      <c r="H37" s="133"/>
      <c r="I37" s="133"/>
      <c r="J37" s="133"/>
    </row>
    <row r="38" spans="1:10" s="135" customFormat="1" ht="40.35" hidden="1" customHeight="1">
      <c r="A38" s="133"/>
      <c r="B38" s="134"/>
      <c r="C38" s="133"/>
      <c r="D38" s="133"/>
      <c r="E38" s="133"/>
      <c r="F38" s="133"/>
      <c r="G38" s="133"/>
      <c r="H38" s="133"/>
      <c r="I38" s="133"/>
      <c r="J38" s="133"/>
    </row>
    <row r="39" spans="1:10" s="135" customFormat="1" ht="40.35"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F8AAF-3BF5-41C2-9B3F-B8B88E258A67}">
  <sheetPr>
    <tabColor rgb="FF00B050"/>
    <pageSetUpPr fitToPage="1"/>
  </sheetPr>
  <dimension ref="A1:M39"/>
  <sheetViews>
    <sheetView showGridLines="0" view="pageBreakPreview" zoomScale="70" zoomScaleNormal="70" zoomScaleSheetLayoutView="70" workbookViewId="0">
      <selection activeCell="B26" sqref="B26:F27"/>
    </sheetView>
  </sheetViews>
  <sheetFormatPr defaultColWidth="7.71484375" defaultRowHeight="23.25"/>
  <cols>
    <col min="1" max="1" width="43.03515625" style="133" customWidth="1"/>
    <col min="2" max="2" width="2.5703125" style="134" customWidth="1"/>
    <col min="3" max="3" width="15.203125" style="133" customWidth="1"/>
    <col min="4" max="4" width="10.875" style="133" customWidth="1"/>
    <col min="5" max="5" width="12.04296875" style="133" customWidth="1"/>
    <col min="6" max="6" width="14.1484375" style="133" customWidth="1"/>
    <col min="7" max="7" width="12.04296875" style="133" customWidth="1"/>
    <col min="8" max="8" width="10.0546875" style="133" customWidth="1"/>
    <col min="9" max="9" width="12.0429687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1.35" customHeight="1" thickBot="1">
      <c r="A1" s="526" t="s">
        <v>94</v>
      </c>
      <c r="B1" s="526"/>
      <c r="C1" s="526"/>
      <c r="D1" s="526"/>
      <c r="E1" s="526"/>
      <c r="F1" s="526"/>
      <c r="G1" s="526"/>
      <c r="H1" s="526"/>
      <c r="I1" s="526"/>
      <c r="J1" s="526"/>
    </row>
    <row r="2" spans="1:13" ht="32.85" customHeight="1">
      <c r="A2" s="527" t="s">
        <v>95</v>
      </c>
      <c r="B2" s="528"/>
      <c r="C2" s="528"/>
      <c r="D2" s="528"/>
      <c r="E2" s="528"/>
      <c r="F2" s="528"/>
      <c r="G2" s="528"/>
      <c r="H2" s="528"/>
      <c r="I2" s="528"/>
      <c r="J2" s="529"/>
    </row>
    <row r="3" spans="1:13" ht="28.35" customHeight="1">
      <c r="A3" s="530" t="s">
        <v>167</v>
      </c>
      <c r="B3" s="531"/>
      <c r="C3" s="531"/>
      <c r="D3" s="531"/>
      <c r="E3" s="531"/>
      <c r="F3" s="531"/>
      <c r="G3" s="531"/>
      <c r="H3" s="531"/>
      <c r="I3" s="531"/>
      <c r="J3" s="532"/>
    </row>
    <row r="4" spans="1:13" s="135" customFormat="1" ht="30" customHeight="1">
      <c r="A4" s="234" t="s">
        <v>96</v>
      </c>
      <c r="B4" s="235" t="s">
        <v>97</v>
      </c>
      <c r="C4" s="533" t="s">
        <v>145</v>
      </c>
      <c r="D4" s="534"/>
      <c r="E4" s="534"/>
      <c r="F4" s="534"/>
      <c r="G4" s="534"/>
      <c r="H4" s="534"/>
      <c r="I4" s="534"/>
      <c r="J4" s="535"/>
    </row>
    <row r="5" spans="1:13" s="135" customFormat="1" ht="55.5" customHeight="1">
      <c r="A5" s="236" t="s">
        <v>98</v>
      </c>
      <c r="B5" s="237" t="s">
        <v>97</v>
      </c>
      <c r="C5" s="522" t="s">
        <v>146</v>
      </c>
      <c r="D5" s="522"/>
      <c r="E5" s="522"/>
      <c r="F5" s="522"/>
      <c r="G5" s="522"/>
      <c r="H5" s="522"/>
      <c r="I5" s="522"/>
      <c r="J5" s="523"/>
    </row>
    <row r="6" spans="1:13" s="135" customFormat="1" ht="101.85" customHeight="1">
      <c r="A6" s="236" t="s">
        <v>116</v>
      </c>
      <c r="B6" s="238" t="s">
        <v>97</v>
      </c>
      <c r="C6" s="522" t="s">
        <v>162</v>
      </c>
      <c r="D6" s="522"/>
      <c r="E6" s="522"/>
      <c r="F6" s="522"/>
      <c r="G6" s="522"/>
      <c r="H6" s="522"/>
      <c r="I6" s="522"/>
      <c r="J6" s="523"/>
    </row>
    <row r="7" spans="1:13" s="135" customFormat="1" ht="243.6" customHeight="1">
      <c r="A7" s="236" t="s">
        <v>99</v>
      </c>
      <c r="B7" s="238" t="s">
        <v>100</v>
      </c>
      <c r="C7" s="522" t="s">
        <v>163</v>
      </c>
      <c r="D7" s="522"/>
      <c r="E7" s="522"/>
      <c r="F7" s="522"/>
      <c r="G7" s="522"/>
      <c r="H7" s="522"/>
      <c r="I7" s="522"/>
      <c r="J7" s="523"/>
    </row>
    <row r="8" spans="1:13" s="135" customFormat="1" ht="28.35" customHeight="1">
      <c r="A8" s="236" t="s">
        <v>117</v>
      </c>
      <c r="B8" s="237" t="s">
        <v>97</v>
      </c>
      <c r="C8" s="522" t="s">
        <v>115</v>
      </c>
      <c r="D8" s="522"/>
      <c r="E8" s="522"/>
      <c r="F8" s="522"/>
      <c r="G8" s="522"/>
      <c r="H8" s="522"/>
      <c r="I8" s="522"/>
      <c r="J8" s="523"/>
    </row>
    <row r="9" spans="1:13" s="135" customFormat="1" ht="33.6" customHeight="1">
      <c r="A9" s="236" t="s">
        <v>101</v>
      </c>
      <c r="B9" s="237" t="s">
        <v>100</v>
      </c>
      <c r="C9" s="522" t="s">
        <v>179</v>
      </c>
      <c r="D9" s="522"/>
      <c r="E9" s="522"/>
      <c r="F9" s="522"/>
      <c r="G9" s="522"/>
      <c r="H9" s="522"/>
      <c r="I9" s="522"/>
      <c r="J9" s="523"/>
    </row>
    <row r="10" spans="1:13" s="135" customFormat="1" ht="29.1" customHeight="1">
      <c r="A10" s="236" t="s">
        <v>118</v>
      </c>
      <c r="B10" s="237" t="s">
        <v>97</v>
      </c>
      <c r="C10" s="522" t="s">
        <v>168</v>
      </c>
      <c r="D10" s="522"/>
      <c r="E10" s="522"/>
      <c r="F10" s="522"/>
      <c r="G10" s="522"/>
      <c r="H10" s="522"/>
      <c r="I10" s="522"/>
      <c r="J10" s="523"/>
    </row>
    <row r="11" spans="1:13" s="135" customFormat="1">
      <c r="A11" s="236" t="s">
        <v>147</v>
      </c>
      <c r="B11" s="237" t="s">
        <v>97</v>
      </c>
      <c r="C11" s="524"/>
      <c r="D11" s="524"/>
      <c r="E11" s="524"/>
      <c r="F11" s="524"/>
      <c r="G11" s="524"/>
      <c r="H11" s="524"/>
      <c r="I11" s="524"/>
      <c r="J11" s="525"/>
      <c r="L11" s="135" t="s">
        <v>148</v>
      </c>
    </row>
    <row r="12" spans="1:13" s="135" customFormat="1" ht="32.1" customHeight="1">
      <c r="A12" s="236" t="s">
        <v>124</v>
      </c>
      <c r="B12" s="238" t="s">
        <v>100</v>
      </c>
      <c r="C12" s="278" t="s">
        <v>205</v>
      </c>
      <c r="D12" s="270"/>
      <c r="E12" s="270"/>
      <c r="F12" s="270"/>
      <c r="G12" s="270"/>
      <c r="H12" s="270"/>
      <c r="I12" s="270"/>
      <c r="J12" s="271"/>
      <c r="M12" s="137"/>
    </row>
    <row r="13" spans="1:13" s="135" customFormat="1" ht="37.5" customHeight="1">
      <c r="A13" s="236" t="s">
        <v>121</v>
      </c>
      <c r="B13" s="238" t="s">
        <v>100</v>
      </c>
      <c r="C13" s="278" t="str">
        <f>'PL(2_2)'!C28</f>
        <v>OM4-MG-GEN2-KOB-0002</v>
      </c>
      <c r="D13" s="270"/>
      <c r="E13" s="270"/>
      <c r="F13" s="270"/>
      <c r="G13" s="270"/>
      <c r="H13" s="270"/>
      <c r="I13" s="270"/>
      <c r="J13" s="271"/>
      <c r="L13" s="135" t="s">
        <v>149</v>
      </c>
      <c r="M13" s="137"/>
    </row>
    <row r="14" spans="1:13" s="135" customFormat="1" ht="36.6" customHeight="1">
      <c r="A14" s="236" t="s">
        <v>119</v>
      </c>
      <c r="B14" s="237" t="s">
        <v>97</v>
      </c>
      <c r="C14" s="279">
        <f>'PL(2_2)'!M28</f>
        <v>500</v>
      </c>
      <c r="D14" s="324" t="s">
        <v>102</v>
      </c>
      <c r="E14" s="325"/>
      <c r="F14" s="325"/>
      <c r="G14" s="325"/>
      <c r="H14" s="325"/>
      <c r="I14" s="325"/>
      <c r="J14" s="239"/>
    </row>
    <row r="15" spans="1:13" s="135" customFormat="1" ht="57.6" customHeight="1">
      <c r="A15" s="236" t="s">
        <v>120</v>
      </c>
      <c r="B15" s="237" t="s">
        <v>97</v>
      </c>
      <c r="C15" s="279">
        <f>'PL(2_2)'!N28</f>
        <v>1030</v>
      </c>
      <c r="D15" s="324" t="s">
        <v>102</v>
      </c>
      <c r="E15" s="325"/>
      <c r="F15" s="326"/>
      <c r="G15" s="325"/>
      <c r="H15" s="325"/>
      <c r="I15" s="325"/>
      <c r="J15" s="240"/>
    </row>
    <row r="16" spans="1:13" s="135" customFormat="1" ht="53.85" customHeight="1">
      <c r="A16" s="236" t="s">
        <v>122</v>
      </c>
      <c r="B16" s="238" t="s">
        <v>97</v>
      </c>
      <c r="C16" s="279">
        <f>'PL(2_2)'!I28</f>
        <v>354</v>
      </c>
      <c r="D16" s="324" t="s">
        <v>103</v>
      </c>
      <c r="E16" s="279">
        <f>'PL(2_2)'!J28</f>
        <v>204</v>
      </c>
      <c r="F16" s="324" t="s">
        <v>104</v>
      </c>
      <c r="G16" s="279">
        <f>'PL(2_2)'!K28</f>
        <v>100</v>
      </c>
      <c r="H16" s="324" t="s">
        <v>105</v>
      </c>
      <c r="I16" s="337">
        <f>'PL(2_2)'!L28</f>
        <v>7.2220000000000004</v>
      </c>
      <c r="J16" s="241" t="s">
        <v>106</v>
      </c>
    </row>
    <row r="17" spans="1:13" s="135" customFormat="1" ht="31.35" customHeight="1">
      <c r="A17" s="140" t="s">
        <v>113</v>
      </c>
      <c r="B17" s="136" t="s">
        <v>97</v>
      </c>
      <c r="C17" s="187" t="s">
        <v>174</v>
      </c>
      <c r="D17" s="188"/>
      <c r="E17" s="189"/>
      <c r="F17" s="188"/>
      <c r="G17" s="189"/>
      <c r="H17" s="188"/>
      <c r="I17" s="190"/>
      <c r="J17" s="191"/>
    </row>
    <row r="18" spans="1:13" s="135" customFormat="1" ht="45">
      <c r="A18" s="140" t="s">
        <v>123</v>
      </c>
      <c r="B18" s="136" t="s">
        <v>97</v>
      </c>
      <c r="C18" s="187" t="s">
        <v>166</v>
      </c>
      <c r="D18" s="188"/>
      <c r="E18" s="189"/>
      <c r="F18" s="188"/>
      <c r="G18" s="189"/>
      <c r="H18" s="188"/>
      <c r="I18" s="190"/>
      <c r="J18" s="191"/>
    </row>
    <row r="19" spans="1:13" s="135" customFormat="1">
      <c r="A19" s="141" t="s">
        <v>107</v>
      </c>
      <c r="B19" s="136" t="s">
        <v>97</v>
      </c>
      <c r="C19" s="281" t="s">
        <v>176</v>
      </c>
      <c r="D19" s="188"/>
      <c r="E19" s="189"/>
      <c r="F19" s="188"/>
      <c r="G19" s="189"/>
      <c r="H19" s="188"/>
      <c r="I19" s="190"/>
      <c r="J19" s="191"/>
    </row>
    <row r="20" spans="1:13" s="135" customFormat="1" ht="40.35" customHeight="1">
      <c r="A20" s="142" t="s">
        <v>108</v>
      </c>
      <c r="B20" s="138" t="s">
        <v>97</v>
      </c>
      <c r="C20" s="252" t="s">
        <v>109</v>
      </c>
      <c r="D20" s="184"/>
      <c r="E20" s="184"/>
      <c r="F20" s="184"/>
      <c r="G20" s="184"/>
      <c r="H20" s="184"/>
      <c r="I20" s="184"/>
      <c r="J20" s="185"/>
    </row>
    <row r="21" spans="1:13" ht="120" hidden="1" customHeight="1" thickBot="1"/>
    <row r="22" spans="1:13" ht="55.35" hidden="1" customHeight="1"/>
    <row r="23" spans="1:13" ht="55.35" hidden="1" customHeight="1" thickBot="1"/>
    <row r="24" spans="1:13" ht="40.35" hidden="1" customHeight="1"/>
    <row r="25" spans="1:13" s="135" customFormat="1" ht="40.35"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40.35" hidden="1" customHeight="1">
      <c r="A29" s="133"/>
      <c r="B29" s="134"/>
      <c r="C29" s="133"/>
      <c r="D29" s="133"/>
      <c r="E29" s="133"/>
      <c r="F29" s="133"/>
      <c r="G29" s="133"/>
      <c r="H29" s="133"/>
      <c r="I29" s="133"/>
      <c r="J29" s="133"/>
    </row>
    <row r="30" spans="1:13" s="135" customFormat="1" ht="40.35"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40.35" hidden="1" customHeight="1">
      <c r="A32" s="133"/>
      <c r="B32" s="134"/>
      <c r="C32" s="133"/>
      <c r="D32" s="133"/>
      <c r="E32" s="133"/>
      <c r="F32" s="133"/>
      <c r="G32" s="133"/>
      <c r="H32" s="133"/>
      <c r="I32" s="133"/>
      <c r="J32" s="133"/>
      <c r="M32" s="137"/>
    </row>
    <row r="33" spans="1:10" s="135" customFormat="1" ht="40.35" hidden="1" customHeight="1">
      <c r="A33" s="133"/>
      <c r="B33" s="134"/>
      <c r="C33" s="133"/>
      <c r="D33" s="133"/>
      <c r="E33" s="133"/>
      <c r="F33" s="133"/>
      <c r="G33" s="133"/>
      <c r="H33" s="133"/>
      <c r="I33" s="133"/>
      <c r="J33" s="133"/>
    </row>
    <row r="34" spans="1:10" s="135" customFormat="1" ht="40.35" hidden="1" customHeight="1">
      <c r="A34" s="133"/>
      <c r="B34" s="134"/>
      <c r="C34" s="133"/>
      <c r="D34" s="133"/>
      <c r="E34" s="133"/>
      <c r="F34" s="133"/>
      <c r="G34" s="133"/>
      <c r="H34" s="133"/>
      <c r="I34" s="133"/>
      <c r="J34" s="133"/>
    </row>
    <row r="35" spans="1:10" s="135" customFormat="1" ht="40.35" hidden="1" customHeight="1">
      <c r="A35" s="133"/>
      <c r="B35" s="134"/>
      <c r="C35" s="133"/>
      <c r="D35" s="133"/>
      <c r="E35" s="133"/>
      <c r="F35" s="133"/>
      <c r="G35" s="133"/>
      <c r="H35" s="133"/>
      <c r="I35" s="133"/>
      <c r="J35" s="133"/>
    </row>
    <row r="36" spans="1:10" s="135" customFormat="1" ht="40.35" hidden="1" customHeight="1">
      <c r="A36" s="133"/>
      <c r="B36" s="134"/>
      <c r="C36" s="133"/>
      <c r="D36" s="133"/>
      <c r="E36" s="133"/>
      <c r="F36" s="133"/>
      <c r="G36" s="133"/>
      <c r="H36" s="133"/>
      <c r="I36" s="133"/>
      <c r="J36" s="133"/>
    </row>
    <row r="37" spans="1:10" s="135" customFormat="1" ht="40.35" hidden="1" customHeight="1">
      <c r="A37" s="133"/>
      <c r="B37" s="134"/>
      <c r="C37" s="133"/>
      <c r="D37" s="133"/>
      <c r="E37" s="133"/>
      <c r="F37" s="133"/>
      <c r="G37" s="133"/>
      <c r="H37" s="133"/>
      <c r="I37" s="133"/>
      <c r="J37" s="133"/>
    </row>
    <row r="38" spans="1:10" s="135" customFormat="1" ht="40.35" hidden="1" customHeight="1">
      <c r="A38" s="133"/>
      <c r="B38" s="134"/>
      <c r="C38" s="133"/>
      <c r="D38" s="133"/>
      <c r="E38" s="133"/>
      <c r="F38" s="133"/>
      <c r="G38" s="133"/>
      <c r="H38" s="133"/>
      <c r="I38" s="133"/>
      <c r="J38" s="133"/>
    </row>
    <row r="39" spans="1:10" s="135" customFormat="1" ht="40.35"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81318-8DCB-4586-8788-25F5DF64763C}">
  <sheetPr>
    <tabColor rgb="FF00B050"/>
    <pageSetUpPr fitToPage="1"/>
  </sheetPr>
  <dimension ref="A1:M39"/>
  <sheetViews>
    <sheetView showGridLines="0" view="pageBreakPreview" zoomScale="70" zoomScaleNormal="70" zoomScaleSheetLayoutView="70" workbookViewId="0">
      <selection activeCell="B26" sqref="B26:F27"/>
    </sheetView>
  </sheetViews>
  <sheetFormatPr defaultColWidth="7.71484375" defaultRowHeight="23.25"/>
  <cols>
    <col min="1" max="1" width="43.03515625" style="133" customWidth="1"/>
    <col min="2" max="2" width="2.5703125" style="134" customWidth="1"/>
    <col min="3" max="3" width="15.203125" style="133" customWidth="1"/>
    <col min="4" max="4" width="10.875" style="133" customWidth="1"/>
    <col min="5" max="5" width="12.04296875" style="133" customWidth="1"/>
    <col min="6" max="6" width="14.1484375" style="133" customWidth="1"/>
    <col min="7" max="7" width="12.04296875" style="133" customWidth="1"/>
    <col min="8" max="8" width="10.0546875" style="133" customWidth="1"/>
    <col min="9" max="9" width="12.0429687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1.35" customHeight="1" thickBot="1">
      <c r="A1" s="526" t="s">
        <v>94</v>
      </c>
      <c r="B1" s="526"/>
      <c r="C1" s="526"/>
      <c r="D1" s="526"/>
      <c r="E1" s="526"/>
      <c r="F1" s="526"/>
      <c r="G1" s="526"/>
      <c r="H1" s="526"/>
      <c r="I1" s="526"/>
      <c r="J1" s="526"/>
    </row>
    <row r="2" spans="1:13" ht="32.85" customHeight="1">
      <c r="A2" s="527" t="s">
        <v>95</v>
      </c>
      <c r="B2" s="528"/>
      <c r="C2" s="528"/>
      <c r="D2" s="528"/>
      <c r="E2" s="528"/>
      <c r="F2" s="528"/>
      <c r="G2" s="528"/>
      <c r="H2" s="528"/>
      <c r="I2" s="528"/>
      <c r="J2" s="529"/>
    </row>
    <row r="3" spans="1:13" ht="28.35" customHeight="1">
      <c r="A3" s="530" t="s">
        <v>167</v>
      </c>
      <c r="B3" s="531"/>
      <c r="C3" s="531"/>
      <c r="D3" s="531"/>
      <c r="E3" s="531"/>
      <c r="F3" s="531"/>
      <c r="G3" s="531"/>
      <c r="H3" s="531"/>
      <c r="I3" s="531"/>
      <c r="J3" s="532"/>
    </row>
    <row r="4" spans="1:13" s="135" customFormat="1" ht="30" customHeight="1">
      <c r="A4" s="234" t="s">
        <v>96</v>
      </c>
      <c r="B4" s="235" t="s">
        <v>97</v>
      </c>
      <c r="C4" s="533" t="s">
        <v>145</v>
      </c>
      <c r="D4" s="534"/>
      <c r="E4" s="534"/>
      <c r="F4" s="534"/>
      <c r="G4" s="534"/>
      <c r="H4" s="534"/>
      <c r="I4" s="534"/>
      <c r="J4" s="535"/>
    </row>
    <row r="5" spans="1:13" s="135" customFormat="1" ht="55.5" customHeight="1">
      <c r="A5" s="236" t="s">
        <v>98</v>
      </c>
      <c r="B5" s="237" t="s">
        <v>97</v>
      </c>
      <c r="C5" s="522" t="s">
        <v>146</v>
      </c>
      <c r="D5" s="522"/>
      <c r="E5" s="522"/>
      <c r="F5" s="522"/>
      <c r="G5" s="522"/>
      <c r="H5" s="522"/>
      <c r="I5" s="522"/>
      <c r="J5" s="523"/>
    </row>
    <row r="6" spans="1:13" s="135" customFormat="1" ht="101.85" customHeight="1">
      <c r="A6" s="236" t="s">
        <v>116</v>
      </c>
      <c r="B6" s="238" t="s">
        <v>97</v>
      </c>
      <c r="C6" s="522" t="s">
        <v>162</v>
      </c>
      <c r="D6" s="522"/>
      <c r="E6" s="522"/>
      <c r="F6" s="522"/>
      <c r="G6" s="522"/>
      <c r="H6" s="522"/>
      <c r="I6" s="522"/>
      <c r="J6" s="523"/>
    </row>
    <row r="7" spans="1:13" s="135" customFormat="1" ht="243.6" customHeight="1">
      <c r="A7" s="236" t="s">
        <v>99</v>
      </c>
      <c r="B7" s="238" t="s">
        <v>100</v>
      </c>
      <c r="C7" s="522" t="s">
        <v>163</v>
      </c>
      <c r="D7" s="522"/>
      <c r="E7" s="522"/>
      <c r="F7" s="522"/>
      <c r="G7" s="522"/>
      <c r="H7" s="522"/>
      <c r="I7" s="522"/>
      <c r="J7" s="523"/>
    </row>
    <row r="8" spans="1:13" s="135" customFormat="1" ht="28.35" customHeight="1">
      <c r="A8" s="236" t="s">
        <v>117</v>
      </c>
      <c r="B8" s="237" t="s">
        <v>97</v>
      </c>
      <c r="C8" s="522" t="s">
        <v>115</v>
      </c>
      <c r="D8" s="522"/>
      <c r="E8" s="522"/>
      <c r="F8" s="522"/>
      <c r="G8" s="522"/>
      <c r="H8" s="522"/>
      <c r="I8" s="522"/>
      <c r="J8" s="523"/>
    </row>
    <row r="9" spans="1:13" s="135" customFormat="1" ht="33.6" customHeight="1">
      <c r="A9" s="236" t="s">
        <v>101</v>
      </c>
      <c r="B9" s="237" t="s">
        <v>100</v>
      </c>
      <c r="C9" s="522" t="s">
        <v>179</v>
      </c>
      <c r="D9" s="522"/>
      <c r="E9" s="522"/>
      <c r="F9" s="522"/>
      <c r="G9" s="522"/>
      <c r="H9" s="522"/>
      <c r="I9" s="522"/>
      <c r="J9" s="523"/>
    </row>
    <row r="10" spans="1:13" s="135" customFormat="1" ht="29.1" customHeight="1">
      <c r="A10" s="236" t="s">
        <v>118</v>
      </c>
      <c r="B10" s="237" t="s">
        <v>97</v>
      </c>
      <c r="C10" s="522" t="s">
        <v>168</v>
      </c>
      <c r="D10" s="522"/>
      <c r="E10" s="522"/>
      <c r="F10" s="522"/>
      <c r="G10" s="522"/>
      <c r="H10" s="522"/>
      <c r="I10" s="522"/>
      <c r="J10" s="523"/>
    </row>
    <row r="11" spans="1:13" s="135" customFormat="1">
      <c r="A11" s="236" t="s">
        <v>147</v>
      </c>
      <c r="B11" s="237" t="s">
        <v>97</v>
      </c>
      <c r="C11" s="524"/>
      <c r="D11" s="524"/>
      <c r="E11" s="524"/>
      <c r="F11" s="524"/>
      <c r="G11" s="524"/>
      <c r="H11" s="524"/>
      <c r="I11" s="524"/>
      <c r="J11" s="525"/>
      <c r="L11" s="135" t="s">
        <v>148</v>
      </c>
    </row>
    <row r="12" spans="1:13" s="135" customFormat="1" ht="32.1" customHeight="1">
      <c r="A12" s="236" t="s">
        <v>124</v>
      </c>
      <c r="B12" s="238" t="s">
        <v>100</v>
      </c>
      <c r="C12" s="278" t="s">
        <v>205</v>
      </c>
      <c r="D12" s="270"/>
      <c r="E12" s="270"/>
      <c r="F12" s="270"/>
      <c r="G12" s="270"/>
      <c r="H12" s="270"/>
      <c r="I12" s="270"/>
      <c r="J12" s="271"/>
      <c r="M12" s="137"/>
    </row>
    <row r="13" spans="1:13" s="135" customFormat="1" ht="37.5" customHeight="1">
      <c r="A13" s="236" t="s">
        <v>121</v>
      </c>
      <c r="B13" s="238" t="s">
        <v>100</v>
      </c>
      <c r="C13" s="278" t="str">
        <f>'PL(2_2)'!C29</f>
        <v>OM4-MG-GEN2-KOB-0003</v>
      </c>
      <c r="D13" s="270"/>
      <c r="E13" s="270"/>
      <c r="F13" s="270"/>
      <c r="G13" s="270"/>
      <c r="H13" s="270"/>
      <c r="I13" s="270"/>
      <c r="J13" s="271"/>
      <c r="L13" s="135" t="s">
        <v>149</v>
      </c>
      <c r="M13" s="137"/>
    </row>
    <row r="14" spans="1:13" s="135" customFormat="1" ht="36.6" customHeight="1">
      <c r="A14" s="236" t="s">
        <v>119</v>
      </c>
      <c r="B14" s="237" t="s">
        <v>97</v>
      </c>
      <c r="C14" s="279">
        <f>'PL(2_2)'!M29</f>
        <v>700</v>
      </c>
      <c r="D14" s="324" t="s">
        <v>102</v>
      </c>
      <c r="E14" s="325"/>
      <c r="F14" s="325"/>
      <c r="G14" s="325"/>
      <c r="H14" s="325"/>
      <c r="I14" s="325"/>
      <c r="J14" s="239"/>
    </row>
    <row r="15" spans="1:13" s="135" customFormat="1" ht="57.6" customHeight="1">
      <c r="A15" s="236" t="s">
        <v>120</v>
      </c>
      <c r="B15" s="237" t="s">
        <v>97</v>
      </c>
      <c r="C15" s="279">
        <f>'PL(2_2)'!N29</f>
        <v>980</v>
      </c>
      <c r="D15" s="324" t="s">
        <v>102</v>
      </c>
      <c r="E15" s="325"/>
      <c r="F15" s="326"/>
      <c r="G15" s="325"/>
      <c r="H15" s="325"/>
      <c r="I15" s="325"/>
      <c r="J15" s="240"/>
    </row>
    <row r="16" spans="1:13" s="135" customFormat="1" ht="53.85" customHeight="1">
      <c r="A16" s="236" t="s">
        <v>122</v>
      </c>
      <c r="B16" s="238" t="s">
        <v>97</v>
      </c>
      <c r="C16" s="279">
        <f>'PL(2_2)'!I29</f>
        <v>236</v>
      </c>
      <c r="D16" s="324" t="s">
        <v>103</v>
      </c>
      <c r="E16" s="279">
        <f>'PL(2_2)'!J29</f>
        <v>210</v>
      </c>
      <c r="F16" s="324" t="s">
        <v>104</v>
      </c>
      <c r="G16" s="279">
        <f>'PL(2_2)'!K29</f>
        <v>138</v>
      </c>
      <c r="H16" s="324" t="s">
        <v>105</v>
      </c>
      <c r="I16" s="337">
        <f>'PL(2_2)'!L29</f>
        <v>6.8390000000000004</v>
      </c>
      <c r="J16" s="241" t="s">
        <v>106</v>
      </c>
    </row>
    <row r="17" spans="1:13" s="135" customFormat="1" ht="31.35" customHeight="1">
      <c r="A17" s="140" t="s">
        <v>113</v>
      </c>
      <c r="B17" s="136" t="s">
        <v>97</v>
      </c>
      <c r="C17" s="187" t="s">
        <v>174</v>
      </c>
      <c r="D17" s="188"/>
      <c r="E17" s="189"/>
      <c r="F17" s="188"/>
      <c r="G17" s="189"/>
      <c r="H17" s="188"/>
      <c r="I17" s="190"/>
      <c r="J17" s="191"/>
    </row>
    <row r="18" spans="1:13" s="135" customFormat="1" ht="45">
      <c r="A18" s="140" t="s">
        <v>123</v>
      </c>
      <c r="B18" s="136" t="s">
        <v>97</v>
      </c>
      <c r="C18" s="187" t="s">
        <v>166</v>
      </c>
      <c r="D18" s="188"/>
      <c r="E18" s="189"/>
      <c r="F18" s="188"/>
      <c r="G18" s="189"/>
      <c r="H18" s="188"/>
      <c r="I18" s="190"/>
      <c r="J18" s="191"/>
    </row>
    <row r="19" spans="1:13" s="135" customFormat="1">
      <c r="A19" s="141" t="s">
        <v>107</v>
      </c>
      <c r="B19" s="136" t="s">
        <v>97</v>
      </c>
      <c r="C19" s="281" t="s">
        <v>176</v>
      </c>
      <c r="D19" s="188"/>
      <c r="E19" s="189"/>
      <c r="F19" s="188"/>
      <c r="G19" s="189"/>
      <c r="H19" s="188"/>
      <c r="I19" s="190"/>
      <c r="J19" s="191"/>
    </row>
    <row r="20" spans="1:13" s="135" customFormat="1" ht="40.35" customHeight="1">
      <c r="A20" s="142" t="s">
        <v>108</v>
      </c>
      <c r="B20" s="138" t="s">
        <v>97</v>
      </c>
      <c r="C20" s="252" t="s">
        <v>109</v>
      </c>
      <c r="D20" s="184"/>
      <c r="E20" s="184"/>
      <c r="F20" s="184"/>
      <c r="G20" s="184"/>
      <c r="H20" s="184"/>
      <c r="I20" s="184"/>
      <c r="J20" s="185"/>
    </row>
    <row r="21" spans="1:13" ht="120" hidden="1" customHeight="1" thickBot="1"/>
    <row r="22" spans="1:13" ht="55.35" hidden="1" customHeight="1"/>
    <row r="23" spans="1:13" ht="55.35" hidden="1" customHeight="1" thickBot="1"/>
    <row r="24" spans="1:13" ht="40.35" hidden="1" customHeight="1"/>
    <row r="25" spans="1:13" s="135" customFormat="1" ht="40.35"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40.35" hidden="1" customHeight="1">
      <c r="A29" s="133"/>
      <c r="B29" s="134"/>
      <c r="C29" s="133"/>
      <c r="D29" s="133"/>
      <c r="E29" s="133"/>
      <c r="F29" s="133"/>
      <c r="G29" s="133"/>
      <c r="H29" s="133"/>
      <c r="I29" s="133"/>
      <c r="J29" s="133"/>
    </row>
    <row r="30" spans="1:13" s="135" customFormat="1" ht="40.35"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40.35" hidden="1" customHeight="1">
      <c r="A32" s="133"/>
      <c r="B32" s="134"/>
      <c r="C32" s="133"/>
      <c r="D32" s="133"/>
      <c r="E32" s="133"/>
      <c r="F32" s="133"/>
      <c r="G32" s="133"/>
      <c r="H32" s="133"/>
      <c r="I32" s="133"/>
      <c r="J32" s="133"/>
      <c r="M32" s="137"/>
    </row>
    <row r="33" spans="1:10" s="135" customFormat="1" ht="40.35" hidden="1" customHeight="1">
      <c r="A33" s="133"/>
      <c r="B33" s="134"/>
      <c r="C33" s="133"/>
      <c r="D33" s="133"/>
      <c r="E33" s="133"/>
      <c r="F33" s="133"/>
      <c r="G33" s="133"/>
      <c r="H33" s="133"/>
      <c r="I33" s="133"/>
      <c r="J33" s="133"/>
    </row>
    <row r="34" spans="1:10" s="135" customFormat="1" ht="40.35" hidden="1" customHeight="1">
      <c r="A34" s="133"/>
      <c r="B34" s="134"/>
      <c r="C34" s="133"/>
      <c r="D34" s="133"/>
      <c r="E34" s="133"/>
      <c r="F34" s="133"/>
      <c r="G34" s="133"/>
      <c r="H34" s="133"/>
      <c r="I34" s="133"/>
      <c r="J34" s="133"/>
    </row>
    <row r="35" spans="1:10" s="135" customFormat="1" ht="40.35" hidden="1" customHeight="1">
      <c r="A35" s="133"/>
      <c r="B35" s="134"/>
      <c r="C35" s="133"/>
      <c r="D35" s="133"/>
      <c r="E35" s="133"/>
      <c r="F35" s="133"/>
      <c r="G35" s="133"/>
      <c r="H35" s="133"/>
      <c r="I35" s="133"/>
      <c r="J35" s="133"/>
    </row>
    <row r="36" spans="1:10" s="135" customFormat="1" ht="40.35" hidden="1" customHeight="1">
      <c r="A36" s="133"/>
      <c r="B36" s="134"/>
      <c r="C36" s="133"/>
      <c r="D36" s="133"/>
      <c r="E36" s="133"/>
      <c r="F36" s="133"/>
      <c r="G36" s="133"/>
      <c r="H36" s="133"/>
      <c r="I36" s="133"/>
      <c r="J36" s="133"/>
    </row>
    <row r="37" spans="1:10" s="135" customFormat="1" ht="40.35" hidden="1" customHeight="1">
      <c r="A37" s="133"/>
      <c r="B37" s="134"/>
      <c r="C37" s="133"/>
      <c r="D37" s="133"/>
      <c r="E37" s="133"/>
      <c r="F37" s="133"/>
      <c r="G37" s="133"/>
      <c r="H37" s="133"/>
      <c r="I37" s="133"/>
      <c r="J37" s="133"/>
    </row>
    <row r="38" spans="1:10" s="135" customFormat="1" ht="40.35" hidden="1" customHeight="1">
      <c r="A38" s="133"/>
      <c r="B38" s="134"/>
      <c r="C38" s="133"/>
      <c r="D38" s="133"/>
      <c r="E38" s="133"/>
      <c r="F38" s="133"/>
      <c r="G38" s="133"/>
      <c r="H38" s="133"/>
      <c r="I38" s="133"/>
      <c r="J38" s="133"/>
    </row>
    <row r="39" spans="1:10" s="135" customFormat="1" ht="40.35"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897BC-D773-4838-8AB5-5FC7EBE95E59}">
  <sheetPr>
    <tabColor rgb="FF00B050"/>
    <pageSetUpPr fitToPage="1"/>
  </sheetPr>
  <dimension ref="A1:M39"/>
  <sheetViews>
    <sheetView showGridLines="0" view="pageBreakPreview" zoomScale="70" zoomScaleNormal="70" zoomScaleSheetLayoutView="70" workbookViewId="0">
      <selection activeCell="B26" sqref="B26:F27"/>
    </sheetView>
  </sheetViews>
  <sheetFormatPr defaultColWidth="7.71484375" defaultRowHeight="23.25"/>
  <cols>
    <col min="1" max="1" width="43.03515625" style="133" customWidth="1"/>
    <col min="2" max="2" width="2.5703125" style="134" customWidth="1"/>
    <col min="3" max="3" width="15.203125" style="133" customWidth="1"/>
    <col min="4" max="4" width="10.875" style="133" customWidth="1"/>
    <col min="5" max="5" width="12.04296875" style="133" customWidth="1"/>
    <col min="6" max="6" width="14.1484375" style="133" customWidth="1"/>
    <col min="7" max="7" width="12.04296875" style="133" customWidth="1"/>
    <col min="8" max="8" width="10.0546875" style="133" customWidth="1"/>
    <col min="9" max="9" width="12.0429687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1.35" customHeight="1" thickBot="1">
      <c r="A1" s="526" t="s">
        <v>94</v>
      </c>
      <c r="B1" s="526"/>
      <c r="C1" s="526"/>
      <c r="D1" s="526"/>
      <c r="E1" s="526"/>
      <c r="F1" s="526"/>
      <c r="G1" s="526"/>
      <c r="H1" s="526"/>
      <c r="I1" s="526"/>
      <c r="J1" s="526"/>
    </row>
    <row r="2" spans="1:13" ht="32.85" customHeight="1">
      <c r="A2" s="527" t="s">
        <v>95</v>
      </c>
      <c r="B2" s="528"/>
      <c r="C2" s="528"/>
      <c r="D2" s="528"/>
      <c r="E2" s="528"/>
      <c r="F2" s="528"/>
      <c r="G2" s="528"/>
      <c r="H2" s="528"/>
      <c r="I2" s="528"/>
      <c r="J2" s="529"/>
    </row>
    <row r="3" spans="1:13" ht="28.35" customHeight="1">
      <c r="A3" s="530" t="s">
        <v>167</v>
      </c>
      <c r="B3" s="531"/>
      <c r="C3" s="531"/>
      <c r="D3" s="531"/>
      <c r="E3" s="531"/>
      <c r="F3" s="531"/>
      <c r="G3" s="531"/>
      <c r="H3" s="531"/>
      <c r="I3" s="531"/>
      <c r="J3" s="532"/>
    </row>
    <row r="4" spans="1:13" s="135" customFormat="1" ht="30" customHeight="1">
      <c r="A4" s="234" t="s">
        <v>96</v>
      </c>
      <c r="B4" s="235" t="s">
        <v>97</v>
      </c>
      <c r="C4" s="533" t="s">
        <v>145</v>
      </c>
      <c r="D4" s="534"/>
      <c r="E4" s="534"/>
      <c r="F4" s="534"/>
      <c r="G4" s="534"/>
      <c r="H4" s="534"/>
      <c r="I4" s="534"/>
      <c r="J4" s="535"/>
    </row>
    <row r="5" spans="1:13" s="135" customFormat="1" ht="55.5" customHeight="1">
      <c r="A5" s="236" t="s">
        <v>98</v>
      </c>
      <c r="B5" s="237" t="s">
        <v>97</v>
      </c>
      <c r="C5" s="522" t="s">
        <v>146</v>
      </c>
      <c r="D5" s="522"/>
      <c r="E5" s="522"/>
      <c r="F5" s="522"/>
      <c r="G5" s="522"/>
      <c r="H5" s="522"/>
      <c r="I5" s="522"/>
      <c r="J5" s="523"/>
    </row>
    <row r="6" spans="1:13" s="135" customFormat="1" ht="101.85" customHeight="1">
      <c r="A6" s="236" t="s">
        <v>116</v>
      </c>
      <c r="B6" s="238" t="s">
        <v>97</v>
      </c>
      <c r="C6" s="522" t="s">
        <v>162</v>
      </c>
      <c r="D6" s="522"/>
      <c r="E6" s="522"/>
      <c r="F6" s="522"/>
      <c r="G6" s="522"/>
      <c r="H6" s="522"/>
      <c r="I6" s="522"/>
      <c r="J6" s="523"/>
    </row>
    <row r="7" spans="1:13" s="135" customFormat="1" ht="243.6" customHeight="1">
      <c r="A7" s="236" t="s">
        <v>99</v>
      </c>
      <c r="B7" s="238" t="s">
        <v>100</v>
      </c>
      <c r="C7" s="522" t="s">
        <v>163</v>
      </c>
      <c r="D7" s="522"/>
      <c r="E7" s="522"/>
      <c r="F7" s="522"/>
      <c r="G7" s="522"/>
      <c r="H7" s="522"/>
      <c r="I7" s="522"/>
      <c r="J7" s="523"/>
    </row>
    <row r="8" spans="1:13" s="135" customFormat="1" ht="28.35" customHeight="1">
      <c r="A8" s="236" t="s">
        <v>117</v>
      </c>
      <c r="B8" s="237" t="s">
        <v>97</v>
      </c>
      <c r="C8" s="522" t="s">
        <v>115</v>
      </c>
      <c r="D8" s="522"/>
      <c r="E8" s="522"/>
      <c r="F8" s="522"/>
      <c r="G8" s="522"/>
      <c r="H8" s="522"/>
      <c r="I8" s="522"/>
      <c r="J8" s="523"/>
    </row>
    <row r="9" spans="1:13" s="135" customFormat="1" ht="33.6" customHeight="1">
      <c r="A9" s="236" t="s">
        <v>101</v>
      </c>
      <c r="B9" s="237" t="s">
        <v>100</v>
      </c>
      <c r="C9" s="522" t="s">
        <v>179</v>
      </c>
      <c r="D9" s="522"/>
      <c r="E9" s="522"/>
      <c r="F9" s="522"/>
      <c r="G9" s="522"/>
      <c r="H9" s="522"/>
      <c r="I9" s="522"/>
      <c r="J9" s="523"/>
    </row>
    <row r="10" spans="1:13" s="135" customFormat="1" ht="29.1" customHeight="1">
      <c r="A10" s="236" t="s">
        <v>118</v>
      </c>
      <c r="B10" s="237" t="s">
        <v>97</v>
      </c>
      <c r="C10" s="522" t="s">
        <v>168</v>
      </c>
      <c r="D10" s="522"/>
      <c r="E10" s="522"/>
      <c r="F10" s="522"/>
      <c r="G10" s="522"/>
      <c r="H10" s="522"/>
      <c r="I10" s="522"/>
      <c r="J10" s="523"/>
    </row>
    <row r="11" spans="1:13" s="135" customFormat="1">
      <c r="A11" s="236" t="s">
        <v>147</v>
      </c>
      <c r="B11" s="237" t="s">
        <v>97</v>
      </c>
      <c r="C11" s="524"/>
      <c r="D11" s="524"/>
      <c r="E11" s="524"/>
      <c r="F11" s="524"/>
      <c r="G11" s="524"/>
      <c r="H11" s="524"/>
      <c r="I11" s="524"/>
      <c r="J11" s="525"/>
      <c r="L11" s="135" t="s">
        <v>148</v>
      </c>
    </row>
    <row r="12" spans="1:13" s="135" customFormat="1" ht="32.1" customHeight="1">
      <c r="A12" s="236" t="s">
        <v>124</v>
      </c>
      <c r="B12" s="238" t="s">
        <v>100</v>
      </c>
      <c r="C12" s="278" t="s">
        <v>205</v>
      </c>
      <c r="D12" s="270"/>
      <c r="E12" s="270"/>
      <c r="F12" s="270"/>
      <c r="G12" s="270"/>
      <c r="H12" s="270"/>
      <c r="I12" s="270"/>
      <c r="J12" s="271"/>
      <c r="M12" s="137"/>
    </row>
    <row r="13" spans="1:13" s="135" customFormat="1" ht="37.5" customHeight="1">
      <c r="A13" s="236" t="s">
        <v>121</v>
      </c>
      <c r="B13" s="238" t="s">
        <v>100</v>
      </c>
      <c r="C13" s="278" t="str">
        <f>'PL(2_2)'!C30</f>
        <v>OM4-MG-GEN2-KOB-0004</v>
      </c>
      <c r="D13" s="270"/>
      <c r="E13" s="270"/>
      <c r="F13" s="270"/>
      <c r="G13" s="270"/>
      <c r="H13" s="270"/>
      <c r="I13" s="270"/>
      <c r="J13" s="271"/>
      <c r="L13" s="135" t="s">
        <v>149</v>
      </c>
      <c r="M13" s="137"/>
    </row>
    <row r="14" spans="1:13" s="135" customFormat="1" ht="36.6" customHeight="1">
      <c r="A14" s="236" t="s">
        <v>119</v>
      </c>
      <c r="B14" s="237" t="s">
        <v>97</v>
      </c>
      <c r="C14" s="279">
        <f>'PL(2_2)'!M30</f>
        <v>447</v>
      </c>
      <c r="D14" s="324" t="s">
        <v>102</v>
      </c>
      <c r="E14" s="325"/>
      <c r="F14" s="325"/>
      <c r="G14" s="325"/>
      <c r="H14" s="325"/>
      <c r="I14" s="325"/>
      <c r="J14" s="239"/>
    </row>
    <row r="15" spans="1:13" s="135" customFormat="1" ht="57.6" customHeight="1">
      <c r="A15" s="236" t="s">
        <v>120</v>
      </c>
      <c r="B15" s="237" t="s">
        <v>97</v>
      </c>
      <c r="C15" s="279">
        <f>'PL(2_2)'!N30</f>
        <v>540</v>
      </c>
      <c r="D15" s="324" t="s">
        <v>102</v>
      </c>
      <c r="E15" s="325"/>
      <c r="F15" s="326"/>
      <c r="G15" s="325"/>
      <c r="H15" s="325"/>
      <c r="I15" s="325"/>
      <c r="J15" s="240"/>
    </row>
    <row r="16" spans="1:13" s="135" customFormat="1" ht="53.85" customHeight="1">
      <c r="A16" s="236" t="s">
        <v>122</v>
      </c>
      <c r="B16" s="238" t="s">
        <v>97</v>
      </c>
      <c r="C16" s="279">
        <f>'PL(2_2)'!I30</f>
        <v>115</v>
      </c>
      <c r="D16" s="324" t="s">
        <v>103</v>
      </c>
      <c r="E16" s="279">
        <f>'PL(2_2)'!J30</f>
        <v>94</v>
      </c>
      <c r="F16" s="324" t="s">
        <v>104</v>
      </c>
      <c r="G16" s="279">
        <f>'PL(2_2)'!K30</f>
        <v>85</v>
      </c>
      <c r="H16" s="324" t="s">
        <v>105</v>
      </c>
      <c r="I16" s="337">
        <f>'PL(2_2)'!L30</f>
        <v>0.91900000000000004</v>
      </c>
      <c r="J16" s="241" t="s">
        <v>106</v>
      </c>
    </row>
    <row r="17" spans="1:13" s="135" customFormat="1" ht="31.35" customHeight="1">
      <c r="A17" s="140" t="s">
        <v>113</v>
      </c>
      <c r="B17" s="136" t="s">
        <v>97</v>
      </c>
      <c r="C17" s="187" t="s">
        <v>174</v>
      </c>
      <c r="D17" s="188"/>
      <c r="E17" s="189"/>
      <c r="F17" s="188"/>
      <c r="G17" s="189"/>
      <c r="H17" s="188"/>
      <c r="I17" s="190"/>
      <c r="J17" s="191"/>
    </row>
    <row r="18" spans="1:13" s="135" customFormat="1" ht="45">
      <c r="A18" s="140" t="s">
        <v>123</v>
      </c>
      <c r="B18" s="136" t="s">
        <v>97</v>
      </c>
      <c r="C18" s="187" t="s">
        <v>166</v>
      </c>
      <c r="D18" s="188"/>
      <c r="E18" s="189"/>
      <c r="F18" s="188"/>
      <c r="G18" s="189"/>
      <c r="H18" s="188"/>
      <c r="I18" s="190"/>
      <c r="J18" s="191"/>
    </row>
    <row r="19" spans="1:13" s="135" customFormat="1">
      <c r="A19" s="141" t="s">
        <v>107</v>
      </c>
      <c r="B19" s="136" t="s">
        <v>97</v>
      </c>
      <c r="C19" s="281" t="s">
        <v>176</v>
      </c>
      <c r="D19" s="188"/>
      <c r="E19" s="189"/>
      <c r="F19" s="188"/>
      <c r="G19" s="189"/>
      <c r="H19" s="188"/>
      <c r="I19" s="190"/>
      <c r="J19" s="191"/>
    </row>
    <row r="20" spans="1:13" s="135" customFormat="1" ht="40.35" customHeight="1">
      <c r="A20" s="142" t="s">
        <v>108</v>
      </c>
      <c r="B20" s="138" t="s">
        <v>97</v>
      </c>
      <c r="C20" s="252" t="s">
        <v>109</v>
      </c>
      <c r="D20" s="184"/>
      <c r="E20" s="184"/>
      <c r="F20" s="184"/>
      <c r="G20" s="184"/>
      <c r="H20" s="184"/>
      <c r="I20" s="184"/>
      <c r="J20" s="185"/>
    </row>
    <row r="21" spans="1:13" ht="120" hidden="1" customHeight="1" thickBot="1"/>
    <row r="22" spans="1:13" ht="55.35" hidden="1" customHeight="1"/>
    <row r="23" spans="1:13" ht="55.35" hidden="1" customHeight="1" thickBot="1"/>
    <row r="24" spans="1:13" ht="40.35" hidden="1" customHeight="1"/>
    <row r="25" spans="1:13" s="135" customFormat="1" ht="40.35"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40.35" hidden="1" customHeight="1">
      <c r="A29" s="133"/>
      <c r="B29" s="134"/>
      <c r="C29" s="133"/>
      <c r="D29" s="133"/>
      <c r="E29" s="133"/>
      <c r="F29" s="133"/>
      <c r="G29" s="133"/>
      <c r="H29" s="133"/>
      <c r="I29" s="133"/>
      <c r="J29" s="133"/>
    </row>
    <row r="30" spans="1:13" s="135" customFormat="1" ht="40.35"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40.35" hidden="1" customHeight="1">
      <c r="A32" s="133"/>
      <c r="B32" s="134"/>
      <c r="C32" s="133"/>
      <c r="D32" s="133"/>
      <c r="E32" s="133"/>
      <c r="F32" s="133"/>
      <c r="G32" s="133"/>
      <c r="H32" s="133"/>
      <c r="I32" s="133"/>
      <c r="J32" s="133"/>
      <c r="M32" s="137"/>
    </row>
    <row r="33" spans="1:10" s="135" customFormat="1" ht="40.35" hidden="1" customHeight="1">
      <c r="A33" s="133"/>
      <c r="B33" s="134"/>
      <c r="C33" s="133"/>
      <c r="D33" s="133"/>
      <c r="E33" s="133"/>
      <c r="F33" s="133"/>
      <c r="G33" s="133"/>
      <c r="H33" s="133"/>
      <c r="I33" s="133"/>
      <c r="J33" s="133"/>
    </row>
    <row r="34" spans="1:10" s="135" customFormat="1" ht="40.35" hidden="1" customHeight="1">
      <c r="A34" s="133"/>
      <c r="B34" s="134"/>
      <c r="C34" s="133"/>
      <c r="D34" s="133"/>
      <c r="E34" s="133"/>
      <c r="F34" s="133"/>
      <c r="G34" s="133"/>
      <c r="H34" s="133"/>
      <c r="I34" s="133"/>
      <c r="J34" s="133"/>
    </row>
    <row r="35" spans="1:10" s="135" customFormat="1" ht="40.35" hidden="1" customHeight="1">
      <c r="A35" s="133"/>
      <c r="B35" s="134"/>
      <c r="C35" s="133"/>
      <c r="D35" s="133"/>
      <c r="E35" s="133"/>
      <c r="F35" s="133"/>
      <c r="G35" s="133"/>
      <c r="H35" s="133"/>
      <c r="I35" s="133"/>
      <c r="J35" s="133"/>
    </row>
    <row r="36" spans="1:10" s="135" customFormat="1" ht="40.35" hidden="1" customHeight="1">
      <c r="A36" s="133"/>
      <c r="B36" s="134"/>
      <c r="C36" s="133"/>
      <c r="D36" s="133"/>
      <c r="E36" s="133"/>
      <c r="F36" s="133"/>
      <c r="G36" s="133"/>
      <c r="H36" s="133"/>
      <c r="I36" s="133"/>
      <c r="J36" s="133"/>
    </row>
    <row r="37" spans="1:10" s="135" customFormat="1" ht="40.35" hidden="1" customHeight="1">
      <c r="A37" s="133"/>
      <c r="B37" s="134"/>
      <c r="C37" s="133"/>
      <c r="D37" s="133"/>
      <c r="E37" s="133"/>
      <c r="F37" s="133"/>
      <c r="G37" s="133"/>
      <c r="H37" s="133"/>
      <c r="I37" s="133"/>
      <c r="J37" s="133"/>
    </row>
    <row r="38" spans="1:10" s="135" customFormat="1" ht="40.35" hidden="1" customHeight="1">
      <c r="A38" s="133"/>
      <c r="B38" s="134"/>
      <c r="C38" s="133"/>
      <c r="D38" s="133"/>
      <c r="E38" s="133"/>
      <c r="F38" s="133"/>
      <c r="G38" s="133"/>
      <c r="H38" s="133"/>
      <c r="I38" s="133"/>
      <c r="J38" s="133"/>
    </row>
    <row r="39" spans="1:10" s="135" customFormat="1" ht="40.35"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29FBC-2F0B-4548-A1C5-32D51977E2D1}">
  <sheetPr>
    <tabColor rgb="FF00B050"/>
    <pageSetUpPr fitToPage="1"/>
  </sheetPr>
  <dimension ref="A1:M39"/>
  <sheetViews>
    <sheetView showGridLines="0" view="pageBreakPreview" zoomScale="70" zoomScaleNormal="70" zoomScaleSheetLayoutView="70" workbookViewId="0">
      <selection activeCell="B26" sqref="B26:F27"/>
    </sheetView>
  </sheetViews>
  <sheetFormatPr defaultColWidth="7.71484375" defaultRowHeight="23.25"/>
  <cols>
    <col min="1" max="1" width="43.03515625" style="133" customWidth="1"/>
    <col min="2" max="2" width="2.5703125" style="134" customWidth="1"/>
    <col min="3" max="3" width="15.203125" style="133" customWidth="1"/>
    <col min="4" max="4" width="10.875" style="133" customWidth="1"/>
    <col min="5" max="5" width="12.04296875" style="133" customWidth="1"/>
    <col min="6" max="6" width="14.1484375" style="133" customWidth="1"/>
    <col min="7" max="7" width="12.04296875" style="133" customWidth="1"/>
    <col min="8" max="8" width="10.0546875" style="133" customWidth="1"/>
    <col min="9" max="9" width="12.0429687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1.35" customHeight="1" thickBot="1">
      <c r="A1" s="526" t="s">
        <v>94</v>
      </c>
      <c r="B1" s="526"/>
      <c r="C1" s="526"/>
      <c r="D1" s="526"/>
      <c r="E1" s="526"/>
      <c r="F1" s="526"/>
      <c r="G1" s="526"/>
      <c r="H1" s="526"/>
      <c r="I1" s="526"/>
      <c r="J1" s="526"/>
    </row>
    <row r="2" spans="1:13" ht="32.85" customHeight="1">
      <c r="A2" s="527" t="s">
        <v>95</v>
      </c>
      <c r="B2" s="528"/>
      <c r="C2" s="528"/>
      <c r="D2" s="528"/>
      <c r="E2" s="528"/>
      <c r="F2" s="528"/>
      <c r="G2" s="528"/>
      <c r="H2" s="528"/>
      <c r="I2" s="528"/>
      <c r="J2" s="529"/>
    </row>
    <row r="3" spans="1:13" ht="28.35" customHeight="1">
      <c r="A3" s="530" t="s">
        <v>167</v>
      </c>
      <c r="B3" s="531"/>
      <c r="C3" s="531"/>
      <c r="D3" s="531"/>
      <c r="E3" s="531"/>
      <c r="F3" s="531"/>
      <c r="G3" s="531"/>
      <c r="H3" s="531"/>
      <c r="I3" s="531"/>
      <c r="J3" s="532"/>
    </row>
    <row r="4" spans="1:13" s="135" customFormat="1" ht="30" customHeight="1">
      <c r="A4" s="234" t="s">
        <v>96</v>
      </c>
      <c r="B4" s="235" t="s">
        <v>97</v>
      </c>
      <c r="C4" s="533" t="s">
        <v>145</v>
      </c>
      <c r="D4" s="534"/>
      <c r="E4" s="534"/>
      <c r="F4" s="534"/>
      <c r="G4" s="534"/>
      <c r="H4" s="534"/>
      <c r="I4" s="534"/>
      <c r="J4" s="535"/>
    </row>
    <row r="5" spans="1:13" s="135" customFormat="1" ht="55.5" customHeight="1">
      <c r="A5" s="236" t="s">
        <v>98</v>
      </c>
      <c r="B5" s="237" t="s">
        <v>97</v>
      </c>
      <c r="C5" s="522" t="s">
        <v>146</v>
      </c>
      <c r="D5" s="522"/>
      <c r="E5" s="522"/>
      <c r="F5" s="522"/>
      <c r="G5" s="522"/>
      <c r="H5" s="522"/>
      <c r="I5" s="522"/>
      <c r="J5" s="523"/>
    </row>
    <row r="6" spans="1:13" s="135" customFormat="1" ht="101.85" customHeight="1">
      <c r="A6" s="236" t="s">
        <v>116</v>
      </c>
      <c r="B6" s="238" t="s">
        <v>97</v>
      </c>
      <c r="C6" s="522" t="s">
        <v>162</v>
      </c>
      <c r="D6" s="522"/>
      <c r="E6" s="522"/>
      <c r="F6" s="522"/>
      <c r="G6" s="522"/>
      <c r="H6" s="522"/>
      <c r="I6" s="522"/>
      <c r="J6" s="523"/>
    </row>
    <row r="7" spans="1:13" s="135" customFormat="1" ht="243.6" customHeight="1">
      <c r="A7" s="236" t="s">
        <v>99</v>
      </c>
      <c r="B7" s="238" t="s">
        <v>100</v>
      </c>
      <c r="C7" s="522" t="s">
        <v>163</v>
      </c>
      <c r="D7" s="522"/>
      <c r="E7" s="522"/>
      <c r="F7" s="522"/>
      <c r="G7" s="522"/>
      <c r="H7" s="522"/>
      <c r="I7" s="522"/>
      <c r="J7" s="523"/>
    </row>
    <row r="8" spans="1:13" s="135" customFormat="1" ht="28.35" customHeight="1">
      <c r="A8" s="236" t="s">
        <v>117</v>
      </c>
      <c r="B8" s="237" t="s">
        <v>97</v>
      </c>
      <c r="C8" s="522" t="s">
        <v>115</v>
      </c>
      <c r="D8" s="522"/>
      <c r="E8" s="522"/>
      <c r="F8" s="522"/>
      <c r="G8" s="522"/>
      <c r="H8" s="522"/>
      <c r="I8" s="522"/>
      <c r="J8" s="523"/>
    </row>
    <row r="9" spans="1:13" s="135" customFormat="1" ht="33.6" customHeight="1">
      <c r="A9" s="236" t="s">
        <v>101</v>
      </c>
      <c r="B9" s="237" t="s">
        <v>100</v>
      </c>
      <c r="C9" s="522" t="s">
        <v>179</v>
      </c>
      <c r="D9" s="522"/>
      <c r="E9" s="522"/>
      <c r="F9" s="522"/>
      <c r="G9" s="522"/>
      <c r="H9" s="522"/>
      <c r="I9" s="522"/>
      <c r="J9" s="523"/>
    </row>
    <row r="10" spans="1:13" s="135" customFormat="1" ht="29.1" customHeight="1">
      <c r="A10" s="236" t="s">
        <v>118</v>
      </c>
      <c r="B10" s="237" t="s">
        <v>97</v>
      </c>
      <c r="C10" s="522" t="s">
        <v>168</v>
      </c>
      <c r="D10" s="522"/>
      <c r="E10" s="522"/>
      <c r="F10" s="522"/>
      <c r="G10" s="522"/>
      <c r="H10" s="522"/>
      <c r="I10" s="522"/>
      <c r="J10" s="523"/>
    </row>
    <row r="11" spans="1:13" s="135" customFormat="1">
      <c r="A11" s="236" t="s">
        <v>147</v>
      </c>
      <c r="B11" s="237" t="s">
        <v>97</v>
      </c>
      <c r="C11" s="524"/>
      <c r="D11" s="524"/>
      <c r="E11" s="524"/>
      <c r="F11" s="524"/>
      <c r="G11" s="524"/>
      <c r="H11" s="524"/>
      <c r="I11" s="524"/>
      <c r="J11" s="525"/>
      <c r="L11" s="135" t="s">
        <v>148</v>
      </c>
    </row>
    <row r="12" spans="1:13" s="135" customFormat="1" ht="32.1" customHeight="1">
      <c r="A12" s="236" t="s">
        <v>124</v>
      </c>
      <c r="B12" s="238" t="s">
        <v>100</v>
      </c>
      <c r="C12" s="278" t="s">
        <v>205</v>
      </c>
      <c r="D12" s="270"/>
      <c r="E12" s="270"/>
      <c r="F12" s="270"/>
      <c r="G12" s="270"/>
      <c r="H12" s="270"/>
      <c r="I12" s="270"/>
      <c r="J12" s="271"/>
      <c r="M12" s="137"/>
    </row>
    <row r="13" spans="1:13" s="135" customFormat="1" ht="37.5" customHeight="1">
      <c r="A13" s="236" t="s">
        <v>121</v>
      </c>
      <c r="B13" s="238" t="s">
        <v>100</v>
      </c>
      <c r="C13" s="278" t="str">
        <f>'PL(2_2)'!C31</f>
        <v>OM4-MG-GEN2-KOB-0005</v>
      </c>
      <c r="D13" s="270"/>
      <c r="E13" s="270"/>
      <c r="F13" s="270"/>
      <c r="G13" s="270"/>
      <c r="H13" s="270"/>
      <c r="I13" s="270"/>
      <c r="J13" s="271"/>
      <c r="L13" s="135" t="s">
        <v>149</v>
      </c>
      <c r="M13" s="137"/>
    </row>
    <row r="14" spans="1:13" s="135" customFormat="1" ht="36.6" customHeight="1">
      <c r="A14" s="236" t="s">
        <v>119</v>
      </c>
      <c r="B14" s="237" t="s">
        <v>97</v>
      </c>
      <c r="C14" s="279">
        <f>'PL(2_2)'!M31</f>
        <v>676</v>
      </c>
      <c r="D14" s="324" t="s">
        <v>102</v>
      </c>
      <c r="E14" s="325"/>
      <c r="F14" s="325"/>
      <c r="G14" s="325"/>
      <c r="H14" s="325"/>
      <c r="I14" s="325"/>
      <c r="J14" s="239"/>
    </row>
    <row r="15" spans="1:13" s="135" customFormat="1" ht="57.6" customHeight="1">
      <c r="A15" s="236" t="s">
        <v>120</v>
      </c>
      <c r="B15" s="237" t="s">
        <v>97</v>
      </c>
      <c r="C15" s="279">
        <f>'PL(2_2)'!N31</f>
        <v>812</v>
      </c>
      <c r="D15" s="324" t="s">
        <v>102</v>
      </c>
      <c r="E15" s="325"/>
      <c r="F15" s="326"/>
      <c r="G15" s="325"/>
      <c r="H15" s="325"/>
      <c r="I15" s="325"/>
      <c r="J15" s="240"/>
    </row>
    <row r="16" spans="1:13" s="135" customFormat="1" ht="53.85" customHeight="1">
      <c r="A16" s="236" t="s">
        <v>122</v>
      </c>
      <c r="B16" s="238" t="s">
        <v>97</v>
      </c>
      <c r="C16" s="279">
        <f>'PL(2_2)'!I31</f>
        <v>168</v>
      </c>
      <c r="D16" s="324" t="s">
        <v>103</v>
      </c>
      <c r="E16" s="279">
        <f>'PL(2_2)'!J31</f>
        <v>115</v>
      </c>
      <c r="F16" s="324" t="s">
        <v>104</v>
      </c>
      <c r="G16" s="279">
        <f>'PL(2_2)'!K31</f>
        <v>77</v>
      </c>
      <c r="H16" s="324" t="s">
        <v>105</v>
      </c>
      <c r="I16" s="337">
        <f>'PL(2_2)'!L31</f>
        <v>1.488</v>
      </c>
      <c r="J16" s="241" t="s">
        <v>106</v>
      </c>
    </row>
    <row r="17" spans="1:13" s="135" customFormat="1" ht="31.35" customHeight="1">
      <c r="A17" s="140" t="s">
        <v>113</v>
      </c>
      <c r="B17" s="136" t="s">
        <v>97</v>
      </c>
      <c r="C17" s="187" t="s">
        <v>174</v>
      </c>
      <c r="D17" s="188"/>
      <c r="E17" s="189"/>
      <c r="F17" s="188"/>
      <c r="G17" s="189"/>
      <c r="H17" s="188"/>
      <c r="I17" s="190"/>
      <c r="J17" s="191"/>
    </row>
    <row r="18" spans="1:13" s="135" customFormat="1" ht="45">
      <c r="A18" s="140" t="s">
        <v>123</v>
      </c>
      <c r="B18" s="136" t="s">
        <v>97</v>
      </c>
      <c r="C18" s="187" t="s">
        <v>166</v>
      </c>
      <c r="D18" s="188"/>
      <c r="E18" s="189"/>
      <c r="F18" s="188"/>
      <c r="G18" s="189"/>
      <c r="H18" s="188"/>
      <c r="I18" s="190"/>
      <c r="J18" s="191"/>
    </row>
    <row r="19" spans="1:13" s="135" customFormat="1">
      <c r="A19" s="141" t="s">
        <v>107</v>
      </c>
      <c r="B19" s="136" t="s">
        <v>97</v>
      </c>
      <c r="C19" s="281" t="s">
        <v>176</v>
      </c>
      <c r="D19" s="188"/>
      <c r="E19" s="189"/>
      <c r="F19" s="188"/>
      <c r="G19" s="189"/>
      <c r="H19" s="188"/>
      <c r="I19" s="190"/>
      <c r="J19" s="191"/>
    </row>
    <row r="20" spans="1:13" s="135" customFormat="1" ht="40.35" customHeight="1">
      <c r="A20" s="142" t="s">
        <v>108</v>
      </c>
      <c r="B20" s="138" t="s">
        <v>97</v>
      </c>
      <c r="C20" s="252" t="s">
        <v>109</v>
      </c>
      <c r="D20" s="184"/>
      <c r="E20" s="184"/>
      <c r="F20" s="184"/>
      <c r="G20" s="184"/>
      <c r="H20" s="184"/>
      <c r="I20" s="184"/>
      <c r="J20" s="185"/>
    </row>
    <row r="21" spans="1:13" ht="120" hidden="1" customHeight="1" thickBot="1"/>
    <row r="22" spans="1:13" ht="55.35" hidden="1" customHeight="1"/>
    <row r="23" spans="1:13" ht="55.35" hidden="1" customHeight="1" thickBot="1"/>
    <row r="24" spans="1:13" ht="40.35" hidden="1" customHeight="1"/>
    <row r="25" spans="1:13" s="135" customFormat="1" ht="40.35"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40.35" hidden="1" customHeight="1">
      <c r="A29" s="133"/>
      <c r="B29" s="134"/>
      <c r="C29" s="133"/>
      <c r="D29" s="133"/>
      <c r="E29" s="133"/>
      <c r="F29" s="133"/>
      <c r="G29" s="133"/>
      <c r="H29" s="133"/>
      <c r="I29" s="133"/>
      <c r="J29" s="133"/>
    </row>
    <row r="30" spans="1:13" s="135" customFormat="1" ht="40.35"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40.35" hidden="1" customHeight="1">
      <c r="A32" s="133"/>
      <c r="B32" s="134"/>
      <c r="C32" s="133"/>
      <c r="D32" s="133"/>
      <c r="E32" s="133"/>
      <c r="F32" s="133"/>
      <c r="G32" s="133"/>
      <c r="H32" s="133"/>
      <c r="I32" s="133"/>
      <c r="J32" s="133"/>
      <c r="M32" s="137"/>
    </row>
    <row r="33" spans="1:10" s="135" customFormat="1" ht="40.35" hidden="1" customHeight="1">
      <c r="A33" s="133"/>
      <c r="B33" s="134"/>
      <c r="C33" s="133"/>
      <c r="D33" s="133"/>
      <c r="E33" s="133"/>
      <c r="F33" s="133"/>
      <c r="G33" s="133"/>
      <c r="H33" s="133"/>
      <c r="I33" s="133"/>
      <c r="J33" s="133"/>
    </row>
    <row r="34" spans="1:10" s="135" customFormat="1" ht="40.35" hidden="1" customHeight="1">
      <c r="A34" s="133"/>
      <c r="B34" s="134"/>
      <c r="C34" s="133"/>
      <c r="D34" s="133"/>
      <c r="E34" s="133"/>
      <c r="F34" s="133"/>
      <c r="G34" s="133"/>
      <c r="H34" s="133"/>
      <c r="I34" s="133"/>
      <c r="J34" s="133"/>
    </row>
    <row r="35" spans="1:10" s="135" customFormat="1" ht="40.35" hidden="1" customHeight="1">
      <c r="A35" s="133"/>
      <c r="B35" s="134"/>
      <c r="C35" s="133"/>
      <c r="D35" s="133"/>
      <c r="E35" s="133"/>
      <c r="F35" s="133"/>
      <c r="G35" s="133"/>
      <c r="H35" s="133"/>
      <c r="I35" s="133"/>
      <c r="J35" s="133"/>
    </row>
    <row r="36" spans="1:10" s="135" customFormat="1" ht="40.35" hidden="1" customHeight="1">
      <c r="A36" s="133"/>
      <c r="B36" s="134"/>
      <c r="C36" s="133"/>
      <c r="D36" s="133"/>
      <c r="E36" s="133"/>
      <c r="F36" s="133"/>
      <c r="G36" s="133"/>
      <c r="H36" s="133"/>
      <c r="I36" s="133"/>
      <c r="J36" s="133"/>
    </row>
    <row r="37" spans="1:10" s="135" customFormat="1" ht="40.35" hidden="1" customHeight="1">
      <c r="A37" s="133"/>
      <c r="B37" s="134"/>
      <c r="C37" s="133"/>
      <c r="D37" s="133"/>
      <c r="E37" s="133"/>
      <c r="F37" s="133"/>
      <c r="G37" s="133"/>
      <c r="H37" s="133"/>
      <c r="I37" s="133"/>
      <c r="J37" s="133"/>
    </row>
    <row r="38" spans="1:10" s="135" customFormat="1" ht="40.35" hidden="1" customHeight="1">
      <c r="A38" s="133"/>
      <c r="B38" s="134"/>
      <c r="C38" s="133"/>
      <c r="D38" s="133"/>
      <c r="E38" s="133"/>
      <c r="F38" s="133"/>
      <c r="G38" s="133"/>
      <c r="H38" s="133"/>
      <c r="I38" s="133"/>
      <c r="J38" s="133"/>
    </row>
    <row r="39" spans="1:10" s="135" customFormat="1" ht="40.35"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7075B-5381-498F-B4AF-DFD2E520C9FD}">
  <sheetPr>
    <tabColor rgb="FF00B050"/>
    <pageSetUpPr fitToPage="1"/>
  </sheetPr>
  <dimension ref="A1:M39"/>
  <sheetViews>
    <sheetView showGridLines="0" view="pageBreakPreview" zoomScale="70" zoomScaleNormal="70" zoomScaleSheetLayoutView="70" workbookViewId="0">
      <selection activeCell="B26" sqref="B26:F27"/>
    </sheetView>
  </sheetViews>
  <sheetFormatPr defaultColWidth="7.71484375" defaultRowHeight="23.25"/>
  <cols>
    <col min="1" max="1" width="43.03515625" style="133" customWidth="1"/>
    <col min="2" max="2" width="2.5703125" style="134" customWidth="1"/>
    <col min="3" max="3" width="15.203125" style="133" customWidth="1"/>
    <col min="4" max="4" width="10.875" style="133" customWidth="1"/>
    <col min="5" max="5" width="12.04296875" style="133" customWidth="1"/>
    <col min="6" max="6" width="14.1484375" style="133" customWidth="1"/>
    <col min="7" max="7" width="12.04296875" style="133" customWidth="1"/>
    <col min="8" max="8" width="10.0546875" style="133" customWidth="1"/>
    <col min="9" max="9" width="12.0429687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1.35" customHeight="1" thickBot="1">
      <c r="A1" s="526" t="s">
        <v>94</v>
      </c>
      <c r="B1" s="526"/>
      <c r="C1" s="526"/>
      <c r="D1" s="526"/>
      <c r="E1" s="526"/>
      <c r="F1" s="526"/>
      <c r="G1" s="526"/>
      <c r="H1" s="526"/>
      <c r="I1" s="526"/>
      <c r="J1" s="526"/>
    </row>
    <row r="2" spans="1:13" ht="32.85" customHeight="1">
      <c r="A2" s="527" t="s">
        <v>95</v>
      </c>
      <c r="B2" s="528"/>
      <c r="C2" s="528"/>
      <c r="D2" s="528"/>
      <c r="E2" s="528"/>
      <c r="F2" s="528"/>
      <c r="G2" s="528"/>
      <c r="H2" s="528"/>
      <c r="I2" s="528"/>
      <c r="J2" s="529"/>
    </row>
    <row r="3" spans="1:13" ht="28.35" customHeight="1">
      <c r="A3" s="530" t="s">
        <v>167</v>
      </c>
      <c r="B3" s="531"/>
      <c r="C3" s="531"/>
      <c r="D3" s="531"/>
      <c r="E3" s="531"/>
      <c r="F3" s="531"/>
      <c r="G3" s="531"/>
      <c r="H3" s="531"/>
      <c r="I3" s="531"/>
      <c r="J3" s="532"/>
    </row>
    <row r="4" spans="1:13" s="135" customFormat="1" ht="30" customHeight="1">
      <c r="A4" s="234" t="s">
        <v>96</v>
      </c>
      <c r="B4" s="235" t="s">
        <v>97</v>
      </c>
      <c r="C4" s="533" t="s">
        <v>145</v>
      </c>
      <c r="D4" s="534"/>
      <c r="E4" s="534"/>
      <c r="F4" s="534"/>
      <c r="G4" s="534"/>
      <c r="H4" s="534"/>
      <c r="I4" s="534"/>
      <c r="J4" s="535"/>
    </row>
    <row r="5" spans="1:13" s="135" customFormat="1" ht="55.5" customHeight="1">
      <c r="A5" s="236" t="s">
        <v>98</v>
      </c>
      <c r="B5" s="237" t="s">
        <v>97</v>
      </c>
      <c r="C5" s="522" t="s">
        <v>146</v>
      </c>
      <c r="D5" s="522"/>
      <c r="E5" s="522"/>
      <c r="F5" s="522"/>
      <c r="G5" s="522"/>
      <c r="H5" s="522"/>
      <c r="I5" s="522"/>
      <c r="J5" s="523"/>
    </row>
    <row r="6" spans="1:13" s="135" customFormat="1" ht="101.85" customHeight="1">
      <c r="A6" s="236" t="s">
        <v>116</v>
      </c>
      <c r="B6" s="238" t="s">
        <v>97</v>
      </c>
      <c r="C6" s="522" t="s">
        <v>162</v>
      </c>
      <c r="D6" s="522"/>
      <c r="E6" s="522"/>
      <c r="F6" s="522"/>
      <c r="G6" s="522"/>
      <c r="H6" s="522"/>
      <c r="I6" s="522"/>
      <c r="J6" s="523"/>
    </row>
    <row r="7" spans="1:13" s="135" customFormat="1" ht="243.6" customHeight="1">
      <c r="A7" s="236" t="s">
        <v>99</v>
      </c>
      <c r="B7" s="238" t="s">
        <v>100</v>
      </c>
      <c r="C7" s="522" t="s">
        <v>163</v>
      </c>
      <c r="D7" s="522"/>
      <c r="E7" s="522"/>
      <c r="F7" s="522"/>
      <c r="G7" s="522"/>
      <c r="H7" s="522"/>
      <c r="I7" s="522"/>
      <c r="J7" s="523"/>
    </row>
    <row r="8" spans="1:13" s="135" customFormat="1" ht="28.35" customHeight="1">
      <c r="A8" s="236" t="s">
        <v>117</v>
      </c>
      <c r="B8" s="237" t="s">
        <v>97</v>
      </c>
      <c r="C8" s="522" t="s">
        <v>115</v>
      </c>
      <c r="D8" s="522"/>
      <c r="E8" s="522"/>
      <c r="F8" s="522"/>
      <c r="G8" s="522"/>
      <c r="H8" s="522"/>
      <c r="I8" s="522"/>
      <c r="J8" s="523"/>
    </row>
    <row r="9" spans="1:13" s="135" customFormat="1" ht="33.6" customHeight="1">
      <c r="A9" s="236" t="s">
        <v>101</v>
      </c>
      <c r="B9" s="237" t="s">
        <v>100</v>
      </c>
      <c r="C9" s="522" t="s">
        <v>179</v>
      </c>
      <c r="D9" s="522"/>
      <c r="E9" s="522"/>
      <c r="F9" s="522"/>
      <c r="G9" s="522"/>
      <c r="H9" s="522"/>
      <c r="I9" s="522"/>
      <c r="J9" s="523"/>
    </row>
    <row r="10" spans="1:13" s="135" customFormat="1" ht="29.1" customHeight="1">
      <c r="A10" s="236" t="s">
        <v>118</v>
      </c>
      <c r="B10" s="237" t="s">
        <v>97</v>
      </c>
      <c r="C10" s="522" t="s">
        <v>168</v>
      </c>
      <c r="D10" s="522"/>
      <c r="E10" s="522"/>
      <c r="F10" s="522"/>
      <c r="G10" s="522"/>
      <c r="H10" s="522"/>
      <c r="I10" s="522"/>
      <c r="J10" s="523"/>
    </row>
    <row r="11" spans="1:13" s="135" customFormat="1">
      <c r="A11" s="236" t="s">
        <v>147</v>
      </c>
      <c r="B11" s="237" t="s">
        <v>97</v>
      </c>
      <c r="C11" s="524"/>
      <c r="D11" s="524"/>
      <c r="E11" s="524"/>
      <c r="F11" s="524"/>
      <c r="G11" s="524"/>
      <c r="H11" s="524"/>
      <c r="I11" s="524"/>
      <c r="J11" s="525"/>
      <c r="L11" s="135" t="s">
        <v>148</v>
      </c>
    </row>
    <row r="12" spans="1:13" s="135" customFormat="1" ht="32.1" customHeight="1">
      <c r="A12" s="236" t="s">
        <v>124</v>
      </c>
      <c r="B12" s="238" t="s">
        <v>100</v>
      </c>
      <c r="C12" s="278" t="s">
        <v>205</v>
      </c>
      <c r="D12" s="270"/>
      <c r="E12" s="270"/>
      <c r="F12" s="270"/>
      <c r="G12" s="270"/>
      <c r="H12" s="270"/>
      <c r="I12" s="270"/>
      <c r="J12" s="271"/>
      <c r="M12" s="137"/>
    </row>
    <row r="13" spans="1:13" s="135" customFormat="1" ht="37.5" customHeight="1">
      <c r="A13" s="236" t="s">
        <v>121</v>
      </c>
      <c r="B13" s="238" t="s">
        <v>100</v>
      </c>
      <c r="C13" s="278" t="str">
        <f>'PL(2_2)'!C32</f>
        <v>OM4-MG-GEN2-KOB-0006</v>
      </c>
      <c r="D13" s="270"/>
      <c r="E13" s="270"/>
      <c r="F13" s="270"/>
      <c r="G13" s="270"/>
      <c r="H13" s="270"/>
      <c r="I13" s="270"/>
      <c r="J13" s="271"/>
      <c r="L13" s="135" t="s">
        <v>149</v>
      </c>
      <c r="M13" s="137"/>
    </row>
    <row r="14" spans="1:13" s="135" customFormat="1" ht="36.6" customHeight="1">
      <c r="A14" s="236" t="s">
        <v>119</v>
      </c>
      <c r="B14" s="237" t="s">
        <v>97</v>
      </c>
      <c r="C14" s="279">
        <f>'PL(2_2)'!M32</f>
        <v>540</v>
      </c>
      <c r="D14" s="324" t="s">
        <v>102</v>
      </c>
      <c r="E14" s="325"/>
      <c r="F14" s="325"/>
      <c r="G14" s="325"/>
      <c r="H14" s="325"/>
      <c r="I14" s="325"/>
      <c r="J14" s="239"/>
    </row>
    <row r="15" spans="1:13" s="135" customFormat="1" ht="57.6" customHeight="1">
      <c r="A15" s="236" t="s">
        <v>120</v>
      </c>
      <c r="B15" s="237" t="s">
        <v>97</v>
      </c>
      <c r="C15" s="279">
        <f>'PL(2_2)'!N32</f>
        <v>683</v>
      </c>
      <c r="D15" s="324" t="s">
        <v>102</v>
      </c>
      <c r="E15" s="325"/>
      <c r="F15" s="326"/>
      <c r="G15" s="325"/>
      <c r="H15" s="325"/>
      <c r="I15" s="325"/>
      <c r="J15" s="240"/>
    </row>
    <row r="16" spans="1:13" s="135" customFormat="1" ht="53.85" customHeight="1">
      <c r="A16" s="236" t="s">
        <v>122</v>
      </c>
      <c r="B16" s="238" t="s">
        <v>97</v>
      </c>
      <c r="C16" s="279">
        <f>'PL(2_2)'!I32</f>
        <v>125</v>
      </c>
      <c r="D16" s="324" t="s">
        <v>103</v>
      </c>
      <c r="E16" s="279">
        <f>'PL(2_2)'!J32</f>
        <v>117</v>
      </c>
      <c r="F16" s="324" t="s">
        <v>104</v>
      </c>
      <c r="G16" s="279">
        <f>'PL(2_2)'!K32</f>
        <v>114</v>
      </c>
      <c r="H16" s="324" t="s">
        <v>105</v>
      </c>
      <c r="I16" s="337">
        <f>'PL(2_2)'!L32</f>
        <v>1.667</v>
      </c>
      <c r="J16" s="241" t="s">
        <v>106</v>
      </c>
    </row>
    <row r="17" spans="1:13" s="135" customFormat="1" ht="31.35" customHeight="1">
      <c r="A17" s="140" t="s">
        <v>113</v>
      </c>
      <c r="B17" s="136" t="s">
        <v>97</v>
      </c>
      <c r="C17" s="187" t="s">
        <v>174</v>
      </c>
      <c r="D17" s="188"/>
      <c r="E17" s="189"/>
      <c r="F17" s="188"/>
      <c r="G17" s="189"/>
      <c r="H17" s="188"/>
      <c r="I17" s="190"/>
      <c r="J17" s="191"/>
    </row>
    <row r="18" spans="1:13" s="135" customFormat="1" ht="45">
      <c r="A18" s="140" t="s">
        <v>123</v>
      </c>
      <c r="B18" s="136" t="s">
        <v>97</v>
      </c>
      <c r="C18" s="187" t="s">
        <v>166</v>
      </c>
      <c r="D18" s="188"/>
      <c r="E18" s="189"/>
      <c r="F18" s="188"/>
      <c r="G18" s="189"/>
      <c r="H18" s="188"/>
      <c r="I18" s="190"/>
      <c r="J18" s="191"/>
    </row>
    <row r="19" spans="1:13" s="135" customFormat="1">
      <c r="A19" s="141" t="s">
        <v>107</v>
      </c>
      <c r="B19" s="136" t="s">
        <v>97</v>
      </c>
      <c r="C19" s="281" t="s">
        <v>176</v>
      </c>
      <c r="D19" s="188"/>
      <c r="E19" s="189"/>
      <c r="F19" s="188"/>
      <c r="G19" s="189"/>
      <c r="H19" s="188"/>
      <c r="I19" s="190"/>
      <c r="J19" s="191"/>
    </row>
    <row r="20" spans="1:13" s="135" customFormat="1" ht="40.35" customHeight="1">
      <c r="A20" s="142" t="s">
        <v>108</v>
      </c>
      <c r="B20" s="138" t="s">
        <v>97</v>
      </c>
      <c r="C20" s="252" t="s">
        <v>109</v>
      </c>
      <c r="D20" s="184"/>
      <c r="E20" s="184"/>
      <c r="F20" s="184"/>
      <c r="G20" s="184"/>
      <c r="H20" s="184"/>
      <c r="I20" s="184"/>
      <c r="J20" s="185"/>
    </row>
    <row r="21" spans="1:13" ht="120" hidden="1" customHeight="1" thickBot="1"/>
    <row r="22" spans="1:13" ht="55.35" hidden="1" customHeight="1"/>
    <row r="23" spans="1:13" ht="55.35" hidden="1" customHeight="1" thickBot="1"/>
    <row r="24" spans="1:13" ht="40.35" hidden="1" customHeight="1"/>
    <row r="25" spans="1:13" s="135" customFormat="1" ht="40.35"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40.35" hidden="1" customHeight="1">
      <c r="A29" s="133"/>
      <c r="B29" s="134"/>
      <c r="C29" s="133"/>
      <c r="D29" s="133"/>
      <c r="E29" s="133"/>
      <c r="F29" s="133"/>
      <c r="G29" s="133"/>
      <c r="H29" s="133"/>
      <c r="I29" s="133"/>
      <c r="J29" s="133"/>
    </row>
    <row r="30" spans="1:13" s="135" customFormat="1" ht="40.35"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40.35" hidden="1" customHeight="1">
      <c r="A32" s="133"/>
      <c r="B32" s="134"/>
      <c r="C32" s="133"/>
      <c r="D32" s="133"/>
      <c r="E32" s="133"/>
      <c r="F32" s="133"/>
      <c r="G32" s="133"/>
      <c r="H32" s="133"/>
      <c r="I32" s="133"/>
      <c r="J32" s="133"/>
      <c r="M32" s="137"/>
    </row>
    <row r="33" spans="1:10" s="135" customFormat="1" ht="40.35" hidden="1" customHeight="1">
      <c r="A33" s="133"/>
      <c r="B33" s="134"/>
      <c r="C33" s="133"/>
      <c r="D33" s="133"/>
      <c r="E33" s="133"/>
      <c r="F33" s="133"/>
      <c r="G33" s="133"/>
      <c r="H33" s="133"/>
      <c r="I33" s="133"/>
      <c r="J33" s="133"/>
    </row>
    <row r="34" spans="1:10" s="135" customFormat="1" ht="40.35" hidden="1" customHeight="1">
      <c r="A34" s="133"/>
      <c r="B34" s="134"/>
      <c r="C34" s="133"/>
      <c r="D34" s="133"/>
      <c r="E34" s="133"/>
      <c r="F34" s="133"/>
      <c r="G34" s="133"/>
      <c r="H34" s="133"/>
      <c r="I34" s="133"/>
      <c r="J34" s="133"/>
    </row>
    <row r="35" spans="1:10" s="135" customFormat="1" ht="40.35" hidden="1" customHeight="1">
      <c r="A35" s="133"/>
      <c r="B35" s="134"/>
      <c r="C35" s="133"/>
      <c r="D35" s="133"/>
      <c r="E35" s="133"/>
      <c r="F35" s="133"/>
      <c r="G35" s="133"/>
      <c r="H35" s="133"/>
      <c r="I35" s="133"/>
      <c r="J35" s="133"/>
    </row>
    <row r="36" spans="1:10" s="135" customFormat="1" ht="40.35" hidden="1" customHeight="1">
      <c r="A36" s="133"/>
      <c r="B36" s="134"/>
      <c r="C36" s="133"/>
      <c r="D36" s="133"/>
      <c r="E36" s="133"/>
      <c r="F36" s="133"/>
      <c r="G36" s="133"/>
      <c r="H36" s="133"/>
      <c r="I36" s="133"/>
      <c r="J36" s="133"/>
    </row>
    <row r="37" spans="1:10" s="135" customFormat="1" ht="40.35" hidden="1" customHeight="1">
      <c r="A37" s="133"/>
      <c r="B37" s="134"/>
      <c r="C37" s="133"/>
      <c r="D37" s="133"/>
      <c r="E37" s="133"/>
      <c r="F37" s="133"/>
      <c r="G37" s="133"/>
      <c r="H37" s="133"/>
      <c r="I37" s="133"/>
      <c r="J37" s="133"/>
    </row>
    <row r="38" spans="1:10" s="135" customFormat="1" ht="40.35" hidden="1" customHeight="1">
      <c r="A38" s="133"/>
      <c r="B38" s="134"/>
      <c r="C38" s="133"/>
      <c r="D38" s="133"/>
      <c r="E38" s="133"/>
      <c r="F38" s="133"/>
      <c r="G38" s="133"/>
      <c r="H38" s="133"/>
      <c r="I38" s="133"/>
      <c r="J38" s="133"/>
    </row>
    <row r="39" spans="1:10" s="135" customFormat="1" ht="40.35"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F3DAE-6EC9-41D8-B162-A24685243B71}">
  <sheetPr>
    <tabColor rgb="FF00B050"/>
    <pageSetUpPr fitToPage="1"/>
  </sheetPr>
  <dimension ref="A1:M39"/>
  <sheetViews>
    <sheetView showGridLines="0" view="pageBreakPreview" zoomScale="70" zoomScaleNormal="70" zoomScaleSheetLayoutView="70" workbookViewId="0">
      <selection activeCell="B26" sqref="B26:F27"/>
    </sheetView>
  </sheetViews>
  <sheetFormatPr defaultColWidth="7.71484375" defaultRowHeight="23.25"/>
  <cols>
    <col min="1" max="1" width="43.03515625" style="133" customWidth="1"/>
    <col min="2" max="2" width="2.5703125" style="134" customWidth="1"/>
    <col min="3" max="3" width="15.203125" style="133" customWidth="1"/>
    <col min="4" max="4" width="10.875" style="133" customWidth="1"/>
    <col min="5" max="5" width="12.04296875" style="133" customWidth="1"/>
    <col min="6" max="6" width="14.1484375" style="133" customWidth="1"/>
    <col min="7" max="7" width="12.04296875" style="133" customWidth="1"/>
    <col min="8" max="8" width="10.0546875" style="133" customWidth="1"/>
    <col min="9" max="9" width="12.0429687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1.35" customHeight="1" thickBot="1">
      <c r="A1" s="526" t="s">
        <v>94</v>
      </c>
      <c r="B1" s="526"/>
      <c r="C1" s="526"/>
      <c r="D1" s="526"/>
      <c r="E1" s="526"/>
      <c r="F1" s="526"/>
      <c r="G1" s="526"/>
      <c r="H1" s="526"/>
      <c r="I1" s="526"/>
      <c r="J1" s="526"/>
    </row>
    <row r="2" spans="1:13" ht="32.85" customHeight="1">
      <c r="A2" s="527" t="s">
        <v>95</v>
      </c>
      <c r="B2" s="528"/>
      <c r="C2" s="528"/>
      <c r="D2" s="528"/>
      <c r="E2" s="528"/>
      <c r="F2" s="528"/>
      <c r="G2" s="528"/>
      <c r="H2" s="528"/>
      <c r="I2" s="528"/>
      <c r="J2" s="529"/>
    </row>
    <row r="3" spans="1:13" ht="28.35" customHeight="1">
      <c r="A3" s="530" t="s">
        <v>167</v>
      </c>
      <c r="B3" s="531"/>
      <c r="C3" s="531"/>
      <c r="D3" s="531"/>
      <c r="E3" s="531"/>
      <c r="F3" s="531"/>
      <c r="G3" s="531"/>
      <c r="H3" s="531"/>
      <c r="I3" s="531"/>
      <c r="J3" s="532"/>
    </row>
    <row r="4" spans="1:13" s="135" customFormat="1" ht="30" customHeight="1">
      <c r="A4" s="234" t="s">
        <v>96</v>
      </c>
      <c r="B4" s="235" t="s">
        <v>97</v>
      </c>
      <c r="C4" s="533" t="s">
        <v>145</v>
      </c>
      <c r="D4" s="534"/>
      <c r="E4" s="534"/>
      <c r="F4" s="534"/>
      <c r="G4" s="534"/>
      <c r="H4" s="534"/>
      <c r="I4" s="534"/>
      <c r="J4" s="535"/>
    </row>
    <row r="5" spans="1:13" s="135" customFormat="1" ht="55.5" customHeight="1">
      <c r="A5" s="236" t="s">
        <v>98</v>
      </c>
      <c r="B5" s="237" t="s">
        <v>97</v>
      </c>
      <c r="C5" s="522" t="s">
        <v>146</v>
      </c>
      <c r="D5" s="522"/>
      <c r="E5" s="522"/>
      <c r="F5" s="522"/>
      <c r="G5" s="522"/>
      <c r="H5" s="522"/>
      <c r="I5" s="522"/>
      <c r="J5" s="523"/>
    </row>
    <row r="6" spans="1:13" s="135" customFormat="1" ht="101.85" customHeight="1">
      <c r="A6" s="236" t="s">
        <v>116</v>
      </c>
      <c r="B6" s="238" t="s">
        <v>97</v>
      </c>
      <c r="C6" s="522" t="s">
        <v>162</v>
      </c>
      <c r="D6" s="522"/>
      <c r="E6" s="522"/>
      <c r="F6" s="522"/>
      <c r="G6" s="522"/>
      <c r="H6" s="522"/>
      <c r="I6" s="522"/>
      <c r="J6" s="523"/>
    </row>
    <row r="7" spans="1:13" s="135" customFormat="1" ht="243.6" customHeight="1">
      <c r="A7" s="236" t="s">
        <v>99</v>
      </c>
      <c r="B7" s="238" t="s">
        <v>100</v>
      </c>
      <c r="C7" s="522" t="s">
        <v>163</v>
      </c>
      <c r="D7" s="522"/>
      <c r="E7" s="522"/>
      <c r="F7" s="522"/>
      <c r="G7" s="522"/>
      <c r="H7" s="522"/>
      <c r="I7" s="522"/>
      <c r="J7" s="523"/>
    </row>
    <row r="8" spans="1:13" s="135" customFormat="1" ht="28.35" customHeight="1">
      <c r="A8" s="236" t="s">
        <v>117</v>
      </c>
      <c r="B8" s="237" t="s">
        <v>97</v>
      </c>
      <c r="C8" s="522" t="s">
        <v>115</v>
      </c>
      <c r="D8" s="522"/>
      <c r="E8" s="522"/>
      <c r="F8" s="522"/>
      <c r="G8" s="522"/>
      <c r="H8" s="522"/>
      <c r="I8" s="522"/>
      <c r="J8" s="523"/>
    </row>
    <row r="9" spans="1:13" s="135" customFormat="1" ht="33.6" customHeight="1">
      <c r="A9" s="236" t="s">
        <v>101</v>
      </c>
      <c r="B9" s="237" t="s">
        <v>100</v>
      </c>
      <c r="C9" s="522" t="s">
        <v>179</v>
      </c>
      <c r="D9" s="522"/>
      <c r="E9" s="522"/>
      <c r="F9" s="522"/>
      <c r="G9" s="522"/>
      <c r="H9" s="522"/>
      <c r="I9" s="522"/>
      <c r="J9" s="523"/>
    </row>
    <row r="10" spans="1:13" s="135" customFormat="1" ht="29.1" customHeight="1">
      <c r="A10" s="236" t="s">
        <v>118</v>
      </c>
      <c r="B10" s="237" t="s">
        <v>97</v>
      </c>
      <c r="C10" s="522" t="s">
        <v>168</v>
      </c>
      <c r="D10" s="522"/>
      <c r="E10" s="522"/>
      <c r="F10" s="522"/>
      <c r="G10" s="522"/>
      <c r="H10" s="522"/>
      <c r="I10" s="522"/>
      <c r="J10" s="523"/>
    </row>
    <row r="11" spans="1:13" s="135" customFormat="1">
      <c r="A11" s="236" t="s">
        <v>147</v>
      </c>
      <c r="B11" s="237" t="s">
        <v>97</v>
      </c>
      <c r="C11" s="524"/>
      <c r="D11" s="524"/>
      <c r="E11" s="524"/>
      <c r="F11" s="524"/>
      <c r="G11" s="524"/>
      <c r="H11" s="524"/>
      <c r="I11" s="524"/>
      <c r="J11" s="525"/>
      <c r="L11" s="135" t="s">
        <v>148</v>
      </c>
    </row>
    <row r="12" spans="1:13" s="135" customFormat="1" ht="32.1" customHeight="1">
      <c r="A12" s="236" t="s">
        <v>124</v>
      </c>
      <c r="B12" s="238" t="s">
        <v>100</v>
      </c>
      <c r="C12" s="278" t="s">
        <v>205</v>
      </c>
      <c r="D12" s="270"/>
      <c r="E12" s="270"/>
      <c r="F12" s="270"/>
      <c r="G12" s="270"/>
      <c r="H12" s="270"/>
      <c r="I12" s="270"/>
      <c r="J12" s="271"/>
      <c r="M12" s="137"/>
    </row>
    <row r="13" spans="1:13" s="135" customFormat="1" ht="37.5" customHeight="1">
      <c r="A13" s="236" t="s">
        <v>121</v>
      </c>
      <c r="B13" s="238" t="s">
        <v>100</v>
      </c>
      <c r="C13" s="278" t="str">
        <f>'PL(2_2)'!C33</f>
        <v>OM4-MG-GEN2-KOB-0007</v>
      </c>
      <c r="D13" s="270"/>
      <c r="E13" s="270"/>
      <c r="F13" s="270"/>
      <c r="G13" s="270"/>
      <c r="H13" s="270"/>
      <c r="I13" s="270"/>
      <c r="J13" s="271"/>
      <c r="L13" s="135" t="s">
        <v>149</v>
      </c>
      <c r="M13" s="137"/>
    </row>
    <row r="14" spans="1:13" s="135" customFormat="1" ht="36.6" customHeight="1">
      <c r="A14" s="236" t="s">
        <v>119</v>
      </c>
      <c r="B14" s="237" t="s">
        <v>97</v>
      </c>
      <c r="C14" s="279">
        <f>'PL(2_2)'!M33</f>
        <v>540</v>
      </c>
      <c r="D14" s="324" t="s">
        <v>102</v>
      </c>
      <c r="E14" s="325"/>
      <c r="F14" s="325"/>
      <c r="G14" s="325"/>
      <c r="H14" s="325"/>
      <c r="I14" s="325"/>
      <c r="J14" s="239"/>
    </row>
    <row r="15" spans="1:13" s="135" customFormat="1" ht="57.6" customHeight="1">
      <c r="A15" s="236" t="s">
        <v>120</v>
      </c>
      <c r="B15" s="237" t="s">
        <v>97</v>
      </c>
      <c r="C15" s="279">
        <f>'PL(2_2)'!N33</f>
        <v>683</v>
      </c>
      <c r="D15" s="324" t="s">
        <v>102</v>
      </c>
      <c r="E15" s="325"/>
      <c r="F15" s="326"/>
      <c r="G15" s="325"/>
      <c r="H15" s="325"/>
      <c r="I15" s="325"/>
      <c r="J15" s="240"/>
    </row>
    <row r="16" spans="1:13" s="135" customFormat="1" ht="53.85" customHeight="1">
      <c r="A16" s="236" t="s">
        <v>122</v>
      </c>
      <c r="B16" s="238" t="s">
        <v>97</v>
      </c>
      <c r="C16" s="279">
        <f>'PL(2_2)'!I33</f>
        <v>125</v>
      </c>
      <c r="D16" s="324" t="s">
        <v>103</v>
      </c>
      <c r="E16" s="279">
        <f>'PL(2_2)'!J33</f>
        <v>117</v>
      </c>
      <c r="F16" s="324" t="s">
        <v>104</v>
      </c>
      <c r="G16" s="279">
        <f>'PL(2_2)'!K33</f>
        <v>114</v>
      </c>
      <c r="H16" s="324" t="s">
        <v>105</v>
      </c>
      <c r="I16" s="337">
        <f>'PL(2_2)'!L33</f>
        <v>1.667</v>
      </c>
      <c r="J16" s="241" t="s">
        <v>106</v>
      </c>
    </row>
    <row r="17" spans="1:13" s="135" customFormat="1" ht="31.35" customHeight="1">
      <c r="A17" s="140" t="s">
        <v>113</v>
      </c>
      <c r="B17" s="136" t="s">
        <v>97</v>
      </c>
      <c r="C17" s="187" t="s">
        <v>174</v>
      </c>
      <c r="D17" s="188"/>
      <c r="E17" s="189"/>
      <c r="F17" s="188"/>
      <c r="G17" s="189"/>
      <c r="H17" s="188"/>
      <c r="I17" s="190"/>
      <c r="J17" s="191"/>
    </row>
    <row r="18" spans="1:13" s="135" customFormat="1" ht="45">
      <c r="A18" s="140" t="s">
        <v>123</v>
      </c>
      <c r="B18" s="136" t="s">
        <v>97</v>
      </c>
      <c r="C18" s="187" t="s">
        <v>166</v>
      </c>
      <c r="D18" s="188"/>
      <c r="E18" s="189"/>
      <c r="F18" s="188"/>
      <c r="G18" s="189"/>
      <c r="H18" s="188"/>
      <c r="I18" s="190"/>
      <c r="J18" s="191"/>
    </row>
    <row r="19" spans="1:13" s="135" customFormat="1">
      <c r="A19" s="141" t="s">
        <v>107</v>
      </c>
      <c r="B19" s="136" t="s">
        <v>97</v>
      </c>
      <c r="C19" s="281" t="s">
        <v>176</v>
      </c>
      <c r="D19" s="188"/>
      <c r="E19" s="189"/>
      <c r="F19" s="188"/>
      <c r="G19" s="189"/>
      <c r="H19" s="188"/>
      <c r="I19" s="190"/>
      <c r="J19" s="191"/>
    </row>
    <row r="20" spans="1:13" s="135" customFormat="1" ht="40.35" customHeight="1">
      <c r="A20" s="142" t="s">
        <v>108</v>
      </c>
      <c r="B20" s="138" t="s">
        <v>97</v>
      </c>
      <c r="C20" s="252" t="s">
        <v>109</v>
      </c>
      <c r="D20" s="184"/>
      <c r="E20" s="184"/>
      <c r="F20" s="184"/>
      <c r="G20" s="184"/>
      <c r="H20" s="184"/>
      <c r="I20" s="184"/>
      <c r="J20" s="185"/>
    </row>
    <row r="21" spans="1:13" ht="120" hidden="1" customHeight="1" thickBot="1"/>
    <row r="22" spans="1:13" ht="55.35" hidden="1" customHeight="1"/>
    <row r="23" spans="1:13" ht="55.35" hidden="1" customHeight="1" thickBot="1"/>
    <row r="24" spans="1:13" ht="40.35" hidden="1" customHeight="1"/>
    <row r="25" spans="1:13" s="135" customFormat="1" ht="40.35"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40.35" hidden="1" customHeight="1">
      <c r="A29" s="133"/>
      <c r="B29" s="134"/>
      <c r="C29" s="133"/>
      <c r="D29" s="133"/>
      <c r="E29" s="133"/>
      <c r="F29" s="133"/>
      <c r="G29" s="133"/>
      <c r="H29" s="133"/>
      <c r="I29" s="133"/>
      <c r="J29" s="133"/>
    </row>
    <row r="30" spans="1:13" s="135" customFormat="1" ht="40.35"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40.35" hidden="1" customHeight="1">
      <c r="A32" s="133"/>
      <c r="B32" s="134"/>
      <c r="C32" s="133"/>
      <c r="D32" s="133"/>
      <c r="E32" s="133"/>
      <c r="F32" s="133"/>
      <c r="G32" s="133"/>
      <c r="H32" s="133"/>
      <c r="I32" s="133"/>
      <c r="J32" s="133"/>
      <c r="M32" s="137"/>
    </row>
    <row r="33" spans="1:10" s="135" customFormat="1" ht="40.35" hidden="1" customHeight="1">
      <c r="A33" s="133"/>
      <c r="B33" s="134"/>
      <c r="C33" s="133"/>
      <c r="D33" s="133"/>
      <c r="E33" s="133"/>
      <c r="F33" s="133"/>
      <c r="G33" s="133"/>
      <c r="H33" s="133"/>
      <c r="I33" s="133"/>
      <c r="J33" s="133"/>
    </row>
    <row r="34" spans="1:10" s="135" customFormat="1" ht="40.35" hidden="1" customHeight="1">
      <c r="A34" s="133"/>
      <c r="B34" s="134"/>
      <c r="C34" s="133"/>
      <c r="D34" s="133"/>
      <c r="E34" s="133"/>
      <c r="F34" s="133"/>
      <c r="G34" s="133"/>
      <c r="H34" s="133"/>
      <c r="I34" s="133"/>
      <c r="J34" s="133"/>
    </row>
    <row r="35" spans="1:10" s="135" customFormat="1" ht="40.35" hidden="1" customHeight="1">
      <c r="A35" s="133"/>
      <c r="B35" s="134"/>
      <c r="C35" s="133"/>
      <c r="D35" s="133"/>
      <c r="E35" s="133"/>
      <c r="F35" s="133"/>
      <c r="G35" s="133"/>
      <c r="H35" s="133"/>
      <c r="I35" s="133"/>
      <c r="J35" s="133"/>
    </row>
    <row r="36" spans="1:10" s="135" customFormat="1" ht="40.35" hidden="1" customHeight="1">
      <c r="A36" s="133"/>
      <c r="B36" s="134"/>
      <c r="C36" s="133"/>
      <c r="D36" s="133"/>
      <c r="E36" s="133"/>
      <c r="F36" s="133"/>
      <c r="G36" s="133"/>
      <c r="H36" s="133"/>
      <c r="I36" s="133"/>
      <c r="J36" s="133"/>
    </row>
    <row r="37" spans="1:10" s="135" customFormat="1" ht="40.35" hidden="1" customHeight="1">
      <c r="A37" s="133"/>
      <c r="B37" s="134"/>
      <c r="C37" s="133"/>
      <c r="D37" s="133"/>
      <c r="E37" s="133"/>
      <c r="F37" s="133"/>
      <c r="G37" s="133"/>
      <c r="H37" s="133"/>
      <c r="I37" s="133"/>
      <c r="J37" s="133"/>
    </row>
    <row r="38" spans="1:10" s="135" customFormat="1" ht="40.35" hidden="1" customHeight="1">
      <c r="A38" s="133"/>
      <c r="B38" s="134"/>
      <c r="C38" s="133"/>
      <c r="D38" s="133"/>
      <c r="E38" s="133"/>
      <c r="F38" s="133"/>
      <c r="G38" s="133"/>
      <c r="H38" s="133"/>
      <c r="I38" s="133"/>
      <c r="J38" s="133"/>
    </row>
    <row r="39" spans="1:10" s="135" customFormat="1" ht="40.35"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85836-C0D6-4C16-83A1-F0986A0026BF}">
  <sheetPr>
    <tabColor rgb="FF00B050"/>
    <pageSetUpPr fitToPage="1"/>
  </sheetPr>
  <dimension ref="A1:M39"/>
  <sheetViews>
    <sheetView showGridLines="0" view="pageBreakPreview" zoomScale="70" zoomScaleNormal="70" zoomScaleSheetLayoutView="70" workbookViewId="0">
      <selection activeCell="B26" sqref="B26:F27"/>
    </sheetView>
  </sheetViews>
  <sheetFormatPr defaultColWidth="7.71484375" defaultRowHeight="23.25"/>
  <cols>
    <col min="1" max="1" width="43.03515625" style="133" customWidth="1"/>
    <col min="2" max="2" width="2.5703125" style="134" customWidth="1"/>
    <col min="3" max="3" width="15.203125" style="133" customWidth="1"/>
    <col min="4" max="4" width="10.875" style="133" customWidth="1"/>
    <col min="5" max="5" width="12.04296875" style="133" customWidth="1"/>
    <col min="6" max="6" width="14.1484375" style="133" customWidth="1"/>
    <col min="7" max="7" width="12.04296875" style="133" customWidth="1"/>
    <col min="8" max="8" width="10.0546875" style="133" customWidth="1"/>
    <col min="9" max="9" width="12.0429687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1.35" customHeight="1" thickBot="1">
      <c r="A1" s="526" t="s">
        <v>94</v>
      </c>
      <c r="B1" s="526"/>
      <c r="C1" s="526"/>
      <c r="D1" s="526"/>
      <c r="E1" s="526"/>
      <c r="F1" s="526"/>
      <c r="G1" s="526"/>
      <c r="H1" s="526"/>
      <c r="I1" s="526"/>
      <c r="J1" s="526"/>
    </row>
    <row r="2" spans="1:13" ht="32.85" customHeight="1">
      <c r="A2" s="527" t="s">
        <v>95</v>
      </c>
      <c r="B2" s="528"/>
      <c r="C2" s="528"/>
      <c r="D2" s="528"/>
      <c r="E2" s="528"/>
      <c r="F2" s="528"/>
      <c r="G2" s="528"/>
      <c r="H2" s="528"/>
      <c r="I2" s="528"/>
      <c r="J2" s="529"/>
    </row>
    <row r="3" spans="1:13" ht="28.35" customHeight="1">
      <c r="A3" s="530" t="s">
        <v>167</v>
      </c>
      <c r="B3" s="531"/>
      <c r="C3" s="531"/>
      <c r="D3" s="531"/>
      <c r="E3" s="531"/>
      <c r="F3" s="531"/>
      <c r="G3" s="531"/>
      <c r="H3" s="531"/>
      <c r="I3" s="531"/>
      <c r="J3" s="532"/>
    </row>
    <row r="4" spans="1:13" s="135" customFormat="1" ht="30" customHeight="1">
      <c r="A4" s="234" t="s">
        <v>96</v>
      </c>
      <c r="B4" s="235" t="s">
        <v>97</v>
      </c>
      <c r="C4" s="533" t="s">
        <v>145</v>
      </c>
      <c r="D4" s="534"/>
      <c r="E4" s="534"/>
      <c r="F4" s="534"/>
      <c r="G4" s="534"/>
      <c r="H4" s="534"/>
      <c r="I4" s="534"/>
      <c r="J4" s="535"/>
    </row>
    <row r="5" spans="1:13" s="135" customFormat="1" ht="55.5" customHeight="1">
      <c r="A5" s="236" t="s">
        <v>98</v>
      </c>
      <c r="B5" s="237" t="s">
        <v>97</v>
      </c>
      <c r="C5" s="522" t="s">
        <v>146</v>
      </c>
      <c r="D5" s="522"/>
      <c r="E5" s="522"/>
      <c r="F5" s="522"/>
      <c r="G5" s="522"/>
      <c r="H5" s="522"/>
      <c r="I5" s="522"/>
      <c r="J5" s="523"/>
    </row>
    <row r="6" spans="1:13" s="135" customFormat="1" ht="101.85" customHeight="1">
      <c r="A6" s="236" t="s">
        <v>116</v>
      </c>
      <c r="B6" s="238" t="s">
        <v>97</v>
      </c>
      <c r="C6" s="522" t="s">
        <v>162</v>
      </c>
      <c r="D6" s="522"/>
      <c r="E6" s="522"/>
      <c r="F6" s="522"/>
      <c r="G6" s="522"/>
      <c r="H6" s="522"/>
      <c r="I6" s="522"/>
      <c r="J6" s="523"/>
    </row>
    <row r="7" spans="1:13" s="135" customFormat="1" ht="243.6" customHeight="1">
      <c r="A7" s="236" t="s">
        <v>99</v>
      </c>
      <c r="B7" s="238" t="s">
        <v>100</v>
      </c>
      <c r="C7" s="522" t="s">
        <v>163</v>
      </c>
      <c r="D7" s="522"/>
      <c r="E7" s="522"/>
      <c r="F7" s="522"/>
      <c r="G7" s="522"/>
      <c r="H7" s="522"/>
      <c r="I7" s="522"/>
      <c r="J7" s="523"/>
    </row>
    <row r="8" spans="1:13" s="135" customFormat="1" ht="28.35" customHeight="1">
      <c r="A8" s="236" t="s">
        <v>117</v>
      </c>
      <c r="B8" s="237" t="s">
        <v>97</v>
      </c>
      <c r="C8" s="522" t="s">
        <v>115</v>
      </c>
      <c r="D8" s="522"/>
      <c r="E8" s="522"/>
      <c r="F8" s="522"/>
      <c r="G8" s="522"/>
      <c r="H8" s="522"/>
      <c r="I8" s="522"/>
      <c r="J8" s="523"/>
    </row>
    <row r="9" spans="1:13" s="135" customFormat="1" ht="33.6" customHeight="1">
      <c r="A9" s="236" t="s">
        <v>101</v>
      </c>
      <c r="B9" s="237" t="s">
        <v>100</v>
      </c>
      <c r="C9" s="522" t="s">
        <v>179</v>
      </c>
      <c r="D9" s="522"/>
      <c r="E9" s="522"/>
      <c r="F9" s="522"/>
      <c r="G9" s="522"/>
      <c r="H9" s="522"/>
      <c r="I9" s="522"/>
      <c r="J9" s="523"/>
    </row>
    <row r="10" spans="1:13" s="135" customFormat="1" ht="29.1" customHeight="1">
      <c r="A10" s="236" t="s">
        <v>118</v>
      </c>
      <c r="B10" s="237" t="s">
        <v>97</v>
      </c>
      <c r="C10" s="522" t="s">
        <v>168</v>
      </c>
      <c r="D10" s="522"/>
      <c r="E10" s="522"/>
      <c r="F10" s="522"/>
      <c r="G10" s="522"/>
      <c r="H10" s="522"/>
      <c r="I10" s="522"/>
      <c r="J10" s="523"/>
    </row>
    <row r="11" spans="1:13" s="135" customFormat="1">
      <c r="A11" s="236" t="s">
        <v>147</v>
      </c>
      <c r="B11" s="237" t="s">
        <v>97</v>
      </c>
      <c r="C11" s="524"/>
      <c r="D11" s="524"/>
      <c r="E11" s="524"/>
      <c r="F11" s="524"/>
      <c r="G11" s="524"/>
      <c r="H11" s="524"/>
      <c r="I11" s="524"/>
      <c r="J11" s="525"/>
      <c r="L11" s="135" t="s">
        <v>148</v>
      </c>
    </row>
    <row r="12" spans="1:13" s="135" customFormat="1" ht="32.1" customHeight="1">
      <c r="A12" s="236" t="s">
        <v>124</v>
      </c>
      <c r="B12" s="238" t="s">
        <v>100</v>
      </c>
      <c r="C12" s="278" t="s">
        <v>205</v>
      </c>
      <c r="D12" s="270"/>
      <c r="E12" s="270"/>
      <c r="F12" s="270"/>
      <c r="G12" s="270"/>
      <c r="H12" s="270"/>
      <c r="I12" s="270"/>
      <c r="J12" s="271"/>
      <c r="M12" s="137"/>
    </row>
    <row r="13" spans="1:13" s="135" customFormat="1" ht="37.5" customHeight="1">
      <c r="A13" s="236" t="s">
        <v>121</v>
      </c>
      <c r="B13" s="238" t="s">
        <v>100</v>
      </c>
      <c r="C13" s="278" t="str">
        <f>'PL(2_2)'!C34</f>
        <v>OM4-MG-GEN2-KOB-0008</v>
      </c>
      <c r="D13" s="270"/>
      <c r="E13" s="270"/>
      <c r="F13" s="270"/>
      <c r="G13" s="270"/>
      <c r="H13" s="270"/>
      <c r="I13" s="270"/>
      <c r="J13" s="271"/>
      <c r="L13" s="135" t="s">
        <v>149</v>
      </c>
      <c r="M13" s="137"/>
    </row>
    <row r="14" spans="1:13" s="135" customFormat="1" ht="36.6" customHeight="1">
      <c r="A14" s="236" t="s">
        <v>119</v>
      </c>
      <c r="B14" s="237" t="s">
        <v>97</v>
      </c>
      <c r="C14" s="279">
        <f>'PL(2_2)'!M34</f>
        <v>540</v>
      </c>
      <c r="D14" s="324" t="s">
        <v>102</v>
      </c>
      <c r="E14" s="325"/>
      <c r="F14" s="325"/>
      <c r="G14" s="325"/>
      <c r="H14" s="325"/>
      <c r="I14" s="325"/>
      <c r="J14" s="239"/>
    </row>
    <row r="15" spans="1:13" s="135" customFormat="1" ht="57.6" customHeight="1">
      <c r="A15" s="236" t="s">
        <v>120</v>
      </c>
      <c r="B15" s="237" t="s">
        <v>97</v>
      </c>
      <c r="C15" s="279">
        <f>'PL(2_2)'!N34</f>
        <v>683</v>
      </c>
      <c r="D15" s="324" t="s">
        <v>102</v>
      </c>
      <c r="E15" s="325"/>
      <c r="F15" s="326"/>
      <c r="G15" s="325"/>
      <c r="H15" s="325"/>
      <c r="I15" s="325"/>
      <c r="J15" s="240"/>
    </row>
    <row r="16" spans="1:13" s="135" customFormat="1" ht="53.85" customHeight="1">
      <c r="A16" s="236" t="s">
        <v>122</v>
      </c>
      <c r="B16" s="238" t="s">
        <v>97</v>
      </c>
      <c r="C16" s="279">
        <f>'PL(2_2)'!I34</f>
        <v>125</v>
      </c>
      <c r="D16" s="324" t="s">
        <v>103</v>
      </c>
      <c r="E16" s="279">
        <f>'PL(2_2)'!J34</f>
        <v>117</v>
      </c>
      <c r="F16" s="324" t="s">
        <v>104</v>
      </c>
      <c r="G16" s="279">
        <f>'PL(2_2)'!K34</f>
        <v>114</v>
      </c>
      <c r="H16" s="324" t="s">
        <v>105</v>
      </c>
      <c r="I16" s="337">
        <f>'PL(2_2)'!L34</f>
        <v>1.667</v>
      </c>
      <c r="J16" s="241" t="s">
        <v>106</v>
      </c>
    </row>
    <row r="17" spans="1:13" s="135" customFormat="1" ht="31.35" customHeight="1">
      <c r="A17" s="140" t="s">
        <v>113</v>
      </c>
      <c r="B17" s="136" t="s">
        <v>97</v>
      </c>
      <c r="C17" s="187" t="s">
        <v>174</v>
      </c>
      <c r="D17" s="188"/>
      <c r="E17" s="189"/>
      <c r="F17" s="188"/>
      <c r="G17" s="189"/>
      <c r="H17" s="188"/>
      <c r="I17" s="190"/>
      <c r="J17" s="191"/>
    </row>
    <row r="18" spans="1:13" s="135" customFormat="1" ht="45">
      <c r="A18" s="140" t="s">
        <v>123</v>
      </c>
      <c r="B18" s="136" t="s">
        <v>97</v>
      </c>
      <c r="C18" s="187" t="s">
        <v>166</v>
      </c>
      <c r="D18" s="188"/>
      <c r="E18" s="189"/>
      <c r="F18" s="188"/>
      <c r="G18" s="189"/>
      <c r="H18" s="188"/>
      <c r="I18" s="190"/>
      <c r="J18" s="191"/>
    </row>
    <row r="19" spans="1:13" s="135" customFormat="1">
      <c r="A19" s="141" t="s">
        <v>107</v>
      </c>
      <c r="B19" s="136" t="s">
        <v>97</v>
      </c>
      <c r="C19" s="281" t="s">
        <v>176</v>
      </c>
      <c r="D19" s="188"/>
      <c r="E19" s="189"/>
      <c r="F19" s="188"/>
      <c r="G19" s="189"/>
      <c r="H19" s="188"/>
      <c r="I19" s="190"/>
      <c r="J19" s="191"/>
    </row>
    <row r="20" spans="1:13" s="135" customFormat="1" ht="40.35" customHeight="1">
      <c r="A20" s="142" t="s">
        <v>108</v>
      </c>
      <c r="B20" s="138" t="s">
        <v>97</v>
      </c>
      <c r="C20" s="252" t="s">
        <v>109</v>
      </c>
      <c r="D20" s="184"/>
      <c r="E20" s="184"/>
      <c r="F20" s="184"/>
      <c r="G20" s="184"/>
      <c r="H20" s="184"/>
      <c r="I20" s="184"/>
      <c r="J20" s="185"/>
    </row>
    <row r="21" spans="1:13" ht="120" hidden="1" customHeight="1" thickBot="1"/>
    <row r="22" spans="1:13" ht="55.35" hidden="1" customHeight="1"/>
    <row r="23" spans="1:13" ht="55.35" hidden="1" customHeight="1" thickBot="1"/>
    <row r="24" spans="1:13" ht="40.35" hidden="1" customHeight="1"/>
    <row r="25" spans="1:13" s="135" customFormat="1" ht="40.35"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40.35" hidden="1" customHeight="1">
      <c r="A29" s="133"/>
      <c r="B29" s="134"/>
      <c r="C29" s="133"/>
      <c r="D29" s="133"/>
      <c r="E29" s="133"/>
      <c r="F29" s="133"/>
      <c r="G29" s="133"/>
      <c r="H29" s="133"/>
      <c r="I29" s="133"/>
      <c r="J29" s="133"/>
    </row>
    <row r="30" spans="1:13" s="135" customFormat="1" ht="40.35"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40.35" hidden="1" customHeight="1">
      <c r="A32" s="133"/>
      <c r="B32" s="134"/>
      <c r="C32" s="133"/>
      <c r="D32" s="133"/>
      <c r="E32" s="133"/>
      <c r="F32" s="133"/>
      <c r="G32" s="133"/>
      <c r="H32" s="133"/>
      <c r="I32" s="133"/>
      <c r="J32" s="133"/>
      <c r="M32" s="137"/>
    </row>
    <row r="33" spans="1:10" s="135" customFormat="1" ht="40.35" hidden="1" customHeight="1">
      <c r="A33" s="133"/>
      <c r="B33" s="134"/>
      <c r="C33" s="133"/>
      <c r="D33" s="133"/>
      <c r="E33" s="133"/>
      <c r="F33" s="133"/>
      <c r="G33" s="133"/>
      <c r="H33" s="133"/>
      <c r="I33" s="133"/>
      <c r="J33" s="133"/>
    </row>
    <row r="34" spans="1:10" s="135" customFormat="1" ht="40.35" hidden="1" customHeight="1">
      <c r="A34" s="133"/>
      <c r="B34" s="134"/>
      <c r="C34" s="133"/>
      <c r="D34" s="133"/>
      <c r="E34" s="133"/>
      <c r="F34" s="133"/>
      <c r="G34" s="133"/>
      <c r="H34" s="133"/>
      <c r="I34" s="133"/>
      <c r="J34" s="133"/>
    </row>
    <row r="35" spans="1:10" s="135" customFormat="1" ht="40.35" hidden="1" customHeight="1">
      <c r="A35" s="133"/>
      <c r="B35" s="134"/>
      <c r="C35" s="133"/>
      <c r="D35" s="133"/>
      <c r="E35" s="133"/>
      <c r="F35" s="133"/>
      <c r="G35" s="133"/>
      <c r="H35" s="133"/>
      <c r="I35" s="133"/>
      <c r="J35" s="133"/>
    </row>
    <row r="36" spans="1:10" s="135" customFormat="1" ht="40.35" hidden="1" customHeight="1">
      <c r="A36" s="133"/>
      <c r="B36" s="134"/>
      <c r="C36" s="133"/>
      <c r="D36" s="133"/>
      <c r="E36" s="133"/>
      <c r="F36" s="133"/>
      <c r="G36" s="133"/>
      <c r="H36" s="133"/>
      <c r="I36" s="133"/>
      <c r="J36" s="133"/>
    </row>
    <row r="37" spans="1:10" s="135" customFormat="1" ht="40.35" hidden="1" customHeight="1">
      <c r="A37" s="133"/>
      <c r="B37" s="134"/>
      <c r="C37" s="133"/>
      <c r="D37" s="133"/>
      <c r="E37" s="133"/>
      <c r="F37" s="133"/>
      <c r="G37" s="133"/>
      <c r="H37" s="133"/>
      <c r="I37" s="133"/>
      <c r="J37" s="133"/>
    </row>
    <row r="38" spans="1:10" s="135" customFormat="1" ht="40.35" hidden="1" customHeight="1">
      <c r="A38" s="133"/>
      <c r="B38" s="134"/>
      <c r="C38" s="133"/>
      <c r="D38" s="133"/>
      <c r="E38" s="133"/>
      <c r="F38" s="133"/>
      <c r="G38" s="133"/>
      <c r="H38" s="133"/>
      <c r="I38" s="133"/>
      <c r="J38" s="133"/>
    </row>
    <row r="39" spans="1:10" s="135" customFormat="1" ht="40.35"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01219-DCF2-4CCC-8396-B82F66F7336B}">
  <sheetPr>
    <tabColor rgb="FF00B050"/>
    <pageSetUpPr fitToPage="1"/>
  </sheetPr>
  <dimension ref="A1:M39"/>
  <sheetViews>
    <sheetView showGridLines="0" view="pageBreakPreview" zoomScale="70" zoomScaleNormal="70" zoomScaleSheetLayoutView="70" workbookViewId="0">
      <selection activeCell="B26" sqref="B26:F27"/>
    </sheetView>
  </sheetViews>
  <sheetFormatPr defaultColWidth="7.71484375" defaultRowHeight="23.25"/>
  <cols>
    <col min="1" max="1" width="43.03515625" style="133" customWidth="1"/>
    <col min="2" max="2" width="2.5703125" style="134" customWidth="1"/>
    <col min="3" max="3" width="15.203125" style="133" customWidth="1"/>
    <col min="4" max="4" width="10.875" style="133" customWidth="1"/>
    <col min="5" max="5" width="12.04296875" style="133" customWidth="1"/>
    <col min="6" max="6" width="14.1484375" style="133" customWidth="1"/>
    <col min="7" max="7" width="12.04296875" style="133" customWidth="1"/>
    <col min="8" max="8" width="10.0546875" style="133" customWidth="1"/>
    <col min="9" max="9" width="12.0429687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1.35" customHeight="1" thickBot="1">
      <c r="A1" s="526" t="s">
        <v>94</v>
      </c>
      <c r="B1" s="526"/>
      <c r="C1" s="526"/>
      <c r="D1" s="526"/>
      <c r="E1" s="526"/>
      <c r="F1" s="526"/>
      <c r="G1" s="526"/>
      <c r="H1" s="526"/>
      <c r="I1" s="526"/>
      <c r="J1" s="526"/>
    </row>
    <row r="2" spans="1:13" ht="32.85" customHeight="1">
      <c r="A2" s="527" t="s">
        <v>95</v>
      </c>
      <c r="B2" s="528"/>
      <c r="C2" s="528"/>
      <c r="D2" s="528"/>
      <c r="E2" s="528"/>
      <c r="F2" s="528"/>
      <c r="G2" s="528"/>
      <c r="H2" s="528"/>
      <c r="I2" s="528"/>
      <c r="J2" s="529"/>
    </row>
    <row r="3" spans="1:13" ht="28.35" customHeight="1">
      <c r="A3" s="530" t="s">
        <v>167</v>
      </c>
      <c r="B3" s="531"/>
      <c r="C3" s="531"/>
      <c r="D3" s="531"/>
      <c r="E3" s="531"/>
      <c r="F3" s="531"/>
      <c r="G3" s="531"/>
      <c r="H3" s="531"/>
      <c r="I3" s="531"/>
      <c r="J3" s="532"/>
    </row>
    <row r="4" spans="1:13" s="135" customFormat="1" ht="30" customHeight="1">
      <c r="A4" s="234" t="s">
        <v>96</v>
      </c>
      <c r="B4" s="235" t="s">
        <v>97</v>
      </c>
      <c r="C4" s="533" t="s">
        <v>145</v>
      </c>
      <c r="D4" s="534"/>
      <c r="E4" s="534"/>
      <c r="F4" s="534"/>
      <c r="G4" s="534"/>
      <c r="H4" s="534"/>
      <c r="I4" s="534"/>
      <c r="J4" s="535"/>
    </row>
    <row r="5" spans="1:13" s="135" customFormat="1" ht="55.5" customHeight="1">
      <c r="A5" s="236" t="s">
        <v>98</v>
      </c>
      <c r="B5" s="237" t="s">
        <v>97</v>
      </c>
      <c r="C5" s="522" t="s">
        <v>146</v>
      </c>
      <c r="D5" s="522"/>
      <c r="E5" s="522"/>
      <c r="F5" s="522"/>
      <c r="G5" s="522"/>
      <c r="H5" s="522"/>
      <c r="I5" s="522"/>
      <c r="J5" s="523"/>
    </row>
    <row r="6" spans="1:13" s="135" customFormat="1" ht="101.85" customHeight="1">
      <c r="A6" s="236" t="s">
        <v>116</v>
      </c>
      <c r="B6" s="238" t="s">
        <v>97</v>
      </c>
      <c r="C6" s="522" t="s">
        <v>162</v>
      </c>
      <c r="D6" s="522"/>
      <c r="E6" s="522"/>
      <c r="F6" s="522"/>
      <c r="G6" s="522"/>
      <c r="H6" s="522"/>
      <c r="I6" s="522"/>
      <c r="J6" s="523"/>
    </row>
    <row r="7" spans="1:13" s="135" customFormat="1" ht="243.6" customHeight="1">
      <c r="A7" s="236" t="s">
        <v>99</v>
      </c>
      <c r="B7" s="238" t="s">
        <v>100</v>
      </c>
      <c r="C7" s="522" t="s">
        <v>163</v>
      </c>
      <c r="D7" s="522"/>
      <c r="E7" s="522"/>
      <c r="F7" s="522"/>
      <c r="G7" s="522"/>
      <c r="H7" s="522"/>
      <c r="I7" s="522"/>
      <c r="J7" s="523"/>
    </row>
    <row r="8" spans="1:13" s="135" customFormat="1" ht="28.35" customHeight="1">
      <c r="A8" s="236" t="s">
        <v>117</v>
      </c>
      <c r="B8" s="237" t="s">
        <v>97</v>
      </c>
      <c r="C8" s="522" t="s">
        <v>115</v>
      </c>
      <c r="D8" s="522"/>
      <c r="E8" s="522"/>
      <c r="F8" s="522"/>
      <c r="G8" s="522"/>
      <c r="H8" s="522"/>
      <c r="I8" s="522"/>
      <c r="J8" s="523"/>
    </row>
    <row r="9" spans="1:13" s="135" customFormat="1" ht="33.6" customHeight="1">
      <c r="A9" s="236" t="s">
        <v>101</v>
      </c>
      <c r="B9" s="237" t="s">
        <v>100</v>
      </c>
      <c r="C9" s="522" t="s">
        <v>179</v>
      </c>
      <c r="D9" s="522"/>
      <c r="E9" s="522"/>
      <c r="F9" s="522"/>
      <c r="G9" s="522"/>
      <c r="H9" s="522"/>
      <c r="I9" s="522"/>
      <c r="J9" s="523"/>
    </row>
    <row r="10" spans="1:13" s="135" customFormat="1" ht="29.1" customHeight="1">
      <c r="A10" s="236" t="s">
        <v>118</v>
      </c>
      <c r="B10" s="237" t="s">
        <v>97</v>
      </c>
      <c r="C10" s="522" t="s">
        <v>168</v>
      </c>
      <c r="D10" s="522"/>
      <c r="E10" s="522"/>
      <c r="F10" s="522"/>
      <c r="G10" s="522"/>
      <c r="H10" s="522"/>
      <c r="I10" s="522"/>
      <c r="J10" s="523"/>
    </row>
    <row r="11" spans="1:13" s="135" customFormat="1">
      <c r="A11" s="236" t="s">
        <v>147</v>
      </c>
      <c r="B11" s="237" t="s">
        <v>97</v>
      </c>
      <c r="C11" s="524"/>
      <c r="D11" s="524"/>
      <c r="E11" s="524"/>
      <c r="F11" s="524"/>
      <c r="G11" s="524"/>
      <c r="H11" s="524"/>
      <c r="I11" s="524"/>
      <c r="J11" s="525"/>
      <c r="L11" s="135" t="s">
        <v>148</v>
      </c>
    </row>
    <row r="12" spans="1:13" s="135" customFormat="1" ht="32.1" customHeight="1">
      <c r="A12" s="236" t="s">
        <v>124</v>
      </c>
      <c r="B12" s="238" t="s">
        <v>100</v>
      </c>
      <c r="C12" s="278" t="s">
        <v>205</v>
      </c>
      <c r="D12" s="270"/>
      <c r="E12" s="270"/>
      <c r="F12" s="270"/>
      <c r="G12" s="270"/>
      <c r="H12" s="270"/>
      <c r="I12" s="270"/>
      <c r="J12" s="271"/>
      <c r="M12" s="137"/>
    </row>
    <row r="13" spans="1:13" s="135" customFormat="1" ht="37.5" customHeight="1">
      <c r="A13" s="236" t="s">
        <v>121</v>
      </c>
      <c r="B13" s="238" t="s">
        <v>100</v>
      </c>
      <c r="C13" s="278" t="str">
        <f>'PL(2_2)'!C35</f>
        <v>OM4-MG-GEN2-KOB-0009</v>
      </c>
      <c r="D13" s="270"/>
      <c r="E13" s="270"/>
      <c r="F13" s="270"/>
      <c r="G13" s="270"/>
      <c r="H13" s="270"/>
      <c r="I13" s="270"/>
      <c r="J13" s="271"/>
      <c r="L13" s="135" t="s">
        <v>149</v>
      </c>
      <c r="M13" s="137"/>
    </row>
    <row r="14" spans="1:13" s="135" customFormat="1" ht="36.6" customHeight="1">
      <c r="A14" s="236" t="s">
        <v>119</v>
      </c>
      <c r="B14" s="237" t="s">
        <v>97</v>
      </c>
      <c r="C14" s="279">
        <f>'PL(2_2)'!M35</f>
        <v>540</v>
      </c>
      <c r="D14" s="324" t="s">
        <v>102</v>
      </c>
      <c r="E14" s="325"/>
      <c r="F14" s="325"/>
      <c r="G14" s="325"/>
      <c r="H14" s="325"/>
      <c r="I14" s="325"/>
      <c r="J14" s="239"/>
    </row>
    <row r="15" spans="1:13" s="135" customFormat="1" ht="57.6" customHeight="1">
      <c r="A15" s="236" t="s">
        <v>120</v>
      </c>
      <c r="B15" s="237" t="s">
        <v>97</v>
      </c>
      <c r="C15" s="279">
        <f>'PL(2_2)'!N35</f>
        <v>683</v>
      </c>
      <c r="D15" s="324" t="s">
        <v>102</v>
      </c>
      <c r="E15" s="325"/>
      <c r="F15" s="326"/>
      <c r="G15" s="325"/>
      <c r="H15" s="325"/>
      <c r="I15" s="325"/>
      <c r="J15" s="240"/>
    </row>
    <row r="16" spans="1:13" s="135" customFormat="1" ht="53.85" customHeight="1">
      <c r="A16" s="236" t="s">
        <v>122</v>
      </c>
      <c r="B16" s="238" t="s">
        <v>97</v>
      </c>
      <c r="C16" s="279">
        <f>'PL(2_2)'!I35</f>
        <v>125</v>
      </c>
      <c r="D16" s="324" t="s">
        <v>103</v>
      </c>
      <c r="E16" s="279">
        <f>'PL(2_2)'!J35</f>
        <v>117</v>
      </c>
      <c r="F16" s="324" t="s">
        <v>104</v>
      </c>
      <c r="G16" s="279">
        <f>'PL(2_2)'!K35</f>
        <v>114</v>
      </c>
      <c r="H16" s="324" t="s">
        <v>105</v>
      </c>
      <c r="I16" s="337">
        <f>'PL(2_2)'!L35</f>
        <v>1.667</v>
      </c>
      <c r="J16" s="241" t="s">
        <v>106</v>
      </c>
    </row>
    <row r="17" spans="1:13" s="135" customFormat="1" ht="31.35" customHeight="1">
      <c r="A17" s="140" t="s">
        <v>113</v>
      </c>
      <c r="B17" s="136" t="s">
        <v>97</v>
      </c>
      <c r="C17" s="187" t="s">
        <v>174</v>
      </c>
      <c r="D17" s="188"/>
      <c r="E17" s="189"/>
      <c r="F17" s="188"/>
      <c r="G17" s="189"/>
      <c r="H17" s="188"/>
      <c r="I17" s="190"/>
      <c r="J17" s="191"/>
    </row>
    <row r="18" spans="1:13" s="135" customFormat="1" ht="45">
      <c r="A18" s="140" t="s">
        <v>123</v>
      </c>
      <c r="B18" s="136" t="s">
        <v>97</v>
      </c>
      <c r="C18" s="187" t="s">
        <v>166</v>
      </c>
      <c r="D18" s="188"/>
      <c r="E18" s="189"/>
      <c r="F18" s="188"/>
      <c r="G18" s="189"/>
      <c r="H18" s="188"/>
      <c r="I18" s="190"/>
      <c r="J18" s="191"/>
    </row>
    <row r="19" spans="1:13" s="135" customFormat="1">
      <c r="A19" s="141" t="s">
        <v>107</v>
      </c>
      <c r="B19" s="136" t="s">
        <v>97</v>
      </c>
      <c r="C19" s="281" t="s">
        <v>176</v>
      </c>
      <c r="D19" s="188"/>
      <c r="E19" s="189"/>
      <c r="F19" s="188"/>
      <c r="G19" s="189"/>
      <c r="H19" s="188"/>
      <c r="I19" s="190"/>
      <c r="J19" s="191"/>
    </row>
    <row r="20" spans="1:13" s="135" customFormat="1" ht="40.35" customHeight="1">
      <c r="A20" s="142" t="s">
        <v>108</v>
      </c>
      <c r="B20" s="138" t="s">
        <v>97</v>
      </c>
      <c r="C20" s="252" t="s">
        <v>109</v>
      </c>
      <c r="D20" s="184"/>
      <c r="E20" s="184"/>
      <c r="F20" s="184"/>
      <c r="G20" s="184"/>
      <c r="H20" s="184"/>
      <c r="I20" s="184"/>
      <c r="J20" s="185"/>
    </row>
    <row r="21" spans="1:13" ht="120" hidden="1" customHeight="1" thickBot="1"/>
    <row r="22" spans="1:13" ht="55.35" hidden="1" customHeight="1"/>
    <row r="23" spans="1:13" ht="55.35" hidden="1" customHeight="1" thickBot="1"/>
    <row r="24" spans="1:13" ht="40.35" hidden="1" customHeight="1"/>
    <row r="25" spans="1:13" s="135" customFormat="1" ht="40.35"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40.35" hidden="1" customHeight="1">
      <c r="A29" s="133"/>
      <c r="B29" s="134"/>
      <c r="C29" s="133"/>
      <c r="D29" s="133"/>
      <c r="E29" s="133"/>
      <c r="F29" s="133"/>
      <c r="G29" s="133"/>
      <c r="H29" s="133"/>
      <c r="I29" s="133"/>
      <c r="J29" s="133"/>
    </row>
    <row r="30" spans="1:13" s="135" customFormat="1" ht="40.35"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40.35" hidden="1" customHeight="1">
      <c r="A32" s="133"/>
      <c r="B32" s="134"/>
      <c r="C32" s="133"/>
      <c r="D32" s="133"/>
      <c r="E32" s="133"/>
      <c r="F32" s="133"/>
      <c r="G32" s="133"/>
      <c r="H32" s="133"/>
      <c r="I32" s="133"/>
      <c r="J32" s="133"/>
      <c r="M32" s="137"/>
    </row>
    <row r="33" spans="1:10" s="135" customFormat="1" ht="40.35" hidden="1" customHeight="1">
      <c r="A33" s="133"/>
      <c r="B33" s="134"/>
      <c r="C33" s="133"/>
      <c r="D33" s="133"/>
      <c r="E33" s="133"/>
      <c r="F33" s="133"/>
      <c r="G33" s="133"/>
      <c r="H33" s="133"/>
      <c r="I33" s="133"/>
      <c r="J33" s="133"/>
    </row>
    <row r="34" spans="1:10" s="135" customFormat="1" ht="40.35" hidden="1" customHeight="1">
      <c r="A34" s="133"/>
      <c r="B34" s="134"/>
      <c r="C34" s="133"/>
      <c r="D34" s="133"/>
      <c r="E34" s="133"/>
      <c r="F34" s="133"/>
      <c r="G34" s="133"/>
      <c r="H34" s="133"/>
      <c r="I34" s="133"/>
      <c r="J34" s="133"/>
    </row>
    <row r="35" spans="1:10" s="135" customFormat="1" ht="40.35" hidden="1" customHeight="1">
      <c r="A35" s="133"/>
      <c r="B35" s="134"/>
      <c r="C35" s="133"/>
      <c r="D35" s="133"/>
      <c r="E35" s="133"/>
      <c r="F35" s="133"/>
      <c r="G35" s="133"/>
      <c r="H35" s="133"/>
      <c r="I35" s="133"/>
      <c r="J35" s="133"/>
    </row>
    <row r="36" spans="1:10" s="135" customFormat="1" ht="40.35" hidden="1" customHeight="1">
      <c r="A36" s="133"/>
      <c r="B36" s="134"/>
      <c r="C36" s="133"/>
      <c r="D36" s="133"/>
      <c r="E36" s="133"/>
      <c r="F36" s="133"/>
      <c r="G36" s="133"/>
      <c r="H36" s="133"/>
      <c r="I36" s="133"/>
      <c r="J36" s="133"/>
    </row>
    <row r="37" spans="1:10" s="135" customFormat="1" ht="40.35" hidden="1" customHeight="1">
      <c r="A37" s="133"/>
      <c r="B37" s="134"/>
      <c r="C37" s="133"/>
      <c r="D37" s="133"/>
      <c r="E37" s="133"/>
      <c r="F37" s="133"/>
      <c r="G37" s="133"/>
      <c r="H37" s="133"/>
      <c r="I37" s="133"/>
      <c r="J37" s="133"/>
    </row>
    <row r="38" spans="1:10" s="135" customFormat="1" ht="40.35" hidden="1" customHeight="1">
      <c r="A38" s="133"/>
      <c r="B38" s="134"/>
      <c r="C38" s="133"/>
      <c r="D38" s="133"/>
      <c r="E38" s="133"/>
      <c r="F38" s="133"/>
      <c r="G38" s="133"/>
      <c r="H38" s="133"/>
      <c r="I38" s="133"/>
      <c r="J38" s="133"/>
    </row>
    <row r="39" spans="1:10" s="135" customFormat="1" ht="40.35"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A4E32-AF65-45B4-889F-FF5678C3DC99}">
  <sheetPr>
    <tabColor rgb="FF00B050"/>
    <pageSetUpPr fitToPage="1"/>
  </sheetPr>
  <dimension ref="A1:M39"/>
  <sheetViews>
    <sheetView showGridLines="0" view="pageBreakPreview" zoomScale="70" zoomScaleNormal="70" zoomScaleSheetLayoutView="70" workbookViewId="0">
      <selection activeCell="B26" sqref="B26:F27"/>
    </sheetView>
  </sheetViews>
  <sheetFormatPr defaultColWidth="7.71484375" defaultRowHeight="23.25"/>
  <cols>
    <col min="1" max="1" width="43.03515625" style="133" customWidth="1"/>
    <col min="2" max="2" width="2.5703125" style="134" customWidth="1"/>
    <col min="3" max="3" width="15.203125" style="133" customWidth="1"/>
    <col min="4" max="4" width="10.875" style="133" customWidth="1"/>
    <col min="5" max="5" width="12.04296875" style="133" customWidth="1"/>
    <col min="6" max="6" width="14.1484375" style="133" customWidth="1"/>
    <col min="7" max="7" width="12.04296875" style="133" customWidth="1"/>
    <col min="8" max="8" width="10.0546875" style="133" customWidth="1"/>
    <col min="9" max="9" width="12.0429687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1.35" customHeight="1" thickBot="1">
      <c r="A1" s="526" t="s">
        <v>94</v>
      </c>
      <c r="B1" s="526"/>
      <c r="C1" s="526"/>
      <c r="D1" s="526"/>
      <c r="E1" s="526"/>
      <c r="F1" s="526"/>
      <c r="G1" s="526"/>
      <c r="H1" s="526"/>
      <c r="I1" s="526"/>
      <c r="J1" s="526"/>
    </row>
    <row r="2" spans="1:13" ht="32.85" customHeight="1">
      <c r="A2" s="527" t="s">
        <v>95</v>
      </c>
      <c r="B2" s="528"/>
      <c r="C2" s="528"/>
      <c r="D2" s="528"/>
      <c r="E2" s="528"/>
      <c r="F2" s="528"/>
      <c r="G2" s="528"/>
      <c r="H2" s="528"/>
      <c r="I2" s="528"/>
      <c r="J2" s="529"/>
    </row>
    <row r="3" spans="1:13" ht="28.35" customHeight="1">
      <c r="A3" s="530" t="s">
        <v>167</v>
      </c>
      <c r="B3" s="531"/>
      <c r="C3" s="531"/>
      <c r="D3" s="531"/>
      <c r="E3" s="531"/>
      <c r="F3" s="531"/>
      <c r="G3" s="531"/>
      <c r="H3" s="531"/>
      <c r="I3" s="531"/>
      <c r="J3" s="532"/>
    </row>
    <row r="4" spans="1:13" s="135" customFormat="1" ht="30" customHeight="1">
      <c r="A4" s="234" t="s">
        <v>96</v>
      </c>
      <c r="B4" s="235" t="s">
        <v>97</v>
      </c>
      <c r="C4" s="533" t="s">
        <v>145</v>
      </c>
      <c r="D4" s="534"/>
      <c r="E4" s="534"/>
      <c r="F4" s="534"/>
      <c r="G4" s="534"/>
      <c r="H4" s="534"/>
      <c r="I4" s="534"/>
      <c r="J4" s="535"/>
    </row>
    <row r="5" spans="1:13" s="135" customFormat="1" ht="55.5" customHeight="1">
      <c r="A5" s="236" t="s">
        <v>98</v>
      </c>
      <c r="B5" s="237" t="s">
        <v>97</v>
      </c>
      <c r="C5" s="522" t="s">
        <v>146</v>
      </c>
      <c r="D5" s="522"/>
      <c r="E5" s="522"/>
      <c r="F5" s="522"/>
      <c r="G5" s="522"/>
      <c r="H5" s="522"/>
      <c r="I5" s="522"/>
      <c r="J5" s="523"/>
    </row>
    <row r="6" spans="1:13" s="135" customFormat="1" ht="101.85" customHeight="1">
      <c r="A6" s="236" t="s">
        <v>116</v>
      </c>
      <c r="B6" s="238" t="s">
        <v>97</v>
      </c>
      <c r="C6" s="522" t="s">
        <v>162</v>
      </c>
      <c r="D6" s="522"/>
      <c r="E6" s="522"/>
      <c r="F6" s="522"/>
      <c r="G6" s="522"/>
      <c r="H6" s="522"/>
      <c r="I6" s="522"/>
      <c r="J6" s="523"/>
    </row>
    <row r="7" spans="1:13" s="135" customFormat="1" ht="243.6" customHeight="1">
      <c r="A7" s="236" t="s">
        <v>99</v>
      </c>
      <c r="B7" s="238" t="s">
        <v>100</v>
      </c>
      <c r="C7" s="522" t="s">
        <v>163</v>
      </c>
      <c r="D7" s="522"/>
      <c r="E7" s="522"/>
      <c r="F7" s="522"/>
      <c r="G7" s="522"/>
      <c r="H7" s="522"/>
      <c r="I7" s="522"/>
      <c r="J7" s="523"/>
    </row>
    <row r="8" spans="1:13" s="135" customFormat="1" ht="28.35" customHeight="1">
      <c r="A8" s="236" t="s">
        <v>117</v>
      </c>
      <c r="B8" s="237" t="s">
        <v>97</v>
      </c>
      <c r="C8" s="522" t="s">
        <v>115</v>
      </c>
      <c r="D8" s="522"/>
      <c r="E8" s="522"/>
      <c r="F8" s="522"/>
      <c r="G8" s="522"/>
      <c r="H8" s="522"/>
      <c r="I8" s="522"/>
      <c r="J8" s="523"/>
    </row>
    <row r="9" spans="1:13" s="135" customFormat="1" ht="33.6" customHeight="1">
      <c r="A9" s="236" t="s">
        <v>101</v>
      </c>
      <c r="B9" s="237" t="s">
        <v>100</v>
      </c>
      <c r="C9" s="522" t="s">
        <v>179</v>
      </c>
      <c r="D9" s="522"/>
      <c r="E9" s="522"/>
      <c r="F9" s="522"/>
      <c r="G9" s="522"/>
      <c r="H9" s="522"/>
      <c r="I9" s="522"/>
      <c r="J9" s="523"/>
    </row>
    <row r="10" spans="1:13" s="135" customFormat="1" ht="29.1" customHeight="1">
      <c r="A10" s="236" t="s">
        <v>118</v>
      </c>
      <c r="B10" s="237" t="s">
        <v>97</v>
      </c>
      <c r="C10" s="522" t="s">
        <v>168</v>
      </c>
      <c r="D10" s="522"/>
      <c r="E10" s="522"/>
      <c r="F10" s="522"/>
      <c r="G10" s="522"/>
      <c r="H10" s="522"/>
      <c r="I10" s="522"/>
      <c r="J10" s="523"/>
    </row>
    <row r="11" spans="1:13" s="135" customFormat="1">
      <c r="A11" s="236" t="s">
        <v>147</v>
      </c>
      <c r="B11" s="237" t="s">
        <v>97</v>
      </c>
      <c r="C11" s="524"/>
      <c r="D11" s="524"/>
      <c r="E11" s="524"/>
      <c r="F11" s="524"/>
      <c r="G11" s="524"/>
      <c r="H11" s="524"/>
      <c r="I11" s="524"/>
      <c r="J11" s="525"/>
      <c r="L11" s="135" t="s">
        <v>148</v>
      </c>
    </row>
    <row r="12" spans="1:13" s="135" customFormat="1" ht="32.1" customHeight="1">
      <c r="A12" s="236" t="s">
        <v>124</v>
      </c>
      <c r="B12" s="238" t="s">
        <v>100</v>
      </c>
      <c r="C12" s="278" t="s">
        <v>205</v>
      </c>
      <c r="D12" s="270"/>
      <c r="E12" s="270"/>
      <c r="F12" s="270"/>
      <c r="G12" s="270"/>
      <c r="H12" s="270"/>
      <c r="I12" s="270"/>
      <c r="J12" s="271"/>
      <c r="M12" s="137"/>
    </row>
    <row r="13" spans="1:13" s="135" customFormat="1" ht="37.5" customHeight="1">
      <c r="A13" s="236" t="s">
        <v>121</v>
      </c>
      <c r="B13" s="238" t="s">
        <v>100</v>
      </c>
      <c r="C13" s="278" t="str">
        <f>'PL(2_2)'!C36</f>
        <v>OM4-MG-GEN2-KOB-0010</v>
      </c>
      <c r="D13" s="270"/>
      <c r="E13" s="270"/>
      <c r="F13" s="270"/>
      <c r="G13" s="270"/>
      <c r="H13" s="270"/>
      <c r="I13" s="270"/>
      <c r="J13" s="271"/>
      <c r="L13" s="135" t="s">
        <v>149</v>
      </c>
      <c r="M13" s="137"/>
    </row>
    <row r="14" spans="1:13" s="135" customFormat="1" ht="36.6" customHeight="1">
      <c r="A14" s="236" t="s">
        <v>119</v>
      </c>
      <c r="B14" s="237" t="s">
        <v>97</v>
      </c>
      <c r="C14" s="279">
        <f>'PL(2_2)'!M36</f>
        <v>55</v>
      </c>
      <c r="D14" s="324" t="s">
        <v>102</v>
      </c>
      <c r="E14" s="325"/>
      <c r="F14" s="325"/>
      <c r="G14" s="325"/>
      <c r="H14" s="325"/>
      <c r="I14" s="325"/>
      <c r="J14" s="239"/>
    </row>
    <row r="15" spans="1:13" s="135" customFormat="1" ht="57.6" customHeight="1">
      <c r="A15" s="236" t="s">
        <v>120</v>
      </c>
      <c r="B15" s="237" t="s">
        <v>97</v>
      </c>
      <c r="C15" s="279">
        <f>'PL(2_2)'!N36</f>
        <v>100</v>
      </c>
      <c r="D15" s="324" t="s">
        <v>102</v>
      </c>
      <c r="E15" s="325"/>
      <c r="F15" s="326"/>
      <c r="G15" s="325"/>
      <c r="H15" s="325"/>
      <c r="I15" s="325"/>
      <c r="J15" s="240"/>
    </row>
    <row r="16" spans="1:13" s="135" customFormat="1" ht="53.85" customHeight="1">
      <c r="A16" s="236" t="s">
        <v>122</v>
      </c>
      <c r="B16" s="238" t="s">
        <v>97</v>
      </c>
      <c r="C16" s="279">
        <f>'PL(2_2)'!I36</f>
        <v>100</v>
      </c>
      <c r="D16" s="324" t="s">
        <v>103</v>
      </c>
      <c r="E16" s="279">
        <f>'PL(2_2)'!J36</f>
        <v>80</v>
      </c>
      <c r="F16" s="324" t="s">
        <v>104</v>
      </c>
      <c r="G16" s="279">
        <f>'PL(2_2)'!K36</f>
        <v>63</v>
      </c>
      <c r="H16" s="324" t="s">
        <v>105</v>
      </c>
      <c r="I16" s="337">
        <f>'PL(2_2)'!L36</f>
        <v>0.504</v>
      </c>
      <c r="J16" s="241" t="s">
        <v>106</v>
      </c>
    </row>
    <row r="17" spans="1:13" s="135" customFormat="1" ht="31.35" customHeight="1">
      <c r="A17" s="140" t="s">
        <v>113</v>
      </c>
      <c r="B17" s="136" t="s">
        <v>97</v>
      </c>
      <c r="C17" s="187" t="s">
        <v>174</v>
      </c>
      <c r="D17" s="188"/>
      <c r="E17" s="189"/>
      <c r="F17" s="188"/>
      <c r="G17" s="189"/>
      <c r="H17" s="188"/>
      <c r="I17" s="190"/>
      <c r="J17" s="191"/>
    </row>
    <row r="18" spans="1:13" s="135" customFormat="1" ht="45">
      <c r="A18" s="140" t="s">
        <v>123</v>
      </c>
      <c r="B18" s="136" t="s">
        <v>97</v>
      </c>
      <c r="C18" s="187" t="s">
        <v>166</v>
      </c>
      <c r="D18" s="188"/>
      <c r="E18" s="189"/>
      <c r="F18" s="188"/>
      <c r="G18" s="189"/>
      <c r="H18" s="188"/>
      <c r="I18" s="190"/>
      <c r="J18" s="191"/>
    </row>
    <row r="19" spans="1:13" s="135" customFormat="1">
      <c r="A19" s="141" t="s">
        <v>107</v>
      </c>
      <c r="B19" s="136" t="s">
        <v>97</v>
      </c>
      <c r="C19" s="281" t="s">
        <v>176</v>
      </c>
      <c r="D19" s="188"/>
      <c r="E19" s="189"/>
      <c r="F19" s="188"/>
      <c r="G19" s="189"/>
      <c r="H19" s="188"/>
      <c r="I19" s="190"/>
      <c r="J19" s="191"/>
    </row>
    <row r="20" spans="1:13" s="135" customFormat="1" ht="40.35" customHeight="1">
      <c r="A20" s="142" t="s">
        <v>108</v>
      </c>
      <c r="B20" s="138" t="s">
        <v>97</v>
      </c>
      <c r="C20" s="252" t="s">
        <v>109</v>
      </c>
      <c r="D20" s="184"/>
      <c r="E20" s="184"/>
      <c r="F20" s="184"/>
      <c r="G20" s="184"/>
      <c r="H20" s="184"/>
      <c r="I20" s="184"/>
      <c r="J20" s="185"/>
    </row>
    <row r="21" spans="1:13" ht="120" hidden="1" customHeight="1" thickBot="1"/>
    <row r="22" spans="1:13" ht="55.35" hidden="1" customHeight="1"/>
    <row r="23" spans="1:13" ht="55.35" hidden="1" customHeight="1" thickBot="1"/>
    <row r="24" spans="1:13" ht="40.35" hidden="1" customHeight="1"/>
    <row r="25" spans="1:13" s="135" customFormat="1" ht="40.35"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40.35" hidden="1" customHeight="1">
      <c r="A29" s="133"/>
      <c r="B29" s="134"/>
      <c r="C29" s="133"/>
      <c r="D29" s="133"/>
      <c r="E29" s="133"/>
      <c r="F29" s="133"/>
      <c r="G29" s="133"/>
      <c r="H29" s="133"/>
      <c r="I29" s="133"/>
      <c r="J29" s="133"/>
    </row>
    <row r="30" spans="1:13" s="135" customFormat="1" ht="40.35"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40.35" hidden="1" customHeight="1">
      <c r="A32" s="133"/>
      <c r="B32" s="134"/>
      <c r="C32" s="133"/>
      <c r="D32" s="133"/>
      <c r="E32" s="133"/>
      <c r="F32" s="133"/>
      <c r="G32" s="133"/>
      <c r="H32" s="133"/>
      <c r="I32" s="133"/>
      <c r="J32" s="133"/>
      <c r="M32" s="137"/>
    </row>
    <row r="33" spans="1:10" s="135" customFormat="1" ht="40.35" hidden="1" customHeight="1">
      <c r="A33" s="133"/>
      <c r="B33" s="134"/>
      <c r="C33" s="133"/>
      <c r="D33" s="133"/>
      <c r="E33" s="133"/>
      <c r="F33" s="133"/>
      <c r="G33" s="133"/>
      <c r="H33" s="133"/>
      <c r="I33" s="133"/>
      <c r="J33" s="133"/>
    </row>
    <row r="34" spans="1:10" s="135" customFormat="1" ht="40.35" hidden="1" customHeight="1">
      <c r="A34" s="133"/>
      <c r="B34" s="134"/>
      <c r="C34" s="133"/>
      <c r="D34" s="133"/>
      <c r="E34" s="133"/>
      <c r="F34" s="133"/>
      <c r="G34" s="133"/>
      <c r="H34" s="133"/>
      <c r="I34" s="133"/>
      <c r="J34" s="133"/>
    </row>
    <row r="35" spans="1:10" s="135" customFormat="1" ht="40.35" hidden="1" customHeight="1">
      <c r="A35" s="133"/>
      <c r="B35" s="134"/>
      <c r="C35" s="133"/>
      <c r="D35" s="133"/>
      <c r="E35" s="133"/>
      <c r="F35" s="133"/>
      <c r="G35" s="133"/>
      <c r="H35" s="133"/>
      <c r="I35" s="133"/>
      <c r="J35" s="133"/>
    </row>
    <row r="36" spans="1:10" s="135" customFormat="1" ht="40.35" hidden="1" customHeight="1">
      <c r="A36" s="133"/>
      <c r="B36" s="134"/>
      <c r="C36" s="133"/>
      <c r="D36" s="133"/>
      <c r="E36" s="133"/>
      <c r="F36" s="133"/>
      <c r="G36" s="133"/>
      <c r="H36" s="133"/>
      <c r="I36" s="133"/>
      <c r="J36" s="133"/>
    </row>
    <row r="37" spans="1:10" s="135" customFormat="1" ht="40.35" hidden="1" customHeight="1">
      <c r="A37" s="133"/>
      <c r="B37" s="134"/>
      <c r="C37" s="133"/>
      <c r="D37" s="133"/>
      <c r="E37" s="133"/>
      <c r="F37" s="133"/>
      <c r="G37" s="133"/>
      <c r="H37" s="133"/>
      <c r="I37" s="133"/>
      <c r="J37" s="133"/>
    </row>
    <row r="38" spans="1:10" s="135" customFormat="1" ht="40.35" hidden="1" customHeight="1">
      <c r="A38" s="133"/>
      <c r="B38" s="134"/>
      <c r="C38" s="133"/>
      <c r="D38" s="133"/>
      <c r="E38" s="133"/>
      <c r="F38" s="133"/>
      <c r="G38" s="133"/>
      <c r="H38" s="133"/>
      <c r="I38" s="133"/>
      <c r="J38" s="133"/>
    </row>
    <row r="39" spans="1:10" s="135" customFormat="1" ht="40.35"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20D8E-4216-469C-A96C-6E7C0573B8DF}">
  <sheetPr>
    <tabColor rgb="FF00B050"/>
    <pageSetUpPr fitToPage="1"/>
  </sheetPr>
  <dimension ref="A1:M39"/>
  <sheetViews>
    <sheetView showGridLines="0" view="pageBreakPreview" zoomScale="70" zoomScaleNormal="70" zoomScaleSheetLayoutView="70" workbookViewId="0">
      <selection activeCell="B26" sqref="B26:F27"/>
    </sheetView>
  </sheetViews>
  <sheetFormatPr defaultColWidth="7.71484375" defaultRowHeight="23.25"/>
  <cols>
    <col min="1" max="1" width="43.03515625" style="133" customWidth="1"/>
    <col min="2" max="2" width="2.5703125" style="134" customWidth="1"/>
    <col min="3" max="3" width="15.203125" style="133" customWidth="1"/>
    <col min="4" max="4" width="10.875" style="133" customWidth="1"/>
    <col min="5" max="5" width="12.04296875" style="133" customWidth="1"/>
    <col min="6" max="6" width="14.1484375" style="133" customWidth="1"/>
    <col min="7" max="7" width="12.04296875" style="133" customWidth="1"/>
    <col min="8" max="8" width="10.0546875" style="133" customWidth="1"/>
    <col min="9" max="9" width="12.0429687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1.35" customHeight="1" thickBot="1">
      <c r="A1" s="526" t="s">
        <v>94</v>
      </c>
      <c r="B1" s="526"/>
      <c r="C1" s="526"/>
      <c r="D1" s="526"/>
      <c r="E1" s="526"/>
      <c r="F1" s="526"/>
      <c r="G1" s="526"/>
      <c r="H1" s="526"/>
      <c r="I1" s="526"/>
      <c r="J1" s="526"/>
    </row>
    <row r="2" spans="1:13" ht="32.85" customHeight="1">
      <c r="A2" s="527" t="s">
        <v>95</v>
      </c>
      <c r="B2" s="528"/>
      <c r="C2" s="528"/>
      <c r="D2" s="528"/>
      <c r="E2" s="528"/>
      <c r="F2" s="528"/>
      <c r="G2" s="528"/>
      <c r="H2" s="528"/>
      <c r="I2" s="528"/>
      <c r="J2" s="529"/>
    </row>
    <row r="3" spans="1:13" ht="28.35" customHeight="1">
      <c r="A3" s="530" t="s">
        <v>167</v>
      </c>
      <c r="B3" s="531"/>
      <c r="C3" s="531"/>
      <c r="D3" s="531"/>
      <c r="E3" s="531"/>
      <c r="F3" s="531"/>
      <c r="G3" s="531"/>
      <c r="H3" s="531"/>
      <c r="I3" s="531"/>
      <c r="J3" s="532"/>
    </row>
    <row r="4" spans="1:13" s="135" customFormat="1" ht="30" customHeight="1">
      <c r="A4" s="234" t="s">
        <v>96</v>
      </c>
      <c r="B4" s="235" t="s">
        <v>97</v>
      </c>
      <c r="C4" s="533" t="s">
        <v>145</v>
      </c>
      <c r="D4" s="534"/>
      <c r="E4" s="534"/>
      <c r="F4" s="534"/>
      <c r="G4" s="534"/>
      <c r="H4" s="534"/>
      <c r="I4" s="534"/>
      <c r="J4" s="535"/>
    </row>
    <row r="5" spans="1:13" s="135" customFormat="1" ht="55.5" customHeight="1">
      <c r="A5" s="236" t="s">
        <v>98</v>
      </c>
      <c r="B5" s="237" t="s">
        <v>97</v>
      </c>
      <c r="C5" s="522" t="s">
        <v>146</v>
      </c>
      <c r="D5" s="522"/>
      <c r="E5" s="522"/>
      <c r="F5" s="522"/>
      <c r="G5" s="522"/>
      <c r="H5" s="522"/>
      <c r="I5" s="522"/>
      <c r="J5" s="523"/>
    </row>
    <row r="6" spans="1:13" s="135" customFormat="1" ht="101.85" customHeight="1">
      <c r="A6" s="236" t="s">
        <v>116</v>
      </c>
      <c r="B6" s="238" t="s">
        <v>97</v>
      </c>
      <c r="C6" s="522" t="s">
        <v>162</v>
      </c>
      <c r="D6" s="522"/>
      <c r="E6" s="522"/>
      <c r="F6" s="522"/>
      <c r="G6" s="522"/>
      <c r="H6" s="522"/>
      <c r="I6" s="522"/>
      <c r="J6" s="523"/>
    </row>
    <row r="7" spans="1:13" s="135" customFormat="1" ht="243.6" customHeight="1">
      <c r="A7" s="236" t="s">
        <v>99</v>
      </c>
      <c r="B7" s="238" t="s">
        <v>100</v>
      </c>
      <c r="C7" s="522" t="s">
        <v>163</v>
      </c>
      <c r="D7" s="522"/>
      <c r="E7" s="522"/>
      <c r="F7" s="522"/>
      <c r="G7" s="522"/>
      <c r="H7" s="522"/>
      <c r="I7" s="522"/>
      <c r="J7" s="523"/>
    </row>
    <row r="8" spans="1:13" s="135" customFormat="1" ht="28.35" customHeight="1">
      <c r="A8" s="236" t="s">
        <v>117</v>
      </c>
      <c r="B8" s="237" t="s">
        <v>97</v>
      </c>
      <c r="C8" s="522" t="s">
        <v>115</v>
      </c>
      <c r="D8" s="522"/>
      <c r="E8" s="522"/>
      <c r="F8" s="522"/>
      <c r="G8" s="522"/>
      <c r="H8" s="522"/>
      <c r="I8" s="522"/>
      <c r="J8" s="523"/>
    </row>
    <row r="9" spans="1:13" s="135" customFormat="1" ht="33.6" customHeight="1">
      <c r="A9" s="236" t="s">
        <v>101</v>
      </c>
      <c r="B9" s="237" t="s">
        <v>100</v>
      </c>
      <c r="C9" s="522" t="s">
        <v>179</v>
      </c>
      <c r="D9" s="522"/>
      <c r="E9" s="522"/>
      <c r="F9" s="522"/>
      <c r="G9" s="522"/>
      <c r="H9" s="522"/>
      <c r="I9" s="522"/>
      <c r="J9" s="523"/>
    </row>
    <row r="10" spans="1:13" s="135" customFormat="1" ht="29.1" customHeight="1">
      <c r="A10" s="236" t="s">
        <v>118</v>
      </c>
      <c r="B10" s="237" t="s">
        <v>97</v>
      </c>
      <c r="C10" s="522" t="s">
        <v>168</v>
      </c>
      <c r="D10" s="522"/>
      <c r="E10" s="522"/>
      <c r="F10" s="522"/>
      <c r="G10" s="522"/>
      <c r="H10" s="522"/>
      <c r="I10" s="522"/>
      <c r="J10" s="523"/>
    </row>
    <row r="11" spans="1:13" s="135" customFormat="1">
      <c r="A11" s="236" t="s">
        <v>147</v>
      </c>
      <c r="B11" s="237" t="s">
        <v>97</v>
      </c>
      <c r="C11" s="524"/>
      <c r="D11" s="524"/>
      <c r="E11" s="524"/>
      <c r="F11" s="524"/>
      <c r="G11" s="524"/>
      <c r="H11" s="524"/>
      <c r="I11" s="524"/>
      <c r="J11" s="525"/>
      <c r="L11" s="135" t="s">
        <v>148</v>
      </c>
    </row>
    <row r="12" spans="1:13" s="135" customFormat="1" ht="32.1" customHeight="1">
      <c r="A12" s="236" t="s">
        <v>124</v>
      </c>
      <c r="B12" s="238" t="s">
        <v>100</v>
      </c>
      <c r="C12" s="278" t="s">
        <v>205</v>
      </c>
      <c r="D12" s="270"/>
      <c r="E12" s="270"/>
      <c r="F12" s="270"/>
      <c r="G12" s="270"/>
      <c r="H12" s="270"/>
      <c r="I12" s="270"/>
      <c r="J12" s="271"/>
      <c r="M12" s="137"/>
    </row>
    <row r="13" spans="1:13" s="135" customFormat="1" ht="37.5" customHeight="1">
      <c r="A13" s="236" t="s">
        <v>121</v>
      </c>
      <c r="B13" s="238" t="s">
        <v>100</v>
      </c>
      <c r="C13" s="278" t="str">
        <f>'PL(2_2)'!C37</f>
        <v>OM4-MG-GEN2-KOB-0011</v>
      </c>
      <c r="D13" s="270"/>
      <c r="E13" s="270"/>
      <c r="F13" s="270"/>
      <c r="G13" s="270"/>
      <c r="H13" s="270"/>
      <c r="I13" s="270"/>
      <c r="J13" s="271"/>
      <c r="L13" s="135" t="s">
        <v>149</v>
      </c>
      <c r="M13" s="137"/>
    </row>
    <row r="14" spans="1:13" s="135" customFormat="1" ht="36.6" customHeight="1">
      <c r="A14" s="236" t="s">
        <v>119</v>
      </c>
      <c r="B14" s="237" t="s">
        <v>97</v>
      </c>
      <c r="C14" s="279">
        <f>'PL(2_2)'!M37</f>
        <v>680</v>
      </c>
      <c r="D14" s="324" t="s">
        <v>102</v>
      </c>
      <c r="E14" s="325"/>
      <c r="F14" s="325"/>
      <c r="G14" s="325"/>
      <c r="H14" s="325"/>
      <c r="I14" s="325"/>
      <c r="J14" s="239"/>
    </row>
    <row r="15" spans="1:13" s="135" customFormat="1" ht="57.6" customHeight="1">
      <c r="A15" s="236" t="s">
        <v>120</v>
      </c>
      <c r="B15" s="237" t="s">
        <v>97</v>
      </c>
      <c r="C15" s="279">
        <f>'PL(2_2)'!N37</f>
        <v>850</v>
      </c>
      <c r="D15" s="324" t="s">
        <v>102</v>
      </c>
      <c r="E15" s="325"/>
      <c r="F15" s="326"/>
      <c r="G15" s="325"/>
      <c r="H15" s="325"/>
      <c r="I15" s="325"/>
      <c r="J15" s="240"/>
    </row>
    <row r="16" spans="1:13" s="135" customFormat="1" ht="53.85" customHeight="1">
      <c r="A16" s="236" t="s">
        <v>122</v>
      </c>
      <c r="B16" s="238" t="s">
        <v>97</v>
      </c>
      <c r="C16" s="279">
        <f>'PL(2_2)'!I37</f>
        <v>148</v>
      </c>
      <c r="D16" s="324" t="s">
        <v>103</v>
      </c>
      <c r="E16" s="279">
        <f>'PL(2_2)'!J37</f>
        <v>138</v>
      </c>
      <c r="F16" s="324" t="s">
        <v>104</v>
      </c>
      <c r="G16" s="279">
        <f>'PL(2_2)'!K37</f>
        <v>96</v>
      </c>
      <c r="H16" s="324" t="s">
        <v>105</v>
      </c>
      <c r="I16" s="337">
        <f>'PL(2_2)'!L37</f>
        <v>1.9610000000000001</v>
      </c>
      <c r="J16" s="241" t="s">
        <v>106</v>
      </c>
    </row>
    <row r="17" spans="1:13" s="135" customFormat="1" ht="31.35" customHeight="1">
      <c r="A17" s="140" t="s">
        <v>113</v>
      </c>
      <c r="B17" s="136" t="s">
        <v>97</v>
      </c>
      <c r="C17" s="187" t="s">
        <v>174</v>
      </c>
      <c r="D17" s="188"/>
      <c r="E17" s="189"/>
      <c r="F17" s="188"/>
      <c r="G17" s="189"/>
      <c r="H17" s="188"/>
      <c r="I17" s="190"/>
      <c r="J17" s="191"/>
    </row>
    <row r="18" spans="1:13" s="135" customFormat="1" ht="45">
      <c r="A18" s="140" t="s">
        <v>123</v>
      </c>
      <c r="B18" s="136" t="s">
        <v>97</v>
      </c>
      <c r="C18" s="187" t="s">
        <v>166</v>
      </c>
      <c r="D18" s="188"/>
      <c r="E18" s="189"/>
      <c r="F18" s="188"/>
      <c r="G18" s="189"/>
      <c r="H18" s="188"/>
      <c r="I18" s="190"/>
      <c r="J18" s="191"/>
    </row>
    <row r="19" spans="1:13" s="135" customFormat="1">
      <c r="A19" s="141" t="s">
        <v>107</v>
      </c>
      <c r="B19" s="136" t="s">
        <v>97</v>
      </c>
      <c r="C19" s="281" t="s">
        <v>176</v>
      </c>
      <c r="D19" s="188"/>
      <c r="E19" s="189"/>
      <c r="F19" s="188"/>
      <c r="G19" s="189"/>
      <c r="H19" s="188"/>
      <c r="I19" s="190"/>
      <c r="J19" s="191"/>
    </row>
    <row r="20" spans="1:13" s="135" customFormat="1" ht="40.35" customHeight="1">
      <c r="A20" s="142" t="s">
        <v>108</v>
      </c>
      <c r="B20" s="138" t="s">
        <v>97</v>
      </c>
      <c r="C20" s="252" t="s">
        <v>109</v>
      </c>
      <c r="D20" s="184"/>
      <c r="E20" s="184"/>
      <c r="F20" s="184"/>
      <c r="G20" s="184"/>
      <c r="H20" s="184"/>
      <c r="I20" s="184"/>
      <c r="J20" s="185"/>
    </row>
    <row r="21" spans="1:13" ht="120" hidden="1" customHeight="1" thickBot="1"/>
    <row r="22" spans="1:13" ht="55.35" hidden="1" customHeight="1"/>
    <row r="23" spans="1:13" ht="55.35" hidden="1" customHeight="1" thickBot="1"/>
    <row r="24" spans="1:13" ht="40.35" hidden="1" customHeight="1"/>
    <row r="25" spans="1:13" s="135" customFormat="1" ht="40.35"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40.35" hidden="1" customHeight="1">
      <c r="A29" s="133"/>
      <c r="B29" s="134"/>
      <c r="C29" s="133"/>
      <c r="D29" s="133"/>
      <c r="E29" s="133"/>
      <c r="F29" s="133"/>
      <c r="G29" s="133"/>
      <c r="H29" s="133"/>
      <c r="I29" s="133"/>
      <c r="J29" s="133"/>
    </row>
    <row r="30" spans="1:13" s="135" customFormat="1" ht="40.35"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40.35" hidden="1" customHeight="1">
      <c r="A32" s="133"/>
      <c r="B32" s="134"/>
      <c r="C32" s="133"/>
      <c r="D32" s="133"/>
      <c r="E32" s="133"/>
      <c r="F32" s="133"/>
      <c r="G32" s="133"/>
      <c r="H32" s="133"/>
      <c r="I32" s="133"/>
      <c r="J32" s="133"/>
      <c r="M32" s="137"/>
    </row>
    <row r="33" spans="1:10" s="135" customFormat="1" ht="40.35" hidden="1" customHeight="1">
      <c r="A33" s="133"/>
      <c r="B33" s="134"/>
      <c r="C33" s="133"/>
      <c r="D33" s="133"/>
      <c r="E33" s="133"/>
      <c r="F33" s="133"/>
      <c r="G33" s="133"/>
      <c r="H33" s="133"/>
      <c r="I33" s="133"/>
      <c r="J33" s="133"/>
    </row>
    <row r="34" spans="1:10" s="135" customFormat="1" ht="40.35" hidden="1" customHeight="1">
      <c r="A34" s="133"/>
      <c r="B34" s="134"/>
      <c r="C34" s="133"/>
      <c r="D34" s="133"/>
      <c r="E34" s="133"/>
      <c r="F34" s="133"/>
      <c r="G34" s="133"/>
      <c r="H34" s="133"/>
      <c r="I34" s="133"/>
      <c r="J34" s="133"/>
    </row>
    <row r="35" spans="1:10" s="135" customFormat="1" ht="40.35" hidden="1" customHeight="1">
      <c r="A35" s="133"/>
      <c r="B35" s="134"/>
      <c r="C35" s="133"/>
      <c r="D35" s="133"/>
      <c r="E35" s="133"/>
      <c r="F35" s="133"/>
      <c r="G35" s="133"/>
      <c r="H35" s="133"/>
      <c r="I35" s="133"/>
      <c r="J35" s="133"/>
    </row>
    <row r="36" spans="1:10" s="135" customFormat="1" ht="40.35" hidden="1" customHeight="1">
      <c r="A36" s="133"/>
      <c r="B36" s="134"/>
      <c r="C36" s="133"/>
      <c r="D36" s="133"/>
      <c r="E36" s="133"/>
      <c r="F36" s="133"/>
      <c r="G36" s="133"/>
      <c r="H36" s="133"/>
      <c r="I36" s="133"/>
      <c r="J36" s="133"/>
    </row>
    <row r="37" spans="1:10" s="135" customFormat="1" ht="40.35" hidden="1" customHeight="1">
      <c r="A37" s="133"/>
      <c r="B37" s="134"/>
      <c r="C37" s="133"/>
      <c r="D37" s="133"/>
      <c r="E37" s="133"/>
      <c r="F37" s="133"/>
      <c r="G37" s="133"/>
      <c r="H37" s="133"/>
      <c r="I37" s="133"/>
      <c r="J37" s="133"/>
    </row>
    <row r="38" spans="1:10" s="135" customFormat="1" ht="40.35" hidden="1" customHeight="1">
      <c r="A38" s="133"/>
      <c r="B38" s="134"/>
      <c r="C38" s="133"/>
      <c r="D38" s="133"/>
      <c r="E38" s="133"/>
      <c r="F38" s="133"/>
      <c r="G38" s="133"/>
      <c r="H38" s="133"/>
      <c r="I38" s="133"/>
      <c r="J38" s="133"/>
    </row>
    <row r="39" spans="1:10" s="135" customFormat="1" ht="40.35"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4BE45-BC5D-4B9D-973E-9E1A71601F51}">
  <sheetPr>
    <tabColor rgb="FF00B050"/>
    <pageSetUpPr fitToPage="1"/>
  </sheetPr>
  <dimension ref="A1:M39"/>
  <sheetViews>
    <sheetView showGridLines="0" view="pageBreakPreview" zoomScale="70" zoomScaleNormal="70" zoomScaleSheetLayoutView="70" workbookViewId="0">
      <selection activeCell="B26" sqref="B26:F27"/>
    </sheetView>
  </sheetViews>
  <sheetFormatPr defaultColWidth="7.71484375" defaultRowHeight="23.25"/>
  <cols>
    <col min="1" max="1" width="43.03515625" style="133" customWidth="1"/>
    <col min="2" max="2" width="2.5703125" style="134" customWidth="1"/>
    <col min="3" max="3" width="15.203125" style="133" customWidth="1"/>
    <col min="4" max="4" width="10.875" style="133" customWidth="1"/>
    <col min="5" max="5" width="12.04296875" style="133" customWidth="1"/>
    <col min="6" max="6" width="14.1484375" style="133" customWidth="1"/>
    <col min="7" max="7" width="12.04296875" style="133" customWidth="1"/>
    <col min="8" max="8" width="10.0546875" style="133" customWidth="1"/>
    <col min="9" max="9" width="12.04296875" style="133" customWidth="1"/>
    <col min="10" max="10" width="9.5859375" style="133" customWidth="1"/>
    <col min="11" max="11" width="0.69921875" style="133" customWidth="1"/>
    <col min="12" max="12" width="7.71484375" style="133"/>
    <col min="13" max="13" width="14.3828125" style="133" bestFit="1" customWidth="1"/>
    <col min="14" max="16384" width="7.71484375" style="133"/>
  </cols>
  <sheetData>
    <row r="1" spans="1:13" ht="91.35" customHeight="1" thickBot="1">
      <c r="A1" s="526" t="s">
        <v>94</v>
      </c>
      <c r="B1" s="526"/>
      <c r="C1" s="526"/>
      <c r="D1" s="526"/>
      <c r="E1" s="526"/>
      <c r="F1" s="526"/>
      <c r="G1" s="526"/>
      <c r="H1" s="526"/>
      <c r="I1" s="526"/>
      <c r="J1" s="526"/>
    </row>
    <row r="2" spans="1:13" ht="32.85" customHeight="1">
      <c r="A2" s="527" t="s">
        <v>95</v>
      </c>
      <c r="B2" s="528"/>
      <c r="C2" s="528"/>
      <c r="D2" s="528"/>
      <c r="E2" s="528"/>
      <c r="F2" s="528"/>
      <c r="G2" s="528"/>
      <c r="H2" s="528"/>
      <c r="I2" s="528"/>
      <c r="J2" s="529"/>
    </row>
    <row r="3" spans="1:13" ht="28.35" customHeight="1">
      <c r="A3" s="530" t="s">
        <v>167</v>
      </c>
      <c r="B3" s="531"/>
      <c r="C3" s="531"/>
      <c r="D3" s="531"/>
      <c r="E3" s="531"/>
      <c r="F3" s="531"/>
      <c r="G3" s="531"/>
      <c r="H3" s="531"/>
      <c r="I3" s="531"/>
      <c r="J3" s="532"/>
    </row>
    <row r="4" spans="1:13" s="135" customFormat="1" ht="30" customHeight="1">
      <c r="A4" s="234" t="s">
        <v>96</v>
      </c>
      <c r="B4" s="235" t="s">
        <v>97</v>
      </c>
      <c r="C4" s="533" t="s">
        <v>145</v>
      </c>
      <c r="D4" s="534"/>
      <c r="E4" s="534"/>
      <c r="F4" s="534"/>
      <c r="G4" s="534"/>
      <c r="H4" s="534"/>
      <c r="I4" s="534"/>
      <c r="J4" s="535"/>
    </row>
    <row r="5" spans="1:13" s="135" customFormat="1" ht="55.5" customHeight="1">
      <c r="A5" s="236" t="s">
        <v>98</v>
      </c>
      <c r="B5" s="237" t="s">
        <v>97</v>
      </c>
      <c r="C5" s="522" t="s">
        <v>146</v>
      </c>
      <c r="D5" s="522"/>
      <c r="E5" s="522"/>
      <c r="F5" s="522"/>
      <c r="G5" s="522"/>
      <c r="H5" s="522"/>
      <c r="I5" s="522"/>
      <c r="J5" s="523"/>
    </row>
    <row r="6" spans="1:13" s="135" customFormat="1" ht="101.85" customHeight="1">
      <c r="A6" s="236" t="s">
        <v>116</v>
      </c>
      <c r="B6" s="238" t="s">
        <v>97</v>
      </c>
      <c r="C6" s="522" t="s">
        <v>162</v>
      </c>
      <c r="D6" s="522"/>
      <c r="E6" s="522"/>
      <c r="F6" s="522"/>
      <c r="G6" s="522"/>
      <c r="H6" s="522"/>
      <c r="I6" s="522"/>
      <c r="J6" s="523"/>
    </row>
    <row r="7" spans="1:13" s="135" customFormat="1" ht="243.6" customHeight="1">
      <c r="A7" s="236" t="s">
        <v>99</v>
      </c>
      <c r="B7" s="238" t="s">
        <v>100</v>
      </c>
      <c r="C7" s="522" t="s">
        <v>163</v>
      </c>
      <c r="D7" s="522"/>
      <c r="E7" s="522"/>
      <c r="F7" s="522"/>
      <c r="G7" s="522"/>
      <c r="H7" s="522"/>
      <c r="I7" s="522"/>
      <c r="J7" s="523"/>
    </row>
    <row r="8" spans="1:13" s="135" customFormat="1" ht="28.35" customHeight="1">
      <c r="A8" s="236" t="s">
        <v>117</v>
      </c>
      <c r="B8" s="237" t="s">
        <v>97</v>
      </c>
      <c r="C8" s="522" t="s">
        <v>115</v>
      </c>
      <c r="D8" s="522"/>
      <c r="E8" s="522"/>
      <c r="F8" s="522"/>
      <c r="G8" s="522"/>
      <c r="H8" s="522"/>
      <c r="I8" s="522"/>
      <c r="J8" s="523"/>
    </row>
    <row r="9" spans="1:13" s="135" customFormat="1" ht="33.6" customHeight="1">
      <c r="A9" s="236" t="s">
        <v>101</v>
      </c>
      <c r="B9" s="237" t="s">
        <v>100</v>
      </c>
      <c r="C9" s="522" t="s">
        <v>179</v>
      </c>
      <c r="D9" s="522"/>
      <c r="E9" s="522"/>
      <c r="F9" s="522"/>
      <c r="G9" s="522"/>
      <c r="H9" s="522"/>
      <c r="I9" s="522"/>
      <c r="J9" s="523"/>
    </row>
    <row r="10" spans="1:13" s="135" customFormat="1" ht="29.1" customHeight="1">
      <c r="A10" s="236" t="s">
        <v>118</v>
      </c>
      <c r="B10" s="237" t="s">
        <v>97</v>
      </c>
      <c r="C10" s="522" t="s">
        <v>168</v>
      </c>
      <c r="D10" s="522"/>
      <c r="E10" s="522"/>
      <c r="F10" s="522"/>
      <c r="G10" s="522"/>
      <c r="H10" s="522"/>
      <c r="I10" s="522"/>
      <c r="J10" s="523"/>
    </row>
    <row r="11" spans="1:13" s="135" customFormat="1">
      <c r="A11" s="236" t="s">
        <v>147</v>
      </c>
      <c r="B11" s="237" t="s">
        <v>97</v>
      </c>
      <c r="C11" s="524"/>
      <c r="D11" s="524"/>
      <c r="E11" s="524"/>
      <c r="F11" s="524"/>
      <c r="G11" s="524"/>
      <c r="H11" s="524"/>
      <c r="I11" s="524"/>
      <c r="J11" s="525"/>
      <c r="L11" s="135" t="s">
        <v>148</v>
      </c>
    </row>
    <row r="12" spans="1:13" s="135" customFormat="1" ht="32.1" customHeight="1">
      <c r="A12" s="236" t="s">
        <v>124</v>
      </c>
      <c r="B12" s="238" t="s">
        <v>100</v>
      </c>
      <c r="C12" s="278" t="s">
        <v>205</v>
      </c>
      <c r="D12" s="270"/>
      <c r="E12" s="270"/>
      <c r="F12" s="270"/>
      <c r="G12" s="270"/>
      <c r="H12" s="270"/>
      <c r="I12" s="270"/>
      <c r="J12" s="271"/>
      <c r="M12" s="137"/>
    </row>
    <row r="13" spans="1:13" s="135" customFormat="1" ht="37.5" customHeight="1">
      <c r="A13" s="236" t="s">
        <v>121</v>
      </c>
      <c r="B13" s="238" t="s">
        <v>100</v>
      </c>
      <c r="C13" s="278" t="str">
        <f>'PL(2_2)'!C38</f>
        <v>OM4-MG-GEN2-MAR-0001</v>
      </c>
      <c r="D13" s="270"/>
      <c r="E13" s="270"/>
      <c r="F13" s="270"/>
      <c r="G13" s="270"/>
      <c r="H13" s="270"/>
      <c r="I13" s="270"/>
      <c r="J13" s="271"/>
      <c r="L13" s="135" t="s">
        <v>149</v>
      </c>
      <c r="M13" s="137"/>
    </row>
    <row r="14" spans="1:13" s="135" customFormat="1" ht="36.6" customHeight="1">
      <c r="A14" s="236" t="s">
        <v>119</v>
      </c>
      <c r="B14" s="237" t="s">
        <v>97</v>
      </c>
      <c r="C14" s="279">
        <f>'PL(2_2)'!M38</f>
        <v>55</v>
      </c>
      <c r="D14" s="324" t="s">
        <v>102</v>
      </c>
      <c r="E14" s="325"/>
      <c r="F14" s="325"/>
      <c r="G14" s="325"/>
      <c r="H14" s="325"/>
      <c r="I14" s="325"/>
      <c r="J14" s="239"/>
    </row>
    <row r="15" spans="1:13" s="135" customFormat="1" ht="57.6" customHeight="1">
      <c r="A15" s="236" t="s">
        <v>120</v>
      </c>
      <c r="B15" s="237" t="s">
        <v>97</v>
      </c>
      <c r="C15" s="279">
        <f>'PL(2_2)'!N38</f>
        <v>100</v>
      </c>
      <c r="D15" s="324" t="s">
        <v>102</v>
      </c>
      <c r="E15" s="325"/>
      <c r="F15" s="326"/>
      <c r="G15" s="325"/>
      <c r="H15" s="325"/>
      <c r="I15" s="325"/>
      <c r="J15" s="240"/>
    </row>
    <row r="16" spans="1:13" s="135" customFormat="1" ht="53.85" customHeight="1">
      <c r="A16" s="236" t="s">
        <v>122</v>
      </c>
      <c r="B16" s="238" t="s">
        <v>97</v>
      </c>
      <c r="C16" s="279">
        <f>'PL(2_2)'!I38</f>
        <v>80</v>
      </c>
      <c r="D16" s="324" t="s">
        <v>103</v>
      </c>
      <c r="E16" s="279">
        <f>'PL(2_2)'!J38</f>
        <v>80</v>
      </c>
      <c r="F16" s="324" t="s">
        <v>104</v>
      </c>
      <c r="G16" s="279">
        <f>'PL(2_2)'!K38</f>
        <v>80</v>
      </c>
      <c r="H16" s="324" t="s">
        <v>105</v>
      </c>
      <c r="I16" s="337">
        <f>'PL(2_2)'!L38</f>
        <v>0.51200000000000001</v>
      </c>
      <c r="J16" s="241" t="s">
        <v>106</v>
      </c>
    </row>
    <row r="17" spans="1:13" s="135" customFormat="1" ht="31.35" customHeight="1">
      <c r="A17" s="140" t="s">
        <v>113</v>
      </c>
      <c r="B17" s="136" t="s">
        <v>97</v>
      </c>
      <c r="C17" s="187" t="s">
        <v>174</v>
      </c>
      <c r="D17" s="188"/>
      <c r="E17" s="189"/>
      <c r="F17" s="188"/>
      <c r="G17" s="189"/>
      <c r="H17" s="188"/>
      <c r="I17" s="190"/>
      <c r="J17" s="191"/>
    </row>
    <row r="18" spans="1:13" s="135" customFormat="1" ht="45">
      <c r="A18" s="140" t="s">
        <v>123</v>
      </c>
      <c r="B18" s="136" t="s">
        <v>97</v>
      </c>
      <c r="C18" s="187" t="s">
        <v>166</v>
      </c>
      <c r="D18" s="188"/>
      <c r="E18" s="189"/>
      <c r="F18" s="188"/>
      <c r="G18" s="189"/>
      <c r="H18" s="188"/>
      <c r="I18" s="190"/>
      <c r="J18" s="191"/>
    </row>
    <row r="19" spans="1:13" s="135" customFormat="1">
      <c r="A19" s="141" t="s">
        <v>107</v>
      </c>
      <c r="B19" s="136" t="s">
        <v>97</v>
      </c>
      <c r="C19" s="281" t="s">
        <v>176</v>
      </c>
      <c r="D19" s="188"/>
      <c r="E19" s="189"/>
      <c r="F19" s="188"/>
      <c r="G19" s="189"/>
      <c r="H19" s="188"/>
      <c r="I19" s="190"/>
      <c r="J19" s="191"/>
    </row>
    <row r="20" spans="1:13" s="135" customFormat="1" ht="40.35" customHeight="1">
      <c r="A20" s="142" t="s">
        <v>108</v>
      </c>
      <c r="B20" s="138" t="s">
        <v>97</v>
      </c>
      <c r="C20" s="252" t="s">
        <v>109</v>
      </c>
      <c r="D20" s="184"/>
      <c r="E20" s="184"/>
      <c r="F20" s="184"/>
      <c r="G20" s="184"/>
      <c r="H20" s="184"/>
      <c r="I20" s="184"/>
      <c r="J20" s="185"/>
    </row>
    <row r="21" spans="1:13" ht="120" hidden="1" customHeight="1" thickBot="1"/>
    <row r="22" spans="1:13" ht="55.35" hidden="1" customHeight="1"/>
    <row r="23" spans="1:13" ht="55.35" hidden="1" customHeight="1" thickBot="1"/>
    <row r="24" spans="1:13" ht="40.35" hidden="1" customHeight="1"/>
    <row r="25" spans="1:13" s="135" customFormat="1" ht="40.35" hidden="1" customHeight="1">
      <c r="A25" s="133"/>
      <c r="B25" s="134"/>
      <c r="C25" s="133"/>
      <c r="D25" s="133"/>
      <c r="E25" s="133"/>
      <c r="F25" s="133"/>
      <c r="G25" s="133"/>
      <c r="H25" s="133"/>
      <c r="I25" s="133"/>
      <c r="J25" s="133"/>
    </row>
    <row r="26" spans="1:13" s="135" customFormat="1" ht="55.5" hidden="1" customHeight="1">
      <c r="A26" s="133"/>
      <c r="B26" s="134"/>
      <c r="C26" s="133"/>
      <c r="D26" s="133"/>
      <c r="E26" s="133"/>
      <c r="F26" s="133"/>
      <c r="G26" s="133"/>
      <c r="H26" s="133"/>
      <c r="I26" s="133"/>
      <c r="J26" s="133"/>
    </row>
    <row r="27" spans="1:13" s="135" customFormat="1" ht="53.25" hidden="1" customHeight="1">
      <c r="A27" s="133"/>
      <c r="B27" s="134"/>
      <c r="C27" s="133"/>
      <c r="D27" s="133"/>
      <c r="E27" s="133"/>
      <c r="F27" s="133"/>
      <c r="G27" s="133"/>
      <c r="H27" s="133"/>
      <c r="I27" s="133"/>
      <c r="J27" s="133"/>
    </row>
    <row r="28" spans="1:13" s="135" customFormat="1" ht="99.75" hidden="1" customHeight="1">
      <c r="A28" s="133"/>
      <c r="B28" s="134"/>
      <c r="C28" s="133"/>
      <c r="D28" s="133"/>
      <c r="E28" s="133"/>
      <c r="F28" s="133"/>
      <c r="G28" s="133"/>
      <c r="H28" s="133"/>
      <c r="I28" s="133"/>
      <c r="J28" s="133"/>
    </row>
    <row r="29" spans="1:13" s="135" customFormat="1" ht="40.35" hidden="1" customHeight="1">
      <c r="A29" s="133"/>
      <c r="B29" s="134"/>
      <c r="C29" s="133"/>
      <c r="D29" s="133"/>
      <c r="E29" s="133"/>
      <c r="F29" s="133"/>
      <c r="G29" s="133"/>
      <c r="H29" s="133"/>
      <c r="I29" s="133"/>
      <c r="J29" s="133"/>
    </row>
    <row r="30" spans="1:13" s="135" customFormat="1" ht="40.35" hidden="1" customHeight="1">
      <c r="A30" s="133"/>
      <c r="B30" s="134"/>
      <c r="C30" s="133"/>
      <c r="D30" s="133"/>
      <c r="E30" s="133"/>
      <c r="F30" s="133"/>
      <c r="G30" s="133"/>
      <c r="H30" s="133"/>
      <c r="I30" s="133"/>
      <c r="J30" s="133"/>
    </row>
    <row r="31" spans="1:13" s="135" customFormat="1" ht="75" hidden="1" customHeight="1">
      <c r="A31" s="133"/>
      <c r="B31" s="134"/>
      <c r="C31" s="133"/>
      <c r="D31" s="133"/>
      <c r="E31" s="133"/>
      <c r="F31" s="133"/>
      <c r="G31" s="133"/>
      <c r="H31" s="133"/>
      <c r="I31" s="133"/>
      <c r="J31" s="133"/>
    </row>
    <row r="32" spans="1:13" s="135" customFormat="1" ht="40.35" hidden="1" customHeight="1">
      <c r="A32" s="133"/>
      <c r="B32" s="134"/>
      <c r="C32" s="133"/>
      <c r="D32" s="133"/>
      <c r="E32" s="133"/>
      <c r="F32" s="133"/>
      <c r="G32" s="133"/>
      <c r="H32" s="133"/>
      <c r="I32" s="133"/>
      <c r="J32" s="133"/>
      <c r="M32" s="137"/>
    </row>
    <row r="33" spans="1:10" s="135" customFormat="1" ht="40.35" hidden="1" customHeight="1">
      <c r="A33" s="133"/>
      <c r="B33" s="134"/>
      <c r="C33" s="133"/>
      <c r="D33" s="133"/>
      <c r="E33" s="133"/>
      <c r="F33" s="133"/>
      <c r="G33" s="133"/>
      <c r="H33" s="133"/>
      <c r="I33" s="133"/>
      <c r="J33" s="133"/>
    </row>
    <row r="34" spans="1:10" s="135" customFormat="1" ht="40.35" hidden="1" customHeight="1">
      <c r="A34" s="133"/>
      <c r="B34" s="134"/>
      <c r="C34" s="133"/>
      <c r="D34" s="133"/>
      <c r="E34" s="133"/>
      <c r="F34" s="133"/>
      <c r="G34" s="133"/>
      <c r="H34" s="133"/>
      <c r="I34" s="133"/>
      <c r="J34" s="133"/>
    </row>
    <row r="35" spans="1:10" s="135" customFormat="1" ht="40.35" hidden="1" customHeight="1">
      <c r="A35" s="133"/>
      <c r="B35" s="134"/>
      <c r="C35" s="133"/>
      <c r="D35" s="133"/>
      <c r="E35" s="133"/>
      <c r="F35" s="133"/>
      <c r="G35" s="133"/>
      <c r="H35" s="133"/>
      <c r="I35" s="133"/>
      <c r="J35" s="133"/>
    </row>
    <row r="36" spans="1:10" s="135" customFormat="1" ht="40.35" hidden="1" customHeight="1">
      <c r="A36" s="133"/>
      <c r="B36" s="134"/>
      <c r="C36" s="133"/>
      <c r="D36" s="133"/>
      <c r="E36" s="133"/>
      <c r="F36" s="133"/>
      <c r="G36" s="133"/>
      <c r="H36" s="133"/>
      <c r="I36" s="133"/>
      <c r="J36" s="133"/>
    </row>
    <row r="37" spans="1:10" s="135" customFormat="1" ht="40.35" hidden="1" customHeight="1">
      <c r="A37" s="133"/>
      <c r="B37" s="134"/>
      <c r="C37" s="133"/>
      <c r="D37" s="133"/>
      <c r="E37" s="133"/>
      <c r="F37" s="133"/>
      <c r="G37" s="133"/>
      <c r="H37" s="133"/>
      <c r="I37" s="133"/>
      <c r="J37" s="133"/>
    </row>
    <row r="38" spans="1:10" s="135" customFormat="1" ht="40.35" hidden="1" customHeight="1">
      <c r="A38" s="133"/>
      <c r="B38" s="134"/>
      <c r="C38" s="133"/>
      <c r="D38" s="133"/>
      <c r="E38" s="133"/>
      <c r="F38" s="133"/>
      <c r="G38" s="133"/>
      <c r="H38" s="133"/>
      <c r="I38" s="133"/>
      <c r="J38" s="133"/>
    </row>
    <row r="39" spans="1:10" s="135" customFormat="1" ht="40.35" hidden="1" customHeight="1">
      <c r="A39" s="133"/>
      <c r="B39" s="134"/>
      <c r="C39" s="133"/>
      <c r="D39" s="133"/>
      <c r="E39" s="133"/>
      <c r="F39" s="133"/>
      <c r="G39" s="133"/>
      <c r="H39" s="133"/>
      <c r="I39" s="133"/>
      <c r="J39" s="13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R73"/>
  <sheetViews>
    <sheetView view="pageBreakPreview" zoomScale="85" zoomScaleNormal="100" zoomScaleSheetLayoutView="85" workbookViewId="0">
      <selection activeCell="B26" sqref="B26:F27"/>
    </sheetView>
  </sheetViews>
  <sheetFormatPr defaultColWidth="8.88671875" defaultRowHeight="14.25"/>
  <cols>
    <col min="1" max="1" width="11.34375" style="56" customWidth="1"/>
    <col min="2" max="2" width="28.65234375" style="56" customWidth="1"/>
    <col min="3" max="3" width="46.42578125" style="63" customWidth="1"/>
    <col min="4" max="4" width="10.875" style="181" customWidth="1"/>
    <col min="5" max="5" width="7.3671875" style="61" customWidth="1"/>
    <col min="6" max="7" width="22.8046875" style="180" customWidth="1"/>
    <col min="8" max="8" width="49.3515625" style="56" customWidth="1"/>
    <col min="9" max="10" width="8.88671875" style="63"/>
    <col min="11" max="16384" width="8.88671875" style="56"/>
  </cols>
  <sheetData>
    <row r="1" spans="1:10" s="154" customFormat="1">
      <c r="C1" s="155"/>
      <c r="D1" s="156"/>
      <c r="E1" s="157"/>
      <c r="G1" s="56"/>
      <c r="H1" s="120"/>
      <c r="I1" s="155"/>
      <c r="J1" s="155"/>
    </row>
    <row r="2" spans="1:10" s="154" customFormat="1">
      <c r="C2" s="155"/>
      <c r="D2" s="156"/>
      <c r="E2" s="157"/>
      <c r="G2" s="56"/>
      <c r="H2" s="120"/>
      <c r="I2" s="155"/>
      <c r="J2" s="155"/>
    </row>
    <row r="3" spans="1:10" s="154" customFormat="1">
      <c r="C3" s="155"/>
      <c r="D3" s="156"/>
      <c r="E3" s="157"/>
      <c r="G3" s="56"/>
      <c r="H3" s="120"/>
      <c r="I3" s="155"/>
      <c r="J3" s="155"/>
    </row>
    <row r="4" spans="1:10" s="154" customFormat="1">
      <c r="C4" s="155"/>
      <c r="D4" s="156"/>
      <c r="E4" s="157"/>
      <c r="G4" s="56"/>
      <c r="H4" s="120"/>
      <c r="I4" s="155"/>
      <c r="J4" s="155"/>
    </row>
    <row r="5" spans="1:10" s="154" customFormat="1">
      <c r="C5" s="155"/>
      <c r="D5" s="156"/>
      <c r="E5" s="157"/>
      <c r="G5" s="246"/>
      <c r="H5" s="120"/>
      <c r="I5" s="155"/>
      <c r="J5" s="155"/>
    </row>
    <row r="6" spans="1:10" ht="35.25" customHeight="1">
      <c r="A6" s="406" t="s">
        <v>129</v>
      </c>
      <c r="B6" s="406"/>
      <c r="C6" s="406"/>
      <c r="D6" s="406"/>
      <c r="E6" s="406"/>
      <c r="F6" s="406"/>
      <c r="G6" s="406"/>
      <c r="H6" s="406"/>
    </row>
    <row r="7" spans="1:10" s="110" customFormat="1" ht="20.25" customHeight="1" thickBot="1">
      <c r="A7" s="158" t="s">
        <v>130</v>
      </c>
      <c r="B7" s="247" t="str">
        <f>'Commercial Invoice'!H5</f>
        <v>OM4-DE-IS-0005</v>
      </c>
      <c r="C7" s="159"/>
      <c r="D7" s="160"/>
      <c r="E7" s="109"/>
      <c r="F7" s="161"/>
      <c r="G7" s="161"/>
      <c r="I7" s="159"/>
      <c r="J7" s="159"/>
    </row>
    <row r="8" spans="1:10" s="163" customFormat="1" ht="21.95" customHeight="1">
      <c r="A8" s="537" t="s">
        <v>131</v>
      </c>
      <c r="B8" s="539" t="s">
        <v>132</v>
      </c>
      <c r="C8" s="539" t="s">
        <v>133</v>
      </c>
      <c r="D8" s="541" t="s">
        <v>134</v>
      </c>
      <c r="E8" s="542"/>
      <c r="F8" s="543" t="s">
        <v>135</v>
      </c>
      <c r="G8" s="544"/>
      <c r="H8" s="545" t="s">
        <v>136</v>
      </c>
      <c r="I8" s="162"/>
      <c r="J8" s="162"/>
    </row>
    <row r="9" spans="1:10" s="163" customFormat="1" ht="21.95" customHeight="1">
      <c r="A9" s="538"/>
      <c r="B9" s="540"/>
      <c r="C9" s="540"/>
      <c r="D9" s="164" t="s">
        <v>137</v>
      </c>
      <c r="E9" s="186" t="s">
        <v>138</v>
      </c>
      <c r="F9" s="165" t="s">
        <v>139</v>
      </c>
      <c r="G9" s="165" t="s">
        <v>140</v>
      </c>
      <c r="H9" s="546"/>
      <c r="I9" s="162"/>
      <c r="J9" s="162"/>
    </row>
    <row r="10" spans="1:10" s="163" customFormat="1" ht="18">
      <c r="A10" s="248">
        <v>1</v>
      </c>
      <c r="B10" s="249" t="s">
        <v>180</v>
      </c>
      <c r="C10" s="298" t="s">
        <v>208</v>
      </c>
      <c r="D10" s="164">
        <v>1</v>
      </c>
      <c r="E10" s="186" t="s">
        <v>204</v>
      </c>
      <c r="F10" s="297"/>
      <c r="G10" s="297"/>
      <c r="H10" s="280"/>
      <c r="I10" s="162"/>
      <c r="J10" s="162"/>
    </row>
    <row r="11" spans="1:10" s="163" customFormat="1" ht="18">
      <c r="A11" s="248">
        <v>2</v>
      </c>
      <c r="B11" s="249" t="s">
        <v>181</v>
      </c>
      <c r="C11" s="298" t="s">
        <v>208</v>
      </c>
      <c r="D11" s="164">
        <v>1</v>
      </c>
      <c r="E11" s="186" t="s">
        <v>204</v>
      </c>
      <c r="F11" s="297"/>
      <c r="G11" s="297"/>
      <c r="H11" s="280"/>
      <c r="I11" s="162"/>
      <c r="J11" s="162"/>
    </row>
    <row r="12" spans="1:10" s="163" customFormat="1" ht="18">
      <c r="A12" s="248">
        <v>3</v>
      </c>
      <c r="B12" s="249" t="s">
        <v>182</v>
      </c>
      <c r="C12" s="298" t="s">
        <v>239</v>
      </c>
      <c r="D12" s="164">
        <v>1</v>
      </c>
      <c r="E12" s="186" t="s">
        <v>204</v>
      </c>
      <c r="F12" s="297"/>
      <c r="G12" s="297"/>
      <c r="H12" s="280"/>
      <c r="I12" s="162"/>
      <c r="J12" s="162"/>
    </row>
    <row r="13" spans="1:10" s="163" customFormat="1" ht="18">
      <c r="A13" s="248">
        <v>4</v>
      </c>
      <c r="B13" s="249" t="s">
        <v>183</v>
      </c>
      <c r="C13" s="298" t="s">
        <v>209</v>
      </c>
      <c r="D13" s="164">
        <v>1</v>
      </c>
      <c r="E13" s="186" t="s">
        <v>204</v>
      </c>
      <c r="F13" s="297"/>
      <c r="G13" s="297"/>
      <c r="H13" s="280"/>
      <c r="I13" s="162"/>
      <c r="J13" s="162"/>
    </row>
    <row r="14" spans="1:10" s="163" customFormat="1" ht="18">
      <c r="A14" s="248">
        <v>5</v>
      </c>
      <c r="B14" s="249" t="s">
        <v>184</v>
      </c>
      <c r="C14" s="298" t="s">
        <v>209</v>
      </c>
      <c r="D14" s="164">
        <v>1</v>
      </c>
      <c r="E14" s="186" t="s">
        <v>204</v>
      </c>
      <c r="F14" s="297"/>
      <c r="G14" s="297"/>
      <c r="H14" s="280"/>
      <c r="I14" s="162"/>
      <c r="J14" s="162"/>
    </row>
    <row r="15" spans="1:10" s="163" customFormat="1" ht="18">
      <c r="A15" s="248">
        <v>6</v>
      </c>
      <c r="B15" s="249" t="s">
        <v>185</v>
      </c>
      <c r="C15" s="298" t="s">
        <v>210</v>
      </c>
      <c r="D15" s="164">
        <v>1</v>
      </c>
      <c r="E15" s="186" t="s">
        <v>204</v>
      </c>
      <c r="F15" s="297"/>
      <c r="G15" s="297"/>
      <c r="H15" s="280"/>
      <c r="I15" s="162"/>
      <c r="J15" s="162"/>
    </row>
    <row r="16" spans="1:10" s="163" customFormat="1" ht="18">
      <c r="A16" s="248">
        <v>7</v>
      </c>
      <c r="B16" s="249" t="s">
        <v>186</v>
      </c>
      <c r="C16" s="298" t="s">
        <v>211</v>
      </c>
      <c r="D16" s="164">
        <v>1</v>
      </c>
      <c r="E16" s="186" t="s">
        <v>204</v>
      </c>
      <c r="F16" s="297"/>
      <c r="G16" s="297"/>
      <c r="H16" s="280"/>
      <c r="I16" s="162"/>
      <c r="J16" s="162"/>
    </row>
    <row r="17" spans="1:10" s="163" customFormat="1" ht="18">
      <c r="A17" s="248">
        <v>8</v>
      </c>
      <c r="B17" s="249" t="s">
        <v>187</v>
      </c>
      <c r="C17" s="298" t="s">
        <v>212</v>
      </c>
      <c r="D17" s="164">
        <v>1</v>
      </c>
      <c r="E17" s="186" t="s">
        <v>204</v>
      </c>
      <c r="F17" s="297"/>
      <c r="G17" s="297"/>
      <c r="H17" s="280"/>
      <c r="I17" s="162"/>
      <c r="J17" s="162"/>
    </row>
    <row r="18" spans="1:10" s="163" customFormat="1" ht="18">
      <c r="A18" s="248">
        <v>9</v>
      </c>
      <c r="B18" s="249" t="s">
        <v>188</v>
      </c>
      <c r="C18" s="298" t="s">
        <v>213</v>
      </c>
      <c r="D18" s="164">
        <v>1</v>
      </c>
      <c r="E18" s="186" t="s">
        <v>204</v>
      </c>
      <c r="F18" s="297"/>
      <c r="G18" s="297"/>
      <c r="H18" s="280"/>
      <c r="I18" s="162"/>
      <c r="J18" s="162"/>
    </row>
    <row r="19" spans="1:10" s="163" customFormat="1" ht="18">
      <c r="A19" s="248">
        <v>10</v>
      </c>
      <c r="B19" s="249" t="s">
        <v>189</v>
      </c>
      <c r="C19" s="298" t="s">
        <v>214</v>
      </c>
      <c r="D19" s="164">
        <v>1</v>
      </c>
      <c r="E19" s="186" t="s">
        <v>204</v>
      </c>
      <c r="F19" s="297"/>
      <c r="G19" s="297"/>
      <c r="H19" s="280"/>
      <c r="I19" s="162"/>
      <c r="J19" s="162"/>
    </row>
    <row r="20" spans="1:10" s="163" customFormat="1" ht="18">
      <c r="A20" s="248">
        <v>11</v>
      </c>
      <c r="B20" s="249" t="s">
        <v>190</v>
      </c>
      <c r="C20" s="298" t="s">
        <v>215</v>
      </c>
      <c r="D20" s="164">
        <v>1</v>
      </c>
      <c r="E20" s="186" t="s">
        <v>204</v>
      </c>
      <c r="F20" s="297"/>
      <c r="G20" s="297"/>
      <c r="H20" s="280"/>
      <c r="I20" s="162"/>
      <c r="J20" s="162"/>
    </row>
    <row r="21" spans="1:10" s="163" customFormat="1" ht="18">
      <c r="A21" s="248">
        <v>12</v>
      </c>
      <c r="B21" s="249" t="s">
        <v>191</v>
      </c>
      <c r="C21" s="298" t="s">
        <v>240</v>
      </c>
      <c r="D21" s="164">
        <v>1</v>
      </c>
      <c r="E21" s="186" t="s">
        <v>204</v>
      </c>
      <c r="F21" s="297"/>
      <c r="G21" s="297"/>
      <c r="H21" s="280"/>
      <c r="I21" s="162"/>
      <c r="J21" s="162"/>
    </row>
    <row r="22" spans="1:10" s="168" customFormat="1" ht="18">
      <c r="A22" s="248">
        <v>13</v>
      </c>
      <c r="B22" s="249" t="s">
        <v>192</v>
      </c>
      <c r="C22" s="298" t="s">
        <v>208</v>
      </c>
      <c r="D22" s="164">
        <v>1</v>
      </c>
      <c r="E22" s="186" t="s">
        <v>204</v>
      </c>
      <c r="F22" s="250"/>
      <c r="G22" s="250"/>
      <c r="H22" s="251"/>
      <c r="I22" s="166"/>
      <c r="J22" s="167"/>
    </row>
    <row r="23" spans="1:10" s="168" customFormat="1" ht="18">
      <c r="A23" s="248">
        <v>14</v>
      </c>
      <c r="B23" s="249" t="s">
        <v>193</v>
      </c>
      <c r="C23" s="298" t="s">
        <v>208</v>
      </c>
      <c r="D23" s="164">
        <v>1</v>
      </c>
      <c r="E23" s="186" t="s">
        <v>204</v>
      </c>
      <c r="F23" s="250"/>
      <c r="G23" s="250"/>
      <c r="H23" s="251"/>
      <c r="I23" s="166"/>
      <c r="J23" s="167"/>
    </row>
    <row r="24" spans="1:10" s="168" customFormat="1" ht="18">
      <c r="A24" s="248">
        <v>15</v>
      </c>
      <c r="B24" s="249" t="s">
        <v>194</v>
      </c>
      <c r="C24" s="298" t="s">
        <v>239</v>
      </c>
      <c r="D24" s="164">
        <v>1</v>
      </c>
      <c r="E24" s="186" t="s">
        <v>204</v>
      </c>
      <c r="F24" s="250"/>
      <c r="G24" s="250"/>
      <c r="H24" s="251"/>
      <c r="I24" s="166"/>
      <c r="J24" s="167"/>
    </row>
    <row r="25" spans="1:10" s="168" customFormat="1" ht="18">
      <c r="A25" s="248">
        <v>16</v>
      </c>
      <c r="B25" s="249" t="s">
        <v>195</v>
      </c>
      <c r="C25" s="298" t="s">
        <v>209</v>
      </c>
      <c r="D25" s="164">
        <v>1</v>
      </c>
      <c r="E25" s="186" t="s">
        <v>204</v>
      </c>
      <c r="F25" s="250"/>
      <c r="G25" s="250"/>
      <c r="H25" s="251"/>
      <c r="I25" s="166"/>
      <c r="J25" s="167"/>
    </row>
    <row r="26" spans="1:10" s="168" customFormat="1" ht="18">
      <c r="A26" s="248">
        <v>17</v>
      </c>
      <c r="B26" s="249" t="s">
        <v>196</v>
      </c>
      <c r="C26" s="298" t="s">
        <v>209</v>
      </c>
      <c r="D26" s="164">
        <v>1</v>
      </c>
      <c r="E26" s="186" t="s">
        <v>204</v>
      </c>
      <c r="F26" s="250"/>
      <c r="G26" s="250"/>
      <c r="H26" s="251"/>
      <c r="I26" s="166"/>
      <c r="J26" s="167"/>
    </row>
    <row r="27" spans="1:10" ht="18.75">
      <c r="A27" s="248">
        <v>18</v>
      </c>
      <c r="B27" s="249" t="s">
        <v>197</v>
      </c>
      <c r="C27" s="298" t="s">
        <v>210</v>
      </c>
      <c r="D27" s="164">
        <v>1</v>
      </c>
      <c r="E27" s="186" t="s">
        <v>204</v>
      </c>
      <c r="F27" s="242"/>
      <c r="G27" s="242"/>
      <c r="H27" s="251"/>
    </row>
    <row r="28" spans="1:10" ht="18.75">
      <c r="A28" s="248">
        <v>19</v>
      </c>
      <c r="B28" s="249" t="s">
        <v>198</v>
      </c>
      <c r="C28" s="298" t="s">
        <v>211</v>
      </c>
      <c r="D28" s="164">
        <v>1</v>
      </c>
      <c r="E28" s="186" t="s">
        <v>204</v>
      </c>
      <c r="F28" s="243"/>
      <c r="G28" s="243"/>
      <c r="H28" s="251"/>
    </row>
    <row r="29" spans="1:10" ht="18.75">
      <c r="A29" s="248">
        <v>20</v>
      </c>
      <c r="B29" s="249" t="s">
        <v>199</v>
      </c>
      <c r="C29" s="298" t="s">
        <v>212</v>
      </c>
      <c r="D29" s="164">
        <v>1</v>
      </c>
      <c r="E29" s="186" t="s">
        <v>204</v>
      </c>
      <c r="F29" s="243"/>
      <c r="G29" s="243"/>
      <c r="H29" s="251"/>
    </row>
    <row r="30" spans="1:10" ht="18.75">
      <c r="A30" s="248">
        <v>21</v>
      </c>
      <c r="B30" s="249" t="s">
        <v>200</v>
      </c>
      <c r="C30" s="298" t="s">
        <v>213</v>
      </c>
      <c r="D30" s="164">
        <v>1</v>
      </c>
      <c r="E30" s="186" t="s">
        <v>204</v>
      </c>
      <c r="F30" s="243"/>
      <c r="G30" s="243"/>
      <c r="H30" s="251"/>
    </row>
    <row r="31" spans="1:10" ht="18.75">
      <c r="A31" s="248">
        <v>22</v>
      </c>
      <c r="B31" s="249" t="s">
        <v>201</v>
      </c>
      <c r="C31" s="298" t="s">
        <v>214</v>
      </c>
      <c r="D31" s="164">
        <v>1</v>
      </c>
      <c r="E31" s="186" t="s">
        <v>204</v>
      </c>
      <c r="F31" s="243"/>
      <c r="G31" s="243"/>
      <c r="H31" s="251"/>
    </row>
    <row r="32" spans="1:10" ht="18.75">
      <c r="A32" s="248">
        <v>23</v>
      </c>
      <c r="B32" s="249" t="s">
        <v>202</v>
      </c>
      <c r="C32" s="298" t="s">
        <v>215</v>
      </c>
      <c r="D32" s="164">
        <v>1</v>
      </c>
      <c r="E32" s="186" t="s">
        <v>204</v>
      </c>
      <c r="F32" s="243"/>
      <c r="G32" s="243"/>
      <c r="H32" s="251"/>
    </row>
    <row r="33" spans="1:10" s="168" customFormat="1" ht="18.75" thickBot="1">
      <c r="A33" s="248">
        <v>24</v>
      </c>
      <c r="B33" s="249" t="s">
        <v>203</v>
      </c>
      <c r="C33" s="298" t="s">
        <v>240</v>
      </c>
      <c r="D33" s="164">
        <v>1</v>
      </c>
      <c r="E33" s="186" t="s">
        <v>204</v>
      </c>
      <c r="F33" s="250"/>
      <c r="G33" s="250"/>
      <c r="H33" s="251"/>
      <c r="I33" s="166"/>
      <c r="J33" s="167"/>
    </row>
    <row r="34" spans="1:10" s="169" customFormat="1" ht="29.25" customHeight="1">
      <c r="D34" s="170"/>
      <c r="E34" s="171"/>
      <c r="F34" s="244"/>
      <c r="G34" s="245"/>
      <c r="H34" s="172"/>
      <c r="I34" s="173"/>
      <c r="J34" s="173"/>
    </row>
    <row r="35" spans="1:10" s="154" customFormat="1" ht="12" customHeight="1">
      <c r="B35" s="157"/>
      <c r="D35" s="174"/>
      <c r="E35" s="157"/>
      <c r="F35" s="175"/>
      <c r="G35" s="175"/>
      <c r="H35" s="176"/>
      <c r="I35" s="155"/>
      <c r="J35" s="155"/>
    </row>
    <row r="36" spans="1:10" s="154" customFormat="1" ht="18" customHeight="1">
      <c r="B36" s="157"/>
      <c r="D36" s="174"/>
      <c r="E36" s="157"/>
      <c r="F36" s="175"/>
      <c r="G36" s="175"/>
      <c r="H36" s="176"/>
      <c r="I36" s="155"/>
      <c r="J36" s="155"/>
    </row>
    <row r="37" spans="1:10" s="154" customFormat="1" ht="12" customHeight="1">
      <c r="B37" s="157"/>
      <c r="D37" s="174"/>
      <c r="E37" s="157"/>
      <c r="F37" s="175"/>
      <c r="G37" s="175"/>
      <c r="H37" s="176"/>
      <c r="I37" s="155"/>
      <c r="J37" s="155"/>
    </row>
    <row r="38" spans="1:10" s="154" customFormat="1" ht="12" customHeight="1">
      <c r="B38" s="157"/>
      <c r="D38" s="174"/>
      <c r="E38" s="157"/>
      <c r="F38" s="175"/>
      <c r="G38" s="175"/>
      <c r="H38" s="176"/>
      <c r="I38" s="155"/>
      <c r="J38" s="155"/>
    </row>
    <row r="39" spans="1:10" s="154" customFormat="1" ht="12" customHeight="1">
      <c r="B39" s="157"/>
      <c r="D39" s="174"/>
      <c r="E39" s="157"/>
      <c r="F39" s="175"/>
      <c r="G39" s="175"/>
      <c r="H39" s="176"/>
      <c r="I39" s="155"/>
      <c r="J39" s="155"/>
    </row>
    <row r="40" spans="1:10" s="154" customFormat="1" ht="12" customHeight="1">
      <c r="B40" s="157"/>
      <c r="D40" s="174"/>
      <c r="E40" s="157"/>
      <c r="F40" s="175"/>
      <c r="G40" s="175"/>
      <c r="H40" s="176"/>
      <c r="I40" s="155"/>
      <c r="J40" s="155"/>
    </row>
    <row r="41" spans="1:10" s="154" customFormat="1" ht="12" customHeight="1">
      <c r="B41" s="157"/>
      <c r="D41" s="174"/>
      <c r="E41" s="157"/>
      <c r="F41" s="175"/>
      <c r="G41" s="175"/>
      <c r="H41" s="176"/>
      <c r="I41" s="155"/>
      <c r="J41" s="155"/>
    </row>
    <row r="42" spans="1:10" s="154" customFormat="1" ht="13.5" customHeight="1">
      <c r="B42" s="157"/>
      <c r="D42" s="174"/>
      <c r="E42" s="157"/>
      <c r="F42" s="175"/>
      <c r="G42" s="175"/>
      <c r="H42" s="176"/>
      <c r="I42" s="155"/>
      <c r="J42" s="155"/>
    </row>
    <row r="43" spans="1:10" s="154" customFormat="1" ht="13.5" customHeight="1">
      <c r="B43" s="157"/>
      <c r="D43" s="174"/>
      <c r="E43" s="157"/>
      <c r="F43" s="175"/>
      <c r="G43" s="175"/>
      <c r="H43" s="176"/>
      <c r="I43" s="155"/>
      <c r="J43" s="155"/>
    </row>
    <row r="44" spans="1:10" s="154" customFormat="1" ht="13.5" customHeight="1">
      <c r="B44" s="157"/>
      <c r="D44" s="174"/>
      <c r="E44" s="157"/>
      <c r="F44" s="175"/>
      <c r="G44" s="175"/>
      <c r="H44" s="176"/>
      <c r="I44" s="155"/>
      <c r="J44" s="155"/>
    </row>
    <row r="45" spans="1:10" s="154" customFormat="1" ht="29.25" customHeight="1">
      <c r="B45" s="157"/>
      <c r="D45" s="174"/>
      <c r="E45" s="157"/>
      <c r="F45" s="175"/>
      <c r="G45" s="175"/>
      <c r="H45" s="176"/>
      <c r="I45" s="155"/>
      <c r="J45" s="155"/>
    </row>
    <row r="46" spans="1:10" s="154" customFormat="1" ht="13.5" customHeight="1">
      <c r="B46" s="157"/>
      <c r="D46" s="174"/>
      <c r="E46" s="157"/>
      <c r="F46" s="175"/>
      <c r="G46" s="175"/>
      <c r="H46" s="176"/>
      <c r="I46" s="155"/>
      <c r="J46" s="155"/>
    </row>
    <row r="47" spans="1:10" s="154" customFormat="1" ht="13.5" customHeight="1">
      <c r="B47" s="157"/>
      <c r="D47" s="174"/>
      <c r="E47" s="157"/>
      <c r="F47" s="175"/>
      <c r="G47" s="175"/>
      <c r="H47" s="176"/>
      <c r="I47" s="155"/>
      <c r="J47" s="155"/>
    </row>
    <row r="48" spans="1:10" s="154" customFormat="1" ht="13.5" customHeight="1">
      <c r="B48" s="157"/>
      <c r="D48" s="174"/>
      <c r="E48" s="157"/>
      <c r="F48" s="175"/>
      <c r="G48" s="175"/>
      <c r="H48" s="176"/>
      <c r="I48" s="155"/>
      <c r="J48" s="155"/>
    </row>
    <row r="49" spans="2:10" s="154" customFormat="1" ht="13.5" customHeight="1">
      <c r="B49" s="157"/>
      <c r="D49" s="174"/>
      <c r="E49" s="157"/>
      <c r="F49" s="175"/>
      <c r="G49" s="175"/>
      <c r="H49" s="176"/>
      <c r="I49" s="155"/>
      <c r="J49" s="155"/>
    </row>
    <row r="50" spans="2:10" s="154" customFormat="1" ht="13.5" customHeight="1">
      <c r="B50" s="157"/>
      <c r="D50" s="174"/>
      <c r="E50" s="157"/>
      <c r="F50" s="175"/>
      <c r="G50" s="175"/>
      <c r="H50" s="176"/>
      <c r="I50" s="155"/>
      <c r="J50" s="155"/>
    </row>
    <row r="51" spans="2:10" s="154" customFormat="1" ht="13.5" customHeight="1">
      <c r="B51" s="157"/>
      <c r="D51" s="174"/>
      <c r="E51" s="157"/>
      <c r="F51" s="175"/>
      <c r="G51" s="175"/>
      <c r="H51" s="176"/>
      <c r="I51" s="155"/>
      <c r="J51" s="155"/>
    </row>
    <row r="52" spans="2:10" s="154" customFormat="1" ht="13.5" customHeight="1">
      <c r="B52" s="157"/>
      <c r="D52" s="174"/>
      <c r="E52" s="157"/>
      <c r="F52" s="175"/>
      <c r="G52" s="175"/>
      <c r="H52" s="176"/>
      <c r="I52" s="155"/>
      <c r="J52" s="155"/>
    </row>
    <row r="53" spans="2:10" s="154" customFormat="1" ht="13.5" customHeight="1">
      <c r="B53" s="157"/>
      <c r="D53" s="174"/>
      <c r="E53" s="157"/>
      <c r="F53" s="175"/>
      <c r="G53" s="175"/>
      <c r="H53" s="176"/>
      <c r="I53" s="155"/>
      <c r="J53" s="155"/>
    </row>
    <row r="54" spans="2:10" s="154" customFormat="1" ht="13.5" customHeight="1">
      <c r="B54" s="157"/>
      <c r="D54" s="174"/>
      <c r="E54" s="157"/>
      <c r="F54" s="175"/>
      <c r="G54" s="175"/>
      <c r="H54" s="176"/>
      <c r="I54" s="155"/>
      <c r="J54" s="155"/>
    </row>
    <row r="55" spans="2:10" s="154" customFormat="1" ht="13.5" customHeight="1">
      <c r="B55" s="157"/>
      <c r="D55" s="174"/>
      <c r="E55" s="157"/>
      <c r="F55" s="175"/>
      <c r="G55" s="175"/>
      <c r="H55" s="176"/>
      <c r="I55" s="155"/>
      <c r="J55" s="155"/>
    </row>
    <row r="56" spans="2:10" s="154" customFormat="1" ht="13.5" customHeight="1">
      <c r="B56" s="157"/>
      <c r="D56" s="174"/>
      <c r="E56" s="157"/>
      <c r="F56" s="175"/>
      <c r="G56" s="175"/>
      <c r="H56" s="176"/>
      <c r="I56" s="155"/>
      <c r="J56" s="155"/>
    </row>
    <row r="57" spans="2:10" s="154" customFormat="1" ht="13.5" customHeight="1">
      <c r="B57" s="157"/>
      <c r="D57" s="174"/>
      <c r="E57" s="157"/>
      <c r="F57" s="175"/>
      <c r="G57" s="175"/>
      <c r="H57" s="176"/>
      <c r="I57" s="155"/>
      <c r="J57" s="155"/>
    </row>
    <row r="58" spans="2:10" s="154" customFormat="1" ht="13.5" customHeight="1">
      <c r="B58" s="157"/>
      <c r="D58" s="174"/>
      <c r="E58" s="157"/>
      <c r="F58" s="175"/>
      <c r="G58" s="175"/>
      <c r="H58" s="176"/>
      <c r="I58" s="155"/>
      <c r="J58" s="155"/>
    </row>
    <row r="59" spans="2:10" s="154" customFormat="1" ht="13.5" customHeight="1">
      <c r="B59" s="157"/>
      <c r="D59" s="174"/>
      <c r="E59" s="157"/>
      <c r="F59" s="175"/>
      <c r="G59" s="175"/>
      <c r="H59" s="176"/>
      <c r="I59" s="155"/>
      <c r="J59" s="155"/>
    </row>
    <row r="60" spans="2:10" s="154" customFormat="1" ht="13.5" customHeight="1">
      <c r="B60" s="157"/>
      <c r="D60" s="174"/>
      <c r="E60" s="157"/>
      <c r="F60" s="175"/>
      <c r="G60" s="175"/>
      <c r="H60" s="176"/>
      <c r="I60" s="155"/>
      <c r="J60" s="155"/>
    </row>
    <row r="61" spans="2:10" s="154" customFormat="1" ht="13.5" customHeight="1">
      <c r="B61" s="157"/>
      <c r="D61" s="174"/>
      <c r="E61" s="157"/>
      <c r="F61" s="175"/>
      <c r="G61" s="175"/>
      <c r="H61" s="176"/>
      <c r="I61" s="155"/>
      <c r="J61" s="155"/>
    </row>
    <row r="62" spans="2:10" s="154" customFormat="1" ht="13.5" customHeight="1">
      <c r="B62" s="157"/>
      <c r="D62" s="174"/>
      <c r="E62" s="157"/>
      <c r="F62" s="175"/>
      <c r="G62" s="175"/>
      <c r="H62" s="176"/>
      <c r="I62" s="155"/>
      <c r="J62" s="155"/>
    </row>
    <row r="63" spans="2:10" s="154" customFormat="1" ht="13.5" customHeight="1">
      <c r="B63" s="157"/>
      <c r="D63" s="174"/>
      <c r="E63" s="157"/>
      <c r="F63" s="175"/>
      <c r="G63" s="175"/>
      <c r="H63" s="176"/>
      <c r="I63" s="155"/>
      <c r="J63" s="155"/>
    </row>
    <row r="64" spans="2:10" s="154" customFormat="1" ht="13.5" customHeight="1">
      <c r="B64" s="157"/>
      <c r="D64" s="174"/>
      <c r="E64" s="157"/>
      <c r="F64" s="175"/>
      <c r="G64" s="175"/>
      <c r="H64" s="176"/>
      <c r="I64" s="155"/>
      <c r="J64" s="155"/>
    </row>
    <row r="65" spans="1:18" s="154" customFormat="1" ht="13.5" customHeight="1">
      <c r="B65" s="157"/>
      <c r="D65" s="174"/>
      <c r="E65" s="157"/>
      <c r="F65" s="175"/>
      <c r="G65" s="175"/>
      <c r="H65" s="176"/>
      <c r="I65" s="155"/>
      <c r="J65" s="155"/>
    </row>
    <row r="66" spans="1:18" s="154" customFormat="1" ht="13.5" customHeight="1">
      <c r="B66" s="157"/>
      <c r="D66" s="177"/>
      <c r="E66" s="157"/>
      <c r="F66" s="175"/>
      <c r="G66" s="175"/>
      <c r="H66" s="176"/>
      <c r="I66" s="155"/>
      <c r="J66" s="155"/>
    </row>
    <row r="67" spans="1:18" s="154" customFormat="1" ht="22.5" customHeight="1">
      <c r="B67" s="536"/>
      <c r="C67" s="536"/>
      <c r="D67" s="177"/>
      <c r="E67" s="157"/>
      <c r="F67" s="178"/>
      <c r="G67" s="178"/>
      <c r="H67" s="176"/>
      <c r="I67" s="155"/>
      <c r="J67" s="155"/>
    </row>
    <row r="68" spans="1:18">
      <c r="D68" s="179"/>
    </row>
    <row r="69" spans="1:18">
      <c r="D69" s="179"/>
    </row>
    <row r="70" spans="1:18" s="63" customFormat="1">
      <c r="A70" s="56"/>
      <c r="B70" s="56"/>
      <c r="D70" s="179"/>
      <c r="E70" s="61"/>
      <c r="F70" s="180"/>
      <c r="G70" s="180"/>
      <c r="H70" s="56"/>
      <c r="K70" s="56"/>
      <c r="L70" s="56"/>
      <c r="M70" s="56"/>
      <c r="N70" s="56"/>
      <c r="O70" s="56"/>
      <c r="P70" s="56"/>
      <c r="Q70" s="56"/>
      <c r="R70" s="56"/>
    </row>
    <row r="71" spans="1:18" s="63" customFormat="1">
      <c r="A71" s="56"/>
      <c r="B71" s="56"/>
      <c r="D71" s="179"/>
      <c r="E71" s="61"/>
      <c r="F71" s="180"/>
      <c r="G71" s="180"/>
      <c r="H71" s="56"/>
      <c r="K71" s="56"/>
      <c r="L71" s="56"/>
      <c r="M71" s="56"/>
      <c r="N71" s="56"/>
      <c r="O71" s="56"/>
      <c r="P71" s="56"/>
      <c r="Q71" s="56"/>
      <c r="R71" s="56"/>
    </row>
    <row r="72" spans="1:18" s="63" customFormat="1">
      <c r="A72" s="56"/>
      <c r="B72" s="56"/>
      <c r="D72" s="179"/>
      <c r="E72" s="61"/>
      <c r="F72" s="180"/>
      <c r="G72" s="180"/>
      <c r="H72" s="56"/>
      <c r="K72" s="56"/>
      <c r="L72" s="56"/>
      <c r="M72" s="56"/>
      <c r="N72" s="56"/>
      <c r="O72" s="56"/>
      <c r="P72" s="56"/>
      <c r="Q72" s="56"/>
      <c r="R72" s="56"/>
    </row>
    <row r="73" spans="1:18" s="63" customFormat="1">
      <c r="A73" s="56"/>
      <c r="B73" s="56"/>
      <c r="D73" s="179"/>
      <c r="E73" s="61"/>
      <c r="F73" s="180"/>
      <c r="G73" s="180"/>
      <c r="H73" s="56"/>
      <c r="K73" s="56"/>
      <c r="L73" s="56"/>
      <c r="M73" s="56"/>
      <c r="N73" s="56"/>
      <c r="O73" s="56"/>
      <c r="P73" s="56"/>
      <c r="Q73" s="56"/>
      <c r="R73" s="56"/>
    </row>
  </sheetData>
  <protectedRanges>
    <protectedRange sqref="F34 C10:C33 F22:H33" name="범위1_1"/>
  </protectedRanges>
  <autoFilter ref="A8:H33" xr:uid="{00000000-0009-0000-0000-000007000000}"/>
  <mergeCells count="8">
    <mergeCell ref="B67:C67"/>
    <mergeCell ref="A6:H6"/>
    <mergeCell ref="A8:A9"/>
    <mergeCell ref="B8:B9"/>
    <mergeCell ref="C8:C9"/>
    <mergeCell ref="D8:E8"/>
    <mergeCell ref="F8:G8"/>
    <mergeCell ref="H8:H9"/>
  </mergeCells>
  <phoneticPr fontId="33" type="noConversion"/>
  <printOptions horizontalCentered="1"/>
  <pageMargins left="0.39370078740157483" right="0.39370078740157483" top="0.39370078740157483" bottom="0.39370078740157483" header="0.23622047244094491" footer="0.23622047244094491"/>
  <pageSetup paperSize="9" scale="60" fitToHeight="0" orientation="landscape" r:id="rId1"/>
  <headerFooter alignWithMargins="0">
    <oddFooter>&amp;C&amp;"Calibri,보통"&amp;12Doosan Enerbility</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
  <sheetViews>
    <sheetView workbookViewId="0">
      <selection activeCell="B26" sqref="B26:F27"/>
    </sheetView>
  </sheetViews>
  <sheetFormatPr defaultRowHeight="13.5"/>
  <sheetData/>
  <phoneticPr fontId="33" type="noConversion"/>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0C0"/>
  </sheetPr>
  <dimension ref="A1"/>
  <sheetViews>
    <sheetView workbookViewId="0">
      <selection activeCell="B26" sqref="B26:F27"/>
    </sheetView>
  </sheetViews>
  <sheetFormatPr defaultRowHeight="13.5"/>
  <sheetData/>
  <phoneticPr fontId="33" type="noConversion"/>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2060"/>
  </sheetPr>
  <dimension ref="I3"/>
  <sheetViews>
    <sheetView workbookViewId="0">
      <selection activeCell="B26" sqref="B26:F27"/>
    </sheetView>
  </sheetViews>
  <sheetFormatPr defaultRowHeight="13.5"/>
  <cols>
    <col min="9" max="9" width="80.80859375" customWidth="1"/>
  </cols>
  <sheetData>
    <row r="3" spans="9:9" ht="57">
      <c r="I3" s="139" t="s">
        <v>112</v>
      </c>
    </row>
  </sheetData>
  <phoneticPr fontId="33" type="noConversion"/>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
  <sheetViews>
    <sheetView workbookViewId="0">
      <selection activeCell="B26" sqref="B26:F27"/>
    </sheetView>
  </sheetViews>
  <sheetFormatPr defaultRowHeight="13.5"/>
  <sheetData>
    <row r="2" ht="24" customHeight="1"/>
  </sheetData>
  <phoneticPr fontId="33" type="noConversion"/>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4d5cc5e-dfa1-4e82-94a9-1981df698304" xsi:nil="true"/>
    <lcf76f155ced4ddcb4097134ff3c332f xmlns="394f4bda-2b1c-4f7c-8f89-933f198c8d4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1DBA561FAA6C9F48918AC7C258C8C719" ma:contentTypeVersion="12" ma:contentTypeDescription="새 문서를 만듭니다." ma:contentTypeScope="" ma:versionID="6981404f9f6e7d5c4470ebbd71762f3a">
  <xsd:schema xmlns:xsd="http://www.w3.org/2001/XMLSchema" xmlns:xs="http://www.w3.org/2001/XMLSchema" xmlns:p="http://schemas.microsoft.com/office/2006/metadata/properties" xmlns:ns2="394f4bda-2b1c-4f7c-8f89-933f198c8d42" xmlns:ns3="a4d5cc5e-dfa1-4e82-94a9-1981df698304" targetNamespace="http://schemas.microsoft.com/office/2006/metadata/properties" ma:root="true" ma:fieldsID="2970cbac16af690ed1cb8133dfe87462" ns2:_="" ns3:_="">
    <xsd:import namespace="394f4bda-2b1c-4f7c-8f89-933f198c8d42"/>
    <xsd:import namespace="a4d5cc5e-dfa1-4e82-94a9-1981df6983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4f4bda-2b1c-4f7c-8f89-933f198c8d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이미지 태그" ma:readOnly="false" ma:fieldId="{5cf76f15-5ced-4ddc-b409-7134ff3c332f}" ma:taxonomyMulti="true" ma:sspId="c8a7d0b2-06ec-47a5-9bd5-a2ea2905d2b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d5cc5e-dfa1-4e82-94a9-1981df69830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fb0f660-ad80-4b11-98e5-db6d20d88209}" ma:internalName="TaxCatchAll" ma:showField="CatchAllData" ma:web="a4d5cc5e-dfa1-4e82-94a9-1981df6983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6C71D9-1122-41BE-8046-842F0AE68963}">
  <ds:schemaRefs>
    <ds:schemaRef ds:uri="http://schemas.microsoft.com/office/2006/metadata/properties"/>
    <ds:schemaRef ds:uri="http://www.w3.org/2000/xmlns/"/>
    <ds:schemaRef ds:uri="a4d5cc5e-dfa1-4e82-94a9-1981df698304"/>
    <ds:schemaRef ds:uri="http://www.w3.org/2001/XMLSchema-instance"/>
    <ds:schemaRef ds:uri="394f4bda-2b1c-4f7c-8f89-933f198c8d42"/>
    <ds:schemaRef ds:uri="http://schemas.microsoft.com/office/infopath/2007/PartnerControls"/>
  </ds:schemaRefs>
</ds:datastoreItem>
</file>

<file path=customXml/itemProps2.xml><?xml version="1.0" encoding="utf-8"?>
<ds:datastoreItem xmlns:ds="http://schemas.openxmlformats.org/officeDocument/2006/customXml" ds:itemID="{FD118D43-B7CD-45F3-8174-31C6C469D825}">
  <ds:schemaRefs>
    <ds:schemaRef ds:uri="http://schemas.microsoft.com/sharepoint/v3/contenttype/forms"/>
  </ds:schemaRefs>
</ds:datastoreItem>
</file>

<file path=customXml/itemProps3.xml><?xml version="1.0" encoding="utf-8"?>
<ds:datastoreItem xmlns:ds="http://schemas.openxmlformats.org/officeDocument/2006/customXml" ds:itemID="{D1054B1C-BE6D-4E27-BD76-32526A05F4B3}">
  <ds:schemaRefs>
    <ds:schemaRef ds:uri="http://schemas.microsoft.com/office/2006/metadata/contentType"/>
    <ds:schemaRef ds:uri="http://schemas.microsoft.com/office/2006/metadata/properties/metaAttributes"/>
    <ds:schemaRef ds:uri="http://www.w3.org/2000/xmlns/"/>
    <ds:schemaRef ds:uri="http://www.w3.org/2001/XMLSchema"/>
    <ds:schemaRef ds:uri="394f4bda-2b1c-4f7c-8f89-933f198c8d42"/>
    <ds:schemaRef ds:uri="a4d5cc5e-dfa1-4e82-94a9-1981df698304"/>
  </ds:schemaRefs>
</ds:datastoreItem>
</file>

<file path=docMetadata/LabelInfo.xml><?xml version="1.0" encoding="utf-8"?>
<clbl:labelList xmlns:clbl="http://schemas.microsoft.com/office/2020/mipLabelMetadata">
  <clbl:label id="{55c3c93c-4c7c-4709-9e9e-2b12e2d560ab}" enabled="1" method="Privileged" siteId="{9d1b3610-9ab0-42d5-93aa-46150d723d87}" contentBits="0" removed="0"/>
</clbl:labelLis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Trang tính</vt:lpstr>
      </vt:variant>
      <vt:variant>
        <vt:i4>37</vt:i4>
      </vt:variant>
      <vt:variant>
        <vt:lpstr>Phạm vi Có tên</vt:lpstr>
      </vt:variant>
      <vt:variant>
        <vt:i4>40</vt:i4>
      </vt:variant>
    </vt:vector>
  </HeadingPairs>
  <TitlesOfParts>
    <vt:vector size="77" baseType="lpstr">
      <vt:lpstr>Break Down CI (Rve1)</vt:lpstr>
      <vt:lpstr>book</vt:lpstr>
      <vt:lpstr>Detailed PL</vt:lpstr>
      <vt:lpstr>Commercial Invoice (Rve1)</vt:lpstr>
      <vt:lpstr>Commercial Invoice</vt:lpstr>
      <vt:lpstr>Break Down CI</vt:lpstr>
      <vt:lpstr>Packing List (1_2)</vt:lpstr>
      <vt:lpstr>PL(2_2)</vt:lpstr>
      <vt:lpstr>SHIPPING MARK(1)</vt:lpstr>
      <vt:lpstr>SHIPPING MARK(2)</vt:lpstr>
      <vt:lpstr>SHIPPING MARK(3)</vt:lpstr>
      <vt:lpstr>SHIPPING MARK(4)</vt:lpstr>
      <vt:lpstr>SHIPPING MARK(5)</vt:lpstr>
      <vt:lpstr>SHIPPING MARK(6)</vt:lpstr>
      <vt:lpstr>SHIPPING MARK(7)</vt:lpstr>
      <vt:lpstr>SHIPPING MARK(8)</vt:lpstr>
      <vt:lpstr>SHIPPING MARK(9)</vt:lpstr>
      <vt:lpstr>SHIPPING MARK(10)</vt:lpstr>
      <vt:lpstr>SHIPPING MARK(11)</vt:lpstr>
      <vt:lpstr>SHIPPING MARK(12)</vt:lpstr>
      <vt:lpstr>SHIPPING MARK(13)</vt:lpstr>
      <vt:lpstr>SHIPPING MARK(14)</vt:lpstr>
      <vt:lpstr>SHIPPING MARK(15)</vt:lpstr>
      <vt:lpstr>SHIPPING MARK(16)</vt:lpstr>
      <vt:lpstr>SHIPPING MARK(17)</vt:lpstr>
      <vt:lpstr>SHIPPING MARK(18)</vt:lpstr>
      <vt:lpstr>SHIPPING MARK(19)</vt:lpstr>
      <vt:lpstr>SHIPPING MARK(20)</vt:lpstr>
      <vt:lpstr>SHIPPING MARK(21)</vt:lpstr>
      <vt:lpstr>SHIPPING MARK(22)</vt:lpstr>
      <vt:lpstr>SHIPPING MARK(23)</vt:lpstr>
      <vt:lpstr>SHIPPING MARK(24)</vt:lpstr>
      <vt:lpstr>Technical Description</vt:lpstr>
      <vt:lpstr>CO</vt:lpstr>
      <vt:lpstr>CQ</vt:lpstr>
      <vt:lpstr>BL</vt:lpstr>
      <vt:lpstr>PSIC</vt:lpstr>
      <vt:lpstr>PSIC!_Hlk215568700</vt:lpstr>
      <vt:lpstr>book!Print_Titles</vt:lpstr>
      <vt:lpstr>Break Down CI!Print_Titles</vt:lpstr>
      <vt:lpstr>Break Down CI (Rve1)!Print_Titles</vt:lpstr>
      <vt:lpstr>Detailed PL!Print_Titles</vt:lpstr>
      <vt:lpstr>PL(2_2)!Print_Titles</vt:lpstr>
      <vt:lpstr>Technical Description!Print_Titles</vt:lpstr>
      <vt:lpstr>book!Vùng_In</vt:lpstr>
      <vt:lpstr>Break Down CI!Vùng_In</vt:lpstr>
      <vt:lpstr>Break Down CI (Rve1)!Vùng_In</vt:lpstr>
      <vt:lpstr>Commercial Invoice!Vùng_In</vt:lpstr>
      <vt:lpstr>Commercial Invoice (Rve1)!Vùng_In</vt:lpstr>
      <vt:lpstr>Detailed PL!Vùng_In</vt:lpstr>
      <vt:lpstr>Packing List (1_2)!Vùng_In</vt:lpstr>
      <vt:lpstr>PL(2_2)!Vùng_In</vt:lpstr>
      <vt:lpstr>SHIPPING MARK(1)!Vùng_In</vt:lpstr>
      <vt:lpstr>SHIPPING MARK(10)!Vùng_In</vt:lpstr>
      <vt:lpstr>SHIPPING MARK(11)!Vùng_In</vt:lpstr>
      <vt:lpstr>SHIPPING MARK(12)!Vùng_In</vt:lpstr>
      <vt:lpstr>SHIPPING MARK(13)!Vùng_In</vt:lpstr>
      <vt:lpstr>SHIPPING MARK(14)!Vùng_In</vt:lpstr>
      <vt:lpstr>SHIPPING MARK(15)!Vùng_In</vt:lpstr>
      <vt:lpstr>SHIPPING MARK(16)!Vùng_In</vt:lpstr>
      <vt:lpstr>SHIPPING MARK(17)!Vùng_In</vt:lpstr>
      <vt:lpstr>SHIPPING MARK(18)!Vùng_In</vt:lpstr>
      <vt:lpstr>SHIPPING MARK(19)!Vùng_In</vt:lpstr>
      <vt:lpstr>SHIPPING MARK(2)!Vùng_In</vt:lpstr>
      <vt:lpstr>SHIPPING MARK(20)!Vùng_In</vt:lpstr>
      <vt:lpstr>SHIPPING MARK(21)!Vùng_In</vt:lpstr>
      <vt:lpstr>SHIPPING MARK(22)!Vùng_In</vt:lpstr>
      <vt:lpstr>SHIPPING MARK(23)!Vùng_In</vt:lpstr>
      <vt:lpstr>SHIPPING MARK(24)!Vùng_In</vt:lpstr>
      <vt:lpstr>SHIPPING MARK(3)!Vùng_In</vt:lpstr>
      <vt:lpstr>SHIPPING MARK(4)!Vùng_In</vt:lpstr>
      <vt:lpstr>SHIPPING MARK(5)!Vùng_In</vt:lpstr>
      <vt:lpstr>SHIPPING MARK(6)!Vùng_In</vt:lpstr>
      <vt:lpstr>SHIPPING MARK(7)!Vùng_In</vt:lpstr>
      <vt:lpstr>SHIPPING MARK(8)!Vùng_In</vt:lpstr>
      <vt:lpstr>SHIPPING MARK(9)!Vùng_In</vt:lpstr>
      <vt:lpstr>Technical Description!Vùng_In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Bùi Thị Thu Nguyệt</dc:creator>
  <cp:lastModifiedBy>Welcome</cp:lastModifiedBy>
  <cp:lastPrinted>2026-08-07T07:18:57Z</cp:lastPrinted>
  <dcterms:created xsi:type="dcterms:W3CDTF">2025-07-09T09:39:20Z</dcterms:created>
  <dcterms:modified xsi:type="dcterms:W3CDTF">2026-08-07T08:24:55Z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0x0101001DBA561FAA6C9F48918AC7C258C8C719</vt:lpwstr>
  </property>
  <property fmtid="{D5CDD505-2E9C-101B-9397-08002B2CF9AE}" pid="3" name="MediaServiceImageTags">
    <vt:lpwstr/>
  </property>
</Properties>
</file>