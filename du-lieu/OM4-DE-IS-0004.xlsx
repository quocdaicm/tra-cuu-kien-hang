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OM4\Material\Shipment Import\0004 GTG embedded\OM4-DE-IS-0004 PAYMENT TAX IMPORT\"/>
    </mc:Choice>
  </mc:AlternateContent>
  <xr:revisionPtr revIDLastSave="0" documentId="13_ncr:1_{9ED23035-C227-4333-A01F-DC1DBFEE33E3}" xr6:coauthVersionLast="47" xr6:coauthVersionMax="47" xr10:uidLastSave="{00000000-0000-0000-0000-000000000000}"/>
  <bookViews>
    <workbookView xWindow="-60" yWindow="-60" windowWidth="28920" windowHeight="15600" tabRatio="917" activeTab="4" xr2:uid="{00000000-000D-0000-FFFF-FFFF00000000}"/>
  </bookViews>
  <sheets>
    <sheet name="Break Down CI" sheetId="14" r:id="rId1"/>
    <sheet name="Detailed PL" sheetId="5" r:id="rId2"/>
    <sheet name="PL(2_2)" sheetId="4" r:id="rId3"/>
    <sheet name="Commercial Invoice (Rev1)" sheetId="50" r:id="rId4"/>
    <sheet name="Break Down CI (Rve1)" sheetId="48" r:id="rId5"/>
    <sheet name="Commercial Invoice" sheetId="1" r:id="rId6"/>
    <sheet name="Packing List (1_2)" sheetId="3" r:id="rId7"/>
    <sheet name="SHIPPING MARK(1)" sheetId="15" r:id="rId8"/>
    <sheet name="SHIPPING MARK(2)" sheetId="16" r:id="rId9"/>
    <sheet name="SHIPPING MARK(3)" sheetId="17" r:id="rId10"/>
    <sheet name="SHIPPING MARK(4)" sheetId="18" r:id="rId11"/>
    <sheet name="SHIPPING MARK(5)" sheetId="19" r:id="rId12"/>
    <sheet name="SHIPPING MARK(6)" sheetId="20" r:id="rId13"/>
    <sheet name="SHIPPING MARK(7)" sheetId="21" r:id="rId14"/>
    <sheet name="SHIPPING MARK(8)" sheetId="22" r:id="rId15"/>
    <sheet name="SHIPPING MARK(9)" sheetId="23" r:id="rId16"/>
    <sheet name="SHIPPING MARK(10)" sheetId="24" r:id="rId17"/>
    <sheet name="SHIPPING MARK(11)" sheetId="25" r:id="rId18"/>
    <sheet name="SHIPPING MARK(12)" sheetId="26" r:id="rId19"/>
    <sheet name="SHIPPING MARK(13)" sheetId="27" r:id="rId20"/>
    <sheet name="SHIPPING MARK(14)" sheetId="28" r:id="rId21"/>
    <sheet name="SHIPPING MARK(15)" sheetId="29" r:id="rId22"/>
    <sheet name="SHIPPING MARK(16)" sheetId="30" r:id="rId23"/>
    <sheet name="SHIPPING MARK(17)" sheetId="31" r:id="rId24"/>
    <sheet name="SHIPPING MARK(18)" sheetId="32" r:id="rId25"/>
    <sheet name="SHIPPING MARK(19)" sheetId="33" r:id="rId26"/>
    <sheet name="SHIPPING MARK(20)" sheetId="34" r:id="rId27"/>
    <sheet name="SHIPPING MARK(21)" sheetId="35" r:id="rId28"/>
    <sheet name="SHIPPING MARK(22)" sheetId="36" r:id="rId29"/>
    <sheet name="SHIPPING MARK(23)" sheetId="37" r:id="rId30"/>
    <sheet name="SHIPPING MARK(24)" sheetId="38" r:id="rId31"/>
    <sheet name="SHIPPING MARK(25)" sheetId="39" r:id="rId32"/>
    <sheet name="SHIPPING MARK(26)" sheetId="40" r:id="rId33"/>
    <sheet name="SHIPPING MARK(27)" sheetId="41" r:id="rId34"/>
    <sheet name="SHIPPING MARK(28)" sheetId="42" r:id="rId35"/>
    <sheet name="SHIPPING MARK(29)" sheetId="43" r:id="rId36"/>
    <sheet name="SHIPPING MARK(30)" sheetId="44" r:id="rId37"/>
    <sheet name="SHIPPING MARK(31)" sheetId="45" r:id="rId38"/>
    <sheet name="SHIPPING MARK(32)" sheetId="46" r:id="rId39"/>
    <sheet name="SHIPPING MARK(33)" sheetId="47" r:id="rId40"/>
    <sheet name="Technical Description" sheetId="13" r:id="rId41"/>
    <sheet name="CO" sheetId="6" r:id="rId42"/>
    <sheet name="CQ" sheetId="10" r:id="rId43"/>
    <sheet name="BL" sheetId="7" r:id="rId44"/>
    <sheet name="PSIC" sheetId="11" r:id="rId45"/>
  </sheets>
  <definedNames>
    <definedName name="__123Graph_A" localSheetId="0" hidden="1">#REF!</definedName>
    <definedName name="__123Graph_A" localSheetId="4" hidden="1">#REF!</definedName>
    <definedName name="__123Graph_A" localSheetId="5" hidden="1">#REF!</definedName>
    <definedName name="__123Graph_A" localSheetId="3" hidden="1">#REF!</definedName>
    <definedName name="__123Graph_A" localSheetId="1" hidden="1">#REF!</definedName>
    <definedName name="__123Graph_A" localSheetId="6" hidden="1">#REF!</definedName>
    <definedName name="__123Graph_A" localSheetId="7" hidden="1">#REF!</definedName>
    <definedName name="__123Graph_A" localSheetId="16" hidden="1">#REF!</definedName>
    <definedName name="__123Graph_A" localSheetId="17" hidden="1">#REF!</definedName>
    <definedName name="__123Graph_A" localSheetId="18" hidden="1">#REF!</definedName>
    <definedName name="__123Graph_A" localSheetId="19" hidden="1">#REF!</definedName>
    <definedName name="__123Graph_A" localSheetId="20" hidden="1">#REF!</definedName>
    <definedName name="__123Graph_A" localSheetId="21" hidden="1">#REF!</definedName>
    <definedName name="__123Graph_A" localSheetId="22" hidden="1">#REF!</definedName>
    <definedName name="__123Graph_A" localSheetId="23" hidden="1">#REF!</definedName>
    <definedName name="__123Graph_A" localSheetId="24" hidden="1">#REF!</definedName>
    <definedName name="__123Graph_A" localSheetId="25" hidden="1">#REF!</definedName>
    <definedName name="__123Graph_A" localSheetId="8" hidden="1">#REF!</definedName>
    <definedName name="__123Graph_A" localSheetId="26" hidden="1">#REF!</definedName>
    <definedName name="__123Graph_A" localSheetId="27" hidden="1">#REF!</definedName>
    <definedName name="__123Graph_A" localSheetId="28" hidden="1">#REF!</definedName>
    <definedName name="__123Graph_A" localSheetId="29" hidden="1">#REF!</definedName>
    <definedName name="__123Graph_A" localSheetId="30" hidden="1">#REF!</definedName>
    <definedName name="__123Graph_A" localSheetId="31" hidden="1">#REF!</definedName>
    <definedName name="__123Graph_A" localSheetId="32" hidden="1">#REF!</definedName>
    <definedName name="__123Graph_A" localSheetId="33" hidden="1">#REF!</definedName>
    <definedName name="__123Graph_A" localSheetId="34" hidden="1">#REF!</definedName>
    <definedName name="__123Graph_A" localSheetId="35" hidden="1">#REF!</definedName>
    <definedName name="__123Graph_A" localSheetId="9" hidden="1">#REF!</definedName>
    <definedName name="__123Graph_A" localSheetId="36" hidden="1">#REF!</definedName>
    <definedName name="__123Graph_A" localSheetId="37" hidden="1">#REF!</definedName>
    <definedName name="__123Graph_A" localSheetId="38" hidden="1">#REF!</definedName>
    <definedName name="__123Graph_A" localSheetId="39" hidden="1">#REF!</definedName>
    <definedName name="__123Graph_A" localSheetId="10" hidden="1">#REF!</definedName>
    <definedName name="__123Graph_A" localSheetId="11" hidden="1">#REF!</definedName>
    <definedName name="__123Graph_A" localSheetId="12" hidden="1">#REF!</definedName>
    <definedName name="__123Graph_A" localSheetId="13" hidden="1">#REF!</definedName>
    <definedName name="__123Graph_A" localSheetId="14" hidden="1">#REF!</definedName>
    <definedName name="__123Graph_A" localSheetId="15" hidden="1">#REF!</definedName>
    <definedName name="__123Graph_A" hidden="1">#REF!</definedName>
    <definedName name="__123Graph_ACurrent" localSheetId="0" hidden="1">#REF!</definedName>
    <definedName name="__123Graph_ACurrent" localSheetId="4" hidden="1">#REF!</definedName>
    <definedName name="__123Graph_ACurrent" localSheetId="5" hidden="1">#REF!</definedName>
    <definedName name="__123Graph_ACurrent" localSheetId="3" hidden="1">#REF!</definedName>
    <definedName name="__123Graph_ACurrent" localSheetId="1" hidden="1">#REF!</definedName>
    <definedName name="__123Graph_ACurrent" localSheetId="6" hidden="1">#REF!</definedName>
    <definedName name="__123Graph_ACurrent" localSheetId="7" hidden="1">#REF!</definedName>
    <definedName name="__123Graph_ACurrent" localSheetId="16" hidden="1">#REF!</definedName>
    <definedName name="__123Graph_ACurrent" localSheetId="17" hidden="1">#REF!</definedName>
    <definedName name="__123Graph_ACurrent" localSheetId="18" hidden="1">#REF!</definedName>
    <definedName name="__123Graph_ACurrent" localSheetId="19" hidden="1">#REF!</definedName>
    <definedName name="__123Graph_ACurrent" localSheetId="20" hidden="1">#REF!</definedName>
    <definedName name="__123Graph_ACurrent" localSheetId="21" hidden="1">#REF!</definedName>
    <definedName name="__123Graph_ACurrent" localSheetId="22" hidden="1">#REF!</definedName>
    <definedName name="__123Graph_ACurrent" localSheetId="23" hidden="1">#REF!</definedName>
    <definedName name="__123Graph_ACurrent" localSheetId="24" hidden="1">#REF!</definedName>
    <definedName name="__123Graph_ACurrent" localSheetId="25" hidden="1">#REF!</definedName>
    <definedName name="__123Graph_ACurrent" localSheetId="8" hidden="1">#REF!</definedName>
    <definedName name="__123Graph_ACurrent" localSheetId="26" hidden="1">#REF!</definedName>
    <definedName name="__123Graph_ACurrent" localSheetId="27" hidden="1">#REF!</definedName>
    <definedName name="__123Graph_ACurrent" localSheetId="28" hidden="1">#REF!</definedName>
    <definedName name="__123Graph_ACurrent" localSheetId="29" hidden="1">#REF!</definedName>
    <definedName name="__123Graph_ACurrent" localSheetId="30" hidden="1">#REF!</definedName>
    <definedName name="__123Graph_ACurrent" localSheetId="31" hidden="1">#REF!</definedName>
    <definedName name="__123Graph_ACurrent" localSheetId="32" hidden="1">#REF!</definedName>
    <definedName name="__123Graph_ACurrent" localSheetId="33" hidden="1">#REF!</definedName>
    <definedName name="__123Graph_ACurrent" localSheetId="34" hidden="1">#REF!</definedName>
    <definedName name="__123Graph_ACurrent" localSheetId="35" hidden="1">#REF!</definedName>
    <definedName name="__123Graph_ACurrent" localSheetId="9" hidden="1">#REF!</definedName>
    <definedName name="__123Graph_ACurrent" localSheetId="36" hidden="1">#REF!</definedName>
    <definedName name="__123Graph_ACurrent" localSheetId="37" hidden="1">#REF!</definedName>
    <definedName name="__123Graph_ACurrent" localSheetId="38" hidden="1">#REF!</definedName>
    <definedName name="__123Graph_ACurrent" localSheetId="39" hidden="1">#REF!</definedName>
    <definedName name="__123Graph_ACurrent" localSheetId="10" hidden="1">#REF!</definedName>
    <definedName name="__123Graph_ACurrent" localSheetId="11" hidden="1">#REF!</definedName>
    <definedName name="__123Graph_ACurrent" localSheetId="12" hidden="1">#REF!</definedName>
    <definedName name="__123Graph_ACurrent" localSheetId="13" hidden="1">#REF!</definedName>
    <definedName name="__123Graph_ACurrent" localSheetId="14" hidden="1">#REF!</definedName>
    <definedName name="__123Graph_ACurrent" localSheetId="15" hidden="1">#REF!</definedName>
    <definedName name="__123Graph_ACurrent" hidden="1">#REF!</definedName>
    <definedName name="__123Graph_B" localSheetId="0" hidden="1">#REF!</definedName>
    <definedName name="__123Graph_B" localSheetId="4" hidden="1">#REF!</definedName>
    <definedName name="__123Graph_B" localSheetId="5" hidden="1">#REF!</definedName>
    <definedName name="__123Graph_B" localSheetId="3" hidden="1">#REF!</definedName>
    <definedName name="__123Graph_B" localSheetId="1" hidden="1">#REF!</definedName>
    <definedName name="__123Graph_B" localSheetId="6" hidden="1">#REF!</definedName>
    <definedName name="__123Graph_B" localSheetId="7" hidden="1">#REF!</definedName>
    <definedName name="__123Graph_B" localSheetId="16" hidden="1">#REF!</definedName>
    <definedName name="__123Graph_B" localSheetId="17" hidden="1">#REF!</definedName>
    <definedName name="__123Graph_B" localSheetId="18" hidden="1">#REF!</definedName>
    <definedName name="__123Graph_B" localSheetId="19" hidden="1">#REF!</definedName>
    <definedName name="__123Graph_B" localSheetId="20" hidden="1">#REF!</definedName>
    <definedName name="__123Graph_B" localSheetId="21" hidden="1">#REF!</definedName>
    <definedName name="__123Graph_B" localSheetId="22" hidden="1">#REF!</definedName>
    <definedName name="__123Graph_B" localSheetId="23" hidden="1">#REF!</definedName>
    <definedName name="__123Graph_B" localSheetId="24" hidden="1">#REF!</definedName>
    <definedName name="__123Graph_B" localSheetId="25" hidden="1">#REF!</definedName>
    <definedName name="__123Graph_B" localSheetId="8" hidden="1">#REF!</definedName>
    <definedName name="__123Graph_B" localSheetId="26" hidden="1">#REF!</definedName>
    <definedName name="__123Graph_B" localSheetId="27" hidden="1">#REF!</definedName>
    <definedName name="__123Graph_B" localSheetId="28" hidden="1">#REF!</definedName>
    <definedName name="__123Graph_B" localSheetId="29" hidden="1">#REF!</definedName>
    <definedName name="__123Graph_B" localSheetId="30" hidden="1">#REF!</definedName>
    <definedName name="__123Graph_B" localSheetId="31" hidden="1">#REF!</definedName>
    <definedName name="__123Graph_B" localSheetId="32" hidden="1">#REF!</definedName>
    <definedName name="__123Graph_B" localSheetId="33" hidden="1">#REF!</definedName>
    <definedName name="__123Graph_B" localSheetId="34" hidden="1">#REF!</definedName>
    <definedName name="__123Graph_B" localSheetId="35" hidden="1">#REF!</definedName>
    <definedName name="__123Graph_B" localSheetId="9" hidden="1">#REF!</definedName>
    <definedName name="__123Graph_B" localSheetId="36" hidden="1">#REF!</definedName>
    <definedName name="__123Graph_B" localSheetId="37" hidden="1">#REF!</definedName>
    <definedName name="__123Graph_B" localSheetId="38" hidden="1">#REF!</definedName>
    <definedName name="__123Graph_B" localSheetId="39" hidden="1">#REF!</definedName>
    <definedName name="__123Graph_B" localSheetId="10" hidden="1">#REF!</definedName>
    <definedName name="__123Graph_B" localSheetId="11" hidden="1">#REF!</definedName>
    <definedName name="__123Graph_B" localSheetId="12" hidden="1">#REF!</definedName>
    <definedName name="__123Graph_B" localSheetId="13" hidden="1">#REF!</definedName>
    <definedName name="__123Graph_B" localSheetId="14" hidden="1">#REF!</definedName>
    <definedName name="__123Graph_B" localSheetId="15" hidden="1">#REF!</definedName>
    <definedName name="__123Graph_B" hidden="1">#REF!</definedName>
    <definedName name="__123Graph_BCurrent" localSheetId="0" hidden="1">#REF!</definedName>
    <definedName name="__123Graph_BCurrent" localSheetId="4" hidden="1">#REF!</definedName>
    <definedName name="__123Graph_BCurrent" localSheetId="5" hidden="1">#REF!</definedName>
    <definedName name="__123Graph_BCurrent" localSheetId="3" hidden="1">#REF!</definedName>
    <definedName name="__123Graph_BCurrent" localSheetId="1" hidden="1">#REF!</definedName>
    <definedName name="__123Graph_BCurrent" localSheetId="6" hidden="1">#REF!</definedName>
    <definedName name="__123Graph_BCurrent" localSheetId="7" hidden="1">#REF!</definedName>
    <definedName name="__123Graph_BCurrent" localSheetId="16" hidden="1">#REF!</definedName>
    <definedName name="__123Graph_BCurrent" localSheetId="17" hidden="1">#REF!</definedName>
    <definedName name="__123Graph_BCurrent" localSheetId="18" hidden="1">#REF!</definedName>
    <definedName name="__123Graph_BCurrent" localSheetId="19" hidden="1">#REF!</definedName>
    <definedName name="__123Graph_BCurrent" localSheetId="20" hidden="1">#REF!</definedName>
    <definedName name="__123Graph_BCurrent" localSheetId="21" hidden="1">#REF!</definedName>
    <definedName name="__123Graph_BCurrent" localSheetId="22" hidden="1">#REF!</definedName>
    <definedName name="__123Graph_BCurrent" localSheetId="23" hidden="1">#REF!</definedName>
    <definedName name="__123Graph_BCurrent" localSheetId="24" hidden="1">#REF!</definedName>
    <definedName name="__123Graph_BCurrent" localSheetId="25" hidden="1">#REF!</definedName>
    <definedName name="__123Graph_BCurrent" localSheetId="8" hidden="1">#REF!</definedName>
    <definedName name="__123Graph_BCurrent" localSheetId="26" hidden="1">#REF!</definedName>
    <definedName name="__123Graph_BCurrent" localSheetId="27" hidden="1">#REF!</definedName>
    <definedName name="__123Graph_BCurrent" localSheetId="28" hidden="1">#REF!</definedName>
    <definedName name="__123Graph_BCurrent" localSheetId="29" hidden="1">#REF!</definedName>
    <definedName name="__123Graph_BCurrent" localSheetId="30" hidden="1">#REF!</definedName>
    <definedName name="__123Graph_BCurrent" localSheetId="31" hidden="1">#REF!</definedName>
    <definedName name="__123Graph_BCurrent" localSheetId="32" hidden="1">#REF!</definedName>
    <definedName name="__123Graph_BCurrent" localSheetId="33" hidden="1">#REF!</definedName>
    <definedName name="__123Graph_BCurrent" localSheetId="34" hidden="1">#REF!</definedName>
    <definedName name="__123Graph_BCurrent" localSheetId="35" hidden="1">#REF!</definedName>
    <definedName name="__123Graph_BCurrent" localSheetId="9" hidden="1">#REF!</definedName>
    <definedName name="__123Graph_BCurrent" localSheetId="36" hidden="1">#REF!</definedName>
    <definedName name="__123Graph_BCurrent" localSheetId="37" hidden="1">#REF!</definedName>
    <definedName name="__123Graph_BCurrent" localSheetId="38" hidden="1">#REF!</definedName>
    <definedName name="__123Graph_BCurrent" localSheetId="39" hidden="1">#REF!</definedName>
    <definedName name="__123Graph_BCurrent" localSheetId="10" hidden="1">#REF!</definedName>
    <definedName name="__123Graph_BCurrent" localSheetId="11" hidden="1">#REF!</definedName>
    <definedName name="__123Graph_BCurrent" localSheetId="12" hidden="1">#REF!</definedName>
    <definedName name="__123Graph_BCurrent" localSheetId="13" hidden="1">#REF!</definedName>
    <definedName name="__123Graph_BCurrent" localSheetId="14" hidden="1">#REF!</definedName>
    <definedName name="__123Graph_BCurrent" localSheetId="15" hidden="1">#REF!</definedName>
    <definedName name="__123Graph_BCurrent" hidden="1">#REF!</definedName>
    <definedName name="__123Graph_D" localSheetId="0" hidden="1">#REF!</definedName>
    <definedName name="__123Graph_D" localSheetId="4" hidden="1">#REF!</definedName>
    <definedName name="__123Graph_D" localSheetId="5" hidden="1">#REF!</definedName>
    <definedName name="__123Graph_D" localSheetId="3" hidden="1">#REF!</definedName>
    <definedName name="__123Graph_D" localSheetId="1" hidden="1">#REF!</definedName>
    <definedName name="__123Graph_D" localSheetId="6" hidden="1">#REF!</definedName>
    <definedName name="__123Graph_D" localSheetId="7" hidden="1">#REF!</definedName>
    <definedName name="__123Graph_D" localSheetId="16" hidden="1">#REF!</definedName>
    <definedName name="__123Graph_D" localSheetId="17" hidden="1">#REF!</definedName>
    <definedName name="__123Graph_D" localSheetId="18" hidden="1">#REF!</definedName>
    <definedName name="__123Graph_D" localSheetId="19" hidden="1">#REF!</definedName>
    <definedName name="__123Graph_D" localSheetId="20" hidden="1">#REF!</definedName>
    <definedName name="__123Graph_D" localSheetId="21" hidden="1">#REF!</definedName>
    <definedName name="__123Graph_D" localSheetId="22" hidden="1">#REF!</definedName>
    <definedName name="__123Graph_D" localSheetId="23" hidden="1">#REF!</definedName>
    <definedName name="__123Graph_D" localSheetId="24" hidden="1">#REF!</definedName>
    <definedName name="__123Graph_D" localSheetId="25" hidden="1">#REF!</definedName>
    <definedName name="__123Graph_D" localSheetId="8" hidden="1">#REF!</definedName>
    <definedName name="__123Graph_D" localSheetId="26" hidden="1">#REF!</definedName>
    <definedName name="__123Graph_D" localSheetId="27" hidden="1">#REF!</definedName>
    <definedName name="__123Graph_D" localSheetId="28" hidden="1">#REF!</definedName>
    <definedName name="__123Graph_D" localSheetId="29" hidden="1">#REF!</definedName>
    <definedName name="__123Graph_D" localSheetId="30" hidden="1">#REF!</definedName>
    <definedName name="__123Graph_D" localSheetId="31" hidden="1">#REF!</definedName>
    <definedName name="__123Graph_D" localSheetId="32" hidden="1">#REF!</definedName>
    <definedName name="__123Graph_D" localSheetId="33" hidden="1">#REF!</definedName>
    <definedName name="__123Graph_D" localSheetId="34" hidden="1">#REF!</definedName>
    <definedName name="__123Graph_D" localSheetId="35" hidden="1">#REF!</definedName>
    <definedName name="__123Graph_D" localSheetId="9" hidden="1">#REF!</definedName>
    <definedName name="__123Graph_D" localSheetId="36" hidden="1">#REF!</definedName>
    <definedName name="__123Graph_D" localSheetId="37" hidden="1">#REF!</definedName>
    <definedName name="__123Graph_D" localSheetId="38" hidden="1">#REF!</definedName>
    <definedName name="__123Graph_D" localSheetId="39" hidden="1">#REF!</definedName>
    <definedName name="__123Graph_D" localSheetId="10" hidden="1">#REF!</definedName>
    <definedName name="__123Graph_D" localSheetId="11" hidden="1">#REF!</definedName>
    <definedName name="__123Graph_D" localSheetId="12" hidden="1">#REF!</definedName>
    <definedName name="__123Graph_D" localSheetId="13" hidden="1">#REF!</definedName>
    <definedName name="__123Graph_D" localSheetId="14" hidden="1">#REF!</definedName>
    <definedName name="__123Graph_D" localSheetId="15" hidden="1">#REF!</definedName>
    <definedName name="__123Graph_D" hidden="1">#REF!</definedName>
    <definedName name="__123Graph_E" localSheetId="0" hidden="1">#REF!</definedName>
    <definedName name="__123Graph_E" localSheetId="4" hidden="1">#REF!</definedName>
    <definedName name="__123Graph_E" localSheetId="5" hidden="1">#REF!</definedName>
    <definedName name="__123Graph_E" localSheetId="3" hidden="1">#REF!</definedName>
    <definedName name="__123Graph_E" localSheetId="6" hidden="1">#REF!</definedName>
    <definedName name="__123Graph_E" localSheetId="7" hidden="1">#REF!</definedName>
    <definedName name="__123Graph_E" localSheetId="16"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localSheetId="22" hidden="1">#REF!</definedName>
    <definedName name="__123Graph_E" localSheetId="23" hidden="1">#REF!</definedName>
    <definedName name="__123Graph_E" localSheetId="24" hidden="1">#REF!</definedName>
    <definedName name="__123Graph_E" localSheetId="25" hidden="1">#REF!</definedName>
    <definedName name="__123Graph_E" localSheetId="8" hidden="1">#REF!</definedName>
    <definedName name="__123Graph_E" localSheetId="26" hidden="1">#REF!</definedName>
    <definedName name="__123Graph_E" localSheetId="27" hidden="1">#REF!</definedName>
    <definedName name="__123Graph_E" localSheetId="28" hidden="1">#REF!</definedName>
    <definedName name="__123Graph_E" localSheetId="29" hidden="1">#REF!</definedName>
    <definedName name="__123Graph_E" localSheetId="30" hidden="1">#REF!</definedName>
    <definedName name="__123Graph_E" localSheetId="31" hidden="1">#REF!</definedName>
    <definedName name="__123Graph_E" localSheetId="32" hidden="1">#REF!</definedName>
    <definedName name="__123Graph_E" localSheetId="33" hidden="1">#REF!</definedName>
    <definedName name="__123Graph_E" localSheetId="34" hidden="1">#REF!</definedName>
    <definedName name="__123Graph_E" localSheetId="35" hidden="1">#REF!</definedName>
    <definedName name="__123Graph_E" localSheetId="9" hidden="1">#REF!</definedName>
    <definedName name="__123Graph_E" localSheetId="36" hidden="1">#REF!</definedName>
    <definedName name="__123Graph_E" localSheetId="37" hidden="1">#REF!</definedName>
    <definedName name="__123Graph_E" localSheetId="38" hidden="1">#REF!</definedName>
    <definedName name="__123Graph_E" localSheetId="39" hidden="1">#REF!</definedName>
    <definedName name="__123Graph_E" localSheetId="10" hidden="1">#REF!</definedName>
    <definedName name="__123Graph_E" localSheetId="11" hidden="1">#REF!</definedName>
    <definedName name="__123Graph_E" localSheetId="12" hidden="1">#REF!</definedName>
    <definedName name="__123Graph_E" localSheetId="13" hidden="1">#REF!</definedName>
    <definedName name="__123Graph_E" localSheetId="14" hidden="1">#REF!</definedName>
    <definedName name="__123Graph_E" localSheetId="15" hidden="1">#REF!</definedName>
    <definedName name="__123Graph_E" hidden="1">#REF!</definedName>
    <definedName name="__123Graph_LBL_A" localSheetId="0" hidden="1">#REF!</definedName>
    <definedName name="__123Graph_LBL_A" localSheetId="4" hidden="1">#REF!</definedName>
    <definedName name="__123Graph_LBL_A" localSheetId="5" hidden="1">#REF!</definedName>
    <definedName name="__123Graph_LBL_A" localSheetId="3" hidden="1">#REF!</definedName>
    <definedName name="__123Graph_LBL_A" localSheetId="1" hidden="1">#REF!</definedName>
    <definedName name="__123Graph_LBL_A" localSheetId="6" hidden="1">#REF!</definedName>
    <definedName name="__123Graph_LBL_A" localSheetId="7" hidden="1">#REF!</definedName>
    <definedName name="__123Graph_LBL_A" localSheetId="16" hidden="1">#REF!</definedName>
    <definedName name="__123Graph_LBL_A" localSheetId="17" hidden="1">#REF!</definedName>
    <definedName name="__123Graph_LBL_A" localSheetId="18" hidden="1">#REF!</definedName>
    <definedName name="__123Graph_LBL_A" localSheetId="19" hidden="1">#REF!</definedName>
    <definedName name="__123Graph_LBL_A" localSheetId="20" hidden="1">#REF!</definedName>
    <definedName name="__123Graph_LBL_A" localSheetId="21" hidden="1">#REF!</definedName>
    <definedName name="__123Graph_LBL_A" localSheetId="22" hidden="1">#REF!</definedName>
    <definedName name="__123Graph_LBL_A" localSheetId="23" hidden="1">#REF!</definedName>
    <definedName name="__123Graph_LBL_A" localSheetId="24" hidden="1">#REF!</definedName>
    <definedName name="__123Graph_LBL_A" localSheetId="25" hidden="1">#REF!</definedName>
    <definedName name="__123Graph_LBL_A" localSheetId="8" hidden="1">#REF!</definedName>
    <definedName name="__123Graph_LBL_A" localSheetId="26" hidden="1">#REF!</definedName>
    <definedName name="__123Graph_LBL_A" localSheetId="27" hidden="1">#REF!</definedName>
    <definedName name="__123Graph_LBL_A" localSheetId="28" hidden="1">#REF!</definedName>
    <definedName name="__123Graph_LBL_A" localSheetId="29" hidden="1">#REF!</definedName>
    <definedName name="__123Graph_LBL_A" localSheetId="30" hidden="1">#REF!</definedName>
    <definedName name="__123Graph_LBL_A" localSheetId="31" hidden="1">#REF!</definedName>
    <definedName name="__123Graph_LBL_A" localSheetId="32" hidden="1">#REF!</definedName>
    <definedName name="__123Graph_LBL_A" localSheetId="33" hidden="1">#REF!</definedName>
    <definedName name="__123Graph_LBL_A" localSheetId="34" hidden="1">#REF!</definedName>
    <definedName name="__123Graph_LBL_A" localSheetId="35" hidden="1">#REF!</definedName>
    <definedName name="__123Graph_LBL_A" localSheetId="9" hidden="1">#REF!</definedName>
    <definedName name="__123Graph_LBL_A" localSheetId="36" hidden="1">#REF!</definedName>
    <definedName name="__123Graph_LBL_A" localSheetId="37" hidden="1">#REF!</definedName>
    <definedName name="__123Graph_LBL_A" localSheetId="38" hidden="1">#REF!</definedName>
    <definedName name="__123Graph_LBL_A" localSheetId="39" hidden="1">#REF!</definedName>
    <definedName name="__123Graph_LBL_A" localSheetId="10" hidden="1">#REF!</definedName>
    <definedName name="__123Graph_LBL_A" localSheetId="11" hidden="1">#REF!</definedName>
    <definedName name="__123Graph_LBL_A" localSheetId="12" hidden="1">#REF!</definedName>
    <definedName name="__123Graph_LBL_A" localSheetId="13" hidden="1">#REF!</definedName>
    <definedName name="__123Graph_LBL_A" localSheetId="14" hidden="1">#REF!</definedName>
    <definedName name="__123Graph_LBL_A" localSheetId="15" hidden="1">#REF!</definedName>
    <definedName name="__123Graph_LBL_A" hidden="1">#REF!</definedName>
    <definedName name="__123Graph_LBL_B" localSheetId="0" hidden="1">#REF!</definedName>
    <definedName name="__123Graph_LBL_B" localSheetId="4" hidden="1">#REF!</definedName>
    <definedName name="__123Graph_LBL_B" localSheetId="5" hidden="1">#REF!</definedName>
    <definedName name="__123Graph_LBL_B" localSheetId="3" hidden="1">#REF!</definedName>
    <definedName name="__123Graph_LBL_B" localSheetId="1" hidden="1">#REF!</definedName>
    <definedName name="__123Graph_LBL_B" localSheetId="6" hidden="1">#REF!</definedName>
    <definedName name="__123Graph_LBL_B" localSheetId="7" hidden="1">#REF!</definedName>
    <definedName name="__123Graph_LBL_B" localSheetId="16" hidden="1">#REF!</definedName>
    <definedName name="__123Graph_LBL_B" localSheetId="17" hidden="1">#REF!</definedName>
    <definedName name="__123Graph_LBL_B" localSheetId="18" hidden="1">#REF!</definedName>
    <definedName name="__123Graph_LBL_B" localSheetId="19" hidden="1">#REF!</definedName>
    <definedName name="__123Graph_LBL_B" localSheetId="20" hidden="1">#REF!</definedName>
    <definedName name="__123Graph_LBL_B" localSheetId="21" hidden="1">#REF!</definedName>
    <definedName name="__123Graph_LBL_B" localSheetId="22" hidden="1">#REF!</definedName>
    <definedName name="__123Graph_LBL_B" localSheetId="23" hidden="1">#REF!</definedName>
    <definedName name="__123Graph_LBL_B" localSheetId="24" hidden="1">#REF!</definedName>
    <definedName name="__123Graph_LBL_B" localSheetId="25" hidden="1">#REF!</definedName>
    <definedName name="__123Graph_LBL_B" localSheetId="8" hidden="1">#REF!</definedName>
    <definedName name="__123Graph_LBL_B" localSheetId="26" hidden="1">#REF!</definedName>
    <definedName name="__123Graph_LBL_B" localSheetId="27" hidden="1">#REF!</definedName>
    <definedName name="__123Graph_LBL_B" localSheetId="28" hidden="1">#REF!</definedName>
    <definedName name="__123Graph_LBL_B" localSheetId="29" hidden="1">#REF!</definedName>
    <definedName name="__123Graph_LBL_B" localSheetId="30" hidden="1">#REF!</definedName>
    <definedName name="__123Graph_LBL_B" localSheetId="31" hidden="1">#REF!</definedName>
    <definedName name="__123Graph_LBL_B" localSheetId="32" hidden="1">#REF!</definedName>
    <definedName name="__123Graph_LBL_B" localSheetId="33" hidden="1">#REF!</definedName>
    <definedName name="__123Graph_LBL_B" localSheetId="34" hidden="1">#REF!</definedName>
    <definedName name="__123Graph_LBL_B" localSheetId="35" hidden="1">#REF!</definedName>
    <definedName name="__123Graph_LBL_B" localSheetId="9" hidden="1">#REF!</definedName>
    <definedName name="__123Graph_LBL_B" localSheetId="36" hidden="1">#REF!</definedName>
    <definedName name="__123Graph_LBL_B" localSheetId="37" hidden="1">#REF!</definedName>
    <definedName name="__123Graph_LBL_B" localSheetId="38" hidden="1">#REF!</definedName>
    <definedName name="__123Graph_LBL_B" localSheetId="39" hidden="1">#REF!</definedName>
    <definedName name="__123Graph_LBL_B" localSheetId="10" hidden="1">#REF!</definedName>
    <definedName name="__123Graph_LBL_B" localSheetId="11" hidden="1">#REF!</definedName>
    <definedName name="__123Graph_LBL_B" localSheetId="12" hidden="1">#REF!</definedName>
    <definedName name="__123Graph_LBL_B" localSheetId="13" hidden="1">#REF!</definedName>
    <definedName name="__123Graph_LBL_B" localSheetId="14" hidden="1">#REF!</definedName>
    <definedName name="__123Graph_LBL_B" localSheetId="15" hidden="1">#REF!</definedName>
    <definedName name="__123Graph_LBL_B" hidden="1">#REF!</definedName>
    <definedName name="__123Graph_X" localSheetId="0" hidden="1">#REF!</definedName>
    <definedName name="__123Graph_X" localSheetId="4" hidden="1">#REF!</definedName>
    <definedName name="__123Graph_X" localSheetId="5" hidden="1">#REF!</definedName>
    <definedName name="__123Graph_X" localSheetId="3" hidden="1">#REF!</definedName>
    <definedName name="__123Graph_X" localSheetId="1" hidden="1">#REF!</definedName>
    <definedName name="__123Graph_X" localSheetId="6" hidden="1">#REF!</definedName>
    <definedName name="__123Graph_X" localSheetId="7" hidden="1">#REF!</definedName>
    <definedName name="__123Graph_X" localSheetId="16"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1" hidden="1">#REF!</definedName>
    <definedName name="__123Graph_X" localSheetId="22" hidden="1">#REF!</definedName>
    <definedName name="__123Graph_X" localSheetId="23" hidden="1">#REF!</definedName>
    <definedName name="__123Graph_X" localSheetId="24" hidden="1">#REF!</definedName>
    <definedName name="__123Graph_X" localSheetId="25" hidden="1">#REF!</definedName>
    <definedName name="__123Graph_X" localSheetId="8" hidden="1">#REF!</definedName>
    <definedName name="__123Graph_X" localSheetId="26" hidden="1">#REF!</definedName>
    <definedName name="__123Graph_X" localSheetId="27" hidden="1">#REF!</definedName>
    <definedName name="__123Graph_X" localSheetId="28" hidden="1">#REF!</definedName>
    <definedName name="__123Graph_X" localSheetId="29" hidden="1">#REF!</definedName>
    <definedName name="__123Graph_X" localSheetId="30" hidden="1">#REF!</definedName>
    <definedName name="__123Graph_X" localSheetId="31" hidden="1">#REF!</definedName>
    <definedName name="__123Graph_X" localSheetId="32" hidden="1">#REF!</definedName>
    <definedName name="__123Graph_X" localSheetId="33" hidden="1">#REF!</definedName>
    <definedName name="__123Graph_X" localSheetId="34" hidden="1">#REF!</definedName>
    <definedName name="__123Graph_X" localSheetId="35" hidden="1">#REF!</definedName>
    <definedName name="__123Graph_X" localSheetId="9" hidden="1">#REF!</definedName>
    <definedName name="__123Graph_X" localSheetId="36" hidden="1">#REF!</definedName>
    <definedName name="__123Graph_X" localSheetId="37" hidden="1">#REF!</definedName>
    <definedName name="__123Graph_X" localSheetId="38" hidden="1">#REF!</definedName>
    <definedName name="__123Graph_X" localSheetId="39" hidden="1">#REF!</definedName>
    <definedName name="__123Graph_X" localSheetId="10" hidden="1">#REF!</definedName>
    <definedName name="__123Graph_X" localSheetId="11" hidden="1">#REF!</definedName>
    <definedName name="__123Graph_X" localSheetId="12" hidden="1">#REF!</definedName>
    <definedName name="__123Graph_X" localSheetId="13" hidden="1">#REF!</definedName>
    <definedName name="__123Graph_X" localSheetId="14" hidden="1">#REF!</definedName>
    <definedName name="__123Graph_X" localSheetId="15" hidden="1">#REF!</definedName>
    <definedName name="__123Graph_X" hidden="1">#REF!</definedName>
    <definedName name="__123Graph_XCurrent" localSheetId="0" hidden="1">#REF!</definedName>
    <definedName name="__123Graph_XCurrent" localSheetId="4" hidden="1">#REF!</definedName>
    <definedName name="__123Graph_XCurrent" localSheetId="5" hidden="1">#REF!</definedName>
    <definedName name="__123Graph_XCurrent" localSheetId="3" hidden="1">#REF!</definedName>
    <definedName name="__123Graph_XCurrent" localSheetId="1" hidden="1">#REF!</definedName>
    <definedName name="__123Graph_XCurrent" localSheetId="6" hidden="1">#REF!</definedName>
    <definedName name="__123Graph_XCurrent" localSheetId="7" hidden="1">#REF!</definedName>
    <definedName name="__123Graph_XCurrent" localSheetId="16" hidden="1">#REF!</definedName>
    <definedName name="__123Graph_XCurrent" localSheetId="17" hidden="1">#REF!</definedName>
    <definedName name="__123Graph_XCurrent" localSheetId="18" hidden="1">#REF!</definedName>
    <definedName name="__123Graph_XCurrent" localSheetId="19" hidden="1">#REF!</definedName>
    <definedName name="__123Graph_XCurrent" localSheetId="20" hidden="1">#REF!</definedName>
    <definedName name="__123Graph_XCurrent" localSheetId="21" hidden="1">#REF!</definedName>
    <definedName name="__123Graph_XCurrent" localSheetId="22" hidden="1">#REF!</definedName>
    <definedName name="__123Graph_XCurrent" localSheetId="23" hidden="1">#REF!</definedName>
    <definedName name="__123Graph_XCurrent" localSheetId="24" hidden="1">#REF!</definedName>
    <definedName name="__123Graph_XCurrent" localSheetId="25" hidden="1">#REF!</definedName>
    <definedName name="__123Graph_XCurrent" localSheetId="8" hidden="1">#REF!</definedName>
    <definedName name="__123Graph_XCurrent" localSheetId="26" hidden="1">#REF!</definedName>
    <definedName name="__123Graph_XCurrent" localSheetId="27" hidden="1">#REF!</definedName>
    <definedName name="__123Graph_XCurrent" localSheetId="28" hidden="1">#REF!</definedName>
    <definedName name="__123Graph_XCurrent" localSheetId="29" hidden="1">#REF!</definedName>
    <definedName name="__123Graph_XCurrent" localSheetId="30" hidden="1">#REF!</definedName>
    <definedName name="__123Graph_XCurrent" localSheetId="31" hidden="1">#REF!</definedName>
    <definedName name="__123Graph_XCurrent" localSheetId="32" hidden="1">#REF!</definedName>
    <definedName name="__123Graph_XCurrent" localSheetId="33" hidden="1">#REF!</definedName>
    <definedName name="__123Graph_XCurrent" localSheetId="34" hidden="1">#REF!</definedName>
    <definedName name="__123Graph_XCurrent" localSheetId="35" hidden="1">#REF!</definedName>
    <definedName name="__123Graph_XCurrent" localSheetId="9" hidden="1">#REF!</definedName>
    <definedName name="__123Graph_XCurrent" localSheetId="36" hidden="1">#REF!</definedName>
    <definedName name="__123Graph_XCurrent" localSheetId="37" hidden="1">#REF!</definedName>
    <definedName name="__123Graph_XCurrent" localSheetId="38" hidden="1">#REF!</definedName>
    <definedName name="__123Graph_XCurrent" localSheetId="39" hidden="1">#REF!</definedName>
    <definedName name="__123Graph_XCurrent" localSheetId="10" hidden="1">#REF!</definedName>
    <definedName name="__123Graph_XCurrent" localSheetId="11" hidden="1">#REF!</definedName>
    <definedName name="__123Graph_XCurrent" localSheetId="12" hidden="1">#REF!</definedName>
    <definedName name="__123Graph_XCurrent" localSheetId="13" hidden="1">#REF!</definedName>
    <definedName name="__123Graph_XCurrent" localSheetId="14" hidden="1">#REF!</definedName>
    <definedName name="__123Graph_XCurrent" localSheetId="15" hidden="1">#REF!</definedName>
    <definedName name="__123Graph_XCurrent" hidden="1">#REF!</definedName>
    <definedName name="_1__123Graph_AChart_1A" localSheetId="0" hidden="1">#REF!</definedName>
    <definedName name="_1__123Graph_AChart_1A" localSheetId="4" hidden="1">#REF!</definedName>
    <definedName name="_1__123Graph_AChart_1A" localSheetId="5" hidden="1">#REF!</definedName>
    <definedName name="_1__123Graph_AChart_1A" localSheetId="3" hidden="1">#REF!</definedName>
    <definedName name="_1__123Graph_AChart_1A" localSheetId="1" hidden="1">#REF!</definedName>
    <definedName name="_1__123Graph_AChart_1A" localSheetId="6" hidden="1">#REF!</definedName>
    <definedName name="_1__123Graph_AChart_1A" localSheetId="7" hidden="1">#REF!</definedName>
    <definedName name="_1__123Graph_AChart_1A" localSheetId="16" hidden="1">#REF!</definedName>
    <definedName name="_1__123Graph_AChart_1A" localSheetId="17" hidden="1">#REF!</definedName>
    <definedName name="_1__123Graph_AChart_1A" localSheetId="18" hidden="1">#REF!</definedName>
    <definedName name="_1__123Graph_AChart_1A" localSheetId="19" hidden="1">#REF!</definedName>
    <definedName name="_1__123Graph_AChart_1A" localSheetId="20" hidden="1">#REF!</definedName>
    <definedName name="_1__123Graph_AChart_1A" localSheetId="21" hidden="1">#REF!</definedName>
    <definedName name="_1__123Graph_AChart_1A" localSheetId="22" hidden="1">#REF!</definedName>
    <definedName name="_1__123Graph_AChart_1A" localSheetId="23" hidden="1">#REF!</definedName>
    <definedName name="_1__123Graph_AChart_1A" localSheetId="24" hidden="1">#REF!</definedName>
    <definedName name="_1__123Graph_AChart_1A" localSheetId="25" hidden="1">#REF!</definedName>
    <definedName name="_1__123Graph_AChart_1A" localSheetId="8" hidden="1">#REF!</definedName>
    <definedName name="_1__123Graph_AChart_1A" localSheetId="26" hidden="1">#REF!</definedName>
    <definedName name="_1__123Graph_AChart_1A" localSheetId="27" hidden="1">#REF!</definedName>
    <definedName name="_1__123Graph_AChart_1A" localSheetId="28" hidden="1">#REF!</definedName>
    <definedName name="_1__123Graph_AChart_1A" localSheetId="29" hidden="1">#REF!</definedName>
    <definedName name="_1__123Graph_AChart_1A" localSheetId="30" hidden="1">#REF!</definedName>
    <definedName name="_1__123Graph_AChart_1A" localSheetId="31" hidden="1">#REF!</definedName>
    <definedName name="_1__123Graph_AChart_1A" localSheetId="32" hidden="1">#REF!</definedName>
    <definedName name="_1__123Graph_AChart_1A" localSheetId="33" hidden="1">#REF!</definedName>
    <definedName name="_1__123Graph_AChart_1A" localSheetId="34" hidden="1">#REF!</definedName>
    <definedName name="_1__123Graph_AChart_1A" localSheetId="35" hidden="1">#REF!</definedName>
    <definedName name="_1__123Graph_AChart_1A" localSheetId="9" hidden="1">#REF!</definedName>
    <definedName name="_1__123Graph_AChart_1A" localSheetId="36" hidden="1">#REF!</definedName>
    <definedName name="_1__123Graph_AChart_1A" localSheetId="37" hidden="1">#REF!</definedName>
    <definedName name="_1__123Graph_AChart_1A" localSheetId="38" hidden="1">#REF!</definedName>
    <definedName name="_1__123Graph_AChart_1A" localSheetId="39" hidden="1">#REF!</definedName>
    <definedName name="_1__123Graph_AChart_1A" localSheetId="10" hidden="1">#REF!</definedName>
    <definedName name="_1__123Graph_AChart_1A" localSheetId="11" hidden="1">#REF!</definedName>
    <definedName name="_1__123Graph_AChart_1A" localSheetId="12" hidden="1">#REF!</definedName>
    <definedName name="_1__123Graph_AChart_1A" localSheetId="13" hidden="1">#REF!</definedName>
    <definedName name="_1__123Graph_AChart_1A" localSheetId="14" hidden="1">#REF!</definedName>
    <definedName name="_1__123Graph_AChart_1A" localSheetId="15" hidden="1">#REF!</definedName>
    <definedName name="_1__123Graph_AChart_1A" hidden="1">#REF!</definedName>
    <definedName name="_2__123Graph_BChart_1A" localSheetId="0" hidden="1">#REF!</definedName>
    <definedName name="_2__123Graph_BChart_1A" localSheetId="4" hidden="1">#REF!</definedName>
    <definedName name="_2__123Graph_BChart_1A" localSheetId="5" hidden="1">#REF!</definedName>
    <definedName name="_2__123Graph_BChart_1A" localSheetId="3" hidden="1">#REF!</definedName>
    <definedName name="_2__123Graph_BChart_1A" localSheetId="1" hidden="1">#REF!</definedName>
    <definedName name="_2__123Graph_BChart_1A" localSheetId="6" hidden="1">#REF!</definedName>
    <definedName name="_2__123Graph_BChart_1A" localSheetId="7" hidden="1">#REF!</definedName>
    <definedName name="_2__123Graph_BChart_1A" localSheetId="16" hidden="1">#REF!</definedName>
    <definedName name="_2__123Graph_BChart_1A" localSheetId="17" hidden="1">#REF!</definedName>
    <definedName name="_2__123Graph_BChart_1A" localSheetId="18" hidden="1">#REF!</definedName>
    <definedName name="_2__123Graph_BChart_1A" localSheetId="19" hidden="1">#REF!</definedName>
    <definedName name="_2__123Graph_BChart_1A" localSheetId="20" hidden="1">#REF!</definedName>
    <definedName name="_2__123Graph_BChart_1A" localSheetId="21" hidden="1">#REF!</definedName>
    <definedName name="_2__123Graph_BChart_1A" localSheetId="22" hidden="1">#REF!</definedName>
    <definedName name="_2__123Graph_BChart_1A" localSheetId="23" hidden="1">#REF!</definedName>
    <definedName name="_2__123Graph_BChart_1A" localSheetId="24" hidden="1">#REF!</definedName>
    <definedName name="_2__123Graph_BChart_1A" localSheetId="25" hidden="1">#REF!</definedName>
    <definedName name="_2__123Graph_BChart_1A" localSheetId="8" hidden="1">#REF!</definedName>
    <definedName name="_2__123Graph_BChart_1A" localSheetId="26" hidden="1">#REF!</definedName>
    <definedName name="_2__123Graph_BChart_1A" localSheetId="27" hidden="1">#REF!</definedName>
    <definedName name="_2__123Graph_BChart_1A" localSheetId="28" hidden="1">#REF!</definedName>
    <definedName name="_2__123Graph_BChart_1A" localSheetId="29" hidden="1">#REF!</definedName>
    <definedName name="_2__123Graph_BChart_1A" localSheetId="30" hidden="1">#REF!</definedName>
    <definedName name="_2__123Graph_BChart_1A" localSheetId="31" hidden="1">#REF!</definedName>
    <definedName name="_2__123Graph_BChart_1A" localSheetId="32" hidden="1">#REF!</definedName>
    <definedName name="_2__123Graph_BChart_1A" localSheetId="33" hidden="1">#REF!</definedName>
    <definedName name="_2__123Graph_BChart_1A" localSheetId="34" hidden="1">#REF!</definedName>
    <definedName name="_2__123Graph_BChart_1A" localSheetId="35" hidden="1">#REF!</definedName>
    <definedName name="_2__123Graph_BChart_1A" localSheetId="9" hidden="1">#REF!</definedName>
    <definedName name="_2__123Graph_BChart_1A" localSheetId="36" hidden="1">#REF!</definedName>
    <definedName name="_2__123Graph_BChart_1A" localSheetId="37" hidden="1">#REF!</definedName>
    <definedName name="_2__123Graph_BChart_1A" localSheetId="38" hidden="1">#REF!</definedName>
    <definedName name="_2__123Graph_BChart_1A" localSheetId="39" hidden="1">#REF!</definedName>
    <definedName name="_2__123Graph_BChart_1A" localSheetId="10" hidden="1">#REF!</definedName>
    <definedName name="_2__123Graph_BChart_1A" localSheetId="11" hidden="1">#REF!</definedName>
    <definedName name="_2__123Graph_BChart_1A" localSheetId="12" hidden="1">#REF!</definedName>
    <definedName name="_2__123Graph_BChart_1A" localSheetId="13" hidden="1">#REF!</definedName>
    <definedName name="_2__123Graph_BChart_1A" localSheetId="14" hidden="1">#REF!</definedName>
    <definedName name="_2__123Graph_BChart_1A" localSheetId="15" hidden="1">#REF!</definedName>
    <definedName name="_2__123Graph_BChart_1A" hidden="1">#REF!</definedName>
    <definedName name="_3__123Graph_XChart_1A" localSheetId="0" hidden="1">#REF!</definedName>
    <definedName name="_3__123Graph_XChart_1A" localSheetId="4" hidden="1">#REF!</definedName>
    <definedName name="_3__123Graph_XChart_1A" localSheetId="5" hidden="1">#REF!</definedName>
    <definedName name="_3__123Graph_XChart_1A" localSheetId="3" hidden="1">#REF!</definedName>
    <definedName name="_3__123Graph_XChart_1A" localSheetId="1" hidden="1">#REF!</definedName>
    <definedName name="_3__123Graph_XChart_1A" localSheetId="6" hidden="1">#REF!</definedName>
    <definedName name="_3__123Graph_XChart_1A" localSheetId="7" hidden="1">#REF!</definedName>
    <definedName name="_3__123Graph_XChart_1A" localSheetId="16" hidden="1">#REF!</definedName>
    <definedName name="_3__123Graph_XChart_1A" localSheetId="17" hidden="1">#REF!</definedName>
    <definedName name="_3__123Graph_XChart_1A" localSheetId="18" hidden="1">#REF!</definedName>
    <definedName name="_3__123Graph_XChart_1A" localSheetId="19" hidden="1">#REF!</definedName>
    <definedName name="_3__123Graph_XChart_1A" localSheetId="20" hidden="1">#REF!</definedName>
    <definedName name="_3__123Graph_XChart_1A" localSheetId="21" hidden="1">#REF!</definedName>
    <definedName name="_3__123Graph_XChart_1A" localSheetId="22" hidden="1">#REF!</definedName>
    <definedName name="_3__123Graph_XChart_1A" localSheetId="23" hidden="1">#REF!</definedName>
    <definedName name="_3__123Graph_XChart_1A" localSheetId="24" hidden="1">#REF!</definedName>
    <definedName name="_3__123Graph_XChart_1A" localSheetId="25" hidden="1">#REF!</definedName>
    <definedName name="_3__123Graph_XChart_1A" localSheetId="8" hidden="1">#REF!</definedName>
    <definedName name="_3__123Graph_XChart_1A" localSheetId="26" hidden="1">#REF!</definedName>
    <definedName name="_3__123Graph_XChart_1A" localSheetId="27" hidden="1">#REF!</definedName>
    <definedName name="_3__123Graph_XChart_1A" localSheetId="28" hidden="1">#REF!</definedName>
    <definedName name="_3__123Graph_XChart_1A" localSheetId="29" hidden="1">#REF!</definedName>
    <definedName name="_3__123Graph_XChart_1A" localSheetId="30" hidden="1">#REF!</definedName>
    <definedName name="_3__123Graph_XChart_1A" localSheetId="31" hidden="1">#REF!</definedName>
    <definedName name="_3__123Graph_XChart_1A" localSheetId="32" hidden="1">#REF!</definedName>
    <definedName name="_3__123Graph_XChart_1A" localSheetId="33" hidden="1">#REF!</definedName>
    <definedName name="_3__123Graph_XChart_1A" localSheetId="34" hidden="1">#REF!</definedName>
    <definedName name="_3__123Graph_XChart_1A" localSheetId="35" hidden="1">#REF!</definedName>
    <definedName name="_3__123Graph_XChart_1A" localSheetId="9" hidden="1">#REF!</definedName>
    <definedName name="_3__123Graph_XChart_1A" localSheetId="36" hidden="1">#REF!</definedName>
    <definedName name="_3__123Graph_XChart_1A" localSheetId="37" hidden="1">#REF!</definedName>
    <definedName name="_3__123Graph_XChart_1A" localSheetId="38" hidden="1">#REF!</definedName>
    <definedName name="_3__123Graph_XChart_1A" localSheetId="39" hidden="1">#REF!</definedName>
    <definedName name="_3__123Graph_XChart_1A" localSheetId="10" hidden="1">#REF!</definedName>
    <definedName name="_3__123Graph_XChart_1A" localSheetId="11" hidden="1">#REF!</definedName>
    <definedName name="_3__123Graph_XChart_1A" localSheetId="12" hidden="1">#REF!</definedName>
    <definedName name="_3__123Graph_XChart_1A" localSheetId="13" hidden="1">#REF!</definedName>
    <definedName name="_3__123Graph_XChart_1A" localSheetId="14" hidden="1">#REF!</definedName>
    <definedName name="_3__123Graph_XChart_1A" localSheetId="15" hidden="1">#REF!</definedName>
    <definedName name="_3__123Graph_XChart_1A" hidden="1">#REF!</definedName>
    <definedName name="_Fill" localSheetId="0" hidden="1">#REF!</definedName>
    <definedName name="_Fill" localSheetId="4" hidden="1">#REF!</definedName>
    <definedName name="_Fill" localSheetId="5" hidden="1">#REF!</definedName>
    <definedName name="_Fill" localSheetId="3" hidden="1">#REF!</definedName>
    <definedName name="_Fill" localSheetId="1" hidden="1">#REF!</definedName>
    <definedName name="_Fill" localSheetId="6" hidden="1">#REF!</definedName>
    <definedName name="_Fill" localSheetId="7"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8" hidden="1">#REF!</definedName>
    <definedName name="_Fill" localSheetId="26"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9"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hidden="1">#REF!</definedName>
    <definedName name="_xlnm._FilterDatabase" localSheetId="0" hidden="1">'Break Down CI'!$A$7:$W$134</definedName>
    <definedName name="_xlnm._FilterDatabase" localSheetId="4" hidden="1">'Break Down CI (Rve1)'!$A$7:$AC$134</definedName>
    <definedName name="_xlnm._FilterDatabase" localSheetId="1" hidden="1">'Detailed PL'!$B$14:$AY$151</definedName>
    <definedName name="_xlnm._FilterDatabase" localSheetId="2" hidden="1">'PL(2_2)'!$B$14:$U$48</definedName>
    <definedName name="_xlnm._FilterDatabase" localSheetId="7" hidden="1">'SHIPPING MARK(1)'!$A$1:$A$20</definedName>
    <definedName name="_xlnm._FilterDatabase" localSheetId="16" hidden="1">'SHIPPING MARK(10)'!$A$1:$A$20</definedName>
    <definedName name="_xlnm._FilterDatabase" localSheetId="17" hidden="1">'SHIPPING MARK(11)'!$A$1:$A$20</definedName>
    <definedName name="_xlnm._FilterDatabase" localSheetId="18" hidden="1">'SHIPPING MARK(12)'!$A$1:$A$20</definedName>
    <definedName name="_xlnm._FilterDatabase" localSheetId="19" hidden="1">'SHIPPING MARK(13)'!$A$1:$A$20</definedName>
    <definedName name="_xlnm._FilterDatabase" localSheetId="20" hidden="1">'SHIPPING MARK(14)'!$A$1:$A$20</definedName>
    <definedName name="_xlnm._FilterDatabase" localSheetId="21" hidden="1">'SHIPPING MARK(15)'!$A$1:$A$20</definedName>
    <definedName name="_xlnm._FilterDatabase" localSheetId="22" hidden="1">'SHIPPING MARK(16)'!$A$1:$A$20</definedName>
    <definedName name="_xlnm._FilterDatabase" localSheetId="23" hidden="1">'SHIPPING MARK(17)'!$A$1:$A$20</definedName>
    <definedName name="_xlnm._FilterDatabase" localSheetId="24" hidden="1">'SHIPPING MARK(18)'!$A$1:$A$20</definedName>
    <definedName name="_xlnm._FilterDatabase" localSheetId="25" hidden="1">'SHIPPING MARK(19)'!$A$1:$A$20</definedName>
    <definedName name="_xlnm._FilterDatabase" localSheetId="8" hidden="1">'SHIPPING MARK(2)'!$A$1:$A$20</definedName>
    <definedName name="_xlnm._FilterDatabase" localSheetId="26" hidden="1">'SHIPPING MARK(20)'!$A$1:$A$20</definedName>
    <definedName name="_xlnm._FilterDatabase" localSheetId="27" hidden="1">'SHIPPING MARK(21)'!$A$1:$A$20</definedName>
    <definedName name="_xlnm._FilterDatabase" localSheetId="28" hidden="1">'SHIPPING MARK(22)'!$A$1:$A$20</definedName>
    <definedName name="_xlnm._FilterDatabase" localSheetId="29" hidden="1">'SHIPPING MARK(23)'!$A$1:$A$20</definedName>
    <definedName name="_xlnm._FilterDatabase" localSheetId="30" hidden="1">'SHIPPING MARK(24)'!$A$1:$A$20</definedName>
    <definedName name="_xlnm._FilterDatabase" localSheetId="31" hidden="1">'SHIPPING MARK(25)'!$A$1:$A$20</definedName>
    <definedName name="_xlnm._FilterDatabase" localSheetId="32" hidden="1">'SHIPPING MARK(26)'!$A$1:$A$20</definedName>
    <definedName name="_xlnm._FilterDatabase" localSheetId="33" hidden="1">'SHIPPING MARK(27)'!$A$1:$A$20</definedName>
    <definedName name="_xlnm._FilterDatabase" localSheetId="34" hidden="1">'SHIPPING MARK(28)'!$A$1:$A$20</definedName>
    <definedName name="_xlnm._FilterDatabase" localSheetId="35" hidden="1">'SHIPPING MARK(29)'!$A$1:$A$20</definedName>
    <definedName name="_xlnm._FilterDatabase" localSheetId="9" hidden="1">'SHIPPING MARK(3)'!$A$1:$A$20</definedName>
    <definedName name="_xlnm._FilterDatabase" localSheetId="36" hidden="1">'SHIPPING MARK(30)'!$A$1:$A$20</definedName>
    <definedName name="_xlnm._FilterDatabase" localSheetId="37" hidden="1">'SHIPPING MARK(31)'!$A$1:$A$20</definedName>
    <definedName name="_xlnm._FilterDatabase" localSheetId="38" hidden="1">'SHIPPING MARK(32)'!$A$1:$A$20</definedName>
    <definedName name="_xlnm._FilterDatabase" localSheetId="39" hidden="1">'SHIPPING MARK(33)'!$A$1:$A$20</definedName>
    <definedName name="_xlnm._FilterDatabase" localSheetId="10" hidden="1">'SHIPPING MARK(4)'!$A$1:$A$20</definedName>
    <definedName name="_xlnm._FilterDatabase" localSheetId="11" hidden="1">'SHIPPING MARK(5)'!$A$1:$A$20</definedName>
    <definedName name="_xlnm._FilterDatabase" localSheetId="12" hidden="1">'SHIPPING MARK(6)'!$A$1:$A$20</definedName>
    <definedName name="_xlnm._FilterDatabase" localSheetId="13" hidden="1">'SHIPPING MARK(7)'!$A$1:$A$20</definedName>
    <definedName name="_xlnm._FilterDatabase" localSheetId="14" hidden="1">'SHIPPING MARK(8)'!$A$1:$A$20</definedName>
    <definedName name="_xlnm._FilterDatabase" localSheetId="15" hidden="1">'SHIPPING MARK(9)'!$A$1:$A$20</definedName>
    <definedName name="_xlnm._FilterDatabase" localSheetId="40" hidden="1">'Technical Description'!$A$8:$H$43</definedName>
    <definedName name="_Hlk215568700" localSheetId="44">PSIC!$B$2</definedName>
    <definedName name="_Key1" localSheetId="0" hidden="1">#REF!</definedName>
    <definedName name="_Key1" localSheetId="4" hidden="1">#REF!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16"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24" hidden="1">#REF!</definedName>
    <definedName name="_Key1" localSheetId="25" hidden="1">#REF!</definedName>
    <definedName name="_Key1" localSheetId="8" hidden="1">#REF!</definedName>
    <definedName name="_Key1" localSheetId="26" hidden="1">#REF!</definedName>
    <definedName name="_Key1" localSheetId="27" hidden="1">#REF!</definedName>
    <definedName name="_Key1" localSheetId="28" hidden="1">#REF!</definedName>
    <definedName name="_Key1" localSheetId="29" hidden="1">#REF!</definedName>
    <definedName name="_Key1" localSheetId="30" hidden="1">#REF!</definedName>
    <definedName name="_Key1" localSheetId="31" hidden="1">#REF!</definedName>
    <definedName name="_Key1" localSheetId="32" hidden="1">#REF!</definedName>
    <definedName name="_Key1" localSheetId="33" hidden="1">#REF!</definedName>
    <definedName name="_Key1" localSheetId="34" hidden="1">#REF!</definedName>
    <definedName name="_Key1" localSheetId="35" hidden="1">#REF!</definedName>
    <definedName name="_Key1" localSheetId="9" hidden="1">#REF!</definedName>
    <definedName name="_Key1" localSheetId="36" hidden="1">#REF!</definedName>
    <definedName name="_Key1" localSheetId="37" hidden="1">#REF!</definedName>
    <definedName name="_Key1" localSheetId="38" hidden="1">#REF!</definedName>
    <definedName name="_Key1" localSheetId="3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hidden="1">#REF!</definedName>
    <definedName name="_Key2" localSheetId="0" hidden="1">#REF!</definedName>
    <definedName name="_Key2" localSheetId="4" hidden="1">#REF!</definedName>
    <definedName name="_Key2" localSheetId="5" hidden="1">#REF!</definedName>
    <definedName name="_Key2" localSheetId="3" hidden="1">#REF!</definedName>
    <definedName name="_Key2" localSheetId="6" hidden="1">#REF!</definedName>
    <definedName name="_Key2" localSheetId="7" hidden="1">#REF!</definedName>
    <definedName name="_Key2" localSheetId="16"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localSheetId="22" hidden="1">#REF!</definedName>
    <definedName name="_Key2" localSheetId="23" hidden="1">#REF!</definedName>
    <definedName name="_Key2" localSheetId="24" hidden="1">#REF!</definedName>
    <definedName name="_Key2" localSheetId="25" hidden="1">#REF!</definedName>
    <definedName name="_Key2" localSheetId="8" hidden="1">#REF!</definedName>
    <definedName name="_Key2" localSheetId="26" hidden="1">#REF!</definedName>
    <definedName name="_Key2" localSheetId="27" hidden="1">#REF!</definedName>
    <definedName name="_Key2" localSheetId="28" hidden="1">#REF!</definedName>
    <definedName name="_Key2" localSheetId="29" hidden="1">#REF!</definedName>
    <definedName name="_Key2" localSheetId="30" hidden="1">#REF!</definedName>
    <definedName name="_Key2" localSheetId="31" hidden="1">#REF!</definedName>
    <definedName name="_Key2" localSheetId="32" hidden="1">#REF!</definedName>
    <definedName name="_Key2" localSheetId="33" hidden="1">#REF!</definedName>
    <definedName name="_Key2" localSheetId="34" hidden="1">#REF!</definedName>
    <definedName name="_Key2" localSheetId="35" hidden="1">#REF!</definedName>
    <definedName name="_Key2" localSheetId="9" hidden="1">#REF!</definedName>
    <definedName name="_Key2" localSheetId="36" hidden="1">#REF!</definedName>
    <definedName name="_Key2" localSheetId="37" hidden="1">#REF!</definedName>
    <definedName name="_Key2" localSheetId="38" hidden="1">#REF!</definedName>
    <definedName name="_Key2" localSheetId="39"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hidden="1">#REF!</definedName>
    <definedName name="_Order1" hidden="1">255</definedName>
    <definedName name="_Order2" hidden="1">255</definedName>
    <definedName name="_Parse_In" localSheetId="0" hidden="1">#REF!</definedName>
    <definedName name="_Parse_In" localSheetId="4" hidden="1">#REF!</definedName>
    <definedName name="_Parse_In" localSheetId="5" hidden="1">#REF!</definedName>
    <definedName name="_Parse_In" localSheetId="3" hidden="1">#REF!</definedName>
    <definedName name="_Parse_In" localSheetId="1" hidden="1">#REF!</definedName>
    <definedName name="_Parse_In" localSheetId="6" hidden="1">#REF!</definedName>
    <definedName name="_Parse_In" localSheetId="7" hidden="1">#REF!</definedName>
    <definedName name="_Parse_In" localSheetId="16"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25" hidden="1">#REF!</definedName>
    <definedName name="_Parse_In" localSheetId="8" hidden="1">#REF!</definedName>
    <definedName name="_Parse_In" localSheetId="26" hidden="1">#REF!</definedName>
    <definedName name="_Parse_In" localSheetId="27" hidden="1">#REF!</definedName>
    <definedName name="_Parse_In" localSheetId="28" hidden="1">#REF!</definedName>
    <definedName name="_Parse_In" localSheetId="29" hidden="1">#REF!</definedName>
    <definedName name="_Parse_In" localSheetId="30" hidden="1">#REF!</definedName>
    <definedName name="_Parse_In" localSheetId="31" hidden="1">#REF!</definedName>
    <definedName name="_Parse_In" localSheetId="32" hidden="1">#REF!</definedName>
    <definedName name="_Parse_In" localSheetId="33" hidden="1">#REF!</definedName>
    <definedName name="_Parse_In" localSheetId="34" hidden="1">#REF!</definedName>
    <definedName name="_Parse_In" localSheetId="35" hidden="1">#REF!</definedName>
    <definedName name="_Parse_In" localSheetId="9" hidden="1">#REF!</definedName>
    <definedName name="_Parse_In" localSheetId="36" hidden="1">#REF!</definedName>
    <definedName name="_Parse_In" localSheetId="37" hidden="1">#REF!</definedName>
    <definedName name="_Parse_In" localSheetId="38" hidden="1">#REF!</definedName>
    <definedName name="_Parse_In" localSheetId="3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hidden="1">#REF!</definedName>
    <definedName name="_Parse_Out" localSheetId="0" hidden="1">#REF!</definedName>
    <definedName name="_Parse_Out" localSheetId="4" hidden="1">#REF!</definedName>
    <definedName name="_Parse_Out" localSheetId="5" hidden="1">#REF!</definedName>
    <definedName name="_Parse_Out" localSheetId="3" hidden="1">#REF!</definedName>
    <definedName name="_Parse_Out" localSheetId="6" hidden="1">#REF!</definedName>
    <definedName name="_Parse_Out" localSheetId="7"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8" hidden="1">#REF!</definedName>
    <definedName name="_Parse_Out" localSheetId="26" hidden="1">#REF!</definedName>
    <definedName name="_Parse_Out" localSheetId="27" hidden="1">#REF!</definedName>
    <definedName name="_Parse_Out" localSheetId="28" hidden="1">#REF!</definedName>
    <definedName name="_Parse_Out" localSheetId="29" hidden="1">#REF!</definedName>
    <definedName name="_Parse_Out" localSheetId="30" hidden="1">#REF!</definedName>
    <definedName name="_Parse_Out" localSheetId="31" hidden="1">#REF!</definedName>
    <definedName name="_Parse_Out" localSheetId="32" hidden="1">#REF!</definedName>
    <definedName name="_Parse_Out" localSheetId="33" hidden="1">#REF!</definedName>
    <definedName name="_Parse_Out" localSheetId="34" hidden="1">#REF!</definedName>
    <definedName name="_Parse_Out" localSheetId="35" hidden="1">#REF!</definedName>
    <definedName name="_Parse_Out" localSheetId="9" hidden="1">#REF!</definedName>
    <definedName name="_Parse_Out" localSheetId="36" hidden="1">#REF!</definedName>
    <definedName name="_Parse_Out" localSheetId="37" hidden="1">#REF!</definedName>
    <definedName name="_Parse_Out" localSheetId="38" hidden="1">#REF!</definedName>
    <definedName name="_Parse_Out" localSheetId="3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hidden="1">#REF!</definedName>
    <definedName name="_Sort" localSheetId="0" hidden="1">#REF!</definedName>
    <definedName name="_Sort" localSheetId="4" hidden="1">#REF!</definedName>
    <definedName name="_Sort" localSheetId="5" hidden="1">#REF!</definedName>
    <definedName name="_Sort" localSheetId="3" hidden="1">#REF!</definedName>
    <definedName name="_Sort" localSheetId="6" hidden="1">#REF!</definedName>
    <definedName name="_Sort" localSheetId="7" hidden="1">#REF!</definedName>
    <definedName name="_Sort" localSheetId="16"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24" hidden="1">#REF!</definedName>
    <definedName name="_Sort" localSheetId="25" hidden="1">#REF!</definedName>
    <definedName name="_Sort" localSheetId="8" hidden="1">#REF!</definedName>
    <definedName name="_Sort" localSheetId="26" hidden="1">#REF!</definedName>
    <definedName name="_Sort" localSheetId="27" hidden="1">#REF!</definedName>
    <definedName name="_Sort" localSheetId="28" hidden="1">#REF!</definedName>
    <definedName name="_Sort" localSheetId="29" hidden="1">#REF!</definedName>
    <definedName name="_Sort" localSheetId="30" hidden="1">#REF!</definedName>
    <definedName name="_Sort" localSheetId="31" hidden="1">#REF!</definedName>
    <definedName name="_Sort" localSheetId="32" hidden="1">#REF!</definedName>
    <definedName name="_Sort" localSheetId="33" hidden="1">#REF!</definedName>
    <definedName name="_Sort" localSheetId="34" hidden="1">#REF!</definedName>
    <definedName name="_Sort" localSheetId="35" hidden="1">#REF!</definedName>
    <definedName name="_Sort" localSheetId="9" hidden="1">#REF!</definedName>
    <definedName name="_Sort" localSheetId="36" hidden="1">#REF!</definedName>
    <definedName name="_Sort" localSheetId="37" hidden="1">#REF!</definedName>
    <definedName name="_Sort" localSheetId="38" hidden="1">#REF!</definedName>
    <definedName name="_Sort" localSheetId="3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hidden="1">#REF!</definedName>
    <definedName name="A" localSheetId="0" hidden="1">#REF!</definedName>
    <definedName name="A" localSheetId="4" hidden="1">#REF!</definedName>
    <definedName name="A" localSheetId="5" hidden="1">#REF!</definedName>
    <definedName name="A" localSheetId="3" hidden="1">#REF!</definedName>
    <definedName name="A" localSheetId="6" hidden="1">#REF!</definedName>
    <definedName name="A" localSheetId="7" hidden="1">#REF!</definedName>
    <definedName name="A" localSheetId="16" hidden="1">#REF!</definedName>
    <definedName name="A" localSheetId="17" hidden="1">#REF!</definedName>
    <definedName name="A" localSheetId="18" hidden="1">#REF!</definedName>
    <definedName name="A" localSheetId="19" hidden="1">#REF!</definedName>
    <definedName name="A" localSheetId="20" hidden="1">#REF!</definedName>
    <definedName name="A" localSheetId="21" hidden="1">#REF!</definedName>
    <definedName name="A" localSheetId="22" hidden="1">#REF!</definedName>
    <definedName name="A" localSheetId="23" hidden="1">#REF!</definedName>
    <definedName name="A" localSheetId="24" hidden="1">#REF!</definedName>
    <definedName name="A" localSheetId="25" hidden="1">#REF!</definedName>
    <definedName name="A" localSheetId="8" hidden="1">#REF!</definedName>
    <definedName name="A" localSheetId="26" hidden="1">#REF!</definedName>
    <definedName name="A" localSheetId="27" hidden="1">#REF!</definedName>
    <definedName name="A" localSheetId="28" hidden="1">#REF!</definedName>
    <definedName name="A" localSheetId="29" hidden="1">#REF!</definedName>
    <definedName name="A" localSheetId="30" hidden="1">#REF!</definedName>
    <definedName name="A" localSheetId="31" hidden="1">#REF!</definedName>
    <definedName name="A" localSheetId="32" hidden="1">#REF!</definedName>
    <definedName name="A" localSheetId="33" hidden="1">#REF!</definedName>
    <definedName name="A" localSheetId="34" hidden="1">#REF!</definedName>
    <definedName name="A" localSheetId="35" hidden="1">#REF!</definedName>
    <definedName name="A" localSheetId="9" hidden="1">#REF!</definedName>
    <definedName name="A" localSheetId="36" hidden="1">#REF!</definedName>
    <definedName name="A" localSheetId="37" hidden="1">#REF!</definedName>
    <definedName name="A" localSheetId="38" hidden="1">#REF!</definedName>
    <definedName name="A" localSheetId="39" hidden="1">#REF!</definedName>
    <definedName name="A" localSheetId="10" hidden="1">#REF!</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hidden="1">#REF!</definedName>
    <definedName name="ABC" localSheetId="0" hidden="1">#REF!</definedName>
    <definedName name="ABC" localSheetId="4" hidden="1">#REF!</definedName>
    <definedName name="ABC" localSheetId="5" hidden="1">#REF!</definedName>
    <definedName name="ABC" localSheetId="3" hidden="1">#REF!</definedName>
    <definedName name="ABC" localSheetId="1" hidden="1">#REF!</definedName>
    <definedName name="ABC" localSheetId="6" hidden="1">#REF!</definedName>
    <definedName name="ABC" localSheetId="7" hidden="1">#REF!</definedName>
    <definedName name="ABC" localSheetId="16" hidden="1">#REF!</definedName>
    <definedName name="ABC" localSheetId="17" hidden="1">#REF!</definedName>
    <definedName name="ABC" localSheetId="18" hidden="1">#REF!</definedName>
    <definedName name="ABC" localSheetId="19" hidden="1">#REF!</definedName>
    <definedName name="ABC" localSheetId="20" hidden="1">#REF!</definedName>
    <definedName name="ABC" localSheetId="21" hidden="1">#REF!</definedName>
    <definedName name="ABC" localSheetId="22" hidden="1">#REF!</definedName>
    <definedName name="ABC" localSheetId="23" hidden="1">#REF!</definedName>
    <definedName name="ABC" localSheetId="24" hidden="1">#REF!</definedName>
    <definedName name="ABC" localSheetId="25" hidden="1">#REF!</definedName>
    <definedName name="ABC" localSheetId="8" hidden="1">#REF!</definedName>
    <definedName name="ABC" localSheetId="26" hidden="1">#REF!</definedName>
    <definedName name="ABC" localSheetId="27" hidden="1">#REF!</definedName>
    <definedName name="ABC" localSheetId="28" hidden="1">#REF!</definedName>
    <definedName name="ABC" localSheetId="29" hidden="1">#REF!</definedName>
    <definedName name="ABC" localSheetId="30" hidden="1">#REF!</definedName>
    <definedName name="ABC" localSheetId="31" hidden="1">#REF!</definedName>
    <definedName name="ABC" localSheetId="32" hidden="1">#REF!</definedName>
    <definedName name="ABC" localSheetId="33" hidden="1">#REF!</definedName>
    <definedName name="ABC" localSheetId="34" hidden="1">#REF!</definedName>
    <definedName name="ABC" localSheetId="35" hidden="1">#REF!</definedName>
    <definedName name="ABC" localSheetId="9" hidden="1">#REF!</definedName>
    <definedName name="ABC" localSheetId="36" hidden="1">#REF!</definedName>
    <definedName name="ABC" localSheetId="37" hidden="1">#REF!</definedName>
    <definedName name="ABC" localSheetId="38" hidden="1">#REF!</definedName>
    <definedName name="ABC" localSheetId="39" hidden="1">#REF!</definedName>
    <definedName name="ABC" localSheetId="10" hidden="1">#REF!</definedName>
    <definedName name="ABC" localSheetId="11" hidden="1">#REF!</definedName>
    <definedName name="ABC" localSheetId="12" hidden="1">#REF!</definedName>
    <definedName name="ABC" localSheetId="13" hidden="1">#REF!</definedName>
    <definedName name="ABC" localSheetId="14" hidden="1">#REF!</definedName>
    <definedName name="ABC" localSheetId="15" hidden="1">#REF!</definedName>
    <definedName name="ABC" hidden="1">#REF!</definedName>
    <definedName name="CO" localSheetId="0" hidden="1">#REF!</definedName>
    <definedName name="CO" localSheetId="4" hidden="1">#REF!</definedName>
    <definedName name="CO" localSheetId="5" hidden="1">#REF!</definedName>
    <definedName name="CO" localSheetId="3" hidden="1">#REF!</definedName>
    <definedName name="CO" localSheetId="1" hidden="1">#REF!</definedName>
    <definedName name="CO" localSheetId="6" hidden="1">#REF!</definedName>
    <definedName name="CO" localSheetId="7" hidden="1">#REF!</definedName>
    <definedName name="CO" localSheetId="16" hidden="1">#REF!</definedName>
    <definedName name="CO" localSheetId="17" hidden="1">#REF!</definedName>
    <definedName name="CO" localSheetId="18" hidden="1">#REF!</definedName>
    <definedName name="CO" localSheetId="19" hidden="1">#REF!</definedName>
    <definedName name="CO" localSheetId="20" hidden="1">#REF!</definedName>
    <definedName name="CO" localSheetId="21" hidden="1">#REF!</definedName>
    <definedName name="CO" localSheetId="22" hidden="1">#REF!</definedName>
    <definedName name="CO" localSheetId="23" hidden="1">#REF!</definedName>
    <definedName name="CO" localSheetId="24" hidden="1">#REF!</definedName>
    <definedName name="CO" localSheetId="25" hidden="1">#REF!</definedName>
    <definedName name="CO" localSheetId="8" hidden="1">#REF!</definedName>
    <definedName name="CO" localSheetId="26" hidden="1">#REF!</definedName>
    <definedName name="CO" localSheetId="27" hidden="1">#REF!</definedName>
    <definedName name="CO" localSheetId="28" hidden="1">#REF!</definedName>
    <definedName name="CO" localSheetId="29" hidden="1">#REF!</definedName>
    <definedName name="CO" localSheetId="30" hidden="1">#REF!</definedName>
    <definedName name="CO" localSheetId="31" hidden="1">#REF!</definedName>
    <definedName name="CO" localSheetId="32" hidden="1">#REF!</definedName>
    <definedName name="CO" localSheetId="33" hidden="1">#REF!</definedName>
    <definedName name="CO" localSheetId="34" hidden="1">#REF!</definedName>
    <definedName name="CO" localSheetId="35" hidden="1">#REF!</definedName>
    <definedName name="CO" localSheetId="9" hidden="1">#REF!</definedName>
    <definedName name="CO" localSheetId="36" hidden="1">#REF!</definedName>
    <definedName name="CO" localSheetId="37" hidden="1">#REF!</definedName>
    <definedName name="CO" localSheetId="38" hidden="1">#REF!</definedName>
    <definedName name="CO" localSheetId="39" hidden="1">#REF!</definedName>
    <definedName name="CO" localSheetId="10" hidden="1">#REF!</definedName>
    <definedName name="CO" localSheetId="11" hidden="1">#REF!</definedName>
    <definedName name="CO" localSheetId="12" hidden="1">#REF!</definedName>
    <definedName name="CO" localSheetId="13" hidden="1">#REF!</definedName>
    <definedName name="CO" localSheetId="14" hidden="1">#REF!</definedName>
    <definedName name="CO" localSheetId="15" hidden="1">#REF!</definedName>
    <definedName name="CO" hidden="1">#REF!</definedName>
    <definedName name="e" localSheetId="7" hidden="1">#REF!</definedName>
    <definedName name="e" localSheetId="16" hidden="1">#REF!</definedName>
    <definedName name="e" localSheetId="17" hidden="1">#REF!</definedName>
    <definedName name="e" localSheetId="18" hidden="1">#REF!</definedName>
    <definedName name="e" localSheetId="19" hidden="1">#REF!</definedName>
    <definedName name="e" localSheetId="20" hidden="1">#REF!</definedName>
    <definedName name="e" localSheetId="21" hidden="1">#REF!</definedName>
    <definedName name="e" localSheetId="22" hidden="1">#REF!</definedName>
    <definedName name="e" localSheetId="23" hidden="1">#REF!</definedName>
    <definedName name="e" localSheetId="24" hidden="1">#REF!</definedName>
    <definedName name="e" localSheetId="25" hidden="1">#REF!</definedName>
    <definedName name="e" localSheetId="8" hidden="1">#REF!</definedName>
    <definedName name="e" localSheetId="26" hidden="1">#REF!</definedName>
    <definedName name="e" localSheetId="27" hidden="1">#REF!</definedName>
    <definedName name="e" localSheetId="28" hidden="1">#REF!</definedName>
    <definedName name="e" localSheetId="29" hidden="1">#REF!</definedName>
    <definedName name="e" localSheetId="30" hidden="1">#REF!</definedName>
    <definedName name="e" localSheetId="31" hidden="1">#REF!</definedName>
    <definedName name="e" localSheetId="32" hidden="1">#REF!</definedName>
    <definedName name="e" localSheetId="33" hidden="1">#REF!</definedName>
    <definedName name="e" localSheetId="34" hidden="1">#REF!</definedName>
    <definedName name="e" localSheetId="35" hidden="1">#REF!</definedName>
    <definedName name="e" localSheetId="9" hidden="1">#REF!</definedName>
    <definedName name="e" localSheetId="36" hidden="1">#REF!</definedName>
    <definedName name="e" localSheetId="37" hidden="1">#REF!</definedName>
    <definedName name="e" localSheetId="38" hidden="1">#REF!</definedName>
    <definedName name="e" localSheetId="39" hidden="1">#REF!</definedName>
    <definedName name="e" localSheetId="10" hidden="1">#REF!</definedName>
    <definedName name="e" localSheetId="11" hidden="1">#REF!</definedName>
    <definedName name="e" localSheetId="12" hidden="1">#REF!</definedName>
    <definedName name="e" localSheetId="13" hidden="1">#REF!</definedName>
    <definedName name="e" localSheetId="14" hidden="1">#REF!</definedName>
    <definedName name="e" localSheetId="15" hidden="1">#REF!</definedName>
    <definedName name="e" hidden="1">#REF!</definedName>
    <definedName name="Ge" localSheetId="7" hidden="1">#REF!</definedName>
    <definedName name="Ge" localSheetId="16" hidden="1">#REF!</definedName>
    <definedName name="Ge" localSheetId="17" hidden="1">#REF!</definedName>
    <definedName name="Ge" localSheetId="18" hidden="1">#REF!</definedName>
    <definedName name="Ge" localSheetId="19" hidden="1">#REF!</definedName>
    <definedName name="Ge" localSheetId="20" hidden="1">#REF!</definedName>
    <definedName name="Ge" localSheetId="21" hidden="1">#REF!</definedName>
    <definedName name="Ge" localSheetId="22" hidden="1">#REF!</definedName>
    <definedName name="Ge" localSheetId="23" hidden="1">#REF!</definedName>
    <definedName name="Ge" localSheetId="24" hidden="1">#REF!</definedName>
    <definedName name="Ge" localSheetId="25" hidden="1">#REF!</definedName>
    <definedName name="Ge" localSheetId="8" hidden="1">#REF!</definedName>
    <definedName name="Ge" localSheetId="26" hidden="1">#REF!</definedName>
    <definedName name="Ge" localSheetId="27" hidden="1">#REF!</definedName>
    <definedName name="Ge" localSheetId="28" hidden="1">#REF!</definedName>
    <definedName name="Ge" localSheetId="29" hidden="1">#REF!</definedName>
    <definedName name="Ge" localSheetId="30" hidden="1">#REF!</definedName>
    <definedName name="Ge" localSheetId="31" hidden="1">#REF!</definedName>
    <definedName name="Ge" localSheetId="32" hidden="1">#REF!</definedName>
    <definedName name="Ge" localSheetId="33" hidden="1">#REF!</definedName>
    <definedName name="Ge" localSheetId="34" hidden="1">#REF!</definedName>
    <definedName name="Ge" localSheetId="35" hidden="1">#REF!</definedName>
    <definedName name="Ge" localSheetId="9" hidden="1">#REF!</definedName>
    <definedName name="Ge" localSheetId="36" hidden="1">#REF!</definedName>
    <definedName name="Ge" localSheetId="37" hidden="1">#REF!</definedName>
    <definedName name="Ge" localSheetId="38" hidden="1">#REF!</definedName>
    <definedName name="Ge" localSheetId="39" hidden="1">#REF!</definedName>
    <definedName name="Ge" localSheetId="10" hidden="1">#REF!</definedName>
    <definedName name="Ge" localSheetId="11" hidden="1">#REF!</definedName>
    <definedName name="Ge" localSheetId="12" hidden="1">#REF!</definedName>
    <definedName name="Ge" localSheetId="13" hidden="1">#REF!</definedName>
    <definedName name="Ge" localSheetId="14" hidden="1">#REF!</definedName>
    <definedName name="Ge" localSheetId="15" hidden="1">#REF!</definedName>
    <definedName name="Ge" hidden="1">#REF!</definedName>
    <definedName name="iv2dt" localSheetId="0" hidden="1">#REF!</definedName>
    <definedName name="iv2dt" localSheetId="4" hidden="1">#REF!</definedName>
    <definedName name="iv2dt" localSheetId="5" hidden="1">#REF!</definedName>
    <definedName name="iv2dt" localSheetId="3" hidden="1">#REF!</definedName>
    <definedName name="iv2dt" localSheetId="1" hidden="1">#REF!</definedName>
    <definedName name="iv2dt" localSheetId="6" hidden="1">#REF!</definedName>
    <definedName name="iv2dt" localSheetId="7" hidden="1">#REF!</definedName>
    <definedName name="iv2dt" localSheetId="16" hidden="1">#REF!</definedName>
    <definedName name="iv2dt" localSheetId="17" hidden="1">#REF!</definedName>
    <definedName name="iv2dt" localSheetId="18" hidden="1">#REF!</definedName>
    <definedName name="iv2dt" localSheetId="19" hidden="1">#REF!</definedName>
    <definedName name="iv2dt" localSheetId="20" hidden="1">#REF!</definedName>
    <definedName name="iv2dt" localSheetId="21" hidden="1">#REF!</definedName>
    <definedName name="iv2dt" localSheetId="22" hidden="1">#REF!</definedName>
    <definedName name="iv2dt" localSheetId="23" hidden="1">#REF!</definedName>
    <definedName name="iv2dt" localSheetId="24" hidden="1">#REF!</definedName>
    <definedName name="iv2dt" localSheetId="25" hidden="1">#REF!</definedName>
    <definedName name="iv2dt" localSheetId="8" hidden="1">#REF!</definedName>
    <definedName name="iv2dt" localSheetId="26" hidden="1">#REF!</definedName>
    <definedName name="iv2dt" localSheetId="27" hidden="1">#REF!</definedName>
    <definedName name="iv2dt" localSheetId="28" hidden="1">#REF!</definedName>
    <definedName name="iv2dt" localSheetId="29" hidden="1">#REF!</definedName>
    <definedName name="iv2dt" localSheetId="30" hidden="1">#REF!</definedName>
    <definedName name="iv2dt" localSheetId="31" hidden="1">#REF!</definedName>
    <definedName name="iv2dt" localSheetId="32" hidden="1">#REF!</definedName>
    <definedName name="iv2dt" localSheetId="33" hidden="1">#REF!</definedName>
    <definedName name="iv2dt" localSheetId="34" hidden="1">#REF!</definedName>
    <definedName name="iv2dt" localSheetId="35" hidden="1">#REF!</definedName>
    <definedName name="iv2dt" localSheetId="9" hidden="1">#REF!</definedName>
    <definedName name="iv2dt" localSheetId="36" hidden="1">#REF!</definedName>
    <definedName name="iv2dt" localSheetId="37" hidden="1">#REF!</definedName>
    <definedName name="iv2dt" localSheetId="38" hidden="1">#REF!</definedName>
    <definedName name="iv2dt" localSheetId="39" hidden="1">#REF!</definedName>
    <definedName name="iv2dt" localSheetId="10" hidden="1">#REF!</definedName>
    <definedName name="iv2dt" localSheetId="11" hidden="1">#REF!</definedName>
    <definedName name="iv2dt" localSheetId="12" hidden="1">#REF!</definedName>
    <definedName name="iv2dt" localSheetId="13" hidden="1">#REF!</definedName>
    <definedName name="iv2dt" localSheetId="14" hidden="1">#REF!</definedName>
    <definedName name="iv2dt" localSheetId="15" hidden="1">#REF!</definedName>
    <definedName name="iv2dt" hidden="1">#REF!</definedName>
    <definedName name="ivdt" localSheetId="0" hidden="1">#REF!</definedName>
    <definedName name="ivdt" localSheetId="4" hidden="1">#REF!</definedName>
    <definedName name="ivdt" localSheetId="5" hidden="1">#REF!</definedName>
    <definedName name="ivdt" localSheetId="3" hidden="1">#REF!</definedName>
    <definedName name="ivdt" localSheetId="1" hidden="1">#REF!</definedName>
    <definedName name="ivdt" localSheetId="6" hidden="1">#REF!</definedName>
    <definedName name="ivdt" localSheetId="7" hidden="1">#REF!</definedName>
    <definedName name="ivdt" localSheetId="16" hidden="1">#REF!</definedName>
    <definedName name="ivdt" localSheetId="17" hidden="1">#REF!</definedName>
    <definedName name="ivdt" localSheetId="18" hidden="1">#REF!</definedName>
    <definedName name="ivdt" localSheetId="19" hidden="1">#REF!</definedName>
    <definedName name="ivdt" localSheetId="20" hidden="1">#REF!</definedName>
    <definedName name="ivdt" localSheetId="21" hidden="1">#REF!</definedName>
    <definedName name="ivdt" localSheetId="22" hidden="1">#REF!</definedName>
    <definedName name="ivdt" localSheetId="23" hidden="1">#REF!</definedName>
    <definedName name="ivdt" localSheetId="24" hidden="1">#REF!</definedName>
    <definedName name="ivdt" localSheetId="25" hidden="1">#REF!</definedName>
    <definedName name="ivdt" localSheetId="8" hidden="1">#REF!</definedName>
    <definedName name="ivdt" localSheetId="26" hidden="1">#REF!</definedName>
    <definedName name="ivdt" localSheetId="27" hidden="1">#REF!</definedName>
    <definedName name="ivdt" localSheetId="28" hidden="1">#REF!</definedName>
    <definedName name="ivdt" localSheetId="29" hidden="1">#REF!</definedName>
    <definedName name="ivdt" localSheetId="30" hidden="1">#REF!</definedName>
    <definedName name="ivdt" localSheetId="31" hidden="1">#REF!</definedName>
    <definedName name="ivdt" localSheetId="32" hidden="1">#REF!</definedName>
    <definedName name="ivdt" localSheetId="33" hidden="1">#REF!</definedName>
    <definedName name="ivdt" localSheetId="34" hidden="1">#REF!</definedName>
    <definedName name="ivdt" localSheetId="35" hidden="1">#REF!</definedName>
    <definedName name="ivdt" localSheetId="9" hidden="1">#REF!</definedName>
    <definedName name="ivdt" localSheetId="36" hidden="1">#REF!</definedName>
    <definedName name="ivdt" localSheetId="37" hidden="1">#REF!</definedName>
    <definedName name="ivdt" localSheetId="38" hidden="1">#REF!</definedName>
    <definedName name="ivdt" localSheetId="39" hidden="1">#REF!</definedName>
    <definedName name="ivdt" localSheetId="10" hidden="1">#REF!</definedName>
    <definedName name="ivdt" localSheetId="11" hidden="1">#REF!</definedName>
    <definedName name="ivdt" localSheetId="12" hidden="1">#REF!</definedName>
    <definedName name="ivdt" localSheetId="13" hidden="1">#REF!</definedName>
    <definedName name="ivdt" localSheetId="14" hidden="1">#REF!</definedName>
    <definedName name="ivdt" localSheetId="15" hidden="1">#REF!</definedName>
    <definedName name="ivdt" hidden="1">#REF!</definedName>
    <definedName name="KABOLINE" localSheetId="0" hidden="1">#REF!</definedName>
    <definedName name="KABOLINE" localSheetId="4" hidden="1">#REF!</definedName>
    <definedName name="KABOLINE" localSheetId="5" hidden="1">#REF!</definedName>
    <definedName name="KABOLINE" localSheetId="3" hidden="1">#REF!</definedName>
    <definedName name="KABOLINE" localSheetId="1" hidden="1">#REF!</definedName>
    <definedName name="KABOLINE" localSheetId="6" hidden="1">#REF!</definedName>
    <definedName name="KABOLINE" localSheetId="7" hidden="1">#REF!</definedName>
    <definedName name="KABOLINE" localSheetId="16" hidden="1">#REF!</definedName>
    <definedName name="KABOLINE" localSheetId="17" hidden="1">#REF!</definedName>
    <definedName name="KABOLINE" localSheetId="18" hidden="1">#REF!</definedName>
    <definedName name="KABOLINE" localSheetId="19" hidden="1">#REF!</definedName>
    <definedName name="KABOLINE" localSheetId="20" hidden="1">#REF!</definedName>
    <definedName name="KABOLINE" localSheetId="21" hidden="1">#REF!</definedName>
    <definedName name="KABOLINE" localSheetId="22" hidden="1">#REF!</definedName>
    <definedName name="KABOLINE" localSheetId="23" hidden="1">#REF!</definedName>
    <definedName name="KABOLINE" localSheetId="24" hidden="1">#REF!</definedName>
    <definedName name="KABOLINE" localSheetId="25" hidden="1">#REF!</definedName>
    <definedName name="KABOLINE" localSheetId="8" hidden="1">#REF!</definedName>
    <definedName name="KABOLINE" localSheetId="26" hidden="1">#REF!</definedName>
    <definedName name="KABOLINE" localSheetId="27" hidden="1">#REF!</definedName>
    <definedName name="KABOLINE" localSheetId="28" hidden="1">#REF!</definedName>
    <definedName name="KABOLINE" localSheetId="29" hidden="1">#REF!</definedName>
    <definedName name="KABOLINE" localSheetId="30" hidden="1">#REF!</definedName>
    <definedName name="KABOLINE" localSheetId="31" hidden="1">#REF!</definedName>
    <definedName name="KABOLINE" localSheetId="32" hidden="1">#REF!</definedName>
    <definedName name="KABOLINE" localSheetId="33" hidden="1">#REF!</definedName>
    <definedName name="KABOLINE" localSheetId="34" hidden="1">#REF!</definedName>
    <definedName name="KABOLINE" localSheetId="35" hidden="1">#REF!</definedName>
    <definedName name="KABOLINE" localSheetId="9" hidden="1">#REF!</definedName>
    <definedName name="KABOLINE" localSheetId="36" hidden="1">#REF!</definedName>
    <definedName name="KABOLINE" localSheetId="37" hidden="1">#REF!</definedName>
    <definedName name="KABOLINE" localSheetId="38" hidden="1">#REF!</definedName>
    <definedName name="KABOLINE" localSheetId="39" hidden="1">#REF!</definedName>
    <definedName name="KABOLINE" localSheetId="10" hidden="1">#REF!</definedName>
    <definedName name="KABOLINE" localSheetId="11" hidden="1">#REF!</definedName>
    <definedName name="KABOLINE" localSheetId="12" hidden="1">#REF!</definedName>
    <definedName name="KABOLINE" localSheetId="13" hidden="1">#REF!</definedName>
    <definedName name="KABOLINE" localSheetId="14" hidden="1">#REF!</definedName>
    <definedName name="KABOLINE" localSheetId="15" hidden="1">#REF!</definedName>
    <definedName name="KABOLINE" hidden="1">#REF!</definedName>
    <definedName name="latent">#REF!</definedName>
    <definedName name="_xlnm.Print_Titles" localSheetId="0">'Break Down CI'!$7:$7</definedName>
    <definedName name="_xlnm.Print_Titles" localSheetId="4">'Break Down CI (Rve1)'!$7:$7</definedName>
    <definedName name="_xlnm.Print_Titles" localSheetId="1">'Detailed PL'!$13:$14</definedName>
    <definedName name="_xlnm.Print_Titles" localSheetId="2">'PL(2_2)'!$13:$14</definedName>
    <definedName name="_xlnm.Print_Titles" localSheetId="40">'Technical Description'!$7:$8</definedName>
    <definedName name="SM" localSheetId="7" hidden="1">#REF!</definedName>
    <definedName name="SM" localSheetId="16" hidden="1">#REF!</definedName>
    <definedName name="SM" localSheetId="17" hidden="1">#REF!</definedName>
    <definedName name="SM" localSheetId="18" hidden="1">#REF!</definedName>
    <definedName name="SM" localSheetId="19" hidden="1">#REF!</definedName>
    <definedName name="SM" localSheetId="20" hidden="1">#REF!</definedName>
    <definedName name="SM" localSheetId="21" hidden="1">#REF!</definedName>
    <definedName name="SM" localSheetId="22" hidden="1">#REF!</definedName>
    <definedName name="SM" localSheetId="23" hidden="1">#REF!</definedName>
    <definedName name="SM" localSheetId="24" hidden="1">#REF!</definedName>
    <definedName name="SM" localSheetId="25" hidden="1">#REF!</definedName>
    <definedName name="SM" localSheetId="8" hidden="1">#REF!</definedName>
    <definedName name="SM" localSheetId="26" hidden="1">#REF!</definedName>
    <definedName name="SM" localSheetId="27" hidden="1">#REF!</definedName>
    <definedName name="SM" localSheetId="28" hidden="1">#REF!</definedName>
    <definedName name="SM" localSheetId="29" hidden="1">#REF!</definedName>
    <definedName name="SM" localSheetId="30" hidden="1">#REF!</definedName>
    <definedName name="SM" localSheetId="31" hidden="1">#REF!</definedName>
    <definedName name="SM" localSheetId="32" hidden="1">#REF!</definedName>
    <definedName name="SM" localSheetId="33" hidden="1">#REF!</definedName>
    <definedName name="SM" localSheetId="34" hidden="1">#REF!</definedName>
    <definedName name="SM" localSheetId="35" hidden="1">#REF!</definedName>
    <definedName name="SM" localSheetId="9" hidden="1">#REF!</definedName>
    <definedName name="SM" localSheetId="36" hidden="1">#REF!</definedName>
    <definedName name="SM" localSheetId="37" hidden="1">#REF!</definedName>
    <definedName name="SM" localSheetId="38" hidden="1">#REF!</definedName>
    <definedName name="SM" localSheetId="39" hidden="1">#REF!</definedName>
    <definedName name="SM" localSheetId="10" hidden="1">#REF!</definedName>
    <definedName name="SM" localSheetId="11" hidden="1">#REF!</definedName>
    <definedName name="SM" localSheetId="12" hidden="1">#REF!</definedName>
    <definedName name="SM" localSheetId="13" hidden="1">#REF!</definedName>
    <definedName name="SM" localSheetId="14" hidden="1">#REF!</definedName>
    <definedName name="SM" localSheetId="15" hidden="1">#REF!</definedName>
    <definedName name="SM" hidden="1">#REF!</definedName>
    <definedName name="tube_test_press1_12">#REF!</definedName>
    <definedName name="_xlnm.Print_Area" localSheetId="0">'Break Down CI'!$A$1:$V$112</definedName>
    <definedName name="_xlnm.Print_Area" localSheetId="4">'Break Down CI (Rve1)'!$A$1:$W$112</definedName>
    <definedName name="_xlnm.Print_Area" localSheetId="5">'Commercial Invoice'!$A$1:$K$47</definedName>
    <definedName name="_xlnm.Print_Area" localSheetId="3">'Commercial Invoice (Rev1)'!$A$1:$K$47</definedName>
    <definedName name="_xlnm.Print_Area" localSheetId="1">'Detailed PL'!$A$1:$W$151</definedName>
    <definedName name="_xlnm.Print_Area" localSheetId="6">'Packing List (1_2)'!$A$1:$K$49</definedName>
    <definedName name="_xlnm.Print_Area" localSheetId="2">'PL(2_2)'!$B$1:$U$48</definedName>
    <definedName name="_xlnm.Print_Area" localSheetId="7">'SHIPPING MARK(1)'!$A$1:$J$20</definedName>
    <definedName name="_xlnm.Print_Area" localSheetId="16">'SHIPPING MARK(10)'!$A$1:$J$20</definedName>
    <definedName name="_xlnm.Print_Area" localSheetId="17">'SHIPPING MARK(11)'!$A$1:$J$20</definedName>
    <definedName name="_xlnm.Print_Area" localSheetId="18">'SHIPPING MARK(12)'!$A$1:$J$20</definedName>
    <definedName name="_xlnm.Print_Area" localSheetId="19">'SHIPPING MARK(13)'!$A$1:$J$20</definedName>
    <definedName name="_xlnm.Print_Area" localSheetId="20">'SHIPPING MARK(14)'!$A$1:$J$20</definedName>
    <definedName name="_xlnm.Print_Area" localSheetId="21">'SHIPPING MARK(15)'!$A$1:$J$20</definedName>
    <definedName name="_xlnm.Print_Area" localSheetId="22">'SHIPPING MARK(16)'!$A$1:$J$20</definedName>
    <definedName name="_xlnm.Print_Area" localSheetId="23">'SHIPPING MARK(17)'!$A$1:$J$20</definedName>
    <definedName name="_xlnm.Print_Area" localSheetId="24">'SHIPPING MARK(18)'!$A$1:$J$20</definedName>
    <definedName name="_xlnm.Print_Area" localSheetId="25">'SHIPPING MARK(19)'!$A$1:$J$20</definedName>
    <definedName name="_xlnm.Print_Area" localSheetId="8">'SHIPPING MARK(2)'!$A$1:$J$20</definedName>
    <definedName name="_xlnm.Print_Area" localSheetId="26">'SHIPPING MARK(20)'!$A$1:$J$20</definedName>
    <definedName name="_xlnm.Print_Area" localSheetId="27">'SHIPPING MARK(21)'!$A$1:$J$20</definedName>
    <definedName name="_xlnm.Print_Area" localSheetId="28">'SHIPPING MARK(22)'!$A$1:$J$20</definedName>
    <definedName name="_xlnm.Print_Area" localSheetId="29">'SHIPPING MARK(23)'!$A$1:$J$20</definedName>
    <definedName name="_xlnm.Print_Area" localSheetId="30">'SHIPPING MARK(24)'!$A$1:$J$20</definedName>
    <definedName name="_xlnm.Print_Area" localSheetId="31">'SHIPPING MARK(25)'!$A$1:$J$20</definedName>
    <definedName name="_xlnm.Print_Area" localSheetId="32">'SHIPPING MARK(26)'!$A$1:$J$20</definedName>
    <definedName name="_xlnm.Print_Area" localSheetId="33">'SHIPPING MARK(27)'!$A$1:$J$20</definedName>
    <definedName name="_xlnm.Print_Area" localSheetId="34">'SHIPPING MARK(28)'!$A$1:$J$20</definedName>
    <definedName name="_xlnm.Print_Area" localSheetId="35">'SHIPPING MARK(29)'!$A$1:$J$20</definedName>
    <definedName name="_xlnm.Print_Area" localSheetId="9">'SHIPPING MARK(3)'!$A$1:$J$20</definedName>
    <definedName name="_xlnm.Print_Area" localSheetId="36">'SHIPPING MARK(30)'!$A$1:$J$20</definedName>
    <definedName name="_xlnm.Print_Area" localSheetId="37">'SHIPPING MARK(31)'!$A$1:$J$20</definedName>
    <definedName name="_xlnm.Print_Area" localSheetId="38">'SHIPPING MARK(32)'!$A$1:$J$20</definedName>
    <definedName name="_xlnm.Print_Area" localSheetId="39">'SHIPPING MARK(33)'!$A$1:$J$20</definedName>
    <definedName name="_xlnm.Print_Area" localSheetId="10">'SHIPPING MARK(4)'!$A$1:$J$20</definedName>
    <definedName name="_xlnm.Print_Area" localSheetId="11">'SHIPPING MARK(5)'!$A$1:$J$20</definedName>
    <definedName name="_xlnm.Print_Area" localSheetId="12">'SHIPPING MARK(6)'!$A$1:$J$20</definedName>
    <definedName name="_xlnm.Print_Area" localSheetId="13">'SHIPPING MARK(7)'!$A$1:$J$20</definedName>
    <definedName name="_xlnm.Print_Area" localSheetId="14">'SHIPPING MARK(8)'!$A$1:$J$20</definedName>
    <definedName name="_xlnm.Print_Area" localSheetId="15">'SHIPPING MARK(9)'!$A$1:$J$20</definedName>
    <definedName name="_xlnm.Print_Area" localSheetId="40">'Technical Description'!$A$1:$H$43</definedName>
    <definedName name="weki_9701.xls" localSheetId="0" hidden="1">#REF!</definedName>
    <definedName name="weki_9701.xls" localSheetId="4" hidden="1">#REF!</definedName>
    <definedName name="weki_9701.xls" localSheetId="5" hidden="1">#REF!</definedName>
    <definedName name="weki_9701.xls" localSheetId="3" hidden="1">#REF!</definedName>
    <definedName name="weki_9701.xls" localSheetId="6" hidden="1">#REF!</definedName>
    <definedName name="weki_9701.xls" localSheetId="7" hidden="1">#REF!</definedName>
    <definedName name="weki_9701.xls" localSheetId="16" hidden="1">#REF!</definedName>
    <definedName name="weki_9701.xls" localSheetId="17" hidden="1">#REF!</definedName>
    <definedName name="weki_9701.xls" localSheetId="18" hidden="1">#REF!</definedName>
    <definedName name="weki_9701.xls" localSheetId="19" hidden="1">#REF!</definedName>
    <definedName name="weki_9701.xls" localSheetId="20" hidden="1">#REF!</definedName>
    <definedName name="weki_9701.xls" localSheetId="21" hidden="1">#REF!</definedName>
    <definedName name="weki_9701.xls" localSheetId="22" hidden="1">#REF!</definedName>
    <definedName name="weki_9701.xls" localSheetId="23" hidden="1">#REF!</definedName>
    <definedName name="weki_9701.xls" localSheetId="24" hidden="1">#REF!</definedName>
    <definedName name="weki_9701.xls" localSheetId="25" hidden="1">#REF!</definedName>
    <definedName name="weki_9701.xls" localSheetId="8" hidden="1">#REF!</definedName>
    <definedName name="weki_9701.xls" localSheetId="26" hidden="1">#REF!</definedName>
    <definedName name="weki_9701.xls" localSheetId="27" hidden="1">#REF!</definedName>
    <definedName name="weki_9701.xls" localSheetId="28" hidden="1">#REF!</definedName>
    <definedName name="weki_9701.xls" localSheetId="29" hidden="1">#REF!</definedName>
    <definedName name="weki_9701.xls" localSheetId="30" hidden="1">#REF!</definedName>
    <definedName name="weki_9701.xls" localSheetId="31" hidden="1">#REF!</definedName>
    <definedName name="weki_9701.xls" localSheetId="32" hidden="1">#REF!</definedName>
    <definedName name="weki_9701.xls" localSheetId="33" hidden="1">#REF!</definedName>
    <definedName name="weki_9701.xls" localSheetId="34" hidden="1">#REF!</definedName>
    <definedName name="weki_9701.xls" localSheetId="35" hidden="1">#REF!</definedName>
    <definedName name="weki_9701.xls" localSheetId="9" hidden="1">#REF!</definedName>
    <definedName name="weki_9701.xls" localSheetId="36" hidden="1">#REF!</definedName>
    <definedName name="weki_9701.xls" localSheetId="37" hidden="1">#REF!</definedName>
    <definedName name="weki_9701.xls" localSheetId="38" hidden="1">#REF!</definedName>
    <definedName name="weki_9701.xls" localSheetId="39" hidden="1">#REF!</definedName>
    <definedName name="weki_9701.xls" localSheetId="10" hidden="1">#REF!</definedName>
    <definedName name="weki_9701.xls" localSheetId="11" hidden="1">#REF!</definedName>
    <definedName name="weki_9701.xls" localSheetId="12" hidden="1">#REF!</definedName>
    <definedName name="weki_9701.xls" localSheetId="13" hidden="1">#REF!</definedName>
    <definedName name="weki_9701.xls" localSheetId="14" hidden="1">#REF!</definedName>
    <definedName name="weki_9701.xls" localSheetId="15" hidden="1">#REF!</definedName>
    <definedName name="weki_9701.xls" hidden="1">#REF!</definedName>
    <definedName name="wekir9701.xls" localSheetId="0" hidden="1">#REF!</definedName>
    <definedName name="wekir9701.xls" localSheetId="4" hidden="1">#REF!</definedName>
    <definedName name="wekir9701.xls" localSheetId="5" hidden="1">#REF!</definedName>
    <definedName name="wekir9701.xls" localSheetId="3" hidden="1">#REF!</definedName>
    <definedName name="wekir9701.xls" localSheetId="6" hidden="1">#REF!</definedName>
    <definedName name="wekir9701.xls" localSheetId="7" hidden="1">#REF!</definedName>
    <definedName name="wekir9701.xls" localSheetId="16" hidden="1">#REF!</definedName>
    <definedName name="wekir9701.xls" localSheetId="17" hidden="1">#REF!</definedName>
    <definedName name="wekir9701.xls" localSheetId="18" hidden="1">#REF!</definedName>
    <definedName name="wekir9701.xls" localSheetId="19" hidden="1">#REF!</definedName>
    <definedName name="wekir9701.xls" localSheetId="20" hidden="1">#REF!</definedName>
    <definedName name="wekir9701.xls" localSheetId="21" hidden="1">#REF!</definedName>
    <definedName name="wekir9701.xls" localSheetId="22" hidden="1">#REF!</definedName>
    <definedName name="wekir9701.xls" localSheetId="23" hidden="1">#REF!</definedName>
    <definedName name="wekir9701.xls" localSheetId="24" hidden="1">#REF!</definedName>
    <definedName name="wekir9701.xls" localSheetId="25" hidden="1">#REF!</definedName>
    <definedName name="wekir9701.xls" localSheetId="8" hidden="1">#REF!</definedName>
    <definedName name="wekir9701.xls" localSheetId="26" hidden="1">#REF!</definedName>
    <definedName name="wekir9701.xls" localSheetId="27" hidden="1">#REF!</definedName>
    <definedName name="wekir9701.xls" localSheetId="28" hidden="1">#REF!</definedName>
    <definedName name="wekir9701.xls" localSheetId="29" hidden="1">#REF!</definedName>
    <definedName name="wekir9701.xls" localSheetId="30" hidden="1">#REF!</definedName>
    <definedName name="wekir9701.xls" localSheetId="31" hidden="1">#REF!</definedName>
    <definedName name="wekir9701.xls" localSheetId="32" hidden="1">#REF!</definedName>
    <definedName name="wekir9701.xls" localSheetId="33" hidden="1">#REF!</definedName>
    <definedName name="wekir9701.xls" localSheetId="34" hidden="1">#REF!</definedName>
    <definedName name="wekir9701.xls" localSheetId="35" hidden="1">#REF!</definedName>
    <definedName name="wekir9701.xls" localSheetId="9" hidden="1">#REF!</definedName>
    <definedName name="wekir9701.xls" localSheetId="36" hidden="1">#REF!</definedName>
    <definedName name="wekir9701.xls" localSheetId="37" hidden="1">#REF!</definedName>
    <definedName name="wekir9701.xls" localSheetId="38" hidden="1">#REF!</definedName>
    <definedName name="wekir9701.xls" localSheetId="39" hidden="1">#REF!</definedName>
    <definedName name="wekir9701.xls" localSheetId="10" hidden="1">#REF!</definedName>
    <definedName name="wekir9701.xls" localSheetId="11" hidden="1">#REF!</definedName>
    <definedName name="wekir9701.xls" localSheetId="12" hidden="1">#REF!</definedName>
    <definedName name="wekir9701.xls" localSheetId="13" hidden="1">#REF!</definedName>
    <definedName name="wekir9701.xls" localSheetId="14" hidden="1">#REF!</definedName>
    <definedName name="wekir9701.xls" localSheetId="15" hidden="1">#REF!</definedName>
    <definedName name="wekir9701.xls" hidden="1">#REF!</definedName>
    <definedName name="X" localSheetId="0" hidden="1">#REF!</definedName>
    <definedName name="X" localSheetId="4" hidden="1">#REF!</definedName>
    <definedName name="X" localSheetId="5" hidden="1">#REF!</definedName>
    <definedName name="X" localSheetId="3" hidden="1">#REF!</definedName>
    <definedName name="X" localSheetId="6" hidden="1">#REF!</definedName>
    <definedName name="X" localSheetId="7" hidden="1">#REF!</definedName>
    <definedName name="X" localSheetId="16" hidden="1">#REF!</definedName>
    <definedName name="X" localSheetId="17" hidden="1">#REF!</definedName>
    <definedName name="X" localSheetId="18" hidden="1">#REF!</definedName>
    <definedName name="X" localSheetId="19" hidden="1">#REF!</definedName>
    <definedName name="X" localSheetId="20" hidden="1">#REF!</definedName>
    <definedName name="X" localSheetId="21" hidden="1">#REF!</definedName>
    <definedName name="X" localSheetId="22" hidden="1">#REF!</definedName>
    <definedName name="X" localSheetId="23" hidden="1">#REF!</definedName>
    <definedName name="X" localSheetId="24" hidden="1">#REF!</definedName>
    <definedName name="X" localSheetId="25" hidden="1">#REF!</definedName>
    <definedName name="X" localSheetId="8" hidden="1">#REF!</definedName>
    <definedName name="X" localSheetId="26" hidden="1">#REF!</definedName>
    <definedName name="X" localSheetId="27" hidden="1">#REF!</definedName>
    <definedName name="X" localSheetId="28" hidden="1">#REF!</definedName>
    <definedName name="X" localSheetId="29" hidden="1">#REF!</definedName>
    <definedName name="X" localSheetId="30" hidden="1">#REF!</definedName>
    <definedName name="X" localSheetId="31" hidden="1">#REF!</definedName>
    <definedName name="X" localSheetId="32" hidden="1">#REF!</definedName>
    <definedName name="X" localSheetId="33" hidden="1">#REF!</definedName>
    <definedName name="X" localSheetId="34" hidden="1">#REF!</definedName>
    <definedName name="X" localSheetId="35" hidden="1">#REF!</definedName>
    <definedName name="X" localSheetId="9" hidden="1">#REF!</definedName>
    <definedName name="X" localSheetId="36" hidden="1">#REF!</definedName>
    <definedName name="X" localSheetId="37" hidden="1">#REF!</definedName>
    <definedName name="X" localSheetId="38" hidden="1">#REF!</definedName>
    <definedName name="X" localSheetId="39" hidden="1">#REF!</definedName>
    <definedName name="X" localSheetId="10" hidden="1">#REF!</definedName>
    <definedName name="X" localSheetId="11" hidden="1">#REF!</definedName>
    <definedName name="X" localSheetId="12" hidden="1">#REF!</definedName>
    <definedName name="X" localSheetId="13" hidden="1">#REF!</definedName>
    <definedName name="X" localSheetId="14" hidden="1">#REF!</definedName>
    <definedName name="X" localSheetId="15" hidden="1">#REF!</definedName>
    <definedName name="X" hidden="1">#REF!</definedName>
    <definedName name="Z" localSheetId="0" hidden="1">#REF!</definedName>
    <definedName name="Z" localSheetId="4" hidden="1">#REF!</definedName>
    <definedName name="Z" localSheetId="5" hidden="1">#REF!</definedName>
    <definedName name="Z" localSheetId="3" hidden="1">#REF!</definedName>
    <definedName name="Z" localSheetId="6" hidden="1">#REF!</definedName>
    <definedName name="Z" localSheetId="7" hidden="1">#REF!</definedName>
    <definedName name="Z" localSheetId="16" hidden="1">#REF!</definedName>
    <definedName name="Z" localSheetId="17" hidden="1">#REF!</definedName>
    <definedName name="Z" localSheetId="18" hidden="1">#REF!</definedName>
    <definedName name="Z" localSheetId="19" hidden="1">#REF!</definedName>
    <definedName name="Z" localSheetId="20" hidden="1">#REF!</definedName>
    <definedName name="Z" localSheetId="21" hidden="1">#REF!</definedName>
    <definedName name="Z" localSheetId="22" hidden="1">#REF!</definedName>
    <definedName name="Z" localSheetId="23" hidden="1">#REF!</definedName>
    <definedName name="Z" localSheetId="24" hidden="1">#REF!</definedName>
    <definedName name="Z" localSheetId="25" hidden="1">#REF!</definedName>
    <definedName name="Z" localSheetId="8" hidden="1">#REF!</definedName>
    <definedName name="Z" localSheetId="26" hidden="1">#REF!</definedName>
    <definedName name="Z" localSheetId="27" hidden="1">#REF!</definedName>
    <definedName name="Z" localSheetId="28" hidden="1">#REF!</definedName>
    <definedName name="Z" localSheetId="29" hidden="1">#REF!</definedName>
    <definedName name="Z" localSheetId="30" hidden="1">#REF!</definedName>
    <definedName name="Z" localSheetId="31" hidden="1">#REF!</definedName>
    <definedName name="Z" localSheetId="32" hidden="1">#REF!</definedName>
    <definedName name="Z" localSheetId="33" hidden="1">#REF!</definedName>
    <definedName name="Z" localSheetId="34" hidden="1">#REF!</definedName>
    <definedName name="Z" localSheetId="35" hidden="1">#REF!</definedName>
    <definedName name="Z" localSheetId="9" hidden="1">#REF!</definedName>
    <definedName name="Z" localSheetId="36" hidden="1">#REF!</definedName>
    <definedName name="Z" localSheetId="37" hidden="1">#REF!</definedName>
    <definedName name="Z" localSheetId="38" hidden="1">#REF!</definedName>
    <definedName name="Z" localSheetId="39" hidden="1">#REF!</definedName>
    <definedName name="Z" localSheetId="10" hidden="1">#REF!</definedName>
    <definedName name="Z" localSheetId="11" hidden="1">#REF!</definedName>
    <definedName name="Z" localSheetId="12" hidden="1">#REF!</definedName>
    <definedName name="Z" localSheetId="13" hidden="1">#REF!</definedName>
    <definedName name="Z" localSheetId="14" hidden="1">#REF!</definedName>
    <definedName name="Z" localSheetId="15" hidden="1">#REF!</definedName>
    <definedName name="Z" hidden="1">#REF!</definedName>
    <definedName name="ㄴㅇㄹㅇㄹ" localSheetId="0" hidden="1">#REF!</definedName>
    <definedName name="ㄴㅇㄹㅇㄹ" localSheetId="4" hidden="1">#REF!</definedName>
    <definedName name="ㄴㅇㄹㅇㄹ" localSheetId="5" hidden="1">#REF!</definedName>
    <definedName name="ㄴㅇㄹㅇㄹ" localSheetId="3" hidden="1">#REF!</definedName>
    <definedName name="ㄴㅇㄹㅇㄹ" localSheetId="1" hidden="1">#REF!</definedName>
    <definedName name="ㄴㅇㄹㅇㄹ" localSheetId="6" hidden="1">#REF!</definedName>
    <definedName name="ㄴㅇㄹㅇㄹ" localSheetId="7" hidden="1">#REF!</definedName>
    <definedName name="ㄴㅇㄹㅇㄹ" localSheetId="16" hidden="1">#REF!</definedName>
    <definedName name="ㄴㅇㄹㅇㄹ" localSheetId="17" hidden="1">#REF!</definedName>
    <definedName name="ㄴㅇㄹㅇㄹ" localSheetId="18" hidden="1">#REF!</definedName>
    <definedName name="ㄴㅇㄹㅇㄹ" localSheetId="19" hidden="1">#REF!</definedName>
    <definedName name="ㄴㅇㄹㅇㄹ" localSheetId="20" hidden="1">#REF!</definedName>
    <definedName name="ㄴㅇㄹㅇㄹ" localSheetId="21" hidden="1">#REF!</definedName>
    <definedName name="ㄴㅇㄹㅇㄹ" localSheetId="22" hidden="1">#REF!</definedName>
    <definedName name="ㄴㅇㄹㅇㄹ" localSheetId="23" hidden="1">#REF!</definedName>
    <definedName name="ㄴㅇㄹㅇㄹ" localSheetId="24" hidden="1">#REF!</definedName>
    <definedName name="ㄴㅇㄹㅇㄹ" localSheetId="25" hidden="1">#REF!</definedName>
    <definedName name="ㄴㅇㄹㅇㄹ" localSheetId="8" hidden="1">#REF!</definedName>
    <definedName name="ㄴㅇㄹㅇㄹ" localSheetId="26" hidden="1">#REF!</definedName>
    <definedName name="ㄴㅇㄹㅇㄹ" localSheetId="27" hidden="1">#REF!</definedName>
    <definedName name="ㄴㅇㄹㅇㄹ" localSheetId="28" hidden="1">#REF!</definedName>
    <definedName name="ㄴㅇㄹㅇㄹ" localSheetId="29" hidden="1">#REF!</definedName>
    <definedName name="ㄴㅇㄹㅇㄹ" localSheetId="30" hidden="1">#REF!</definedName>
    <definedName name="ㄴㅇㄹㅇㄹ" localSheetId="31" hidden="1">#REF!</definedName>
    <definedName name="ㄴㅇㄹㅇㄹ" localSheetId="32" hidden="1">#REF!</definedName>
    <definedName name="ㄴㅇㄹㅇㄹ" localSheetId="33" hidden="1">#REF!</definedName>
    <definedName name="ㄴㅇㄹㅇㄹ" localSheetId="34" hidden="1">#REF!</definedName>
    <definedName name="ㄴㅇㄹㅇㄹ" localSheetId="35" hidden="1">#REF!</definedName>
    <definedName name="ㄴㅇㄹㅇㄹ" localSheetId="9" hidden="1">#REF!</definedName>
    <definedName name="ㄴㅇㄹㅇㄹ" localSheetId="36" hidden="1">#REF!</definedName>
    <definedName name="ㄴㅇㄹㅇㄹ" localSheetId="37" hidden="1">#REF!</definedName>
    <definedName name="ㄴㅇㄹㅇㄹ" localSheetId="38" hidden="1">#REF!</definedName>
    <definedName name="ㄴㅇㄹㅇㄹ" localSheetId="39" hidden="1">#REF!</definedName>
    <definedName name="ㄴㅇㄹㅇㄹ" localSheetId="10" hidden="1">#REF!</definedName>
    <definedName name="ㄴㅇㄹㅇㄹ" localSheetId="11" hidden="1">#REF!</definedName>
    <definedName name="ㄴㅇㄹㅇㄹ" localSheetId="12" hidden="1">#REF!</definedName>
    <definedName name="ㄴㅇㄹㅇㄹ" localSheetId="13" hidden="1">#REF!</definedName>
    <definedName name="ㄴㅇㄹㅇㄹ" localSheetId="14" hidden="1">#REF!</definedName>
    <definedName name="ㄴㅇㄹㅇㄹ" localSheetId="15" hidden="1">#REF!</definedName>
    <definedName name="ㄴㅇㄹㅇㄹ" hidden="1">#REF!</definedName>
    <definedName name="느" localSheetId="7" hidden="1">#REF!</definedName>
    <definedName name="느" localSheetId="16" hidden="1">#REF!</definedName>
    <definedName name="느" localSheetId="17" hidden="1">#REF!</definedName>
    <definedName name="느" localSheetId="18" hidden="1">#REF!</definedName>
    <definedName name="느" localSheetId="19" hidden="1">#REF!</definedName>
    <definedName name="느" localSheetId="20" hidden="1">#REF!</definedName>
    <definedName name="느" localSheetId="21" hidden="1">#REF!</definedName>
    <definedName name="느" localSheetId="22" hidden="1">#REF!</definedName>
    <definedName name="느" localSheetId="23" hidden="1">#REF!</definedName>
    <definedName name="느" localSheetId="24" hidden="1">#REF!</definedName>
    <definedName name="느" localSheetId="25" hidden="1">#REF!</definedName>
    <definedName name="느" localSheetId="8" hidden="1">#REF!</definedName>
    <definedName name="느" localSheetId="26" hidden="1">#REF!</definedName>
    <definedName name="느" localSheetId="27" hidden="1">#REF!</definedName>
    <definedName name="느" localSheetId="28" hidden="1">#REF!</definedName>
    <definedName name="느" localSheetId="29" hidden="1">#REF!</definedName>
    <definedName name="느" localSheetId="30" hidden="1">#REF!</definedName>
    <definedName name="느" localSheetId="31" hidden="1">#REF!</definedName>
    <definedName name="느" localSheetId="32" hidden="1">#REF!</definedName>
    <definedName name="느" localSheetId="33" hidden="1">#REF!</definedName>
    <definedName name="느" localSheetId="34" hidden="1">#REF!</definedName>
    <definedName name="느" localSheetId="35" hidden="1">#REF!</definedName>
    <definedName name="느" localSheetId="9" hidden="1">#REF!</definedName>
    <definedName name="느" localSheetId="36" hidden="1">#REF!</definedName>
    <definedName name="느" localSheetId="37" hidden="1">#REF!</definedName>
    <definedName name="느" localSheetId="38" hidden="1">#REF!</definedName>
    <definedName name="느" localSheetId="39" hidden="1">#REF!</definedName>
    <definedName name="느" localSheetId="10" hidden="1">#REF!</definedName>
    <definedName name="느" localSheetId="11" hidden="1">#REF!</definedName>
    <definedName name="느" localSheetId="12" hidden="1">#REF!</definedName>
    <definedName name="느" localSheetId="13" hidden="1">#REF!</definedName>
    <definedName name="느" localSheetId="14" hidden="1">#REF!</definedName>
    <definedName name="느" localSheetId="15" hidden="1">#REF!</definedName>
    <definedName name="느" hidden="1">#REF!</definedName>
    <definedName name="ㅊㅌㅍㅊㅍㅊㅌㅍㅊㅌㅍㅊㅌㅍㅊㅌㅍㅊㅌㅍ" localSheetId="0" hidden="1">#REF!</definedName>
    <definedName name="ㅊㅌㅍㅊㅍㅊㅌㅍㅊㅌㅍㅊㅌㅍㅊㅌㅍㅊㅌㅍ" localSheetId="4" hidden="1">#REF!</definedName>
    <definedName name="ㅊㅌㅍㅊㅍㅊㅌㅍㅊㅌㅍㅊㅌㅍㅊㅌㅍㅊㅌㅍ" localSheetId="5" hidden="1">#REF!</definedName>
    <definedName name="ㅊㅌㅍㅊㅍㅊㅌㅍㅊㅌㅍㅊㅌㅍㅊㅌㅍㅊㅌㅍ" localSheetId="3" hidden="1">#REF!</definedName>
    <definedName name="ㅊㅌㅍㅊㅍㅊㅌㅍㅊㅌㅍㅊㅌㅍㅊㅌㅍㅊㅌㅍ" localSheetId="1" hidden="1">#REF!</definedName>
    <definedName name="ㅊㅌㅍㅊㅍㅊㅌㅍㅊㅌㅍㅊㅌㅍㅊㅌㅍㅊㅌㅍ" localSheetId="6" hidden="1">#REF!</definedName>
    <definedName name="ㅊㅌㅍㅊㅍㅊㅌㅍㅊㅌㅍㅊㅌㅍㅊㅌㅍㅊㅌㅍ" localSheetId="7" hidden="1">#REF!</definedName>
    <definedName name="ㅊㅌㅍㅊㅍㅊㅌㅍㅊㅌㅍㅊㅌㅍㅊㅌㅍㅊㅌㅍ" localSheetId="16" hidden="1">#REF!</definedName>
    <definedName name="ㅊㅌㅍㅊㅍㅊㅌㅍㅊㅌㅍㅊㅌㅍㅊㅌㅍㅊㅌㅍ" localSheetId="17" hidden="1">#REF!</definedName>
    <definedName name="ㅊㅌㅍㅊㅍㅊㅌㅍㅊㅌㅍㅊㅌㅍㅊㅌㅍㅊㅌㅍ" localSheetId="18" hidden="1">#REF!</definedName>
    <definedName name="ㅊㅌㅍㅊㅍㅊㅌㅍㅊㅌㅍㅊㅌㅍㅊㅌㅍㅊㅌㅍ" localSheetId="19" hidden="1">#REF!</definedName>
    <definedName name="ㅊㅌㅍㅊㅍㅊㅌㅍㅊㅌㅍㅊㅌㅍㅊㅌㅍㅊㅌㅍ" localSheetId="20" hidden="1">#REF!</definedName>
    <definedName name="ㅊㅌㅍㅊㅍㅊㅌㅍㅊㅌㅍㅊㅌㅍㅊㅌㅍㅊㅌㅍ" localSheetId="21" hidden="1">#REF!</definedName>
    <definedName name="ㅊㅌㅍㅊㅍㅊㅌㅍㅊㅌㅍㅊㅌㅍㅊㅌㅍㅊㅌㅍ" localSheetId="22" hidden="1">#REF!</definedName>
    <definedName name="ㅊㅌㅍㅊㅍㅊㅌㅍㅊㅌㅍㅊㅌㅍㅊㅌㅍㅊㅌㅍ" localSheetId="23" hidden="1">#REF!</definedName>
    <definedName name="ㅊㅌㅍㅊㅍㅊㅌㅍㅊㅌㅍㅊㅌㅍㅊㅌㅍㅊㅌㅍ" localSheetId="24" hidden="1">#REF!</definedName>
    <definedName name="ㅊㅌㅍㅊㅍㅊㅌㅍㅊㅌㅍㅊㅌㅍㅊㅌㅍㅊㅌㅍ" localSheetId="25" hidden="1">#REF!</definedName>
    <definedName name="ㅊㅌㅍㅊㅍㅊㅌㅍㅊㅌㅍㅊㅌㅍㅊㅌㅍㅊㅌㅍ" localSheetId="8" hidden="1">#REF!</definedName>
    <definedName name="ㅊㅌㅍㅊㅍㅊㅌㅍㅊㅌㅍㅊㅌㅍㅊㅌㅍㅊㅌㅍ" localSheetId="26" hidden="1">#REF!</definedName>
    <definedName name="ㅊㅌㅍㅊㅍㅊㅌㅍㅊㅌㅍㅊㅌㅍㅊㅌㅍㅊㅌㅍ" localSheetId="27" hidden="1">#REF!</definedName>
    <definedName name="ㅊㅌㅍㅊㅍㅊㅌㅍㅊㅌㅍㅊㅌㅍㅊㅌㅍㅊㅌㅍ" localSheetId="28" hidden="1">#REF!</definedName>
    <definedName name="ㅊㅌㅍㅊㅍㅊㅌㅍㅊㅌㅍㅊㅌㅍㅊㅌㅍㅊㅌㅍ" localSheetId="29" hidden="1">#REF!</definedName>
    <definedName name="ㅊㅌㅍㅊㅍㅊㅌㅍㅊㅌㅍㅊㅌㅍㅊㅌㅍㅊㅌㅍ" localSheetId="30" hidden="1">#REF!</definedName>
    <definedName name="ㅊㅌㅍㅊㅍㅊㅌㅍㅊㅌㅍㅊㅌㅍㅊㅌㅍㅊㅌㅍ" localSheetId="31" hidden="1">#REF!</definedName>
    <definedName name="ㅊㅌㅍㅊㅍㅊㅌㅍㅊㅌㅍㅊㅌㅍㅊㅌㅍㅊㅌㅍ" localSheetId="32" hidden="1">#REF!</definedName>
    <definedName name="ㅊㅌㅍㅊㅍㅊㅌㅍㅊㅌㅍㅊㅌㅍㅊㅌㅍㅊㅌㅍ" localSheetId="33" hidden="1">#REF!</definedName>
    <definedName name="ㅊㅌㅍㅊㅍㅊㅌㅍㅊㅌㅍㅊㅌㅍㅊㅌㅍㅊㅌㅍ" localSheetId="34" hidden="1">#REF!</definedName>
    <definedName name="ㅊㅌㅍㅊㅍㅊㅌㅍㅊㅌㅍㅊㅌㅍㅊㅌㅍㅊㅌㅍ" localSheetId="35" hidden="1">#REF!</definedName>
    <definedName name="ㅊㅌㅍㅊㅍㅊㅌㅍㅊㅌㅍㅊㅌㅍㅊㅌㅍㅊㅌㅍ" localSheetId="9" hidden="1">#REF!</definedName>
    <definedName name="ㅊㅌㅍㅊㅍㅊㅌㅍㅊㅌㅍㅊㅌㅍㅊㅌㅍㅊㅌㅍ" localSheetId="36" hidden="1">#REF!</definedName>
    <definedName name="ㅊㅌㅍㅊㅍㅊㅌㅍㅊㅌㅍㅊㅌㅍㅊㅌㅍㅊㅌㅍ" localSheetId="37" hidden="1">#REF!</definedName>
    <definedName name="ㅊㅌㅍㅊㅍㅊㅌㅍㅊㅌㅍㅊㅌㅍㅊㅌㅍㅊㅌㅍ" localSheetId="38" hidden="1">#REF!</definedName>
    <definedName name="ㅊㅌㅍㅊㅍㅊㅌㅍㅊㅌㅍㅊㅌㅍㅊㅌㅍㅊㅌㅍ" localSheetId="39" hidden="1">#REF!</definedName>
    <definedName name="ㅊㅌㅍㅊㅍㅊㅌㅍㅊㅌㅍㅊㅌㅍㅊㅌㅍㅊㅌㅍ" localSheetId="10" hidden="1">#REF!</definedName>
    <definedName name="ㅊㅌㅍㅊㅍㅊㅌㅍㅊㅌㅍㅊㅌㅍㅊㅌㅍㅊㅌㅍ" localSheetId="11" hidden="1">#REF!</definedName>
    <definedName name="ㅊㅌㅍㅊㅍㅊㅌㅍㅊㅌㅍㅊㅌㅍㅊㅌㅍㅊㅌㅍ" localSheetId="12" hidden="1">#REF!</definedName>
    <definedName name="ㅊㅌㅍㅊㅍㅊㅌㅍㅊㅌㅍㅊㅌㅍㅊㅌㅍㅊㅌㅍ" localSheetId="13" hidden="1">#REF!</definedName>
    <definedName name="ㅊㅌㅍㅊㅍㅊㅌㅍㅊㅌㅍㅊㅌㅍㅊㅌㅍㅊㅌㅍ" localSheetId="14" hidden="1">#REF!</definedName>
    <definedName name="ㅊㅌㅍㅊㅍㅊㅌㅍㅊㅌㅍㅊㅌㅍㅊㅌㅍㅊㅌㅍ" localSheetId="15" hidden="1">#REF!</definedName>
    <definedName name="ㅊㅌㅍㅊㅍㅊㅌㅍㅊㅌㅍㅊㅌㅍㅊㅌㅍㅊㅌㅍ" hidden="1">#REF!</definedName>
    <definedName name="ㅊㅌㅍㅊㅍㅌㅋㅊㅍㅌㅊㅍ" localSheetId="0" hidden="1">#REF!</definedName>
    <definedName name="ㅊㅌㅍㅊㅍㅌㅋㅊㅍㅌㅊㅍ" localSheetId="4" hidden="1">#REF!</definedName>
    <definedName name="ㅊㅌㅍㅊㅍㅌㅋㅊㅍㅌㅊㅍ" localSheetId="5" hidden="1">#REF!</definedName>
    <definedName name="ㅊㅌㅍㅊㅍㅌㅋㅊㅍㅌㅊㅍ" localSheetId="3" hidden="1">#REF!</definedName>
    <definedName name="ㅊㅌㅍㅊㅍㅌㅋㅊㅍㅌㅊㅍ" localSheetId="1" hidden="1">#REF!</definedName>
    <definedName name="ㅊㅌㅍㅊㅍㅌㅋㅊㅍㅌㅊㅍ" localSheetId="6" hidden="1">#REF!</definedName>
    <definedName name="ㅊㅌㅍㅊㅍㅌㅋㅊㅍㅌㅊㅍ" localSheetId="7" hidden="1">#REF!</definedName>
    <definedName name="ㅊㅌㅍㅊㅍㅌㅋㅊㅍㅌㅊㅍ" localSheetId="16" hidden="1">#REF!</definedName>
    <definedName name="ㅊㅌㅍㅊㅍㅌㅋㅊㅍㅌㅊㅍ" localSheetId="17" hidden="1">#REF!</definedName>
    <definedName name="ㅊㅌㅍㅊㅍㅌㅋㅊㅍㅌㅊㅍ" localSheetId="18" hidden="1">#REF!</definedName>
    <definedName name="ㅊㅌㅍㅊㅍㅌㅋㅊㅍㅌㅊㅍ" localSheetId="19" hidden="1">#REF!</definedName>
    <definedName name="ㅊㅌㅍㅊㅍㅌㅋㅊㅍㅌㅊㅍ" localSheetId="20" hidden="1">#REF!</definedName>
    <definedName name="ㅊㅌㅍㅊㅍㅌㅋㅊㅍㅌㅊㅍ" localSheetId="21" hidden="1">#REF!</definedName>
    <definedName name="ㅊㅌㅍㅊㅍㅌㅋㅊㅍㅌㅊㅍ" localSheetId="22" hidden="1">#REF!</definedName>
    <definedName name="ㅊㅌㅍㅊㅍㅌㅋㅊㅍㅌㅊㅍ" localSheetId="23" hidden="1">#REF!</definedName>
    <definedName name="ㅊㅌㅍㅊㅍㅌㅋㅊㅍㅌㅊㅍ" localSheetId="24" hidden="1">#REF!</definedName>
    <definedName name="ㅊㅌㅍㅊㅍㅌㅋㅊㅍㅌㅊㅍ" localSheetId="25" hidden="1">#REF!</definedName>
    <definedName name="ㅊㅌㅍㅊㅍㅌㅋㅊㅍㅌㅊㅍ" localSheetId="8" hidden="1">#REF!</definedName>
    <definedName name="ㅊㅌㅍㅊㅍㅌㅋㅊㅍㅌㅊㅍ" localSheetId="26" hidden="1">#REF!</definedName>
    <definedName name="ㅊㅌㅍㅊㅍㅌㅋㅊㅍㅌㅊㅍ" localSheetId="27" hidden="1">#REF!</definedName>
    <definedName name="ㅊㅌㅍㅊㅍㅌㅋㅊㅍㅌㅊㅍ" localSheetId="28" hidden="1">#REF!</definedName>
    <definedName name="ㅊㅌㅍㅊㅍㅌㅋㅊㅍㅌㅊㅍ" localSheetId="29" hidden="1">#REF!</definedName>
    <definedName name="ㅊㅌㅍㅊㅍㅌㅋㅊㅍㅌㅊㅍ" localSheetId="30" hidden="1">#REF!</definedName>
    <definedName name="ㅊㅌㅍㅊㅍㅌㅋㅊㅍㅌㅊㅍ" localSheetId="31" hidden="1">#REF!</definedName>
    <definedName name="ㅊㅌㅍㅊㅍㅌㅋㅊㅍㅌㅊㅍ" localSheetId="32" hidden="1">#REF!</definedName>
    <definedName name="ㅊㅌㅍㅊㅍㅌㅋㅊㅍㅌㅊㅍ" localSheetId="33" hidden="1">#REF!</definedName>
    <definedName name="ㅊㅌㅍㅊㅍㅌㅋㅊㅍㅌㅊㅍ" localSheetId="34" hidden="1">#REF!</definedName>
    <definedName name="ㅊㅌㅍㅊㅍㅌㅋㅊㅍㅌㅊㅍ" localSheetId="35" hidden="1">#REF!</definedName>
    <definedName name="ㅊㅌㅍㅊㅍㅌㅋㅊㅍㅌㅊㅍ" localSheetId="9" hidden="1">#REF!</definedName>
    <definedName name="ㅊㅌㅍㅊㅍㅌㅋㅊㅍㅌㅊㅍ" localSheetId="36" hidden="1">#REF!</definedName>
    <definedName name="ㅊㅌㅍㅊㅍㅌㅋㅊㅍㅌㅊㅍ" localSheetId="37" hidden="1">#REF!</definedName>
    <definedName name="ㅊㅌㅍㅊㅍㅌㅋㅊㅍㅌㅊㅍ" localSheetId="38" hidden="1">#REF!</definedName>
    <definedName name="ㅊㅌㅍㅊㅍㅌㅋㅊㅍㅌㅊㅍ" localSheetId="39" hidden="1">#REF!</definedName>
    <definedName name="ㅊㅌㅍㅊㅍㅌㅋㅊㅍㅌㅊㅍ" localSheetId="10" hidden="1">#REF!</definedName>
    <definedName name="ㅊㅌㅍㅊㅍㅌㅋㅊㅍㅌㅊㅍ" localSheetId="11" hidden="1">#REF!</definedName>
    <definedName name="ㅊㅌㅍㅊㅍㅌㅋㅊㅍㅌㅊㅍ" localSheetId="12" hidden="1">#REF!</definedName>
    <definedName name="ㅊㅌㅍㅊㅍㅌㅋㅊㅍㅌㅊㅍ" localSheetId="13" hidden="1">#REF!</definedName>
    <definedName name="ㅊㅌㅍㅊㅍㅌㅋㅊㅍㅌㅊㅍ" localSheetId="14" hidden="1">#REF!</definedName>
    <definedName name="ㅊㅌㅍㅊㅍㅌㅋㅊㅍㅌㅊㅍ" localSheetId="15" hidden="1">#REF!</definedName>
    <definedName name="ㅊㅌㅍㅊㅍㅌㅋㅊㅍㅌㅊㅍ" hidden="1">#REF!</definedName>
    <definedName name="ㅊㅌㅍㅋㅊㅍㅌㅊㅍㅌㅊㅍ" localSheetId="0" hidden="1">#REF!</definedName>
    <definedName name="ㅊㅌㅍㅋㅊㅍㅌㅊㅍㅌㅊㅍ" localSheetId="4" hidden="1">#REF!</definedName>
    <definedName name="ㅊㅌㅍㅋㅊㅍㅌㅊㅍㅌㅊㅍ" localSheetId="5" hidden="1">#REF!</definedName>
    <definedName name="ㅊㅌㅍㅋㅊㅍㅌㅊㅍㅌㅊㅍ" localSheetId="3" hidden="1">#REF!</definedName>
    <definedName name="ㅊㅌㅍㅋㅊㅍㅌㅊㅍㅌㅊㅍ" localSheetId="1" hidden="1">#REF!</definedName>
    <definedName name="ㅊㅌㅍㅋㅊㅍㅌㅊㅍㅌㅊㅍ" localSheetId="6" hidden="1">#REF!</definedName>
    <definedName name="ㅊㅌㅍㅋㅊㅍㅌㅊㅍㅌㅊㅍ" localSheetId="7" hidden="1">#REF!</definedName>
    <definedName name="ㅊㅌㅍㅋㅊㅍㅌㅊㅍㅌㅊㅍ" localSheetId="16" hidden="1">#REF!</definedName>
    <definedName name="ㅊㅌㅍㅋㅊㅍㅌㅊㅍㅌㅊㅍ" localSheetId="17" hidden="1">#REF!</definedName>
    <definedName name="ㅊㅌㅍㅋㅊㅍㅌㅊㅍㅌㅊㅍ" localSheetId="18" hidden="1">#REF!</definedName>
    <definedName name="ㅊㅌㅍㅋㅊㅍㅌㅊㅍㅌㅊㅍ" localSheetId="19" hidden="1">#REF!</definedName>
    <definedName name="ㅊㅌㅍㅋㅊㅍㅌㅊㅍㅌㅊㅍ" localSheetId="20" hidden="1">#REF!</definedName>
    <definedName name="ㅊㅌㅍㅋㅊㅍㅌㅊㅍㅌㅊㅍ" localSheetId="21" hidden="1">#REF!</definedName>
    <definedName name="ㅊㅌㅍㅋㅊㅍㅌㅊㅍㅌㅊㅍ" localSheetId="22" hidden="1">#REF!</definedName>
    <definedName name="ㅊㅌㅍㅋㅊㅍㅌㅊㅍㅌㅊㅍ" localSheetId="23" hidden="1">#REF!</definedName>
    <definedName name="ㅊㅌㅍㅋㅊㅍㅌㅊㅍㅌㅊㅍ" localSheetId="24" hidden="1">#REF!</definedName>
    <definedName name="ㅊㅌㅍㅋㅊㅍㅌㅊㅍㅌㅊㅍ" localSheetId="25" hidden="1">#REF!</definedName>
    <definedName name="ㅊㅌㅍㅋㅊㅍㅌㅊㅍㅌㅊㅍ" localSheetId="8" hidden="1">#REF!</definedName>
    <definedName name="ㅊㅌㅍㅋㅊㅍㅌㅊㅍㅌㅊㅍ" localSheetId="26" hidden="1">#REF!</definedName>
    <definedName name="ㅊㅌㅍㅋㅊㅍㅌㅊㅍㅌㅊㅍ" localSheetId="27" hidden="1">#REF!</definedName>
    <definedName name="ㅊㅌㅍㅋㅊㅍㅌㅊㅍㅌㅊㅍ" localSheetId="28" hidden="1">#REF!</definedName>
    <definedName name="ㅊㅌㅍㅋㅊㅍㅌㅊㅍㅌㅊㅍ" localSheetId="29" hidden="1">#REF!</definedName>
    <definedName name="ㅊㅌㅍㅋㅊㅍㅌㅊㅍㅌㅊㅍ" localSheetId="30" hidden="1">#REF!</definedName>
    <definedName name="ㅊㅌㅍㅋㅊㅍㅌㅊㅍㅌㅊㅍ" localSheetId="31" hidden="1">#REF!</definedName>
    <definedName name="ㅊㅌㅍㅋㅊㅍㅌㅊㅍㅌㅊㅍ" localSheetId="32" hidden="1">#REF!</definedName>
    <definedName name="ㅊㅌㅍㅋㅊㅍㅌㅊㅍㅌㅊㅍ" localSheetId="33" hidden="1">#REF!</definedName>
    <definedName name="ㅊㅌㅍㅋㅊㅍㅌㅊㅍㅌㅊㅍ" localSheetId="34" hidden="1">#REF!</definedName>
    <definedName name="ㅊㅌㅍㅋㅊㅍㅌㅊㅍㅌㅊㅍ" localSheetId="35" hidden="1">#REF!</definedName>
    <definedName name="ㅊㅌㅍㅋㅊㅍㅌㅊㅍㅌㅊㅍ" localSheetId="9" hidden="1">#REF!</definedName>
    <definedName name="ㅊㅌㅍㅋㅊㅍㅌㅊㅍㅌㅊㅍ" localSheetId="36" hidden="1">#REF!</definedName>
    <definedName name="ㅊㅌㅍㅋㅊㅍㅌㅊㅍㅌㅊㅍ" localSheetId="37" hidden="1">#REF!</definedName>
    <definedName name="ㅊㅌㅍㅋㅊㅍㅌㅊㅍㅌㅊㅍ" localSheetId="38" hidden="1">#REF!</definedName>
    <definedName name="ㅊㅌㅍㅋㅊㅍㅌㅊㅍㅌㅊㅍ" localSheetId="39" hidden="1">#REF!</definedName>
    <definedName name="ㅊㅌㅍㅋㅊㅍㅌㅊㅍㅌㅊㅍ" localSheetId="10" hidden="1">#REF!</definedName>
    <definedName name="ㅊㅌㅍㅋㅊㅍㅌㅊㅍㅌㅊㅍ" localSheetId="11" hidden="1">#REF!</definedName>
    <definedName name="ㅊㅌㅍㅋㅊㅍㅌㅊㅍㅌㅊㅍ" localSheetId="12" hidden="1">#REF!</definedName>
    <definedName name="ㅊㅌㅍㅋㅊㅍㅌㅊㅍㅌㅊㅍ" localSheetId="13" hidden="1">#REF!</definedName>
    <definedName name="ㅊㅌㅍㅋㅊㅍㅌㅊㅍㅌㅊㅍ" localSheetId="14" hidden="1">#REF!</definedName>
    <definedName name="ㅊㅌㅍㅋㅊㅍㅌㅊㅍㅌㅊㅍ" localSheetId="15" hidden="1">#REF!</definedName>
    <definedName name="ㅊㅌㅍㅋㅊㅍㅌㅊㅍㅌㅊㅍ" hidden="1">#REF!</definedName>
    <definedName name="ㅊㅌㅍㅌㅊㅍㅊㅌㅍㅌㅊㅍㅌㅊㅍ" localSheetId="0" hidden="1">#REF!</definedName>
    <definedName name="ㅊㅌㅍㅌㅊㅍㅊㅌㅍㅌㅊㅍㅌㅊㅍ" localSheetId="4" hidden="1">#REF!</definedName>
    <definedName name="ㅊㅌㅍㅌㅊㅍㅊㅌㅍㅌㅊㅍㅌㅊㅍ" localSheetId="5" hidden="1">#REF!</definedName>
    <definedName name="ㅊㅌㅍㅌㅊㅍㅊㅌㅍㅌㅊㅍㅌㅊㅍ" localSheetId="3" hidden="1">#REF!</definedName>
    <definedName name="ㅊㅌㅍㅌㅊㅍㅊㅌㅍㅌㅊㅍㅌㅊㅍ" localSheetId="1" hidden="1">#REF!</definedName>
    <definedName name="ㅊㅌㅍㅌㅊㅍㅊㅌㅍㅌㅊㅍㅌㅊㅍ" localSheetId="6" hidden="1">#REF!</definedName>
    <definedName name="ㅊㅌㅍㅌㅊㅍㅊㅌㅍㅌㅊㅍㅌㅊㅍ" localSheetId="7" hidden="1">#REF!</definedName>
    <definedName name="ㅊㅌㅍㅌㅊㅍㅊㅌㅍㅌㅊㅍㅌㅊㅍ" localSheetId="16" hidden="1">#REF!</definedName>
    <definedName name="ㅊㅌㅍㅌㅊㅍㅊㅌㅍㅌㅊㅍㅌㅊㅍ" localSheetId="17" hidden="1">#REF!</definedName>
    <definedName name="ㅊㅌㅍㅌㅊㅍㅊㅌㅍㅌㅊㅍㅌㅊㅍ" localSheetId="18" hidden="1">#REF!</definedName>
    <definedName name="ㅊㅌㅍㅌㅊㅍㅊㅌㅍㅌㅊㅍㅌㅊㅍ" localSheetId="19" hidden="1">#REF!</definedName>
    <definedName name="ㅊㅌㅍㅌㅊㅍㅊㅌㅍㅌㅊㅍㅌㅊㅍ" localSheetId="20" hidden="1">#REF!</definedName>
    <definedName name="ㅊㅌㅍㅌㅊㅍㅊㅌㅍㅌㅊㅍㅌㅊㅍ" localSheetId="21" hidden="1">#REF!</definedName>
    <definedName name="ㅊㅌㅍㅌㅊㅍㅊㅌㅍㅌㅊㅍㅌㅊㅍ" localSheetId="22" hidden="1">#REF!</definedName>
    <definedName name="ㅊㅌㅍㅌㅊㅍㅊㅌㅍㅌㅊㅍㅌㅊㅍ" localSheetId="23" hidden="1">#REF!</definedName>
    <definedName name="ㅊㅌㅍㅌㅊㅍㅊㅌㅍㅌㅊㅍㅌㅊㅍ" localSheetId="24" hidden="1">#REF!</definedName>
    <definedName name="ㅊㅌㅍㅌㅊㅍㅊㅌㅍㅌㅊㅍㅌㅊㅍ" localSheetId="25" hidden="1">#REF!</definedName>
    <definedName name="ㅊㅌㅍㅌㅊㅍㅊㅌㅍㅌㅊㅍㅌㅊㅍ" localSheetId="8" hidden="1">#REF!</definedName>
    <definedName name="ㅊㅌㅍㅌㅊㅍㅊㅌㅍㅌㅊㅍㅌㅊㅍ" localSheetId="26" hidden="1">#REF!</definedName>
    <definedName name="ㅊㅌㅍㅌㅊㅍㅊㅌㅍㅌㅊㅍㅌㅊㅍ" localSheetId="27" hidden="1">#REF!</definedName>
    <definedName name="ㅊㅌㅍㅌㅊㅍㅊㅌㅍㅌㅊㅍㅌㅊㅍ" localSheetId="28" hidden="1">#REF!</definedName>
    <definedName name="ㅊㅌㅍㅌㅊㅍㅊㅌㅍㅌㅊㅍㅌㅊㅍ" localSheetId="29" hidden="1">#REF!</definedName>
    <definedName name="ㅊㅌㅍㅌㅊㅍㅊㅌㅍㅌㅊㅍㅌㅊㅍ" localSheetId="30" hidden="1">#REF!</definedName>
    <definedName name="ㅊㅌㅍㅌㅊㅍㅊㅌㅍㅌㅊㅍㅌㅊㅍ" localSheetId="31" hidden="1">#REF!</definedName>
    <definedName name="ㅊㅌㅍㅌㅊㅍㅊㅌㅍㅌㅊㅍㅌㅊㅍ" localSheetId="32" hidden="1">#REF!</definedName>
    <definedName name="ㅊㅌㅍㅌㅊㅍㅊㅌㅍㅌㅊㅍㅌㅊㅍ" localSheetId="33" hidden="1">#REF!</definedName>
    <definedName name="ㅊㅌㅍㅌㅊㅍㅊㅌㅍㅌㅊㅍㅌㅊㅍ" localSheetId="34" hidden="1">#REF!</definedName>
    <definedName name="ㅊㅌㅍㅌㅊㅍㅊㅌㅍㅌㅊㅍㅌㅊㅍ" localSheetId="35" hidden="1">#REF!</definedName>
    <definedName name="ㅊㅌㅍㅌㅊㅍㅊㅌㅍㅌㅊㅍㅌㅊㅍ" localSheetId="9" hidden="1">#REF!</definedName>
    <definedName name="ㅊㅌㅍㅌㅊㅍㅊㅌㅍㅌㅊㅍㅌㅊㅍ" localSheetId="36" hidden="1">#REF!</definedName>
    <definedName name="ㅊㅌㅍㅌㅊㅍㅊㅌㅍㅌㅊㅍㅌㅊㅍ" localSheetId="37" hidden="1">#REF!</definedName>
    <definedName name="ㅊㅌㅍㅌㅊㅍㅊㅌㅍㅌㅊㅍㅌㅊㅍ" localSheetId="38" hidden="1">#REF!</definedName>
    <definedName name="ㅊㅌㅍㅌㅊㅍㅊㅌㅍㅌㅊㅍㅌㅊㅍ" localSheetId="39" hidden="1">#REF!</definedName>
    <definedName name="ㅊㅌㅍㅌㅊㅍㅊㅌㅍㅌㅊㅍㅌㅊㅍ" localSheetId="10" hidden="1">#REF!</definedName>
    <definedName name="ㅊㅌㅍㅌㅊㅍㅊㅌㅍㅌㅊㅍㅌㅊㅍ" localSheetId="11" hidden="1">#REF!</definedName>
    <definedName name="ㅊㅌㅍㅌㅊㅍㅊㅌㅍㅌㅊㅍㅌㅊㅍ" localSheetId="12" hidden="1">#REF!</definedName>
    <definedName name="ㅊㅌㅍㅌㅊㅍㅊㅌㅍㅌㅊㅍㅌㅊㅍ" localSheetId="13" hidden="1">#REF!</definedName>
    <definedName name="ㅊㅌㅍㅌㅊㅍㅊㅌㅍㅌㅊㅍㅌㅊㅍ" localSheetId="14" hidden="1">#REF!</definedName>
    <definedName name="ㅊㅌㅍㅌㅊㅍㅊㅌㅍㅌㅊㅍㅌㅊㅍ" localSheetId="15" hidden="1">#REF!</definedName>
    <definedName name="ㅊㅌㅍㅌㅊㅍㅊㅌㅍㅌㅊㅍㅌㅊㅍ" hidden="1">#REF!</definedName>
    <definedName name="ㅋ" localSheetId="0" hidden="1">#REF!</definedName>
    <definedName name="ㅋ" localSheetId="4" hidden="1">#REF!</definedName>
    <definedName name="ㅋ" localSheetId="5" hidden="1">#REF!</definedName>
    <definedName name="ㅋ" localSheetId="3" hidden="1">#REF!</definedName>
    <definedName name="ㅋ" localSheetId="1" hidden="1">#REF!</definedName>
    <definedName name="ㅋ" localSheetId="6" hidden="1">#REF!</definedName>
    <definedName name="ㅋ" localSheetId="7" hidden="1">#REF!</definedName>
    <definedName name="ㅋ" localSheetId="16" hidden="1">#REF!</definedName>
    <definedName name="ㅋ" localSheetId="17" hidden="1">#REF!</definedName>
    <definedName name="ㅋ" localSheetId="18" hidden="1">#REF!</definedName>
    <definedName name="ㅋ" localSheetId="19" hidden="1">#REF!</definedName>
    <definedName name="ㅋ" localSheetId="20" hidden="1">#REF!</definedName>
    <definedName name="ㅋ" localSheetId="21" hidden="1">#REF!</definedName>
    <definedName name="ㅋ" localSheetId="22" hidden="1">#REF!</definedName>
    <definedName name="ㅋ" localSheetId="23" hidden="1">#REF!</definedName>
    <definedName name="ㅋ" localSheetId="24" hidden="1">#REF!</definedName>
    <definedName name="ㅋ" localSheetId="25" hidden="1">#REF!</definedName>
    <definedName name="ㅋ" localSheetId="8" hidden="1">#REF!</definedName>
    <definedName name="ㅋ" localSheetId="26" hidden="1">#REF!</definedName>
    <definedName name="ㅋ" localSheetId="27" hidden="1">#REF!</definedName>
    <definedName name="ㅋ" localSheetId="28" hidden="1">#REF!</definedName>
    <definedName name="ㅋ" localSheetId="29" hidden="1">#REF!</definedName>
    <definedName name="ㅋ" localSheetId="30" hidden="1">#REF!</definedName>
    <definedName name="ㅋ" localSheetId="31" hidden="1">#REF!</definedName>
    <definedName name="ㅋ" localSheetId="32" hidden="1">#REF!</definedName>
    <definedName name="ㅋ" localSheetId="33" hidden="1">#REF!</definedName>
    <definedName name="ㅋ" localSheetId="34" hidden="1">#REF!</definedName>
    <definedName name="ㅋ" localSheetId="35" hidden="1">#REF!</definedName>
    <definedName name="ㅋ" localSheetId="9" hidden="1">#REF!</definedName>
    <definedName name="ㅋ" localSheetId="36" hidden="1">#REF!</definedName>
    <definedName name="ㅋ" localSheetId="37" hidden="1">#REF!</definedName>
    <definedName name="ㅋ" localSheetId="38" hidden="1">#REF!</definedName>
    <definedName name="ㅋ" localSheetId="39" hidden="1">#REF!</definedName>
    <definedName name="ㅋ" localSheetId="10" hidden="1">#REF!</definedName>
    <definedName name="ㅋ" localSheetId="11" hidden="1">#REF!</definedName>
    <definedName name="ㅋ" localSheetId="12" hidden="1">#REF!</definedName>
    <definedName name="ㅋ" localSheetId="13" hidden="1">#REF!</definedName>
    <definedName name="ㅋ" localSheetId="14" hidden="1">#REF!</definedName>
    <definedName name="ㅋ" localSheetId="15" hidden="1">#REF!</definedName>
    <definedName name="ㅋ" hidden="1">#REF!</definedName>
    <definedName name="ㅋㅋㅋㅋ" localSheetId="0" hidden="1">#REF!</definedName>
    <definedName name="ㅋㅋㅋㅋ" localSheetId="4" hidden="1">#REF!</definedName>
    <definedName name="ㅋㅋㅋㅋ" localSheetId="5" hidden="1">#REF!</definedName>
    <definedName name="ㅋㅋㅋㅋ" localSheetId="3" hidden="1">#REF!</definedName>
    <definedName name="ㅋㅋㅋㅋ" localSheetId="1" hidden="1">#REF!</definedName>
    <definedName name="ㅋㅋㅋㅋ" localSheetId="6" hidden="1">#REF!</definedName>
    <definedName name="ㅋㅋㅋㅋ" localSheetId="7" hidden="1">#REF!</definedName>
    <definedName name="ㅋㅋㅋㅋ" localSheetId="16" hidden="1">#REF!</definedName>
    <definedName name="ㅋㅋㅋㅋ" localSheetId="17" hidden="1">#REF!</definedName>
    <definedName name="ㅋㅋㅋㅋ" localSheetId="18" hidden="1">#REF!</definedName>
    <definedName name="ㅋㅋㅋㅋ" localSheetId="19" hidden="1">#REF!</definedName>
    <definedName name="ㅋㅋㅋㅋ" localSheetId="20" hidden="1">#REF!</definedName>
    <definedName name="ㅋㅋㅋㅋ" localSheetId="21" hidden="1">#REF!</definedName>
    <definedName name="ㅋㅋㅋㅋ" localSheetId="22" hidden="1">#REF!</definedName>
    <definedName name="ㅋㅋㅋㅋ" localSheetId="23" hidden="1">#REF!</definedName>
    <definedName name="ㅋㅋㅋㅋ" localSheetId="24" hidden="1">#REF!</definedName>
    <definedName name="ㅋㅋㅋㅋ" localSheetId="25" hidden="1">#REF!</definedName>
    <definedName name="ㅋㅋㅋㅋ" localSheetId="8" hidden="1">#REF!</definedName>
    <definedName name="ㅋㅋㅋㅋ" localSheetId="26" hidden="1">#REF!</definedName>
    <definedName name="ㅋㅋㅋㅋ" localSheetId="27" hidden="1">#REF!</definedName>
    <definedName name="ㅋㅋㅋㅋ" localSheetId="28" hidden="1">#REF!</definedName>
    <definedName name="ㅋㅋㅋㅋ" localSheetId="29" hidden="1">#REF!</definedName>
    <definedName name="ㅋㅋㅋㅋ" localSheetId="30" hidden="1">#REF!</definedName>
    <definedName name="ㅋㅋㅋㅋ" localSheetId="31" hidden="1">#REF!</definedName>
    <definedName name="ㅋㅋㅋㅋ" localSheetId="32" hidden="1">#REF!</definedName>
    <definedName name="ㅋㅋㅋㅋ" localSheetId="33" hidden="1">#REF!</definedName>
    <definedName name="ㅋㅋㅋㅋ" localSheetId="34" hidden="1">#REF!</definedName>
    <definedName name="ㅋㅋㅋㅋ" localSheetId="35" hidden="1">#REF!</definedName>
    <definedName name="ㅋㅋㅋㅋ" localSheetId="9" hidden="1">#REF!</definedName>
    <definedName name="ㅋㅋㅋㅋ" localSheetId="36" hidden="1">#REF!</definedName>
    <definedName name="ㅋㅋㅋㅋ" localSheetId="37" hidden="1">#REF!</definedName>
    <definedName name="ㅋㅋㅋㅋ" localSheetId="38" hidden="1">#REF!</definedName>
    <definedName name="ㅋㅋㅋㅋ" localSheetId="39" hidden="1">#REF!</definedName>
    <definedName name="ㅋㅋㅋㅋ" localSheetId="10" hidden="1">#REF!</definedName>
    <definedName name="ㅋㅋㅋㅋ" localSheetId="11" hidden="1">#REF!</definedName>
    <definedName name="ㅋㅋㅋㅋ" localSheetId="12" hidden="1">#REF!</definedName>
    <definedName name="ㅋㅋㅋㅋ" localSheetId="13" hidden="1">#REF!</definedName>
    <definedName name="ㅋㅋㅋㅋ" localSheetId="14" hidden="1">#REF!</definedName>
    <definedName name="ㅋㅋㅋㅋ" localSheetId="15" hidden="1">#REF!</definedName>
    <definedName name="ㅋㅋㅋㅋ" hidden="1">#REF!</definedName>
    <definedName name="ㅋㅋㅋㅋㅋㅋ" localSheetId="0" hidden="1">#REF!</definedName>
    <definedName name="ㅋㅋㅋㅋㅋㅋ" localSheetId="4" hidden="1">#REF!</definedName>
    <definedName name="ㅋㅋㅋㅋㅋㅋ" localSheetId="5" hidden="1">#REF!</definedName>
    <definedName name="ㅋㅋㅋㅋㅋㅋ" localSheetId="3" hidden="1">#REF!</definedName>
    <definedName name="ㅋㅋㅋㅋㅋㅋ" localSheetId="1" hidden="1">#REF!</definedName>
    <definedName name="ㅋㅋㅋㅋㅋㅋ" localSheetId="6" hidden="1">#REF!</definedName>
    <definedName name="ㅋㅋㅋㅋㅋㅋ" localSheetId="7" hidden="1">#REF!</definedName>
    <definedName name="ㅋㅋㅋㅋㅋㅋ" localSheetId="16" hidden="1">#REF!</definedName>
    <definedName name="ㅋㅋㅋㅋㅋㅋ" localSheetId="17" hidden="1">#REF!</definedName>
    <definedName name="ㅋㅋㅋㅋㅋㅋ" localSheetId="18" hidden="1">#REF!</definedName>
    <definedName name="ㅋㅋㅋㅋㅋㅋ" localSheetId="19" hidden="1">#REF!</definedName>
    <definedName name="ㅋㅋㅋㅋㅋㅋ" localSheetId="20" hidden="1">#REF!</definedName>
    <definedName name="ㅋㅋㅋㅋㅋㅋ" localSheetId="21" hidden="1">#REF!</definedName>
    <definedName name="ㅋㅋㅋㅋㅋㅋ" localSheetId="22" hidden="1">#REF!</definedName>
    <definedName name="ㅋㅋㅋㅋㅋㅋ" localSheetId="23" hidden="1">#REF!</definedName>
    <definedName name="ㅋㅋㅋㅋㅋㅋ" localSheetId="24" hidden="1">#REF!</definedName>
    <definedName name="ㅋㅋㅋㅋㅋㅋ" localSheetId="25" hidden="1">#REF!</definedName>
    <definedName name="ㅋㅋㅋㅋㅋㅋ" localSheetId="8" hidden="1">#REF!</definedName>
    <definedName name="ㅋㅋㅋㅋㅋㅋ" localSheetId="26" hidden="1">#REF!</definedName>
    <definedName name="ㅋㅋㅋㅋㅋㅋ" localSheetId="27" hidden="1">#REF!</definedName>
    <definedName name="ㅋㅋㅋㅋㅋㅋ" localSheetId="28" hidden="1">#REF!</definedName>
    <definedName name="ㅋㅋㅋㅋㅋㅋ" localSheetId="29" hidden="1">#REF!</definedName>
    <definedName name="ㅋㅋㅋㅋㅋㅋ" localSheetId="30" hidden="1">#REF!</definedName>
    <definedName name="ㅋㅋㅋㅋㅋㅋ" localSheetId="31" hidden="1">#REF!</definedName>
    <definedName name="ㅋㅋㅋㅋㅋㅋ" localSheetId="32" hidden="1">#REF!</definedName>
    <definedName name="ㅋㅋㅋㅋㅋㅋ" localSheetId="33" hidden="1">#REF!</definedName>
    <definedName name="ㅋㅋㅋㅋㅋㅋ" localSheetId="34" hidden="1">#REF!</definedName>
    <definedName name="ㅋㅋㅋㅋㅋㅋ" localSheetId="35" hidden="1">#REF!</definedName>
    <definedName name="ㅋㅋㅋㅋㅋㅋ" localSheetId="9" hidden="1">#REF!</definedName>
    <definedName name="ㅋㅋㅋㅋㅋㅋ" localSheetId="36" hidden="1">#REF!</definedName>
    <definedName name="ㅋㅋㅋㅋㅋㅋ" localSheetId="37" hidden="1">#REF!</definedName>
    <definedName name="ㅋㅋㅋㅋㅋㅋ" localSheetId="38" hidden="1">#REF!</definedName>
    <definedName name="ㅋㅋㅋㅋㅋㅋ" localSheetId="39" hidden="1">#REF!</definedName>
    <definedName name="ㅋㅋㅋㅋㅋㅋ" localSheetId="10" hidden="1">#REF!</definedName>
    <definedName name="ㅋㅋㅋㅋㅋㅋ" localSheetId="11" hidden="1">#REF!</definedName>
    <definedName name="ㅋㅋㅋㅋㅋㅋ" localSheetId="12" hidden="1">#REF!</definedName>
    <definedName name="ㅋㅋㅋㅋㅋㅋ" localSheetId="13" hidden="1">#REF!</definedName>
    <definedName name="ㅋㅋㅋㅋㅋㅋ" localSheetId="14" hidden="1">#REF!</definedName>
    <definedName name="ㅋㅋㅋㅋㅋㅋ" localSheetId="15" hidden="1">#REF!</definedName>
    <definedName name="ㅋㅋㅋㅋㅋㅋ" hidden="1">#REF!</definedName>
    <definedName name="ㅋㅋㅋㅋㅋㅋㅋㅋㅋ" localSheetId="0" hidden="1">#REF!</definedName>
    <definedName name="ㅋㅋㅋㅋㅋㅋㅋㅋㅋ" localSheetId="4" hidden="1">#REF!</definedName>
    <definedName name="ㅋㅋㅋㅋㅋㅋㅋㅋㅋ" localSheetId="5" hidden="1">#REF!</definedName>
    <definedName name="ㅋㅋㅋㅋㅋㅋㅋㅋㅋ" localSheetId="3" hidden="1">#REF!</definedName>
    <definedName name="ㅋㅋㅋㅋㅋㅋㅋㅋㅋ" localSheetId="1" hidden="1">#REF!</definedName>
    <definedName name="ㅋㅋㅋㅋㅋㅋㅋㅋㅋ" localSheetId="6" hidden="1">#REF!</definedName>
    <definedName name="ㅋㅋㅋㅋㅋㅋㅋㅋㅋ" localSheetId="7" hidden="1">#REF!</definedName>
    <definedName name="ㅋㅋㅋㅋㅋㅋㅋㅋㅋ" localSheetId="16" hidden="1">#REF!</definedName>
    <definedName name="ㅋㅋㅋㅋㅋㅋㅋㅋㅋ" localSheetId="17" hidden="1">#REF!</definedName>
    <definedName name="ㅋㅋㅋㅋㅋㅋㅋㅋㅋ" localSheetId="18" hidden="1">#REF!</definedName>
    <definedName name="ㅋㅋㅋㅋㅋㅋㅋㅋㅋ" localSheetId="19" hidden="1">#REF!</definedName>
    <definedName name="ㅋㅋㅋㅋㅋㅋㅋㅋㅋ" localSheetId="20" hidden="1">#REF!</definedName>
    <definedName name="ㅋㅋㅋㅋㅋㅋㅋㅋㅋ" localSheetId="21" hidden="1">#REF!</definedName>
    <definedName name="ㅋㅋㅋㅋㅋㅋㅋㅋㅋ" localSheetId="22" hidden="1">#REF!</definedName>
    <definedName name="ㅋㅋㅋㅋㅋㅋㅋㅋㅋ" localSheetId="23" hidden="1">#REF!</definedName>
    <definedName name="ㅋㅋㅋㅋㅋㅋㅋㅋㅋ" localSheetId="24" hidden="1">#REF!</definedName>
    <definedName name="ㅋㅋㅋㅋㅋㅋㅋㅋㅋ" localSheetId="25" hidden="1">#REF!</definedName>
    <definedName name="ㅋㅋㅋㅋㅋㅋㅋㅋㅋ" localSheetId="8" hidden="1">#REF!</definedName>
    <definedName name="ㅋㅋㅋㅋㅋㅋㅋㅋㅋ" localSheetId="26" hidden="1">#REF!</definedName>
    <definedName name="ㅋㅋㅋㅋㅋㅋㅋㅋㅋ" localSheetId="27" hidden="1">#REF!</definedName>
    <definedName name="ㅋㅋㅋㅋㅋㅋㅋㅋㅋ" localSheetId="28" hidden="1">#REF!</definedName>
    <definedName name="ㅋㅋㅋㅋㅋㅋㅋㅋㅋ" localSheetId="29" hidden="1">#REF!</definedName>
    <definedName name="ㅋㅋㅋㅋㅋㅋㅋㅋㅋ" localSheetId="30" hidden="1">#REF!</definedName>
    <definedName name="ㅋㅋㅋㅋㅋㅋㅋㅋㅋ" localSheetId="31" hidden="1">#REF!</definedName>
    <definedName name="ㅋㅋㅋㅋㅋㅋㅋㅋㅋ" localSheetId="32" hidden="1">#REF!</definedName>
    <definedName name="ㅋㅋㅋㅋㅋㅋㅋㅋㅋ" localSheetId="33" hidden="1">#REF!</definedName>
    <definedName name="ㅋㅋㅋㅋㅋㅋㅋㅋㅋ" localSheetId="34" hidden="1">#REF!</definedName>
    <definedName name="ㅋㅋㅋㅋㅋㅋㅋㅋㅋ" localSheetId="35" hidden="1">#REF!</definedName>
    <definedName name="ㅋㅋㅋㅋㅋㅋㅋㅋㅋ" localSheetId="9" hidden="1">#REF!</definedName>
    <definedName name="ㅋㅋㅋㅋㅋㅋㅋㅋㅋ" localSheetId="36" hidden="1">#REF!</definedName>
    <definedName name="ㅋㅋㅋㅋㅋㅋㅋㅋㅋ" localSheetId="37" hidden="1">#REF!</definedName>
    <definedName name="ㅋㅋㅋㅋㅋㅋㅋㅋㅋ" localSheetId="38" hidden="1">#REF!</definedName>
    <definedName name="ㅋㅋㅋㅋㅋㅋㅋㅋㅋ" localSheetId="39" hidden="1">#REF!</definedName>
    <definedName name="ㅋㅋㅋㅋㅋㅋㅋㅋㅋ" localSheetId="10" hidden="1">#REF!</definedName>
    <definedName name="ㅋㅋㅋㅋㅋㅋㅋㅋㅋ" localSheetId="11" hidden="1">#REF!</definedName>
    <definedName name="ㅋㅋㅋㅋㅋㅋㅋㅋㅋ" localSheetId="12" hidden="1">#REF!</definedName>
    <definedName name="ㅋㅋㅋㅋㅋㅋㅋㅋㅋ" localSheetId="13" hidden="1">#REF!</definedName>
    <definedName name="ㅋㅋㅋㅋㅋㅋㅋㅋㅋ" localSheetId="14" hidden="1">#REF!</definedName>
    <definedName name="ㅋㅋㅋㅋㅋㅋㅋㅋㅋ" localSheetId="15" hidden="1">#REF!</definedName>
    <definedName name="ㅋㅋㅋㅋㅋㅋㅋㅋㅋ" hidden="1">#REF!</definedName>
    <definedName name="ㅌㅊㅍㅌㅊㅍㅌㅋㅊㅍㅌ" localSheetId="0" hidden="1">#REF!</definedName>
    <definedName name="ㅌㅊㅍㅌㅊㅍㅌㅋㅊㅍㅌ" localSheetId="4" hidden="1">#REF!</definedName>
    <definedName name="ㅌㅊㅍㅌㅊㅍㅌㅋㅊㅍㅌ" localSheetId="5" hidden="1">#REF!</definedName>
    <definedName name="ㅌㅊㅍㅌㅊㅍㅌㅋㅊㅍㅌ" localSheetId="3" hidden="1">#REF!</definedName>
    <definedName name="ㅌㅊㅍㅌㅊㅍㅌㅋㅊㅍㅌ" localSheetId="1" hidden="1">#REF!</definedName>
    <definedName name="ㅌㅊㅍㅌㅊㅍㅌㅋㅊㅍㅌ" localSheetId="6" hidden="1">#REF!</definedName>
    <definedName name="ㅌㅊㅍㅌㅊㅍㅌㅋㅊㅍㅌ" localSheetId="7" hidden="1">#REF!</definedName>
    <definedName name="ㅌㅊㅍㅌㅊㅍㅌㅋㅊㅍㅌ" localSheetId="16" hidden="1">#REF!</definedName>
    <definedName name="ㅌㅊㅍㅌㅊㅍㅌㅋㅊㅍㅌ" localSheetId="17" hidden="1">#REF!</definedName>
    <definedName name="ㅌㅊㅍㅌㅊㅍㅌㅋㅊㅍㅌ" localSheetId="18" hidden="1">#REF!</definedName>
    <definedName name="ㅌㅊㅍㅌㅊㅍㅌㅋㅊㅍㅌ" localSheetId="19" hidden="1">#REF!</definedName>
    <definedName name="ㅌㅊㅍㅌㅊㅍㅌㅋㅊㅍㅌ" localSheetId="20" hidden="1">#REF!</definedName>
    <definedName name="ㅌㅊㅍㅌㅊㅍㅌㅋㅊㅍㅌ" localSheetId="21" hidden="1">#REF!</definedName>
    <definedName name="ㅌㅊㅍㅌㅊㅍㅌㅋㅊㅍㅌ" localSheetId="22" hidden="1">#REF!</definedName>
    <definedName name="ㅌㅊㅍㅌㅊㅍㅌㅋㅊㅍㅌ" localSheetId="23" hidden="1">#REF!</definedName>
    <definedName name="ㅌㅊㅍㅌㅊㅍㅌㅋㅊㅍㅌ" localSheetId="24" hidden="1">#REF!</definedName>
    <definedName name="ㅌㅊㅍㅌㅊㅍㅌㅋㅊㅍㅌ" localSheetId="25" hidden="1">#REF!</definedName>
    <definedName name="ㅌㅊㅍㅌㅊㅍㅌㅋㅊㅍㅌ" localSheetId="8" hidden="1">#REF!</definedName>
    <definedName name="ㅌㅊㅍㅌㅊㅍㅌㅋㅊㅍㅌ" localSheetId="26" hidden="1">#REF!</definedName>
    <definedName name="ㅌㅊㅍㅌㅊㅍㅌㅋㅊㅍㅌ" localSheetId="27" hidden="1">#REF!</definedName>
    <definedName name="ㅌㅊㅍㅌㅊㅍㅌㅋㅊㅍㅌ" localSheetId="28" hidden="1">#REF!</definedName>
    <definedName name="ㅌㅊㅍㅌㅊㅍㅌㅋㅊㅍㅌ" localSheetId="29" hidden="1">#REF!</definedName>
    <definedName name="ㅌㅊㅍㅌㅊㅍㅌㅋㅊㅍㅌ" localSheetId="30" hidden="1">#REF!</definedName>
    <definedName name="ㅌㅊㅍㅌㅊㅍㅌㅋㅊㅍㅌ" localSheetId="31" hidden="1">#REF!</definedName>
    <definedName name="ㅌㅊㅍㅌㅊㅍㅌㅋㅊㅍㅌ" localSheetId="32" hidden="1">#REF!</definedName>
    <definedName name="ㅌㅊㅍㅌㅊㅍㅌㅋㅊㅍㅌ" localSheetId="33" hidden="1">#REF!</definedName>
    <definedName name="ㅌㅊㅍㅌㅊㅍㅌㅋㅊㅍㅌ" localSheetId="34" hidden="1">#REF!</definedName>
    <definedName name="ㅌㅊㅍㅌㅊㅍㅌㅋㅊㅍㅌ" localSheetId="35" hidden="1">#REF!</definedName>
    <definedName name="ㅌㅊㅍㅌㅊㅍㅌㅋㅊㅍㅌ" localSheetId="9" hidden="1">#REF!</definedName>
    <definedName name="ㅌㅊㅍㅌㅊㅍㅌㅋㅊㅍㅌ" localSheetId="36" hidden="1">#REF!</definedName>
    <definedName name="ㅌㅊㅍㅌㅊㅍㅌㅋㅊㅍㅌ" localSheetId="37" hidden="1">#REF!</definedName>
    <definedName name="ㅌㅊㅍㅌㅊㅍㅌㅋㅊㅍㅌ" localSheetId="38" hidden="1">#REF!</definedName>
    <definedName name="ㅌㅊㅍㅌㅊㅍㅌㅋㅊㅍㅌ" localSheetId="39" hidden="1">#REF!</definedName>
    <definedName name="ㅌㅊㅍㅌㅊㅍㅌㅋㅊㅍㅌ" localSheetId="10" hidden="1">#REF!</definedName>
    <definedName name="ㅌㅊㅍㅌㅊㅍㅌㅋㅊㅍㅌ" localSheetId="11" hidden="1">#REF!</definedName>
    <definedName name="ㅌㅊㅍㅌㅊㅍㅌㅋㅊㅍㅌ" localSheetId="12" hidden="1">#REF!</definedName>
    <definedName name="ㅌㅊㅍㅌㅊㅍㅌㅋㅊㅍㅌ" localSheetId="13" hidden="1">#REF!</definedName>
    <definedName name="ㅌㅊㅍㅌㅊㅍㅌㅋㅊㅍㅌ" localSheetId="14" hidden="1">#REF!</definedName>
    <definedName name="ㅌㅊㅍㅌㅊㅍㅌㅋㅊㅍㅌ" localSheetId="15" hidden="1">#REF!</definedName>
    <definedName name="ㅌㅊㅍㅌㅊㅍㅌㅋㅊㅍㅌ"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50" l="1"/>
  <c r="L103" i="48"/>
  <c r="L99" i="48"/>
  <c r="L98" i="48"/>
  <c r="L97" i="48"/>
  <c r="L101" i="48"/>
  <c r="L104" i="48"/>
  <c r="L102" i="48"/>
  <c r="L96" i="48"/>
  <c r="L95" i="48"/>
  <c r="L94" i="48"/>
  <c r="L93" i="48"/>
  <c r="L92" i="48"/>
  <c r="L91" i="48"/>
  <c r="L90" i="48"/>
  <c r="L89" i="48"/>
  <c r="L88" i="48"/>
  <c r="L87" i="48"/>
  <c r="L86" i="48"/>
  <c r="L85" i="48"/>
  <c r="L84" i="48"/>
  <c r="L83" i="48"/>
  <c r="L82" i="48"/>
  <c r="L81" i="48"/>
  <c r="L80" i="48"/>
  <c r="L79" i="48"/>
  <c r="L78" i="48"/>
  <c r="L77" i="48"/>
  <c r="L76" i="48"/>
  <c r="L75" i="48"/>
  <c r="L74" i="48"/>
  <c r="L73" i="48"/>
  <c r="L72" i="48"/>
  <c r="L71" i="48"/>
  <c r="L70" i="48"/>
  <c r="L69" i="48"/>
  <c r="L68" i="48"/>
  <c r="L67" i="48"/>
  <c r="L66" i="48"/>
  <c r="L65" i="48"/>
  <c r="L64" i="48"/>
  <c r="L63" i="48"/>
  <c r="L62" i="48"/>
  <c r="L61" i="48"/>
  <c r="L60" i="48"/>
  <c r="L59" i="48"/>
  <c r="L58" i="48"/>
  <c r="L57" i="48"/>
  <c r="L56" i="48"/>
  <c r="L55" i="48"/>
  <c r="L54" i="48"/>
  <c r="L53" i="48"/>
  <c r="L52" i="48"/>
  <c r="L51" i="48"/>
  <c r="L50" i="48"/>
  <c r="L49" i="48"/>
  <c r="L48" i="48"/>
  <c r="L47" i="48"/>
  <c r="L46" i="48"/>
  <c r="L45" i="48"/>
  <c r="L42" i="48"/>
  <c r="L43" i="48"/>
  <c r="L44" i="48"/>
  <c r="L41" i="48"/>
  <c r="T134" i="48"/>
  <c r="T133" i="48"/>
  <c r="T132" i="48"/>
  <c r="T131" i="48"/>
  <c r="T130" i="48"/>
  <c r="T129" i="48"/>
  <c r="T128" i="48"/>
  <c r="T127" i="48"/>
  <c r="T126" i="48"/>
  <c r="T125" i="48"/>
  <c r="T124" i="48"/>
  <c r="T123" i="48"/>
  <c r="T122" i="48"/>
  <c r="T121" i="48"/>
  <c r="T120" i="48"/>
  <c r="T119" i="48"/>
  <c r="T118" i="48"/>
  <c r="T117" i="48"/>
  <c r="U115" i="48"/>
  <c r="T114" i="48"/>
  <c r="T113" i="48"/>
  <c r="T112" i="48"/>
  <c r="T111" i="48"/>
  <c r="Q111" i="48"/>
  <c r="P110" i="48"/>
  <c r="P106" i="48"/>
  <c r="P105" i="48"/>
  <c r="P104" i="48"/>
  <c r="P103" i="48"/>
  <c r="P102" i="48"/>
  <c r="P101" i="48"/>
  <c r="P100" i="48"/>
  <c r="P32" i="48"/>
  <c r="R5" i="48"/>
  <c r="D5" i="48"/>
  <c r="J101" i="14"/>
  <c r="J102" i="14"/>
  <c r="J103" i="14"/>
  <c r="J104" i="14"/>
  <c r="J105" i="14"/>
  <c r="J106" i="14"/>
  <c r="J107" i="14"/>
  <c r="J100" i="14"/>
  <c r="J32" i="14"/>
  <c r="M5" i="14"/>
  <c r="L5" i="14"/>
  <c r="I16" i="47"/>
  <c r="G16" i="47"/>
  <c r="E16" i="47"/>
  <c r="C16" i="47"/>
  <c r="C15" i="47"/>
  <c r="C14" i="47"/>
  <c r="C13" i="47"/>
  <c r="I16" i="46"/>
  <c r="G16" i="46"/>
  <c r="E16" i="46"/>
  <c r="C16" i="46"/>
  <c r="C15" i="46"/>
  <c r="C14" i="46"/>
  <c r="C13" i="46"/>
  <c r="I16" i="45"/>
  <c r="G16" i="45"/>
  <c r="E16" i="45"/>
  <c r="C16" i="45"/>
  <c r="C15" i="45"/>
  <c r="C14" i="45"/>
  <c r="C13" i="45"/>
  <c r="I16" i="44"/>
  <c r="G16" i="44"/>
  <c r="E16" i="44"/>
  <c r="C16" i="44"/>
  <c r="C15" i="44"/>
  <c r="C14" i="44"/>
  <c r="C13" i="44"/>
  <c r="I16" i="43"/>
  <c r="G16" i="43"/>
  <c r="E16" i="43"/>
  <c r="C16" i="43"/>
  <c r="C15" i="43"/>
  <c r="C14" i="43"/>
  <c r="C13" i="43"/>
  <c r="I16" i="42"/>
  <c r="G16" i="42"/>
  <c r="E16" i="42"/>
  <c r="C16" i="42"/>
  <c r="C15" i="42"/>
  <c r="C14" i="42"/>
  <c r="C13" i="42"/>
  <c r="I16" i="41"/>
  <c r="G16" i="41"/>
  <c r="E16" i="41"/>
  <c r="C16" i="41"/>
  <c r="C15" i="41"/>
  <c r="C14" i="41"/>
  <c r="C13" i="41"/>
  <c r="I16" i="40"/>
  <c r="G16" i="40"/>
  <c r="E16" i="40"/>
  <c r="C16" i="40"/>
  <c r="C15" i="40"/>
  <c r="C14" i="40"/>
  <c r="C13" i="40"/>
  <c r="I16" i="39"/>
  <c r="G16" i="39"/>
  <c r="E16" i="39"/>
  <c r="C16" i="39"/>
  <c r="C15" i="39"/>
  <c r="C14" i="39"/>
  <c r="C13" i="39"/>
  <c r="I16" i="38"/>
  <c r="G16" i="38"/>
  <c r="E16" i="38"/>
  <c r="C16" i="38"/>
  <c r="C15" i="38"/>
  <c r="C14" i="38"/>
  <c r="C13" i="38"/>
  <c r="I16" i="37"/>
  <c r="G16" i="37"/>
  <c r="E16" i="37"/>
  <c r="C16" i="37"/>
  <c r="C15" i="37"/>
  <c r="C14" i="37"/>
  <c r="C13" i="37"/>
  <c r="I16" i="36"/>
  <c r="G16" i="36"/>
  <c r="E16" i="36"/>
  <c r="C16" i="36"/>
  <c r="C15" i="36"/>
  <c r="C14" i="36"/>
  <c r="C13" i="36"/>
  <c r="I16" i="35"/>
  <c r="G16" i="35"/>
  <c r="E16" i="35"/>
  <c r="C16" i="35"/>
  <c r="C15" i="35"/>
  <c r="C14" i="35"/>
  <c r="C13" i="35"/>
  <c r="I16" i="34"/>
  <c r="G16" i="34"/>
  <c r="E16" i="34"/>
  <c r="C16" i="34"/>
  <c r="C15" i="34"/>
  <c r="C14" i="34"/>
  <c r="C13" i="34"/>
  <c r="I16" i="33"/>
  <c r="G16" i="33"/>
  <c r="E16" i="33"/>
  <c r="C16" i="33"/>
  <c r="C15" i="33"/>
  <c r="C14" i="33"/>
  <c r="C13" i="33"/>
  <c r="I16" i="32"/>
  <c r="G16" i="32"/>
  <c r="E16" i="32"/>
  <c r="C16" i="32"/>
  <c r="C15" i="32"/>
  <c r="C14" i="32"/>
  <c r="C13" i="32"/>
  <c r="I16" i="31"/>
  <c r="G16" i="31"/>
  <c r="E16" i="31"/>
  <c r="C16" i="31"/>
  <c r="C15" i="31"/>
  <c r="C14" i="31"/>
  <c r="C13" i="31"/>
  <c r="I16" i="30"/>
  <c r="G16" i="30"/>
  <c r="E16" i="30"/>
  <c r="C16" i="30"/>
  <c r="C15" i="30"/>
  <c r="C14" i="30"/>
  <c r="C13" i="30"/>
  <c r="I16" i="29"/>
  <c r="G16" i="29"/>
  <c r="E16" i="29"/>
  <c r="C16" i="29"/>
  <c r="C15" i="29"/>
  <c r="C14" i="29"/>
  <c r="C13" i="29"/>
  <c r="I16" i="28"/>
  <c r="G16" i="28"/>
  <c r="E16" i="28"/>
  <c r="C16" i="28"/>
  <c r="C15" i="28"/>
  <c r="C14" i="28"/>
  <c r="C13" i="28"/>
  <c r="I16" i="27"/>
  <c r="G16" i="27"/>
  <c r="E16" i="27"/>
  <c r="C16" i="27"/>
  <c r="C15" i="27"/>
  <c r="C14" i="27"/>
  <c r="C13" i="27"/>
  <c r="I16" i="26"/>
  <c r="G16" i="26"/>
  <c r="E16" i="26"/>
  <c r="C16" i="26"/>
  <c r="C15" i="26"/>
  <c r="C14" i="26"/>
  <c r="C13" i="26"/>
  <c r="I16" i="25"/>
  <c r="G16" i="25"/>
  <c r="E16" i="25"/>
  <c r="C16" i="25"/>
  <c r="C15" i="25"/>
  <c r="C14" i="25"/>
  <c r="C13" i="25"/>
  <c r="I16" i="24"/>
  <c r="G16" i="24"/>
  <c r="E16" i="24"/>
  <c r="C16" i="24"/>
  <c r="C15" i="24"/>
  <c r="C14" i="24"/>
  <c r="C13" i="24"/>
  <c r="I16" i="23"/>
  <c r="G16" i="23"/>
  <c r="E16" i="23"/>
  <c r="C16" i="23"/>
  <c r="C15" i="23"/>
  <c r="C14" i="23"/>
  <c r="C13" i="23"/>
  <c r="I16" i="22"/>
  <c r="G16" i="22"/>
  <c r="E16" i="22"/>
  <c r="C16" i="22"/>
  <c r="C15" i="22"/>
  <c r="C14" i="22"/>
  <c r="C13" i="22"/>
  <c r="I16" i="21"/>
  <c r="G16" i="21"/>
  <c r="E16" i="21"/>
  <c r="C16" i="21"/>
  <c r="C15" i="21"/>
  <c r="C14" i="21"/>
  <c r="C13" i="21"/>
  <c r="I16" i="20"/>
  <c r="G16" i="20"/>
  <c r="E16" i="20"/>
  <c r="C16" i="20"/>
  <c r="C15" i="20"/>
  <c r="C14" i="20"/>
  <c r="C13" i="20"/>
  <c r="I16" i="19"/>
  <c r="G16" i="19"/>
  <c r="E16" i="19"/>
  <c r="C16" i="19"/>
  <c r="C15" i="19"/>
  <c r="C14" i="19"/>
  <c r="C13" i="19"/>
  <c r="I16" i="18"/>
  <c r="G16" i="18"/>
  <c r="E16" i="18"/>
  <c r="C16" i="18"/>
  <c r="C15" i="18"/>
  <c r="C14" i="18"/>
  <c r="C13" i="18"/>
  <c r="I16" i="16"/>
  <c r="I16" i="17"/>
  <c r="G16" i="17"/>
  <c r="E16" i="17"/>
  <c r="C16" i="17"/>
  <c r="C15" i="17"/>
  <c r="C14" i="17"/>
  <c r="C13" i="17"/>
  <c r="G16" i="16"/>
  <c r="E16" i="16"/>
  <c r="C16" i="16"/>
  <c r="C15" i="16"/>
  <c r="C14" i="16"/>
  <c r="C13" i="16"/>
  <c r="N48" i="4"/>
  <c r="M48" i="4"/>
  <c r="K111" i="14"/>
  <c r="K32" i="1"/>
  <c r="J32" i="1"/>
  <c r="N111" i="14"/>
  <c r="N112" i="14"/>
  <c r="N113" i="14"/>
  <c r="N114" i="14"/>
  <c r="O115" i="14"/>
  <c r="N117" i="14"/>
  <c r="N118" i="14"/>
  <c r="N119" i="14"/>
  <c r="N120" i="14"/>
  <c r="N121" i="14"/>
  <c r="N122" i="14"/>
  <c r="N123" i="14"/>
  <c r="N124" i="14"/>
  <c r="N125" i="14"/>
  <c r="N126" i="14"/>
  <c r="N127" i="14"/>
  <c r="N128" i="14"/>
  <c r="N129" i="14"/>
  <c r="N130" i="14"/>
  <c r="N131" i="14"/>
  <c r="N132" i="14"/>
  <c r="N133" i="14"/>
  <c r="N134" i="14"/>
  <c r="I16" i="15"/>
  <c r="G16" i="15"/>
  <c r="E16" i="15"/>
  <c r="C16" i="15"/>
  <c r="C15" i="15"/>
  <c r="C14" i="15"/>
  <c r="C13" i="15"/>
  <c r="P151" i="5"/>
  <c r="O151" i="5"/>
  <c r="Q151" i="5"/>
  <c r="Y148" i="5"/>
  <c r="Y142" i="5"/>
  <c r="Y137" i="5"/>
  <c r="Y132" i="5"/>
  <c r="Y123" i="5"/>
  <c r="Y118" i="5"/>
  <c r="Y113" i="5"/>
  <c r="Y108" i="5"/>
  <c r="Y103" i="5"/>
  <c r="Y98" i="5"/>
  <c r="Y93" i="5"/>
  <c r="Y88" i="5"/>
  <c r="Y83" i="5"/>
  <c r="Y78" i="5"/>
  <c r="Y73" i="5"/>
  <c r="Y68" i="5"/>
  <c r="Y63" i="5"/>
  <c r="Y45" i="5"/>
  <c r="Y42" i="5"/>
  <c r="Y35" i="5"/>
  <c r="Y31" i="5"/>
  <c r="Y28" i="5"/>
  <c r="Y25" i="5"/>
  <c r="Y20" i="5"/>
  <c r="K38" i="1"/>
  <c r="C40" i="13"/>
  <c r="C41" i="13"/>
  <c r="C42" i="13"/>
  <c r="C43" i="13"/>
  <c r="C36" i="13"/>
  <c r="C37" i="13"/>
  <c r="C38" i="13"/>
  <c r="C39" i="13"/>
  <c r="C31" i="13"/>
  <c r="C32" i="13"/>
  <c r="C33" i="13"/>
  <c r="C34" i="13"/>
  <c r="C35" i="13"/>
  <c r="C16" i="13"/>
  <c r="C17" i="13"/>
  <c r="C18" i="13"/>
  <c r="C19" i="13"/>
  <c r="C20" i="13"/>
  <c r="C21" i="13"/>
  <c r="C22" i="13"/>
  <c r="C23" i="13"/>
  <c r="C24" i="13"/>
  <c r="C25" i="13"/>
  <c r="C26" i="13"/>
  <c r="C27" i="13"/>
  <c r="C28" i="13"/>
  <c r="C29" i="13"/>
  <c r="C30" i="13"/>
  <c r="C10" i="13"/>
  <c r="C11" i="13"/>
  <c r="C12" i="13"/>
  <c r="C13" i="13"/>
  <c r="C14" i="13"/>
  <c r="C15" i="13"/>
  <c r="O48" i="4"/>
  <c r="D5" i="14"/>
  <c r="K41" i="3"/>
  <c r="H15" i="3"/>
  <c r="H5" i="3"/>
  <c r="B7" i="13"/>
  <c r="E7" i="5"/>
  <c r="E5" i="4"/>
  <c r="E5" i="5"/>
  <c r="H8" i="3"/>
  <c r="H6" i="3"/>
  <c r="E6" i="4"/>
  <c r="E6" i="5"/>
  <c r="AY6" i="5"/>
  <c r="AX6" i="5"/>
  <c r="AW6" i="5"/>
  <c r="AV6" i="5"/>
  <c r="AT6" i="5"/>
  <c r="AS6" i="5"/>
  <c r="AR6" i="5"/>
  <c r="AQ6" i="5"/>
  <c r="AP6" i="5"/>
  <c r="AO6" i="5"/>
  <c r="AN6" i="5"/>
  <c r="AM6" i="5"/>
  <c r="AL6" i="5"/>
  <c r="AK6" i="5"/>
  <c r="AJ6" i="5"/>
  <c r="AI6" i="5"/>
  <c r="AH6" i="5"/>
  <c r="AG6" i="5"/>
  <c r="AF6" i="5"/>
  <c r="AE6" i="5"/>
  <c r="AD6" i="5"/>
  <c r="AC6" i="5"/>
  <c r="AB6" i="5"/>
  <c r="AA6" i="5"/>
  <c r="Z6" i="5"/>
  <c r="J41" i="3"/>
  <c r="I41" i="3"/>
  <c r="AU6" i="5"/>
</calcChain>
</file>

<file path=xl/sharedStrings.xml><?xml version="1.0" encoding="utf-8"?>
<sst xmlns="http://schemas.openxmlformats.org/spreadsheetml/2006/main" count="5562" uniqueCount="425">
  <si>
    <t>PECC2 Innovation Hub, 45 Street No.2, Truong Tho Ward, Thu Duc City, HCMC, Vietnam
Tel: +84-28-2221 6468 | Fax: +84-28-2221 0408</t>
  </si>
  <si>
    <t>COMMERCIAL INVOICE</t>
    <phoneticPr fontId="0" type="noConversion"/>
  </si>
  <si>
    <t>SHIPPER:</t>
  </si>
  <si>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</si>
  <si>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</si>
  <si>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</si>
  <si>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</si>
  <si>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</si>
  <si>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</si>
  <si>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</si>
  <si>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</si>
  <si>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</si>
  <si>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</si>
  <si>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</si>
  <si>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</si>
  <si>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</si>
  <si>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</si>
  <si>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</si>
  <si>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</si>
  <si>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</si>
  <si>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</si>
  <si>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</si>
  <si>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</si>
  <si>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</si>
  <si>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</si>
  <si>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</si>
  <si>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</si>
  <si>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</si>
  <si>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</si>
  <si>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</si>
  <si>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POSITION IN THE MASTER LIST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</si>
  <si>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</si>
  <si>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</si>
  <si>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</si>
  <si>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</si>
  <si>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</si>
  <si>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</si>
  <si>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</si>
  <si>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</si>
  <si>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</si>
  <si>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</si>
  <si>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</si>
  <si>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</si>
  <si>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</si>
  <si>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</si>
  <si>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</si>
  <si>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</si>
  <si>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</si>
  <si>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</si>
  <si>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</si>
  <si>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</si>
  <si>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</si>
  <si>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</si>
  <si>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</si>
  <si>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</si>
  <si>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</si>
  <si>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</si>
  <si>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</si>
  <si>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</si>
  <si>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</si>
  <si>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</si>
  <si>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</si>
  <si>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</si>
  <si>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</si>
  <si>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</si>
  <si>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</si>
  <si>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</si>
  <si>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</si>
  <si>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</si>
  <si>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</si>
  <si>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Position in price schedule</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</si>
  <si>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</si>
  <si>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</si>
  <si>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</si>
  <si>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</si>
  <si>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</si>
  <si>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</si>
  <si>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</si>
  <si>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</si>
  <si>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</si>
  <si>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</si>
  <si>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</si>
  <si>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</si>
  <si>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</si>
  <si>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</si>
  <si>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</si>
  <si>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</si>
  <si>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</si>
  <si>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Manufacturer</t>
    <phoneticPr fontId="0" type="noConversion"/>
  </si>
  <si>
    <t>Tag No.</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</si>
  <si>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</si>
  <si>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</si>
  <si>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</si>
  <si>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</si>
  <si>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</si>
  <si>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</si>
  <si>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</si>
  <si>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</si>
  <si>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</si>
  <si>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</si>
  <si>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</si>
  <si>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</si>
  <si>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</si>
  <si>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</si>
  <si>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</si>
  <si>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</si>
  <si>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</si>
  <si>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</si>
  <si>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</si>
  <si>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</si>
  <si>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</si>
  <si>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3" type="noConversion"/>
  </si>
  <si>
    <t>06/2025/HĐ-PVN/OM4-06</t>
    <phoneticPr fontId="33"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</si>
  <si>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</si>
  <si>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</si>
  <si>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</si>
  <si>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</si>
  <si>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</si>
  <si>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</si>
  <si>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</si>
  <si>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</si>
  <si>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</si>
  <si>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C/O of Goods</t>
    <phoneticPr fontId="0" type="noConversion"/>
  </si>
  <si>
    <t>PECC2 Innovation Hub, 45 Street No.2, Truong Tho Ward, 
Thu Duc City, HCMC, Vietnam
Tel: +84-28-2221 6468 | Fax: +84-28-2221 0408</t>
    <phoneticPr fontId="33" type="noConversion"/>
  </si>
  <si>
    <t>O MON IV THERMAL POWER PLANT</t>
    <phoneticPr fontId="33" type="noConversion"/>
  </si>
  <si>
    <t xml:space="preserve">PLACE :  </t>
    <phoneticPr fontId="33" type="noConversion"/>
  </si>
  <si>
    <t>Technical Description</t>
    <phoneticPr fontId="33" type="noConversion"/>
  </si>
  <si>
    <t>Invoice no.</t>
    <phoneticPr fontId="33" type="noConversion"/>
  </si>
  <si>
    <t>№</t>
  </si>
  <si>
    <t>Package No.</t>
    <phoneticPr fontId="33" type="noConversion"/>
  </si>
  <si>
    <t>Description of Goods</t>
    <phoneticPr fontId="33" type="noConversion"/>
  </si>
  <si>
    <t>Quantity</t>
    <phoneticPr fontId="33" type="noConversion"/>
  </si>
  <si>
    <t>Photo</t>
    <phoneticPr fontId="33" type="noConversion"/>
  </si>
  <si>
    <t>Technical specifications</t>
    <phoneticPr fontId="33" type="noConversion"/>
  </si>
  <si>
    <t>Nos</t>
    <phoneticPr fontId="33" type="noConversion"/>
  </si>
  <si>
    <t>Unit</t>
    <phoneticPr fontId="33" type="noConversion"/>
  </si>
  <si>
    <t>Before packing</t>
    <phoneticPr fontId="33" type="noConversion"/>
  </si>
  <si>
    <t>After packing</t>
    <phoneticPr fontId="33" type="noConversion"/>
  </si>
  <si>
    <t xml:space="preserve">INVOICE NO. : </t>
    <phoneticPr fontId="0" type="noConversion"/>
  </si>
  <si>
    <t xml:space="preserve">SHIPMENT NO. : </t>
    <phoneticPr fontId="33" type="noConversion"/>
  </si>
  <si>
    <t>TERM OF DELIVERY :</t>
    <phoneticPr fontId="33" type="noConversion"/>
  </si>
  <si>
    <t>TOTAL AMOUNT AT THIS SHIPMENT</t>
    <phoneticPr fontId="33" type="noConversion"/>
  </si>
  <si>
    <t xml:space="preserve">Doosan Enerbility Co., Ltd.
</t>
    <phoneticPr fontId="33" type="noConversion"/>
  </si>
  <si>
    <t xml:space="preserve">22 DoosanVolvo-ro, Seongsan-gu, Chang-won-si, 
Gyeongsangnam-do 51711, Republic of Korea </t>
    <phoneticPr fontId="33" type="noConversion"/>
  </si>
  <si>
    <t>DESCRIPTION OF GOODS</t>
    <phoneticPr fontId="33"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</si>
  <si>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</si>
  <si>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t xml:space="preserve">PL(2_2) Sheet </t>
    </r>
    <r>
      <rPr>
        <sz val="18"/>
        <rFont val="돋움"/>
        <family val="3"/>
        <charset val="129"/>
      </rPr>
      <t>내</t>
    </r>
    <r>
      <rPr>
        <sz val="18"/>
        <rFont val="Calibri"/>
        <family val="2"/>
      </rPr>
      <t xml:space="preserve"> PKG </t>
    </r>
    <r>
      <rPr>
        <sz val="18"/>
        <rFont val="돋움"/>
        <family val="3"/>
        <charset val="129"/>
      </rPr>
      <t>별</t>
    </r>
    <r>
      <rPr>
        <sz val="18"/>
        <rFont val="Calibri"/>
        <family val="2"/>
      </rPr>
      <t xml:space="preserve"> </t>
    </r>
    <r>
      <rPr>
        <sz val="18"/>
        <rFont val="돋움"/>
        <family val="3"/>
        <charset val="129"/>
      </rPr>
      <t>숫자</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</si>
  <si>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3" type="noConversion"/>
  </si>
  <si>
    <t>Address: O Mon Power Complex at Phuoc Thoi wards, Can Tho city</t>
  </si>
  <si>
    <t>VESSEL NAME :</t>
    <phoneticPr fontId="33" type="noConversion"/>
  </si>
  <si>
    <t>BILL OF LADING/ AIRWAY BILL NO. :</t>
    <phoneticPr fontId="33" type="noConversion"/>
  </si>
  <si>
    <t>B/L DATE :</t>
    <phoneticPr fontId="33" type="noConversion"/>
  </si>
  <si>
    <t>PAYMENT TERMS:</t>
    <phoneticPr fontId="33" type="noConversion"/>
  </si>
  <si>
    <r>
      <t xml:space="preserve">Cty Doosan Enerbility Co.,Ltd HQ-Nha thau TH CV thuoc Goi thau so OM4-EPC-HHO-06 cho NMND O Mon IV 
</t>
    </r>
    <r>
      <rPr>
        <sz val="10"/>
        <rFont val="Arial"/>
        <family val="2"/>
      </rPr>
      <t>Thoi Loi Area, Phuoc Thoi Ward, Can Tho City, Vietnam
T : (+84) 367 566 167 F : (+84 243) 624 8485</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</si>
  <si>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3" type="noConversion"/>
  </si>
  <si>
    <t>DETAILS ARE AS PER ATTACHED SHEET</t>
  </si>
  <si>
    <t xml:space="preserve">INVOICE NO. : </t>
  </si>
  <si>
    <t>NET WEIGHT
(KG)</t>
  </si>
  <si>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3" type="noConversion"/>
  </si>
  <si>
    <t>Cty Doosan Enerbility Co.,Ltd HQ-Nha thau TH CV thuoc Goi thau so OM4-EPC-HHO-06 cho NMND O Mon IV 
Thoi Loi Area, Phuoc Thoi Ward, Can Tho City, Vietnam
T : (+84) 367 566 167 F : (+84 243) 624 8485</t>
    <phoneticPr fontId="33"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</si>
  <si>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3" type="noConversion"/>
  </si>
  <si>
    <t>PLANT/ EQUIPMENT AND MATERIALS FOR O MON IV THERMAL POWER PLANT
(Contract No. OM4-PO-DE-001)</t>
    <phoneticPr fontId="33" type="noConversion"/>
  </si>
  <si>
    <t>PLANT/ EQUIPMENT AND MATERIALS FOR 
O MON IV THERMAL POWER PLANT
(Contract No. OM4-PO-DE-001)</t>
    <phoneticPr fontId="33" type="noConversion"/>
  </si>
  <si>
    <t>Ho Chi Minh City Port, Vietnam</t>
    <phoneticPr fontId="33" type="noConversion"/>
  </si>
  <si>
    <t>Address: O Mon Power Complex at Phuoc Thoi wards, O Mon district, Can Tho city</t>
  </si>
  <si>
    <t>PLANT/ EQUIPMENT AND MATERIALS FOR O MON IV THERMAL</t>
  </si>
  <si>
    <t>Jinho. Lee / Deputy Project Director</t>
  </si>
  <si>
    <t>Hazardous 
Material</t>
    <phoneticPr fontId="0" type="noConversion"/>
  </si>
  <si>
    <t>COG Marked (Y/N)</t>
    <phoneticPr fontId="33" type="noConversion"/>
  </si>
  <si>
    <t>Sling Point Marked (Y/N)</t>
    <phoneticPr fontId="33" type="noConversion"/>
  </si>
  <si>
    <t>Handle with care Marked
(Y/N)</t>
    <phoneticPr fontId="33" type="noConversion"/>
  </si>
  <si>
    <t>OM4-DE-IS-0004</t>
    <phoneticPr fontId="33" type="noConversion"/>
  </si>
  <si>
    <t>KOBE, JAPAN</t>
  </si>
  <si>
    <t>KOBE, JAPAN</t>
    <phoneticPr fontId="33" type="noConversion"/>
  </si>
  <si>
    <t>Ho Chi Minh City Port, Vietnam</t>
  </si>
  <si>
    <t>FOUNDATION BOLT M36X700</t>
  </si>
  <si>
    <t>FOUNDATION BOLT M68X4X2000</t>
  </si>
  <si>
    <t>EMBEDDED HARDWARE</t>
  </si>
  <si>
    <t>OM4-DE-IS-0004-001</t>
  </si>
  <si>
    <t>OM4-DE-IS-0004-002</t>
  </si>
  <si>
    <t>OM4-DE-IS-0004-003</t>
  </si>
  <si>
    <t>OM4-DE-IS-0004-004</t>
  </si>
  <si>
    <t>OM4-DE-IS-0004-005</t>
  </si>
  <si>
    <t>OM4-DE-IS-0004-006</t>
  </si>
  <si>
    <t>JAPAN</t>
    <phoneticPr fontId="33" type="noConversion"/>
  </si>
  <si>
    <t>CASE</t>
  </si>
  <si>
    <t>GTG</t>
    <phoneticPr fontId="0" type="noConversion"/>
  </si>
  <si>
    <t>OM4-DE-IS-0004-007</t>
  </si>
  <si>
    <t>OM4-DE-IS-0004-008</t>
  </si>
  <si>
    <t>OM4-DE-IS-0004-009</t>
  </si>
  <si>
    <t>OM4-DE-IS-0004-010</t>
  </si>
  <si>
    <t>OM4-DE-IS-0004-011</t>
  </si>
  <si>
    <t>OM4-DE-IS-0004-012</t>
  </si>
  <si>
    <t>OM4-DE-IS-0004-013</t>
  </si>
  <si>
    <t>OM4-DE-IS-0004-014</t>
  </si>
  <si>
    <t>OM4-DE-IS-0004-015</t>
  </si>
  <si>
    <t>OM4-DE-IS-0004-016</t>
  </si>
  <si>
    <t>OM4-DE-IS-0004-017</t>
  </si>
  <si>
    <t>OM4-DE-IS-0004-018</t>
  </si>
  <si>
    <t>OM4-DE-IS-0004-019</t>
  </si>
  <si>
    <t>OM4-DE-IS-0004-020</t>
  </si>
  <si>
    <t>OM4-DE-IS-0004-021</t>
  </si>
  <si>
    <t>OM4-DE-IS-0004-022</t>
  </si>
  <si>
    <t>OM4-DE-IS-0004-023</t>
  </si>
  <si>
    <t>OM4-DE-IS-0004-024</t>
  </si>
  <si>
    <t>OM4-DE-IS-0004-025</t>
  </si>
  <si>
    <t>OM4-DE-IS-0004-026</t>
  </si>
  <si>
    <t>OM4-DE-IS-0004-027</t>
  </si>
  <si>
    <t>OM4-DE-IS-0004-028</t>
  </si>
  <si>
    <t>OM4-DE-IS-0004-029</t>
  </si>
  <si>
    <t>OM4-DE-IS-0004-030</t>
  </si>
  <si>
    <t>OM4-DE-IS-0004-031</t>
  </si>
  <si>
    <t>OM4-DE-IS-0004-032</t>
  </si>
  <si>
    <t>OM4-DE-IS-0004-033</t>
  </si>
  <si>
    <t>OM4-DE-IS-0004-034</t>
  </si>
  <si>
    <t>MPW</t>
  </si>
  <si>
    <t>MPW</t>
    <phoneticPr fontId="33" type="noConversion"/>
  </si>
  <si>
    <t>T/T</t>
    <phoneticPr fontId="33" type="noConversion"/>
  </si>
  <si>
    <t>CASE</t>
    <phoneticPr fontId="33" type="noConversion"/>
  </si>
  <si>
    <t>EMBEDDED MATERIAL ASS'Y</t>
  </si>
  <si>
    <t>FOUNDATION BOLT ASS'Y:M36 X 760</t>
  </si>
  <si>
    <t>FOUNDATION BOLT M30X3X630</t>
  </si>
  <si>
    <t>SETS</t>
  </si>
  <si>
    <t>G4-90370(G1-X1743)-0 G2-71466-01</t>
  </si>
  <si>
    <t>G4-90370(G1-X1743)-0 G2-71466-02</t>
  </si>
  <si>
    <t>Sub-Total</t>
    <phoneticPr fontId="33" type="noConversion"/>
  </si>
  <si>
    <t>G4-90370(G1-X1739)-0 G2-71462-01</t>
  </si>
  <si>
    <t>G4-90370(G1-X1739)-0 G2-71462-02</t>
  </si>
  <si>
    <t>G4-90019(G1-X2982)-0 G1-X2983-03</t>
  </si>
  <si>
    <t>G4-90019(G1-X2982)-0 G1-X2983-04</t>
  </si>
  <si>
    <t>G4-90019(G1-X2490)-0 G1-X2217-03</t>
  </si>
  <si>
    <t>G4-90019(G1-X2490)-0 G1-X2217-05</t>
  </si>
  <si>
    <t>G4-90019(G1-X2490)-0 G1-X2217-07</t>
  </si>
  <si>
    <t>G4-90370(G1-X1744)-0 G2-71467-01</t>
  </si>
  <si>
    <t>G4-90019(G1-X2490)-0 G1-X2217-04</t>
  </si>
  <si>
    <t>G4-90019(G1-X2490)-0 G1-X2217-06</t>
  </si>
  <si>
    <t>G4-90019(G1-X2982)-0 G1-X2983-01</t>
  </si>
  <si>
    <t>G4-90019(G1-X2982)-0 G1-X2983-02</t>
  </si>
  <si>
    <t>G4-90370(G1-X1744)-0 G2-71467-02</t>
  </si>
  <si>
    <t>G4-90370(G1-X1740)-0 G2-71463-01</t>
  </si>
  <si>
    <t>G4-90370(G1-X1742)-0 G2-71465-01</t>
  </si>
  <si>
    <t>G4-90370(G1-X1742)-0 G2-71465-02</t>
  </si>
  <si>
    <t>G4-90370(G1-X1741)-0 G2-71464-01</t>
  </si>
  <si>
    <t>G4-90370(G1-X1741)-0 G2-71464-02</t>
  </si>
  <si>
    <t>G4-90019(G1-X2490)-0 G1-X2217-01</t>
  </si>
  <si>
    <t>G4-90019(G1-X2490)-0 G1-X2217-02</t>
  </si>
  <si>
    <t>SET</t>
  </si>
  <si>
    <t>G4-90019(G1-X2982)-0 G1-X2983-05</t>
  </si>
  <si>
    <t>G4-90019(G1-X2982)-0 G1-X2983-06</t>
  </si>
  <si>
    <t>G4-90019(G1-X2982)-0 G1-X2983-07</t>
  </si>
  <si>
    <t>G4-90019(G1-X2982)-0 G1-X2983-08</t>
  </si>
  <si>
    <t>G4-90019(G1-X2982)-0 G1-X2983-09</t>
  </si>
  <si>
    <t>G4-90019(G1-X2982)-1 G1-X2983-10</t>
  </si>
  <si>
    <t>G4-90019(G1-X3127)-0 G2-71943-01</t>
  </si>
  <si>
    <t>PCS</t>
  </si>
  <si>
    <t>G4-90019(G1-X2489)-0 G1-X2216-01</t>
  </si>
  <si>
    <t>G4-90019(G1-X2489)-0 G1-X2216-05</t>
  </si>
  <si>
    <t>G4-90019(G1-X2489)-0 G1-X2216-07</t>
  </si>
  <si>
    <t>G4-90019(G1-X2489)-0 G1-X2216-11</t>
  </si>
  <si>
    <t>G4-90019(G1-X2489)-1 G1-X2216-29</t>
  </si>
  <si>
    <t>G4-90019(G1-X2489)-1 G1-X2216-05</t>
  </si>
  <si>
    <t>G4-90019(G1-X2489)-1 G1-X2216-07</t>
  </si>
  <si>
    <t>G4-90019(G1-X2489)-1 G1-X2216-11</t>
  </si>
  <si>
    <t>G1-X1597-- G2-71978-01</t>
  </si>
  <si>
    <t>G1-X1597-- G2-71978-03</t>
  </si>
  <si>
    <t>G1-X1597-- G2-71978-04</t>
  </si>
  <si>
    <t>G1-X1597-- G2-71978-07</t>
  </si>
  <si>
    <t>HEX. NUT M36</t>
  </si>
  <si>
    <t>PLAIN WASHER 36</t>
  </si>
  <si>
    <t>CAP</t>
  </si>
  <si>
    <t>G4-90019(G1-X2489)-0 G1-X2216-02</t>
  </si>
  <si>
    <t>G4-90019(G1-X2489)-0 G1-X2216-06</t>
  </si>
  <si>
    <t>G4-90019(G1-X2489)-0 G1-X2216-08</t>
  </si>
  <si>
    <t>G4-90019(G1-X2489)-0 G1-X2216-12</t>
  </si>
  <si>
    <t>PLAIN WASHER 30</t>
  </si>
  <si>
    <t>G4-90019(G1-X1149)-0 G2-71457-01</t>
  </si>
  <si>
    <t>G4-90019(G1-X1149)-0 G2-71457-03</t>
  </si>
  <si>
    <t>G4-90019(G1-X1149)-0 G2-71457-04</t>
  </si>
  <si>
    <t>G4-90019(G1-X1149)-0 G2-71457-07</t>
  </si>
  <si>
    <t>G4-90019(G1-X1151)-0 G1-X1186-01</t>
  </si>
  <si>
    <t>G4-90019(G1-X1151)-0 G1-X1186-02</t>
  </si>
  <si>
    <t>B</t>
    <phoneticPr fontId="33" type="noConversion"/>
  </si>
  <si>
    <t>PS 1.1, Ⅰ, 1</t>
  </si>
  <si>
    <t>GTG</t>
  </si>
  <si>
    <t>HRSG</t>
  </si>
  <si>
    <t>HRSG</t>
    <phoneticPr fontId="0" type="noConversion"/>
  </si>
  <si>
    <t>STG</t>
  </si>
  <si>
    <t>STG</t>
    <phoneticPr fontId="0" type="noConversion"/>
  </si>
  <si>
    <t>N/A</t>
    <phoneticPr fontId="33" type="noConversion"/>
  </si>
  <si>
    <t>Gas Turbine set and its auxiliaries #1
- Embedded materials</t>
    <phoneticPr fontId="33" type="noConversion"/>
  </si>
  <si>
    <t>OM4-MPW-GT1-TGO-0001</t>
  </si>
  <si>
    <t>DWG No.</t>
    <phoneticPr fontId="33" type="noConversion"/>
  </si>
  <si>
    <t>OM4-MPW-GT1-TGO-0002</t>
  </si>
  <si>
    <t>OM4-MPW-GT1-TGO-0003</t>
  </si>
  <si>
    <t>OM4-MPW-GT1-TGO-0004</t>
  </si>
  <si>
    <t>OM4-MPW-GT1-TGO-0005</t>
  </si>
  <si>
    <t>OM4-MPW-GT1-TGO-0006</t>
  </si>
  <si>
    <t>OM4-MPW-GT1-TGO-0007</t>
  </si>
  <si>
    <t>OM4-MPW-GT1-TGO-0008</t>
  </si>
  <si>
    <t>OM4-MPW-GT1-TGO-0009</t>
  </si>
  <si>
    <t>OM4-MPW-GT1-TGO-0010</t>
  </si>
  <si>
    <t>OM4-MPW-GT1-TGO-0011</t>
  </si>
  <si>
    <t>OM4-MPW-GT1-TGO-0012</t>
  </si>
  <si>
    <t>OM4-MPW-GT1-TGO-0013</t>
  </si>
  <si>
    <t>OM4-MPW-GT1-TGO-0014</t>
  </si>
  <si>
    <t>OM4-MPW-GT1-TGO-0015</t>
  </si>
  <si>
    <t>OM4-MPW-GT1-TGO-0016</t>
  </si>
  <si>
    <t>OM4-MPW-GT1-TGO-0017</t>
  </si>
  <si>
    <t>OM4-MPW-GT1-TGO-0018</t>
  </si>
  <si>
    <t>OM4-MPW-GT1-TGO-0019</t>
  </si>
  <si>
    <t>OM4-MPW-GT1-TGO-0020</t>
  </si>
  <si>
    <t>OM4-MPW-GT1-TGO-0021</t>
  </si>
  <si>
    <t>OM4-MPW-GT1-TGO-0022</t>
  </si>
  <si>
    <t>OM4-MPW-GT1-TGO-0023</t>
  </si>
  <si>
    <t>OM4-MPW-GT1-TGO-0024</t>
  </si>
  <si>
    <t>OM4-MPW-GT1-TGO-0025</t>
  </si>
  <si>
    <t>OM4-MPW-GT1-TGO-0026</t>
  </si>
  <si>
    <t>OM4-MPW-GT1-TGO-0027</t>
  </si>
  <si>
    <t>OM4-MPW-GT1-TGO-0028</t>
  </si>
  <si>
    <t>OM4-MPW-GT1-TGO-0029</t>
  </si>
  <si>
    <t>OM4-MPW-GT1-TGO-0030</t>
  </si>
  <si>
    <t>OM4-MPW-GT1-TGO-0031</t>
  </si>
  <si>
    <t>OM4-MPW-GT1-TGO-0032</t>
  </si>
  <si>
    <t>OM4-MPW-GT1-TGO-0033</t>
  </si>
  <si>
    <t>N</t>
  </si>
  <si>
    <t>Y</t>
  </si>
  <si>
    <t>B</t>
  </si>
  <si>
    <t>Remark</t>
    <phoneticPr fontId="33" type="noConversion"/>
  </si>
  <si>
    <t>G1</t>
  </si>
  <si>
    <t>33</t>
    <phoneticPr fontId="33" type="noConversion"/>
  </si>
  <si>
    <t>*Remark</t>
  </si>
  <si>
    <t>- Sub-Vendor : MPW</t>
    <phoneticPr fontId="33" type="noConversion"/>
  </si>
  <si>
    <t>- OEM's Inv No. : OM4-T-001-JPN</t>
    <phoneticPr fontId="33" type="noConversion"/>
  </si>
  <si>
    <t>- PO No. : 2025012890</t>
    <phoneticPr fontId="33" type="noConversion"/>
  </si>
  <si>
    <t>EMBEDDED MATERIAL</t>
  </si>
  <si>
    <t>EMBEDDED MATERIAL</t>
    <phoneticPr fontId="33" type="noConversion"/>
  </si>
  <si>
    <t>FOUNDATION BOLT M68X2000</t>
  </si>
  <si>
    <t>FOUNDATION BOLT M68X2000</t>
    <phoneticPr fontId="33" type="noConversion"/>
  </si>
  <si>
    <t>HEX. NUT M68</t>
  </si>
  <si>
    <t>HEX. NUT M68</t>
    <phoneticPr fontId="33" type="noConversion"/>
  </si>
  <si>
    <t>PLAIN WASHER 68</t>
  </si>
  <si>
    <t>PLAIN WASHER 68</t>
    <phoneticPr fontId="33" type="noConversion"/>
  </si>
  <si>
    <t>CAP</t>
    <phoneticPr fontId="33" type="noConversion"/>
  </si>
  <si>
    <t>FOUNDATION BOLT M36 X 760</t>
  </si>
  <si>
    <t>FOUNDATION BOLT M36 X 760</t>
    <phoneticPr fontId="33" type="noConversion"/>
  </si>
  <si>
    <t>HEX.NUT M36</t>
  </si>
  <si>
    <t>HEX.NUT M36</t>
    <phoneticPr fontId="33" type="noConversion"/>
  </si>
  <si>
    <t>PLAIN WASHER 36</t>
    <phoneticPr fontId="33" type="noConversion"/>
  </si>
  <si>
    <t>BLIND PLATE T3.2 : OUTER DIA.95</t>
  </si>
  <si>
    <t>BLIND PLATE T3.2 : OUTER DIA.95</t>
    <phoneticPr fontId="33" type="noConversion"/>
  </si>
  <si>
    <t>FOUNDATION BOLT M30X630</t>
  </si>
  <si>
    <t>FOUNDATION BOLT M30X630</t>
    <phoneticPr fontId="33" type="noConversion"/>
  </si>
  <si>
    <t>HEX. NUT M30</t>
  </si>
  <si>
    <t>HEX. NUT M30</t>
    <phoneticPr fontId="33" type="noConversion"/>
  </si>
  <si>
    <t>Items Excluded from RCEP COO Application</t>
  </si>
  <si>
    <t>ASL TAIPEI / 2629S</t>
  </si>
  <si>
    <t>CIF Ho Chi Minh City Port, Vietnam</t>
    <phoneticPr fontId="33" type="noConversion"/>
  </si>
  <si>
    <t>SITKBSG2611906</t>
  </si>
  <si>
    <t>DWG No.</t>
  </si>
  <si>
    <t>Đai ốc bằng thép, loại có ren, dùng cho bu lông móng có đường kính ngoài của thân: 68mm (M68), hàng mới 100% - HEX. NUT M68</t>
  </si>
  <si>
    <t>Vòng đệm bằng thép, không ren, dùng cho bu lông móng, có đường kính: 68mm, hàng mới 100% - PLAIN WASHER 68</t>
  </si>
  <si>
    <t>Nắp chèn kín bằng thép, đã được gia công cơ khí qua nhiều công đoạn để tạo ra 1 sản phẩm hoàn chỉnh, kích thước: 155x74x3.2t mm, hàng mới 100% - CAP</t>
  </si>
  <si>
    <t>Đai ốc bằng thép, loại có ren, dùng cho bu lông móng có đường kính ngoài của thân: 36mm (M36), hàng mới 100% - HEX.NUT M36</t>
  </si>
  <si>
    <t>Vòng đệm bằng thép, không ren, dùng cho bu lông móng, có đường kính: 36mm, hàng mới 100% - PLAIN WASHER 36</t>
  </si>
  <si>
    <t>Đai ốc bằng thép, loại có ren, dùng cho bu lông móng có đường kính ngoài của thân: 36mm (M36), hàng mới 100% - HEX. NUT M36</t>
  </si>
  <si>
    <t>Nắp chèn kín bằng thép, đã được gia công cơ khí qua nhiều công đoạn để tạo ra 1 sản phẩm hoàn chỉnh, kích thước: 105x39x3.2t mm, hàng mới 100% - CAP</t>
  </si>
  <si>
    <t>Đai ốc bằng thép, loại có ren, dùng cho bu lông móng có đường kính ngoài của thân: 30mm (M30), hàng mới 100% - HEX. NUT M30</t>
  </si>
  <si>
    <t>Vòng đệm bằng thép, không ren, dùng cho bu lông móng, có đường kính: 30mm, hàng mới 100% - PLAIN WASHER 30</t>
  </si>
  <si>
    <t>Nắp chèn kín bằng thép, đã được gia công cơ khí qua nhiều công đoạn để tạo ra 1 sản phẩm hoàn chỉnh, kích thước: 90x33x3.2t mm, hàng mới 100% - CAP</t>
  </si>
  <si>
    <t>Tấm nền móng, bằng thép, đặt sẵn, đã được gia công để dùng làm kết cấu, dùng cho hệ thống tuabin khí số #1, (13SETS=163.14kg), số DWG No.: G4-90019(G1-X2490)-0 G1-X2217-03, mới 100%- EMBEDDED MATERIAL</t>
  </si>
  <si>
    <t>Tấm nền móng, bằng thép, đặt sẵn, đã được gia công để dùng làm kết cấu, dùng cho hệ thống tuabin khí số #1, (19SETS=238.43kg), số DWG No.: G4-90019(G1-X2490)-0 G1-X2217-05, mới 100%- EMBEDDED MATERIAL</t>
  </si>
  <si>
    <t>Tấm nền móng, bằng thép, đặt sẵn, đã được gia công để dùng làm kết cấu, dùng cho hệ thống tuabin khí số #1, (10SETS=125.49kg), số DWG No.: G4-90019(G1-X2490)-0 G1-X2217-07, mới 100%- EMBEDDED MATERIAL</t>
  </si>
  <si>
    <t>Tấm nền móng, bằng thép, đặt sẵn, đã được gia công để dùng làm kết cấu, dùng cho hệ thống tuabin khí số #1, (4SETS=50.2kg), số DWG No.: G4-90019(G1-X2982)-0 G1-X2983-03, mới 100%- EMBEDDED HARDWARE</t>
  </si>
  <si>
    <t>Tấm nền móng, bằng thép, đặt sẵn, đã được gia công để dùng làm kết cấu, dùng cho hệ thống tuabin khí số #1, (5SETS=62.75kg), số DWG No.: G4-90019(G1-X2982)-0 G1-X2983-04, mới 100%- EMBEDDED HARDWARE</t>
  </si>
  <si>
    <t>Tấm nền móng, bằng thép, đặt sẵn, đã được gia công để dùng làm kết cấu, dùng cho hệ thống tuabin khí số #1, (29SETS=470kg), số DWG No.: G4-90370(G1-X1744)-0 G2-71467-01, mới 100%- EMBEDDED HARDWARE</t>
  </si>
  <si>
    <t>Tấm nền móng, bằng thép, đặt sẵn, đã được gia công để dùng làm kết cấu, dùng cho hệ thống tuabin khí số #1, (38SETS=639.51kg), số DWG No.: G4-90019(G1-X2490)-0 G1-X2217-04, mới 100%- EMBEDDED MATERIAL</t>
  </si>
  <si>
    <t>Tấm nền móng, bằng thép, đặt sẵn, đã được gia công để dùng làm kết cấu, dùng cho hệ thống tuabin khí số #1, (3SETS=50.49kg), số DWG No.: G4-90019(G1-X2490)-0 G1-X2217-06, mới 100%- EMBEDDED MATERIAL</t>
  </si>
  <si>
    <t>Tấm nền móng, bằng thép, đặt sẵn, đã được gia công để dùng làm kết cấu, dùng cho hệ thống tuabin khí số #1, (17SETS=672.92kg), số DWG No.: G4-90370(G1-X1739)-0 G2-71462-01, mới 100%- EMBEDDED HARDWARE</t>
  </si>
  <si>
    <t>Tấm nền móng, bằng thép, đặt sẵn, đã được gia công để dùng làm kết cấu, dùng cho hệ thống tuabin khí số #1, (7SETS=277.08kg), số DWG No.: G4-90370(G1-X1739)-0 G2-71462-02, mới 100%- EMBEDDED HARDWARE</t>
  </si>
  <si>
    <t>Tấm nền móng, bằng thép, đặt sẵn, đã được gia công để dùng làm kết cấu, dùng cho hệ thống tuabin khí số #1, (46SETS=606.03kg), số DWG No.: G4-90370(G1-X1743)-0 G2-71466-01, mới 100%- EMBEDDED HARDWARE</t>
  </si>
  <si>
    <t>Tấm nền móng, bằng thép, đặt sẵn, đã được gia công để dùng làm kết cấu, dùng cho hệ thống tuabin khí số #1, (17SETS=223.97kg), số DWG No.: G4-90370(G1-X1743)-0 G2-71466-02, mới 100%- EMBEDDED HARDWARE</t>
  </si>
  <si>
    <t>Tấm nền móng, bằng thép, đặt sẵn, đã được gia công để dùng làm kết cấu, dùng cho hệ thống tuabin khí số #1, (6SETS=37.89kg), số DWG No.: G4-90019(G1-X2982)-0 G1-X2983-01, mới 100%- EMBEDDED HARDWARE</t>
  </si>
  <si>
    <t>Tấm nền móng, bằng thép, đặt sẵn, đã được gia công để dùng làm kết cấu, dùng cho hệ thống tuabin khí số #1, (10SETS=63.16kg), số DWG No.: G4-90019(G1-X2982)-0 G1-X2983-02, mới 100%- EMBEDDED HARDWARE</t>
  </si>
  <si>
    <t>Tấm nền móng, bằng thép, đặt sẵn, đã được gia công để dùng làm kết cấu, dùng cho hệ thống tuabin khí số #1, (22SETS=138.95kg), số DWG No.: G4-90370(G1-X1744)-0 G2-71467-02, mới 100%- EMBEDDED HARDWARE</t>
  </si>
  <si>
    <t>Tấm nền móng, bằng thép, đặt sẵn, đã được gia công để dùng làm kết cấu, dùng cho hệ thống tuabin khí số #1, (32SETS=1580kg), số DWG No.: G4-90370(G1-X1740)-0 G2-71463-01, mới 100%- EMBEDDED HARDWARE</t>
  </si>
  <si>
    <t>Tấm nền móng, bằng thép, đặt sẵn, đã được gia công để dùng làm kết cấu, dùng cho hệ thống tuabin khí số #1, (32SETS=1580kg), số DWG No.: G4-90370(G1-X1739)-0 G2-71462-01, mới 100%- EMBEDDED HARDWARE</t>
  </si>
  <si>
    <t>Tấm nền móng, bằng thép, đặt sẵn, đã được gia công để dùng làm kết cấu, dùng cho hệ thống tuabin khí số #1, (4SETS=179.31kg), số DWG No.: G4-90370(G1-X1742)-0 G2-71465-02, mới 100%- EMBEDDED HARDWARE</t>
  </si>
  <si>
    <t>Tấm nền móng, bằng thép, đặt sẵn, đã được gia công để dùng làm kết cấu, dùng cho hệ thống tuabin khí số #1, (17SETS=595kg), số DWG No.: G4-90370(G1-X1741)-0 G2-71464-01, mới 100%- EMBEDDED HARDWARE</t>
  </si>
  <si>
    <t>Tấm nền móng, bằng thép, đặt sẵn, đã được gia công để dùng làm kết cấu, dùng cho hệ thống tuabin khí số #1, (13SETS=455kg), số DWG No.: G4-90370(G1-X1741)-0 G2-71464-02, mới 100%- EMBEDDED HARDWARE</t>
  </si>
  <si>
    <t>Tấm nền móng, bằng thép, đặt sẵn, đã được gia công để dùng làm kết cấu, dùng cho hệ thống tuabin khí số #1, (35SETS=1730kg), số DWG No.: G4-90019(G1-X2490)-0 G1-X2217-01, mới 100%- EMBEDDED MATERIAL</t>
  </si>
  <si>
    <t>Tấm nền móng, bằng thép, đặt sẵn, đã được gia công để dùng làm kết cấu, dùng cho hệ thống tuabin khí số #1, (36SETS=1780kg), số DWG No.: G4-90019(G1-X2490)-0 G1-X2217-01, mới 100%- EMBEDDED MATERIAL</t>
  </si>
  <si>
    <t>Tấm nền móng, bằng thép, đặt sẵn, đã được gia công để dùng làm kết cấu, dùng cho hệ thống tuabin khí số #1, (32SETS=1080kg), số DWG No.: G4-90019(G1-X2490)-0 G1-X2217-02, mới 100%- EMBEDDED MATERIAL</t>
  </si>
  <si>
    <t>Tấm nền móng, bằng thép, đặt sẵn, đã được gia công để dùng làm kết cấu, dùng cho hệ thống tuabin khí số #1, (34SETS=1150kg), số DWG No.: G4-90019(G1-X2490)-0 G1-X2217-02, mới 100%- EMBEDDED MATERIAL</t>
  </si>
  <si>
    <t>Tấm nền móng, bằng thép, đặt sẵn, đã được gia công để dùng làm kết cấu, dùng cho hệ thống tuabin khí số #1, (1SET=32.22kg), số DWG No.: G4-90019(G1-X2982)-0 G1-X2983-05, mới 100%- EMBEDDED HARDWARE</t>
  </si>
  <si>
    <t>Tấm nền móng, bằng thép, đặt sẵn, đã được gia công để dùng làm kết cấu, dùng cho hệ thống tuabin khí số #1, (1SET=32.22kg), số DWG No.: G4-90019(G1-X2982)-0 G1-X2983-06, mới 100%- EMBEDDED HARDWARE</t>
  </si>
  <si>
    <t>Tấm nền móng, bằng thép, đặt sẵn, đã được gia công để dùng làm kết cấu, dùng cho hệ thống tuabin khí số #1, (1SET=32.22kg), số DWG No.: G4-90019(G1-X2982)-0 G1-X2983-07, mới 100%- EMBEDDED HARDWARE</t>
  </si>
  <si>
    <t>Tấm nền móng, bằng thép, đặt sẵn, đã được gia công để dùng làm kết cấu, dùng cho hệ thống tuabin khí số #1, (2SETS=64.44kg), số DWG No.: G4-90019(G1-X2982)-0 G1-X2983-08, mới 100%- EMBEDDED HARDWARE</t>
  </si>
  <si>
    <t>Tấm nền móng, bằng thép, đặt sẵn, đã được gia công để dùng làm kết cấu, dùng cho hệ thống tuabin khí số #1, (1SET=32.22kg), số DWG No.: G4-90019(G1-X2982)-0 G1-X2983-09, mới 100%- EMBEDDED HARDWARE</t>
  </si>
  <si>
    <t>Tấm nền móng, bằng thép, đặt sẵn, đã được gia công để dùng làm kết cấu, dùng cho hệ thống tuabin khí số #1, (1SET=32.22kg), số DWG No.: G4-90019(G1-X2982)-1 G1-X2983-10, mới 100%- EMBEDDED HARDWARE</t>
  </si>
  <si>
    <t>Tấm nền móng, bằng thép, đặt sẵn, đã được gia công để dùng làm kết cấu, dùng cho hệ thống tuabin khí số #1, (2SETS=64.44kg), số DWG No.: G4-90019(G1-X3127)-0 G2-71943-01, mới 100%- EMBEDDED HARDWARE</t>
  </si>
  <si>
    <t>HO CHI MINH, VIET NAM</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</si>
  <si>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</si>
  <si>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</si>
  <si>
    <t>1</t>
  </si>
  <si>
    <t>LOT</t>
  </si>
  <si>
    <t>73089099</t>
  </si>
  <si>
    <t>Tấm nền móng, bằng thép, đặt sẵn, đã được gia công để dùng làm kết cấu, dùng cho hệ thống tuabin khí số #1, (25SETS=1120.69kg), số DWG No.: G4-90370(G1-X1742)-0 G2-71465-01, mới 100%-EMBEDDED HARDWARE</t>
  </si>
  <si>
    <t>Bộ bu lông móng bằng thép (bộ gồm: 1 bu lông, 2 đai ốc, 2 vòng đệm), loại có ren, có đường kính ngoài của thân: 68mm (M68X2000), hàng mới 100% - FOUNDATION BOLT M68X2000</t>
  </si>
  <si>
    <t>73181590</t>
  </si>
  <si>
    <t>73181690</t>
  </si>
  <si>
    <t>73182200</t>
  </si>
  <si>
    <t>73269099</t>
  </si>
  <si>
    <t>Bộ bu lông móng bằng thép (bộ gồm: 1 bu lông, 2 đai ốc), loại có ren, có đường kính ngoài của thân: 68mm (M68X2000), hàng mới 100% - FOUNDATION BOLT M68X2000</t>
  </si>
  <si>
    <t>Miếng chèn kín bằng thép, đã được gia công cơ khí qua nhiều công đoạn để tạo ra 1 sản phẩm hoàn chỉnh, kích thước: 95x3.2t mm, hàng mới 100% - BLIND PLATE T3.2 : OUTER DIA.95</t>
  </si>
  <si>
    <t>Tấm nền móng, bằng thép, đặt sẵn, đã được gia công để dùng làm kết cấu, dùng cho hệ thống tuabin khí số #2, (2SETS=23kg), số DWG No.: G4-90019(G1-X1151)-0 G1-X1186-02, mới 100%- EMBEDDED HARDWARE</t>
  </si>
  <si>
    <t>Tên hàng tiếng việt</t>
  </si>
  <si>
    <t>Hs code</t>
  </si>
  <si>
    <t>Bộ bu lông móng bằng thép (bộ gồm: 1 bu lông, 2 đai ốc), loại có ren, có đường kính ngoài của thân: 36mm (M36X760), hàng mới 100% - FOUNDATION BOLT M36 X 760</t>
  </si>
  <si>
    <t>Bộ bu lông móng bằng thép (bộ gồm: 1 bu lông, 2 đai ốc), loại có ren, có đường kính ngoài của thân: 36mm (M36X700), hàng mới 100% - FOUNDATION BOLT M36X700</t>
  </si>
  <si>
    <t>Bộ bu lông móng bằng thép (bộ gồm: 1 bu lông, 2 đai ốc), loại có ren, có đường kính ngoài của thân: 30mm (M30X630), hàng mới 100% - FOUNDATION BOLT M30X630</t>
  </si>
  <si>
    <t>Tấm nền móng, bằng thép, đặt sẵn, đã được gia công để dùng làm kết cấu, dùng cho hệ thống tuabin khí số #1, (4SETS=69.82kg), số DWG No.: G4-90019(G1-X1151)-0 G1-X1186-01, mới 100%- EMBEDDED HARDWARE</t>
  </si>
  <si>
    <t>Vị Trí</t>
  </si>
  <si>
    <t>S1</t>
  </si>
  <si>
    <t>S2</t>
  </si>
  <si>
    <t>Vị trí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</si>
</sst>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00_-;\-* #,##0.00_-;_-* &quot;-&quot;_-;_-@_-"/>
    <numFmt numFmtId="165" formatCode="#,##0_ ;[Red]\-#,##0\ "/>
    <numFmt numFmtId="166" formatCode="_-* #,##0.000_-;\-* #,##0.000_-;_-* &quot;-&quot;???_-;_-@_-"/>
    <numFmt numFmtId="167" formatCode="#,##0.000_);[Red]\(#,##0.000\)"/>
    <numFmt numFmtId="168" formatCode="_-* #,##0.0_-;\-* #,##0.0_-;_-* &quot;-&quot;_-;_-@_-"/>
    <numFmt numFmtId="169" formatCode="0.00_);[Red]\(0.00\)"/>
    <numFmt numFmtId="170" formatCode="&quot;#&quot;\ 00"/>
    <numFmt numFmtId="171" formatCode="&quot;#&quot;00"/>
    <numFmt numFmtId="172" formatCode="0_);[Red]\(0\)"/>
    <numFmt numFmtId="173" formatCode="0.000_);[Red]\(0.000\)"/>
    <numFmt numFmtId="174" formatCode="#,##0_ "/>
    <numFmt numFmtId="175" formatCode="_-* #,##0.000_-;\-* #,##0.000_-;_-* &quot;-&quot;_-;_-@_-"/>
  </numFmts>
  <fonts count="60">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9"/>
      <name val="Calibri"/>
      <family val="2"/>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8"/>
      <name val="Arial"/>
      <family val="2"/>
    </font>
    <font>
      <sz val="9"/>
      <name val="돋움"/>
      <family val="3"/>
      <charset val="129"/>
    </font>
    <font>
      <sz val="10"/>
      <color rgb="FF0000FF"/>
      <name val="Calibri"/>
      <family val="2"/>
    </font>
    <font>
      <u/>
      <sz val="11"/>
      <color theme="10"/>
      <name val="돋움"/>
      <family val="3"/>
      <charset val="129"/>
    </font>
    <font>
      <b/>
      <sz val="14"/>
      <name val="Calibri"/>
      <family val="2"/>
    </font>
    <font>
      <sz val="13"/>
      <name val="Calibri"/>
      <family val="2"/>
    </font>
    <font>
      <i/>
      <sz val="13"/>
      <color rgb="FF0000CC"/>
      <name val="Calibri"/>
      <family val="2"/>
    </font>
    <font>
      <sz val="11"/>
      <name val="굴림체"/>
      <family val="3"/>
      <charset val="129"/>
    </font>
    <font>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name val="돋움"/>
      <family val="3"/>
      <charset val="129"/>
    </font>
    <font>
      <b/>
      <sz val="14"/>
      <name val="Arial"/>
      <family val="2"/>
    </font>
    <font>
      <sz val="10"/>
      <name val="돋움"/>
      <family val="3"/>
      <charset val="129"/>
    </font>
    <font>
      <strike/>
      <sz val="10"/>
      <name val="Arial"/>
      <family val="2"/>
    </font>
    <font>
      <u/>
      <sz val="10"/>
      <name val="Calibri"/>
      <family val="2"/>
    </font>
    <font>
      <b/>
      <i/>
      <sz val="14"/>
      <name val="Calibri"/>
      <family val="2"/>
    </font>
    <font>
      <i/>
      <sz val="13"/>
      <name val="Calibri"/>
      <family val="2"/>
    </font>
    <font>
      <sz val="10"/>
      <color rgb="FFFF0000"/>
      <name val="Arial"/>
      <family val="2"/>
    </font>
    <font>
      <b/>
      <sz val="11"/>
      <color rgb="FF0000FF"/>
      <name val="Arial"/>
      <family val="2"/>
    </font>
    <font>
      <sz val="16"/>
      <name val="Calibri"/>
      <family val="2"/>
    </font>
    <font>
      <sz val="10"/>
      <color indexed="8"/>
      <name val="Calibri"/>
      <family val="2"/>
    </font>
    <font>
      <b/>
      <sz val="12.1"/>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8"/>
      </left>
      <right/>
      <top style="thin">
        <color indexed="8"/>
      </top>
      <bottom style="thin">
        <color indexed="8"/>
      </bottom>
      <diagonal/>
    </border>
  </borders>
  <cellStyleXfs count="14">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4" fillId="0" borderId="0">
      <alignment vertical="center"/>
    </xf>
    <xf numFmtId="41" fontId="1" fillId="0" borderId="0" applyFont="0" applyFill="0" applyBorder="0" applyAlignment="0" applyProtection="0"/>
    <xf numFmtId="0" fontId="1" fillId="0" borderId="0">
      <alignment vertical="center"/>
    </xf>
    <xf numFmtId="0" fontId="30" fillId="0" borderId="0">
      <alignment vertical="center"/>
    </xf>
    <xf numFmtId="0" fontId="1" fillId="0" borderId="0">
      <alignment vertical="center"/>
    </xf>
    <xf numFmtId="0" fontId="37" fillId="0" borderId="0" applyNumberFormat="0" applyFill="0" applyBorder="0" applyAlignment="0" applyProtection="0">
      <alignment vertical="center"/>
    </xf>
    <xf numFmtId="0" fontId="41" fillId="0" borderId="0"/>
    <xf numFmtId="4" fontId="44"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cellStyleXfs>
  <cellXfs count="541">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0" fontId="2" fillId="0" borderId="15" xfId="0" applyFont="1" applyBorder="1">
      <alignmen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0" fontId="12" fillId="0" borderId="0" xfId="0" applyFont="1" applyAlignment="1">
      <alignment vertical="center" wrapText="1"/>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41" fontId="2" fillId="0" borderId="0" xfId="3" applyNumberFormat="1" applyFont="1" applyAlignment="1">
      <alignment vertical="center"/>
    </xf>
    <xf numFmtId="166" fontId="2" fillId="0" borderId="0" xfId="3" applyNumberFormat="1" applyFont="1" applyAlignment="1">
      <alignment vertical="center"/>
    </xf>
    <xf numFmtId="37" fontId="3" fillId="0" borderId="4" xfId="3" applyFont="1" applyBorder="1" applyAlignment="1">
      <alignment vertical="center"/>
    </xf>
    <xf numFmtId="41"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6"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8" fillId="0" borderId="0" xfId="0" applyFont="1" applyAlignment="1">
      <alignment horizontal="center" vertical="center"/>
    </xf>
    <xf numFmtId="0" fontId="19" fillId="0" borderId="0" xfId="0" applyFont="1">
      <alignment vertical="center"/>
    </xf>
    <xf numFmtId="0" fontId="20" fillId="0" borderId="0" xfId="0" applyFont="1" applyAlignment="1">
      <alignment horizontal="center" vertical="center"/>
    </xf>
    <xf numFmtId="0" fontId="20" fillId="0" borderId="0" xfId="0" applyFont="1">
      <alignment vertical="center"/>
    </xf>
    <xf numFmtId="41" fontId="12" fillId="0" borderId="0" xfId="0" applyNumberFormat="1" applyFont="1" applyAlignment="1">
      <alignment horizontal="center" vertical="center"/>
    </xf>
    <xf numFmtId="41" fontId="21" fillId="0" borderId="0" xfId="0" applyNumberFormat="1" applyFont="1" applyAlignment="1">
      <alignment horizontal="left" vertical="center"/>
    </xf>
    <xf numFmtId="41" fontId="12" fillId="0" borderId="0" xfId="1" applyFont="1" applyFill="1" applyBorder="1" applyAlignment="1">
      <alignment horizontal="center" vertical="center"/>
    </xf>
    <xf numFmtId="0" fontId="18"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9" fontId="12" fillId="0" borderId="0" xfId="0" applyNumberFormat="1" applyFont="1" applyAlignment="1">
      <alignment horizontal="center" vertical="center"/>
    </xf>
    <xf numFmtId="0" fontId="12" fillId="0" borderId="0" xfId="0" applyFont="1" applyAlignment="1">
      <alignment horizontal="right" vertical="center"/>
    </xf>
    <xf numFmtId="0" fontId="22" fillId="0" borderId="0" xfId="0" applyFont="1">
      <alignment vertical="center"/>
    </xf>
    <xf numFmtId="0" fontId="12" fillId="0" borderId="0" xfId="0" applyFont="1" applyAlignment="1">
      <alignment horizontal="left" vertical="center"/>
    </xf>
    <xf numFmtId="169" fontId="12" fillId="0" borderId="0" xfId="0" applyNumberFormat="1" applyFont="1" applyAlignment="1">
      <alignment horizontal="left" vertical="center"/>
    </xf>
    <xf numFmtId="169" fontId="12" fillId="0" borderId="26" xfId="0" applyNumberFormat="1" applyFont="1" applyBorder="1" applyAlignment="1">
      <alignment horizontal="left" vertical="center"/>
    </xf>
    <xf numFmtId="169" fontId="12" fillId="0" borderId="26" xfId="0" applyNumberFormat="1" applyFont="1" applyBorder="1" applyAlignment="1">
      <alignment horizontal="center" vertical="center"/>
    </xf>
    <xf numFmtId="0" fontId="23"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9" fontId="14" fillId="0" borderId="26" xfId="0" applyNumberFormat="1" applyFont="1" applyBorder="1" applyAlignment="1">
      <alignment horizontal="center" vertical="center" wrapText="1"/>
    </xf>
    <xf numFmtId="41" fontId="12" fillId="0" borderId="0" xfId="1" applyFont="1" applyAlignment="1">
      <alignment vertical="center"/>
    </xf>
    <xf numFmtId="169" fontId="12" fillId="0" borderId="0" xfId="0" applyNumberFormat="1" applyFont="1">
      <alignment vertical="center"/>
    </xf>
    <xf numFmtId="0" fontId="12" fillId="0" borderId="0" xfId="1" applyNumberFormat="1" applyFont="1" applyFill="1" applyAlignment="1">
      <alignment vertical="center"/>
    </xf>
    <xf numFmtId="0" fontId="27" fillId="0" borderId="0" xfId="6" applyFont="1">
      <alignment vertical="center"/>
    </xf>
    <xf numFmtId="0" fontId="27" fillId="0" borderId="0" xfId="6" applyFont="1" applyAlignment="1">
      <alignment horizontal="center" vertical="center"/>
    </xf>
    <xf numFmtId="0" fontId="27" fillId="0" borderId="0" xfId="6" applyFont="1" applyAlignment="1">
      <alignment horizontal="left" vertical="center" indent="2"/>
    </xf>
    <xf numFmtId="0" fontId="29" fillId="0" borderId="0" xfId="6" applyFont="1" applyAlignment="1">
      <alignment horizontal="center" vertical="top"/>
    </xf>
    <xf numFmtId="171" fontId="27" fillId="0" borderId="0" xfId="6" applyNumberFormat="1" applyFont="1" applyAlignment="1">
      <alignment horizontal="left" vertical="center" indent="2"/>
    </xf>
    <xf numFmtId="0" fontId="29" fillId="0" borderId="7" xfId="6" applyFont="1" applyBorder="1" applyAlignment="1">
      <alignment horizontal="center" vertical="top" wrapText="1"/>
    </xf>
    <xf numFmtId="0" fontId="31" fillId="0" borderId="0" xfId="0" quotePrefix="1" applyFont="1" applyAlignment="1">
      <alignment vertical="center" wrapText="1"/>
    </xf>
    <xf numFmtId="0" fontId="27" fillId="0" borderId="23" xfId="6" applyFont="1" applyBorder="1" applyAlignment="1">
      <alignment horizontal="right" vertical="top" wrapText="1" indent="1"/>
    </xf>
    <xf numFmtId="0" fontId="27" fillId="0" borderId="23" xfId="6" applyFont="1" applyBorder="1" applyAlignment="1">
      <alignment horizontal="right" vertical="top" indent="1"/>
    </xf>
    <xf numFmtId="0" fontId="27" fillId="0" borderId="21" xfId="6" applyFont="1" applyBorder="1" applyAlignment="1">
      <alignment horizontal="right" vertical="top" wrapText="1" indent="1"/>
    </xf>
    <xf numFmtId="41" fontId="2" fillId="0" borderId="0" xfId="0" applyNumberFormat="1" applyFont="1" applyAlignment="1">
      <alignment horizontal="left" vertical="center"/>
    </xf>
    <xf numFmtId="0" fontId="0" fillId="0" borderId="0" xfId="0" applyAlignment="1">
      <alignment horizontal="left" vertical="center" wrapText="1"/>
    </xf>
    <xf numFmtId="0" fontId="34" fillId="0" borderId="0" xfId="0" applyFont="1" applyAlignment="1">
      <alignment horizontal="left" vertical="top" wrapText="1"/>
    </xf>
    <xf numFmtId="41" fontId="2" fillId="0" borderId="18" xfId="0" applyNumberFormat="1" applyFont="1" applyBorder="1" applyAlignment="1">
      <alignment horizontal="left" vertical="center"/>
    </xf>
    <xf numFmtId="14" fontId="36" fillId="0" borderId="0" xfId="0" applyNumberFormat="1" applyFont="1">
      <alignment vertical="center"/>
    </xf>
    <xf numFmtId="14" fontId="2" fillId="0" borderId="0" xfId="0" quotePrefix="1" applyNumberFormat="1" applyFont="1" applyAlignment="1">
      <alignment horizontal="left" vertical="center"/>
    </xf>
    <xf numFmtId="0" fontId="2" fillId="0" borderId="0" xfId="0" applyFont="1" applyAlignment="1">
      <alignment horizontal="left" vertical="center" wrapText="1"/>
    </xf>
    <xf numFmtId="0" fontId="2" fillId="0" borderId="0" xfId="0" quotePrefix="1" applyFont="1">
      <alignment vertical="center"/>
    </xf>
    <xf numFmtId="0" fontId="2" fillId="0" borderId="17" xfId="0" quotePrefix="1" applyFont="1" applyBorder="1">
      <alignment vertical="center"/>
    </xf>
    <xf numFmtId="0" fontId="4" fillId="0" borderId="0" xfId="0" applyFont="1">
      <alignment vertical="center"/>
    </xf>
    <xf numFmtId="0" fontId="4" fillId="0" borderId="0" xfId="0" applyFont="1" applyAlignment="1">
      <alignment horizontal="center" vertical="center"/>
    </xf>
    <xf numFmtId="0" fontId="25" fillId="0" borderId="0" xfId="0" applyFont="1">
      <alignment vertical="center"/>
    </xf>
    <xf numFmtId="0" fontId="25" fillId="0" borderId="0" xfId="0" applyFont="1" applyAlignment="1">
      <alignment vertical="center" wrapText="1"/>
    </xf>
    <xf numFmtId="172" fontId="25" fillId="0" borderId="0" xfId="1" applyNumberFormat="1" applyFont="1">
      <alignment vertical="center"/>
    </xf>
    <xf numFmtId="0" fontId="25" fillId="0" borderId="0" xfId="0" applyFont="1" applyAlignment="1">
      <alignment horizontal="center" vertical="center"/>
    </xf>
    <xf numFmtId="0" fontId="38" fillId="0" borderId="0" xfId="0" applyFont="1">
      <alignment vertical="center"/>
    </xf>
    <xf numFmtId="0" fontId="20" fillId="0" borderId="0" xfId="0" applyFont="1" applyAlignment="1">
      <alignment vertical="center" wrapText="1"/>
    </xf>
    <xf numFmtId="172" fontId="20" fillId="0" borderId="0" xfId="1" applyNumberFormat="1" applyFont="1">
      <alignment vertical="center"/>
    </xf>
    <xf numFmtId="173" fontId="25" fillId="0" borderId="0" xfId="0" applyNumberFormat="1" applyFont="1" applyAlignment="1">
      <alignment horizontal="left" vertical="center"/>
    </xf>
    <xf numFmtId="0" fontId="39" fillId="0" borderId="0" xfId="0" applyFont="1" applyAlignment="1">
      <alignment vertical="center" wrapText="1"/>
    </xf>
    <xf numFmtId="0" fontId="39" fillId="0" borderId="0" xfId="0" applyFont="1">
      <alignment vertical="center"/>
    </xf>
    <xf numFmtId="172" fontId="39" fillId="0" borderId="21" xfId="1" applyNumberFormat="1" applyFont="1" applyFill="1" applyBorder="1" applyAlignment="1">
      <alignment horizontal="center" vertical="center" wrapText="1"/>
    </xf>
    <xf numFmtId="173" fontId="39" fillId="0" borderId="21" xfId="0" applyNumberFormat="1" applyFont="1" applyBorder="1" applyAlignment="1">
      <alignment horizontal="center" vertical="center" wrapText="1"/>
    </xf>
    <xf numFmtId="0" fontId="42" fillId="0" borderId="0" xfId="0" applyFont="1" applyAlignment="1">
      <alignment vertical="center" wrapText="1"/>
    </xf>
    <xf numFmtId="0" fontId="40" fillId="0" borderId="0" xfId="0" applyFont="1" applyAlignment="1">
      <alignment vertical="center" wrapText="1"/>
    </xf>
    <xf numFmtId="0" fontId="40" fillId="0" borderId="0" xfId="0" applyFont="1">
      <alignment vertical="center"/>
    </xf>
    <xf numFmtId="0" fontId="25" fillId="0" borderId="0" xfId="0" applyFont="1" applyAlignment="1">
      <alignment horizontal="left" vertical="center"/>
    </xf>
    <xf numFmtId="174" fontId="25" fillId="0" borderId="0" xfId="0" applyNumberFormat="1" applyFont="1" applyAlignment="1">
      <alignment horizontal="left" vertical="center"/>
    </xf>
    <xf numFmtId="0" fontId="25" fillId="0" borderId="0" xfId="0" applyFont="1" applyAlignment="1">
      <alignment horizontal="left" vertical="center" wrapText="1"/>
    </xf>
    <xf numFmtId="172" fontId="25" fillId="0" borderId="0" xfId="1" applyNumberFormat="1" applyFont="1" applyFill="1" applyBorder="1" applyAlignment="1">
      <alignment horizontal="center" vertical="center"/>
    </xf>
    <xf numFmtId="173" fontId="25" fillId="0" borderId="0" xfId="0" applyNumberFormat="1" applyFont="1" applyAlignment="1">
      <alignment horizontal="center" vertical="center"/>
    </xf>
    <xf numFmtId="174" fontId="25" fillId="0" borderId="0" xfId="0" applyNumberFormat="1" applyFont="1" applyAlignment="1">
      <alignment horizontal="center" vertical="center"/>
    </xf>
    <xf numFmtId="172" fontId="25" fillId="0" borderId="0" xfId="1" applyNumberFormat="1" applyFont="1" applyBorder="1" applyAlignment="1">
      <alignment horizontal="center" vertical="center"/>
    </xf>
    <xf numFmtId="173" fontId="46" fillId="0" borderId="0" xfId="0" applyNumberFormat="1" applyFont="1" applyAlignment="1">
      <alignment horizontal="center" vertical="center"/>
    </xf>
    <xf numFmtId="172" fontId="12" fillId="0" borderId="0" xfId="1" applyNumberFormat="1" applyFont="1" applyBorder="1">
      <alignment vertical="center"/>
    </xf>
    <xf numFmtId="173" fontId="12" fillId="0" borderId="0" xfId="0" applyNumberFormat="1" applyFont="1">
      <alignment vertical="center"/>
    </xf>
    <xf numFmtId="172" fontId="12" fillId="0" borderId="0" xfId="1" applyNumberFormat="1" applyFont="1">
      <alignment vertical="center"/>
    </xf>
    <xf numFmtId="37" fontId="2" fillId="2" borderId="0" xfId="0" applyNumberFormat="1" applyFont="1" applyFill="1" applyAlignment="1">
      <alignment horizontal="left" vertical="center"/>
    </xf>
    <xf numFmtId="37" fontId="12" fillId="2" borderId="0" xfId="0" applyNumberFormat="1" applyFont="1" applyFill="1" applyAlignment="1">
      <alignment horizontal="left" vertical="center"/>
    </xf>
    <xf numFmtId="0" fontId="27" fillId="2" borderId="7" xfId="7" applyFont="1" applyFill="1" applyBorder="1" applyAlignment="1">
      <alignment vertical="top" wrapText="1"/>
    </xf>
    <xf numFmtId="0" fontId="27" fillId="2" borderId="20" xfId="7" applyFont="1" applyFill="1" applyBorder="1" applyAlignment="1">
      <alignment vertical="top" wrapText="1"/>
    </xf>
    <xf numFmtId="0" fontId="39" fillId="0" borderId="21" xfId="0" applyFont="1" applyBorder="1" applyAlignment="1">
      <alignment horizontal="center" vertical="center" wrapText="1"/>
    </xf>
    <xf numFmtId="0" fontId="27" fillId="0" borderId="0" xfId="1" applyNumberFormat="1" applyFont="1" applyFill="1" applyBorder="1" applyAlignment="1">
      <alignment vertical="top"/>
    </xf>
    <xf numFmtId="41" fontId="27" fillId="0" borderId="0" xfId="1" applyFont="1" applyFill="1" applyBorder="1" applyAlignment="1">
      <alignment horizontal="left" vertical="top"/>
    </xf>
    <xf numFmtId="41" fontId="27" fillId="0" borderId="0" xfId="1" applyFont="1" applyFill="1" applyBorder="1" applyAlignment="1">
      <alignment vertical="top"/>
    </xf>
    <xf numFmtId="164" fontId="27" fillId="0" borderId="0" xfId="1" applyNumberFormat="1" applyFont="1" applyFill="1" applyBorder="1" applyAlignment="1">
      <alignment vertical="top"/>
    </xf>
    <xf numFmtId="49" fontId="27" fillId="0" borderId="14" xfId="6" applyNumberFormat="1" applyFont="1" applyBorder="1" applyAlignment="1">
      <alignment horizontal="left" vertical="top"/>
    </xf>
    <xf numFmtId="37" fontId="3" fillId="2" borderId="9" xfId="3" applyFont="1" applyFill="1" applyBorder="1" applyAlignment="1">
      <alignment vertical="center"/>
    </xf>
    <xf numFmtId="37" fontId="2" fillId="2" borderId="10" xfId="3" applyFont="1" applyFill="1" applyBorder="1" applyAlignment="1">
      <alignment vertical="center"/>
    </xf>
    <xf numFmtId="37" fontId="2" fillId="2" borderId="10" xfId="3" applyFont="1" applyFill="1" applyBorder="1" applyAlignment="1">
      <alignment horizontal="center" vertical="center"/>
    </xf>
    <xf numFmtId="37" fontId="2" fillId="2" borderId="11" xfId="3" applyFont="1" applyFill="1" applyBorder="1" applyAlignment="1">
      <alignment horizontal="center" vertical="center"/>
    </xf>
    <xf numFmtId="37" fontId="3" fillId="2" borderId="12" xfId="3" applyFont="1" applyFill="1" applyBorder="1" applyAlignment="1">
      <alignment vertical="center"/>
    </xf>
    <xf numFmtId="37" fontId="2" fillId="2" borderId="13" xfId="3" applyFont="1" applyFill="1" applyBorder="1" applyAlignment="1">
      <alignment vertical="center"/>
    </xf>
    <xf numFmtId="37" fontId="2" fillId="2" borderId="4" xfId="3" applyFont="1" applyFill="1" applyBorder="1" applyAlignment="1">
      <alignment vertical="center"/>
    </xf>
    <xf numFmtId="37" fontId="3" fillId="2" borderId="15" xfId="3" applyFont="1" applyFill="1" applyBorder="1" applyAlignment="1">
      <alignment vertical="center"/>
    </xf>
    <xf numFmtId="37" fontId="2" fillId="2" borderId="8" xfId="3" applyFont="1" applyFill="1" applyBorder="1" applyAlignment="1">
      <alignment vertical="center"/>
    </xf>
    <xf numFmtId="0" fontId="2" fillId="2" borderId="4" xfId="0" applyFont="1" applyFill="1" applyBorder="1">
      <alignment vertical="center"/>
    </xf>
    <xf numFmtId="0" fontId="3" fillId="2" borderId="12" xfId="0" applyFont="1" applyFill="1" applyBorder="1">
      <alignment vertical="center"/>
    </xf>
    <xf numFmtId="0" fontId="2" fillId="2" borderId="10" xfId="0" applyFont="1" applyFill="1" applyBorder="1">
      <alignment vertical="center"/>
    </xf>
    <xf numFmtId="0" fontId="2" fillId="2" borderId="13" xfId="0" applyFont="1" applyFill="1" applyBorder="1">
      <alignment vertical="center"/>
    </xf>
    <xf numFmtId="37" fontId="2" fillId="2" borderId="7" xfId="3" applyFont="1" applyFill="1" applyBorder="1" applyAlignment="1">
      <alignment vertical="center"/>
    </xf>
    <xf numFmtId="0" fontId="3" fillId="2" borderId="9" xfId="0" applyFont="1" applyFill="1" applyBorder="1">
      <alignment vertical="center"/>
    </xf>
    <xf numFmtId="0" fontId="2" fillId="2" borderId="11" xfId="0" applyFont="1" applyFill="1" applyBorder="1">
      <alignment vertical="center"/>
    </xf>
    <xf numFmtId="0" fontId="2" fillId="2" borderId="6" xfId="0" applyFont="1" applyFill="1" applyBorder="1">
      <alignment vertical="center"/>
    </xf>
    <xf numFmtId="0" fontId="3" fillId="2" borderId="4"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2" borderId="19" xfId="0" applyFont="1" applyFill="1" applyBorder="1" applyAlignment="1">
      <alignment horizontal="left" vertical="center"/>
    </xf>
    <xf numFmtId="41" fontId="2" fillId="2" borderId="0" xfId="0" applyNumberFormat="1" applyFont="1" applyFill="1" applyAlignment="1">
      <alignment horizontal="left" vertical="center"/>
    </xf>
    <xf numFmtId="41" fontId="2" fillId="2" borderId="5" xfId="1" applyFont="1" applyFill="1" applyBorder="1" applyAlignment="1">
      <alignment horizontal="center"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164" fontId="2" fillId="2" borderId="23" xfId="0" applyNumberFormat="1" applyFont="1" applyFill="1" applyBorder="1" applyAlignment="1">
      <alignment horizontal="center" vertical="center"/>
    </xf>
    <xf numFmtId="0" fontId="2" fillId="2" borderId="0" xfId="0" applyFont="1" applyFill="1" applyAlignment="1">
      <alignment vertical="center" wrapText="1"/>
    </xf>
    <xf numFmtId="0" fontId="12" fillId="2" borderId="26" xfId="0" applyFont="1" applyFill="1" applyBorder="1" applyAlignment="1">
      <alignment horizontal="center" vertical="center"/>
    </xf>
    <xf numFmtId="0" fontId="12" fillId="2" borderId="21" xfId="0" applyFont="1" applyFill="1" applyBorder="1" applyAlignment="1">
      <alignment horizontal="center" vertical="center"/>
    </xf>
    <xf numFmtId="0" fontId="12" fillId="2" borderId="21" xfId="0" applyFont="1" applyFill="1" applyBorder="1" applyAlignment="1">
      <alignment horizontal="center" vertical="center" wrapText="1"/>
    </xf>
    <xf numFmtId="41" fontId="2" fillId="2" borderId="7" xfId="0" applyNumberFormat="1" applyFont="1" applyFill="1" applyBorder="1" applyAlignment="1">
      <alignment horizontal="center" vertical="center"/>
    </xf>
    <xf numFmtId="41" fontId="2" fillId="2" borderId="8" xfId="1" applyFont="1" applyFill="1" applyBorder="1" applyAlignment="1">
      <alignment horizontal="center" vertical="center"/>
    </xf>
    <xf numFmtId="41" fontId="3" fillId="2" borderId="26" xfId="0" applyNumberFormat="1" applyFont="1" applyFill="1" applyBorder="1" applyAlignment="1">
      <alignment horizontal="center" vertical="center"/>
    </xf>
    <xf numFmtId="41" fontId="3" fillId="2" borderId="26" xfId="0" applyNumberFormat="1" applyFont="1" applyFill="1" applyBorder="1" applyAlignment="1">
      <alignment horizontal="center" vertical="center" wrapText="1"/>
    </xf>
    <xf numFmtId="41" fontId="3" fillId="2" borderId="29" xfId="0" applyNumberFormat="1" applyFont="1" applyFill="1" applyBorder="1" applyAlignment="1">
      <alignment horizontal="center" vertical="center" wrapText="1"/>
    </xf>
    <xf numFmtId="168" fontId="2"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168" fontId="2" fillId="2" borderId="24" xfId="0" applyNumberFormat="1" applyFont="1" applyFill="1" applyBorder="1" applyAlignment="1">
      <alignment horizontal="center" vertical="center"/>
    </xf>
    <xf numFmtId="0" fontId="2" fillId="2" borderId="5" xfId="0" applyFont="1" applyFill="1" applyBorder="1">
      <alignment vertical="center"/>
    </xf>
    <xf numFmtId="0" fontId="51" fillId="2" borderId="19" xfId="0" applyFont="1" applyFill="1" applyBorder="1" applyAlignment="1">
      <alignment horizontal="left" vertical="center"/>
    </xf>
    <xf numFmtId="0" fontId="14" fillId="2" borderId="0" xfId="0" applyFont="1" applyFill="1" applyAlignment="1">
      <alignment horizontal="left" vertical="center"/>
    </xf>
    <xf numFmtId="14" fontId="12" fillId="2" borderId="0" xfId="0" quotePrefix="1" applyNumberFormat="1" applyFont="1" applyFill="1" applyAlignment="1">
      <alignment horizontal="left" vertical="center"/>
    </xf>
    <xf numFmtId="15" fontId="12" fillId="2" borderId="0" xfId="0" applyNumberFormat="1" applyFont="1" applyFill="1" applyAlignment="1">
      <alignment horizontal="left" vertical="center"/>
    </xf>
    <xf numFmtId="0" fontId="12" fillId="2" borderId="0" xfId="0" applyFont="1" applyFill="1">
      <alignment vertical="center"/>
    </xf>
    <xf numFmtId="0" fontId="27" fillId="2" borderId="25" xfId="6" applyFont="1" applyFill="1" applyBorder="1" applyAlignment="1">
      <alignment horizontal="right" vertical="top" wrapText="1" indent="1"/>
    </xf>
    <xf numFmtId="0" fontId="29" fillId="2" borderId="10" xfId="6" applyFont="1" applyFill="1" applyBorder="1" applyAlignment="1">
      <alignment horizontal="center" vertical="top" wrapText="1"/>
    </xf>
    <xf numFmtId="0" fontId="27" fillId="2" borderId="23" xfId="6" applyFont="1" applyFill="1" applyBorder="1" applyAlignment="1">
      <alignment horizontal="right" vertical="top" wrapText="1" indent="1"/>
    </xf>
    <xf numFmtId="0" fontId="29" fillId="2" borderId="0" xfId="6" applyFont="1" applyFill="1" applyAlignment="1">
      <alignment horizontal="center" vertical="top" wrapText="1"/>
    </xf>
    <xf numFmtId="0" fontId="29" fillId="2" borderId="0" xfId="6" applyFont="1" applyFill="1" applyAlignment="1">
      <alignment horizontal="center" vertical="top"/>
    </xf>
    <xf numFmtId="0" fontId="27" fillId="2" borderId="14" xfId="6" applyFont="1" applyFill="1" applyBorder="1" applyAlignment="1">
      <alignment vertical="top"/>
    </xf>
    <xf numFmtId="172" fontId="27" fillId="2" borderId="14" xfId="6" applyNumberFormat="1" applyFont="1" applyFill="1" applyBorder="1" applyAlignment="1">
      <alignment vertical="top"/>
    </xf>
    <xf numFmtId="49" fontId="27" fillId="2" borderId="14" xfId="6" applyNumberFormat="1" applyFont="1" applyFill="1" applyBorder="1" applyAlignment="1">
      <alignment horizontal="left" vertical="top"/>
    </xf>
    <xf numFmtId="40" fontId="43" fillId="2" borderId="30" xfId="1" applyNumberFormat="1" applyFont="1" applyFill="1" applyBorder="1" applyAlignment="1">
      <alignment horizontal="center" vertical="center"/>
    </xf>
    <xf numFmtId="40" fontId="43" fillId="2" borderId="12" xfId="1" applyNumberFormat="1" applyFont="1" applyFill="1" applyBorder="1" applyAlignment="1">
      <alignment horizontal="center" vertical="center"/>
    </xf>
    <xf numFmtId="40" fontId="43" fillId="2" borderId="2" xfId="1" applyNumberFormat="1" applyFont="1" applyFill="1" applyBorder="1" applyAlignment="1">
      <alignment horizontal="center" vertical="center"/>
    </xf>
    <xf numFmtId="173" fontId="25" fillId="2" borderId="0" xfId="0" applyNumberFormat="1" applyFont="1" applyFill="1" applyAlignment="1">
      <alignment horizontal="left" vertical="center"/>
    </xf>
    <xf numFmtId="0" fontId="52" fillId="0" borderId="0" xfId="9" applyFont="1">
      <alignment vertical="center"/>
    </xf>
    <xf numFmtId="37" fontId="53" fillId="0" borderId="0" xfId="0" applyNumberFormat="1" applyFont="1">
      <alignment vertical="center"/>
    </xf>
    <xf numFmtId="0" fontId="54" fillId="0" borderId="44" xfId="0" applyFont="1" applyBorder="1" applyAlignment="1">
      <alignment horizontal="center" vertical="center"/>
    </xf>
    <xf numFmtId="0" fontId="39" fillId="0" borderId="26" xfId="10" applyFont="1" applyBorder="1" applyAlignment="1">
      <alignment horizontal="center" vertical="center"/>
    </xf>
    <xf numFmtId="0" fontId="39" fillId="0" borderId="26" xfId="0" applyFont="1" applyBorder="1" applyAlignment="1">
      <alignment horizontal="center" vertical="center" wrapText="1"/>
    </xf>
    <xf numFmtId="40" fontId="54" fillId="2" borderId="30" xfId="1" applyNumberFormat="1" applyFont="1" applyFill="1" applyBorder="1" applyAlignment="1">
      <alignment horizontal="center" vertical="center"/>
    </xf>
    <xf numFmtId="4" fontId="39" fillId="2" borderId="29" xfId="0" applyNumberFormat="1" applyFont="1" applyFill="1" applyBorder="1" applyAlignment="1">
      <alignment horizontal="center" vertical="center"/>
    </xf>
    <xf numFmtId="0" fontId="27" fillId="2" borderId="7" xfId="7" applyFont="1" applyFill="1" applyBorder="1" applyAlignment="1">
      <alignment horizontal="left" vertical="top"/>
    </xf>
    <xf numFmtId="14" fontId="2" fillId="2" borderId="7" xfId="3" applyNumberFormat="1" applyFont="1" applyFill="1" applyBorder="1" applyAlignment="1">
      <alignment vertical="center"/>
    </xf>
    <xf numFmtId="43" fontId="2" fillId="0" borderId="0" xfId="0" applyNumberFormat="1" applyFont="1">
      <alignment vertical="center"/>
    </xf>
    <xf numFmtId="41" fontId="2" fillId="0" borderId="0" xfId="1" applyFont="1">
      <alignment vertical="center"/>
    </xf>
    <xf numFmtId="43" fontId="55" fillId="0" borderId="0" xfId="0" applyNumberFormat="1" applyFont="1">
      <alignment vertical="center"/>
    </xf>
    <xf numFmtId="0" fontId="55" fillId="0" borderId="0" xfId="0" applyFont="1">
      <alignment vertical="center"/>
    </xf>
    <xf numFmtId="41" fontId="8" fillId="0" borderId="5" xfId="0" applyNumberFormat="1" applyFont="1" applyBorder="1" applyAlignment="1">
      <alignment vertical="center" wrapText="1"/>
    </xf>
    <xf numFmtId="49" fontId="2" fillId="2" borderId="23" xfId="0" applyNumberFormat="1" applyFont="1" applyFill="1" applyBorder="1" applyAlignment="1">
      <alignment horizontal="center" vertical="center"/>
    </xf>
    <xf numFmtId="0" fontId="12" fillId="0" borderId="25" xfId="0" applyFont="1" applyBorder="1" applyAlignment="1">
      <alignment horizontal="center" vertical="center" wrapText="1"/>
    </xf>
    <xf numFmtId="0" fontId="12" fillId="0" borderId="25" xfId="0" applyFont="1" applyBorder="1" applyAlignment="1">
      <alignment horizontal="center" vertical="center"/>
    </xf>
    <xf numFmtId="0" fontId="12" fillId="0" borderId="12" xfId="0" applyFont="1" applyBorder="1" applyAlignment="1">
      <alignment horizontal="center" vertical="center"/>
    </xf>
    <xf numFmtId="0" fontId="12" fillId="0" borderId="26" xfId="0" applyFont="1" applyBorder="1" applyAlignment="1">
      <alignment horizontal="center" vertical="center" wrapText="1"/>
    </xf>
    <xf numFmtId="164" fontId="12" fillId="0" borderId="26" xfId="1" applyNumberFormat="1" applyFont="1" applyFill="1" applyBorder="1" applyAlignment="1">
      <alignment horizontal="center" vertical="center"/>
    </xf>
    <xf numFmtId="0" fontId="13" fillId="0" borderId="0" xfId="0" applyFont="1">
      <alignment vertical="center"/>
    </xf>
    <xf numFmtId="164" fontId="14" fillId="0" borderId="14" xfId="0" applyNumberFormat="1" applyFont="1" applyBorder="1">
      <alignment vertical="center"/>
    </xf>
    <xf numFmtId="165" fontId="12" fillId="0" borderId="0" xfId="0" applyNumberFormat="1" applyFont="1" applyAlignment="1">
      <alignment horizontal="center" vertical="center"/>
    </xf>
    <xf numFmtId="164" fontId="13" fillId="0" borderId="0" xfId="1" applyNumberFormat="1" applyFont="1">
      <alignment vertical="center"/>
    </xf>
    <xf numFmtId="9" fontId="13" fillId="0" borderId="0" xfId="0" applyNumberFormat="1" applyFont="1">
      <alignment vertical="center"/>
    </xf>
    <xf numFmtId="14" fontId="13" fillId="0" borderId="0" xfId="0" applyNumberFormat="1" applyFont="1">
      <alignment vertical="center"/>
    </xf>
    <xf numFmtId="43" fontId="13" fillId="0" borderId="0" xfId="0" applyNumberFormat="1" applyFont="1">
      <alignment vertical="center"/>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 fillId="2" borderId="20" xfId="0" applyFont="1" applyFill="1" applyBorder="1" applyAlignment="1">
      <alignment vertical="center" wrapText="1"/>
    </xf>
    <xf numFmtId="0" fontId="2" fillId="2" borderId="15" xfId="0" applyFont="1" applyFill="1" applyBorder="1">
      <alignment vertical="center"/>
    </xf>
    <xf numFmtId="41" fontId="2" fillId="2" borderId="19" xfId="0" applyNumberFormat="1" applyFont="1" applyFill="1" applyBorder="1" applyAlignment="1">
      <alignment horizontal="center" vertical="center"/>
    </xf>
    <xf numFmtId="0" fontId="8" fillId="2" borderId="0" xfId="0" applyFont="1" applyFill="1">
      <alignment vertical="center"/>
    </xf>
    <xf numFmtId="0" fontId="9" fillId="2" borderId="0" xfId="0" applyFont="1" applyFill="1">
      <alignment vertical="center"/>
    </xf>
    <xf numFmtId="0" fontId="9" fillId="2" borderId="14" xfId="0" applyFont="1" applyFill="1" applyBorder="1">
      <alignment vertical="center"/>
    </xf>
    <xf numFmtId="170" fontId="27" fillId="3" borderId="0" xfId="6" applyNumberFormat="1" applyFont="1" applyFill="1" applyAlignment="1">
      <alignment horizontal="left" vertical="top"/>
    </xf>
    <xf numFmtId="164" fontId="27" fillId="3" borderId="0" xfId="1" applyNumberFormat="1" applyFont="1" applyFill="1" applyBorder="1" applyAlignment="1">
      <alignment vertical="top"/>
    </xf>
    <xf numFmtId="0" fontId="27" fillId="3" borderId="0" xfId="1" applyNumberFormat="1" applyFont="1" applyFill="1" applyBorder="1" applyAlignment="1">
      <alignment vertical="top"/>
    </xf>
    <xf numFmtId="164" fontId="12" fillId="2" borderId="26" xfId="1" applyNumberFormat="1" applyFont="1" applyFill="1" applyBorder="1" applyAlignment="1">
      <alignment horizontal="center" vertical="center" wrapText="1"/>
    </xf>
    <xf numFmtId="164" fontId="12" fillId="2" borderId="26" xfId="1" applyNumberFormat="1" applyFont="1" applyFill="1" applyBorder="1" applyAlignment="1">
      <alignment horizontal="center" vertical="center"/>
    </xf>
    <xf numFmtId="164" fontId="2" fillId="0" borderId="21" xfId="1" applyNumberFormat="1" applyFont="1" applyBorder="1" applyAlignment="1">
      <alignment horizontal="center" vertical="center"/>
    </xf>
    <xf numFmtId="0" fontId="12" fillId="0" borderId="12" xfId="0" applyFont="1" applyBorder="1" applyAlignment="1">
      <alignment horizontal="left" vertical="center"/>
    </xf>
    <xf numFmtId="164" fontId="12" fillId="0" borderId="26" xfId="1" applyNumberFormat="1" applyFont="1" applyBorder="1" applyAlignment="1">
      <alignment horizontal="center" vertical="center" wrapText="1"/>
    </xf>
    <xf numFmtId="0" fontId="12" fillId="3" borderId="21" xfId="0" applyFont="1" applyFill="1" applyBorder="1" applyAlignment="1">
      <alignment horizontal="center" vertical="center" wrapText="1"/>
    </xf>
    <xf numFmtId="0" fontId="12" fillId="3" borderId="15" xfId="0" applyFont="1" applyFill="1" applyBorder="1" applyAlignment="1">
      <alignment horizontal="center" vertical="center"/>
    </xf>
    <xf numFmtId="0" fontId="39" fillId="0" borderId="22" xfId="0" applyFont="1" applyBorder="1" applyAlignment="1">
      <alignment horizontal="center" vertical="center" wrapText="1"/>
    </xf>
    <xf numFmtId="0" fontId="2" fillId="3" borderId="26" xfId="0"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21" xfId="0" applyFont="1" applyBorder="1" applyAlignment="1">
      <alignment horizontal="center" vertical="center"/>
    </xf>
    <xf numFmtId="0" fontId="2" fillId="3" borderId="21" xfId="0" applyFont="1" applyFill="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left" vertical="center"/>
    </xf>
    <xf numFmtId="173" fontId="39" fillId="0" borderId="15" xfId="0" applyNumberFormat="1" applyFont="1" applyBorder="1" applyAlignment="1">
      <alignment horizontal="center" vertical="center" wrapText="1"/>
    </xf>
    <xf numFmtId="15" fontId="2" fillId="2" borderId="7" xfId="3" applyNumberFormat="1" applyFont="1" applyFill="1" applyBorder="1" applyAlignment="1">
      <alignment horizontal="left" vertical="center"/>
    </xf>
    <xf numFmtId="37" fontId="2" fillId="2" borderId="10" xfId="3" applyFont="1" applyFill="1" applyBorder="1" applyAlignment="1">
      <alignment horizontal="left" vertical="center"/>
    </xf>
    <xf numFmtId="37" fontId="2" fillId="2" borderId="7" xfId="3" applyFont="1" applyFill="1" applyBorder="1" applyAlignment="1">
      <alignment horizontal="left" vertical="center"/>
    </xf>
    <xf numFmtId="15" fontId="2" fillId="2" borderId="7" xfId="0" applyNumberFormat="1" applyFont="1" applyFill="1" applyBorder="1" applyAlignment="1">
      <alignment horizontal="left" vertical="center"/>
    </xf>
    <xf numFmtId="0" fontId="2" fillId="2" borderId="19" xfId="0" applyFont="1" applyFill="1" applyBorder="1" applyAlignment="1">
      <alignment horizontal="left" vertical="center" readingOrder="1"/>
    </xf>
    <xf numFmtId="0" fontId="8" fillId="2" borderId="0" xfId="0" applyFont="1" applyFill="1" applyAlignment="1">
      <alignment vertical="center" wrapText="1"/>
    </xf>
    <xf numFmtId="0" fontId="12" fillId="2" borderId="1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6" xfId="0" applyFont="1" applyFill="1" applyBorder="1" applyAlignment="1">
      <alignment horizontal="center" vertical="center"/>
    </xf>
    <xf numFmtId="0" fontId="17" fillId="2" borderId="26" xfId="0" applyFont="1" applyFill="1" applyBorder="1" applyAlignment="1">
      <alignment horizontal="center" vertical="center" wrapText="1"/>
    </xf>
    <xf numFmtId="0" fontId="14" fillId="0" borderId="21" xfId="0" applyFont="1" applyBorder="1" applyAlignment="1">
      <alignment horizontal="center" vertical="center" wrapText="1"/>
    </xf>
    <xf numFmtId="0" fontId="14" fillId="0" borderId="15" xfId="0" applyFont="1" applyBorder="1" applyAlignment="1">
      <alignment horizontal="center" vertical="center"/>
    </xf>
    <xf numFmtId="164" fontId="2" fillId="2" borderId="26" xfId="1" applyNumberFormat="1" applyFont="1" applyFill="1" applyBorder="1" applyAlignment="1">
      <alignment horizontal="center" vertical="center" wrapText="1"/>
    </xf>
    <xf numFmtId="164" fontId="2" fillId="2" borderId="21" xfId="1" applyNumberFormat="1" applyFont="1" applyFill="1" applyBorder="1" applyAlignment="1">
      <alignment horizontal="center" vertical="center" wrapText="1"/>
    </xf>
    <xf numFmtId="164" fontId="3" fillId="0" borderId="26" xfId="0" applyNumberFormat="1" applyFont="1" applyBorder="1" applyAlignment="1">
      <alignment horizontal="center" vertical="center"/>
    </xf>
    <xf numFmtId="164" fontId="17" fillId="2" borderId="26" xfId="1" applyNumberFormat="1" applyFont="1" applyFill="1" applyBorder="1" applyAlignment="1">
      <alignment horizontal="center" vertical="center" wrapText="1"/>
    </xf>
    <xf numFmtId="0" fontId="12" fillId="2" borderId="15" xfId="0" applyFont="1" applyFill="1" applyBorder="1" applyAlignment="1">
      <alignment horizontal="center" vertical="center"/>
    </xf>
    <xf numFmtId="164" fontId="17" fillId="3" borderId="26" xfId="1" applyNumberFormat="1" applyFont="1" applyFill="1" applyBorder="1" applyAlignment="1">
      <alignment horizontal="center" vertical="center" wrapText="1"/>
    </xf>
    <xf numFmtId="164" fontId="2" fillId="3" borderId="26" xfId="1" applyNumberFormat="1" applyFont="1" applyFill="1" applyBorder="1" applyAlignment="1">
      <alignment horizontal="center" vertical="center" wrapText="1"/>
    </xf>
    <xf numFmtId="164" fontId="2" fillId="3" borderId="21" xfId="1" applyNumberFormat="1" applyFont="1" applyFill="1" applyBorder="1" applyAlignment="1">
      <alignment horizontal="center" vertical="center" wrapText="1"/>
    </xf>
    <xf numFmtId="0" fontId="14" fillId="3" borderId="0" xfId="0" applyFont="1" applyFill="1">
      <alignment vertical="center"/>
    </xf>
    <xf numFmtId="0" fontId="14" fillId="3" borderId="0" xfId="0" applyFont="1" applyFill="1" applyAlignment="1">
      <alignment horizontal="center" vertical="center"/>
    </xf>
    <xf numFmtId="0" fontId="57" fillId="0" borderId="0" xfId="0" applyFont="1" applyAlignment="1">
      <alignment horizontal="center" vertical="center"/>
    </xf>
    <xf numFmtId="0" fontId="12" fillId="0" borderId="21" xfId="0" applyFont="1" applyBorder="1" applyAlignment="1">
      <alignment horizontal="center" vertical="center" wrapText="1"/>
    </xf>
    <xf numFmtId="43" fontId="14" fillId="3" borderId="0" xfId="0" applyNumberFormat="1" applyFont="1" applyFill="1" applyAlignment="1">
      <alignment horizontal="center" vertical="center"/>
    </xf>
    <xf numFmtId="43" fontId="12" fillId="0" borderId="21" xfId="0" applyNumberFormat="1" applyFont="1" applyBorder="1" applyAlignment="1">
      <alignment horizontal="center" vertical="center" wrapText="1"/>
    </xf>
    <xf numFmtId="4" fontId="2" fillId="0" borderId="0" xfId="0" applyNumberFormat="1" applyFont="1">
      <alignment vertical="center"/>
    </xf>
    <xf numFmtId="164" fontId="2" fillId="0" borderId="0" xfId="1" applyNumberFormat="1" applyFont="1">
      <alignment vertical="center"/>
    </xf>
    <xf numFmtId="164" fontId="27" fillId="2" borderId="0" xfId="1" applyNumberFormat="1" applyFont="1" applyFill="1" applyBorder="1" applyAlignment="1">
      <alignment horizontal="left" vertical="top"/>
    </xf>
    <xf numFmtId="164" fontId="27" fillId="2" borderId="0" xfId="1" applyNumberFormat="1" applyFont="1" applyFill="1" applyBorder="1" applyAlignment="1">
      <alignment vertical="top"/>
    </xf>
    <xf numFmtId="164" fontId="27" fillId="2" borderId="0" xfId="1" applyNumberFormat="1" applyFont="1" applyFill="1" applyAlignment="1">
      <alignment horizontal="left" vertical="top"/>
    </xf>
    <xf numFmtId="43" fontId="14" fillId="0" borderId="21" xfId="0" applyNumberFormat="1" applyFont="1" applyBorder="1" applyAlignment="1">
      <alignment horizontal="center" vertical="center" wrapText="1"/>
    </xf>
    <xf numFmtId="0" fontId="12" fillId="0" borderId="15" xfId="0" applyFont="1" applyBorder="1" applyAlignment="1">
      <alignment horizontal="center" vertical="center"/>
    </xf>
    <xf numFmtId="0" fontId="12" fillId="4" borderId="26" xfId="0" applyFont="1" applyFill="1" applyBorder="1" applyAlignment="1">
      <alignment horizontal="center" vertical="center"/>
    </xf>
    <xf numFmtId="0" fontId="12" fillId="2" borderId="12" xfId="0" applyFont="1" applyFill="1" applyBorder="1" applyAlignment="1">
      <alignment horizontal="left" vertical="center"/>
    </xf>
    <xf numFmtId="175" fontId="2" fillId="2" borderId="26" xfId="1" applyNumberFormat="1" applyFont="1" applyFill="1" applyBorder="1" applyAlignment="1">
      <alignment horizontal="center" vertical="center" wrapText="1"/>
    </xf>
    <xf numFmtId="175" fontId="2" fillId="0" borderId="21" xfId="0" applyNumberFormat="1" applyFont="1" applyBorder="1" applyAlignment="1">
      <alignment horizontal="center" vertical="center"/>
    </xf>
    <xf numFmtId="175" fontId="2" fillId="2" borderId="24" xfId="1" applyNumberFormat="1" applyFont="1" applyFill="1" applyBorder="1" applyAlignment="1">
      <alignment horizontal="center" vertical="center"/>
    </xf>
    <xf numFmtId="175" fontId="2" fillId="0" borderId="22" xfId="1" applyNumberFormat="1" applyFont="1" applyBorder="1" applyAlignment="1">
      <alignment horizontal="center" vertical="center"/>
    </xf>
    <xf numFmtId="175" fontId="3" fillId="0" borderId="29" xfId="1" applyNumberFormat="1" applyFont="1" applyBorder="1" applyAlignment="1">
      <alignment horizontal="center" vertical="center"/>
    </xf>
    <xf numFmtId="175" fontId="27" fillId="3" borderId="0" xfId="1" applyNumberFormat="1" applyFont="1" applyFill="1" applyBorder="1" applyAlignment="1">
      <alignment vertical="top"/>
    </xf>
    <xf numFmtId="0" fontId="2" fillId="0" borderId="19" xfId="0" quotePrefix="1" applyFont="1" applyBorder="1" applyAlignment="1">
      <alignment horizontal="left" vertical="center"/>
    </xf>
    <xf numFmtId="0" fontId="2" fillId="0" borderId="15" xfId="0" quotePrefix="1" applyFont="1" applyBorder="1" applyAlignment="1">
      <alignment horizontal="left" vertical="center"/>
    </xf>
    <xf numFmtId="0" fontId="12" fillId="5" borderId="26" xfId="0" applyFont="1" applyFill="1" applyBorder="1" applyAlignment="1">
      <alignment horizontal="center" vertical="center"/>
    </xf>
    <xf numFmtId="0" fontId="12" fillId="5" borderId="25" xfId="0" applyFont="1" applyFill="1" applyBorder="1" applyAlignment="1">
      <alignment horizontal="center" vertical="center"/>
    </xf>
    <xf numFmtId="0" fontId="12" fillId="5" borderId="12" xfId="0" applyFont="1" applyFill="1" applyBorder="1" applyAlignment="1">
      <alignment horizontal="left" vertical="center"/>
    </xf>
    <xf numFmtId="0" fontId="12" fillId="5" borderId="26" xfId="0" applyFont="1" applyFill="1" applyBorder="1" applyAlignment="1">
      <alignment horizontal="center" vertical="center" wrapText="1"/>
    </xf>
    <xf numFmtId="164" fontId="12" fillId="5" borderId="26" xfId="1" applyNumberFormat="1" applyFont="1" applyFill="1" applyBorder="1" applyAlignment="1">
      <alignment horizontal="center" vertical="center" wrapText="1"/>
    </xf>
    <xf numFmtId="0" fontId="12" fillId="5" borderId="0" xfId="0" applyFont="1" applyFill="1">
      <alignment vertical="center"/>
    </xf>
    <xf numFmtId="173" fontId="14" fillId="0" borderId="26" xfId="0" applyNumberFormat="1" applyFont="1" applyBorder="1" applyAlignment="1">
      <alignment horizontal="center" vertical="center" wrapText="1"/>
    </xf>
    <xf numFmtId="173" fontId="2" fillId="2" borderId="26" xfId="1" applyNumberFormat="1" applyFont="1" applyFill="1" applyBorder="1" applyAlignment="1">
      <alignment horizontal="center" vertical="center" wrapText="1"/>
    </xf>
    <xf numFmtId="173" fontId="2" fillId="3" borderId="26" xfId="1" applyNumberFormat="1" applyFont="1" applyFill="1" applyBorder="1" applyAlignment="1">
      <alignment horizontal="center" vertical="center" wrapText="1"/>
    </xf>
    <xf numFmtId="173" fontId="12" fillId="2" borderId="26" xfId="0" applyNumberFormat="1" applyFont="1" applyFill="1" applyBorder="1" applyAlignment="1">
      <alignment horizontal="center" vertical="center"/>
    </xf>
    <xf numFmtId="0" fontId="12" fillId="2" borderId="25" xfId="0" applyFont="1" applyFill="1" applyBorder="1" applyAlignment="1">
      <alignment horizontal="center" vertical="center"/>
    </xf>
    <xf numFmtId="0" fontId="12" fillId="2" borderId="26" xfId="0" applyFont="1" applyFill="1" applyBorder="1" applyAlignment="1">
      <alignment horizontal="center" vertical="center" wrapText="1"/>
    </xf>
    <xf numFmtId="164" fontId="12" fillId="0" borderId="26" xfId="1" applyNumberFormat="1" applyFont="1" applyFill="1" applyBorder="1" applyAlignment="1">
      <alignment horizontal="center" vertical="center" wrapText="1"/>
    </xf>
    <xf numFmtId="0" fontId="12" fillId="0" borderId="26" xfId="0" applyFont="1" applyBorder="1" applyAlignment="1">
      <alignment horizontal="right" vertical="center"/>
    </xf>
    <xf numFmtId="2" fontId="12" fillId="0" borderId="26" xfId="0" applyNumberFormat="1" applyFont="1" applyBorder="1" applyAlignment="1">
      <alignment horizontal="center" vertical="center"/>
    </xf>
    <xf numFmtId="2" fontId="12" fillId="0" borderId="26" xfId="0" applyNumberFormat="1" applyFont="1" applyBorder="1">
      <alignment vertical="center"/>
    </xf>
    <xf numFmtId="0" fontId="12" fillId="0" borderId="26" xfId="0" applyFont="1" applyBorder="1">
      <alignment vertical="center"/>
    </xf>
    <xf numFmtId="14" fontId="12" fillId="0" borderId="0" xfId="0" applyNumberFormat="1" applyFont="1">
      <alignment vertical="center"/>
    </xf>
    <xf numFmtId="9" fontId="12" fillId="0" borderId="0" xfId="0" applyNumberFormat="1" applyFont="1">
      <alignment vertical="center"/>
    </xf>
    <xf numFmtId="164" fontId="12" fillId="0" borderId="0" xfId="1" applyNumberFormat="1" applyFont="1" applyFill="1">
      <alignment vertical="center"/>
    </xf>
    <xf numFmtId="4" fontId="12" fillId="0" borderId="26" xfId="11" applyFont="1" applyBorder="1" applyAlignment="1" applyProtection="1">
      <alignment horizontal="right" vertical="center"/>
    </xf>
    <xf numFmtId="4" fontId="12" fillId="0" borderId="26" xfId="11" applyFont="1" applyBorder="1" applyAlignment="1" applyProtection="1">
      <alignment vertical="center"/>
    </xf>
    <xf numFmtId="4" fontId="58" fillId="0" borderId="26" xfId="11" applyFont="1" applyBorder="1" applyAlignment="1">
      <alignment vertical="center"/>
      <protection locked="0"/>
    </xf>
    <xf numFmtId="0" fontId="12" fillId="4" borderId="26" xfId="0" applyFont="1" applyFill="1" applyBorder="1" applyAlignment="1">
      <alignment horizontal="center" vertical="center" wrapText="1"/>
    </xf>
    <xf numFmtId="164" fontId="12" fillId="4" borderId="26" xfId="1" applyNumberFormat="1" applyFont="1" applyFill="1" applyBorder="1" applyAlignment="1">
      <alignment horizontal="center" vertical="center" wrapText="1"/>
    </xf>
    <xf numFmtId="0" fontId="59" fillId="0" borderId="0" xfId="0" applyFont="1">
      <alignment vertical="center"/>
    </xf>
    <xf numFmtId="41" fontId="2" fillId="0" borderId="5" xfId="0" applyNumberFormat="1" applyFont="1" applyBorder="1" applyAlignment="1">
      <alignment vertical="center" wrapText="1"/>
    </xf>
    <xf numFmtId="164" fontId="12" fillId="0" borderId="31" xfId="1" applyNumberFormat="1" applyFont="1" applyFill="1" applyBorder="1" applyAlignment="1">
      <alignment horizontal="center" vertical="center"/>
    </xf>
    <xf numFmtId="164" fontId="14" fillId="0" borderId="10" xfId="0" applyNumberFormat="1" applyFont="1" applyBorder="1">
      <alignment vertical="center"/>
    </xf>
    <xf numFmtId="41" fontId="12" fillId="0" borderId="0" xfId="0" applyNumberFormat="1" applyFont="1" applyAlignment="1">
      <alignment horizontal="left" vertical="center"/>
    </xf>
    <xf numFmtId="0" fontId="12" fillId="0" borderId="26" xfId="0" applyFont="1" applyBorder="1" applyAlignment="1">
      <alignment horizontal="left" vertical="center"/>
    </xf>
    <xf numFmtId="0" fontId="12" fillId="3" borderId="26" xfId="0" applyFont="1" applyFill="1" applyBorder="1" applyAlignment="1">
      <alignment horizontal="center" vertical="center" wrapText="1"/>
    </xf>
    <xf numFmtId="0" fontId="12" fillId="3" borderId="26" xfId="0" applyFont="1" applyFill="1" applyBorder="1" applyAlignment="1">
      <alignment horizontal="center" vertical="center"/>
    </xf>
    <xf numFmtId="49" fontId="12" fillId="3" borderId="45" xfId="0" applyNumberFormat="1" applyFont="1" applyFill="1" applyBorder="1" applyAlignment="1">
      <alignment horizontal="left" vertical="center"/>
    </xf>
    <xf numFmtId="49" fontId="12" fillId="3" borderId="46" xfId="0" applyNumberFormat="1" applyFont="1" applyFill="1" applyBorder="1" applyAlignment="1">
      <alignment horizontal="left" vertical="center"/>
    </xf>
    <xf numFmtId="0" fontId="12" fillId="0" borderId="10" xfId="0" applyFont="1" applyBorder="1" applyAlignment="1">
      <alignment horizontal="center" vertical="center"/>
    </xf>
    <xf numFmtId="49" fontId="12" fillId="3" borderId="45" xfId="0" applyNumberFormat="1" applyFont="1" applyFill="1" applyBorder="1" applyAlignment="1">
      <alignment horizontal="center" vertical="center"/>
    </xf>
    <xf numFmtId="49" fontId="12" fillId="3" borderId="46" xfId="0" applyNumberFormat="1" applyFont="1" applyFill="1" applyBorder="1" applyAlignment="1">
      <alignment horizontal="center" vertical="center"/>
    </xf>
    <xf numFmtId="0" fontId="12"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2" fillId="0" borderId="15" xfId="0" applyFont="1" applyBorder="1" applyAlignment="1">
      <alignment horizontal="center" vertical="center"/>
    </xf>
    <xf numFmtId="0" fontId="14" fillId="0" borderId="12" xfId="0" applyFont="1" applyBorder="1" applyAlignment="1">
      <alignment horizontal="center" vertical="center"/>
    </xf>
    <xf numFmtId="0" fontId="14" fillId="0" borderId="15" xfId="0" applyFont="1" applyBorder="1" applyAlignment="1">
      <alignment horizontal="center" vertical="center"/>
    </xf>
    <xf numFmtId="37" fontId="12" fillId="0" borderId="0" xfId="0" applyNumberFormat="1" applyFont="1" applyAlignment="1">
      <alignment horizontal="center" vertical="center"/>
    </xf>
    <xf numFmtId="37" fontId="12" fillId="0" borderId="0" xfId="0" applyNumberFormat="1" applyFont="1" applyAlignment="1">
      <alignment horizontal="center" vertical="center"/>
    </xf>
    <xf numFmtId="37" fontId="12" fillId="0" borderId="0" xfId="0" applyNumberFormat="1" applyFont="1" applyAlignment="1">
      <alignment horizontal="center" vertical="center"/>
    </xf>
    <xf numFmtId="15" fontId="12" fillId="0" borderId="0" xfId="0" applyNumberFormat="1" applyFont="1" applyAlignment="1">
      <alignment horizontal="center" vertical="center"/>
    </xf>
    <xf numFmtId="41" fontId="14" fillId="0" borderId="10" xfId="0" applyNumberFormat="1" applyFont="1" applyBorder="1" applyAlignment="1">
      <alignment horizontal="center" vertical="center"/>
    </xf>
    <xf numFmtId="0" fontId="18" fillId="0" borderId="0" xfId="0" applyFont="1" applyAlignment="1">
      <alignment horizontal="center" vertical="center"/>
    </xf>
    <xf numFmtId="0" fontId="12" fillId="0" borderId="0" xfId="0" applyFont="1" applyAlignment="1">
      <alignment horizontal="left" vertical="center" wrapText="1"/>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15" xfId="0" applyFont="1" applyBorder="1" applyAlignment="1">
      <alignment horizontal="center" vertical="center"/>
    </xf>
    <xf numFmtId="0" fontId="12" fillId="2" borderId="26" xfId="0" applyFont="1" applyFill="1" applyBorder="1" applyAlignment="1">
      <alignment horizontal="center" vertical="center"/>
    </xf>
    <xf numFmtId="0" fontId="2" fillId="3" borderId="3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31" xfId="0" applyFont="1" applyBorder="1" applyAlignment="1">
      <alignment horizontal="center" vertical="center"/>
    </xf>
    <xf numFmtId="0" fontId="2" fillId="0" borderId="0" xfId="0" applyFont="1" applyAlignment="1">
      <alignment horizontal="left" vertical="center" wrapText="1"/>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28" xfId="0" applyFont="1" applyBorder="1" applyAlignment="1">
      <alignment horizontal="center" vertical="center"/>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41" fontId="2" fillId="0" borderId="0" xfId="0" applyNumberFormat="1" applyFont="1" applyAlignment="1">
      <alignment horizontal="left" vertical="center" wrapText="1"/>
    </xf>
    <xf numFmtId="41" fontId="2" fillId="0" borderId="5" xfId="0" applyNumberFormat="1" applyFont="1" applyBorder="1" applyAlignment="1">
      <alignment horizontal="left" vertical="center" wrapText="1"/>
    </xf>
    <xf numFmtId="0" fontId="34"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7" fillId="2" borderId="0" xfId="2" applyFont="1" applyFill="1" applyAlignment="1">
      <alignment vertical="top" wrapText="1"/>
    </xf>
    <xf numFmtId="0" fontId="35" fillId="2" borderId="0" xfId="0" applyFont="1" applyFill="1" applyAlignment="1">
      <alignment vertical="top"/>
    </xf>
    <xf numFmtId="0" fontId="35" fillId="2" borderId="14" xfId="0" applyFont="1" applyFill="1" applyBorder="1" applyAlignment="1">
      <alignment vertical="top"/>
    </xf>
    <xf numFmtId="0" fontId="35" fillId="2" borderId="7" xfId="0" applyFont="1" applyFill="1" applyBorder="1" applyAlignment="1">
      <alignment vertical="top"/>
    </xf>
    <xf numFmtId="0" fontId="35" fillId="2" borderId="20" xfId="0" applyFont="1" applyFill="1" applyBorder="1" applyAlignment="1">
      <alignment vertical="top"/>
    </xf>
    <xf numFmtId="0" fontId="10" fillId="2" borderId="12"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13" xfId="0" applyFont="1" applyFill="1" applyBorder="1" applyAlignment="1">
      <alignment horizontal="center" vertical="center"/>
    </xf>
    <xf numFmtId="0" fontId="3" fillId="2" borderId="0" xfId="0" applyFont="1" applyFill="1" applyAlignment="1">
      <alignment vertical="top" wrapText="1"/>
    </xf>
    <xf numFmtId="0" fontId="48" fillId="2" borderId="0" xfId="0" applyFont="1" applyFill="1" applyAlignment="1">
      <alignment vertical="top"/>
    </xf>
    <xf numFmtId="0" fontId="48" fillId="2" borderId="5" xfId="0" applyFont="1" applyFill="1" applyBorder="1" applyAlignment="1">
      <alignment vertical="top"/>
    </xf>
    <xf numFmtId="0" fontId="48" fillId="2" borderId="7" xfId="0" applyFont="1" applyFill="1" applyBorder="1" applyAlignment="1">
      <alignment vertical="top"/>
    </xf>
    <xf numFmtId="0" fontId="48" fillId="2" borderId="8" xfId="0" applyFont="1" applyFill="1" applyBorder="1" applyAlignment="1">
      <alignment vertical="top"/>
    </xf>
    <xf numFmtId="41" fontId="49" fillId="2" borderId="1" xfId="0" applyNumberFormat="1" applyFont="1" applyFill="1" applyBorder="1" applyAlignment="1">
      <alignment horizontal="center" vertical="center"/>
    </xf>
    <xf numFmtId="41" fontId="49" fillId="2" borderId="2" xfId="0" applyNumberFormat="1" applyFont="1" applyFill="1" applyBorder="1" applyAlignment="1">
      <alignment horizontal="center" vertical="center"/>
    </xf>
    <xf numFmtId="41" fontId="49" fillId="2" borderId="3" xfId="0" applyNumberFormat="1" applyFont="1" applyFill="1" applyBorder="1" applyAlignment="1">
      <alignment horizontal="center" vertical="center"/>
    </xf>
    <xf numFmtId="41" fontId="49" fillId="2" borderId="4" xfId="0" applyNumberFormat="1" applyFont="1" applyFill="1" applyBorder="1" applyAlignment="1">
      <alignment horizontal="center" vertical="center"/>
    </xf>
    <xf numFmtId="41" fontId="49" fillId="2" borderId="0" xfId="0" applyNumberFormat="1" applyFont="1" applyFill="1" applyAlignment="1">
      <alignment horizontal="center" vertical="center"/>
    </xf>
    <xf numFmtId="41" fontId="49" fillId="2" borderId="5" xfId="0" applyNumberFormat="1" applyFont="1" applyFill="1" applyBorder="1" applyAlignment="1">
      <alignment horizontal="center" vertical="center"/>
    </xf>
    <xf numFmtId="41" fontId="49" fillId="2" borderId="16" xfId="0" applyNumberFormat="1" applyFont="1" applyFill="1" applyBorder="1" applyAlignment="1">
      <alignment horizontal="center" vertical="center"/>
    </xf>
    <xf numFmtId="41" fontId="49" fillId="2" borderId="17" xfId="0" applyNumberFormat="1" applyFont="1" applyFill="1" applyBorder="1" applyAlignment="1">
      <alignment horizontal="center" vertical="center"/>
    </xf>
    <xf numFmtId="41" fontId="49" fillId="2" borderId="18" xfId="0" applyNumberFormat="1" applyFont="1" applyFill="1" applyBorder="1" applyAlignment="1">
      <alignment horizontal="center" vertical="center"/>
    </xf>
    <xf numFmtId="0" fontId="2" fillId="2" borderId="0" xfId="0" applyFont="1" applyFill="1" applyAlignment="1">
      <alignment vertical="top" wrapText="1"/>
    </xf>
    <xf numFmtId="0" fontId="50" fillId="2" borderId="0" xfId="0" applyFont="1" applyFill="1" applyAlignment="1">
      <alignment vertical="top"/>
    </xf>
    <xf numFmtId="0" fontId="50" fillId="2" borderId="14" xfId="0" applyFont="1" applyFill="1" applyBorder="1" applyAlignment="1">
      <alignment vertical="top"/>
    </xf>
    <xf numFmtId="0" fontId="50" fillId="2" borderId="7" xfId="0" applyFont="1" applyFill="1" applyBorder="1" applyAlignment="1">
      <alignment vertical="top"/>
    </xf>
    <xf numFmtId="0" fontId="50" fillId="2" borderId="20" xfId="0" applyFont="1" applyFill="1" applyBorder="1" applyAlignment="1">
      <alignment vertical="top"/>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0" xfId="0" applyFont="1" applyFill="1" applyAlignment="1">
      <alignment horizontal="left" vertical="top" wrapText="1"/>
    </xf>
    <xf numFmtId="0" fontId="2" fillId="2" borderId="5" xfId="0" applyFont="1" applyFill="1" applyBorder="1" applyAlignment="1">
      <alignment horizontal="left" vertical="top" wrapText="1"/>
    </xf>
    <xf numFmtId="41" fontId="2" fillId="2" borderId="0" xfId="0" applyNumberFormat="1" applyFont="1" applyFill="1" applyAlignment="1">
      <alignment horizontal="left" vertical="center" wrapText="1"/>
    </xf>
    <xf numFmtId="41" fontId="2" fillId="2" borderId="5" xfId="0" applyNumberFormat="1" applyFont="1" applyFill="1" applyBorder="1" applyAlignment="1">
      <alignment horizontal="left" vertical="center" wrapText="1"/>
    </xf>
    <xf numFmtId="0" fontId="3" fillId="0" borderId="10" xfId="0" applyFont="1" applyBorder="1" applyAlignment="1">
      <alignment horizontal="center" vertical="center"/>
    </xf>
    <xf numFmtId="0" fontId="3" fillId="0" borderId="7" xfId="0" applyFont="1" applyBorder="1" applyAlignment="1">
      <alignment horizontal="center" vertical="center"/>
    </xf>
    <xf numFmtId="41" fontId="2" fillId="2" borderId="10" xfId="0" applyNumberFormat="1" applyFont="1" applyFill="1" applyBorder="1" applyAlignment="1">
      <alignment horizontal="center" vertical="center"/>
    </xf>
    <xf numFmtId="0" fontId="2" fillId="2" borderId="15"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0" xfId="0" applyFont="1" applyFill="1" applyBorder="1" applyAlignment="1">
      <alignment horizontal="center" vertical="center"/>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4" xfId="0" applyFont="1" applyBorder="1" applyAlignment="1">
      <alignment horizontal="center" vertical="center"/>
    </xf>
    <xf numFmtId="14" fontId="55" fillId="2" borderId="7" xfId="3" applyNumberFormat="1" applyFont="1" applyFill="1" applyBorder="1" applyAlignment="1">
      <alignment horizontal="left" vertical="center"/>
    </xf>
    <xf numFmtId="14" fontId="55" fillId="2" borderId="20" xfId="3" applyNumberFormat="1" applyFont="1" applyFill="1" applyBorder="1" applyAlignment="1">
      <alignment horizontal="left" vertical="center"/>
    </xf>
    <xf numFmtId="0" fontId="11" fillId="0" borderId="4" xfId="0" applyFont="1" applyBorder="1" applyAlignment="1">
      <alignment horizontal="center" vertical="center" wrapText="1"/>
    </xf>
    <xf numFmtId="0" fontId="11" fillId="0" borderId="0" xfId="0" applyFont="1" applyAlignment="1">
      <alignment horizontal="center" vertical="center"/>
    </xf>
    <xf numFmtId="0" fontId="11" fillId="0" borderId="14" xfId="0" applyFont="1" applyBorder="1" applyAlignment="1">
      <alignment horizontal="center" vertical="center"/>
    </xf>
    <xf numFmtId="0" fontId="11" fillId="0" borderId="4" xfId="0" applyFont="1" applyBorder="1" applyAlignment="1">
      <alignment horizontal="center" vertical="center"/>
    </xf>
    <xf numFmtId="0" fontId="56" fillId="2" borderId="0" xfId="0" applyFont="1" applyFill="1" applyAlignment="1">
      <alignment horizontal="center" vertical="center" wrapText="1"/>
    </xf>
    <xf numFmtId="0" fontId="56" fillId="2" borderId="1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33" fillId="0" borderId="0" xfId="0" applyFont="1" applyAlignment="1">
      <alignment horizontal="left" vertical="center" wrapText="1"/>
    </xf>
    <xf numFmtId="0" fontId="34"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51" fillId="2" borderId="0" xfId="0" applyFont="1" applyFill="1">
      <alignment vertical="center"/>
    </xf>
    <xf numFmtId="0" fontId="51" fillId="2" borderId="5" xfId="0" applyFont="1" applyFill="1" applyBorder="1">
      <alignment vertical="center"/>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6" fillId="2" borderId="17" xfId="6" applyFont="1" applyFill="1" applyBorder="1" applyAlignment="1">
      <alignment horizontal="center" vertical="center"/>
    </xf>
    <xf numFmtId="0" fontId="28" fillId="2" borderId="1"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6" xfId="6" applyFont="1" applyFill="1" applyBorder="1" applyAlignment="1">
      <alignment horizontal="center" vertical="center" wrapText="1"/>
    </xf>
    <xf numFmtId="0" fontId="28" fillId="2" borderId="7" xfId="6" applyFont="1" applyFill="1" applyBorder="1" applyAlignment="1">
      <alignment horizontal="center" vertical="center" wrapText="1"/>
    </xf>
    <xf numFmtId="0" fontId="28" fillId="2" borderId="8" xfId="6" applyFont="1" applyFill="1" applyBorder="1" applyAlignment="1">
      <alignment horizontal="center" vertical="center" wrapText="1"/>
    </xf>
    <xf numFmtId="0" fontId="27" fillId="2" borderId="10" xfId="6" applyFont="1" applyFill="1" applyBorder="1" applyAlignment="1">
      <alignment horizontal="left" vertical="top" wrapText="1"/>
    </xf>
    <xf numFmtId="0" fontId="27" fillId="2" borderId="10" xfId="6" applyFont="1" applyFill="1" applyBorder="1" applyAlignment="1">
      <alignment horizontal="left" vertical="top"/>
    </xf>
    <xf numFmtId="0" fontId="27" fillId="2" borderId="11" xfId="6" applyFont="1" applyFill="1" applyBorder="1" applyAlignment="1">
      <alignment horizontal="left" vertical="top"/>
    </xf>
    <xf numFmtId="0" fontId="27" fillId="3" borderId="0" xfId="6" applyFont="1" applyFill="1" applyAlignment="1">
      <alignment horizontal="left" vertical="top" wrapText="1"/>
    </xf>
    <xf numFmtId="0" fontId="27" fillId="3" borderId="14" xfId="6" applyFont="1" applyFill="1" applyBorder="1" applyAlignment="1">
      <alignment horizontal="left" vertical="top" wrapText="1"/>
    </xf>
    <xf numFmtId="0" fontId="45" fillId="0" borderId="0" xfId="0" applyFont="1" applyAlignment="1">
      <alignment horizontal="center" vertical="center"/>
    </xf>
    <xf numFmtId="0" fontId="39" fillId="0" borderId="36" xfId="0" applyFont="1" applyBorder="1" applyAlignment="1">
      <alignment horizontal="center" vertical="center"/>
    </xf>
    <xf numFmtId="0" fontId="39" fillId="0" borderId="43" xfId="0" applyFont="1" applyBorder="1" applyAlignment="1">
      <alignment horizontal="center" vertical="center"/>
    </xf>
    <xf numFmtId="0" fontId="39" fillId="0" borderId="37" xfId="0" applyFont="1" applyBorder="1" applyAlignment="1">
      <alignment horizontal="center" vertical="center" wrapText="1"/>
    </xf>
    <xf numFmtId="0" fontId="39" fillId="0" borderId="21" xfId="0" applyFont="1" applyBorder="1" applyAlignment="1">
      <alignment horizontal="center" vertical="center" wrapText="1"/>
    </xf>
    <xf numFmtId="41" fontId="39" fillId="0" borderId="38" xfId="1" applyFont="1" applyFill="1" applyBorder="1" applyAlignment="1">
      <alignment horizontal="center" vertical="center" wrapText="1"/>
    </xf>
    <xf numFmtId="41" fontId="39" fillId="0" borderId="39" xfId="1" applyFont="1" applyFill="1" applyBorder="1" applyAlignment="1">
      <alignment horizontal="center" vertical="center" wrapText="1"/>
    </xf>
    <xf numFmtId="173" fontId="39" fillId="0" borderId="40" xfId="0" applyNumberFormat="1" applyFont="1" applyBorder="1" applyAlignment="1">
      <alignment horizontal="center" vertical="center" wrapText="1"/>
    </xf>
    <xf numFmtId="173" fontId="39" fillId="0" borderId="41" xfId="0" applyNumberFormat="1" applyFont="1" applyBorder="1" applyAlignment="1">
      <alignment horizontal="center" vertical="center" wrapText="1"/>
    </xf>
    <xf numFmtId="0" fontId="39" fillId="0" borderId="42" xfId="0" applyFont="1" applyBorder="1" applyAlignment="1">
      <alignment horizontal="center" vertical="center" wrapText="1"/>
    </xf>
    <xf numFmtId="0" fontId="39" fillId="0" borderId="22" xfId="0" applyFont="1" applyBorder="1" applyAlignment="1">
      <alignment horizontal="center" vertical="center" wrapText="1"/>
    </xf>
  </cellXfs>
  <cellStyles count="14">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DB709A4B-42E8-4DC8-9587-CC1A30E4A5FE}"/>
    <cellStyle name="쉼표 [0] 6" xfId="5" xr:uid="{00000000-0005-0000-0000-000003000000}"/>
    <cellStyle name="쉼표 [0] 6 2" xfId="13" xr:uid="{BDA4EE3F-A04D-4C66-BCC1-5BF38C06F237}"/>
    <cellStyle name="표준 6" xfId="4" xr:uid="{00000000-0005-0000-0000-000005000000}"/>
    <cellStyle name="표준_080407 3항차 final packing List(r3)통합" xfId="10" xr:uid="{00000000-0005-0000-0000-000006000000}"/>
    <cellStyle name="표준_Cirebon Grating Pk'g list(서흥)_080910_final" xfId="6" xr:uid="{00000000-0005-0000-0000-000007000000}"/>
    <cellStyle name="표준_PACKINGLIST (철골_1항차)" xfId="7" xr:uid="{00000000-0005-0000-0000-000008000000}"/>
    <cellStyle name="표준_STG-PKL" xfId="3" xr:uid="{00000000-0005-0000-0000-00000A000000}"/>
    <cellStyle name="標準_Proforma PL cirebon 2" xfId="2" xr:uid="{00000000-0005-0000-0000-000009000000}"/>
  </cellStyles>
  <dxfs count="1">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1407917</xdr:colOff>
      <xdr:row>0</xdr:row>
      <xdr:rowOff>93672</xdr:rowOff>
    </xdr:from>
    <xdr:to>
      <xdr:col>9</xdr:col>
      <xdr:colOff>41595</xdr:colOff>
      <xdr:row>3</xdr:row>
      <xdr:rowOff>57150</xdr:rowOff>
    </xdr:to>
    <xdr:sp macro="" textlink="">
      <xdr:nvSpPr>
        <xdr:cNvPr id="2" name="TextBox 1">
          <a:extLst>
            <a:ext uri="{FF2B5EF4-FFF2-40B4-BE49-F238E27FC236}">
              <a16:creationId xmlns:a16="http://schemas.microsoft.com/office/drawing/2014/main" id="{95090C1D-DA60-4539-A22B-737534BEB39F}"/>
            </a:ext>
          </a:extLst>
        </xdr:cNvPr>
        <xdr:cNvSpPr txBox="1"/>
      </xdr:nvSpPr>
      <xdr:spPr>
        <a:xfrm>
          <a:off x="3598667" y="93672"/>
          <a:ext cx="7573571" cy="49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1503826</xdr:colOff>
      <xdr:row>1</xdr:row>
      <xdr:rowOff>282734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20</xdr:col>
      <xdr:colOff>1435922</xdr:colOff>
      <xdr:row>1</xdr:row>
      <xdr:rowOff>66040</xdr:rowOff>
    </xdr:from>
    <xdr:to>
      <xdr:col>21</xdr:col>
      <xdr:colOff>211827</xdr:colOff>
      <xdr:row>2</xdr:row>
      <xdr:rowOff>42862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14542322" y="180340"/>
          <a:ext cx="960308" cy="3070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1503191</xdr:colOff>
      <xdr:row>1</xdr:row>
      <xdr:rowOff>283369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254452</xdr:colOff>
      <xdr:row>1</xdr:row>
      <xdr:rowOff>92448</xdr:rowOff>
    </xdr:from>
    <xdr:to>
      <xdr:col>20</xdr:col>
      <xdr:colOff>559728</xdr:colOff>
      <xdr:row>2</xdr:row>
      <xdr:rowOff>59895</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5649233" y="211511"/>
          <a:ext cx="960120" cy="288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5CB1E1A7-F21B-4BD1-87ED-2DE720AB96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494936" cy="26765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514934</xdr:colOff>
      <xdr:row>2</xdr:row>
      <xdr:rowOff>20955</xdr:rowOff>
    </xdr:to>
    <xdr:pic>
      <xdr:nvPicPr>
        <xdr:cNvPr id="3" name="Picture 2">
          <a:extLst>
            <a:ext uri="{FF2B5EF4-FFF2-40B4-BE49-F238E27FC236}">
              <a16:creationId xmlns:a16="http://schemas.microsoft.com/office/drawing/2014/main" id="{604F501F-6360-4730-AA05-EE63D0C8BBAE}"/>
            </a:ext>
          </a:extLst>
        </xdr:cNvPr>
        <xdr:cNvPicPr>
          <a:picLocks noChangeAspect="1"/>
        </xdr:cNvPicPr>
      </xdr:nvPicPr>
      <xdr:blipFill>
        <a:blip xmlns:r="http://schemas.openxmlformats.org/officeDocument/2006/relationships" r:embed="rId2"/>
        <a:stretch>
          <a:fillRect/>
        </a:stretch>
      </xdr:blipFill>
      <xdr:spPr>
        <a:xfrm>
          <a:off x="7273923" y="247650"/>
          <a:ext cx="1019761" cy="332105"/>
        </a:xfrm>
        <a:prstGeom prst="rect">
          <a:avLst/>
        </a:prstGeom>
      </xdr:spPr>
    </xdr:pic>
    <xdr:clientData/>
  </xdr:twoCellAnchor>
  <xdr:twoCellAnchor editAs="oneCell">
    <xdr:from>
      <xdr:col>7</xdr:col>
      <xdr:colOff>66675</xdr:colOff>
      <xdr:row>39</xdr:row>
      <xdr:rowOff>38100</xdr:rowOff>
    </xdr:from>
    <xdr:to>
      <xdr:col>9</xdr:col>
      <xdr:colOff>475267</xdr:colOff>
      <xdr:row>44</xdr:row>
      <xdr:rowOff>134195</xdr:rowOff>
    </xdr:to>
    <xdr:pic>
      <xdr:nvPicPr>
        <xdr:cNvPr id="4" name="그림 4">
          <a:extLst>
            <a:ext uri="{FF2B5EF4-FFF2-40B4-BE49-F238E27FC236}">
              <a16:creationId xmlns:a16="http://schemas.microsoft.com/office/drawing/2014/main" id="{2A3BA376-C182-4531-BDF3-48B53B66987B}"/>
            </a:ext>
          </a:extLst>
        </xdr:cNvPr>
        <xdr:cNvPicPr>
          <a:picLocks noChangeAspect="1"/>
        </xdr:cNvPicPr>
      </xdr:nvPicPr>
      <xdr:blipFill>
        <a:blip xmlns:r="http://schemas.openxmlformats.org/officeDocument/2006/relationships" r:embed="rId3"/>
        <a:stretch>
          <a:fillRect/>
        </a:stretch>
      </xdr:blipFill>
      <xdr:spPr>
        <a:xfrm>
          <a:off x="5597525" y="10045700"/>
          <a:ext cx="1824642" cy="985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1407917</xdr:colOff>
      <xdr:row>0</xdr:row>
      <xdr:rowOff>93672</xdr:rowOff>
    </xdr:from>
    <xdr:to>
      <xdr:col>15</xdr:col>
      <xdr:colOff>41595</xdr:colOff>
      <xdr:row>3</xdr:row>
      <xdr:rowOff>57150</xdr:rowOff>
    </xdr:to>
    <xdr:sp macro="" textlink="">
      <xdr:nvSpPr>
        <xdr:cNvPr id="2" name="TextBox 1">
          <a:extLst>
            <a:ext uri="{FF2B5EF4-FFF2-40B4-BE49-F238E27FC236}">
              <a16:creationId xmlns:a16="http://schemas.microsoft.com/office/drawing/2014/main" id="{13F8EA5F-CFF3-4BC3-BD69-E4F03E10843E}"/>
            </a:ext>
          </a:extLst>
        </xdr:cNvPr>
        <xdr:cNvSpPr txBox="1"/>
      </xdr:nvSpPr>
      <xdr:spPr>
        <a:xfrm>
          <a:off x="3547867" y="93672"/>
          <a:ext cx="12819578" cy="458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514934</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66675</xdr:colOff>
      <xdr:row>39</xdr:row>
      <xdr:rowOff>38100</xdr:rowOff>
    </xdr:from>
    <xdr:to>
      <xdr:col>9</xdr:col>
      <xdr:colOff>475267</xdr:colOff>
      <xdr:row>44</xdr:row>
      <xdr:rowOff>134195</xdr:rowOff>
    </xdr:to>
    <xdr:pic>
      <xdr:nvPicPr>
        <xdr:cNvPr id="5" name="그림 4">
          <a:extLst>
            <a:ext uri="{FF2B5EF4-FFF2-40B4-BE49-F238E27FC236}">
              <a16:creationId xmlns:a16="http://schemas.microsoft.com/office/drawing/2014/main" id="{06E43351-736E-47EE-800A-C326178C3A3D}"/>
            </a:ext>
          </a:extLst>
        </xdr:cNvPr>
        <xdr:cNvPicPr>
          <a:picLocks noChangeAspect="1"/>
        </xdr:cNvPicPr>
      </xdr:nvPicPr>
      <xdr:blipFill>
        <a:blip xmlns:r="http://schemas.openxmlformats.org/officeDocument/2006/relationships" r:embed="rId3"/>
        <a:stretch>
          <a:fillRect/>
        </a:stretch>
      </xdr:blipFill>
      <xdr:spPr>
        <a:xfrm>
          <a:off x="5248275" y="11020425"/>
          <a:ext cx="1839247" cy="945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1431436</xdr:colOff>
      <xdr:row>1</xdr:row>
      <xdr:rowOff>134144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821112</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93345</xdr:colOff>
      <xdr:row>41</xdr:row>
      <xdr:rowOff>74772</xdr:rowOff>
    </xdr:from>
    <xdr:to>
      <xdr:col>9</xdr:col>
      <xdr:colOff>306819</xdr:colOff>
      <xdr:row>46</xdr:row>
      <xdr:rowOff>144570</xdr:rowOff>
    </xdr:to>
    <xdr:pic>
      <xdr:nvPicPr>
        <xdr:cNvPr id="5" name="그림 4">
          <a:extLst>
            <a:ext uri="{FF2B5EF4-FFF2-40B4-BE49-F238E27FC236}">
              <a16:creationId xmlns:a16="http://schemas.microsoft.com/office/drawing/2014/main" id="{E6B4D181-27B0-4F3A-A494-3BBD45AED036}"/>
            </a:ext>
          </a:extLst>
        </xdr:cNvPr>
        <xdr:cNvPicPr>
          <a:picLocks noChangeAspect="1"/>
        </xdr:cNvPicPr>
      </xdr:nvPicPr>
      <xdr:blipFill>
        <a:blip xmlns:r="http://schemas.openxmlformats.org/officeDocument/2006/relationships" r:embed="rId3"/>
        <a:stretch>
          <a:fillRect/>
        </a:stretch>
      </xdr:blipFill>
      <xdr:spPr>
        <a:xfrm>
          <a:off x="5760720" y="10302241"/>
          <a:ext cx="1832724" cy="9070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73</xdr:row>
      <xdr:rowOff>0</xdr:rowOff>
    </xdr:from>
    <xdr:to>
      <xdr:col>5</xdr:col>
      <xdr:colOff>0</xdr:colOff>
      <xdr:row>73</xdr:row>
      <xdr:rowOff>0</xdr:rowOff>
    </xdr:to>
    <xdr:sp macro="" textlink="">
      <xdr:nvSpPr>
        <xdr:cNvPr id="2" name="Text Box 3">
          <a:extLst>
            <a:ext uri="{FF2B5EF4-FFF2-40B4-BE49-F238E27FC236}">
              <a16:creationId xmlns:a16="http://schemas.microsoft.com/office/drawing/2014/main" id="{ADC473BA-3411-4A8B-9C9C-E69045BFF1A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73</xdr:row>
      <xdr:rowOff>0</xdr:rowOff>
    </xdr:from>
    <xdr:to>
      <xdr:col>5</xdr:col>
      <xdr:colOff>0</xdr:colOff>
      <xdr:row>73</xdr:row>
      <xdr:rowOff>0</xdr:rowOff>
    </xdr:to>
    <xdr:sp macro="" textlink="">
      <xdr:nvSpPr>
        <xdr:cNvPr id="3" name="Text Box 4">
          <a:extLst>
            <a:ext uri="{FF2B5EF4-FFF2-40B4-BE49-F238E27FC236}">
              <a16:creationId xmlns:a16="http://schemas.microsoft.com/office/drawing/2014/main" id="{05C90271-AA78-44F6-B1F7-316BEE4FCD5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73</xdr:row>
      <xdr:rowOff>0</xdr:rowOff>
    </xdr:from>
    <xdr:to>
      <xdr:col>5</xdr:col>
      <xdr:colOff>0</xdr:colOff>
      <xdr:row>73</xdr:row>
      <xdr:rowOff>0</xdr:rowOff>
    </xdr:to>
    <xdr:sp macro="" textlink="">
      <xdr:nvSpPr>
        <xdr:cNvPr id="4" name="Text Box 5">
          <a:extLst>
            <a:ext uri="{FF2B5EF4-FFF2-40B4-BE49-F238E27FC236}">
              <a16:creationId xmlns:a16="http://schemas.microsoft.com/office/drawing/2014/main" id="{A718320C-B64B-424A-9A49-4D42B407A836}"/>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51</xdr:row>
      <xdr:rowOff>0</xdr:rowOff>
    </xdr:from>
    <xdr:to>
      <xdr:col>5</xdr:col>
      <xdr:colOff>0</xdr:colOff>
      <xdr:row>51</xdr:row>
      <xdr:rowOff>0</xdr:rowOff>
    </xdr:to>
    <xdr:sp macro="" textlink="">
      <xdr:nvSpPr>
        <xdr:cNvPr id="5" name="Text Box 6">
          <a:extLst>
            <a:ext uri="{FF2B5EF4-FFF2-40B4-BE49-F238E27FC236}">
              <a16:creationId xmlns:a16="http://schemas.microsoft.com/office/drawing/2014/main" id="{4EBFCF58-D3B6-44B0-83F2-6233017A0DE7}"/>
            </a:ext>
          </a:extLst>
        </xdr:cNvPr>
        <xdr:cNvSpPr txBox="1">
          <a:spLocks noChangeArrowheads="1"/>
        </xdr:cNvSpPr>
      </xdr:nvSpPr>
      <xdr:spPr bwMode="auto">
        <a:xfrm>
          <a:off x="3048000" y="190804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B1D7ECB-BAF3-4B76-9F87-BE254F9CC5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277008</xdr:colOff>
      <xdr:row>39</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182880"/>
          <a:ext cx="4970928" cy="77677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4:X138"/>
  <sheetViews>
    <sheetView showGridLines="0" view="pageBreakPreview" zoomScale="83" zoomScaleNormal="100" zoomScaleSheetLayoutView="83" workbookViewId="0">
      <selection activeCell="C100" sqref="C100"/>
    </sheetView>
  </sheetViews>
  <sheetFormatPr defaultColWidth="8.76953125" defaultRowHeight="14.25"/>
  <cols>
    <col min="1" max="1" width="6.546875" style="57" customWidth="1"/>
    <col min="2" max="3" width="21.3984375" style="57" customWidth="1"/>
    <col min="4" max="4" width="33.09375" style="57" bestFit="1" customWidth="1"/>
    <col min="5" max="5" width="11.34375" style="57" customWidth="1"/>
    <col min="6" max="6" width="10.171875" style="57" customWidth="1"/>
    <col min="7" max="7" width="8.65234375" style="62" customWidth="1"/>
    <col min="8" max="8" width="5.37890625" style="62" customWidth="1"/>
    <col min="9" max="9" width="9.8203125" style="62" bestFit="1" customWidth="1"/>
    <col min="10" max="10" width="9.12109375" style="57" customWidth="1"/>
    <col min="11" max="11" width="10.5234375" style="57" customWidth="1"/>
    <col min="12" max="12" width="30.75390625" style="57" customWidth="1"/>
    <col min="13" max="13" width="10.0546875" style="57" bestFit="1" customWidth="1"/>
    <col min="14" max="14" width="9.703125" style="57" hidden="1" customWidth="1"/>
    <col min="15" max="16" width="9.5859375" style="57" hidden="1" customWidth="1"/>
    <col min="17" max="21" width="0" style="57" hidden="1" customWidth="1"/>
    <col min="22" max="22" width="1.05078125" style="57" customWidth="1"/>
    <col min="23" max="23" width="10.40625" style="57" bestFit="1" customWidth="1"/>
    <col min="24" max="16384" width="8.76953125" style="57"/>
  </cols>
  <sheetData>
    <row r="4" spans="1:21">
      <c r="U4" s="57">
        <v>1</v>
      </c>
    </row>
    <row r="5" spans="1:21">
      <c r="A5" s="388" t="s">
        <v>156</v>
      </c>
      <c r="B5" s="388"/>
      <c r="C5" s="386"/>
      <c r="D5" s="58" t="str">
        <f>'Commercial Invoice'!H5</f>
        <v>OM4-DE-IS-0004</v>
      </c>
      <c r="E5" s="59"/>
      <c r="F5" s="58" t="s">
        <v>125</v>
      </c>
      <c r="G5" s="389"/>
      <c r="H5" s="389"/>
      <c r="I5" s="389"/>
      <c r="J5" s="60"/>
      <c r="K5" s="147"/>
      <c r="L5" s="147" t="str">
        <f>'Commercial Invoice'!G6</f>
        <v>DATE:</v>
      </c>
      <c r="M5" s="147">
        <f>'Commercial Invoice'!H6</f>
        <v>46171</v>
      </c>
      <c r="U5" s="57">
        <v>2</v>
      </c>
    </row>
    <row r="6" spans="1:21">
      <c r="B6" s="61"/>
      <c r="C6" s="386"/>
      <c r="D6" s="61"/>
      <c r="U6" s="57">
        <v>3</v>
      </c>
    </row>
    <row r="7" spans="1:21" ht="47.25" customHeight="1">
      <c r="A7" s="261" t="s">
        <v>27</v>
      </c>
      <c r="B7" s="262" t="s">
        <v>28</v>
      </c>
      <c r="C7" s="263" t="s">
        <v>424</v>
      </c>
      <c r="D7" s="263" t="s">
        <v>18</v>
      </c>
      <c r="E7" s="264" t="s">
        <v>29</v>
      </c>
      <c r="F7" s="264" t="s">
        <v>30</v>
      </c>
      <c r="G7" s="63" t="s">
        <v>20</v>
      </c>
      <c r="H7" s="63" t="s">
        <v>19</v>
      </c>
      <c r="I7" s="264" t="s">
        <v>157</v>
      </c>
      <c r="J7" s="264" t="s">
        <v>21</v>
      </c>
      <c r="K7" s="264" t="s">
        <v>22</v>
      </c>
      <c r="L7" s="264" t="s">
        <v>291</v>
      </c>
      <c r="M7" s="264" t="s">
        <v>327</v>
      </c>
      <c r="U7" s="57">
        <v>4</v>
      </c>
    </row>
    <row r="8" spans="1:21" ht="15.75">
      <c r="A8" s="63">
        <v>1</v>
      </c>
      <c r="B8" s="262" t="s">
        <v>290</v>
      </c>
      <c r="C8" s="263" t="s">
        <v>422</v>
      </c>
      <c r="D8" s="287" t="s">
        <v>335</v>
      </c>
      <c r="E8" s="264" t="s">
        <v>282</v>
      </c>
      <c r="F8" s="264" t="s">
        <v>288</v>
      </c>
      <c r="G8" s="332">
        <v>13</v>
      </c>
      <c r="H8" s="332" t="s">
        <v>222</v>
      </c>
      <c r="I8" s="288">
        <v>163.13725490196077</v>
      </c>
      <c r="J8" s="284">
        <v>65.06</v>
      </c>
      <c r="K8" s="284">
        <v>845.82</v>
      </c>
      <c r="L8" s="284" t="s">
        <v>230</v>
      </c>
      <c r="M8" s="284" t="s">
        <v>328</v>
      </c>
    </row>
    <row r="9" spans="1:21" ht="15.75">
      <c r="A9" s="63">
        <v>2</v>
      </c>
      <c r="B9" s="262" t="s">
        <v>290</v>
      </c>
      <c r="C9" s="263" t="s">
        <v>422</v>
      </c>
      <c r="D9" s="287" t="s">
        <v>335</v>
      </c>
      <c r="E9" s="264" t="s">
        <v>282</v>
      </c>
      <c r="F9" s="264" t="s">
        <v>288</v>
      </c>
      <c r="G9" s="332">
        <v>19</v>
      </c>
      <c r="H9" s="332" t="s">
        <v>222</v>
      </c>
      <c r="I9" s="288">
        <v>238.43137254901961</v>
      </c>
      <c r="J9" s="284">
        <v>65.06</v>
      </c>
      <c r="K9" s="284">
        <v>1236.2</v>
      </c>
      <c r="L9" s="284" t="s">
        <v>231</v>
      </c>
      <c r="M9" s="284" t="s">
        <v>328</v>
      </c>
    </row>
    <row r="10" spans="1:21" ht="15.75">
      <c r="A10" s="63">
        <v>3</v>
      </c>
      <c r="B10" s="262" t="s">
        <v>290</v>
      </c>
      <c r="C10" s="263" t="s">
        <v>422</v>
      </c>
      <c r="D10" s="287" t="s">
        <v>335</v>
      </c>
      <c r="E10" s="264" t="s">
        <v>282</v>
      </c>
      <c r="F10" s="264" t="s">
        <v>288</v>
      </c>
      <c r="G10" s="332">
        <v>10</v>
      </c>
      <c r="H10" s="332" t="s">
        <v>222</v>
      </c>
      <c r="I10" s="288">
        <v>125.49019607843137</v>
      </c>
      <c r="J10" s="284">
        <v>65.06</v>
      </c>
      <c r="K10" s="284">
        <v>650.63</v>
      </c>
      <c r="L10" s="284" t="s">
        <v>232</v>
      </c>
      <c r="M10" s="284" t="s">
        <v>328</v>
      </c>
    </row>
    <row r="11" spans="1:21" ht="15.75">
      <c r="A11" s="63">
        <v>4</v>
      </c>
      <c r="B11" s="63" t="s">
        <v>290</v>
      </c>
      <c r="C11" s="263" t="s">
        <v>422</v>
      </c>
      <c r="D11" s="287" t="s">
        <v>177</v>
      </c>
      <c r="E11" s="264" t="s">
        <v>282</v>
      </c>
      <c r="F11" s="264" t="s">
        <v>288</v>
      </c>
      <c r="G11" s="332">
        <v>4</v>
      </c>
      <c r="H11" s="332" t="s">
        <v>222</v>
      </c>
      <c r="I11" s="288">
        <v>50.196078431372548</v>
      </c>
      <c r="J11" s="284">
        <v>65.06</v>
      </c>
      <c r="K11" s="284">
        <v>260.25</v>
      </c>
      <c r="L11" s="284" t="s">
        <v>228</v>
      </c>
      <c r="M11" s="284" t="s">
        <v>328</v>
      </c>
    </row>
    <row r="12" spans="1:21" ht="15.75">
      <c r="A12" s="63">
        <v>5</v>
      </c>
      <c r="B12" s="262" t="s">
        <v>290</v>
      </c>
      <c r="C12" s="263" t="s">
        <v>422</v>
      </c>
      <c r="D12" s="287" t="s">
        <v>177</v>
      </c>
      <c r="E12" s="264" t="s">
        <v>282</v>
      </c>
      <c r="F12" s="264" t="s">
        <v>288</v>
      </c>
      <c r="G12" s="332">
        <v>5</v>
      </c>
      <c r="H12" s="332" t="s">
        <v>222</v>
      </c>
      <c r="I12" s="288">
        <v>62.745098039215684</v>
      </c>
      <c r="J12" s="284">
        <v>65.06</v>
      </c>
      <c r="K12" s="284">
        <v>325.32</v>
      </c>
      <c r="L12" s="284" t="s">
        <v>229</v>
      </c>
      <c r="M12" s="284" t="s">
        <v>328</v>
      </c>
    </row>
    <row r="13" spans="1:21" ht="15.75">
      <c r="A13" s="63">
        <v>6</v>
      </c>
      <c r="B13" s="262" t="s">
        <v>292</v>
      </c>
      <c r="C13" s="263" t="s">
        <v>422</v>
      </c>
      <c r="D13" s="287" t="s">
        <v>177</v>
      </c>
      <c r="E13" s="264" t="s">
        <v>282</v>
      </c>
      <c r="F13" s="264" t="s">
        <v>288</v>
      </c>
      <c r="G13" s="332">
        <v>29</v>
      </c>
      <c r="H13" s="332" t="s">
        <v>222</v>
      </c>
      <c r="I13" s="288">
        <v>470</v>
      </c>
      <c r="J13" s="284">
        <v>84.03</v>
      </c>
      <c r="K13" s="284">
        <v>2436.8200000000002</v>
      </c>
      <c r="L13" s="284" t="s">
        <v>233</v>
      </c>
      <c r="M13" s="284" t="s">
        <v>328</v>
      </c>
    </row>
    <row r="14" spans="1:21" ht="15.75">
      <c r="A14" s="63">
        <v>7</v>
      </c>
      <c r="B14" s="262" t="s">
        <v>293</v>
      </c>
      <c r="C14" s="263" t="s">
        <v>422</v>
      </c>
      <c r="D14" s="287" t="s">
        <v>335</v>
      </c>
      <c r="E14" s="264" t="s">
        <v>282</v>
      </c>
      <c r="F14" s="264" t="s">
        <v>288</v>
      </c>
      <c r="G14" s="332">
        <v>38</v>
      </c>
      <c r="H14" s="332" t="s">
        <v>222</v>
      </c>
      <c r="I14" s="288">
        <v>639.51219512195121</v>
      </c>
      <c r="J14" s="284">
        <v>87.26</v>
      </c>
      <c r="K14" s="284">
        <v>3315.7</v>
      </c>
      <c r="L14" s="284" t="s">
        <v>234</v>
      </c>
      <c r="M14" s="284" t="s">
        <v>328</v>
      </c>
    </row>
    <row r="15" spans="1:21" ht="15.75">
      <c r="A15" s="63">
        <v>8</v>
      </c>
      <c r="B15" s="262" t="s">
        <v>293</v>
      </c>
      <c r="C15" s="263" t="s">
        <v>422</v>
      </c>
      <c r="D15" s="287" t="s">
        <v>335</v>
      </c>
      <c r="E15" s="264" t="s">
        <v>282</v>
      </c>
      <c r="F15" s="264" t="s">
        <v>288</v>
      </c>
      <c r="G15" s="332">
        <v>3</v>
      </c>
      <c r="H15" s="332" t="s">
        <v>222</v>
      </c>
      <c r="I15" s="288">
        <v>50.487804878048777</v>
      </c>
      <c r="J15" s="284">
        <v>87.26</v>
      </c>
      <c r="K15" s="284">
        <v>261.77</v>
      </c>
      <c r="L15" s="284" t="s">
        <v>235</v>
      </c>
      <c r="M15" s="284" t="s">
        <v>328</v>
      </c>
    </row>
    <row r="16" spans="1:21" ht="15.75">
      <c r="A16" s="63">
        <v>9</v>
      </c>
      <c r="B16" s="262" t="s">
        <v>294</v>
      </c>
      <c r="C16" s="263" t="s">
        <v>422</v>
      </c>
      <c r="D16" s="287" t="s">
        <v>177</v>
      </c>
      <c r="E16" s="264" t="s">
        <v>282</v>
      </c>
      <c r="F16" s="264" t="s">
        <v>288</v>
      </c>
      <c r="G16" s="332">
        <v>17</v>
      </c>
      <c r="H16" s="332" t="s">
        <v>222</v>
      </c>
      <c r="I16" s="288">
        <v>672.91666666666674</v>
      </c>
      <c r="J16" s="284">
        <v>205.23</v>
      </c>
      <c r="K16" s="284">
        <v>3488.89</v>
      </c>
      <c r="L16" s="284" t="s">
        <v>226</v>
      </c>
      <c r="M16" s="284" t="s">
        <v>328</v>
      </c>
    </row>
    <row r="17" spans="1:13" ht="15.75">
      <c r="A17" s="63">
        <v>10</v>
      </c>
      <c r="B17" s="262" t="s">
        <v>294</v>
      </c>
      <c r="C17" s="263" t="s">
        <v>422</v>
      </c>
      <c r="D17" s="287" t="s">
        <v>177</v>
      </c>
      <c r="E17" s="264" t="s">
        <v>282</v>
      </c>
      <c r="F17" s="264" t="s">
        <v>288</v>
      </c>
      <c r="G17" s="332">
        <v>7</v>
      </c>
      <c r="H17" s="332" t="s">
        <v>222</v>
      </c>
      <c r="I17" s="288">
        <v>277.08333333333337</v>
      </c>
      <c r="J17" s="284">
        <v>205.23</v>
      </c>
      <c r="K17" s="284">
        <v>1436.6</v>
      </c>
      <c r="L17" s="284" t="s">
        <v>227</v>
      </c>
      <c r="M17" s="284" t="s">
        <v>328</v>
      </c>
    </row>
    <row r="18" spans="1:13" ht="15.75">
      <c r="A18" s="63">
        <v>11</v>
      </c>
      <c r="B18" s="262" t="s">
        <v>295</v>
      </c>
      <c r="C18" s="263" t="s">
        <v>422</v>
      </c>
      <c r="D18" s="287" t="s">
        <v>177</v>
      </c>
      <c r="E18" s="264" t="s">
        <v>282</v>
      </c>
      <c r="F18" s="264" t="s">
        <v>288</v>
      </c>
      <c r="G18" s="332">
        <v>46</v>
      </c>
      <c r="H18" s="332" t="s">
        <v>222</v>
      </c>
      <c r="I18" s="288">
        <v>606.03174603174602</v>
      </c>
      <c r="J18" s="284">
        <v>68.31</v>
      </c>
      <c r="K18" s="284">
        <v>3142.11</v>
      </c>
      <c r="L18" s="284" t="s">
        <v>223</v>
      </c>
      <c r="M18" s="284" t="s">
        <v>328</v>
      </c>
    </row>
    <row r="19" spans="1:13" ht="15.75">
      <c r="A19" s="63">
        <v>12</v>
      </c>
      <c r="B19" s="262" t="s">
        <v>295</v>
      </c>
      <c r="C19" s="263" t="s">
        <v>422</v>
      </c>
      <c r="D19" s="287" t="s">
        <v>177</v>
      </c>
      <c r="E19" s="264" t="s">
        <v>282</v>
      </c>
      <c r="F19" s="264" t="s">
        <v>288</v>
      </c>
      <c r="G19" s="332">
        <v>17</v>
      </c>
      <c r="H19" s="332" t="s">
        <v>222</v>
      </c>
      <c r="I19" s="288">
        <v>223.96825396825395</v>
      </c>
      <c r="J19" s="284">
        <v>68.31</v>
      </c>
      <c r="K19" s="284">
        <v>1161.22</v>
      </c>
      <c r="L19" s="284" t="s">
        <v>224</v>
      </c>
      <c r="M19" s="284" t="s">
        <v>328</v>
      </c>
    </row>
    <row r="20" spans="1:13" ht="15.75">
      <c r="A20" s="63">
        <v>13</v>
      </c>
      <c r="B20" s="262" t="s">
        <v>296</v>
      </c>
      <c r="C20" s="263" t="s">
        <v>422</v>
      </c>
      <c r="D20" s="287" t="s">
        <v>177</v>
      </c>
      <c r="E20" s="264" t="s">
        <v>282</v>
      </c>
      <c r="F20" s="264" t="s">
        <v>288</v>
      </c>
      <c r="G20" s="332">
        <v>6</v>
      </c>
      <c r="H20" s="332" t="s">
        <v>222</v>
      </c>
      <c r="I20" s="288">
        <v>37.89473684210526</v>
      </c>
      <c r="J20" s="284">
        <v>32.75</v>
      </c>
      <c r="K20" s="284">
        <v>196.47</v>
      </c>
      <c r="L20" s="284" t="s">
        <v>236</v>
      </c>
      <c r="M20" s="284" t="s">
        <v>328</v>
      </c>
    </row>
    <row r="21" spans="1:13" ht="15.75">
      <c r="A21" s="63">
        <v>14</v>
      </c>
      <c r="B21" s="262" t="s">
        <v>296</v>
      </c>
      <c r="C21" s="263" t="s">
        <v>422</v>
      </c>
      <c r="D21" s="287" t="s">
        <v>177</v>
      </c>
      <c r="E21" s="264" t="s">
        <v>282</v>
      </c>
      <c r="F21" s="264" t="s">
        <v>288</v>
      </c>
      <c r="G21" s="332">
        <v>10</v>
      </c>
      <c r="H21" s="332" t="s">
        <v>222</v>
      </c>
      <c r="I21" s="288">
        <v>63.15789473684211</v>
      </c>
      <c r="J21" s="284">
        <v>32.75</v>
      </c>
      <c r="K21" s="284">
        <v>327.45999999999998</v>
      </c>
      <c r="L21" s="284" t="s">
        <v>237</v>
      </c>
      <c r="M21" s="284" t="s">
        <v>328</v>
      </c>
    </row>
    <row r="22" spans="1:13" ht="15.75">
      <c r="A22" s="63">
        <v>15</v>
      </c>
      <c r="B22" s="262" t="s">
        <v>296</v>
      </c>
      <c r="C22" s="263" t="s">
        <v>422</v>
      </c>
      <c r="D22" s="287" t="s">
        <v>177</v>
      </c>
      <c r="E22" s="264" t="s">
        <v>282</v>
      </c>
      <c r="F22" s="264" t="s">
        <v>288</v>
      </c>
      <c r="G22" s="332">
        <v>22</v>
      </c>
      <c r="H22" s="332" t="s">
        <v>222</v>
      </c>
      <c r="I22" s="288">
        <v>138.94736842105263</v>
      </c>
      <c r="J22" s="284">
        <v>32.75</v>
      </c>
      <c r="K22" s="284">
        <v>720.4</v>
      </c>
      <c r="L22" s="284" t="s">
        <v>238</v>
      </c>
      <c r="M22" s="284" t="s">
        <v>328</v>
      </c>
    </row>
    <row r="23" spans="1:13" ht="15.75">
      <c r="A23" s="63">
        <v>16</v>
      </c>
      <c r="B23" s="262" t="s">
        <v>297</v>
      </c>
      <c r="C23" s="263" t="s">
        <v>422</v>
      </c>
      <c r="D23" s="287" t="s">
        <v>177</v>
      </c>
      <c r="E23" s="264" t="s">
        <v>282</v>
      </c>
      <c r="F23" s="264" t="s">
        <v>288</v>
      </c>
      <c r="G23" s="332">
        <v>32</v>
      </c>
      <c r="H23" s="332" t="s">
        <v>222</v>
      </c>
      <c r="I23" s="288">
        <v>1580</v>
      </c>
      <c r="J23" s="284">
        <v>256</v>
      </c>
      <c r="K23" s="284">
        <v>8191.88</v>
      </c>
      <c r="L23" s="284" t="s">
        <v>239</v>
      </c>
      <c r="M23" s="284" t="s">
        <v>328</v>
      </c>
    </row>
    <row r="24" spans="1:13" ht="15.75">
      <c r="A24" s="63">
        <v>17</v>
      </c>
      <c r="B24" s="262" t="s">
        <v>298</v>
      </c>
      <c r="C24" s="263" t="s">
        <v>422</v>
      </c>
      <c r="D24" s="287" t="s">
        <v>177</v>
      </c>
      <c r="E24" s="264" t="s">
        <v>282</v>
      </c>
      <c r="F24" s="264" t="s">
        <v>288</v>
      </c>
      <c r="G24" s="332">
        <v>32</v>
      </c>
      <c r="H24" s="332" t="s">
        <v>222</v>
      </c>
      <c r="I24" s="288">
        <v>1580</v>
      </c>
      <c r="J24" s="284">
        <v>256</v>
      </c>
      <c r="K24" s="284">
        <v>8191.88</v>
      </c>
      <c r="L24" s="284" t="s">
        <v>226</v>
      </c>
      <c r="M24" s="284" t="s">
        <v>328</v>
      </c>
    </row>
    <row r="25" spans="1:13" ht="15.75">
      <c r="A25" s="63">
        <v>18</v>
      </c>
      <c r="B25" s="262" t="s">
        <v>299</v>
      </c>
      <c r="C25" s="263" t="s">
        <v>422</v>
      </c>
      <c r="D25" s="287" t="s">
        <v>177</v>
      </c>
      <c r="E25" s="264" t="s">
        <v>282</v>
      </c>
      <c r="F25" s="264" t="s">
        <v>288</v>
      </c>
      <c r="G25" s="332">
        <v>25</v>
      </c>
      <c r="H25" s="332" t="s">
        <v>222</v>
      </c>
      <c r="I25" s="288">
        <v>1120.6896551724139</v>
      </c>
      <c r="J25" s="284">
        <v>232.42</v>
      </c>
      <c r="K25" s="284">
        <v>5810.48</v>
      </c>
      <c r="L25" s="284" t="s">
        <v>240</v>
      </c>
      <c r="M25" s="284" t="s">
        <v>328</v>
      </c>
    </row>
    <row r="26" spans="1:13" ht="15.75">
      <c r="A26" s="63">
        <v>19</v>
      </c>
      <c r="B26" s="262" t="s">
        <v>299</v>
      </c>
      <c r="C26" s="263" t="s">
        <v>422</v>
      </c>
      <c r="D26" s="287" t="s">
        <v>177</v>
      </c>
      <c r="E26" s="264" t="s">
        <v>282</v>
      </c>
      <c r="F26" s="264" t="s">
        <v>288</v>
      </c>
      <c r="G26" s="332">
        <v>4</v>
      </c>
      <c r="H26" s="332" t="s">
        <v>222</v>
      </c>
      <c r="I26" s="288">
        <v>179.31034482758622</v>
      </c>
      <c r="J26" s="284">
        <v>232.42</v>
      </c>
      <c r="K26" s="284">
        <v>929.68</v>
      </c>
      <c r="L26" s="284" t="s">
        <v>241</v>
      </c>
      <c r="M26" s="284" t="s">
        <v>328</v>
      </c>
    </row>
    <row r="27" spans="1:13" ht="15.75">
      <c r="A27" s="63">
        <v>20</v>
      </c>
      <c r="B27" s="262" t="s">
        <v>300</v>
      </c>
      <c r="C27" s="263" t="s">
        <v>422</v>
      </c>
      <c r="D27" s="287" t="s">
        <v>177</v>
      </c>
      <c r="E27" s="264" t="s">
        <v>282</v>
      </c>
      <c r="F27" s="264" t="s">
        <v>288</v>
      </c>
      <c r="G27" s="332">
        <v>17</v>
      </c>
      <c r="H27" s="332" t="s">
        <v>222</v>
      </c>
      <c r="I27" s="288">
        <v>595</v>
      </c>
      <c r="J27" s="284">
        <v>181.47</v>
      </c>
      <c r="K27" s="284">
        <v>3084.92</v>
      </c>
      <c r="L27" s="284" t="s">
        <v>242</v>
      </c>
      <c r="M27" s="284" t="s">
        <v>328</v>
      </c>
    </row>
    <row r="28" spans="1:13" ht="15.75">
      <c r="A28" s="63">
        <v>21</v>
      </c>
      <c r="B28" s="262" t="s">
        <v>300</v>
      </c>
      <c r="C28" s="263" t="s">
        <v>422</v>
      </c>
      <c r="D28" s="287" t="s">
        <v>177</v>
      </c>
      <c r="E28" s="264" t="s">
        <v>282</v>
      </c>
      <c r="F28" s="264" t="s">
        <v>288</v>
      </c>
      <c r="G28" s="332">
        <v>13</v>
      </c>
      <c r="H28" s="332" t="s">
        <v>222</v>
      </c>
      <c r="I28" s="288">
        <v>455</v>
      </c>
      <c r="J28" s="284">
        <v>181.47</v>
      </c>
      <c r="K28" s="284">
        <v>2359.0500000000002</v>
      </c>
      <c r="L28" s="284" t="s">
        <v>243</v>
      </c>
      <c r="M28" s="284" t="s">
        <v>328</v>
      </c>
    </row>
    <row r="29" spans="1:13" ht="15.75">
      <c r="A29" s="63">
        <v>22</v>
      </c>
      <c r="B29" s="262" t="s">
        <v>301</v>
      </c>
      <c r="C29" s="263" t="s">
        <v>422</v>
      </c>
      <c r="D29" s="287" t="s">
        <v>335</v>
      </c>
      <c r="E29" s="264" t="s">
        <v>282</v>
      </c>
      <c r="F29" s="264" t="s">
        <v>288</v>
      </c>
      <c r="G29" s="332">
        <v>35</v>
      </c>
      <c r="H29" s="332" t="s">
        <v>222</v>
      </c>
      <c r="I29" s="288">
        <v>1730</v>
      </c>
      <c r="J29" s="284">
        <v>256.27</v>
      </c>
      <c r="K29" s="284">
        <v>8969.59</v>
      </c>
      <c r="L29" s="284" t="s">
        <v>244</v>
      </c>
      <c r="M29" s="284" t="s">
        <v>328</v>
      </c>
    </row>
    <row r="30" spans="1:13" ht="15.75">
      <c r="A30" s="63">
        <v>23</v>
      </c>
      <c r="B30" s="262" t="s">
        <v>302</v>
      </c>
      <c r="C30" s="263" t="s">
        <v>422</v>
      </c>
      <c r="D30" s="287" t="s">
        <v>335</v>
      </c>
      <c r="E30" s="264" t="s">
        <v>282</v>
      </c>
      <c r="F30" s="264" t="s">
        <v>288</v>
      </c>
      <c r="G30" s="332">
        <v>36</v>
      </c>
      <c r="H30" s="332" t="s">
        <v>222</v>
      </c>
      <c r="I30" s="288">
        <v>1780</v>
      </c>
      <c r="J30" s="284">
        <v>256.36</v>
      </c>
      <c r="K30" s="284">
        <v>9228.82</v>
      </c>
      <c r="L30" s="284" t="s">
        <v>244</v>
      </c>
      <c r="M30" s="284" t="s">
        <v>328</v>
      </c>
    </row>
    <row r="31" spans="1:13" ht="15.75">
      <c r="A31" s="63">
        <v>24</v>
      </c>
      <c r="B31" s="262" t="s">
        <v>303</v>
      </c>
      <c r="C31" s="263" t="s">
        <v>422</v>
      </c>
      <c r="D31" s="287" t="s">
        <v>335</v>
      </c>
      <c r="E31" s="264" t="s">
        <v>282</v>
      </c>
      <c r="F31" s="264" t="s">
        <v>288</v>
      </c>
      <c r="G31" s="332">
        <v>32</v>
      </c>
      <c r="H31" s="332" t="s">
        <v>222</v>
      </c>
      <c r="I31" s="288">
        <v>1080</v>
      </c>
      <c r="J31" s="284">
        <v>174.98</v>
      </c>
      <c r="K31" s="284">
        <v>5599.51</v>
      </c>
      <c r="L31" s="284" t="s">
        <v>245</v>
      </c>
      <c r="M31" s="284" t="s">
        <v>328</v>
      </c>
    </row>
    <row r="32" spans="1:13" ht="15.75">
      <c r="A32" s="63">
        <v>25</v>
      </c>
      <c r="B32" s="262" t="s">
        <v>304</v>
      </c>
      <c r="C32" s="263" t="s">
        <v>422</v>
      </c>
      <c r="D32" s="287" t="s">
        <v>335</v>
      </c>
      <c r="E32" s="264" t="s">
        <v>282</v>
      </c>
      <c r="F32" s="264" t="s">
        <v>288</v>
      </c>
      <c r="G32" s="332">
        <v>34</v>
      </c>
      <c r="H32" s="332" t="s">
        <v>222</v>
      </c>
      <c r="I32" s="288">
        <v>1150</v>
      </c>
      <c r="J32" s="284">
        <f>ROUND(K32/G32,2)</f>
        <v>197.74</v>
      </c>
      <c r="K32" s="284">
        <v>6723.2799999999961</v>
      </c>
      <c r="L32" s="284" t="s">
        <v>245</v>
      </c>
      <c r="M32" s="284" t="s">
        <v>328</v>
      </c>
    </row>
    <row r="33" spans="1:13" ht="15.75">
      <c r="A33" s="63">
        <v>26</v>
      </c>
      <c r="B33" s="262" t="s">
        <v>305</v>
      </c>
      <c r="C33" s="263" t="s">
        <v>422</v>
      </c>
      <c r="D33" s="287" t="s">
        <v>335</v>
      </c>
      <c r="E33" s="264" t="s">
        <v>282</v>
      </c>
      <c r="F33" s="264" t="s">
        <v>288</v>
      </c>
      <c r="G33" s="332">
        <v>36</v>
      </c>
      <c r="H33" s="332" t="s">
        <v>222</v>
      </c>
      <c r="I33" s="288">
        <v>1780</v>
      </c>
      <c r="J33" s="284">
        <v>256.36</v>
      </c>
      <c r="K33" s="284">
        <v>9228.82</v>
      </c>
      <c r="L33" s="284" t="s">
        <v>244</v>
      </c>
      <c r="M33" s="284" t="s">
        <v>328</v>
      </c>
    </row>
    <row r="34" spans="1:13" ht="15.75">
      <c r="A34" s="63">
        <v>27</v>
      </c>
      <c r="B34" s="262" t="s">
        <v>306</v>
      </c>
      <c r="C34" s="263" t="s">
        <v>422</v>
      </c>
      <c r="D34" s="287" t="s">
        <v>177</v>
      </c>
      <c r="E34" s="264" t="s">
        <v>282</v>
      </c>
      <c r="F34" s="264" t="s">
        <v>288</v>
      </c>
      <c r="G34" s="332">
        <v>1</v>
      </c>
      <c r="H34" s="332" t="s">
        <v>246</v>
      </c>
      <c r="I34" s="288">
        <v>32.222222222222221</v>
      </c>
      <c r="J34" s="284">
        <v>167.06</v>
      </c>
      <c r="K34" s="284">
        <v>167.06</v>
      </c>
      <c r="L34" s="284" t="s">
        <v>247</v>
      </c>
      <c r="M34" s="284" t="s">
        <v>328</v>
      </c>
    </row>
    <row r="35" spans="1:13" ht="15.75">
      <c r="A35" s="63">
        <v>28</v>
      </c>
      <c r="B35" s="262" t="s">
        <v>306</v>
      </c>
      <c r="C35" s="263" t="s">
        <v>422</v>
      </c>
      <c r="D35" s="287" t="s">
        <v>177</v>
      </c>
      <c r="E35" s="264" t="s">
        <v>282</v>
      </c>
      <c r="F35" s="264" t="s">
        <v>288</v>
      </c>
      <c r="G35" s="332">
        <v>1</v>
      </c>
      <c r="H35" s="332" t="s">
        <v>246</v>
      </c>
      <c r="I35" s="288">
        <v>32.222222222222221</v>
      </c>
      <c r="J35" s="284">
        <v>167.06</v>
      </c>
      <c r="K35" s="284">
        <v>167.06</v>
      </c>
      <c r="L35" s="284" t="s">
        <v>248</v>
      </c>
      <c r="M35" s="284" t="s">
        <v>328</v>
      </c>
    </row>
    <row r="36" spans="1:13" ht="15.75">
      <c r="A36" s="63">
        <v>29</v>
      </c>
      <c r="B36" s="262" t="s">
        <v>306</v>
      </c>
      <c r="C36" s="263" t="s">
        <v>422</v>
      </c>
      <c r="D36" s="287" t="s">
        <v>177</v>
      </c>
      <c r="E36" s="264" t="s">
        <v>282</v>
      </c>
      <c r="F36" s="264" t="s">
        <v>288</v>
      </c>
      <c r="G36" s="332">
        <v>1</v>
      </c>
      <c r="H36" s="332" t="s">
        <v>246</v>
      </c>
      <c r="I36" s="288">
        <v>32.222222222222221</v>
      </c>
      <c r="J36" s="284">
        <v>167.06</v>
      </c>
      <c r="K36" s="284">
        <v>167.06</v>
      </c>
      <c r="L36" s="284" t="s">
        <v>249</v>
      </c>
      <c r="M36" s="284" t="s">
        <v>328</v>
      </c>
    </row>
    <row r="37" spans="1:13" ht="15.75">
      <c r="A37" s="63">
        <v>30</v>
      </c>
      <c r="B37" s="262" t="s">
        <v>306</v>
      </c>
      <c r="C37" s="263" t="s">
        <v>422</v>
      </c>
      <c r="D37" s="287" t="s">
        <v>177</v>
      </c>
      <c r="E37" s="264" t="s">
        <v>282</v>
      </c>
      <c r="F37" s="264" t="s">
        <v>288</v>
      </c>
      <c r="G37" s="332">
        <v>2</v>
      </c>
      <c r="H37" s="332" t="s">
        <v>222</v>
      </c>
      <c r="I37" s="288">
        <v>64.444444444444443</v>
      </c>
      <c r="J37" s="284">
        <v>167.07</v>
      </c>
      <c r="K37" s="284">
        <v>334.14</v>
      </c>
      <c r="L37" s="284" t="s">
        <v>250</v>
      </c>
      <c r="M37" s="284" t="s">
        <v>328</v>
      </c>
    </row>
    <row r="38" spans="1:13" ht="15.75">
      <c r="A38" s="63">
        <v>31</v>
      </c>
      <c r="B38" s="262" t="s">
        <v>306</v>
      </c>
      <c r="C38" s="263" t="s">
        <v>422</v>
      </c>
      <c r="D38" s="287" t="s">
        <v>177</v>
      </c>
      <c r="E38" s="264" t="s">
        <v>282</v>
      </c>
      <c r="F38" s="264" t="s">
        <v>288</v>
      </c>
      <c r="G38" s="332">
        <v>1</v>
      </c>
      <c r="H38" s="332" t="s">
        <v>246</v>
      </c>
      <c r="I38" s="288">
        <v>32.222222222222221</v>
      </c>
      <c r="J38" s="284">
        <v>167.06</v>
      </c>
      <c r="K38" s="284">
        <v>167.06</v>
      </c>
      <c r="L38" s="284" t="s">
        <v>251</v>
      </c>
      <c r="M38" s="284" t="s">
        <v>328</v>
      </c>
    </row>
    <row r="39" spans="1:13" ht="15.75">
      <c r="A39" s="63">
        <v>32</v>
      </c>
      <c r="B39" s="262" t="s">
        <v>306</v>
      </c>
      <c r="C39" s="263" t="s">
        <v>422</v>
      </c>
      <c r="D39" s="287" t="s">
        <v>177</v>
      </c>
      <c r="E39" s="264" t="s">
        <v>282</v>
      </c>
      <c r="F39" s="264" t="s">
        <v>288</v>
      </c>
      <c r="G39" s="332">
        <v>1</v>
      </c>
      <c r="H39" s="332" t="s">
        <v>246</v>
      </c>
      <c r="I39" s="288">
        <v>32.222222222222221</v>
      </c>
      <c r="J39" s="284">
        <v>167.06</v>
      </c>
      <c r="K39" s="284">
        <v>167.06</v>
      </c>
      <c r="L39" s="284" t="s">
        <v>252</v>
      </c>
      <c r="M39" s="284" t="s">
        <v>328</v>
      </c>
    </row>
    <row r="40" spans="1:13" ht="15.75">
      <c r="A40" s="63">
        <v>33</v>
      </c>
      <c r="B40" s="262" t="s">
        <v>306</v>
      </c>
      <c r="C40" s="263" t="s">
        <v>422</v>
      </c>
      <c r="D40" s="287" t="s">
        <v>177</v>
      </c>
      <c r="E40" s="264" t="s">
        <v>282</v>
      </c>
      <c r="F40" s="264" t="s">
        <v>288</v>
      </c>
      <c r="G40" s="332">
        <v>2</v>
      </c>
      <c r="H40" s="332" t="s">
        <v>222</v>
      </c>
      <c r="I40" s="288">
        <v>64.444444444444443</v>
      </c>
      <c r="J40" s="284">
        <v>167.07</v>
      </c>
      <c r="K40" s="284">
        <v>334.13</v>
      </c>
      <c r="L40" s="284" t="s">
        <v>253</v>
      </c>
      <c r="M40" s="284" t="s">
        <v>328</v>
      </c>
    </row>
    <row r="41" spans="1:13" ht="15.75">
      <c r="A41" s="63">
        <v>34</v>
      </c>
      <c r="B41" s="262" t="s">
        <v>307</v>
      </c>
      <c r="C41" s="263" t="s">
        <v>422</v>
      </c>
      <c r="D41" s="287" t="s">
        <v>337</v>
      </c>
      <c r="E41" s="264" t="s">
        <v>282</v>
      </c>
      <c r="F41" s="264" t="s">
        <v>288</v>
      </c>
      <c r="G41" s="332">
        <v>5</v>
      </c>
      <c r="H41" s="332" t="s">
        <v>222</v>
      </c>
      <c r="I41" s="288">
        <v>175</v>
      </c>
      <c r="J41" s="284">
        <v>181.47</v>
      </c>
      <c r="K41" s="284">
        <v>907.33</v>
      </c>
      <c r="L41" s="284" t="s">
        <v>255</v>
      </c>
      <c r="M41" s="284" t="s">
        <v>328</v>
      </c>
    </row>
    <row r="42" spans="1:13" ht="15.75">
      <c r="A42" s="63">
        <v>35</v>
      </c>
      <c r="B42" s="262" t="s">
        <v>307</v>
      </c>
      <c r="C42" s="263" t="s">
        <v>422</v>
      </c>
      <c r="D42" s="287" t="s">
        <v>339</v>
      </c>
      <c r="E42" s="264" t="s">
        <v>282</v>
      </c>
      <c r="F42" s="264" t="s">
        <v>288</v>
      </c>
      <c r="G42" s="63">
        <v>5</v>
      </c>
      <c r="H42" s="217" t="s">
        <v>254</v>
      </c>
      <c r="I42" s="288">
        <v>175</v>
      </c>
      <c r="J42" s="284">
        <v>181.47</v>
      </c>
      <c r="K42" s="284">
        <v>907.33</v>
      </c>
      <c r="L42" s="284" t="s">
        <v>256</v>
      </c>
      <c r="M42" s="284" t="s">
        <v>328</v>
      </c>
    </row>
    <row r="43" spans="1:13" ht="15.75">
      <c r="A43" s="63">
        <v>36</v>
      </c>
      <c r="B43" s="262" t="s">
        <v>307</v>
      </c>
      <c r="C43" s="263" t="s">
        <v>422</v>
      </c>
      <c r="D43" s="287" t="s">
        <v>341</v>
      </c>
      <c r="E43" s="264" t="s">
        <v>282</v>
      </c>
      <c r="F43" s="264" t="s">
        <v>288</v>
      </c>
      <c r="G43" s="63">
        <v>5</v>
      </c>
      <c r="H43" s="217" t="s">
        <v>254</v>
      </c>
      <c r="I43" s="288">
        <v>175</v>
      </c>
      <c r="J43" s="284">
        <v>181.47</v>
      </c>
      <c r="K43" s="284">
        <v>907.33</v>
      </c>
      <c r="L43" s="284" t="s">
        <v>257</v>
      </c>
      <c r="M43" s="284" t="s">
        <v>328</v>
      </c>
    </row>
    <row r="44" spans="1:13" ht="15.75">
      <c r="A44" s="63">
        <v>37</v>
      </c>
      <c r="B44" s="262" t="s">
        <v>307</v>
      </c>
      <c r="C44" s="263" t="s">
        <v>422</v>
      </c>
      <c r="D44" s="287" t="s">
        <v>342</v>
      </c>
      <c r="E44" s="264" t="s">
        <v>282</v>
      </c>
      <c r="F44" s="264" t="s">
        <v>288</v>
      </c>
      <c r="G44" s="63">
        <v>5</v>
      </c>
      <c r="H44" s="217" t="s">
        <v>254</v>
      </c>
      <c r="I44" s="288">
        <v>175</v>
      </c>
      <c r="J44" s="284">
        <v>181.47</v>
      </c>
      <c r="K44" s="284">
        <v>907.33</v>
      </c>
      <c r="L44" s="284" t="s">
        <v>258</v>
      </c>
      <c r="M44" s="284" t="s">
        <v>328</v>
      </c>
    </row>
    <row r="45" spans="1:13" ht="15.75">
      <c r="A45" s="63">
        <v>38</v>
      </c>
      <c r="B45" s="262" t="s">
        <v>308</v>
      </c>
      <c r="C45" s="263" t="s">
        <v>422</v>
      </c>
      <c r="D45" s="287" t="s">
        <v>337</v>
      </c>
      <c r="E45" s="264" t="s">
        <v>282</v>
      </c>
      <c r="F45" s="264" t="s">
        <v>288</v>
      </c>
      <c r="G45" s="332">
        <v>5</v>
      </c>
      <c r="H45" s="332" t="s">
        <v>222</v>
      </c>
      <c r="I45" s="288">
        <v>175</v>
      </c>
      <c r="J45" s="284">
        <v>181.47</v>
      </c>
      <c r="K45" s="284">
        <v>907.33</v>
      </c>
      <c r="L45" s="284" t="s">
        <v>255</v>
      </c>
      <c r="M45" s="284" t="s">
        <v>328</v>
      </c>
    </row>
    <row r="46" spans="1:13" ht="15.75">
      <c r="A46" s="63">
        <v>39</v>
      </c>
      <c r="B46" s="262" t="s">
        <v>308</v>
      </c>
      <c r="C46" s="263" t="s">
        <v>422</v>
      </c>
      <c r="D46" s="287" t="s">
        <v>339</v>
      </c>
      <c r="E46" s="264" t="s">
        <v>282</v>
      </c>
      <c r="F46" s="264" t="s">
        <v>288</v>
      </c>
      <c r="G46" s="63">
        <v>5</v>
      </c>
      <c r="H46" s="217" t="s">
        <v>254</v>
      </c>
      <c r="I46" s="288">
        <v>175</v>
      </c>
      <c r="J46" s="284">
        <v>181.47</v>
      </c>
      <c r="K46" s="284">
        <v>907.33</v>
      </c>
      <c r="L46" s="284" t="s">
        <v>256</v>
      </c>
      <c r="M46" s="284" t="s">
        <v>328</v>
      </c>
    </row>
    <row r="47" spans="1:13" ht="15.75">
      <c r="A47" s="63">
        <v>40</v>
      </c>
      <c r="B47" s="262" t="s">
        <v>308</v>
      </c>
      <c r="C47" s="263" t="s">
        <v>422</v>
      </c>
      <c r="D47" s="287" t="s">
        <v>341</v>
      </c>
      <c r="E47" s="264" t="s">
        <v>282</v>
      </c>
      <c r="F47" s="264" t="s">
        <v>288</v>
      </c>
      <c r="G47" s="63">
        <v>5</v>
      </c>
      <c r="H47" s="217" t="s">
        <v>254</v>
      </c>
      <c r="I47" s="288">
        <v>175</v>
      </c>
      <c r="J47" s="284">
        <v>181.47</v>
      </c>
      <c r="K47" s="284">
        <v>907.33</v>
      </c>
      <c r="L47" s="284" t="s">
        <v>257</v>
      </c>
      <c r="M47" s="284" t="s">
        <v>328</v>
      </c>
    </row>
    <row r="48" spans="1:13" ht="15.75">
      <c r="A48" s="63">
        <v>41</v>
      </c>
      <c r="B48" s="262" t="s">
        <v>308</v>
      </c>
      <c r="C48" s="263" t="s">
        <v>422</v>
      </c>
      <c r="D48" s="287" t="s">
        <v>342</v>
      </c>
      <c r="E48" s="264" t="s">
        <v>282</v>
      </c>
      <c r="F48" s="264" t="s">
        <v>288</v>
      </c>
      <c r="G48" s="63">
        <v>5</v>
      </c>
      <c r="H48" s="217" t="s">
        <v>254</v>
      </c>
      <c r="I48" s="288">
        <v>175</v>
      </c>
      <c r="J48" s="284">
        <v>181.47</v>
      </c>
      <c r="K48" s="284">
        <v>907.33</v>
      </c>
      <c r="L48" s="284" t="s">
        <v>258</v>
      </c>
      <c r="M48" s="284" t="s">
        <v>328</v>
      </c>
    </row>
    <row r="49" spans="1:13" ht="15.75">
      <c r="A49" s="63">
        <v>42</v>
      </c>
      <c r="B49" s="262" t="s">
        <v>309</v>
      </c>
      <c r="C49" s="263" t="s">
        <v>422</v>
      </c>
      <c r="D49" s="287" t="s">
        <v>337</v>
      </c>
      <c r="E49" s="264" t="s">
        <v>282</v>
      </c>
      <c r="F49" s="264" t="s">
        <v>288</v>
      </c>
      <c r="G49" s="332">
        <v>5</v>
      </c>
      <c r="H49" s="332" t="s">
        <v>222</v>
      </c>
      <c r="I49" s="288">
        <v>175</v>
      </c>
      <c r="J49" s="284">
        <v>181.47</v>
      </c>
      <c r="K49" s="284">
        <v>907.33</v>
      </c>
      <c r="L49" s="284" t="s">
        <v>255</v>
      </c>
      <c r="M49" s="284" t="s">
        <v>328</v>
      </c>
    </row>
    <row r="50" spans="1:13" ht="15.75">
      <c r="A50" s="63">
        <v>43</v>
      </c>
      <c r="B50" s="262" t="s">
        <v>309</v>
      </c>
      <c r="C50" s="263" t="s">
        <v>422</v>
      </c>
      <c r="D50" s="287" t="s">
        <v>339</v>
      </c>
      <c r="E50" s="264" t="s">
        <v>282</v>
      </c>
      <c r="F50" s="264" t="s">
        <v>288</v>
      </c>
      <c r="G50" s="63">
        <v>5</v>
      </c>
      <c r="H50" s="217" t="s">
        <v>254</v>
      </c>
      <c r="I50" s="288">
        <v>175</v>
      </c>
      <c r="J50" s="284">
        <v>181.47</v>
      </c>
      <c r="K50" s="284">
        <v>907.33</v>
      </c>
      <c r="L50" s="284" t="s">
        <v>256</v>
      </c>
      <c r="M50" s="284" t="s">
        <v>328</v>
      </c>
    </row>
    <row r="51" spans="1:13" ht="15.75">
      <c r="A51" s="63">
        <v>44</v>
      </c>
      <c r="B51" s="262" t="s">
        <v>309</v>
      </c>
      <c r="C51" s="263" t="s">
        <v>422</v>
      </c>
      <c r="D51" s="287" t="s">
        <v>341</v>
      </c>
      <c r="E51" s="264" t="s">
        <v>282</v>
      </c>
      <c r="F51" s="264" t="s">
        <v>288</v>
      </c>
      <c r="G51" s="63">
        <v>5</v>
      </c>
      <c r="H51" s="217" t="s">
        <v>254</v>
      </c>
      <c r="I51" s="288">
        <v>175</v>
      </c>
      <c r="J51" s="284">
        <v>181.47</v>
      </c>
      <c r="K51" s="284">
        <v>907.33</v>
      </c>
      <c r="L51" s="284" t="s">
        <v>257</v>
      </c>
      <c r="M51" s="284" t="s">
        <v>328</v>
      </c>
    </row>
    <row r="52" spans="1:13" ht="15.75">
      <c r="A52" s="63">
        <v>45</v>
      </c>
      <c r="B52" s="262" t="s">
        <v>309</v>
      </c>
      <c r="C52" s="263" t="s">
        <v>422</v>
      </c>
      <c r="D52" s="287" t="s">
        <v>342</v>
      </c>
      <c r="E52" s="264" t="s">
        <v>282</v>
      </c>
      <c r="F52" s="264" t="s">
        <v>288</v>
      </c>
      <c r="G52" s="63">
        <v>5</v>
      </c>
      <c r="H52" s="217" t="s">
        <v>254</v>
      </c>
      <c r="I52" s="288">
        <v>175</v>
      </c>
      <c r="J52" s="284">
        <v>181.47</v>
      </c>
      <c r="K52" s="284">
        <v>907.33</v>
      </c>
      <c r="L52" s="284" t="s">
        <v>258</v>
      </c>
      <c r="M52" s="284" t="s">
        <v>328</v>
      </c>
    </row>
    <row r="53" spans="1:13" ht="15.75">
      <c r="A53" s="63">
        <v>46</v>
      </c>
      <c r="B53" s="262" t="s">
        <v>310</v>
      </c>
      <c r="C53" s="263" t="s">
        <v>422</v>
      </c>
      <c r="D53" s="287" t="s">
        <v>337</v>
      </c>
      <c r="E53" s="264" t="s">
        <v>282</v>
      </c>
      <c r="F53" s="264" t="s">
        <v>288</v>
      </c>
      <c r="G53" s="332">
        <v>5</v>
      </c>
      <c r="H53" s="332" t="s">
        <v>222</v>
      </c>
      <c r="I53" s="288">
        <v>175</v>
      </c>
      <c r="J53" s="284">
        <v>181.47</v>
      </c>
      <c r="K53" s="284">
        <v>907.33</v>
      </c>
      <c r="L53" s="284" t="s">
        <v>255</v>
      </c>
      <c r="M53" s="284" t="s">
        <v>328</v>
      </c>
    </row>
    <row r="54" spans="1:13" ht="15.75">
      <c r="A54" s="63">
        <v>47</v>
      </c>
      <c r="B54" s="262" t="s">
        <v>310</v>
      </c>
      <c r="C54" s="263" t="s">
        <v>422</v>
      </c>
      <c r="D54" s="287" t="s">
        <v>339</v>
      </c>
      <c r="E54" s="264" t="s">
        <v>282</v>
      </c>
      <c r="F54" s="264" t="s">
        <v>288</v>
      </c>
      <c r="G54" s="63">
        <v>5</v>
      </c>
      <c r="H54" s="217" t="s">
        <v>254</v>
      </c>
      <c r="I54" s="288">
        <v>175</v>
      </c>
      <c r="J54" s="284">
        <v>181.47</v>
      </c>
      <c r="K54" s="284">
        <v>907.33</v>
      </c>
      <c r="L54" s="284" t="s">
        <v>256</v>
      </c>
      <c r="M54" s="284" t="s">
        <v>328</v>
      </c>
    </row>
    <row r="55" spans="1:13" ht="15.75">
      <c r="A55" s="63">
        <v>48</v>
      </c>
      <c r="B55" s="262" t="s">
        <v>310</v>
      </c>
      <c r="C55" s="263" t="s">
        <v>422</v>
      </c>
      <c r="D55" s="287" t="s">
        <v>341</v>
      </c>
      <c r="E55" s="264" t="s">
        <v>282</v>
      </c>
      <c r="F55" s="264" t="s">
        <v>288</v>
      </c>
      <c r="G55" s="63">
        <v>5</v>
      </c>
      <c r="H55" s="217" t="s">
        <v>254</v>
      </c>
      <c r="I55" s="288">
        <v>175</v>
      </c>
      <c r="J55" s="284">
        <v>181.47</v>
      </c>
      <c r="K55" s="284">
        <v>907.33</v>
      </c>
      <c r="L55" s="284" t="s">
        <v>257</v>
      </c>
      <c r="M55" s="284" t="s">
        <v>328</v>
      </c>
    </row>
    <row r="56" spans="1:13" ht="15.75">
      <c r="A56" s="63">
        <v>49</v>
      </c>
      <c r="B56" s="262" t="s">
        <v>310</v>
      </c>
      <c r="C56" s="263" t="s">
        <v>422</v>
      </c>
      <c r="D56" s="287" t="s">
        <v>342</v>
      </c>
      <c r="E56" s="264" t="s">
        <v>282</v>
      </c>
      <c r="F56" s="264" t="s">
        <v>288</v>
      </c>
      <c r="G56" s="63">
        <v>5</v>
      </c>
      <c r="H56" s="217" t="s">
        <v>254</v>
      </c>
      <c r="I56" s="288">
        <v>175</v>
      </c>
      <c r="J56" s="284">
        <v>181.47</v>
      </c>
      <c r="K56" s="284">
        <v>907.33</v>
      </c>
      <c r="L56" s="284" t="s">
        <v>258</v>
      </c>
      <c r="M56" s="284" t="s">
        <v>328</v>
      </c>
    </row>
    <row r="57" spans="1:13" ht="15.75">
      <c r="A57" s="63">
        <v>50</v>
      </c>
      <c r="B57" s="262" t="s">
        <v>311</v>
      </c>
      <c r="C57" s="263" t="s">
        <v>423</v>
      </c>
      <c r="D57" s="287" t="s">
        <v>337</v>
      </c>
      <c r="E57" s="264" t="s">
        <v>282</v>
      </c>
      <c r="F57" s="264" t="s">
        <v>288</v>
      </c>
      <c r="G57" s="332">
        <v>5</v>
      </c>
      <c r="H57" s="332" t="s">
        <v>222</v>
      </c>
      <c r="I57" s="288">
        <v>175</v>
      </c>
      <c r="J57" s="284">
        <v>181.47</v>
      </c>
      <c r="K57" s="284">
        <v>907.33</v>
      </c>
      <c r="L57" s="284" t="s">
        <v>255</v>
      </c>
      <c r="M57" s="284" t="s">
        <v>328</v>
      </c>
    </row>
    <row r="58" spans="1:13" ht="15.75">
      <c r="A58" s="63">
        <v>51</v>
      </c>
      <c r="B58" s="262" t="s">
        <v>311</v>
      </c>
      <c r="C58" s="263" t="s">
        <v>423</v>
      </c>
      <c r="D58" s="287" t="s">
        <v>339</v>
      </c>
      <c r="E58" s="264" t="s">
        <v>282</v>
      </c>
      <c r="F58" s="264" t="s">
        <v>288</v>
      </c>
      <c r="G58" s="63">
        <v>5</v>
      </c>
      <c r="H58" s="217" t="s">
        <v>254</v>
      </c>
      <c r="I58" s="288">
        <v>175</v>
      </c>
      <c r="J58" s="284">
        <v>181.47</v>
      </c>
      <c r="K58" s="284">
        <v>907.33</v>
      </c>
      <c r="L58" s="284" t="s">
        <v>256</v>
      </c>
      <c r="M58" s="284" t="s">
        <v>328</v>
      </c>
    </row>
    <row r="59" spans="1:13" ht="15.75">
      <c r="A59" s="63">
        <v>52</v>
      </c>
      <c r="B59" s="262" t="s">
        <v>311</v>
      </c>
      <c r="C59" s="263" t="s">
        <v>423</v>
      </c>
      <c r="D59" s="287" t="s">
        <v>341</v>
      </c>
      <c r="E59" s="264" t="s">
        <v>282</v>
      </c>
      <c r="F59" s="264" t="s">
        <v>288</v>
      </c>
      <c r="G59" s="63">
        <v>5</v>
      </c>
      <c r="H59" s="217" t="s">
        <v>254</v>
      </c>
      <c r="I59" s="288">
        <v>175</v>
      </c>
      <c r="J59" s="284">
        <v>181.47</v>
      </c>
      <c r="K59" s="284">
        <v>907.33</v>
      </c>
      <c r="L59" s="284" t="s">
        <v>257</v>
      </c>
      <c r="M59" s="284" t="s">
        <v>328</v>
      </c>
    </row>
    <row r="60" spans="1:13" ht="15.75">
      <c r="A60" s="63">
        <v>53</v>
      </c>
      <c r="B60" s="262" t="s">
        <v>311</v>
      </c>
      <c r="C60" s="263" t="s">
        <v>423</v>
      </c>
      <c r="D60" s="287" t="s">
        <v>342</v>
      </c>
      <c r="E60" s="264" t="s">
        <v>282</v>
      </c>
      <c r="F60" s="264" t="s">
        <v>288</v>
      </c>
      <c r="G60" s="63">
        <v>5</v>
      </c>
      <c r="H60" s="217" t="s">
        <v>254</v>
      </c>
      <c r="I60" s="288">
        <v>175</v>
      </c>
      <c r="J60" s="284">
        <v>181.47</v>
      </c>
      <c r="K60" s="284">
        <v>907.33</v>
      </c>
      <c r="L60" s="284" t="s">
        <v>258</v>
      </c>
      <c r="M60" s="284" t="s">
        <v>328</v>
      </c>
    </row>
    <row r="61" spans="1:13" ht="15.75">
      <c r="A61" s="63">
        <v>54</v>
      </c>
      <c r="B61" s="262" t="s">
        <v>312</v>
      </c>
      <c r="C61" s="263" t="s">
        <v>423</v>
      </c>
      <c r="D61" s="287" t="s">
        <v>337</v>
      </c>
      <c r="E61" s="264" t="s">
        <v>282</v>
      </c>
      <c r="F61" s="264" t="s">
        <v>288</v>
      </c>
      <c r="G61" s="332">
        <v>5</v>
      </c>
      <c r="H61" s="332" t="s">
        <v>222</v>
      </c>
      <c r="I61" s="288">
        <v>175</v>
      </c>
      <c r="J61" s="284">
        <v>181.47</v>
      </c>
      <c r="K61" s="284">
        <v>907.33</v>
      </c>
      <c r="L61" s="284" t="s">
        <v>255</v>
      </c>
      <c r="M61" s="284" t="s">
        <v>328</v>
      </c>
    </row>
    <row r="62" spans="1:13" ht="15.75">
      <c r="A62" s="63">
        <v>55</v>
      </c>
      <c r="B62" s="262" t="s">
        <v>312</v>
      </c>
      <c r="C62" s="263" t="s">
        <v>423</v>
      </c>
      <c r="D62" s="287" t="s">
        <v>339</v>
      </c>
      <c r="E62" s="264" t="s">
        <v>282</v>
      </c>
      <c r="F62" s="264" t="s">
        <v>288</v>
      </c>
      <c r="G62" s="63">
        <v>5</v>
      </c>
      <c r="H62" s="217" t="s">
        <v>254</v>
      </c>
      <c r="I62" s="288">
        <v>175</v>
      </c>
      <c r="J62" s="284">
        <v>181.47</v>
      </c>
      <c r="K62" s="284">
        <v>907.33</v>
      </c>
      <c r="L62" s="284" t="s">
        <v>256</v>
      </c>
      <c r="M62" s="284" t="s">
        <v>328</v>
      </c>
    </row>
    <row r="63" spans="1:13" ht="15.75">
      <c r="A63" s="63">
        <v>56</v>
      </c>
      <c r="B63" s="262" t="s">
        <v>312</v>
      </c>
      <c r="C63" s="263" t="s">
        <v>423</v>
      </c>
      <c r="D63" s="287" t="s">
        <v>341</v>
      </c>
      <c r="E63" s="264" t="s">
        <v>282</v>
      </c>
      <c r="F63" s="264" t="s">
        <v>288</v>
      </c>
      <c r="G63" s="63">
        <v>5</v>
      </c>
      <c r="H63" s="217" t="s">
        <v>254</v>
      </c>
      <c r="I63" s="288">
        <v>175</v>
      </c>
      <c r="J63" s="284">
        <v>181.47</v>
      </c>
      <c r="K63" s="284">
        <v>907.33</v>
      </c>
      <c r="L63" s="284" t="s">
        <v>257</v>
      </c>
      <c r="M63" s="284" t="s">
        <v>328</v>
      </c>
    </row>
    <row r="64" spans="1:13" ht="15.75">
      <c r="A64" s="63">
        <v>57</v>
      </c>
      <c r="B64" s="262" t="s">
        <v>312</v>
      </c>
      <c r="C64" s="263" t="s">
        <v>423</v>
      </c>
      <c r="D64" s="287" t="s">
        <v>342</v>
      </c>
      <c r="E64" s="264" t="s">
        <v>282</v>
      </c>
      <c r="F64" s="264" t="s">
        <v>288</v>
      </c>
      <c r="G64" s="63">
        <v>5</v>
      </c>
      <c r="H64" s="217" t="s">
        <v>254</v>
      </c>
      <c r="I64" s="288">
        <v>175</v>
      </c>
      <c r="J64" s="284">
        <v>181.47</v>
      </c>
      <c r="K64" s="284">
        <v>907.33</v>
      </c>
      <c r="L64" s="284" t="s">
        <v>258</v>
      </c>
      <c r="M64" s="284" t="s">
        <v>328</v>
      </c>
    </row>
    <row r="65" spans="1:13" ht="15.75">
      <c r="A65" s="63">
        <v>58</v>
      </c>
      <c r="B65" s="262" t="s">
        <v>313</v>
      </c>
      <c r="C65" s="263" t="s">
        <v>423</v>
      </c>
      <c r="D65" s="287" t="s">
        <v>337</v>
      </c>
      <c r="E65" s="264" t="s">
        <v>282</v>
      </c>
      <c r="F65" s="264" t="s">
        <v>288</v>
      </c>
      <c r="G65" s="332">
        <v>5</v>
      </c>
      <c r="H65" s="332" t="s">
        <v>222</v>
      </c>
      <c r="I65" s="288">
        <v>175</v>
      </c>
      <c r="J65" s="284">
        <v>181.47</v>
      </c>
      <c r="K65" s="284">
        <v>907.33</v>
      </c>
      <c r="L65" s="284" t="s">
        <v>255</v>
      </c>
      <c r="M65" s="284" t="s">
        <v>328</v>
      </c>
    </row>
    <row r="66" spans="1:13" ht="15.75">
      <c r="A66" s="63">
        <v>59</v>
      </c>
      <c r="B66" s="262" t="s">
        <v>313</v>
      </c>
      <c r="C66" s="263" t="s">
        <v>423</v>
      </c>
      <c r="D66" s="287" t="s">
        <v>339</v>
      </c>
      <c r="E66" s="264" t="s">
        <v>282</v>
      </c>
      <c r="F66" s="264" t="s">
        <v>288</v>
      </c>
      <c r="G66" s="63">
        <v>5</v>
      </c>
      <c r="H66" s="217" t="s">
        <v>254</v>
      </c>
      <c r="I66" s="288">
        <v>175</v>
      </c>
      <c r="J66" s="284">
        <v>181.47</v>
      </c>
      <c r="K66" s="284">
        <v>907.33</v>
      </c>
      <c r="L66" s="284" t="s">
        <v>256</v>
      </c>
      <c r="M66" s="284" t="s">
        <v>328</v>
      </c>
    </row>
    <row r="67" spans="1:13" ht="15.75">
      <c r="A67" s="63">
        <v>60</v>
      </c>
      <c r="B67" s="262" t="s">
        <v>313</v>
      </c>
      <c r="C67" s="263" t="s">
        <v>423</v>
      </c>
      <c r="D67" s="287" t="s">
        <v>341</v>
      </c>
      <c r="E67" s="264" t="s">
        <v>282</v>
      </c>
      <c r="F67" s="264" t="s">
        <v>288</v>
      </c>
      <c r="G67" s="63">
        <v>5</v>
      </c>
      <c r="H67" s="217" t="s">
        <v>254</v>
      </c>
      <c r="I67" s="288">
        <v>175</v>
      </c>
      <c r="J67" s="284">
        <v>181.47</v>
      </c>
      <c r="K67" s="284">
        <v>907.33</v>
      </c>
      <c r="L67" s="284" t="s">
        <v>257</v>
      </c>
      <c r="M67" s="284" t="s">
        <v>328</v>
      </c>
    </row>
    <row r="68" spans="1:13" ht="15.75">
      <c r="A68" s="63">
        <v>61</v>
      </c>
      <c r="B68" s="262" t="s">
        <v>313</v>
      </c>
      <c r="C68" s="263" t="s">
        <v>423</v>
      </c>
      <c r="D68" s="287" t="s">
        <v>342</v>
      </c>
      <c r="E68" s="264" t="s">
        <v>282</v>
      </c>
      <c r="F68" s="264" t="s">
        <v>288</v>
      </c>
      <c r="G68" s="63">
        <v>5</v>
      </c>
      <c r="H68" s="217" t="s">
        <v>254</v>
      </c>
      <c r="I68" s="288">
        <v>175</v>
      </c>
      <c r="J68" s="284">
        <v>181.47</v>
      </c>
      <c r="K68" s="284">
        <v>907.33</v>
      </c>
      <c r="L68" s="284" t="s">
        <v>258</v>
      </c>
      <c r="M68" s="284" t="s">
        <v>328</v>
      </c>
    </row>
    <row r="69" spans="1:13" ht="15.75">
      <c r="A69" s="63">
        <v>62</v>
      </c>
      <c r="B69" s="262" t="s">
        <v>314</v>
      </c>
      <c r="C69" s="263" t="s">
        <v>423</v>
      </c>
      <c r="D69" s="287" t="s">
        <v>337</v>
      </c>
      <c r="E69" s="264" t="s">
        <v>282</v>
      </c>
      <c r="F69" s="264" t="s">
        <v>288</v>
      </c>
      <c r="G69" s="332">
        <v>5</v>
      </c>
      <c r="H69" s="332" t="s">
        <v>222</v>
      </c>
      <c r="I69" s="288">
        <v>175</v>
      </c>
      <c r="J69" s="284">
        <v>181.47</v>
      </c>
      <c r="K69" s="284">
        <v>907.33</v>
      </c>
      <c r="L69" s="284" t="s">
        <v>255</v>
      </c>
      <c r="M69" s="284" t="s">
        <v>328</v>
      </c>
    </row>
    <row r="70" spans="1:13" ht="15.75">
      <c r="A70" s="63">
        <v>63</v>
      </c>
      <c r="B70" s="262" t="s">
        <v>314</v>
      </c>
      <c r="C70" s="263" t="s">
        <v>423</v>
      </c>
      <c r="D70" s="287" t="s">
        <v>339</v>
      </c>
      <c r="E70" s="264" t="s">
        <v>282</v>
      </c>
      <c r="F70" s="264" t="s">
        <v>288</v>
      </c>
      <c r="G70" s="63">
        <v>5</v>
      </c>
      <c r="H70" s="217" t="s">
        <v>254</v>
      </c>
      <c r="I70" s="288">
        <v>175</v>
      </c>
      <c r="J70" s="284">
        <v>181.47</v>
      </c>
      <c r="K70" s="284">
        <v>907.33</v>
      </c>
      <c r="L70" s="284" t="s">
        <v>256</v>
      </c>
      <c r="M70" s="284" t="s">
        <v>328</v>
      </c>
    </row>
    <row r="71" spans="1:13" ht="15.75">
      <c r="A71" s="63">
        <v>64</v>
      </c>
      <c r="B71" s="262" t="s">
        <v>314</v>
      </c>
      <c r="C71" s="263" t="s">
        <v>423</v>
      </c>
      <c r="D71" s="287" t="s">
        <v>341</v>
      </c>
      <c r="E71" s="264" t="s">
        <v>282</v>
      </c>
      <c r="F71" s="264" t="s">
        <v>288</v>
      </c>
      <c r="G71" s="63">
        <v>5</v>
      </c>
      <c r="H71" s="217" t="s">
        <v>254</v>
      </c>
      <c r="I71" s="288">
        <v>175</v>
      </c>
      <c r="J71" s="284">
        <v>181.47</v>
      </c>
      <c r="K71" s="284">
        <v>907.33</v>
      </c>
      <c r="L71" s="284" t="s">
        <v>257</v>
      </c>
      <c r="M71" s="284" t="s">
        <v>328</v>
      </c>
    </row>
    <row r="72" spans="1:13" ht="15.75">
      <c r="A72" s="63">
        <v>65</v>
      </c>
      <c r="B72" s="262" t="s">
        <v>314</v>
      </c>
      <c r="C72" s="263" t="s">
        <v>423</v>
      </c>
      <c r="D72" s="287" t="s">
        <v>342</v>
      </c>
      <c r="E72" s="264" t="s">
        <v>282</v>
      </c>
      <c r="F72" s="264" t="s">
        <v>288</v>
      </c>
      <c r="G72" s="63">
        <v>5</v>
      </c>
      <c r="H72" s="217" t="s">
        <v>254</v>
      </c>
      <c r="I72" s="288">
        <v>175</v>
      </c>
      <c r="J72" s="284">
        <v>181.47</v>
      </c>
      <c r="K72" s="284">
        <v>907.33</v>
      </c>
      <c r="L72" s="284" t="s">
        <v>258</v>
      </c>
      <c r="M72" s="284" t="s">
        <v>328</v>
      </c>
    </row>
    <row r="73" spans="1:13" ht="15.75">
      <c r="A73" s="63">
        <v>66</v>
      </c>
      <c r="B73" s="262" t="s">
        <v>315</v>
      </c>
      <c r="C73" s="263" t="s">
        <v>423</v>
      </c>
      <c r="D73" s="287" t="s">
        <v>337</v>
      </c>
      <c r="E73" s="264" t="s">
        <v>282</v>
      </c>
      <c r="F73" s="264" t="s">
        <v>288</v>
      </c>
      <c r="G73" s="332">
        <v>5</v>
      </c>
      <c r="H73" s="332" t="s">
        <v>222</v>
      </c>
      <c r="I73" s="288">
        <v>168.75</v>
      </c>
      <c r="J73" s="284">
        <v>174.98</v>
      </c>
      <c r="K73" s="284">
        <v>874.92</v>
      </c>
      <c r="L73" s="284" t="s">
        <v>259</v>
      </c>
      <c r="M73" s="284" t="s">
        <v>328</v>
      </c>
    </row>
    <row r="74" spans="1:13" ht="15.75">
      <c r="A74" s="63">
        <v>67</v>
      </c>
      <c r="B74" s="262" t="s">
        <v>315</v>
      </c>
      <c r="C74" s="263" t="s">
        <v>423</v>
      </c>
      <c r="D74" s="287" t="s">
        <v>339</v>
      </c>
      <c r="E74" s="264" t="s">
        <v>282</v>
      </c>
      <c r="F74" s="264" t="s">
        <v>288</v>
      </c>
      <c r="G74" s="63">
        <v>5</v>
      </c>
      <c r="H74" s="217" t="s">
        <v>254</v>
      </c>
      <c r="I74" s="288">
        <v>168.75</v>
      </c>
      <c r="J74" s="284">
        <v>174.98</v>
      </c>
      <c r="K74" s="284">
        <v>874.92</v>
      </c>
      <c r="L74" s="284" t="s">
        <v>260</v>
      </c>
      <c r="M74" s="284" t="s">
        <v>328</v>
      </c>
    </row>
    <row r="75" spans="1:13" ht="15.75">
      <c r="A75" s="63">
        <v>68</v>
      </c>
      <c r="B75" s="262" t="s">
        <v>315</v>
      </c>
      <c r="C75" s="263" t="s">
        <v>423</v>
      </c>
      <c r="D75" s="287" t="s">
        <v>341</v>
      </c>
      <c r="E75" s="264" t="s">
        <v>282</v>
      </c>
      <c r="F75" s="264" t="s">
        <v>288</v>
      </c>
      <c r="G75" s="63">
        <v>5</v>
      </c>
      <c r="H75" s="217" t="s">
        <v>254</v>
      </c>
      <c r="I75" s="288">
        <v>168.75</v>
      </c>
      <c r="J75" s="284">
        <v>174.98</v>
      </c>
      <c r="K75" s="284">
        <v>874.92</v>
      </c>
      <c r="L75" s="284" t="s">
        <v>261</v>
      </c>
      <c r="M75" s="284" t="s">
        <v>328</v>
      </c>
    </row>
    <row r="76" spans="1:13" ht="15.75">
      <c r="A76" s="63">
        <v>69</v>
      </c>
      <c r="B76" s="262" t="s">
        <v>315</v>
      </c>
      <c r="C76" s="263" t="s">
        <v>423</v>
      </c>
      <c r="D76" s="287" t="s">
        <v>342</v>
      </c>
      <c r="E76" s="264" t="s">
        <v>282</v>
      </c>
      <c r="F76" s="264" t="s">
        <v>288</v>
      </c>
      <c r="G76" s="63">
        <v>5</v>
      </c>
      <c r="H76" s="217" t="s">
        <v>254</v>
      </c>
      <c r="I76" s="288">
        <v>168.75</v>
      </c>
      <c r="J76" s="284">
        <v>174.98</v>
      </c>
      <c r="K76" s="284">
        <v>874.92</v>
      </c>
      <c r="L76" s="284" t="s">
        <v>262</v>
      </c>
      <c r="M76" s="284" t="s">
        <v>328</v>
      </c>
    </row>
    <row r="77" spans="1:13" ht="15.75">
      <c r="A77" s="63">
        <v>70</v>
      </c>
      <c r="B77" s="262" t="s">
        <v>316</v>
      </c>
      <c r="C77" s="263" t="s">
        <v>423</v>
      </c>
      <c r="D77" s="287" t="s">
        <v>337</v>
      </c>
      <c r="E77" s="264" t="s">
        <v>282</v>
      </c>
      <c r="F77" s="264" t="s">
        <v>288</v>
      </c>
      <c r="G77" s="332">
        <v>5</v>
      </c>
      <c r="H77" s="332" t="s">
        <v>222</v>
      </c>
      <c r="I77" s="288">
        <v>168.75</v>
      </c>
      <c r="J77" s="284">
        <v>174.98</v>
      </c>
      <c r="K77" s="284">
        <v>874.92</v>
      </c>
      <c r="L77" s="284" t="s">
        <v>259</v>
      </c>
      <c r="M77" s="284" t="s">
        <v>328</v>
      </c>
    </row>
    <row r="78" spans="1:13" ht="15.75">
      <c r="A78" s="63">
        <v>71</v>
      </c>
      <c r="B78" s="262" t="s">
        <v>316</v>
      </c>
      <c r="C78" s="263" t="s">
        <v>423</v>
      </c>
      <c r="D78" s="287" t="s">
        <v>339</v>
      </c>
      <c r="E78" s="264" t="s">
        <v>282</v>
      </c>
      <c r="F78" s="264" t="s">
        <v>288</v>
      </c>
      <c r="G78" s="63">
        <v>5</v>
      </c>
      <c r="H78" s="217" t="s">
        <v>254</v>
      </c>
      <c r="I78" s="288">
        <v>168.75</v>
      </c>
      <c r="J78" s="284">
        <v>174.98</v>
      </c>
      <c r="K78" s="284">
        <v>874.92</v>
      </c>
      <c r="L78" s="284" t="s">
        <v>260</v>
      </c>
      <c r="M78" s="284" t="s">
        <v>328</v>
      </c>
    </row>
    <row r="79" spans="1:13" ht="15.75">
      <c r="A79" s="63">
        <v>72</v>
      </c>
      <c r="B79" s="262" t="s">
        <v>316</v>
      </c>
      <c r="C79" s="263" t="s">
        <v>423</v>
      </c>
      <c r="D79" s="287" t="s">
        <v>341</v>
      </c>
      <c r="E79" s="264" t="s">
        <v>282</v>
      </c>
      <c r="F79" s="264" t="s">
        <v>288</v>
      </c>
      <c r="G79" s="63">
        <v>5</v>
      </c>
      <c r="H79" s="217" t="s">
        <v>254</v>
      </c>
      <c r="I79" s="288">
        <v>168.75</v>
      </c>
      <c r="J79" s="284">
        <v>174.98</v>
      </c>
      <c r="K79" s="284">
        <v>874.92</v>
      </c>
      <c r="L79" s="284" t="s">
        <v>261</v>
      </c>
      <c r="M79" s="284" t="s">
        <v>328</v>
      </c>
    </row>
    <row r="80" spans="1:13" ht="15.75">
      <c r="A80" s="63">
        <v>73</v>
      </c>
      <c r="B80" s="262" t="s">
        <v>316</v>
      </c>
      <c r="C80" s="263" t="s">
        <v>423</v>
      </c>
      <c r="D80" s="287" t="s">
        <v>342</v>
      </c>
      <c r="E80" s="264" t="s">
        <v>282</v>
      </c>
      <c r="F80" s="264" t="s">
        <v>288</v>
      </c>
      <c r="G80" s="63">
        <v>5</v>
      </c>
      <c r="H80" s="217" t="s">
        <v>254</v>
      </c>
      <c r="I80" s="288">
        <v>168.75</v>
      </c>
      <c r="J80" s="284">
        <v>174.98</v>
      </c>
      <c r="K80" s="284">
        <v>874.92</v>
      </c>
      <c r="L80" s="284" t="s">
        <v>262</v>
      </c>
      <c r="M80" s="284" t="s">
        <v>328</v>
      </c>
    </row>
    <row r="81" spans="1:13" ht="15.75">
      <c r="A81" s="63">
        <v>74</v>
      </c>
      <c r="B81" s="262" t="s">
        <v>317</v>
      </c>
      <c r="C81" s="263" t="s">
        <v>423</v>
      </c>
      <c r="D81" s="287" t="s">
        <v>337</v>
      </c>
      <c r="E81" s="264" t="s">
        <v>282</v>
      </c>
      <c r="F81" s="264" t="s">
        <v>288</v>
      </c>
      <c r="G81" s="332">
        <v>5</v>
      </c>
      <c r="H81" s="332" t="s">
        <v>222</v>
      </c>
      <c r="I81" s="288">
        <v>168.75</v>
      </c>
      <c r="J81" s="284">
        <v>174.98</v>
      </c>
      <c r="K81" s="284">
        <v>874.92</v>
      </c>
      <c r="L81" s="284" t="s">
        <v>259</v>
      </c>
      <c r="M81" s="284" t="s">
        <v>328</v>
      </c>
    </row>
    <row r="82" spans="1:13" ht="15.75">
      <c r="A82" s="63">
        <v>75</v>
      </c>
      <c r="B82" s="262" t="s">
        <v>317</v>
      </c>
      <c r="C82" s="263" t="s">
        <v>423</v>
      </c>
      <c r="D82" s="287" t="s">
        <v>339</v>
      </c>
      <c r="E82" s="264" t="s">
        <v>282</v>
      </c>
      <c r="F82" s="264" t="s">
        <v>288</v>
      </c>
      <c r="G82" s="63">
        <v>5</v>
      </c>
      <c r="H82" s="217" t="s">
        <v>254</v>
      </c>
      <c r="I82" s="288">
        <v>168.75</v>
      </c>
      <c r="J82" s="284">
        <v>174.98</v>
      </c>
      <c r="K82" s="284">
        <v>874.92</v>
      </c>
      <c r="L82" s="284" t="s">
        <v>260</v>
      </c>
      <c r="M82" s="284" t="s">
        <v>328</v>
      </c>
    </row>
    <row r="83" spans="1:13" ht="15.75">
      <c r="A83" s="63">
        <v>76</v>
      </c>
      <c r="B83" s="262" t="s">
        <v>317</v>
      </c>
      <c r="C83" s="263" t="s">
        <v>423</v>
      </c>
      <c r="D83" s="287" t="s">
        <v>341</v>
      </c>
      <c r="E83" s="264" t="s">
        <v>282</v>
      </c>
      <c r="F83" s="264" t="s">
        <v>288</v>
      </c>
      <c r="G83" s="63">
        <v>5</v>
      </c>
      <c r="H83" s="217" t="s">
        <v>254</v>
      </c>
      <c r="I83" s="288">
        <v>168.75</v>
      </c>
      <c r="J83" s="284">
        <v>174.98</v>
      </c>
      <c r="K83" s="284">
        <v>874.92</v>
      </c>
      <c r="L83" s="284" t="s">
        <v>261</v>
      </c>
      <c r="M83" s="284" t="s">
        <v>328</v>
      </c>
    </row>
    <row r="84" spans="1:13" ht="15.75">
      <c r="A84" s="63">
        <v>77</v>
      </c>
      <c r="B84" s="262" t="s">
        <v>317</v>
      </c>
      <c r="C84" s="263" t="s">
        <v>423</v>
      </c>
      <c r="D84" s="287" t="s">
        <v>342</v>
      </c>
      <c r="E84" s="264" t="s">
        <v>282</v>
      </c>
      <c r="F84" s="264" t="s">
        <v>288</v>
      </c>
      <c r="G84" s="63">
        <v>5</v>
      </c>
      <c r="H84" s="217" t="s">
        <v>254</v>
      </c>
      <c r="I84" s="288">
        <v>168.75</v>
      </c>
      <c r="J84" s="284">
        <v>174.98</v>
      </c>
      <c r="K84" s="284">
        <v>874.92</v>
      </c>
      <c r="L84" s="284" t="s">
        <v>262</v>
      </c>
      <c r="M84" s="284" t="s">
        <v>328</v>
      </c>
    </row>
    <row r="85" spans="1:13" ht="15.75">
      <c r="A85" s="63">
        <v>78</v>
      </c>
      <c r="B85" s="262" t="s">
        <v>318</v>
      </c>
      <c r="C85" s="263" t="s">
        <v>422</v>
      </c>
      <c r="D85" s="287" t="s">
        <v>337</v>
      </c>
      <c r="E85" s="264" t="s">
        <v>282</v>
      </c>
      <c r="F85" s="264" t="s">
        <v>288</v>
      </c>
      <c r="G85" s="332">
        <v>5</v>
      </c>
      <c r="H85" s="332" t="s">
        <v>222</v>
      </c>
      <c r="I85" s="288">
        <v>168.75</v>
      </c>
      <c r="J85" s="284">
        <v>174.98</v>
      </c>
      <c r="K85" s="284">
        <v>874.92</v>
      </c>
      <c r="L85" s="284" t="s">
        <v>259</v>
      </c>
      <c r="M85" s="284" t="s">
        <v>328</v>
      </c>
    </row>
    <row r="86" spans="1:13" ht="15.75">
      <c r="A86" s="63">
        <v>79</v>
      </c>
      <c r="B86" s="262" t="s">
        <v>318</v>
      </c>
      <c r="C86" s="263" t="s">
        <v>422</v>
      </c>
      <c r="D86" s="287" t="s">
        <v>339</v>
      </c>
      <c r="E86" s="264" t="s">
        <v>282</v>
      </c>
      <c r="F86" s="264" t="s">
        <v>288</v>
      </c>
      <c r="G86" s="63">
        <v>5</v>
      </c>
      <c r="H86" s="217" t="s">
        <v>254</v>
      </c>
      <c r="I86" s="288">
        <v>168.75</v>
      </c>
      <c r="J86" s="284">
        <v>174.98</v>
      </c>
      <c r="K86" s="284">
        <v>874.92</v>
      </c>
      <c r="L86" s="284" t="s">
        <v>260</v>
      </c>
      <c r="M86" s="284" t="s">
        <v>328</v>
      </c>
    </row>
    <row r="87" spans="1:13" ht="15.75">
      <c r="A87" s="63">
        <v>80</v>
      </c>
      <c r="B87" s="262" t="s">
        <v>318</v>
      </c>
      <c r="C87" s="263" t="s">
        <v>422</v>
      </c>
      <c r="D87" s="287" t="s">
        <v>341</v>
      </c>
      <c r="E87" s="264" t="s">
        <v>282</v>
      </c>
      <c r="F87" s="264" t="s">
        <v>288</v>
      </c>
      <c r="G87" s="63">
        <v>5</v>
      </c>
      <c r="H87" s="217" t="s">
        <v>254</v>
      </c>
      <c r="I87" s="288">
        <v>168.75</v>
      </c>
      <c r="J87" s="284">
        <v>174.98</v>
      </c>
      <c r="K87" s="284">
        <v>874.92</v>
      </c>
      <c r="L87" s="284" t="s">
        <v>261</v>
      </c>
      <c r="M87" s="284" t="s">
        <v>328</v>
      </c>
    </row>
    <row r="88" spans="1:13" ht="15.75">
      <c r="A88" s="63">
        <v>81</v>
      </c>
      <c r="B88" s="262" t="s">
        <v>318</v>
      </c>
      <c r="C88" s="263" t="s">
        <v>422</v>
      </c>
      <c r="D88" s="287" t="s">
        <v>342</v>
      </c>
      <c r="E88" s="264" t="s">
        <v>282</v>
      </c>
      <c r="F88" s="264" t="s">
        <v>288</v>
      </c>
      <c r="G88" s="63">
        <v>5</v>
      </c>
      <c r="H88" s="217" t="s">
        <v>254</v>
      </c>
      <c r="I88" s="288">
        <v>168.75</v>
      </c>
      <c r="J88" s="284">
        <v>174.98</v>
      </c>
      <c r="K88" s="284">
        <v>874.92</v>
      </c>
      <c r="L88" s="284" t="s">
        <v>262</v>
      </c>
      <c r="M88" s="284" t="s">
        <v>328</v>
      </c>
    </row>
    <row r="89" spans="1:13" ht="15.75">
      <c r="A89" s="63">
        <v>82</v>
      </c>
      <c r="B89" s="262" t="s">
        <v>319</v>
      </c>
      <c r="C89" s="263" t="s">
        <v>422</v>
      </c>
      <c r="D89" s="287" t="s">
        <v>337</v>
      </c>
      <c r="E89" s="264" t="s">
        <v>282</v>
      </c>
      <c r="F89" s="264" t="s">
        <v>288</v>
      </c>
      <c r="G89" s="332">
        <v>2</v>
      </c>
      <c r="H89" s="332" t="s">
        <v>222</v>
      </c>
      <c r="I89" s="288">
        <v>67.5</v>
      </c>
      <c r="J89" s="284">
        <v>174.99</v>
      </c>
      <c r="K89" s="284">
        <v>349.97</v>
      </c>
      <c r="L89" s="284" t="s">
        <v>255</v>
      </c>
      <c r="M89" s="284" t="s">
        <v>328</v>
      </c>
    </row>
    <row r="90" spans="1:13" ht="15.75">
      <c r="A90" s="63">
        <v>83</v>
      </c>
      <c r="B90" s="262" t="s">
        <v>319</v>
      </c>
      <c r="C90" s="263" t="s">
        <v>422</v>
      </c>
      <c r="D90" s="287" t="s">
        <v>339</v>
      </c>
      <c r="E90" s="264" t="s">
        <v>282</v>
      </c>
      <c r="F90" s="264" t="s">
        <v>288</v>
      </c>
      <c r="G90" s="63">
        <v>2</v>
      </c>
      <c r="H90" s="217" t="s">
        <v>254</v>
      </c>
      <c r="I90" s="288">
        <v>67.5</v>
      </c>
      <c r="J90" s="284">
        <v>174.99</v>
      </c>
      <c r="K90" s="284">
        <v>349.97</v>
      </c>
      <c r="L90" s="284" t="s">
        <v>256</v>
      </c>
      <c r="M90" s="284" t="s">
        <v>328</v>
      </c>
    </row>
    <row r="91" spans="1:13" ht="15.75">
      <c r="A91" s="63">
        <v>84</v>
      </c>
      <c r="B91" s="262" t="s">
        <v>319</v>
      </c>
      <c r="C91" s="263" t="s">
        <v>422</v>
      </c>
      <c r="D91" s="287" t="s">
        <v>341</v>
      </c>
      <c r="E91" s="264" t="s">
        <v>282</v>
      </c>
      <c r="F91" s="264" t="s">
        <v>288</v>
      </c>
      <c r="G91" s="63">
        <v>2</v>
      </c>
      <c r="H91" s="217" t="s">
        <v>254</v>
      </c>
      <c r="I91" s="288">
        <v>67.5</v>
      </c>
      <c r="J91" s="284">
        <v>174.99</v>
      </c>
      <c r="K91" s="284">
        <v>349.97</v>
      </c>
      <c r="L91" s="284" t="s">
        <v>257</v>
      </c>
      <c r="M91" s="284" t="s">
        <v>328</v>
      </c>
    </row>
    <row r="92" spans="1:13" ht="15.75">
      <c r="A92" s="63">
        <v>85</v>
      </c>
      <c r="B92" s="262" t="s">
        <v>319</v>
      </c>
      <c r="C92" s="263" t="s">
        <v>422</v>
      </c>
      <c r="D92" s="287" t="s">
        <v>342</v>
      </c>
      <c r="E92" s="264" t="s">
        <v>282</v>
      </c>
      <c r="F92" s="264" t="s">
        <v>288</v>
      </c>
      <c r="G92" s="63">
        <v>2</v>
      </c>
      <c r="H92" s="217" t="s">
        <v>254</v>
      </c>
      <c r="I92" s="288">
        <v>67.5</v>
      </c>
      <c r="J92" s="284">
        <v>174.99</v>
      </c>
      <c r="K92" s="284">
        <v>349.97</v>
      </c>
      <c r="L92" s="284" t="s">
        <v>258</v>
      </c>
      <c r="M92" s="284" t="s">
        <v>328</v>
      </c>
    </row>
    <row r="93" spans="1:13" ht="15.75">
      <c r="A93" s="63">
        <v>86</v>
      </c>
      <c r="B93" s="262" t="s">
        <v>319</v>
      </c>
      <c r="C93" s="263" t="s">
        <v>422</v>
      </c>
      <c r="D93" s="287" t="s">
        <v>337</v>
      </c>
      <c r="E93" s="264" t="s">
        <v>282</v>
      </c>
      <c r="F93" s="264" t="s">
        <v>288</v>
      </c>
      <c r="G93" s="332">
        <v>3</v>
      </c>
      <c r="H93" s="332" t="s">
        <v>222</v>
      </c>
      <c r="I93" s="288">
        <v>101.25</v>
      </c>
      <c r="J93" s="284">
        <v>174.98</v>
      </c>
      <c r="K93" s="284">
        <v>524.95000000000005</v>
      </c>
      <c r="L93" s="284" t="s">
        <v>259</v>
      </c>
      <c r="M93" s="284" t="s">
        <v>328</v>
      </c>
    </row>
    <row r="94" spans="1:13" ht="15.75">
      <c r="A94" s="63">
        <v>87</v>
      </c>
      <c r="B94" s="262" t="s">
        <v>319</v>
      </c>
      <c r="C94" s="263" t="s">
        <v>422</v>
      </c>
      <c r="D94" s="287" t="s">
        <v>339</v>
      </c>
      <c r="E94" s="264" t="s">
        <v>282</v>
      </c>
      <c r="F94" s="264" t="s">
        <v>288</v>
      </c>
      <c r="G94" s="63">
        <v>3</v>
      </c>
      <c r="H94" s="217" t="s">
        <v>254</v>
      </c>
      <c r="I94" s="288">
        <v>101.25</v>
      </c>
      <c r="J94" s="284">
        <v>174.98</v>
      </c>
      <c r="K94" s="284">
        <v>524.95000000000005</v>
      </c>
      <c r="L94" s="284" t="s">
        <v>260</v>
      </c>
      <c r="M94" s="284" t="s">
        <v>328</v>
      </c>
    </row>
    <row r="95" spans="1:13" ht="15.75">
      <c r="A95" s="63">
        <v>88</v>
      </c>
      <c r="B95" s="262" t="s">
        <v>319</v>
      </c>
      <c r="C95" s="263" t="s">
        <v>422</v>
      </c>
      <c r="D95" s="287" t="s">
        <v>341</v>
      </c>
      <c r="E95" s="264" t="s">
        <v>282</v>
      </c>
      <c r="F95" s="264" t="s">
        <v>288</v>
      </c>
      <c r="G95" s="63">
        <v>3</v>
      </c>
      <c r="H95" s="217" t="s">
        <v>254</v>
      </c>
      <c r="I95" s="288">
        <v>101.25</v>
      </c>
      <c r="J95" s="284">
        <v>174.98</v>
      </c>
      <c r="K95" s="284">
        <v>524.95000000000005</v>
      </c>
      <c r="L95" s="284" t="s">
        <v>261</v>
      </c>
      <c r="M95" s="284" t="s">
        <v>328</v>
      </c>
    </row>
    <row r="96" spans="1:13" ht="15.75">
      <c r="A96" s="63">
        <v>89</v>
      </c>
      <c r="B96" s="262" t="s">
        <v>319</v>
      </c>
      <c r="C96" s="263" t="s">
        <v>422</v>
      </c>
      <c r="D96" s="287" t="s">
        <v>342</v>
      </c>
      <c r="E96" s="264" t="s">
        <v>282</v>
      </c>
      <c r="F96" s="264" t="s">
        <v>288</v>
      </c>
      <c r="G96" s="63">
        <v>3</v>
      </c>
      <c r="H96" s="217" t="s">
        <v>254</v>
      </c>
      <c r="I96" s="288">
        <v>101.25</v>
      </c>
      <c r="J96" s="284">
        <v>174.98</v>
      </c>
      <c r="K96" s="284">
        <v>524.95000000000005</v>
      </c>
      <c r="L96" s="284" t="s">
        <v>262</v>
      </c>
      <c r="M96" s="284" t="s">
        <v>328</v>
      </c>
    </row>
    <row r="97" spans="1:24" ht="15.75">
      <c r="A97" s="63">
        <v>90</v>
      </c>
      <c r="B97" s="262" t="s">
        <v>320</v>
      </c>
      <c r="C97" s="263" t="s">
        <v>422</v>
      </c>
      <c r="D97" s="287" t="s">
        <v>344</v>
      </c>
      <c r="E97" s="264" t="s">
        <v>282</v>
      </c>
      <c r="F97" s="264" t="s">
        <v>288</v>
      </c>
      <c r="G97" s="332">
        <v>24</v>
      </c>
      <c r="H97" s="332" t="s">
        <v>222</v>
      </c>
      <c r="I97" s="288">
        <v>105.5</v>
      </c>
      <c r="J97" s="284">
        <v>22.79</v>
      </c>
      <c r="K97" s="284">
        <v>546.99</v>
      </c>
      <c r="L97" s="284" t="s">
        <v>263</v>
      </c>
      <c r="M97" s="284" t="s">
        <v>328</v>
      </c>
    </row>
    <row r="98" spans="1:24" ht="15.75">
      <c r="A98" s="63">
        <v>91</v>
      </c>
      <c r="B98" s="262" t="s">
        <v>320</v>
      </c>
      <c r="C98" s="263" t="s">
        <v>422</v>
      </c>
      <c r="D98" s="287" t="s">
        <v>346</v>
      </c>
      <c r="E98" s="264" t="s">
        <v>282</v>
      </c>
      <c r="F98" s="264" t="s">
        <v>288</v>
      </c>
      <c r="G98" s="63">
        <v>24</v>
      </c>
      <c r="H98" s="217" t="s">
        <v>254</v>
      </c>
      <c r="I98" s="288">
        <v>105.5</v>
      </c>
      <c r="J98" s="284">
        <v>22.79</v>
      </c>
      <c r="K98" s="284">
        <v>546.99</v>
      </c>
      <c r="L98" s="284" t="s">
        <v>264</v>
      </c>
      <c r="M98" s="284" t="s">
        <v>328</v>
      </c>
    </row>
    <row r="99" spans="1:24" ht="15.75">
      <c r="A99" s="63">
        <v>92</v>
      </c>
      <c r="B99" s="63" t="s">
        <v>320</v>
      </c>
      <c r="C99" s="263" t="s">
        <v>422</v>
      </c>
      <c r="D99" s="287" t="s">
        <v>347</v>
      </c>
      <c r="E99" s="264" t="s">
        <v>282</v>
      </c>
      <c r="F99" s="264" t="s">
        <v>288</v>
      </c>
      <c r="G99" s="63">
        <v>24</v>
      </c>
      <c r="H99" s="217" t="s">
        <v>254</v>
      </c>
      <c r="I99" s="288">
        <v>105.5</v>
      </c>
      <c r="J99" s="284">
        <v>22.79</v>
      </c>
      <c r="K99" s="284">
        <v>546.99</v>
      </c>
      <c r="L99" s="284" t="s">
        <v>265</v>
      </c>
      <c r="M99" s="284" t="s">
        <v>328</v>
      </c>
    </row>
    <row r="100" spans="1:24" s="233" customFormat="1" ht="15.75">
      <c r="A100" s="217">
        <v>93</v>
      </c>
      <c r="B100" s="352" t="s">
        <v>320</v>
      </c>
      <c r="C100" s="263" t="s">
        <v>423</v>
      </c>
      <c r="D100" s="333" t="s">
        <v>349</v>
      </c>
      <c r="E100" s="353" t="s">
        <v>282</v>
      </c>
      <c r="F100" s="353" t="s">
        <v>288</v>
      </c>
      <c r="G100" s="217">
        <v>24</v>
      </c>
      <c r="H100" s="217" t="s">
        <v>254</v>
      </c>
      <c r="I100" s="284">
        <v>105.5</v>
      </c>
      <c r="J100" s="284">
        <f>ROUND(K100/G100,2)</f>
        <v>4.5599999999999996</v>
      </c>
      <c r="K100" s="284">
        <v>109.4</v>
      </c>
      <c r="L100" s="284" t="s">
        <v>266</v>
      </c>
      <c r="M100" s="284" t="s">
        <v>328</v>
      </c>
    </row>
    <row r="101" spans="1:24" ht="15.75">
      <c r="A101" s="63">
        <v>94</v>
      </c>
      <c r="B101" s="262" t="s">
        <v>321</v>
      </c>
      <c r="C101" s="263" t="s">
        <v>422</v>
      </c>
      <c r="D101" s="287" t="s">
        <v>175</v>
      </c>
      <c r="E101" s="264" t="s">
        <v>282</v>
      </c>
      <c r="F101" s="264" t="s">
        <v>288</v>
      </c>
      <c r="G101" s="332">
        <v>40</v>
      </c>
      <c r="H101" s="332" t="s">
        <v>222</v>
      </c>
      <c r="I101" s="288">
        <v>132.75</v>
      </c>
      <c r="J101" s="284">
        <f t="shared" ref="J101:J107" si="0">ROUND(K101/G101,2)</f>
        <v>17.21</v>
      </c>
      <c r="K101" s="284">
        <v>688.27</v>
      </c>
      <c r="L101" s="284" t="s">
        <v>270</v>
      </c>
      <c r="M101" s="284" t="s">
        <v>328</v>
      </c>
    </row>
    <row r="102" spans="1:24" ht="15.75">
      <c r="A102" s="63">
        <v>95</v>
      </c>
      <c r="B102" s="63" t="s">
        <v>321</v>
      </c>
      <c r="C102" s="263" t="s">
        <v>422</v>
      </c>
      <c r="D102" s="287" t="s">
        <v>267</v>
      </c>
      <c r="E102" s="264" t="s">
        <v>282</v>
      </c>
      <c r="F102" s="264" t="s">
        <v>288</v>
      </c>
      <c r="G102" s="63">
        <v>40</v>
      </c>
      <c r="H102" s="217" t="s">
        <v>254</v>
      </c>
      <c r="I102" s="288">
        <v>132.75</v>
      </c>
      <c r="J102" s="284">
        <f t="shared" si="0"/>
        <v>17.21</v>
      </c>
      <c r="K102" s="284">
        <v>688.27</v>
      </c>
      <c r="L102" s="284" t="s">
        <v>271</v>
      </c>
      <c r="M102" s="284" t="s">
        <v>328</v>
      </c>
    </row>
    <row r="103" spans="1:24" ht="15.75">
      <c r="A103" s="63">
        <v>96</v>
      </c>
      <c r="B103" s="262" t="s">
        <v>321</v>
      </c>
      <c r="C103" s="263" t="s">
        <v>422</v>
      </c>
      <c r="D103" s="287" t="s">
        <v>268</v>
      </c>
      <c r="E103" s="264" t="s">
        <v>282</v>
      </c>
      <c r="F103" s="264" t="s">
        <v>288</v>
      </c>
      <c r="G103" s="63">
        <v>40</v>
      </c>
      <c r="H103" s="217" t="s">
        <v>254</v>
      </c>
      <c r="I103" s="288">
        <v>132.75</v>
      </c>
      <c r="J103" s="284">
        <f t="shared" si="0"/>
        <v>17.21</v>
      </c>
      <c r="K103" s="284">
        <v>688.27</v>
      </c>
      <c r="L103" s="284" t="s">
        <v>272</v>
      </c>
      <c r="M103" s="284" t="s">
        <v>328</v>
      </c>
    </row>
    <row r="104" spans="1:24" ht="15.75">
      <c r="A104" s="63">
        <v>97</v>
      </c>
      <c r="B104" s="262" t="s">
        <v>321</v>
      </c>
      <c r="C104" s="263" t="s">
        <v>422</v>
      </c>
      <c r="D104" s="287" t="s">
        <v>269</v>
      </c>
      <c r="E104" s="264" t="s">
        <v>282</v>
      </c>
      <c r="F104" s="264" t="s">
        <v>288</v>
      </c>
      <c r="G104" s="63">
        <v>40</v>
      </c>
      <c r="H104" s="217" t="s">
        <v>254</v>
      </c>
      <c r="I104" s="288">
        <v>132.75</v>
      </c>
      <c r="J104" s="284">
        <f t="shared" si="0"/>
        <v>17.21</v>
      </c>
      <c r="K104" s="284">
        <v>688.27</v>
      </c>
      <c r="L104" s="284" t="s">
        <v>273</v>
      </c>
      <c r="M104" s="284" t="s">
        <v>328</v>
      </c>
    </row>
    <row r="105" spans="1:24" s="233" customFormat="1" ht="15.75">
      <c r="A105" s="217">
        <v>98</v>
      </c>
      <c r="B105" s="217" t="s">
        <v>322</v>
      </c>
      <c r="C105" s="263" t="s">
        <v>422</v>
      </c>
      <c r="D105" s="333" t="s">
        <v>351</v>
      </c>
      <c r="E105" s="353" t="s">
        <v>282</v>
      </c>
      <c r="F105" s="353" t="s">
        <v>288</v>
      </c>
      <c r="G105" s="217">
        <v>11</v>
      </c>
      <c r="H105" s="217" t="s">
        <v>222</v>
      </c>
      <c r="I105" s="284">
        <v>38.966101694915253</v>
      </c>
      <c r="J105" s="284">
        <f t="shared" si="0"/>
        <v>3.67</v>
      </c>
      <c r="K105" s="284">
        <v>40.409999999999997</v>
      </c>
      <c r="L105" s="284" t="s">
        <v>275</v>
      </c>
      <c r="M105" s="284" t="s">
        <v>328</v>
      </c>
    </row>
    <row r="106" spans="1:24" ht="15.75">
      <c r="A106" s="63">
        <v>99</v>
      </c>
      <c r="B106" s="262" t="s">
        <v>322</v>
      </c>
      <c r="C106" s="263" t="s">
        <v>422</v>
      </c>
      <c r="D106" s="287" t="s">
        <v>353</v>
      </c>
      <c r="E106" s="264" t="s">
        <v>282</v>
      </c>
      <c r="F106" s="264" t="s">
        <v>288</v>
      </c>
      <c r="G106" s="63">
        <v>22</v>
      </c>
      <c r="H106" s="217" t="s">
        <v>254</v>
      </c>
      <c r="I106" s="288">
        <v>77.932203389830505</v>
      </c>
      <c r="J106" s="284">
        <f t="shared" si="0"/>
        <v>18.37</v>
      </c>
      <c r="K106" s="284">
        <v>404.06</v>
      </c>
      <c r="L106" s="284" t="s">
        <v>276</v>
      </c>
      <c r="M106" s="284" t="s">
        <v>328</v>
      </c>
    </row>
    <row r="107" spans="1:24" s="347" customFormat="1" ht="15.75">
      <c r="A107" s="342">
        <v>100</v>
      </c>
      <c r="B107" s="343" t="s">
        <v>322</v>
      </c>
      <c r="C107" s="263" t="s">
        <v>422</v>
      </c>
      <c r="D107" s="344" t="s">
        <v>274</v>
      </c>
      <c r="E107" s="345" t="s">
        <v>282</v>
      </c>
      <c r="F107" s="345" t="s">
        <v>288</v>
      </c>
      <c r="G107" s="342">
        <v>11</v>
      </c>
      <c r="H107" s="342" t="s">
        <v>254</v>
      </c>
      <c r="I107" s="346">
        <v>38.966101694915253</v>
      </c>
      <c r="J107" s="346">
        <f t="shared" si="0"/>
        <v>3.67</v>
      </c>
      <c r="K107" s="346">
        <v>40.409999999999997</v>
      </c>
      <c r="L107" s="346" t="s">
        <v>277</v>
      </c>
      <c r="M107" s="346" t="s">
        <v>328</v>
      </c>
      <c r="X107" s="347" t="s">
        <v>354</v>
      </c>
    </row>
    <row r="108" spans="1:24" ht="15.75">
      <c r="A108" s="63">
        <v>101</v>
      </c>
      <c r="B108" s="63" t="s">
        <v>322</v>
      </c>
      <c r="C108" s="263" t="s">
        <v>422</v>
      </c>
      <c r="D108" s="287" t="s">
        <v>269</v>
      </c>
      <c r="E108" s="264" t="s">
        <v>282</v>
      </c>
      <c r="F108" s="264" t="s">
        <v>288</v>
      </c>
      <c r="G108" s="63">
        <v>11</v>
      </c>
      <c r="H108" s="217" t="s">
        <v>254</v>
      </c>
      <c r="I108" s="288">
        <v>38.966101694915253</v>
      </c>
      <c r="J108" s="284">
        <v>18.37</v>
      </c>
      <c r="K108" s="284">
        <v>202.04</v>
      </c>
      <c r="L108" s="284" t="s">
        <v>278</v>
      </c>
      <c r="M108" s="284" t="s">
        <v>328</v>
      </c>
    </row>
    <row r="109" spans="1:24" ht="15.75">
      <c r="A109" s="63">
        <v>102</v>
      </c>
      <c r="B109" s="262" t="s">
        <v>322</v>
      </c>
      <c r="C109" s="263" t="s">
        <v>422</v>
      </c>
      <c r="D109" s="333" t="s">
        <v>177</v>
      </c>
      <c r="E109" s="264" t="s">
        <v>282</v>
      </c>
      <c r="F109" s="264" t="s">
        <v>288</v>
      </c>
      <c r="G109" s="332">
        <v>4</v>
      </c>
      <c r="H109" s="332" t="s">
        <v>222</v>
      </c>
      <c r="I109" s="288">
        <v>14.169491525423728</v>
      </c>
      <c r="J109" s="284">
        <v>18.37</v>
      </c>
      <c r="K109" s="284">
        <v>73.47</v>
      </c>
      <c r="L109" s="284" t="s">
        <v>279</v>
      </c>
      <c r="M109" s="284" t="s">
        <v>328</v>
      </c>
    </row>
    <row r="110" spans="1:24" ht="15.75">
      <c r="A110" s="63">
        <v>103</v>
      </c>
      <c r="B110" s="262" t="s">
        <v>323</v>
      </c>
      <c r="C110" s="263" t="s">
        <v>422</v>
      </c>
      <c r="D110" s="333" t="s">
        <v>177</v>
      </c>
      <c r="E110" s="264" t="s">
        <v>282</v>
      </c>
      <c r="F110" s="264" t="s">
        <v>288</v>
      </c>
      <c r="G110" s="332">
        <v>2</v>
      </c>
      <c r="H110" s="332" t="s">
        <v>222</v>
      </c>
      <c r="I110" s="288">
        <v>23</v>
      </c>
      <c r="J110" s="284">
        <v>59.63</v>
      </c>
      <c r="K110" s="284">
        <v>119.25</v>
      </c>
      <c r="L110" s="284" t="s">
        <v>280</v>
      </c>
      <c r="M110" s="284" t="s">
        <v>328</v>
      </c>
    </row>
    <row r="111" spans="1:24" s="266" customFormat="1" ht="26.45" customHeight="1">
      <c r="A111" s="67"/>
      <c r="B111" s="68"/>
      <c r="C111" s="69"/>
      <c r="D111" s="69"/>
      <c r="E111" s="70"/>
      <c r="F111" s="71"/>
      <c r="G111" s="390" t="s">
        <v>141</v>
      </c>
      <c r="H111" s="390"/>
      <c r="I111" s="390"/>
      <c r="J111" s="390"/>
      <c r="K111" s="267">
        <f>SUM(K8:K110)</f>
        <v>141543.19000000003</v>
      </c>
      <c r="L111" s="267"/>
      <c r="M111" s="267"/>
      <c r="N111" s="265" t="e">
        <f>ROUND(#REF!/SUM(#REF!),5)*#REF!</f>
        <v>#REF!</v>
      </c>
      <c r="O111" s="270"/>
      <c r="W111" s="272"/>
    </row>
    <row r="112" spans="1:24" s="266" customFormat="1" ht="26.45" customHeight="1">
      <c r="A112" s="72"/>
      <c r="B112" s="73"/>
      <c r="C112" s="66"/>
      <c r="D112" s="66"/>
      <c r="E112" s="74"/>
      <c r="F112" s="75"/>
      <c r="G112" s="76"/>
      <c r="H112" s="76"/>
      <c r="I112" s="76"/>
      <c r="J112" s="66"/>
      <c r="K112" s="73"/>
      <c r="L112" s="73"/>
      <c r="M112" s="73"/>
      <c r="N112" s="265" t="e">
        <f>ROUND(#REF!/SUM(#REF!),5)*#REF!</f>
        <v>#REF!</v>
      </c>
      <c r="O112" s="270"/>
      <c r="W112" s="272"/>
    </row>
    <row r="113" spans="1:23" s="266" customFormat="1" ht="26.45" customHeight="1">
      <c r="A113" s="57"/>
      <c r="B113" s="57"/>
      <c r="C113" s="57"/>
      <c r="D113" s="57"/>
      <c r="E113" s="57"/>
      <c r="F113" s="57"/>
      <c r="G113" s="62"/>
      <c r="H113" s="62"/>
      <c r="I113" s="62"/>
      <c r="J113" s="57"/>
      <c r="K113" s="57"/>
      <c r="L113" s="57"/>
      <c r="M113" s="57"/>
      <c r="N113" s="265" t="e">
        <f>ROUND($O$113/SUM(#REF!),5)*#REF!</f>
        <v>#REF!</v>
      </c>
      <c r="O113" s="269">
        <v>9817.5</v>
      </c>
      <c r="W113" s="272"/>
    </row>
    <row r="114" spans="1:23" s="266" customFormat="1" ht="26.45" customHeight="1">
      <c r="A114" s="57"/>
      <c r="B114" s="57"/>
      <c r="C114" s="57"/>
      <c r="D114" s="57"/>
      <c r="E114" s="57"/>
      <c r="F114" s="57"/>
      <c r="G114" s="62"/>
      <c r="H114" s="62"/>
      <c r="I114" s="268"/>
      <c r="J114" s="57"/>
      <c r="K114" s="57"/>
      <c r="L114" s="57"/>
      <c r="M114" s="57"/>
      <c r="N114" s="265" t="e">
        <f>ROUND($O$113/SUM(#REF!),5)*#REF!</f>
        <v>#REF!</v>
      </c>
      <c r="P114" s="271"/>
      <c r="W114" s="272"/>
    </row>
    <row r="115" spans="1:23" s="266" customFormat="1" ht="26.45" customHeight="1">
      <c r="A115" s="57"/>
      <c r="B115" s="57"/>
      <c r="C115" s="57"/>
      <c r="D115" s="57"/>
      <c r="E115" s="57"/>
      <c r="F115" s="57"/>
      <c r="G115" s="62"/>
      <c r="H115" s="62"/>
      <c r="I115" s="268"/>
      <c r="J115" s="57"/>
      <c r="K115" s="57"/>
      <c r="L115" s="57"/>
      <c r="M115" s="57"/>
      <c r="O115" s="269">
        <f>SUM(V6:V7)</f>
        <v>0</v>
      </c>
      <c r="W115" s="272"/>
    </row>
    <row r="116" spans="1:23" s="266" customFormat="1" ht="26.45" customHeight="1">
      <c r="A116" s="57"/>
      <c r="B116" s="57"/>
      <c r="C116" s="57"/>
      <c r="D116" s="57"/>
      <c r="E116" s="57"/>
      <c r="F116" s="57"/>
      <c r="G116" s="62"/>
      <c r="H116" s="62"/>
      <c r="I116" s="62"/>
      <c r="J116" s="57"/>
      <c r="K116" s="57"/>
      <c r="L116" s="57"/>
      <c r="M116" s="57"/>
      <c r="O116" s="269">
        <v>14280</v>
      </c>
      <c r="W116" s="272"/>
    </row>
    <row r="117" spans="1:23" s="266" customFormat="1" ht="26.45" customHeight="1">
      <c r="A117" s="57"/>
      <c r="B117" s="57"/>
      <c r="C117" s="57"/>
      <c r="D117" s="57"/>
      <c r="E117" s="57"/>
      <c r="F117" s="57"/>
      <c r="G117" s="62"/>
      <c r="H117" s="62"/>
      <c r="I117" s="62"/>
      <c r="J117" s="57"/>
      <c r="K117" s="57"/>
      <c r="L117" s="57"/>
      <c r="M117" s="57"/>
      <c r="N117" s="265" t="e">
        <f>ROUND($O$117/SUM(#REF!),5)*#REF!</f>
        <v>#REF!</v>
      </c>
      <c r="O117" s="269">
        <v>9817.5</v>
      </c>
      <c r="W117" s="272"/>
    </row>
    <row r="118" spans="1:23" s="266" customFormat="1" ht="26.45" customHeight="1">
      <c r="A118" s="57"/>
      <c r="B118" s="57"/>
      <c r="C118" s="57"/>
      <c r="D118" s="57"/>
      <c r="E118" s="57"/>
      <c r="F118" s="57"/>
      <c r="G118" s="62"/>
      <c r="H118" s="62"/>
      <c r="I118" s="62"/>
      <c r="J118" s="57"/>
      <c r="K118" s="57"/>
      <c r="L118" s="57"/>
      <c r="M118" s="57"/>
      <c r="N118" s="265" t="e">
        <f>ROUND($O$117/SUM(#REF!),5)*#REF!</f>
        <v>#REF!</v>
      </c>
      <c r="O118" s="269"/>
      <c r="W118" s="272"/>
    </row>
    <row r="119" spans="1:23" s="266" customFormat="1" ht="26.45" customHeight="1">
      <c r="A119" s="57"/>
      <c r="B119" s="57"/>
      <c r="C119" s="57"/>
      <c r="D119" s="57"/>
      <c r="E119" s="57"/>
      <c r="F119" s="57"/>
      <c r="G119" s="62"/>
      <c r="H119" s="62"/>
      <c r="I119" s="62"/>
      <c r="J119" s="57"/>
      <c r="K119" s="57"/>
      <c r="L119" s="57"/>
      <c r="M119" s="57"/>
      <c r="N119" s="265" t="e">
        <f>ROUND($O$117/SUM(#REF!),5)*#REF!</f>
        <v>#REF!</v>
      </c>
      <c r="O119" s="269"/>
      <c r="W119" s="272"/>
    </row>
    <row r="120" spans="1:23" s="266" customFormat="1" ht="26.45" customHeight="1">
      <c r="A120" s="57"/>
      <c r="B120" s="57"/>
      <c r="C120" s="57"/>
      <c r="D120" s="57"/>
      <c r="E120" s="57"/>
      <c r="F120" s="57"/>
      <c r="G120" s="62"/>
      <c r="H120" s="62"/>
      <c r="I120" s="62"/>
      <c r="J120" s="57"/>
      <c r="K120" s="57"/>
      <c r="L120" s="57"/>
      <c r="M120" s="57"/>
      <c r="N120" s="265" t="e">
        <f>ROUND($O$117/SUM(#REF!),5)*#REF!</f>
        <v>#REF!</v>
      </c>
      <c r="O120" s="269"/>
      <c r="W120" s="272"/>
    </row>
    <row r="121" spans="1:23" s="266" customFormat="1" ht="26.45" customHeight="1">
      <c r="A121" s="57"/>
      <c r="B121" s="57"/>
      <c r="C121" s="57"/>
      <c r="D121" s="57"/>
      <c r="E121" s="57"/>
      <c r="F121" s="57"/>
      <c r="G121" s="62"/>
      <c r="H121" s="62"/>
      <c r="I121" s="62"/>
      <c r="J121" s="57"/>
      <c r="K121" s="57"/>
      <c r="L121" s="57"/>
      <c r="M121" s="57"/>
      <c r="N121" s="265" t="e">
        <f>ROUND($O$117/SUM(#REF!),5)*#REF!</f>
        <v>#REF!</v>
      </c>
      <c r="O121" s="269"/>
      <c r="W121" s="272"/>
    </row>
    <row r="122" spans="1:23" s="266" customFormat="1" ht="26.45" customHeight="1">
      <c r="A122" s="57"/>
      <c r="B122" s="57"/>
      <c r="C122" s="57"/>
      <c r="D122" s="57"/>
      <c r="E122" s="57"/>
      <c r="F122" s="57"/>
      <c r="G122" s="62"/>
      <c r="H122" s="62"/>
      <c r="I122" s="62"/>
      <c r="J122" s="57"/>
      <c r="K122" s="57"/>
      <c r="L122" s="57"/>
      <c r="M122" s="57"/>
      <c r="N122" s="265" t="e">
        <f>ROUND($O$117/SUM(#REF!),5)*#REF!</f>
        <v>#REF!</v>
      </c>
      <c r="O122" s="269"/>
      <c r="W122" s="272"/>
    </row>
    <row r="123" spans="1:23" s="266" customFormat="1" ht="26.45" customHeight="1">
      <c r="A123" s="57"/>
      <c r="B123" s="57"/>
      <c r="C123" s="57"/>
      <c r="D123" s="57"/>
      <c r="E123" s="57"/>
      <c r="F123" s="57"/>
      <c r="G123" s="62"/>
      <c r="H123" s="62"/>
      <c r="I123" s="62"/>
      <c r="J123" s="57"/>
      <c r="K123" s="57"/>
      <c r="L123" s="57"/>
      <c r="M123" s="57"/>
      <c r="N123" s="265" t="e">
        <f>ROUND($O$117/SUM(#REF!),5)*#REF!</f>
        <v>#REF!</v>
      </c>
      <c r="O123" s="269"/>
      <c r="W123" s="272"/>
    </row>
    <row r="124" spans="1:23" s="266" customFormat="1" ht="26.45" customHeight="1">
      <c r="A124" s="57"/>
      <c r="B124" s="57"/>
      <c r="C124" s="57"/>
      <c r="D124" s="57"/>
      <c r="E124" s="57"/>
      <c r="F124" s="57"/>
      <c r="G124" s="62"/>
      <c r="H124" s="62"/>
      <c r="I124" s="62"/>
      <c r="J124" s="57"/>
      <c r="K124" s="57"/>
      <c r="L124" s="57"/>
      <c r="M124" s="57"/>
      <c r="N124" s="265" t="e">
        <f>ROUND($O$117/SUM(#REF!),5)*#REF!</f>
        <v>#REF!</v>
      </c>
      <c r="O124" s="269"/>
      <c r="W124" s="272"/>
    </row>
    <row r="125" spans="1:23" s="266" customFormat="1" ht="26.45" customHeight="1">
      <c r="A125" s="57"/>
      <c r="B125" s="57"/>
      <c r="C125" s="57"/>
      <c r="D125" s="57"/>
      <c r="E125" s="57"/>
      <c r="F125" s="57"/>
      <c r="G125" s="62"/>
      <c r="H125" s="62"/>
      <c r="I125" s="62"/>
      <c r="J125" s="57"/>
      <c r="K125" s="57"/>
      <c r="L125" s="57"/>
      <c r="M125" s="57"/>
      <c r="N125" s="265" t="e">
        <f>ROUND($O$125/SUM(#REF!),5)*#REF!</f>
        <v>#REF!</v>
      </c>
      <c r="O125" s="269">
        <v>15172.5</v>
      </c>
      <c r="W125" s="272"/>
    </row>
    <row r="126" spans="1:23" s="266" customFormat="1" ht="26.45" customHeight="1">
      <c r="A126" s="57"/>
      <c r="B126" s="57"/>
      <c r="C126" s="57"/>
      <c r="D126" s="57"/>
      <c r="E126" s="57"/>
      <c r="F126" s="57"/>
      <c r="G126" s="62"/>
      <c r="H126" s="62"/>
      <c r="I126" s="62"/>
      <c r="J126" s="57"/>
      <c r="K126" s="57"/>
      <c r="L126" s="57"/>
      <c r="M126" s="57"/>
      <c r="N126" s="265" t="e">
        <f>ROUND($O$125/SUM(#REF!),5)*#REF!</f>
        <v>#REF!</v>
      </c>
      <c r="O126" s="269"/>
      <c r="Q126" s="266">
        <v>122.5</v>
      </c>
      <c r="W126" s="272"/>
    </row>
    <row r="127" spans="1:23" s="266" customFormat="1" ht="26.45" customHeight="1">
      <c r="A127" s="57"/>
      <c r="B127" s="57"/>
      <c r="C127" s="57"/>
      <c r="D127" s="57"/>
      <c r="E127" s="57"/>
      <c r="F127" s="57"/>
      <c r="G127" s="62"/>
      <c r="H127" s="62"/>
      <c r="I127" s="62"/>
      <c r="J127" s="57"/>
      <c r="K127" s="57"/>
      <c r="L127" s="57"/>
      <c r="M127" s="57"/>
      <c r="N127" s="265" t="e">
        <f>ROUND($O$125/SUM(#REF!),5)*#REF!</f>
        <v>#REF!</v>
      </c>
      <c r="O127" s="269"/>
      <c r="W127" s="272"/>
    </row>
    <row r="128" spans="1:23" s="266" customFormat="1" ht="26.45" customHeight="1">
      <c r="A128" s="57"/>
      <c r="B128" s="57"/>
      <c r="C128" s="57"/>
      <c r="D128" s="57"/>
      <c r="E128" s="57"/>
      <c r="F128" s="57"/>
      <c r="G128" s="62"/>
      <c r="H128" s="62"/>
      <c r="I128" s="62"/>
      <c r="J128" s="57"/>
      <c r="K128" s="57"/>
      <c r="L128" s="57"/>
      <c r="M128" s="57"/>
      <c r="N128" s="265" t="e">
        <f>ROUND($O$125/SUM(#REF!),5)*#REF!</f>
        <v>#REF!</v>
      </c>
      <c r="O128" s="269"/>
      <c r="W128" s="272"/>
    </row>
    <row r="129" spans="1:23" s="266" customFormat="1" ht="26.45" customHeight="1">
      <c r="A129" s="57"/>
      <c r="B129" s="57"/>
      <c r="C129" s="57"/>
      <c r="D129" s="57"/>
      <c r="E129" s="57"/>
      <c r="F129" s="57"/>
      <c r="G129" s="62"/>
      <c r="H129" s="62"/>
      <c r="I129" s="62"/>
      <c r="J129" s="57"/>
      <c r="K129" s="57"/>
      <c r="L129" s="57"/>
      <c r="M129" s="57"/>
      <c r="N129" s="265" t="e">
        <f>ROUND($O$125/SUM(#REF!),5)*#REF!</f>
        <v>#REF!</v>
      </c>
      <c r="O129" s="269"/>
      <c r="W129" s="272"/>
    </row>
    <row r="130" spans="1:23" s="266" customFormat="1" ht="26.45" customHeight="1">
      <c r="A130" s="57"/>
      <c r="B130" s="57"/>
      <c r="C130" s="57"/>
      <c r="D130" s="57"/>
      <c r="E130" s="57"/>
      <c r="F130" s="57"/>
      <c r="G130" s="62"/>
      <c r="H130" s="62"/>
      <c r="I130" s="62"/>
      <c r="J130" s="57"/>
      <c r="K130" s="57"/>
      <c r="L130" s="57"/>
      <c r="M130" s="57"/>
      <c r="N130" s="265" t="e">
        <f>ROUND($O$125/SUM(#REF!),5)*#REF!</f>
        <v>#REF!</v>
      </c>
      <c r="O130" s="269"/>
      <c r="W130" s="272"/>
    </row>
    <row r="131" spans="1:23" s="266" customFormat="1" ht="26.45" customHeight="1">
      <c r="A131" s="57"/>
      <c r="B131" s="57"/>
      <c r="C131" s="57"/>
      <c r="D131" s="57"/>
      <c r="E131" s="57"/>
      <c r="F131" s="57"/>
      <c r="G131" s="62"/>
      <c r="H131" s="62"/>
      <c r="I131" s="62"/>
      <c r="J131" s="57"/>
      <c r="K131" s="57"/>
      <c r="L131" s="57"/>
      <c r="M131" s="57"/>
      <c r="N131" s="265" t="e">
        <f>ROUND($O$131/SUM(#REF!),5)*#REF!</f>
        <v>#REF!</v>
      </c>
      <c r="O131" s="269">
        <v>892.5</v>
      </c>
      <c r="W131" s="272"/>
    </row>
    <row r="132" spans="1:23" s="266" customFormat="1" ht="26.45" customHeight="1">
      <c r="A132" s="57"/>
      <c r="B132" s="57"/>
      <c r="C132" s="57"/>
      <c r="D132" s="57"/>
      <c r="E132" s="57"/>
      <c r="F132" s="57"/>
      <c r="G132" s="62"/>
      <c r="H132" s="62"/>
      <c r="I132" s="62"/>
      <c r="J132" s="57"/>
      <c r="K132" s="57"/>
      <c r="L132" s="57"/>
      <c r="M132" s="57"/>
      <c r="N132" s="265" t="e">
        <f>ROUND($O$131/SUM(#REF!),5)*#REF!</f>
        <v>#REF!</v>
      </c>
      <c r="O132" s="269"/>
      <c r="W132" s="272"/>
    </row>
    <row r="133" spans="1:23" s="266" customFormat="1" ht="26.45" customHeight="1">
      <c r="A133" s="57"/>
      <c r="B133" s="57"/>
      <c r="C133" s="57"/>
      <c r="D133" s="57"/>
      <c r="E133" s="57"/>
      <c r="F133" s="57"/>
      <c r="G133" s="62"/>
      <c r="H133" s="62"/>
      <c r="I133" s="62"/>
      <c r="J133" s="57"/>
      <c r="K133" s="57"/>
      <c r="L133" s="57"/>
      <c r="M133" s="57"/>
      <c r="N133" s="265" t="e">
        <f>ROUND($O$131/SUM(#REF!),5)*#REF!</f>
        <v>#REF!</v>
      </c>
      <c r="O133" s="269"/>
      <c r="W133" s="272"/>
    </row>
    <row r="134" spans="1:23" s="266" customFormat="1" ht="26.45" customHeight="1">
      <c r="A134" s="57"/>
      <c r="B134" s="57"/>
      <c r="C134" s="57"/>
      <c r="D134" s="57"/>
      <c r="E134" s="57"/>
      <c r="F134" s="57"/>
      <c r="G134" s="62"/>
      <c r="H134" s="62"/>
      <c r="I134" s="62"/>
      <c r="J134" s="57"/>
      <c r="K134" s="57"/>
      <c r="L134" s="57"/>
      <c r="M134" s="57"/>
      <c r="N134" s="265" t="e">
        <f>ROUND($O$131/SUM(#REF!),5)*#REF!</f>
        <v>#REF!</v>
      </c>
      <c r="O134" s="269"/>
      <c r="W134" s="272"/>
    </row>
    <row r="135" spans="1:23" ht="14.1" customHeight="1">
      <c r="N135" s="65"/>
      <c r="O135" s="269"/>
    </row>
    <row r="136" spans="1:23" ht="14.1" customHeight="1">
      <c r="O136" s="269"/>
    </row>
    <row r="137" spans="1:23">
      <c r="O137" s="269"/>
    </row>
    <row r="138" spans="1:23">
      <c r="O138" s="269"/>
    </row>
  </sheetData>
  <autoFilter ref="A7:W134" xr:uid="{00000000-0001-0000-0100-000000000000}"/>
  <mergeCells count="3">
    <mergeCell ref="A5:B5"/>
    <mergeCell ref="G5:I5"/>
    <mergeCell ref="G111:J111"/>
  </mergeCells>
  <phoneticPr fontId="33" type="noConversion"/>
  <conditionalFormatting sqref="D1:D1048576">
    <cfRule type="duplicateValues" dxfId="0" priority="4"/>
  </conditionalFormatting>
  <printOptions horizontalCentered="1"/>
  <pageMargins left="0.70866141732283472" right="0.31496062992125984" top="0.74803149606299213" bottom="0.74803149606299213" header="0.31496062992125984" footer="0.31496062992125984"/>
  <pageSetup paperSize="9" scale="7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B1:AY151"/>
  <sheetViews>
    <sheetView showGridLines="0" view="pageBreakPreview" topLeftCell="A108" zoomScaleNormal="100" zoomScaleSheetLayoutView="100" workbookViewId="0">
      <selection activeCell="D133" sqref="D133:D136"/>
    </sheetView>
  </sheetViews>
  <sheetFormatPr defaultColWidth="8.76953125" defaultRowHeight="18" customHeight="1"/>
  <cols>
    <col min="1" max="1" width="1.05078125" style="110" customWidth="1"/>
    <col min="2" max="2" width="3.5078125" style="62" customWidth="1"/>
    <col min="3" max="3" width="21.6328125" style="120" bestFit="1" customWidth="1"/>
    <col min="4" max="4" width="21.6328125" style="120" customWidth="1"/>
    <col min="5" max="5" width="25.4921875" style="130" bestFit="1" customWidth="1"/>
    <col min="6" max="6" width="10.2890625" style="62" bestFit="1" customWidth="1"/>
    <col min="7" max="7" width="10.2890625" style="130" bestFit="1" customWidth="1"/>
    <col min="8" max="8" width="9.703125" style="57" customWidth="1"/>
    <col min="9" max="9" width="5.37890625" style="64" customWidth="1"/>
    <col min="10" max="10" width="5.37890625" style="57" customWidth="1"/>
    <col min="11" max="11" width="7.6015625" style="57" customWidth="1"/>
    <col min="12" max="14" width="6.78125" style="57" bestFit="1" customWidth="1"/>
    <col min="15" max="15" width="7.6015625" style="131" customWidth="1"/>
    <col min="16" max="17" width="9.12109375" style="57" customWidth="1"/>
    <col min="18" max="18" width="8.53515625" style="57" customWidth="1"/>
    <col min="19" max="19" width="10.0546875" style="62" customWidth="1"/>
    <col min="20" max="20" width="6.6640625" style="62" bestFit="1" customWidth="1"/>
    <col min="21" max="21" width="28.65234375" style="62" customWidth="1"/>
    <col min="22" max="22" width="6.8984375" style="132" bestFit="1" customWidth="1"/>
    <col min="23" max="23" width="1.05078125" style="108" customWidth="1"/>
    <col min="24" max="30" width="8.76953125" style="109" customWidth="1"/>
    <col min="31" max="36" width="8.76953125" style="110" customWidth="1"/>
    <col min="37" max="41" width="8.76953125" style="109"/>
    <col min="42" max="16384" width="8.76953125" style="110"/>
  </cols>
  <sheetData>
    <row r="1" spans="2:51" ht="9" customHeight="1">
      <c r="B1" s="391"/>
      <c r="C1" s="391"/>
      <c r="D1" s="391"/>
      <c r="E1" s="391"/>
      <c r="F1" s="391"/>
      <c r="G1" s="391"/>
      <c r="H1" s="391"/>
      <c r="I1" s="391"/>
      <c r="J1" s="391"/>
      <c r="K1" s="391"/>
      <c r="L1" s="391"/>
      <c r="M1" s="391"/>
      <c r="N1" s="391"/>
      <c r="O1" s="391"/>
      <c r="P1" s="391"/>
      <c r="Q1" s="391"/>
      <c r="R1" s="391"/>
      <c r="S1" s="391"/>
      <c r="T1" s="391"/>
      <c r="U1" s="391"/>
      <c r="V1" s="391"/>
    </row>
    <row r="2" spans="2:51" ht="26.1" customHeight="1">
      <c r="B2" s="321"/>
      <c r="C2" s="57"/>
      <c r="D2" s="57"/>
      <c r="E2" s="57"/>
      <c r="F2" s="110"/>
      <c r="G2" s="57"/>
      <c r="I2" s="57"/>
      <c r="J2" s="111"/>
      <c r="K2" s="111"/>
      <c r="L2" s="111"/>
      <c r="M2" s="112"/>
      <c r="N2" s="113"/>
      <c r="O2" s="107"/>
      <c r="P2" s="107"/>
      <c r="Q2" s="107"/>
      <c r="R2" s="107"/>
      <c r="S2" s="107"/>
      <c r="T2" s="110"/>
      <c r="U2" s="109"/>
      <c r="V2" s="110"/>
      <c r="W2" s="110"/>
      <c r="X2" s="110"/>
      <c r="Y2" s="110"/>
      <c r="Z2" s="110"/>
      <c r="AA2" s="110"/>
      <c r="AB2" s="110"/>
      <c r="AC2" s="110"/>
      <c r="AD2" s="110"/>
      <c r="AK2" s="110"/>
      <c r="AL2" s="110"/>
      <c r="AM2" s="110"/>
      <c r="AN2" s="110"/>
      <c r="AO2" s="110"/>
    </row>
    <row r="3" spans="2:51" ht="27.6" customHeight="1" thickBot="1">
      <c r="B3" s="321"/>
      <c r="C3" s="392" t="s">
        <v>0</v>
      </c>
      <c r="D3" s="392"/>
      <c r="E3" s="392"/>
      <c r="F3" s="392"/>
      <c r="G3" s="392"/>
      <c r="H3" s="392"/>
      <c r="I3" s="392"/>
      <c r="J3" s="392"/>
      <c r="K3" s="392"/>
      <c r="L3" s="111"/>
      <c r="M3" s="112"/>
      <c r="N3" s="113"/>
      <c r="O3" s="114"/>
      <c r="P3" s="107"/>
      <c r="Q3" s="107"/>
      <c r="R3" s="107"/>
      <c r="S3" s="107"/>
      <c r="T3" s="110"/>
      <c r="U3" s="109"/>
      <c r="V3" s="110"/>
      <c r="W3" s="110"/>
      <c r="X3" s="110"/>
      <c r="Y3" s="110"/>
      <c r="Z3" s="110"/>
      <c r="AA3" s="110"/>
      <c r="AB3" s="110"/>
      <c r="AC3" s="110"/>
      <c r="AD3" s="110"/>
      <c r="AK3" s="110"/>
      <c r="AL3" s="110"/>
      <c r="AM3" s="110"/>
      <c r="AN3" s="110"/>
      <c r="AO3" s="110"/>
    </row>
    <row r="4" spans="2:51" ht="33.75" customHeight="1" thickTop="1" thickBot="1">
      <c r="B4" s="393" t="s">
        <v>86</v>
      </c>
      <c r="C4" s="394"/>
      <c r="D4" s="394"/>
      <c r="E4" s="394"/>
      <c r="F4" s="394"/>
      <c r="G4" s="394"/>
      <c r="H4" s="394"/>
      <c r="I4" s="394"/>
      <c r="J4" s="394"/>
      <c r="K4" s="394"/>
      <c r="L4" s="394"/>
      <c r="M4" s="394"/>
      <c r="N4" s="394"/>
      <c r="O4" s="394"/>
      <c r="P4" s="394"/>
      <c r="Q4" s="394"/>
      <c r="R4" s="394"/>
      <c r="S4" s="394"/>
      <c r="T4" s="394"/>
      <c r="U4" s="394"/>
      <c r="V4" s="395"/>
    </row>
    <row r="5" spans="2:51" s="57" customFormat="1" ht="17.25" customHeight="1" thickTop="1">
      <c r="B5" s="62"/>
      <c r="C5" s="115" t="s">
        <v>87</v>
      </c>
      <c r="D5" s="115"/>
      <c r="E5" s="181" t="str">
        <f>'PL(2_2)'!E5</f>
        <v>OM4-DE-IS-0004</v>
      </c>
      <c r="F5" s="118"/>
      <c r="H5" s="62"/>
      <c r="I5" s="116"/>
      <c r="J5" s="62"/>
      <c r="K5" s="62"/>
      <c r="L5" s="62"/>
      <c r="M5" s="62"/>
      <c r="N5" s="62"/>
      <c r="O5" s="117"/>
      <c r="P5" s="62"/>
      <c r="Q5" s="62"/>
      <c r="R5" s="62"/>
      <c r="S5" s="118"/>
      <c r="T5" s="62"/>
      <c r="U5" s="62"/>
      <c r="V5" s="62"/>
      <c r="W5" s="119"/>
      <c r="Z5" s="57">
        <v>36</v>
      </c>
      <c r="AA5" s="57">
        <v>39</v>
      </c>
      <c r="AB5" s="57">
        <v>40</v>
      </c>
      <c r="AC5" s="57">
        <v>163</v>
      </c>
      <c r="AD5" s="57">
        <v>3</v>
      </c>
      <c r="AE5" s="57">
        <v>8</v>
      </c>
      <c r="AF5" s="57">
        <v>44</v>
      </c>
      <c r="AG5" s="57">
        <v>45</v>
      </c>
      <c r="AH5" s="57">
        <v>46</v>
      </c>
      <c r="AI5" s="57">
        <v>60</v>
      </c>
      <c r="AJ5" s="57">
        <v>66</v>
      </c>
      <c r="AK5" s="62">
        <v>68</v>
      </c>
      <c r="AL5" s="62">
        <v>69</v>
      </c>
      <c r="AM5" s="62">
        <v>70</v>
      </c>
      <c r="AN5" s="62">
        <v>71</v>
      </c>
      <c r="AO5" s="62">
        <v>170</v>
      </c>
      <c r="AP5" s="57">
        <v>110</v>
      </c>
      <c r="AQ5" s="57">
        <v>234</v>
      </c>
      <c r="AR5" s="57">
        <v>33</v>
      </c>
      <c r="AS5" s="57">
        <v>34</v>
      </c>
      <c r="AT5" s="57">
        <v>142</v>
      </c>
      <c r="AV5" s="57">
        <v>79</v>
      </c>
      <c r="AW5" s="57">
        <v>80</v>
      </c>
      <c r="AX5" s="57">
        <v>81</v>
      </c>
      <c r="AY5" s="57">
        <v>82</v>
      </c>
    </row>
    <row r="6" spans="2:51" s="57" customFormat="1" ht="17.25" customHeight="1">
      <c r="B6" s="62"/>
      <c r="C6" s="230" t="s">
        <v>39</v>
      </c>
      <c r="D6" s="230"/>
      <c r="E6" s="231">
        <f>'PL(2_2)'!E6</f>
        <v>46171</v>
      </c>
      <c r="F6" s="62"/>
      <c r="H6" s="62"/>
      <c r="I6" s="62"/>
      <c r="J6" s="120" t="s">
        <v>40</v>
      </c>
      <c r="K6" s="62"/>
      <c r="L6" s="62"/>
      <c r="M6" s="62"/>
      <c r="N6" s="62"/>
      <c r="O6" s="121" t="s">
        <v>41</v>
      </c>
      <c r="P6" s="62"/>
      <c r="Q6" s="62"/>
      <c r="R6" s="62"/>
      <c r="S6" s="62"/>
      <c r="T6" s="62"/>
      <c r="U6" s="62"/>
      <c r="V6" s="62"/>
      <c r="W6" s="119"/>
      <c r="Z6" s="57" t="e">
        <f>SUMIF(#REF!,Z5,#REF!)</f>
        <v>#REF!</v>
      </c>
      <c r="AA6" s="57" t="e">
        <f>SUMIF(#REF!,AA5,#REF!)</f>
        <v>#REF!</v>
      </c>
      <c r="AB6" s="57" t="e">
        <f>SUMIF(#REF!,AB5,#REF!)</f>
        <v>#REF!</v>
      </c>
      <c r="AC6" s="57" t="e">
        <f>SUMIF(#REF!,AC5,#REF!)</f>
        <v>#REF!</v>
      </c>
      <c r="AD6" s="57" t="e">
        <f>SUMIF(#REF!,AD5,#REF!)</f>
        <v>#REF!</v>
      </c>
      <c r="AE6" s="57" t="e">
        <f>SUMIF(#REF!,AE5,#REF!)</f>
        <v>#REF!</v>
      </c>
      <c r="AF6" s="57" t="e">
        <f>SUMIF(#REF!,AF5,#REF!)</f>
        <v>#REF!</v>
      </c>
      <c r="AG6" s="57" t="e">
        <f>SUMIF(#REF!,AG5,#REF!)</f>
        <v>#REF!</v>
      </c>
      <c r="AH6" s="57" t="e">
        <f>SUMIF(#REF!,AH5,#REF!)</f>
        <v>#REF!</v>
      </c>
      <c r="AI6" s="57" t="e">
        <f>SUMIF(#REF!,AI5,#REF!)</f>
        <v>#REF!</v>
      </c>
      <c r="AJ6" s="57" t="e">
        <f>SUMIF(#REF!,AJ5,#REF!)</f>
        <v>#REF!</v>
      </c>
      <c r="AK6" s="62" t="e">
        <f>SUMIF(#REF!,AK5,#REF!)</f>
        <v>#REF!</v>
      </c>
      <c r="AL6" s="62" t="e">
        <f>SUMIF(#REF!,AL5,#REF!)</f>
        <v>#REF!</v>
      </c>
      <c r="AM6" s="62" t="e">
        <f>SUMIF(#REF!,AM5,#REF!)</f>
        <v>#REF!</v>
      </c>
      <c r="AN6" s="62" t="e">
        <f>SUMIF(#REF!,AN5,#REF!)</f>
        <v>#REF!</v>
      </c>
      <c r="AO6" s="62" t="e">
        <f>SUMIF(#REF!,AO5,#REF!)</f>
        <v>#REF!</v>
      </c>
      <c r="AP6" s="57" t="e">
        <f>SUMIF(#REF!,AP5,#REF!)</f>
        <v>#REF!</v>
      </c>
      <c r="AQ6" s="57">
        <f>SUMIF($AH$151:$AH$420,AQ5,$I$151:$I$420)</f>
        <v>0</v>
      </c>
      <c r="AR6" s="57">
        <f>SUMIF($AH$151:$AH$420,AR5,$I$151:$I$420)</f>
        <v>0</v>
      </c>
      <c r="AS6" s="57">
        <f>SUMIF($AH$151:$AH$420,AS5,$I$151:$I$420)</f>
        <v>0</v>
      </c>
      <c r="AT6" s="57" t="e">
        <f>SUMIF(#REF!,AT5,#REF!)</f>
        <v>#REF!</v>
      </c>
      <c r="AU6" s="57" t="e">
        <f>SUM(Z6:AT7)</f>
        <v>#REF!</v>
      </c>
      <c r="AV6" s="57" t="e">
        <f>SUMIF(#REF!,AV5,#REF!)</f>
        <v>#REF!</v>
      </c>
      <c r="AW6" s="57" t="e">
        <f>SUMIF(#REF!,AW5,#REF!)</f>
        <v>#REF!</v>
      </c>
      <c r="AX6" s="57">
        <f>SUMIF($AH$151:$AH$420,AX5,$I$151:$I$420)</f>
        <v>0</v>
      </c>
      <c r="AY6" s="57">
        <f>SUMIF($AH$151:$AH$420,AY5,$I$151:$I$420)</f>
        <v>0</v>
      </c>
    </row>
    <row r="7" spans="2:51" s="57" customFormat="1" ht="17.25" customHeight="1">
      <c r="B7" s="62"/>
      <c r="C7" s="230" t="s">
        <v>42</v>
      </c>
      <c r="D7" s="230"/>
      <c r="E7" s="232" t="str">
        <f>'PL(2_2)'!E7</f>
        <v>O MON IV THERMAL POWER PLANT</v>
      </c>
      <c r="F7" s="62"/>
      <c r="H7" s="62"/>
      <c r="I7" s="62"/>
      <c r="J7" s="59" t="s">
        <v>43</v>
      </c>
      <c r="K7" s="120" t="s">
        <v>44</v>
      </c>
      <c r="L7" s="62"/>
      <c r="M7" s="62"/>
      <c r="N7" s="62"/>
      <c r="O7" s="122"/>
      <c r="P7" s="63" t="s">
        <v>284</v>
      </c>
      <c r="Q7" s="63" t="s">
        <v>286</v>
      </c>
      <c r="R7" s="63" t="s">
        <v>283</v>
      </c>
      <c r="S7" s="63" t="s">
        <v>45</v>
      </c>
      <c r="T7" s="62"/>
      <c r="U7" s="62"/>
      <c r="V7" s="62"/>
      <c r="W7" s="119"/>
      <c r="X7" s="62"/>
      <c r="Y7" s="62"/>
      <c r="Z7" s="62"/>
      <c r="AA7" s="62"/>
      <c r="AB7" s="62"/>
      <c r="AC7" s="62"/>
      <c r="AD7" s="62">
        <v>1</v>
      </c>
      <c r="AE7" s="57">
        <v>1</v>
      </c>
      <c r="AH7" s="57">
        <v>5</v>
      </c>
      <c r="AI7" s="57">
        <v>100</v>
      </c>
      <c r="AK7" s="62"/>
      <c r="AL7" s="62"/>
      <c r="AM7" s="62"/>
      <c r="AN7" s="62"/>
      <c r="AO7" s="62"/>
      <c r="AT7" s="57">
        <v>2</v>
      </c>
      <c r="AV7" s="57">
        <v>105</v>
      </c>
    </row>
    <row r="8" spans="2:51" s="57" customFormat="1" ht="17.25" customHeight="1">
      <c r="B8" s="62"/>
      <c r="C8" s="230"/>
      <c r="D8" s="230"/>
      <c r="E8" s="115"/>
      <c r="F8" s="62"/>
      <c r="H8" s="62"/>
      <c r="I8" s="62"/>
      <c r="J8" s="59" t="s">
        <v>46</v>
      </c>
      <c r="K8" s="120" t="s">
        <v>47</v>
      </c>
      <c r="L8" s="62"/>
      <c r="M8" s="62"/>
      <c r="N8" s="62"/>
      <c r="O8" s="123" t="s">
        <v>48</v>
      </c>
      <c r="P8" s="63" t="s">
        <v>49</v>
      </c>
      <c r="Q8" s="63" t="s">
        <v>50</v>
      </c>
      <c r="R8" s="63" t="s">
        <v>51</v>
      </c>
      <c r="S8" s="63" t="s">
        <v>52</v>
      </c>
      <c r="T8" s="62"/>
      <c r="U8" s="62"/>
      <c r="V8" s="62"/>
      <c r="W8" s="119"/>
      <c r="X8" s="62"/>
      <c r="Y8" s="62"/>
      <c r="Z8" s="62"/>
      <c r="AA8" s="62"/>
      <c r="AB8" s="62"/>
      <c r="AC8" s="62"/>
      <c r="AD8" s="62"/>
      <c r="AK8" s="62"/>
      <c r="AL8" s="62"/>
      <c r="AM8" s="62"/>
      <c r="AN8" s="62"/>
      <c r="AO8" s="62"/>
    </row>
    <row r="9" spans="2:51" s="57" customFormat="1" ht="17.25" customHeight="1">
      <c r="B9" s="62"/>
      <c r="C9" s="233"/>
      <c r="D9" s="233"/>
      <c r="E9" s="115"/>
      <c r="F9" s="62"/>
      <c r="G9" s="115"/>
      <c r="H9" s="62"/>
      <c r="I9" s="62"/>
      <c r="J9" s="59" t="s">
        <v>53</v>
      </c>
      <c r="K9" s="120" t="s">
        <v>54</v>
      </c>
      <c r="L9" s="62"/>
      <c r="M9" s="62"/>
      <c r="N9" s="62"/>
      <c r="O9" s="123" t="s">
        <v>55</v>
      </c>
      <c r="P9" s="63" t="s">
        <v>56</v>
      </c>
      <c r="Q9" s="63" t="s">
        <v>57</v>
      </c>
      <c r="R9" s="63" t="s">
        <v>58</v>
      </c>
      <c r="S9" s="63" t="s">
        <v>59</v>
      </c>
      <c r="T9" s="62"/>
      <c r="U9" s="62"/>
      <c r="V9" s="62"/>
      <c r="W9" s="119"/>
      <c r="X9" s="62"/>
      <c r="Y9" s="62"/>
      <c r="Z9" s="62"/>
      <c r="AA9" s="62"/>
      <c r="AB9" s="62"/>
      <c r="AC9" s="62"/>
      <c r="AD9" s="62"/>
      <c r="AK9" s="62"/>
      <c r="AL9" s="62"/>
      <c r="AM9" s="62"/>
      <c r="AN9" s="62"/>
      <c r="AO9" s="62"/>
    </row>
    <row r="10" spans="2:51" s="57" customFormat="1" ht="17.25" customHeight="1">
      <c r="B10" s="62"/>
      <c r="C10" s="230"/>
      <c r="D10" s="230"/>
      <c r="E10" s="115"/>
      <c r="F10" s="62"/>
      <c r="G10" s="115"/>
      <c r="H10" s="62"/>
      <c r="I10" s="62"/>
      <c r="J10" s="59" t="s">
        <v>60</v>
      </c>
      <c r="K10" s="120" t="s">
        <v>61</v>
      </c>
      <c r="L10" s="62"/>
      <c r="M10" s="62"/>
      <c r="N10" s="62"/>
      <c r="O10" s="123" t="s">
        <v>62</v>
      </c>
      <c r="P10" s="63" t="s">
        <v>63</v>
      </c>
      <c r="Q10" s="63" t="s">
        <v>64</v>
      </c>
      <c r="R10" s="63" t="s">
        <v>65</v>
      </c>
      <c r="S10" s="63" t="s">
        <v>66</v>
      </c>
      <c r="T10" s="62"/>
      <c r="U10" s="62"/>
      <c r="V10" s="62"/>
      <c r="W10" s="119"/>
      <c r="X10" s="62"/>
      <c r="Y10" s="62"/>
      <c r="Z10" s="62"/>
      <c r="AA10" s="62"/>
      <c r="AB10" s="62"/>
      <c r="AC10" s="62"/>
      <c r="AD10" s="62"/>
      <c r="AK10" s="62"/>
      <c r="AL10" s="62"/>
      <c r="AM10" s="62"/>
      <c r="AN10" s="62"/>
      <c r="AO10" s="62"/>
    </row>
    <row r="11" spans="2:51" s="57" customFormat="1" ht="17.25" customHeight="1">
      <c r="B11" s="62"/>
      <c r="C11" s="115"/>
      <c r="D11" s="115"/>
      <c r="E11" s="115"/>
      <c r="F11" s="62"/>
      <c r="G11" s="115"/>
      <c r="H11" s="62"/>
      <c r="I11" s="62"/>
      <c r="J11" s="59" t="s">
        <v>67</v>
      </c>
      <c r="K11" s="120" t="s">
        <v>68</v>
      </c>
      <c r="L11" s="62"/>
      <c r="M11" s="62"/>
      <c r="N11" s="62"/>
      <c r="O11" s="117"/>
      <c r="P11" s="62"/>
      <c r="Q11" s="62"/>
      <c r="R11" s="62"/>
      <c r="S11" s="62"/>
      <c r="T11" s="62"/>
      <c r="U11" s="62"/>
      <c r="V11" s="62"/>
      <c r="W11" s="119"/>
      <c r="X11" s="62"/>
      <c r="Y11" s="62"/>
      <c r="Z11" s="62"/>
      <c r="AA11" s="62"/>
      <c r="AB11" s="62"/>
      <c r="AC11" s="62"/>
      <c r="AD11" s="62"/>
      <c r="AK11" s="62"/>
      <c r="AL11" s="62"/>
      <c r="AM11" s="62"/>
      <c r="AN11" s="62"/>
      <c r="AO11" s="62"/>
    </row>
    <row r="12" spans="2:51" s="57" customFormat="1" ht="17.25" customHeight="1">
      <c r="B12" s="62"/>
      <c r="C12" s="115"/>
      <c r="D12" s="115"/>
      <c r="E12" s="62"/>
      <c r="F12" s="62"/>
      <c r="G12" s="62"/>
      <c r="H12" s="62"/>
      <c r="I12" s="62"/>
      <c r="J12" s="62"/>
      <c r="K12" s="62"/>
      <c r="L12" s="62"/>
      <c r="M12" s="62"/>
      <c r="N12" s="62"/>
      <c r="O12" s="117"/>
      <c r="P12" s="62"/>
      <c r="Q12" s="62"/>
      <c r="R12" s="62"/>
      <c r="S12" s="62"/>
      <c r="T12" s="62"/>
      <c r="U12" s="62"/>
      <c r="V12" s="62"/>
      <c r="W12" s="119"/>
      <c r="X12" s="62"/>
      <c r="Y12" s="62"/>
      <c r="Z12" s="62"/>
      <c r="AA12" s="62"/>
      <c r="AB12" s="62"/>
      <c r="AC12" s="62"/>
      <c r="AD12" s="62"/>
      <c r="AK12" s="62"/>
      <c r="AL12" s="62"/>
      <c r="AM12" s="62"/>
      <c r="AN12" s="62"/>
      <c r="AO12" s="62"/>
    </row>
    <row r="13" spans="2:51" s="126" customFormat="1" ht="20.25" customHeight="1">
      <c r="B13" s="396" t="s">
        <v>27</v>
      </c>
      <c r="C13" s="398" t="s">
        <v>28</v>
      </c>
      <c r="D13" s="384"/>
      <c r="E13" s="405" t="s">
        <v>69</v>
      </c>
      <c r="F13" s="400" t="s">
        <v>88</v>
      </c>
      <c r="G13" s="398" t="s">
        <v>122</v>
      </c>
      <c r="H13" s="400" t="s">
        <v>70</v>
      </c>
      <c r="I13" s="402" t="s">
        <v>71</v>
      </c>
      <c r="J13" s="403"/>
      <c r="K13" s="400" t="s">
        <v>72</v>
      </c>
      <c r="L13" s="402" t="s">
        <v>73</v>
      </c>
      <c r="M13" s="404"/>
      <c r="N13" s="404"/>
      <c r="O13" s="403"/>
      <c r="P13" s="400" t="s">
        <v>74</v>
      </c>
      <c r="Q13" s="400" t="s">
        <v>75</v>
      </c>
      <c r="R13" s="400" t="s">
        <v>76</v>
      </c>
      <c r="S13" s="400" t="s">
        <v>77</v>
      </c>
      <c r="T13" s="405" t="s">
        <v>89</v>
      </c>
      <c r="U13" s="398" t="s">
        <v>291</v>
      </c>
      <c r="V13" s="400" t="s">
        <v>78</v>
      </c>
      <c r="W13" s="124"/>
      <c r="X13" s="125"/>
      <c r="Y13" s="125"/>
      <c r="Z13" s="125"/>
      <c r="AA13" s="125"/>
      <c r="AB13" s="125"/>
      <c r="AC13" s="125"/>
      <c r="AD13" s="125"/>
      <c r="AK13" s="125"/>
      <c r="AL13" s="125"/>
      <c r="AM13" s="125"/>
      <c r="AN13" s="125"/>
      <c r="AO13" s="125"/>
    </row>
    <row r="14" spans="2:51" s="126" customFormat="1" ht="28.5" customHeight="1">
      <c r="B14" s="397"/>
      <c r="C14" s="399"/>
      <c r="D14" s="385"/>
      <c r="E14" s="406"/>
      <c r="F14" s="401"/>
      <c r="G14" s="399"/>
      <c r="H14" s="401"/>
      <c r="I14" s="127" t="s">
        <v>79</v>
      </c>
      <c r="J14" s="127" t="s">
        <v>80</v>
      </c>
      <c r="K14" s="401"/>
      <c r="L14" s="128" t="s">
        <v>81</v>
      </c>
      <c r="M14" s="128" t="s">
        <v>82</v>
      </c>
      <c r="N14" s="128" t="s">
        <v>83</v>
      </c>
      <c r="O14" s="129" t="s">
        <v>84</v>
      </c>
      <c r="P14" s="401"/>
      <c r="Q14" s="401"/>
      <c r="R14" s="401"/>
      <c r="S14" s="401"/>
      <c r="T14" s="406"/>
      <c r="U14" s="399"/>
      <c r="V14" s="401"/>
      <c r="X14" s="125"/>
      <c r="Y14" s="125"/>
      <c r="Z14" s="125"/>
      <c r="AA14" s="125"/>
      <c r="AB14" s="125"/>
      <c r="AC14" s="125"/>
      <c r="AD14" s="125"/>
      <c r="AK14" s="125"/>
      <c r="AL14" s="125"/>
      <c r="AM14" s="125"/>
      <c r="AN14" s="125"/>
      <c r="AO14" s="125"/>
    </row>
    <row r="15" spans="2:51" s="126" customFormat="1" ht="15.75">
      <c r="B15" s="380">
        <v>1</v>
      </c>
      <c r="C15" s="294" t="s">
        <v>290</v>
      </c>
      <c r="D15" s="383" t="s">
        <v>422</v>
      </c>
      <c r="E15" s="297" t="s">
        <v>334</v>
      </c>
      <c r="F15" s="305" t="s">
        <v>216</v>
      </c>
      <c r="G15" s="218" t="s">
        <v>184</v>
      </c>
      <c r="H15" s="264" t="s">
        <v>282</v>
      </c>
      <c r="I15" s="63">
        <v>13</v>
      </c>
      <c r="J15" s="63" t="s">
        <v>222</v>
      </c>
      <c r="K15" s="309"/>
      <c r="L15" s="128"/>
      <c r="M15" s="128"/>
      <c r="N15" s="128"/>
      <c r="O15" s="348"/>
      <c r="P15" s="324">
        <v>163.13725490196077</v>
      </c>
      <c r="Q15" s="309"/>
      <c r="R15" s="309"/>
      <c r="S15" s="309"/>
      <c r="T15" s="310"/>
      <c r="U15" s="331" t="s">
        <v>230</v>
      </c>
      <c r="V15" s="322" t="s">
        <v>328</v>
      </c>
      <c r="X15" s="125"/>
      <c r="Y15" s="125"/>
      <c r="Z15" s="125"/>
      <c r="AA15" s="125"/>
      <c r="AB15" s="125"/>
      <c r="AC15" s="125"/>
      <c r="AD15" s="125"/>
      <c r="AK15" s="125"/>
      <c r="AL15" s="125"/>
      <c r="AM15" s="125"/>
      <c r="AN15" s="125"/>
      <c r="AO15" s="125"/>
    </row>
    <row r="16" spans="2:51" s="126" customFormat="1" ht="15.75">
      <c r="B16" s="380">
        <v>2</v>
      </c>
      <c r="C16" s="294" t="s">
        <v>290</v>
      </c>
      <c r="D16" s="383" t="s">
        <v>422</v>
      </c>
      <c r="E16" s="297" t="s">
        <v>334</v>
      </c>
      <c r="F16" s="305" t="s">
        <v>216</v>
      </c>
      <c r="G16" s="218" t="s">
        <v>184</v>
      </c>
      <c r="H16" s="264" t="s">
        <v>282</v>
      </c>
      <c r="I16" s="63">
        <v>19</v>
      </c>
      <c r="J16" s="63" t="s">
        <v>222</v>
      </c>
      <c r="K16" s="309"/>
      <c r="L16" s="128"/>
      <c r="M16" s="128"/>
      <c r="N16" s="128"/>
      <c r="O16" s="348"/>
      <c r="P16" s="324">
        <v>238.43137254901961</v>
      </c>
      <c r="Q16" s="330"/>
      <c r="R16" s="309"/>
      <c r="S16" s="309"/>
      <c r="T16" s="310"/>
      <c r="U16" s="331" t="s">
        <v>231</v>
      </c>
      <c r="V16" s="322" t="s">
        <v>328</v>
      </c>
      <c r="X16" s="125"/>
      <c r="Y16" s="125"/>
      <c r="Z16" s="125"/>
      <c r="AA16" s="125"/>
      <c r="AB16" s="125"/>
      <c r="AC16" s="125"/>
      <c r="AD16" s="125"/>
      <c r="AK16" s="125"/>
      <c r="AL16" s="125"/>
      <c r="AM16" s="125"/>
      <c r="AN16" s="125"/>
      <c r="AO16" s="125"/>
    </row>
    <row r="17" spans="2:41" s="126" customFormat="1" ht="15.75">
      <c r="B17" s="380">
        <v>3</v>
      </c>
      <c r="C17" s="294" t="s">
        <v>290</v>
      </c>
      <c r="D17" s="383" t="s">
        <v>422</v>
      </c>
      <c r="E17" s="297" t="s">
        <v>334</v>
      </c>
      <c r="F17" s="305" t="s">
        <v>216</v>
      </c>
      <c r="G17" s="218" t="s">
        <v>184</v>
      </c>
      <c r="H17" s="264" t="s">
        <v>282</v>
      </c>
      <c r="I17" s="63">
        <v>10</v>
      </c>
      <c r="J17" s="63" t="s">
        <v>222</v>
      </c>
      <c r="K17" s="309"/>
      <c r="L17" s="128"/>
      <c r="M17" s="128"/>
      <c r="N17" s="128"/>
      <c r="O17" s="348"/>
      <c r="P17" s="324">
        <v>125.49019607843137</v>
      </c>
      <c r="Q17" s="330"/>
      <c r="R17" s="309"/>
      <c r="S17" s="309"/>
      <c r="T17" s="310"/>
      <c r="U17" s="331" t="s">
        <v>232</v>
      </c>
      <c r="V17" s="322" t="s">
        <v>328</v>
      </c>
      <c r="X17" s="125"/>
      <c r="Y17" s="125"/>
      <c r="Z17" s="125"/>
      <c r="AA17" s="125"/>
      <c r="AB17" s="125"/>
      <c r="AC17" s="125"/>
      <c r="AD17" s="125"/>
      <c r="AK17" s="125"/>
      <c r="AL17" s="125"/>
      <c r="AM17" s="125"/>
      <c r="AN17" s="125"/>
      <c r="AO17" s="125"/>
    </row>
    <row r="18" spans="2:41" s="126" customFormat="1" ht="15.75">
      <c r="B18" s="380">
        <v>4</v>
      </c>
      <c r="C18" s="294" t="s">
        <v>290</v>
      </c>
      <c r="D18" s="383" t="s">
        <v>422</v>
      </c>
      <c r="E18" s="297" t="s">
        <v>177</v>
      </c>
      <c r="F18" s="305" t="s">
        <v>216</v>
      </c>
      <c r="G18" s="218" t="s">
        <v>184</v>
      </c>
      <c r="H18" s="264" t="s">
        <v>282</v>
      </c>
      <c r="I18" s="307">
        <v>4</v>
      </c>
      <c r="J18" s="308" t="s">
        <v>222</v>
      </c>
      <c r="K18" s="314"/>
      <c r="L18" s="311"/>
      <c r="M18" s="311"/>
      <c r="N18" s="311"/>
      <c r="O18" s="349"/>
      <c r="P18" s="324">
        <v>50.196078431372548</v>
      </c>
      <c r="Q18" s="312"/>
      <c r="R18" s="219"/>
      <c r="S18" s="219"/>
      <c r="T18" s="315"/>
      <c r="U18" s="315" t="s">
        <v>228</v>
      </c>
      <c r="V18" s="219" t="s">
        <v>328</v>
      </c>
      <c r="X18" s="125"/>
      <c r="Y18" s="125"/>
      <c r="Z18" s="125"/>
      <c r="AA18" s="125"/>
      <c r="AB18" s="125"/>
      <c r="AC18" s="125"/>
      <c r="AD18" s="125"/>
      <c r="AK18" s="125"/>
      <c r="AL18" s="125"/>
      <c r="AM18" s="125"/>
      <c r="AN18" s="125"/>
      <c r="AO18" s="125"/>
    </row>
    <row r="19" spans="2:41" s="126" customFormat="1" ht="15.75">
      <c r="B19" s="380">
        <v>5</v>
      </c>
      <c r="C19" s="294" t="s">
        <v>290</v>
      </c>
      <c r="D19" s="383" t="s">
        <v>422</v>
      </c>
      <c r="E19" s="297" t="s">
        <v>177</v>
      </c>
      <c r="F19" s="305" t="s">
        <v>216</v>
      </c>
      <c r="G19" s="218" t="s">
        <v>184</v>
      </c>
      <c r="H19" s="264" t="s">
        <v>282</v>
      </c>
      <c r="I19" s="307">
        <v>5</v>
      </c>
      <c r="J19" s="308" t="s">
        <v>222</v>
      </c>
      <c r="K19" s="314"/>
      <c r="L19" s="311"/>
      <c r="M19" s="311"/>
      <c r="N19" s="311"/>
      <c r="O19" s="349"/>
      <c r="P19" s="324">
        <v>62.745098039215684</v>
      </c>
      <c r="Q19" s="312"/>
      <c r="R19" s="219"/>
      <c r="S19" s="219"/>
      <c r="T19" s="315"/>
      <c r="U19" s="315" t="s">
        <v>229</v>
      </c>
      <c r="V19" s="219" t="s">
        <v>328</v>
      </c>
      <c r="X19" s="125"/>
      <c r="Y19" s="125"/>
      <c r="Z19" s="125"/>
      <c r="AA19" s="125"/>
      <c r="AB19" s="125"/>
      <c r="AC19" s="125"/>
      <c r="AD19" s="125"/>
      <c r="AK19" s="125"/>
      <c r="AL19" s="125"/>
      <c r="AM19" s="125"/>
      <c r="AN19" s="125"/>
      <c r="AO19" s="125"/>
    </row>
    <row r="20" spans="2:41" s="319" customFormat="1" ht="14.25" customHeight="1">
      <c r="B20" s="408" t="s">
        <v>225</v>
      </c>
      <c r="C20" s="409"/>
      <c r="D20" s="409"/>
      <c r="E20" s="409"/>
      <c r="F20" s="409"/>
      <c r="G20" s="409"/>
      <c r="H20" s="409"/>
      <c r="I20" s="409"/>
      <c r="J20" s="410"/>
      <c r="K20" s="316" t="s">
        <v>185</v>
      </c>
      <c r="L20" s="317">
        <v>136</v>
      </c>
      <c r="M20" s="317">
        <v>136</v>
      </c>
      <c r="N20" s="317">
        <v>117</v>
      </c>
      <c r="O20" s="350">
        <v>2.1640000000000001</v>
      </c>
      <c r="P20" s="318">
        <v>640</v>
      </c>
      <c r="Q20" s="318">
        <v>810</v>
      </c>
      <c r="R20" s="295" t="s">
        <v>324</v>
      </c>
      <c r="S20" s="292" t="s">
        <v>281</v>
      </c>
      <c r="T20" s="290"/>
      <c r="U20" s="290"/>
      <c r="V20" s="289"/>
      <c r="X20" s="320"/>
      <c r="Y20" s="323">
        <f>P20/51</f>
        <v>12.549019607843137</v>
      </c>
      <c r="Z20" s="320"/>
      <c r="AA20" s="320"/>
      <c r="AB20" s="320"/>
      <c r="AC20" s="320"/>
      <c r="AD20" s="320"/>
      <c r="AK20" s="320"/>
      <c r="AL20" s="320"/>
      <c r="AM20" s="320"/>
      <c r="AN20" s="320"/>
      <c r="AO20" s="320"/>
    </row>
    <row r="21" spans="2:41" s="126" customFormat="1" ht="15.75">
      <c r="B21" s="293">
        <v>6</v>
      </c>
      <c r="C21" s="294" t="s">
        <v>292</v>
      </c>
      <c r="D21" s="383" t="s">
        <v>422</v>
      </c>
      <c r="E21" s="297" t="s">
        <v>177</v>
      </c>
      <c r="F21" s="305" t="s">
        <v>216</v>
      </c>
      <c r="G21" s="218" t="s">
        <v>184</v>
      </c>
      <c r="H21" s="264" t="s">
        <v>282</v>
      </c>
      <c r="I21" s="307">
        <v>29</v>
      </c>
      <c r="J21" s="308" t="s">
        <v>222</v>
      </c>
      <c r="K21" s="314"/>
      <c r="L21" s="311"/>
      <c r="M21" s="311"/>
      <c r="N21" s="311"/>
      <c r="O21" s="349"/>
      <c r="P21" s="312">
        <v>470</v>
      </c>
      <c r="Q21" s="312"/>
      <c r="R21" s="219"/>
      <c r="S21" s="219"/>
      <c r="T21" s="315"/>
      <c r="U21" s="315" t="s">
        <v>233</v>
      </c>
      <c r="V21" s="219" t="s">
        <v>328</v>
      </c>
      <c r="X21" s="125"/>
      <c r="Y21" s="125"/>
      <c r="Z21" s="125"/>
      <c r="AA21" s="125"/>
      <c r="AB21" s="125"/>
      <c r="AC21" s="125"/>
      <c r="AD21" s="125"/>
      <c r="AK21" s="125"/>
      <c r="AL21" s="125"/>
      <c r="AM21" s="125"/>
      <c r="AN21" s="125"/>
      <c r="AO21" s="125"/>
    </row>
    <row r="22" spans="2:41" s="319" customFormat="1" ht="14.25" customHeight="1">
      <c r="B22" s="408" t="s">
        <v>225</v>
      </c>
      <c r="C22" s="409"/>
      <c r="D22" s="409"/>
      <c r="E22" s="409"/>
      <c r="F22" s="409"/>
      <c r="G22" s="409"/>
      <c r="H22" s="409"/>
      <c r="I22" s="409"/>
      <c r="J22" s="410"/>
      <c r="K22" s="316" t="s">
        <v>185</v>
      </c>
      <c r="L22" s="317">
        <v>136</v>
      </c>
      <c r="M22" s="317">
        <v>136</v>
      </c>
      <c r="N22" s="317">
        <v>117</v>
      </c>
      <c r="O22" s="350">
        <v>2.1640000000000001</v>
      </c>
      <c r="P22" s="318">
        <v>470</v>
      </c>
      <c r="Q22" s="318">
        <v>640</v>
      </c>
      <c r="R22" s="295" t="s">
        <v>324</v>
      </c>
      <c r="S22" s="292" t="s">
        <v>281</v>
      </c>
      <c r="T22" s="290"/>
      <c r="U22" s="290"/>
      <c r="V22" s="289"/>
      <c r="X22" s="320"/>
      <c r="Y22" s="320"/>
      <c r="Z22" s="320"/>
      <c r="AA22" s="320"/>
      <c r="AB22" s="320"/>
      <c r="AC22" s="320"/>
      <c r="AD22" s="320"/>
      <c r="AK22" s="320"/>
      <c r="AL22" s="320"/>
      <c r="AM22" s="320"/>
      <c r="AN22" s="320"/>
      <c r="AO22" s="320"/>
    </row>
    <row r="23" spans="2:41" s="126" customFormat="1" ht="15.75">
      <c r="B23" s="293">
        <v>7</v>
      </c>
      <c r="C23" s="294" t="s">
        <v>293</v>
      </c>
      <c r="D23" s="383" t="s">
        <v>422</v>
      </c>
      <c r="E23" s="297" t="s">
        <v>335</v>
      </c>
      <c r="F23" s="305" t="s">
        <v>216</v>
      </c>
      <c r="G23" s="218" t="s">
        <v>184</v>
      </c>
      <c r="H23" s="264" t="s">
        <v>282</v>
      </c>
      <c r="I23" s="307">
        <v>38</v>
      </c>
      <c r="J23" s="308" t="s">
        <v>222</v>
      </c>
      <c r="K23" s="314"/>
      <c r="L23" s="311"/>
      <c r="M23" s="311"/>
      <c r="N23" s="311"/>
      <c r="O23" s="349"/>
      <c r="P23" s="312">
        <v>639.51219512195121</v>
      </c>
      <c r="Q23" s="312"/>
      <c r="R23" s="219"/>
      <c r="S23" s="219"/>
      <c r="T23" s="315"/>
      <c r="U23" s="315" t="s">
        <v>234</v>
      </c>
      <c r="V23" s="219" t="s">
        <v>328</v>
      </c>
      <c r="X23" s="125"/>
      <c r="Y23" s="125"/>
      <c r="Z23" s="125"/>
      <c r="AA23" s="125"/>
      <c r="AB23" s="125"/>
      <c r="AC23" s="125"/>
      <c r="AD23" s="125"/>
      <c r="AK23" s="125"/>
      <c r="AL23" s="125"/>
      <c r="AM23" s="125"/>
      <c r="AN23" s="125"/>
      <c r="AO23" s="125"/>
    </row>
    <row r="24" spans="2:41" s="126" customFormat="1" ht="15.75">
      <c r="B24" s="293">
        <v>8</v>
      </c>
      <c r="C24" s="294" t="s">
        <v>293</v>
      </c>
      <c r="D24" s="383" t="s">
        <v>422</v>
      </c>
      <c r="E24" s="297" t="s">
        <v>335</v>
      </c>
      <c r="F24" s="305" t="s">
        <v>216</v>
      </c>
      <c r="G24" s="218" t="s">
        <v>184</v>
      </c>
      <c r="H24" s="264" t="s">
        <v>282</v>
      </c>
      <c r="I24" s="307">
        <v>3</v>
      </c>
      <c r="J24" s="308" t="s">
        <v>222</v>
      </c>
      <c r="K24" s="314"/>
      <c r="L24" s="311"/>
      <c r="M24" s="311"/>
      <c r="N24" s="311"/>
      <c r="O24" s="349"/>
      <c r="P24" s="312">
        <v>50.487804878048777</v>
      </c>
      <c r="Q24" s="312"/>
      <c r="R24" s="219"/>
      <c r="S24" s="219"/>
      <c r="T24" s="315"/>
      <c r="U24" s="315" t="s">
        <v>235</v>
      </c>
      <c r="V24" s="219" t="s">
        <v>328</v>
      </c>
      <c r="X24" s="125"/>
      <c r="Y24" s="125"/>
      <c r="Z24" s="125"/>
      <c r="AA24" s="125"/>
      <c r="AB24" s="125"/>
      <c r="AC24" s="125"/>
      <c r="AD24" s="125"/>
      <c r="AK24" s="125"/>
      <c r="AL24" s="125"/>
      <c r="AM24" s="125"/>
      <c r="AN24" s="125"/>
      <c r="AO24" s="125"/>
    </row>
    <row r="25" spans="2:41" s="319" customFormat="1" ht="14.25" customHeight="1">
      <c r="B25" s="408" t="s">
        <v>225</v>
      </c>
      <c r="C25" s="409"/>
      <c r="D25" s="409"/>
      <c r="E25" s="409"/>
      <c r="F25" s="409"/>
      <c r="G25" s="409"/>
      <c r="H25" s="409"/>
      <c r="I25" s="409"/>
      <c r="J25" s="410"/>
      <c r="K25" s="316" t="s">
        <v>185</v>
      </c>
      <c r="L25" s="317">
        <v>136</v>
      </c>
      <c r="M25" s="317">
        <v>136</v>
      </c>
      <c r="N25" s="317">
        <v>117</v>
      </c>
      <c r="O25" s="350">
        <v>2.1640000000000001</v>
      </c>
      <c r="P25" s="318">
        <v>690</v>
      </c>
      <c r="Q25" s="318">
        <v>850</v>
      </c>
      <c r="R25" s="295" t="s">
        <v>324</v>
      </c>
      <c r="S25" s="292" t="s">
        <v>281</v>
      </c>
      <c r="T25" s="290"/>
      <c r="U25" s="290"/>
      <c r="V25" s="289"/>
      <c r="X25" s="320"/>
      <c r="Y25" s="323">
        <f>P25/41</f>
        <v>16.829268292682926</v>
      </c>
      <c r="Z25" s="320"/>
      <c r="AA25" s="320"/>
      <c r="AB25" s="320"/>
      <c r="AC25" s="320"/>
      <c r="AD25" s="320"/>
      <c r="AK25" s="320"/>
      <c r="AL25" s="320"/>
      <c r="AM25" s="320"/>
      <c r="AN25" s="320"/>
      <c r="AO25" s="320"/>
    </row>
    <row r="26" spans="2:41" s="126" customFormat="1" ht="15.75">
      <c r="B26" s="293">
        <v>9</v>
      </c>
      <c r="C26" s="294" t="s">
        <v>294</v>
      </c>
      <c r="D26" s="383" t="s">
        <v>422</v>
      </c>
      <c r="E26" s="297" t="s">
        <v>177</v>
      </c>
      <c r="F26" s="305" t="s">
        <v>216</v>
      </c>
      <c r="G26" s="218" t="s">
        <v>184</v>
      </c>
      <c r="H26" s="264" t="s">
        <v>282</v>
      </c>
      <c r="I26" s="307">
        <v>17</v>
      </c>
      <c r="J26" s="308" t="s">
        <v>222</v>
      </c>
      <c r="K26" s="314"/>
      <c r="L26" s="311"/>
      <c r="M26" s="311"/>
      <c r="N26" s="311"/>
      <c r="O26" s="349"/>
      <c r="P26" s="312">
        <v>672.91666666666674</v>
      </c>
      <c r="Q26" s="312"/>
      <c r="R26" s="219"/>
      <c r="S26" s="219"/>
      <c r="T26" s="315"/>
      <c r="U26" s="315" t="s">
        <v>226</v>
      </c>
      <c r="V26" s="219" t="s">
        <v>328</v>
      </c>
      <c r="X26" s="125"/>
      <c r="Y26" s="125"/>
      <c r="Z26" s="125"/>
      <c r="AA26" s="125"/>
      <c r="AB26" s="125"/>
      <c r="AC26" s="125"/>
      <c r="AD26" s="125"/>
      <c r="AK26" s="125"/>
      <c r="AL26" s="125"/>
      <c r="AM26" s="125"/>
      <c r="AN26" s="125"/>
      <c r="AO26" s="125"/>
    </row>
    <row r="27" spans="2:41" s="126" customFormat="1" ht="15.75">
      <c r="B27" s="293">
        <v>10</v>
      </c>
      <c r="C27" s="294" t="s">
        <v>294</v>
      </c>
      <c r="D27" s="383" t="s">
        <v>422</v>
      </c>
      <c r="E27" s="297" t="s">
        <v>177</v>
      </c>
      <c r="F27" s="305" t="s">
        <v>216</v>
      </c>
      <c r="G27" s="218" t="s">
        <v>184</v>
      </c>
      <c r="H27" s="264" t="s">
        <v>282</v>
      </c>
      <c r="I27" s="307">
        <v>7</v>
      </c>
      <c r="J27" s="308" t="s">
        <v>222</v>
      </c>
      <c r="K27" s="314"/>
      <c r="L27" s="311"/>
      <c r="M27" s="311"/>
      <c r="N27" s="311"/>
      <c r="O27" s="349"/>
      <c r="P27" s="312">
        <v>277.08333333333337</v>
      </c>
      <c r="Q27" s="312"/>
      <c r="R27" s="219"/>
      <c r="S27" s="219"/>
      <c r="T27" s="315"/>
      <c r="U27" s="315" t="s">
        <v>227</v>
      </c>
      <c r="V27" s="219" t="s">
        <v>328</v>
      </c>
      <c r="X27" s="125"/>
      <c r="Y27" s="125"/>
      <c r="Z27" s="125"/>
      <c r="AA27" s="125"/>
      <c r="AB27" s="125"/>
      <c r="AC27" s="125"/>
      <c r="AD27" s="125"/>
      <c r="AK27" s="125"/>
      <c r="AL27" s="125"/>
      <c r="AM27" s="125"/>
      <c r="AN27" s="125"/>
      <c r="AO27" s="125"/>
    </row>
    <row r="28" spans="2:41" s="319" customFormat="1" ht="14.25" customHeight="1">
      <c r="B28" s="408" t="s">
        <v>225</v>
      </c>
      <c r="C28" s="409"/>
      <c r="D28" s="409"/>
      <c r="E28" s="409"/>
      <c r="F28" s="409"/>
      <c r="G28" s="409"/>
      <c r="H28" s="409"/>
      <c r="I28" s="409"/>
      <c r="J28" s="410"/>
      <c r="K28" s="316" t="s">
        <v>185</v>
      </c>
      <c r="L28" s="317">
        <v>136</v>
      </c>
      <c r="M28" s="317">
        <v>136</v>
      </c>
      <c r="N28" s="317">
        <v>117</v>
      </c>
      <c r="O28" s="350">
        <v>2.1640000000000001</v>
      </c>
      <c r="P28" s="318">
        <v>950</v>
      </c>
      <c r="Q28" s="318">
        <v>1110</v>
      </c>
      <c r="R28" s="295" t="s">
        <v>324</v>
      </c>
      <c r="S28" s="292" t="s">
        <v>281</v>
      </c>
      <c r="T28" s="290"/>
      <c r="U28" s="290"/>
      <c r="V28" s="289"/>
      <c r="X28" s="320"/>
      <c r="Y28" s="323">
        <f>P28/24</f>
        <v>39.583333333333336</v>
      </c>
      <c r="Z28" s="320"/>
      <c r="AA28" s="320"/>
      <c r="AB28" s="320"/>
      <c r="AC28" s="320"/>
      <c r="AD28" s="320"/>
      <c r="AK28" s="320"/>
      <c r="AL28" s="320"/>
      <c r="AM28" s="320"/>
      <c r="AN28" s="320"/>
      <c r="AO28" s="320"/>
    </row>
    <row r="29" spans="2:41" s="126" customFormat="1" ht="15.75">
      <c r="B29" s="293">
        <v>11</v>
      </c>
      <c r="C29" s="294" t="s">
        <v>295</v>
      </c>
      <c r="D29" s="383" t="s">
        <v>422</v>
      </c>
      <c r="E29" s="297" t="s">
        <v>177</v>
      </c>
      <c r="F29" s="305" t="s">
        <v>216</v>
      </c>
      <c r="G29" s="218" t="s">
        <v>184</v>
      </c>
      <c r="H29" s="264" t="s">
        <v>282</v>
      </c>
      <c r="I29" s="307">
        <v>46</v>
      </c>
      <c r="J29" s="308" t="s">
        <v>222</v>
      </c>
      <c r="K29" s="314"/>
      <c r="L29" s="311"/>
      <c r="M29" s="311"/>
      <c r="N29" s="311"/>
      <c r="O29" s="349"/>
      <c r="P29" s="312">
        <v>606.03174603174602</v>
      </c>
      <c r="Q29" s="312"/>
      <c r="R29" s="219"/>
      <c r="S29" s="219"/>
      <c r="T29" s="315"/>
      <c r="U29" s="315" t="s">
        <v>223</v>
      </c>
      <c r="V29" s="219" t="s">
        <v>328</v>
      </c>
      <c r="X29" s="125"/>
      <c r="Y29" s="125"/>
      <c r="Z29" s="125"/>
      <c r="AA29" s="125"/>
      <c r="AB29" s="125"/>
      <c r="AC29" s="125"/>
      <c r="AD29" s="125"/>
      <c r="AK29" s="125"/>
      <c r="AL29" s="125"/>
      <c r="AM29" s="125"/>
      <c r="AN29" s="125"/>
      <c r="AO29" s="125"/>
    </row>
    <row r="30" spans="2:41" s="126" customFormat="1" ht="15.75">
      <c r="B30" s="293">
        <v>12</v>
      </c>
      <c r="C30" s="294" t="s">
        <v>295</v>
      </c>
      <c r="D30" s="383" t="s">
        <v>422</v>
      </c>
      <c r="E30" s="297" t="s">
        <v>177</v>
      </c>
      <c r="F30" s="305" t="s">
        <v>216</v>
      </c>
      <c r="G30" s="218" t="s">
        <v>184</v>
      </c>
      <c r="H30" s="264" t="s">
        <v>282</v>
      </c>
      <c r="I30" s="307">
        <v>17</v>
      </c>
      <c r="J30" s="308" t="s">
        <v>222</v>
      </c>
      <c r="K30" s="314"/>
      <c r="L30" s="311"/>
      <c r="M30" s="311"/>
      <c r="N30" s="311"/>
      <c r="O30" s="349"/>
      <c r="P30" s="312">
        <v>223.96825396825395</v>
      </c>
      <c r="Q30" s="312"/>
      <c r="R30" s="219"/>
      <c r="S30" s="219"/>
      <c r="T30" s="315"/>
      <c r="U30" s="315" t="s">
        <v>224</v>
      </c>
      <c r="V30" s="219" t="s">
        <v>328</v>
      </c>
      <c r="X30" s="125"/>
      <c r="Y30" s="125"/>
      <c r="Z30" s="125"/>
      <c r="AA30" s="125"/>
      <c r="AB30" s="125"/>
      <c r="AC30" s="125"/>
      <c r="AD30" s="125"/>
      <c r="AK30" s="125"/>
      <c r="AL30" s="125"/>
      <c r="AM30" s="125"/>
      <c r="AN30" s="125"/>
      <c r="AO30" s="125"/>
    </row>
    <row r="31" spans="2:41" s="319" customFormat="1" ht="14.25" customHeight="1">
      <c r="B31" s="408" t="s">
        <v>225</v>
      </c>
      <c r="C31" s="409"/>
      <c r="D31" s="409"/>
      <c r="E31" s="409"/>
      <c r="F31" s="409"/>
      <c r="G31" s="409"/>
      <c r="H31" s="409"/>
      <c r="I31" s="409"/>
      <c r="J31" s="410"/>
      <c r="K31" s="316" t="s">
        <v>185</v>
      </c>
      <c r="L31" s="317">
        <v>136</v>
      </c>
      <c r="M31" s="317">
        <v>136</v>
      </c>
      <c r="N31" s="317">
        <v>117</v>
      </c>
      <c r="O31" s="350">
        <v>2.1640000000000001</v>
      </c>
      <c r="P31" s="318">
        <v>830</v>
      </c>
      <c r="Q31" s="318">
        <v>990</v>
      </c>
      <c r="R31" s="295" t="s">
        <v>324</v>
      </c>
      <c r="S31" s="292" t="s">
        <v>281</v>
      </c>
      <c r="T31" s="290"/>
      <c r="U31" s="290"/>
      <c r="V31" s="289"/>
      <c r="X31" s="320"/>
      <c r="Y31" s="323">
        <f>P31/63</f>
        <v>13.174603174603174</v>
      </c>
      <c r="Z31" s="320"/>
      <c r="AA31" s="320"/>
      <c r="AB31" s="320"/>
      <c r="AC31" s="320"/>
      <c r="AD31" s="320"/>
      <c r="AK31" s="320"/>
      <c r="AL31" s="320"/>
      <c r="AM31" s="320"/>
      <c r="AN31" s="320"/>
      <c r="AO31" s="320"/>
    </row>
    <row r="32" spans="2:41" s="126" customFormat="1" ht="15.75">
      <c r="B32" s="380">
        <v>13</v>
      </c>
      <c r="C32" s="294" t="s">
        <v>296</v>
      </c>
      <c r="D32" s="383" t="s">
        <v>422</v>
      </c>
      <c r="E32" s="297" t="s">
        <v>177</v>
      </c>
      <c r="F32" s="305" t="s">
        <v>216</v>
      </c>
      <c r="G32" s="218" t="s">
        <v>184</v>
      </c>
      <c r="H32" s="264" t="s">
        <v>282</v>
      </c>
      <c r="I32" s="63">
        <v>6</v>
      </c>
      <c r="J32" s="63" t="s">
        <v>222</v>
      </c>
      <c r="K32" s="309"/>
      <c r="L32" s="128"/>
      <c r="M32" s="128"/>
      <c r="N32" s="128"/>
      <c r="O32" s="348"/>
      <c r="P32" s="324">
        <v>37.89473684210526</v>
      </c>
      <c r="Q32" s="309"/>
      <c r="R32" s="309"/>
      <c r="S32" s="309"/>
      <c r="T32" s="310"/>
      <c r="U32" s="331" t="s">
        <v>236</v>
      </c>
      <c r="V32" s="322" t="s">
        <v>328</v>
      </c>
      <c r="X32" s="125"/>
      <c r="Y32" s="125"/>
      <c r="Z32" s="125"/>
      <c r="AA32" s="125"/>
      <c r="AB32" s="125"/>
      <c r="AC32" s="125"/>
      <c r="AD32" s="125"/>
      <c r="AK32" s="125"/>
      <c r="AL32" s="125"/>
      <c r="AM32" s="125"/>
      <c r="AN32" s="125"/>
      <c r="AO32" s="125"/>
    </row>
    <row r="33" spans="2:41" s="126" customFormat="1" ht="15.75">
      <c r="B33" s="380">
        <v>14</v>
      </c>
      <c r="C33" s="294" t="s">
        <v>296</v>
      </c>
      <c r="D33" s="383" t="s">
        <v>422</v>
      </c>
      <c r="E33" s="297" t="s">
        <v>177</v>
      </c>
      <c r="F33" s="305" t="s">
        <v>216</v>
      </c>
      <c r="G33" s="218" t="s">
        <v>184</v>
      </c>
      <c r="H33" s="264" t="s">
        <v>282</v>
      </c>
      <c r="I33" s="307">
        <v>10</v>
      </c>
      <c r="J33" s="308" t="s">
        <v>222</v>
      </c>
      <c r="K33" s="314"/>
      <c r="L33" s="311"/>
      <c r="M33" s="311"/>
      <c r="N33" s="311"/>
      <c r="O33" s="349"/>
      <c r="P33" s="324">
        <v>63.15789473684211</v>
      </c>
      <c r="Q33" s="312"/>
      <c r="R33" s="219"/>
      <c r="S33" s="219"/>
      <c r="T33" s="315"/>
      <c r="U33" s="315" t="s">
        <v>237</v>
      </c>
      <c r="V33" s="219" t="s">
        <v>328</v>
      </c>
      <c r="X33" s="125"/>
      <c r="Y33" s="125"/>
      <c r="Z33" s="125"/>
      <c r="AA33" s="125"/>
      <c r="AB33" s="125"/>
      <c r="AC33" s="125"/>
      <c r="AD33" s="125"/>
      <c r="AK33" s="125"/>
      <c r="AL33" s="125"/>
      <c r="AM33" s="125"/>
      <c r="AN33" s="125"/>
      <c r="AO33" s="125"/>
    </row>
    <row r="34" spans="2:41" s="126" customFormat="1" ht="15.75">
      <c r="B34" s="380">
        <v>15</v>
      </c>
      <c r="C34" s="294" t="s">
        <v>296</v>
      </c>
      <c r="D34" s="383" t="s">
        <v>422</v>
      </c>
      <c r="E34" s="297" t="s">
        <v>177</v>
      </c>
      <c r="F34" s="305" t="s">
        <v>216</v>
      </c>
      <c r="G34" s="218" t="s">
        <v>184</v>
      </c>
      <c r="H34" s="264" t="s">
        <v>282</v>
      </c>
      <c r="I34" s="307">
        <v>22</v>
      </c>
      <c r="J34" s="308" t="s">
        <v>222</v>
      </c>
      <c r="K34" s="314"/>
      <c r="L34" s="311"/>
      <c r="M34" s="311"/>
      <c r="N34" s="311"/>
      <c r="O34" s="349"/>
      <c r="P34" s="324">
        <v>138.94736842105263</v>
      </c>
      <c r="Q34" s="312"/>
      <c r="R34" s="219"/>
      <c r="S34" s="219"/>
      <c r="T34" s="315"/>
      <c r="U34" s="315" t="s">
        <v>238</v>
      </c>
      <c r="V34" s="219" t="s">
        <v>328</v>
      </c>
      <c r="X34" s="125"/>
      <c r="Y34" s="125"/>
      <c r="Z34" s="125"/>
      <c r="AA34" s="125"/>
      <c r="AB34" s="125"/>
      <c r="AC34" s="125"/>
      <c r="AD34" s="125"/>
      <c r="AK34" s="125"/>
      <c r="AL34" s="125"/>
      <c r="AM34" s="125"/>
      <c r="AN34" s="125"/>
      <c r="AO34" s="125"/>
    </row>
    <row r="35" spans="2:41" s="319" customFormat="1" ht="14.25" customHeight="1">
      <c r="B35" s="408" t="s">
        <v>225</v>
      </c>
      <c r="C35" s="409"/>
      <c r="D35" s="409"/>
      <c r="E35" s="409"/>
      <c r="F35" s="409"/>
      <c r="G35" s="409"/>
      <c r="H35" s="409"/>
      <c r="I35" s="409"/>
      <c r="J35" s="410"/>
      <c r="K35" s="316" t="s">
        <v>185</v>
      </c>
      <c r="L35" s="317">
        <v>157</v>
      </c>
      <c r="M35" s="317">
        <v>123</v>
      </c>
      <c r="N35" s="317">
        <v>66</v>
      </c>
      <c r="O35" s="350">
        <v>1.2749999999999999</v>
      </c>
      <c r="P35" s="318">
        <v>240</v>
      </c>
      <c r="Q35" s="318">
        <v>380</v>
      </c>
      <c r="R35" s="295" t="s">
        <v>324</v>
      </c>
      <c r="S35" s="292" t="s">
        <v>281</v>
      </c>
      <c r="T35" s="290"/>
      <c r="U35" s="290"/>
      <c r="V35" s="289"/>
      <c r="X35" s="320"/>
      <c r="Y35" s="323">
        <f>P35/38</f>
        <v>6.3157894736842106</v>
      </c>
      <c r="Z35" s="320"/>
      <c r="AA35" s="320"/>
      <c r="AB35" s="320"/>
      <c r="AC35" s="320"/>
      <c r="AD35" s="320"/>
      <c r="AK35" s="320"/>
      <c r="AL35" s="320"/>
      <c r="AM35" s="320"/>
      <c r="AN35" s="320"/>
      <c r="AO35" s="320"/>
    </row>
    <row r="36" spans="2:41" s="126" customFormat="1" ht="15.75">
      <c r="B36" s="293">
        <v>16</v>
      </c>
      <c r="C36" s="294" t="s">
        <v>297</v>
      </c>
      <c r="D36" s="383" t="s">
        <v>422</v>
      </c>
      <c r="E36" s="297" t="s">
        <v>177</v>
      </c>
      <c r="F36" s="305" t="s">
        <v>216</v>
      </c>
      <c r="G36" s="218" t="s">
        <v>184</v>
      </c>
      <c r="H36" s="264" t="s">
        <v>282</v>
      </c>
      <c r="I36" s="307">
        <v>32</v>
      </c>
      <c r="J36" s="308" t="s">
        <v>222</v>
      </c>
      <c r="K36" s="314"/>
      <c r="L36" s="311"/>
      <c r="M36" s="311"/>
      <c r="N36" s="311"/>
      <c r="O36" s="349"/>
      <c r="P36" s="312">
        <v>1580</v>
      </c>
      <c r="Q36" s="312"/>
      <c r="R36" s="219"/>
      <c r="S36" s="219"/>
      <c r="T36" s="315"/>
      <c r="U36" s="315" t="s">
        <v>239</v>
      </c>
      <c r="V36" s="219" t="s">
        <v>328</v>
      </c>
      <c r="X36" s="125"/>
      <c r="Y36" s="125"/>
      <c r="Z36" s="125"/>
      <c r="AA36" s="125"/>
      <c r="AB36" s="125"/>
      <c r="AC36" s="125"/>
      <c r="AD36" s="125"/>
      <c r="AK36" s="125"/>
      <c r="AL36" s="125"/>
      <c r="AM36" s="125"/>
      <c r="AN36" s="125"/>
      <c r="AO36" s="125"/>
    </row>
    <row r="37" spans="2:41" s="319" customFormat="1" ht="14.25" customHeight="1">
      <c r="B37" s="408" t="s">
        <v>225</v>
      </c>
      <c r="C37" s="409"/>
      <c r="D37" s="409"/>
      <c r="E37" s="409"/>
      <c r="F37" s="409"/>
      <c r="G37" s="409"/>
      <c r="H37" s="409"/>
      <c r="I37" s="409"/>
      <c r="J37" s="410"/>
      <c r="K37" s="316" t="s">
        <v>185</v>
      </c>
      <c r="L37" s="317">
        <v>136</v>
      </c>
      <c r="M37" s="317">
        <v>136</v>
      </c>
      <c r="N37" s="317">
        <v>142</v>
      </c>
      <c r="O37" s="350">
        <v>2.6259999999999999</v>
      </c>
      <c r="P37" s="318">
        <v>1580</v>
      </c>
      <c r="Q37" s="318">
        <v>1730</v>
      </c>
      <c r="R37" s="295" t="s">
        <v>324</v>
      </c>
      <c r="S37" s="292" t="s">
        <v>281</v>
      </c>
      <c r="T37" s="290"/>
      <c r="U37" s="290"/>
      <c r="V37" s="289"/>
      <c r="X37" s="320"/>
      <c r="Y37" s="320"/>
      <c r="Z37" s="320"/>
      <c r="AA37" s="320"/>
      <c r="AB37" s="320"/>
      <c r="AC37" s="320"/>
      <c r="AD37" s="320"/>
      <c r="AK37" s="320"/>
      <c r="AL37" s="320"/>
      <c r="AM37" s="320"/>
      <c r="AN37" s="320"/>
      <c r="AO37" s="320"/>
    </row>
    <row r="38" spans="2:41" s="126" customFormat="1" ht="15.75">
      <c r="B38" s="293">
        <v>17</v>
      </c>
      <c r="C38" s="294" t="s">
        <v>298</v>
      </c>
      <c r="D38" s="383" t="s">
        <v>422</v>
      </c>
      <c r="E38" s="297" t="s">
        <v>177</v>
      </c>
      <c r="F38" s="305" t="s">
        <v>216</v>
      </c>
      <c r="G38" s="218" t="s">
        <v>184</v>
      </c>
      <c r="H38" s="264" t="s">
        <v>282</v>
      </c>
      <c r="I38" s="307">
        <v>32</v>
      </c>
      <c r="J38" s="308" t="s">
        <v>222</v>
      </c>
      <c r="K38" s="314"/>
      <c r="L38" s="311"/>
      <c r="M38" s="311"/>
      <c r="N38" s="311"/>
      <c r="O38" s="349"/>
      <c r="P38" s="312">
        <v>1580</v>
      </c>
      <c r="Q38" s="312"/>
      <c r="R38" s="219"/>
      <c r="S38" s="219"/>
      <c r="T38" s="315"/>
      <c r="U38" s="315" t="s">
        <v>226</v>
      </c>
      <c r="V38" s="219" t="s">
        <v>328</v>
      </c>
      <c r="X38" s="125"/>
      <c r="Y38" s="125"/>
      <c r="Z38" s="125"/>
      <c r="AA38" s="125"/>
      <c r="AB38" s="125"/>
      <c r="AC38" s="125"/>
      <c r="AD38" s="125"/>
      <c r="AK38" s="125"/>
      <c r="AL38" s="125"/>
      <c r="AM38" s="125"/>
      <c r="AN38" s="125"/>
      <c r="AO38" s="125"/>
    </row>
    <row r="39" spans="2:41" s="319" customFormat="1" ht="14.25" customHeight="1">
      <c r="B39" s="408" t="s">
        <v>225</v>
      </c>
      <c r="C39" s="409"/>
      <c r="D39" s="409"/>
      <c r="E39" s="409"/>
      <c r="F39" s="409"/>
      <c r="G39" s="409"/>
      <c r="H39" s="409"/>
      <c r="I39" s="409"/>
      <c r="J39" s="410"/>
      <c r="K39" s="316" t="s">
        <v>185</v>
      </c>
      <c r="L39" s="317">
        <v>136</v>
      </c>
      <c r="M39" s="317">
        <v>136</v>
      </c>
      <c r="N39" s="317">
        <v>142</v>
      </c>
      <c r="O39" s="350">
        <v>2.6259999999999999</v>
      </c>
      <c r="P39" s="318">
        <v>1580</v>
      </c>
      <c r="Q39" s="318">
        <v>1750</v>
      </c>
      <c r="R39" s="295" t="s">
        <v>324</v>
      </c>
      <c r="S39" s="292" t="s">
        <v>281</v>
      </c>
      <c r="T39" s="290"/>
      <c r="U39" s="290"/>
      <c r="V39" s="289"/>
      <c r="X39" s="320"/>
      <c r="Y39" s="320"/>
      <c r="Z39" s="320"/>
      <c r="AA39" s="320"/>
      <c r="AB39" s="320"/>
      <c r="AC39" s="320"/>
      <c r="AD39" s="320"/>
      <c r="AK39" s="320"/>
      <c r="AL39" s="320"/>
      <c r="AM39" s="320"/>
      <c r="AN39" s="320"/>
      <c r="AO39" s="320"/>
    </row>
    <row r="40" spans="2:41" s="126" customFormat="1" ht="15.75">
      <c r="B40" s="293">
        <v>18</v>
      </c>
      <c r="C40" s="294" t="s">
        <v>299</v>
      </c>
      <c r="D40" s="383" t="s">
        <v>422</v>
      </c>
      <c r="E40" s="297" t="s">
        <v>177</v>
      </c>
      <c r="F40" s="305" t="s">
        <v>216</v>
      </c>
      <c r="G40" s="218" t="s">
        <v>184</v>
      </c>
      <c r="H40" s="264" t="s">
        <v>282</v>
      </c>
      <c r="I40" s="307">
        <v>25</v>
      </c>
      <c r="J40" s="308" t="s">
        <v>222</v>
      </c>
      <c r="K40" s="314"/>
      <c r="L40" s="311"/>
      <c r="M40" s="311"/>
      <c r="N40" s="311"/>
      <c r="O40" s="349"/>
      <c r="P40" s="312">
        <v>1120.6896551724139</v>
      </c>
      <c r="Q40" s="312"/>
      <c r="R40" s="219"/>
      <c r="S40" s="219"/>
      <c r="T40" s="315"/>
      <c r="U40" s="315" t="s">
        <v>240</v>
      </c>
      <c r="V40" s="219" t="s">
        <v>328</v>
      </c>
      <c r="X40" s="125"/>
      <c r="Y40" s="125"/>
      <c r="Z40" s="125"/>
      <c r="AA40" s="125"/>
      <c r="AB40" s="125"/>
      <c r="AC40" s="125"/>
      <c r="AD40" s="125"/>
      <c r="AK40" s="125"/>
      <c r="AL40" s="125"/>
      <c r="AM40" s="125"/>
      <c r="AN40" s="125"/>
      <c r="AO40" s="125"/>
    </row>
    <row r="41" spans="2:41" s="126" customFormat="1" ht="15.75">
      <c r="B41" s="293">
        <v>19</v>
      </c>
      <c r="C41" s="294" t="s">
        <v>299</v>
      </c>
      <c r="D41" s="383" t="s">
        <v>422</v>
      </c>
      <c r="E41" s="297" t="s">
        <v>177</v>
      </c>
      <c r="F41" s="305" t="s">
        <v>216</v>
      </c>
      <c r="G41" s="218" t="s">
        <v>184</v>
      </c>
      <c r="H41" s="264" t="s">
        <v>282</v>
      </c>
      <c r="I41" s="307">
        <v>4</v>
      </c>
      <c r="J41" s="308" t="s">
        <v>222</v>
      </c>
      <c r="K41" s="314"/>
      <c r="L41" s="311"/>
      <c r="M41" s="311"/>
      <c r="N41" s="311"/>
      <c r="O41" s="349"/>
      <c r="P41" s="312">
        <v>179.31034482758622</v>
      </c>
      <c r="Q41" s="312"/>
      <c r="R41" s="219"/>
      <c r="S41" s="219"/>
      <c r="T41" s="315"/>
      <c r="U41" s="315" t="s">
        <v>241</v>
      </c>
      <c r="V41" s="219" t="s">
        <v>328</v>
      </c>
      <c r="X41" s="125"/>
      <c r="Y41" s="125"/>
      <c r="Z41" s="125"/>
      <c r="AA41" s="125"/>
      <c r="AB41" s="125"/>
      <c r="AC41" s="125"/>
      <c r="AD41" s="125"/>
      <c r="AK41" s="125"/>
      <c r="AL41" s="125"/>
      <c r="AM41" s="125"/>
      <c r="AN41" s="125"/>
      <c r="AO41" s="125"/>
    </row>
    <row r="42" spans="2:41" s="319" customFormat="1" ht="14.25" customHeight="1">
      <c r="B42" s="408" t="s">
        <v>225</v>
      </c>
      <c r="C42" s="409"/>
      <c r="D42" s="409"/>
      <c r="E42" s="409"/>
      <c r="F42" s="409"/>
      <c r="G42" s="409"/>
      <c r="H42" s="409"/>
      <c r="I42" s="409"/>
      <c r="J42" s="410"/>
      <c r="K42" s="316" t="s">
        <v>185</v>
      </c>
      <c r="L42" s="317">
        <v>136</v>
      </c>
      <c r="M42" s="317">
        <v>136</v>
      </c>
      <c r="N42" s="317">
        <v>142</v>
      </c>
      <c r="O42" s="350">
        <v>2.6259999999999999</v>
      </c>
      <c r="P42" s="318">
        <v>1300</v>
      </c>
      <c r="Q42" s="318">
        <v>1490</v>
      </c>
      <c r="R42" s="295" t="s">
        <v>324</v>
      </c>
      <c r="S42" s="292" t="s">
        <v>281</v>
      </c>
      <c r="T42" s="290"/>
      <c r="U42" s="290"/>
      <c r="V42" s="289"/>
      <c r="X42" s="320"/>
      <c r="Y42" s="323">
        <f>P42/29</f>
        <v>44.827586206896555</v>
      </c>
      <c r="Z42" s="320"/>
      <c r="AA42" s="320"/>
      <c r="AB42" s="320"/>
      <c r="AC42" s="320"/>
      <c r="AD42" s="320"/>
      <c r="AK42" s="320"/>
      <c r="AL42" s="320"/>
      <c r="AM42" s="320"/>
      <c r="AN42" s="320"/>
      <c r="AO42" s="320"/>
    </row>
    <row r="43" spans="2:41" s="126" customFormat="1" ht="15.75">
      <c r="B43" s="293">
        <v>20</v>
      </c>
      <c r="C43" s="294" t="s">
        <v>300</v>
      </c>
      <c r="D43" s="383" t="s">
        <v>422</v>
      </c>
      <c r="E43" s="297" t="s">
        <v>177</v>
      </c>
      <c r="F43" s="305" t="s">
        <v>216</v>
      </c>
      <c r="G43" s="218" t="s">
        <v>184</v>
      </c>
      <c r="H43" s="264" t="s">
        <v>282</v>
      </c>
      <c r="I43" s="307">
        <v>17</v>
      </c>
      <c r="J43" s="308" t="s">
        <v>222</v>
      </c>
      <c r="K43" s="314"/>
      <c r="L43" s="311"/>
      <c r="M43" s="311"/>
      <c r="N43" s="311"/>
      <c r="O43" s="349"/>
      <c r="P43" s="312">
        <v>595</v>
      </c>
      <c r="Q43" s="312"/>
      <c r="R43" s="219"/>
      <c r="S43" s="219"/>
      <c r="T43" s="315"/>
      <c r="U43" s="315" t="s">
        <v>242</v>
      </c>
      <c r="V43" s="219" t="s">
        <v>328</v>
      </c>
      <c r="X43" s="125"/>
      <c r="Y43" s="125"/>
      <c r="Z43" s="125"/>
      <c r="AA43" s="125"/>
      <c r="AB43" s="125"/>
      <c r="AC43" s="125"/>
      <c r="AD43" s="125"/>
      <c r="AK43" s="125"/>
      <c r="AL43" s="125"/>
      <c r="AM43" s="125"/>
      <c r="AN43" s="125"/>
      <c r="AO43" s="125"/>
    </row>
    <row r="44" spans="2:41" s="126" customFormat="1" ht="15.75">
      <c r="B44" s="293">
        <v>21</v>
      </c>
      <c r="C44" s="294" t="s">
        <v>300</v>
      </c>
      <c r="D44" s="383" t="s">
        <v>422</v>
      </c>
      <c r="E44" s="297" t="s">
        <v>177</v>
      </c>
      <c r="F44" s="305" t="s">
        <v>216</v>
      </c>
      <c r="G44" s="218" t="s">
        <v>184</v>
      </c>
      <c r="H44" s="264" t="s">
        <v>282</v>
      </c>
      <c r="I44" s="307">
        <v>13</v>
      </c>
      <c r="J44" s="308" t="s">
        <v>222</v>
      </c>
      <c r="K44" s="314"/>
      <c r="L44" s="311"/>
      <c r="M44" s="311"/>
      <c r="N44" s="311"/>
      <c r="O44" s="349"/>
      <c r="P44" s="312">
        <v>455</v>
      </c>
      <c r="Q44" s="312"/>
      <c r="R44" s="219"/>
      <c r="S44" s="219"/>
      <c r="T44" s="315"/>
      <c r="U44" s="315" t="s">
        <v>243</v>
      </c>
      <c r="V44" s="219" t="s">
        <v>328</v>
      </c>
      <c r="X44" s="125"/>
      <c r="Y44" s="125"/>
      <c r="Z44" s="125"/>
      <c r="AA44" s="125"/>
      <c r="AB44" s="125"/>
      <c r="AC44" s="125"/>
      <c r="AD44" s="125"/>
      <c r="AK44" s="125"/>
      <c r="AL44" s="125"/>
      <c r="AM44" s="125"/>
      <c r="AN44" s="125"/>
      <c r="AO44" s="125"/>
    </row>
    <row r="45" spans="2:41" s="319" customFormat="1" ht="14.25" customHeight="1">
      <c r="B45" s="408" t="s">
        <v>225</v>
      </c>
      <c r="C45" s="409"/>
      <c r="D45" s="409"/>
      <c r="E45" s="409"/>
      <c r="F45" s="409"/>
      <c r="G45" s="409"/>
      <c r="H45" s="409"/>
      <c r="I45" s="409"/>
      <c r="J45" s="410"/>
      <c r="K45" s="316" t="s">
        <v>185</v>
      </c>
      <c r="L45" s="317">
        <v>136</v>
      </c>
      <c r="M45" s="317">
        <v>136</v>
      </c>
      <c r="N45" s="317">
        <v>142</v>
      </c>
      <c r="O45" s="350">
        <v>2.6259999999999999</v>
      </c>
      <c r="P45" s="318">
        <v>1050</v>
      </c>
      <c r="Q45" s="318">
        <v>1240</v>
      </c>
      <c r="R45" s="295" t="s">
        <v>324</v>
      </c>
      <c r="S45" s="292" t="s">
        <v>281</v>
      </c>
      <c r="T45" s="290"/>
      <c r="U45" s="290"/>
      <c r="V45" s="289"/>
      <c r="X45" s="320"/>
      <c r="Y45" s="323">
        <f>P45/30</f>
        <v>35</v>
      </c>
      <c r="Z45" s="320"/>
      <c r="AA45" s="320"/>
      <c r="AB45" s="320"/>
      <c r="AC45" s="320"/>
      <c r="AD45" s="320"/>
      <c r="AK45" s="320"/>
      <c r="AL45" s="320"/>
      <c r="AM45" s="320"/>
      <c r="AN45" s="320"/>
      <c r="AO45" s="320"/>
    </row>
    <row r="46" spans="2:41" s="126" customFormat="1" ht="15.75">
      <c r="B46" s="293">
        <v>22</v>
      </c>
      <c r="C46" s="294" t="s">
        <v>301</v>
      </c>
      <c r="D46" s="383" t="s">
        <v>422</v>
      </c>
      <c r="E46" s="297" t="s">
        <v>334</v>
      </c>
      <c r="F46" s="305" t="s">
        <v>216</v>
      </c>
      <c r="G46" s="218" t="s">
        <v>184</v>
      </c>
      <c r="H46" s="264" t="s">
        <v>282</v>
      </c>
      <c r="I46" s="307">
        <v>35</v>
      </c>
      <c r="J46" s="308" t="s">
        <v>222</v>
      </c>
      <c r="K46" s="314"/>
      <c r="L46" s="311"/>
      <c r="M46" s="311"/>
      <c r="N46" s="311"/>
      <c r="O46" s="349"/>
      <c r="P46" s="312">
        <v>1730</v>
      </c>
      <c r="Q46" s="312"/>
      <c r="R46" s="219"/>
      <c r="S46" s="219"/>
      <c r="T46" s="315"/>
      <c r="U46" s="315" t="s">
        <v>244</v>
      </c>
      <c r="V46" s="219" t="s">
        <v>328</v>
      </c>
      <c r="X46" s="125"/>
      <c r="Y46" s="125"/>
      <c r="Z46" s="125"/>
      <c r="AA46" s="125"/>
      <c r="AB46" s="125"/>
      <c r="AC46" s="125"/>
      <c r="AD46" s="125"/>
      <c r="AK46" s="125"/>
      <c r="AL46" s="125"/>
      <c r="AM46" s="125"/>
      <c r="AN46" s="125"/>
      <c r="AO46" s="125"/>
    </row>
    <row r="47" spans="2:41" s="319" customFormat="1" ht="14.25" customHeight="1">
      <c r="B47" s="408" t="s">
        <v>225</v>
      </c>
      <c r="C47" s="409"/>
      <c r="D47" s="409"/>
      <c r="E47" s="409"/>
      <c r="F47" s="409"/>
      <c r="G47" s="409"/>
      <c r="H47" s="409"/>
      <c r="I47" s="409"/>
      <c r="J47" s="410"/>
      <c r="K47" s="316" t="s">
        <v>185</v>
      </c>
      <c r="L47" s="317">
        <v>136</v>
      </c>
      <c r="M47" s="317">
        <v>136</v>
      </c>
      <c r="N47" s="317">
        <v>158</v>
      </c>
      <c r="O47" s="350">
        <v>2.9220000000000002</v>
      </c>
      <c r="P47" s="318">
        <v>1730</v>
      </c>
      <c r="Q47" s="318">
        <v>1890</v>
      </c>
      <c r="R47" s="295" t="s">
        <v>324</v>
      </c>
      <c r="S47" s="292" t="s">
        <v>281</v>
      </c>
      <c r="T47" s="290"/>
      <c r="U47" s="290"/>
      <c r="V47" s="289"/>
      <c r="X47" s="320"/>
      <c r="Y47" s="320"/>
      <c r="Z47" s="320"/>
      <c r="AA47" s="320"/>
      <c r="AB47" s="320"/>
      <c r="AC47" s="320"/>
      <c r="AD47" s="320"/>
      <c r="AK47" s="320"/>
      <c r="AL47" s="320"/>
      <c r="AM47" s="320"/>
      <c r="AN47" s="320"/>
      <c r="AO47" s="320"/>
    </row>
    <row r="48" spans="2:41" s="126" customFormat="1" ht="15.75">
      <c r="B48" s="293">
        <v>23</v>
      </c>
      <c r="C48" s="294" t="s">
        <v>302</v>
      </c>
      <c r="D48" s="383" t="s">
        <v>422</v>
      </c>
      <c r="E48" s="297" t="s">
        <v>334</v>
      </c>
      <c r="F48" s="305" t="s">
        <v>216</v>
      </c>
      <c r="G48" s="218" t="s">
        <v>184</v>
      </c>
      <c r="H48" s="264" t="s">
        <v>282</v>
      </c>
      <c r="I48" s="307">
        <v>36</v>
      </c>
      <c r="J48" s="308" t="s">
        <v>222</v>
      </c>
      <c r="K48" s="314"/>
      <c r="L48" s="311"/>
      <c r="M48" s="311"/>
      <c r="N48" s="311"/>
      <c r="O48" s="349"/>
      <c r="P48" s="312">
        <v>1780</v>
      </c>
      <c r="Q48" s="312"/>
      <c r="R48" s="219"/>
      <c r="S48" s="219"/>
      <c r="T48" s="315"/>
      <c r="U48" s="315" t="s">
        <v>244</v>
      </c>
      <c r="V48" s="219" t="s">
        <v>328</v>
      </c>
      <c r="X48" s="125"/>
      <c r="Y48" s="125"/>
      <c r="Z48" s="125"/>
      <c r="AA48" s="125"/>
      <c r="AB48" s="125"/>
      <c r="AC48" s="125"/>
      <c r="AD48" s="125"/>
      <c r="AK48" s="125"/>
      <c r="AL48" s="125"/>
      <c r="AM48" s="125"/>
      <c r="AN48" s="125"/>
      <c r="AO48" s="125"/>
    </row>
    <row r="49" spans="2:41" s="319" customFormat="1" ht="14.25" customHeight="1">
      <c r="B49" s="408" t="s">
        <v>225</v>
      </c>
      <c r="C49" s="409"/>
      <c r="D49" s="409"/>
      <c r="E49" s="409"/>
      <c r="F49" s="409"/>
      <c r="G49" s="409"/>
      <c r="H49" s="409"/>
      <c r="I49" s="409"/>
      <c r="J49" s="410"/>
      <c r="K49" s="316" t="s">
        <v>185</v>
      </c>
      <c r="L49" s="317">
        <v>136</v>
      </c>
      <c r="M49" s="317">
        <v>136</v>
      </c>
      <c r="N49" s="317">
        <v>158</v>
      </c>
      <c r="O49" s="350">
        <v>2.9220000000000002</v>
      </c>
      <c r="P49" s="318">
        <v>1780</v>
      </c>
      <c r="Q49" s="318">
        <v>1940</v>
      </c>
      <c r="R49" s="295" t="s">
        <v>324</v>
      </c>
      <c r="S49" s="292" t="s">
        <v>281</v>
      </c>
      <c r="T49" s="290"/>
      <c r="U49" s="290"/>
      <c r="V49" s="289"/>
      <c r="X49" s="320"/>
      <c r="Y49" s="320"/>
      <c r="Z49" s="320"/>
      <c r="AA49" s="320"/>
      <c r="AB49" s="320"/>
      <c r="AC49" s="320"/>
      <c r="AD49" s="320"/>
      <c r="AK49" s="320"/>
      <c r="AL49" s="320"/>
      <c r="AM49" s="320"/>
      <c r="AN49" s="320"/>
      <c r="AO49" s="320"/>
    </row>
    <row r="50" spans="2:41" s="126" customFormat="1" ht="15.75">
      <c r="B50" s="293">
        <v>24</v>
      </c>
      <c r="C50" s="294" t="s">
        <v>303</v>
      </c>
      <c r="D50" s="383" t="s">
        <v>422</v>
      </c>
      <c r="E50" s="297" t="s">
        <v>334</v>
      </c>
      <c r="F50" s="305" t="s">
        <v>216</v>
      </c>
      <c r="G50" s="218" t="s">
        <v>184</v>
      </c>
      <c r="H50" s="264" t="s">
        <v>282</v>
      </c>
      <c r="I50" s="307">
        <v>32</v>
      </c>
      <c r="J50" s="308" t="s">
        <v>222</v>
      </c>
      <c r="K50" s="314"/>
      <c r="L50" s="311"/>
      <c r="M50" s="311"/>
      <c r="N50" s="311"/>
      <c r="O50" s="349"/>
      <c r="P50" s="312">
        <v>1080</v>
      </c>
      <c r="Q50" s="312"/>
      <c r="R50" s="219"/>
      <c r="S50" s="219"/>
      <c r="T50" s="315"/>
      <c r="U50" s="315" t="s">
        <v>245</v>
      </c>
      <c r="V50" s="219" t="s">
        <v>328</v>
      </c>
      <c r="X50" s="125"/>
      <c r="Y50" s="125"/>
      <c r="Z50" s="125"/>
      <c r="AA50" s="125"/>
      <c r="AB50" s="125"/>
      <c r="AC50" s="125"/>
      <c r="AD50" s="125"/>
      <c r="AK50" s="125"/>
      <c r="AL50" s="125"/>
      <c r="AM50" s="125"/>
      <c r="AN50" s="125"/>
      <c r="AO50" s="125"/>
    </row>
    <row r="51" spans="2:41" s="319" customFormat="1" ht="14.25" customHeight="1">
      <c r="B51" s="408" t="s">
        <v>225</v>
      </c>
      <c r="C51" s="409"/>
      <c r="D51" s="409"/>
      <c r="E51" s="409"/>
      <c r="F51" s="409"/>
      <c r="G51" s="409"/>
      <c r="H51" s="409"/>
      <c r="I51" s="409"/>
      <c r="J51" s="410"/>
      <c r="K51" s="316" t="s">
        <v>185</v>
      </c>
      <c r="L51" s="317">
        <v>136</v>
      </c>
      <c r="M51" s="317">
        <v>136</v>
      </c>
      <c r="N51" s="317">
        <v>158</v>
      </c>
      <c r="O51" s="350">
        <v>2.9220000000000002</v>
      </c>
      <c r="P51" s="318">
        <v>1080</v>
      </c>
      <c r="Q51" s="318">
        <v>1260</v>
      </c>
      <c r="R51" s="295" t="s">
        <v>324</v>
      </c>
      <c r="S51" s="292" t="s">
        <v>281</v>
      </c>
      <c r="T51" s="290"/>
      <c r="U51" s="290"/>
      <c r="V51" s="289"/>
      <c r="X51" s="320"/>
      <c r="Y51" s="320"/>
      <c r="Z51" s="320"/>
      <c r="AA51" s="320"/>
      <c r="AB51" s="320"/>
      <c r="AC51" s="320"/>
      <c r="AD51" s="320"/>
      <c r="AK51" s="320"/>
      <c r="AL51" s="320"/>
      <c r="AM51" s="320"/>
      <c r="AN51" s="320"/>
      <c r="AO51" s="320"/>
    </row>
    <row r="52" spans="2:41" s="126" customFormat="1" ht="15.75">
      <c r="B52" s="293">
        <v>25</v>
      </c>
      <c r="C52" s="294" t="s">
        <v>304</v>
      </c>
      <c r="D52" s="383" t="s">
        <v>422</v>
      </c>
      <c r="E52" s="297" t="s">
        <v>334</v>
      </c>
      <c r="F52" s="305" t="s">
        <v>216</v>
      </c>
      <c r="G52" s="218" t="s">
        <v>184</v>
      </c>
      <c r="H52" s="264" t="s">
        <v>282</v>
      </c>
      <c r="I52" s="307">
        <v>34</v>
      </c>
      <c r="J52" s="308" t="s">
        <v>222</v>
      </c>
      <c r="K52" s="314"/>
      <c r="L52" s="311"/>
      <c r="M52" s="311"/>
      <c r="N52" s="311"/>
      <c r="O52" s="349"/>
      <c r="P52" s="312">
        <v>1150</v>
      </c>
      <c r="Q52" s="312"/>
      <c r="R52" s="219"/>
      <c r="S52" s="219"/>
      <c r="T52" s="315"/>
      <c r="U52" s="315" t="s">
        <v>245</v>
      </c>
      <c r="V52" s="219" t="s">
        <v>328</v>
      </c>
      <c r="X52" s="125"/>
      <c r="Y52" s="125"/>
      <c r="Z52" s="125"/>
      <c r="AA52" s="125"/>
      <c r="AB52" s="125"/>
      <c r="AC52" s="125"/>
      <c r="AD52" s="125"/>
      <c r="AK52" s="125"/>
      <c r="AL52" s="125"/>
      <c r="AM52" s="125"/>
      <c r="AN52" s="125"/>
      <c r="AO52" s="125"/>
    </row>
    <row r="53" spans="2:41" s="319" customFormat="1" ht="14.25" customHeight="1">
      <c r="B53" s="408" t="s">
        <v>225</v>
      </c>
      <c r="C53" s="409"/>
      <c r="D53" s="409"/>
      <c r="E53" s="409"/>
      <c r="F53" s="409"/>
      <c r="G53" s="409"/>
      <c r="H53" s="409"/>
      <c r="I53" s="409"/>
      <c r="J53" s="410"/>
      <c r="K53" s="316" t="s">
        <v>185</v>
      </c>
      <c r="L53" s="317">
        <v>136</v>
      </c>
      <c r="M53" s="317">
        <v>136</v>
      </c>
      <c r="N53" s="317">
        <v>158</v>
      </c>
      <c r="O53" s="350">
        <v>2.9220000000000002</v>
      </c>
      <c r="P53" s="318">
        <v>1150</v>
      </c>
      <c r="Q53" s="318">
        <v>1330</v>
      </c>
      <c r="R53" s="295" t="s">
        <v>324</v>
      </c>
      <c r="S53" s="292" t="s">
        <v>281</v>
      </c>
      <c r="T53" s="290"/>
      <c r="U53" s="290"/>
      <c r="V53" s="289"/>
      <c r="X53" s="320"/>
      <c r="Y53" s="320"/>
      <c r="Z53" s="320"/>
      <c r="AA53" s="320"/>
      <c r="AB53" s="320"/>
      <c r="AC53" s="320"/>
      <c r="AD53" s="320"/>
      <c r="AK53" s="320"/>
      <c r="AL53" s="320"/>
      <c r="AM53" s="320"/>
      <c r="AN53" s="320"/>
      <c r="AO53" s="320"/>
    </row>
    <row r="54" spans="2:41" s="126" customFormat="1" ht="15.75">
      <c r="B54" s="293">
        <v>26</v>
      </c>
      <c r="C54" s="294" t="s">
        <v>305</v>
      </c>
      <c r="D54" s="383" t="s">
        <v>422</v>
      </c>
      <c r="E54" s="297" t="s">
        <v>334</v>
      </c>
      <c r="F54" s="305" t="s">
        <v>216</v>
      </c>
      <c r="G54" s="218" t="s">
        <v>184</v>
      </c>
      <c r="H54" s="264" t="s">
        <v>282</v>
      </c>
      <c r="I54" s="307">
        <v>36</v>
      </c>
      <c r="J54" s="308" t="s">
        <v>222</v>
      </c>
      <c r="K54" s="314"/>
      <c r="L54" s="311"/>
      <c r="M54" s="311"/>
      <c r="N54" s="311"/>
      <c r="O54" s="349"/>
      <c r="P54" s="312">
        <v>1780</v>
      </c>
      <c r="Q54" s="312"/>
      <c r="R54" s="219"/>
      <c r="S54" s="219"/>
      <c r="T54" s="315"/>
      <c r="U54" s="315" t="s">
        <v>244</v>
      </c>
      <c r="V54" s="219" t="s">
        <v>328</v>
      </c>
      <c r="X54" s="125"/>
      <c r="Y54" s="125"/>
      <c r="Z54" s="125"/>
      <c r="AA54" s="125"/>
      <c r="AB54" s="125"/>
      <c r="AC54" s="125"/>
      <c r="AD54" s="125"/>
      <c r="AK54" s="125"/>
      <c r="AL54" s="125"/>
      <c r="AM54" s="125"/>
      <c r="AN54" s="125"/>
      <c r="AO54" s="125"/>
    </row>
    <row r="55" spans="2:41" s="319" customFormat="1" ht="14.25" customHeight="1">
      <c r="B55" s="408" t="s">
        <v>225</v>
      </c>
      <c r="C55" s="409"/>
      <c r="D55" s="409"/>
      <c r="E55" s="409"/>
      <c r="F55" s="409"/>
      <c r="G55" s="409"/>
      <c r="H55" s="409"/>
      <c r="I55" s="409"/>
      <c r="J55" s="410"/>
      <c r="K55" s="316" t="s">
        <v>185</v>
      </c>
      <c r="L55" s="317">
        <v>136</v>
      </c>
      <c r="M55" s="317">
        <v>136</v>
      </c>
      <c r="N55" s="317">
        <v>158</v>
      </c>
      <c r="O55" s="350">
        <v>2.9220000000000002</v>
      </c>
      <c r="P55" s="318">
        <v>1780</v>
      </c>
      <c r="Q55" s="318">
        <v>1950</v>
      </c>
      <c r="R55" s="295" t="s">
        <v>324</v>
      </c>
      <c r="S55" s="292" t="s">
        <v>281</v>
      </c>
      <c r="T55" s="290"/>
      <c r="U55" s="290"/>
      <c r="V55" s="289"/>
      <c r="X55" s="320"/>
      <c r="Y55" s="320"/>
      <c r="Z55" s="320"/>
      <c r="AA55" s="320"/>
      <c r="AB55" s="320"/>
      <c r="AC55" s="320"/>
      <c r="AD55" s="320"/>
      <c r="AK55" s="320"/>
      <c r="AL55" s="320"/>
      <c r="AM55" s="320"/>
      <c r="AN55" s="320"/>
      <c r="AO55" s="320"/>
    </row>
    <row r="56" spans="2:41" s="126" customFormat="1" ht="15.75">
      <c r="B56" s="380">
        <v>27</v>
      </c>
      <c r="C56" s="294" t="s">
        <v>306</v>
      </c>
      <c r="D56" s="383" t="s">
        <v>422</v>
      </c>
      <c r="E56" s="297" t="s">
        <v>177</v>
      </c>
      <c r="F56" s="305" t="s">
        <v>215</v>
      </c>
      <c r="G56" s="218" t="s">
        <v>184</v>
      </c>
      <c r="H56" s="264" t="s">
        <v>282</v>
      </c>
      <c r="I56" s="307">
        <v>1</v>
      </c>
      <c r="J56" s="308" t="s">
        <v>246</v>
      </c>
      <c r="K56" s="314"/>
      <c r="L56" s="311"/>
      <c r="M56" s="311"/>
      <c r="N56" s="311"/>
      <c r="O56" s="349"/>
      <c r="P56" s="312">
        <v>32.222222222222221</v>
      </c>
      <c r="Q56" s="312"/>
      <c r="R56" s="219"/>
      <c r="S56" s="219"/>
      <c r="T56" s="315"/>
      <c r="U56" s="315" t="s">
        <v>247</v>
      </c>
      <c r="V56" s="219" t="s">
        <v>328</v>
      </c>
      <c r="X56" s="125"/>
      <c r="Y56" s="125"/>
      <c r="Z56" s="125"/>
      <c r="AA56" s="125"/>
      <c r="AB56" s="125"/>
      <c r="AC56" s="125"/>
      <c r="AD56" s="125"/>
      <c r="AK56" s="125"/>
      <c r="AL56" s="125"/>
      <c r="AM56" s="125"/>
      <c r="AN56" s="125"/>
      <c r="AO56" s="125"/>
    </row>
    <row r="57" spans="2:41" s="126" customFormat="1" ht="15.75">
      <c r="B57" s="380">
        <v>28</v>
      </c>
      <c r="C57" s="294" t="s">
        <v>306</v>
      </c>
      <c r="D57" s="383" t="s">
        <v>422</v>
      </c>
      <c r="E57" s="297" t="s">
        <v>177</v>
      </c>
      <c r="F57" s="305" t="s">
        <v>215</v>
      </c>
      <c r="G57" s="218" t="s">
        <v>184</v>
      </c>
      <c r="H57" s="264" t="s">
        <v>282</v>
      </c>
      <c r="I57" s="307">
        <v>1</v>
      </c>
      <c r="J57" s="308" t="s">
        <v>246</v>
      </c>
      <c r="K57" s="314"/>
      <c r="L57" s="311"/>
      <c r="M57" s="311"/>
      <c r="N57" s="311"/>
      <c r="O57" s="349"/>
      <c r="P57" s="312">
        <v>32.222222222222221</v>
      </c>
      <c r="Q57" s="312"/>
      <c r="R57" s="219"/>
      <c r="S57" s="219"/>
      <c r="T57" s="315"/>
      <c r="U57" s="315" t="s">
        <v>248</v>
      </c>
      <c r="V57" s="219" t="s">
        <v>328</v>
      </c>
      <c r="X57" s="125"/>
      <c r="Y57" s="125"/>
      <c r="Z57" s="125"/>
      <c r="AA57" s="125"/>
      <c r="AB57" s="125"/>
      <c r="AC57" s="125"/>
      <c r="AD57" s="125"/>
      <c r="AK57" s="125"/>
      <c r="AL57" s="125"/>
      <c r="AM57" s="125"/>
      <c r="AN57" s="125"/>
      <c r="AO57" s="125"/>
    </row>
    <row r="58" spans="2:41" s="126" customFormat="1" ht="15.75">
      <c r="B58" s="380">
        <v>29</v>
      </c>
      <c r="C58" s="294" t="s">
        <v>306</v>
      </c>
      <c r="D58" s="383" t="s">
        <v>422</v>
      </c>
      <c r="E58" s="297" t="s">
        <v>177</v>
      </c>
      <c r="F58" s="305" t="s">
        <v>215</v>
      </c>
      <c r="G58" s="218" t="s">
        <v>184</v>
      </c>
      <c r="H58" s="264" t="s">
        <v>282</v>
      </c>
      <c r="I58" s="307">
        <v>1</v>
      </c>
      <c r="J58" s="308" t="s">
        <v>246</v>
      </c>
      <c r="K58" s="314"/>
      <c r="L58" s="311"/>
      <c r="M58" s="311"/>
      <c r="N58" s="311"/>
      <c r="O58" s="349"/>
      <c r="P58" s="312">
        <v>32.222222222222221</v>
      </c>
      <c r="Q58" s="312"/>
      <c r="R58" s="219"/>
      <c r="S58" s="219"/>
      <c r="T58" s="315"/>
      <c r="U58" s="315" t="s">
        <v>249</v>
      </c>
      <c r="V58" s="219" t="s">
        <v>328</v>
      </c>
      <c r="X58" s="125"/>
      <c r="Y58" s="125"/>
      <c r="Z58" s="125"/>
      <c r="AA58" s="125"/>
      <c r="AB58" s="125"/>
      <c r="AC58" s="125"/>
      <c r="AD58" s="125"/>
      <c r="AK58" s="125"/>
      <c r="AL58" s="125"/>
      <c r="AM58" s="125"/>
      <c r="AN58" s="125"/>
      <c r="AO58" s="125"/>
    </row>
    <row r="59" spans="2:41" s="126" customFormat="1" ht="15.75">
      <c r="B59" s="380">
        <v>30</v>
      </c>
      <c r="C59" s="294" t="s">
        <v>306</v>
      </c>
      <c r="D59" s="383" t="s">
        <v>422</v>
      </c>
      <c r="E59" s="297" t="s">
        <v>177</v>
      </c>
      <c r="F59" s="305" t="s">
        <v>215</v>
      </c>
      <c r="G59" s="218" t="s">
        <v>184</v>
      </c>
      <c r="H59" s="264" t="s">
        <v>282</v>
      </c>
      <c r="I59" s="307">
        <v>2</v>
      </c>
      <c r="J59" s="308" t="s">
        <v>222</v>
      </c>
      <c r="K59" s="314"/>
      <c r="L59" s="311"/>
      <c r="M59" s="311"/>
      <c r="N59" s="311"/>
      <c r="O59" s="349"/>
      <c r="P59" s="312">
        <v>64.444444444444443</v>
      </c>
      <c r="Q59" s="312"/>
      <c r="R59" s="219"/>
      <c r="S59" s="219"/>
      <c r="T59" s="315"/>
      <c r="U59" s="315" t="s">
        <v>250</v>
      </c>
      <c r="V59" s="219" t="s">
        <v>328</v>
      </c>
      <c r="X59" s="125"/>
      <c r="Y59" s="125"/>
      <c r="Z59" s="125"/>
      <c r="AA59" s="125"/>
      <c r="AB59" s="125"/>
      <c r="AC59" s="125"/>
      <c r="AD59" s="125"/>
      <c r="AK59" s="125"/>
      <c r="AL59" s="125"/>
      <c r="AM59" s="125"/>
      <c r="AN59" s="125"/>
      <c r="AO59" s="125"/>
    </row>
    <row r="60" spans="2:41" s="126" customFormat="1" ht="15.75">
      <c r="B60" s="380">
        <v>31</v>
      </c>
      <c r="C60" s="294" t="s">
        <v>306</v>
      </c>
      <c r="D60" s="383" t="s">
        <v>422</v>
      </c>
      <c r="E60" s="297" t="s">
        <v>177</v>
      </c>
      <c r="F60" s="305" t="s">
        <v>215</v>
      </c>
      <c r="G60" s="218" t="s">
        <v>184</v>
      </c>
      <c r="H60" s="264" t="s">
        <v>282</v>
      </c>
      <c r="I60" s="307">
        <v>1</v>
      </c>
      <c r="J60" s="308" t="s">
        <v>246</v>
      </c>
      <c r="K60" s="314"/>
      <c r="L60" s="311"/>
      <c r="M60" s="311"/>
      <c r="N60" s="311"/>
      <c r="O60" s="349"/>
      <c r="P60" s="312">
        <v>32.222222222222221</v>
      </c>
      <c r="Q60" s="312"/>
      <c r="R60" s="219"/>
      <c r="S60" s="219"/>
      <c r="T60" s="315"/>
      <c r="U60" s="315" t="s">
        <v>251</v>
      </c>
      <c r="V60" s="219" t="s">
        <v>328</v>
      </c>
      <c r="X60" s="125"/>
      <c r="Y60" s="125"/>
      <c r="Z60" s="125"/>
      <c r="AA60" s="125"/>
      <c r="AB60" s="125"/>
      <c r="AC60" s="125"/>
      <c r="AD60" s="125"/>
      <c r="AK60" s="125"/>
      <c r="AL60" s="125"/>
      <c r="AM60" s="125"/>
      <c r="AN60" s="125"/>
      <c r="AO60" s="125"/>
    </row>
    <row r="61" spans="2:41" s="126" customFormat="1" ht="15.75">
      <c r="B61" s="380">
        <v>32</v>
      </c>
      <c r="C61" s="294" t="s">
        <v>306</v>
      </c>
      <c r="D61" s="383" t="s">
        <v>422</v>
      </c>
      <c r="E61" s="297" t="s">
        <v>177</v>
      </c>
      <c r="F61" s="305" t="s">
        <v>215</v>
      </c>
      <c r="G61" s="218" t="s">
        <v>184</v>
      </c>
      <c r="H61" s="264" t="s">
        <v>282</v>
      </c>
      <c r="I61" s="307">
        <v>1</v>
      </c>
      <c r="J61" s="308" t="s">
        <v>246</v>
      </c>
      <c r="K61" s="314"/>
      <c r="L61" s="311"/>
      <c r="M61" s="311"/>
      <c r="N61" s="311"/>
      <c r="O61" s="349"/>
      <c r="P61" s="312">
        <v>32.222222222222221</v>
      </c>
      <c r="Q61" s="312"/>
      <c r="R61" s="219"/>
      <c r="S61" s="219"/>
      <c r="T61" s="315"/>
      <c r="U61" s="315" t="s">
        <v>252</v>
      </c>
      <c r="V61" s="219" t="s">
        <v>328</v>
      </c>
      <c r="X61" s="125"/>
      <c r="Y61" s="125"/>
      <c r="Z61" s="125"/>
      <c r="AA61" s="125"/>
      <c r="AB61" s="125"/>
      <c r="AC61" s="125"/>
      <c r="AD61" s="125"/>
      <c r="AK61" s="125"/>
      <c r="AL61" s="125"/>
      <c r="AM61" s="125"/>
      <c r="AN61" s="125"/>
      <c r="AO61" s="125"/>
    </row>
    <row r="62" spans="2:41" s="126" customFormat="1" ht="15.75">
      <c r="B62" s="380">
        <v>33</v>
      </c>
      <c r="C62" s="294" t="s">
        <v>306</v>
      </c>
      <c r="D62" s="383" t="s">
        <v>422</v>
      </c>
      <c r="E62" s="297" t="s">
        <v>177</v>
      </c>
      <c r="F62" s="305" t="s">
        <v>215</v>
      </c>
      <c r="G62" s="218" t="s">
        <v>184</v>
      </c>
      <c r="H62" s="264" t="s">
        <v>282</v>
      </c>
      <c r="I62" s="307">
        <v>2</v>
      </c>
      <c r="J62" s="308" t="s">
        <v>222</v>
      </c>
      <c r="K62" s="314"/>
      <c r="L62" s="311"/>
      <c r="M62" s="311"/>
      <c r="N62" s="311"/>
      <c r="O62" s="349"/>
      <c r="P62" s="312">
        <v>64.444444444444443</v>
      </c>
      <c r="Q62" s="312"/>
      <c r="R62" s="219"/>
      <c r="S62" s="219"/>
      <c r="T62" s="315"/>
      <c r="U62" s="315" t="s">
        <v>253</v>
      </c>
      <c r="V62" s="219" t="s">
        <v>328</v>
      </c>
      <c r="X62" s="125"/>
      <c r="Y62" s="125"/>
      <c r="Z62" s="125"/>
      <c r="AA62" s="125"/>
      <c r="AB62" s="125"/>
      <c r="AC62" s="125"/>
      <c r="AD62" s="125"/>
      <c r="AK62" s="125"/>
      <c r="AL62" s="125"/>
      <c r="AM62" s="125"/>
      <c r="AN62" s="125"/>
      <c r="AO62" s="125"/>
    </row>
    <row r="63" spans="2:41" s="319" customFormat="1" ht="14.25" customHeight="1">
      <c r="B63" s="408" t="s">
        <v>225</v>
      </c>
      <c r="C63" s="409"/>
      <c r="D63" s="409"/>
      <c r="E63" s="409"/>
      <c r="F63" s="409"/>
      <c r="G63" s="409"/>
      <c r="H63" s="409"/>
      <c r="I63" s="409"/>
      <c r="J63" s="410"/>
      <c r="K63" s="316" t="s">
        <v>185</v>
      </c>
      <c r="L63" s="317">
        <v>245</v>
      </c>
      <c r="M63" s="317">
        <v>67</v>
      </c>
      <c r="N63" s="317">
        <v>65</v>
      </c>
      <c r="O63" s="350">
        <v>1.0669999999999999</v>
      </c>
      <c r="P63" s="318">
        <v>290</v>
      </c>
      <c r="Q63" s="318">
        <v>400</v>
      </c>
      <c r="R63" s="295" t="s">
        <v>324</v>
      </c>
      <c r="S63" s="292" t="s">
        <v>281</v>
      </c>
      <c r="T63" s="290"/>
      <c r="U63" s="290"/>
      <c r="V63" s="289"/>
      <c r="X63" s="320"/>
      <c r="Y63" s="323">
        <f>P63/9</f>
        <v>32.222222222222221</v>
      </c>
      <c r="Z63" s="320"/>
      <c r="AA63" s="320"/>
      <c r="AB63" s="320"/>
      <c r="AC63" s="320"/>
      <c r="AD63" s="320"/>
      <c r="AK63" s="320"/>
      <c r="AL63" s="320"/>
      <c r="AM63" s="320"/>
      <c r="AN63" s="320"/>
      <c r="AO63" s="320"/>
    </row>
    <row r="64" spans="2:41" s="126" customFormat="1" ht="15.75">
      <c r="B64" s="380">
        <v>34</v>
      </c>
      <c r="C64" s="294" t="s">
        <v>307</v>
      </c>
      <c r="D64" s="383" t="s">
        <v>422</v>
      </c>
      <c r="E64" s="297" t="s">
        <v>336</v>
      </c>
      <c r="F64" s="305" t="s">
        <v>216</v>
      </c>
      <c r="G64" s="218" t="s">
        <v>184</v>
      </c>
      <c r="H64" s="264" t="s">
        <v>282</v>
      </c>
      <c r="I64" s="63">
        <v>5</v>
      </c>
      <c r="J64" s="63" t="s">
        <v>222</v>
      </c>
      <c r="K64" s="309"/>
      <c r="L64" s="128"/>
      <c r="M64" s="128"/>
      <c r="N64" s="128"/>
      <c r="O64" s="348"/>
      <c r="P64" s="324">
        <v>175</v>
      </c>
      <c r="Q64" s="309"/>
      <c r="R64" s="309"/>
      <c r="S64" s="309"/>
      <c r="T64" s="310"/>
      <c r="U64" s="331" t="s">
        <v>255</v>
      </c>
      <c r="V64" s="322" t="s">
        <v>328</v>
      </c>
      <c r="X64" s="125"/>
      <c r="Y64" s="125"/>
      <c r="Z64" s="125"/>
      <c r="AA64" s="125"/>
      <c r="AB64" s="125"/>
      <c r="AC64" s="125"/>
      <c r="AD64" s="125"/>
      <c r="AK64" s="125"/>
      <c r="AL64" s="125"/>
      <c r="AM64" s="125"/>
      <c r="AN64" s="125"/>
      <c r="AO64" s="125"/>
    </row>
    <row r="65" spans="2:41" s="126" customFormat="1" ht="15.75">
      <c r="B65" s="380">
        <v>35</v>
      </c>
      <c r="C65" s="294" t="s">
        <v>307</v>
      </c>
      <c r="D65" s="383" t="s">
        <v>422</v>
      </c>
      <c r="E65" s="297" t="s">
        <v>338</v>
      </c>
      <c r="F65" s="305" t="s">
        <v>216</v>
      </c>
      <c r="G65" s="218" t="s">
        <v>184</v>
      </c>
      <c r="H65" s="264" t="s">
        <v>282</v>
      </c>
      <c r="I65" s="63">
        <v>5</v>
      </c>
      <c r="J65" s="63" t="s">
        <v>254</v>
      </c>
      <c r="K65" s="309"/>
      <c r="L65" s="128"/>
      <c r="M65" s="128"/>
      <c r="N65" s="128"/>
      <c r="O65" s="348"/>
      <c r="P65" s="324">
        <v>175</v>
      </c>
      <c r="Q65" s="309"/>
      <c r="R65" s="309"/>
      <c r="S65" s="309"/>
      <c r="T65" s="310"/>
      <c r="U65" s="331" t="s">
        <v>256</v>
      </c>
      <c r="V65" s="322" t="s">
        <v>328</v>
      </c>
      <c r="X65" s="125"/>
      <c r="Y65" s="125"/>
      <c r="Z65" s="125"/>
      <c r="AA65" s="125"/>
      <c r="AB65" s="125"/>
      <c r="AC65" s="125"/>
      <c r="AD65" s="125"/>
      <c r="AK65" s="125"/>
      <c r="AL65" s="125"/>
      <c r="AM65" s="125"/>
      <c r="AN65" s="125"/>
      <c r="AO65" s="125"/>
    </row>
    <row r="66" spans="2:41" s="126" customFormat="1" ht="15.75">
      <c r="B66" s="380">
        <v>36</v>
      </c>
      <c r="C66" s="294" t="s">
        <v>307</v>
      </c>
      <c r="D66" s="383" t="s">
        <v>422</v>
      </c>
      <c r="E66" s="297" t="s">
        <v>340</v>
      </c>
      <c r="F66" s="305" t="s">
        <v>216</v>
      </c>
      <c r="G66" s="218" t="s">
        <v>184</v>
      </c>
      <c r="H66" s="264" t="s">
        <v>282</v>
      </c>
      <c r="I66" s="307">
        <v>5</v>
      </c>
      <c r="J66" s="308" t="s">
        <v>254</v>
      </c>
      <c r="K66" s="314"/>
      <c r="L66" s="311"/>
      <c r="M66" s="311"/>
      <c r="N66" s="311"/>
      <c r="O66" s="349"/>
      <c r="P66" s="324">
        <v>175</v>
      </c>
      <c r="Q66" s="312"/>
      <c r="R66" s="219"/>
      <c r="S66" s="219"/>
      <c r="T66" s="315"/>
      <c r="U66" s="315" t="s">
        <v>257</v>
      </c>
      <c r="V66" s="219" t="s">
        <v>328</v>
      </c>
      <c r="X66" s="125"/>
      <c r="Y66" s="125"/>
      <c r="Z66" s="125"/>
      <c r="AA66" s="125"/>
      <c r="AB66" s="125"/>
      <c r="AC66" s="125"/>
      <c r="AD66" s="125"/>
      <c r="AK66" s="125"/>
      <c r="AL66" s="125"/>
      <c r="AM66" s="125"/>
      <c r="AN66" s="125"/>
      <c r="AO66" s="125"/>
    </row>
    <row r="67" spans="2:41" s="126" customFormat="1" ht="15.75">
      <c r="B67" s="380">
        <v>37</v>
      </c>
      <c r="C67" s="294" t="s">
        <v>307</v>
      </c>
      <c r="D67" s="383" t="s">
        <v>422</v>
      </c>
      <c r="E67" s="297" t="s">
        <v>269</v>
      </c>
      <c r="F67" s="305" t="s">
        <v>216</v>
      </c>
      <c r="G67" s="218" t="s">
        <v>184</v>
      </c>
      <c r="H67" s="264" t="s">
        <v>282</v>
      </c>
      <c r="I67" s="307">
        <v>5</v>
      </c>
      <c r="J67" s="308" t="s">
        <v>254</v>
      </c>
      <c r="K67" s="314"/>
      <c r="L67" s="311"/>
      <c r="M67" s="311"/>
      <c r="N67" s="311"/>
      <c r="O67" s="349"/>
      <c r="P67" s="324">
        <v>175</v>
      </c>
      <c r="Q67" s="312"/>
      <c r="R67" s="219"/>
      <c r="S67" s="219"/>
      <c r="T67" s="315"/>
      <c r="U67" s="315" t="s">
        <v>258</v>
      </c>
      <c r="V67" s="219" t="s">
        <v>328</v>
      </c>
      <c r="X67" s="125"/>
      <c r="Y67" s="125"/>
      <c r="Z67" s="125"/>
      <c r="AA67" s="125"/>
      <c r="AB67" s="125"/>
      <c r="AC67" s="125"/>
      <c r="AD67" s="125"/>
      <c r="AK67" s="125"/>
      <c r="AL67" s="125"/>
      <c r="AM67" s="125"/>
      <c r="AN67" s="125"/>
      <c r="AO67" s="125"/>
    </row>
    <row r="68" spans="2:41" s="319" customFormat="1" ht="14.25" customHeight="1">
      <c r="B68" s="408" t="s">
        <v>225</v>
      </c>
      <c r="C68" s="409"/>
      <c r="D68" s="409"/>
      <c r="E68" s="409"/>
      <c r="F68" s="409"/>
      <c r="G68" s="409"/>
      <c r="H68" s="409"/>
      <c r="I68" s="409"/>
      <c r="J68" s="410"/>
      <c r="K68" s="316" t="s">
        <v>185</v>
      </c>
      <c r="L68" s="317">
        <v>245</v>
      </c>
      <c r="M68" s="317">
        <v>124</v>
      </c>
      <c r="N68" s="317">
        <v>69</v>
      </c>
      <c r="O68" s="350">
        <v>2.0960000000000001</v>
      </c>
      <c r="P68" s="318">
        <v>700</v>
      </c>
      <c r="Q68" s="318">
        <v>860</v>
      </c>
      <c r="R68" s="295" t="s">
        <v>324</v>
      </c>
      <c r="S68" s="292" t="s">
        <v>281</v>
      </c>
      <c r="T68" s="290"/>
      <c r="U68" s="290"/>
      <c r="V68" s="289"/>
      <c r="X68" s="320"/>
      <c r="Y68" s="323">
        <f>P68/20</f>
        <v>35</v>
      </c>
      <c r="Z68" s="320"/>
      <c r="AA68" s="320"/>
      <c r="AB68" s="320"/>
      <c r="AC68" s="320"/>
      <c r="AD68" s="320"/>
      <c r="AK68" s="320"/>
      <c r="AL68" s="320"/>
      <c r="AM68" s="320"/>
      <c r="AN68" s="320"/>
      <c r="AO68" s="320"/>
    </row>
    <row r="69" spans="2:41" s="126" customFormat="1" ht="15.75">
      <c r="B69" s="380">
        <v>38</v>
      </c>
      <c r="C69" s="294" t="s">
        <v>308</v>
      </c>
      <c r="D69" s="383" t="s">
        <v>422</v>
      </c>
      <c r="E69" s="297" t="s">
        <v>336</v>
      </c>
      <c r="F69" s="305" t="s">
        <v>216</v>
      </c>
      <c r="G69" s="218" t="s">
        <v>184</v>
      </c>
      <c r="H69" s="264" t="s">
        <v>282</v>
      </c>
      <c r="I69" s="63">
        <v>5</v>
      </c>
      <c r="J69" s="63" t="s">
        <v>222</v>
      </c>
      <c r="K69" s="309"/>
      <c r="L69" s="128"/>
      <c r="M69" s="128"/>
      <c r="N69" s="128"/>
      <c r="O69" s="348"/>
      <c r="P69" s="324">
        <v>175</v>
      </c>
      <c r="Q69" s="309"/>
      <c r="R69" s="309"/>
      <c r="S69" s="309"/>
      <c r="T69" s="310"/>
      <c r="U69" s="331" t="s">
        <v>255</v>
      </c>
      <c r="V69" s="322" t="s">
        <v>328</v>
      </c>
      <c r="X69" s="125"/>
      <c r="Y69" s="125"/>
      <c r="Z69" s="125"/>
      <c r="AA69" s="125"/>
      <c r="AB69" s="125"/>
      <c r="AC69" s="125"/>
      <c r="AD69" s="125"/>
      <c r="AK69" s="125"/>
      <c r="AL69" s="125"/>
      <c r="AM69" s="125"/>
      <c r="AN69" s="125"/>
      <c r="AO69" s="125"/>
    </row>
    <row r="70" spans="2:41" s="126" customFormat="1" ht="15.75">
      <c r="B70" s="380">
        <v>39</v>
      </c>
      <c r="C70" s="294" t="s">
        <v>308</v>
      </c>
      <c r="D70" s="383" t="s">
        <v>422</v>
      </c>
      <c r="E70" s="297" t="s">
        <v>338</v>
      </c>
      <c r="F70" s="305" t="s">
        <v>216</v>
      </c>
      <c r="G70" s="218" t="s">
        <v>184</v>
      </c>
      <c r="H70" s="264" t="s">
        <v>282</v>
      </c>
      <c r="I70" s="63">
        <v>5</v>
      </c>
      <c r="J70" s="63" t="s">
        <v>254</v>
      </c>
      <c r="K70" s="309"/>
      <c r="L70" s="128"/>
      <c r="M70" s="128"/>
      <c r="N70" s="128"/>
      <c r="O70" s="348"/>
      <c r="P70" s="324">
        <v>175</v>
      </c>
      <c r="Q70" s="309"/>
      <c r="R70" s="309"/>
      <c r="S70" s="309"/>
      <c r="T70" s="310"/>
      <c r="U70" s="331" t="s">
        <v>256</v>
      </c>
      <c r="V70" s="322" t="s">
        <v>328</v>
      </c>
      <c r="X70" s="125"/>
      <c r="Y70" s="125"/>
      <c r="Z70" s="125"/>
      <c r="AA70" s="125"/>
      <c r="AB70" s="125"/>
      <c r="AC70" s="125"/>
      <c r="AD70" s="125"/>
      <c r="AK70" s="125"/>
      <c r="AL70" s="125"/>
      <c r="AM70" s="125"/>
      <c r="AN70" s="125"/>
      <c r="AO70" s="125"/>
    </row>
    <row r="71" spans="2:41" s="126" customFormat="1" ht="15.75">
      <c r="B71" s="380">
        <v>40</v>
      </c>
      <c r="C71" s="294" t="s">
        <v>308</v>
      </c>
      <c r="D71" s="383" t="s">
        <v>422</v>
      </c>
      <c r="E71" s="297" t="s">
        <v>340</v>
      </c>
      <c r="F71" s="305" t="s">
        <v>216</v>
      </c>
      <c r="G71" s="218" t="s">
        <v>184</v>
      </c>
      <c r="H71" s="264" t="s">
        <v>282</v>
      </c>
      <c r="I71" s="307">
        <v>5</v>
      </c>
      <c r="J71" s="308" t="s">
        <v>254</v>
      </c>
      <c r="K71" s="314"/>
      <c r="L71" s="311"/>
      <c r="M71" s="311"/>
      <c r="N71" s="311"/>
      <c r="O71" s="349"/>
      <c r="P71" s="324">
        <v>175</v>
      </c>
      <c r="Q71" s="312"/>
      <c r="R71" s="219"/>
      <c r="S71" s="219"/>
      <c r="T71" s="315"/>
      <c r="U71" s="315" t="s">
        <v>257</v>
      </c>
      <c r="V71" s="219" t="s">
        <v>328</v>
      </c>
      <c r="X71" s="125"/>
      <c r="Y71" s="125"/>
      <c r="Z71" s="125"/>
      <c r="AA71" s="125"/>
      <c r="AB71" s="125"/>
      <c r="AC71" s="125"/>
      <c r="AD71" s="125"/>
      <c r="AK71" s="125"/>
      <c r="AL71" s="125"/>
      <c r="AM71" s="125"/>
      <c r="AN71" s="125"/>
      <c r="AO71" s="125"/>
    </row>
    <row r="72" spans="2:41" s="126" customFormat="1" ht="15.75">
      <c r="B72" s="380">
        <v>41</v>
      </c>
      <c r="C72" s="294" t="s">
        <v>308</v>
      </c>
      <c r="D72" s="383" t="s">
        <v>422</v>
      </c>
      <c r="E72" s="297" t="s">
        <v>269</v>
      </c>
      <c r="F72" s="305" t="s">
        <v>216</v>
      </c>
      <c r="G72" s="218" t="s">
        <v>184</v>
      </c>
      <c r="H72" s="264" t="s">
        <v>282</v>
      </c>
      <c r="I72" s="307">
        <v>5</v>
      </c>
      <c r="J72" s="308" t="s">
        <v>254</v>
      </c>
      <c r="K72" s="314"/>
      <c r="L72" s="311"/>
      <c r="M72" s="311"/>
      <c r="N72" s="311"/>
      <c r="O72" s="349"/>
      <c r="P72" s="324">
        <v>175</v>
      </c>
      <c r="Q72" s="312"/>
      <c r="R72" s="219"/>
      <c r="S72" s="219"/>
      <c r="T72" s="315"/>
      <c r="U72" s="315" t="s">
        <v>258</v>
      </c>
      <c r="V72" s="219" t="s">
        <v>328</v>
      </c>
      <c r="X72" s="125"/>
      <c r="Y72" s="125"/>
      <c r="Z72" s="125"/>
      <c r="AA72" s="125"/>
      <c r="AB72" s="125"/>
      <c r="AC72" s="125"/>
      <c r="AD72" s="125"/>
      <c r="AK72" s="125"/>
      <c r="AL72" s="125"/>
      <c r="AM72" s="125"/>
      <c r="AN72" s="125"/>
      <c r="AO72" s="125"/>
    </row>
    <row r="73" spans="2:41" s="319" customFormat="1" ht="14.25" customHeight="1">
      <c r="B73" s="408" t="s">
        <v>225</v>
      </c>
      <c r="C73" s="409"/>
      <c r="D73" s="409"/>
      <c r="E73" s="409"/>
      <c r="F73" s="409"/>
      <c r="G73" s="409"/>
      <c r="H73" s="409"/>
      <c r="I73" s="409"/>
      <c r="J73" s="410"/>
      <c r="K73" s="316" t="s">
        <v>185</v>
      </c>
      <c r="L73" s="317">
        <v>245</v>
      </c>
      <c r="M73" s="317">
        <v>124</v>
      </c>
      <c r="N73" s="317">
        <v>69</v>
      </c>
      <c r="O73" s="350">
        <v>2.0960000000000001</v>
      </c>
      <c r="P73" s="318">
        <v>700</v>
      </c>
      <c r="Q73" s="318">
        <v>860</v>
      </c>
      <c r="R73" s="295" t="s">
        <v>324</v>
      </c>
      <c r="S73" s="292" t="s">
        <v>281</v>
      </c>
      <c r="T73" s="290"/>
      <c r="U73" s="290"/>
      <c r="V73" s="289"/>
      <c r="X73" s="320"/>
      <c r="Y73" s="323">
        <f>P73/20</f>
        <v>35</v>
      </c>
      <c r="Z73" s="320"/>
      <c r="AA73" s="320"/>
      <c r="AB73" s="320"/>
      <c r="AC73" s="320"/>
      <c r="AD73" s="320"/>
      <c r="AK73" s="320"/>
      <c r="AL73" s="320"/>
      <c r="AM73" s="320"/>
      <c r="AN73" s="320"/>
      <c r="AO73" s="320"/>
    </row>
    <row r="74" spans="2:41" s="126" customFormat="1" ht="15.75">
      <c r="B74" s="380">
        <v>42</v>
      </c>
      <c r="C74" s="294" t="s">
        <v>309</v>
      </c>
      <c r="D74" s="383" t="s">
        <v>422</v>
      </c>
      <c r="E74" s="297" t="s">
        <v>336</v>
      </c>
      <c r="F74" s="305" t="s">
        <v>216</v>
      </c>
      <c r="G74" s="218" t="s">
        <v>184</v>
      </c>
      <c r="H74" s="264" t="s">
        <v>282</v>
      </c>
      <c r="I74" s="63">
        <v>5</v>
      </c>
      <c r="J74" s="63" t="s">
        <v>222</v>
      </c>
      <c r="K74" s="309"/>
      <c r="L74" s="128"/>
      <c r="M74" s="128"/>
      <c r="N74" s="128"/>
      <c r="O74" s="348"/>
      <c r="P74" s="324">
        <v>175</v>
      </c>
      <c r="Q74" s="309"/>
      <c r="R74" s="309"/>
      <c r="S74" s="309"/>
      <c r="T74" s="310"/>
      <c r="U74" s="331" t="s">
        <v>255</v>
      </c>
      <c r="V74" s="322" t="s">
        <v>328</v>
      </c>
      <c r="X74" s="125"/>
      <c r="Y74" s="125"/>
      <c r="Z74" s="125"/>
      <c r="AA74" s="125"/>
      <c r="AB74" s="125"/>
      <c r="AC74" s="125"/>
      <c r="AD74" s="125"/>
      <c r="AK74" s="125"/>
      <c r="AL74" s="125"/>
      <c r="AM74" s="125"/>
      <c r="AN74" s="125"/>
      <c r="AO74" s="125"/>
    </row>
    <row r="75" spans="2:41" s="126" customFormat="1" ht="15.75">
      <c r="B75" s="380">
        <v>43</v>
      </c>
      <c r="C75" s="294" t="s">
        <v>309</v>
      </c>
      <c r="D75" s="383" t="s">
        <v>422</v>
      </c>
      <c r="E75" s="297" t="s">
        <v>338</v>
      </c>
      <c r="F75" s="305" t="s">
        <v>216</v>
      </c>
      <c r="G75" s="218" t="s">
        <v>184</v>
      </c>
      <c r="H75" s="264" t="s">
        <v>282</v>
      </c>
      <c r="I75" s="63">
        <v>5</v>
      </c>
      <c r="J75" s="63" t="s">
        <v>254</v>
      </c>
      <c r="K75" s="309"/>
      <c r="L75" s="128"/>
      <c r="M75" s="128"/>
      <c r="N75" s="128"/>
      <c r="O75" s="348"/>
      <c r="P75" s="324">
        <v>175</v>
      </c>
      <c r="Q75" s="309"/>
      <c r="R75" s="309"/>
      <c r="S75" s="309"/>
      <c r="T75" s="310"/>
      <c r="U75" s="331" t="s">
        <v>256</v>
      </c>
      <c r="V75" s="322" t="s">
        <v>328</v>
      </c>
      <c r="X75" s="125"/>
      <c r="Y75" s="125"/>
      <c r="Z75" s="125"/>
      <c r="AA75" s="125"/>
      <c r="AB75" s="125"/>
      <c r="AC75" s="125"/>
      <c r="AD75" s="125"/>
      <c r="AK75" s="125"/>
      <c r="AL75" s="125"/>
      <c r="AM75" s="125"/>
      <c r="AN75" s="125"/>
      <c r="AO75" s="125"/>
    </row>
    <row r="76" spans="2:41" s="126" customFormat="1" ht="15.75">
      <c r="B76" s="380">
        <v>44</v>
      </c>
      <c r="C76" s="294" t="s">
        <v>309</v>
      </c>
      <c r="D76" s="383" t="s">
        <v>422</v>
      </c>
      <c r="E76" s="297" t="s">
        <v>340</v>
      </c>
      <c r="F76" s="305" t="s">
        <v>216</v>
      </c>
      <c r="G76" s="218" t="s">
        <v>184</v>
      </c>
      <c r="H76" s="264" t="s">
        <v>282</v>
      </c>
      <c r="I76" s="307">
        <v>5</v>
      </c>
      <c r="J76" s="308" t="s">
        <v>254</v>
      </c>
      <c r="K76" s="314"/>
      <c r="L76" s="311"/>
      <c r="M76" s="311"/>
      <c r="N76" s="311"/>
      <c r="O76" s="349"/>
      <c r="P76" s="324">
        <v>175</v>
      </c>
      <c r="Q76" s="312"/>
      <c r="R76" s="219"/>
      <c r="S76" s="219"/>
      <c r="T76" s="315"/>
      <c r="U76" s="315" t="s">
        <v>257</v>
      </c>
      <c r="V76" s="219" t="s">
        <v>328</v>
      </c>
      <c r="X76" s="125"/>
      <c r="Y76" s="125"/>
      <c r="Z76" s="125"/>
      <c r="AA76" s="125"/>
      <c r="AB76" s="125"/>
      <c r="AC76" s="125"/>
      <c r="AD76" s="125"/>
      <c r="AK76" s="125"/>
      <c r="AL76" s="125"/>
      <c r="AM76" s="125"/>
      <c r="AN76" s="125"/>
      <c r="AO76" s="125"/>
    </row>
    <row r="77" spans="2:41" s="126" customFormat="1" ht="15.75">
      <c r="B77" s="380">
        <v>45</v>
      </c>
      <c r="C77" s="294" t="s">
        <v>309</v>
      </c>
      <c r="D77" s="383" t="s">
        <v>422</v>
      </c>
      <c r="E77" s="297" t="s">
        <v>269</v>
      </c>
      <c r="F77" s="305" t="s">
        <v>216</v>
      </c>
      <c r="G77" s="218" t="s">
        <v>184</v>
      </c>
      <c r="H77" s="264" t="s">
        <v>282</v>
      </c>
      <c r="I77" s="307">
        <v>5</v>
      </c>
      <c r="J77" s="308" t="s">
        <v>254</v>
      </c>
      <c r="K77" s="314"/>
      <c r="L77" s="311"/>
      <c r="M77" s="311"/>
      <c r="N77" s="311"/>
      <c r="O77" s="349"/>
      <c r="P77" s="324">
        <v>175</v>
      </c>
      <c r="Q77" s="312"/>
      <c r="R77" s="219"/>
      <c r="S77" s="219"/>
      <c r="T77" s="315"/>
      <c r="U77" s="315" t="s">
        <v>258</v>
      </c>
      <c r="V77" s="219" t="s">
        <v>328</v>
      </c>
      <c r="X77" s="125"/>
      <c r="Y77" s="125"/>
      <c r="Z77" s="125"/>
      <c r="AA77" s="125"/>
      <c r="AB77" s="125"/>
      <c r="AC77" s="125"/>
      <c r="AD77" s="125"/>
      <c r="AK77" s="125"/>
      <c r="AL77" s="125"/>
      <c r="AM77" s="125"/>
      <c r="AN77" s="125"/>
      <c r="AO77" s="125"/>
    </row>
    <row r="78" spans="2:41" s="319" customFormat="1" ht="14.25" customHeight="1">
      <c r="B78" s="408" t="s">
        <v>225</v>
      </c>
      <c r="C78" s="409"/>
      <c r="D78" s="409"/>
      <c r="E78" s="409"/>
      <c r="F78" s="409"/>
      <c r="G78" s="409"/>
      <c r="H78" s="409"/>
      <c r="I78" s="409"/>
      <c r="J78" s="410"/>
      <c r="K78" s="316" t="s">
        <v>185</v>
      </c>
      <c r="L78" s="317">
        <v>245</v>
      </c>
      <c r="M78" s="317">
        <v>124</v>
      </c>
      <c r="N78" s="317">
        <v>69</v>
      </c>
      <c r="O78" s="350">
        <v>2.0960000000000001</v>
      </c>
      <c r="P78" s="318">
        <v>700</v>
      </c>
      <c r="Q78" s="318">
        <v>860</v>
      </c>
      <c r="R78" s="295" t="s">
        <v>324</v>
      </c>
      <c r="S78" s="292" t="s">
        <v>281</v>
      </c>
      <c r="T78" s="290"/>
      <c r="U78" s="290"/>
      <c r="V78" s="289"/>
      <c r="X78" s="320"/>
      <c r="Y78" s="323">
        <f>P78/20</f>
        <v>35</v>
      </c>
      <c r="Z78" s="320"/>
      <c r="AA78" s="320"/>
      <c r="AB78" s="320"/>
      <c r="AC78" s="320"/>
      <c r="AD78" s="320"/>
      <c r="AK78" s="320"/>
      <c r="AL78" s="320"/>
      <c r="AM78" s="320"/>
      <c r="AN78" s="320"/>
      <c r="AO78" s="320"/>
    </row>
    <row r="79" spans="2:41" s="126" customFormat="1" ht="15.75">
      <c r="B79" s="380">
        <v>46</v>
      </c>
      <c r="C79" s="294" t="s">
        <v>310</v>
      </c>
      <c r="D79" s="383" t="s">
        <v>422</v>
      </c>
      <c r="E79" s="297" t="s">
        <v>336</v>
      </c>
      <c r="F79" s="305" t="s">
        <v>216</v>
      </c>
      <c r="G79" s="218" t="s">
        <v>184</v>
      </c>
      <c r="H79" s="264" t="s">
        <v>282</v>
      </c>
      <c r="I79" s="63">
        <v>5</v>
      </c>
      <c r="J79" s="63" t="s">
        <v>222</v>
      </c>
      <c r="K79" s="309"/>
      <c r="L79" s="128"/>
      <c r="M79" s="128"/>
      <c r="N79" s="128"/>
      <c r="O79" s="348"/>
      <c r="P79" s="324">
        <v>175</v>
      </c>
      <c r="Q79" s="309"/>
      <c r="R79" s="309"/>
      <c r="S79" s="309"/>
      <c r="T79" s="310"/>
      <c r="U79" s="331" t="s">
        <v>255</v>
      </c>
      <c r="V79" s="322" t="s">
        <v>328</v>
      </c>
      <c r="X79" s="125"/>
      <c r="Y79" s="125"/>
      <c r="Z79" s="125"/>
      <c r="AA79" s="125"/>
      <c r="AB79" s="125"/>
      <c r="AC79" s="125"/>
      <c r="AD79" s="125"/>
      <c r="AK79" s="125"/>
      <c r="AL79" s="125"/>
      <c r="AM79" s="125"/>
      <c r="AN79" s="125"/>
      <c r="AO79" s="125"/>
    </row>
    <row r="80" spans="2:41" s="126" customFormat="1" ht="15.75">
      <c r="B80" s="380">
        <v>47</v>
      </c>
      <c r="C80" s="294" t="s">
        <v>310</v>
      </c>
      <c r="D80" s="383" t="s">
        <v>422</v>
      </c>
      <c r="E80" s="297" t="s">
        <v>338</v>
      </c>
      <c r="F80" s="305" t="s">
        <v>216</v>
      </c>
      <c r="G80" s="218" t="s">
        <v>184</v>
      </c>
      <c r="H80" s="264" t="s">
        <v>282</v>
      </c>
      <c r="I80" s="63">
        <v>5</v>
      </c>
      <c r="J80" s="63" t="s">
        <v>254</v>
      </c>
      <c r="K80" s="309"/>
      <c r="L80" s="128"/>
      <c r="M80" s="128"/>
      <c r="N80" s="128"/>
      <c r="O80" s="348"/>
      <c r="P80" s="324">
        <v>175</v>
      </c>
      <c r="Q80" s="309"/>
      <c r="R80" s="309"/>
      <c r="S80" s="309"/>
      <c r="T80" s="310"/>
      <c r="U80" s="331" t="s">
        <v>256</v>
      </c>
      <c r="V80" s="322" t="s">
        <v>328</v>
      </c>
      <c r="X80" s="125"/>
      <c r="Y80" s="125"/>
      <c r="Z80" s="125"/>
      <c r="AA80" s="125"/>
      <c r="AB80" s="125"/>
      <c r="AC80" s="125"/>
      <c r="AD80" s="125"/>
      <c r="AK80" s="125"/>
      <c r="AL80" s="125"/>
      <c r="AM80" s="125"/>
      <c r="AN80" s="125"/>
      <c r="AO80" s="125"/>
    </row>
    <row r="81" spans="2:41" s="126" customFormat="1" ht="15.75">
      <c r="B81" s="380">
        <v>48</v>
      </c>
      <c r="C81" s="294" t="s">
        <v>310</v>
      </c>
      <c r="D81" s="383" t="s">
        <v>422</v>
      </c>
      <c r="E81" s="297" t="s">
        <v>340</v>
      </c>
      <c r="F81" s="305" t="s">
        <v>216</v>
      </c>
      <c r="G81" s="218" t="s">
        <v>184</v>
      </c>
      <c r="H81" s="264" t="s">
        <v>282</v>
      </c>
      <c r="I81" s="307">
        <v>5</v>
      </c>
      <c r="J81" s="308" t="s">
        <v>254</v>
      </c>
      <c r="K81" s="314"/>
      <c r="L81" s="311"/>
      <c r="M81" s="311"/>
      <c r="N81" s="311"/>
      <c r="O81" s="349"/>
      <c r="P81" s="324">
        <v>175</v>
      </c>
      <c r="Q81" s="312"/>
      <c r="R81" s="219"/>
      <c r="S81" s="219"/>
      <c r="T81" s="315"/>
      <c r="U81" s="315" t="s">
        <v>257</v>
      </c>
      <c r="V81" s="219" t="s">
        <v>328</v>
      </c>
      <c r="X81" s="125"/>
      <c r="Y81" s="125"/>
      <c r="Z81" s="125"/>
      <c r="AA81" s="125"/>
      <c r="AB81" s="125"/>
      <c r="AC81" s="125"/>
      <c r="AD81" s="125"/>
      <c r="AK81" s="125"/>
      <c r="AL81" s="125"/>
      <c r="AM81" s="125"/>
      <c r="AN81" s="125"/>
      <c r="AO81" s="125"/>
    </row>
    <row r="82" spans="2:41" s="126" customFormat="1" ht="15.75">
      <c r="B82" s="380">
        <v>49</v>
      </c>
      <c r="C82" s="294" t="s">
        <v>310</v>
      </c>
      <c r="D82" s="383" t="s">
        <v>422</v>
      </c>
      <c r="E82" s="297" t="s">
        <v>269</v>
      </c>
      <c r="F82" s="305" t="s">
        <v>216</v>
      </c>
      <c r="G82" s="218" t="s">
        <v>184</v>
      </c>
      <c r="H82" s="264" t="s">
        <v>282</v>
      </c>
      <c r="I82" s="307">
        <v>5</v>
      </c>
      <c r="J82" s="308" t="s">
        <v>254</v>
      </c>
      <c r="K82" s="314"/>
      <c r="L82" s="311"/>
      <c r="M82" s="311"/>
      <c r="N82" s="311"/>
      <c r="O82" s="349"/>
      <c r="P82" s="324">
        <v>175</v>
      </c>
      <c r="Q82" s="312"/>
      <c r="R82" s="219"/>
      <c r="S82" s="219"/>
      <c r="T82" s="315"/>
      <c r="U82" s="315" t="s">
        <v>258</v>
      </c>
      <c r="V82" s="219" t="s">
        <v>328</v>
      </c>
      <c r="X82" s="125"/>
      <c r="Y82" s="125"/>
      <c r="Z82" s="125"/>
      <c r="AA82" s="125"/>
      <c r="AB82" s="125"/>
      <c r="AC82" s="125"/>
      <c r="AD82" s="125"/>
      <c r="AK82" s="125"/>
      <c r="AL82" s="125"/>
      <c r="AM82" s="125"/>
      <c r="AN82" s="125"/>
      <c r="AO82" s="125"/>
    </row>
    <row r="83" spans="2:41" s="319" customFormat="1" ht="14.25">
      <c r="B83" s="408" t="s">
        <v>225</v>
      </c>
      <c r="C83" s="409"/>
      <c r="D83" s="409"/>
      <c r="E83" s="409"/>
      <c r="F83" s="409"/>
      <c r="G83" s="409"/>
      <c r="H83" s="409"/>
      <c r="I83" s="409"/>
      <c r="J83" s="410"/>
      <c r="K83" s="316" t="s">
        <v>185</v>
      </c>
      <c r="L83" s="317">
        <v>245</v>
      </c>
      <c r="M83" s="317">
        <v>124</v>
      </c>
      <c r="N83" s="317">
        <v>69</v>
      </c>
      <c r="O83" s="350">
        <v>2.0960000000000001</v>
      </c>
      <c r="P83" s="318">
        <v>700</v>
      </c>
      <c r="Q83" s="318">
        <v>860</v>
      </c>
      <c r="R83" s="295" t="s">
        <v>324</v>
      </c>
      <c r="S83" s="292" t="s">
        <v>281</v>
      </c>
      <c r="T83" s="290"/>
      <c r="U83" s="290"/>
      <c r="V83" s="289"/>
      <c r="X83" s="320"/>
      <c r="Y83" s="323">
        <f>P83/20</f>
        <v>35</v>
      </c>
      <c r="Z83" s="320"/>
      <c r="AA83" s="320"/>
      <c r="AB83" s="320"/>
      <c r="AC83" s="320"/>
      <c r="AD83" s="320"/>
      <c r="AK83" s="320"/>
      <c r="AL83" s="320"/>
      <c r="AM83" s="320"/>
      <c r="AN83" s="320"/>
      <c r="AO83" s="320"/>
    </row>
    <row r="84" spans="2:41" s="126" customFormat="1" ht="15.75">
      <c r="B84" s="296">
        <v>50</v>
      </c>
      <c r="C84" s="294" t="s">
        <v>311</v>
      </c>
      <c r="D84" s="383" t="s">
        <v>423</v>
      </c>
      <c r="E84" s="297" t="s">
        <v>336</v>
      </c>
      <c r="F84" s="305" t="s">
        <v>216</v>
      </c>
      <c r="G84" s="218" t="s">
        <v>184</v>
      </c>
      <c r="H84" s="264" t="s">
        <v>282</v>
      </c>
      <c r="I84" s="63">
        <v>5</v>
      </c>
      <c r="J84" s="63" t="s">
        <v>222</v>
      </c>
      <c r="K84" s="309"/>
      <c r="L84" s="128"/>
      <c r="M84" s="128"/>
      <c r="N84" s="128"/>
      <c r="O84" s="348"/>
      <c r="P84" s="324">
        <v>175</v>
      </c>
      <c r="Q84" s="309"/>
      <c r="R84" s="309"/>
      <c r="S84" s="309"/>
      <c r="T84" s="310"/>
      <c r="U84" s="331" t="s">
        <v>255</v>
      </c>
      <c r="V84" s="322" t="s">
        <v>328</v>
      </c>
      <c r="X84" s="125"/>
      <c r="Y84" s="125"/>
      <c r="Z84" s="125"/>
      <c r="AA84" s="125"/>
      <c r="AB84" s="125"/>
      <c r="AC84" s="125"/>
      <c r="AD84" s="125"/>
      <c r="AK84" s="125"/>
      <c r="AL84" s="125"/>
      <c r="AM84" s="125"/>
      <c r="AN84" s="125"/>
      <c r="AO84" s="125"/>
    </row>
    <row r="85" spans="2:41" s="126" customFormat="1" ht="15.75">
      <c r="B85" s="296">
        <v>51</v>
      </c>
      <c r="C85" s="294" t="s">
        <v>311</v>
      </c>
      <c r="D85" s="383" t="s">
        <v>423</v>
      </c>
      <c r="E85" s="297" t="s">
        <v>338</v>
      </c>
      <c r="F85" s="305" t="s">
        <v>216</v>
      </c>
      <c r="G85" s="218" t="s">
        <v>184</v>
      </c>
      <c r="H85" s="264" t="s">
        <v>282</v>
      </c>
      <c r="I85" s="63">
        <v>5</v>
      </c>
      <c r="J85" s="63" t="s">
        <v>254</v>
      </c>
      <c r="K85" s="309"/>
      <c r="L85" s="128"/>
      <c r="M85" s="128"/>
      <c r="N85" s="128"/>
      <c r="O85" s="348"/>
      <c r="P85" s="324">
        <v>175</v>
      </c>
      <c r="Q85" s="309"/>
      <c r="R85" s="309"/>
      <c r="S85" s="309"/>
      <c r="T85" s="310"/>
      <c r="U85" s="331" t="s">
        <v>256</v>
      </c>
      <c r="V85" s="322" t="s">
        <v>328</v>
      </c>
      <c r="X85" s="125"/>
      <c r="Y85" s="125"/>
      <c r="Z85" s="125"/>
      <c r="AA85" s="125"/>
      <c r="AB85" s="125"/>
      <c r="AC85" s="125"/>
      <c r="AD85" s="125"/>
      <c r="AK85" s="125"/>
      <c r="AL85" s="125"/>
      <c r="AM85" s="125"/>
      <c r="AN85" s="125"/>
      <c r="AO85" s="125"/>
    </row>
    <row r="86" spans="2:41" s="126" customFormat="1" ht="15.75">
      <c r="B86" s="296">
        <v>52</v>
      </c>
      <c r="C86" s="294" t="s">
        <v>311</v>
      </c>
      <c r="D86" s="383" t="s">
        <v>423</v>
      </c>
      <c r="E86" s="297" t="s">
        <v>340</v>
      </c>
      <c r="F86" s="305" t="s">
        <v>216</v>
      </c>
      <c r="G86" s="218" t="s">
        <v>184</v>
      </c>
      <c r="H86" s="264" t="s">
        <v>282</v>
      </c>
      <c r="I86" s="307">
        <v>5</v>
      </c>
      <c r="J86" s="308" t="s">
        <v>254</v>
      </c>
      <c r="K86" s="314"/>
      <c r="L86" s="311"/>
      <c r="M86" s="311"/>
      <c r="N86" s="311"/>
      <c r="O86" s="349"/>
      <c r="P86" s="324">
        <v>175</v>
      </c>
      <c r="Q86" s="312"/>
      <c r="R86" s="219"/>
      <c r="S86" s="219"/>
      <c r="T86" s="315"/>
      <c r="U86" s="315" t="s">
        <v>257</v>
      </c>
      <c r="V86" s="219" t="s">
        <v>328</v>
      </c>
      <c r="X86" s="125"/>
      <c r="Y86" s="125"/>
      <c r="Z86" s="125"/>
      <c r="AA86" s="125"/>
      <c r="AB86" s="125"/>
      <c r="AC86" s="125"/>
      <c r="AD86" s="125"/>
      <c r="AK86" s="125"/>
      <c r="AL86" s="125"/>
      <c r="AM86" s="125"/>
      <c r="AN86" s="125"/>
      <c r="AO86" s="125"/>
    </row>
    <row r="87" spans="2:41" s="126" customFormat="1" ht="15.75">
      <c r="B87" s="296">
        <v>53</v>
      </c>
      <c r="C87" s="294" t="s">
        <v>311</v>
      </c>
      <c r="D87" s="383" t="s">
        <v>423</v>
      </c>
      <c r="E87" s="297" t="s">
        <v>269</v>
      </c>
      <c r="F87" s="305" t="s">
        <v>216</v>
      </c>
      <c r="G87" s="218" t="s">
        <v>184</v>
      </c>
      <c r="H87" s="264" t="s">
        <v>282</v>
      </c>
      <c r="I87" s="307">
        <v>5</v>
      </c>
      <c r="J87" s="308" t="s">
        <v>254</v>
      </c>
      <c r="K87" s="314"/>
      <c r="L87" s="311"/>
      <c r="M87" s="311"/>
      <c r="N87" s="311"/>
      <c r="O87" s="349"/>
      <c r="P87" s="324">
        <v>175</v>
      </c>
      <c r="Q87" s="312"/>
      <c r="R87" s="219"/>
      <c r="S87" s="219"/>
      <c r="T87" s="315"/>
      <c r="U87" s="315" t="s">
        <v>258</v>
      </c>
      <c r="V87" s="219" t="s">
        <v>328</v>
      </c>
      <c r="X87" s="125"/>
      <c r="Y87" s="125"/>
      <c r="Z87" s="125"/>
      <c r="AA87" s="125"/>
      <c r="AB87" s="125"/>
      <c r="AC87" s="125"/>
      <c r="AD87" s="125"/>
      <c r="AK87" s="125"/>
      <c r="AL87" s="125"/>
      <c r="AM87" s="125"/>
      <c r="AN87" s="125"/>
      <c r="AO87" s="125"/>
    </row>
    <row r="88" spans="2:41" s="319" customFormat="1" ht="14.25">
      <c r="B88" s="408" t="s">
        <v>225</v>
      </c>
      <c r="C88" s="409"/>
      <c r="D88" s="409"/>
      <c r="E88" s="409"/>
      <c r="F88" s="409"/>
      <c r="G88" s="409"/>
      <c r="H88" s="409"/>
      <c r="I88" s="409"/>
      <c r="J88" s="410"/>
      <c r="K88" s="316" t="s">
        <v>185</v>
      </c>
      <c r="L88" s="317">
        <v>245</v>
      </c>
      <c r="M88" s="317">
        <v>124</v>
      </c>
      <c r="N88" s="317">
        <v>69</v>
      </c>
      <c r="O88" s="350">
        <v>2.0960000000000001</v>
      </c>
      <c r="P88" s="318">
        <v>700</v>
      </c>
      <c r="Q88" s="318">
        <v>860</v>
      </c>
      <c r="R88" s="295" t="s">
        <v>324</v>
      </c>
      <c r="S88" s="292" t="s">
        <v>281</v>
      </c>
      <c r="T88" s="290"/>
      <c r="U88" s="290"/>
      <c r="V88" s="289"/>
      <c r="X88" s="320"/>
      <c r="Y88" s="323">
        <f>P88/20</f>
        <v>35</v>
      </c>
      <c r="Z88" s="320"/>
      <c r="AA88" s="320"/>
      <c r="AB88" s="320"/>
      <c r="AC88" s="320"/>
      <c r="AD88" s="320"/>
      <c r="AK88" s="320"/>
      <c r="AL88" s="320"/>
      <c r="AM88" s="320"/>
      <c r="AN88" s="320"/>
      <c r="AO88" s="320"/>
    </row>
    <row r="89" spans="2:41" s="126" customFormat="1" ht="15.75">
      <c r="B89" s="296">
        <v>54</v>
      </c>
      <c r="C89" s="294" t="s">
        <v>312</v>
      </c>
      <c r="D89" s="383" t="s">
        <v>423</v>
      </c>
      <c r="E89" s="297" t="s">
        <v>336</v>
      </c>
      <c r="F89" s="305" t="s">
        <v>216</v>
      </c>
      <c r="G89" s="218" t="s">
        <v>184</v>
      </c>
      <c r="H89" s="264" t="s">
        <v>282</v>
      </c>
      <c r="I89" s="63">
        <v>5</v>
      </c>
      <c r="J89" s="63" t="s">
        <v>222</v>
      </c>
      <c r="K89" s="309"/>
      <c r="L89" s="128"/>
      <c r="M89" s="128"/>
      <c r="N89" s="128"/>
      <c r="O89" s="348"/>
      <c r="P89" s="324">
        <v>175</v>
      </c>
      <c r="Q89" s="309"/>
      <c r="R89" s="309"/>
      <c r="S89" s="309"/>
      <c r="T89" s="310"/>
      <c r="U89" s="331" t="s">
        <v>255</v>
      </c>
      <c r="V89" s="322" t="s">
        <v>328</v>
      </c>
      <c r="X89" s="125"/>
      <c r="Y89" s="125"/>
      <c r="Z89" s="125"/>
      <c r="AA89" s="125"/>
      <c r="AB89" s="125"/>
      <c r="AC89" s="125"/>
      <c r="AD89" s="125"/>
      <c r="AK89" s="125"/>
      <c r="AL89" s="125"/>
      <c r="AM89" s="125"/>
      <c r="AN89" s="125"/>
      <c r="AO89" s="125"/>
    </row>
    <row r="90" spans="2:41" s="126" customFormat="1" ht="15.75">
      <c r="B90" s="296">
        <v>55</v>
      </c>
      <c r="C90" s="294" t="s">
        <v>312</v>
      </c>
      <c r="D90" s="383" t="s">
        <v>423</v>
      </c>
      <c r="E90" s="297" t="s">
        <v>338</v>
      </c>
      <c r="F90" s="305" t="s">
        <v>216</v>
      </c>
      <c r="G90" s="218" t="s">
        <v>184</v>
      </c>
      <c r="H90" s="264" t="s">
        <v>282</v>
      </c>
      <c r="I90" s="63">
        <v>5</v>
      </c>
      <c r="J90" s="63" t="s">
        <v>254</v>
      </c>
      <c r="K90" s="309"/>
      <c r="L90" s="128"/>
      <c r="M90" s="128"/>
      <c r="N90" s="128"/>
      <c r="O90" s="348"/>
      <c r="P90" s="324">
        <v>175</v>
      </c>
      <c r="Q90" s="309"/>
      <c r="R90" s="309"/>
      <c r="S90" s="309"/>
      <c r="T90" s="310"/>
      <c r="U90" s="331" t="s">
        <v>256</v>
      </c>
      <c r="V90" s="322" t="s">
        <v>328</v>
      </c>
      <c r="X90" s="125"/>
      <c r="Y90" s="125"/>
      <c r="Z90" s="125"/>
      <c r="AA90" s="125"/>
      <c r="AB90" s="125"/>
      <c r="AC90" s="125"/>
      <c r="AD90" s="125"/>
      <c r="AK90" s="125"/>
      <c r="AL90" s="125"/>
      <c r="AM90" s="125"/>
      <c r="AN90" s="125"/>
      <c r="AO90" s="125"/>
    </row>
    <row r="91" spans="2:41" s="126" customFormat="1" ht="15.75">
      <c r="B91" s="296">
        <v>56</v>
      </c>
      <c r="C91" s="294" t="s">
        <v>312</v>
      </c>
      <c r="D91" s="383" t="s">
        <v>423</v>
      </c>
      <c r="E91" s="297" t="s">
        <v>340</v>
      </c>
      <c r="F91" s="305" t="s">
        <v>216</v>
      </c>
      <c r="G91" s="218" t="s">
        <v>184</v>
      </c>
      <c r="H91" s="264" t="s">
        <v>282</v>
      </c>
      <c r="I91" s="307">
        <v>5</v>
      </c>
      <c r="J91" s="308" t="s">
        <v>254</v>
      </c>
      <c r="K91" s="314"/>
      <c r="L91" s="311"/>
      <c r="M91" s="311"/>
      <c r="N91" s="311"/>
      <c r="O91" s="349"/>
      <c r="P91" s="324">
        <v>175</v>
      </c>
      <c r="Q91" s="312"/>
      <c r="R91" s="219"/>
      <c r="S91" s="219"/>
      <c r="T91" s="315"/>
      <c r="U91" s="315" t="s">
        <v>257</v>
      </c>
      <c r="V91" s="219" t="s">
        <v>328</v>
      </c>
      <c r="X91" s="125"/>
      <c r="Y91" s="125"/>
      <c r="Z91" s="125"/>
      <c r="AA91" s="125"/>
      <c r="AB91" s="125"/>
      <c r="AC91" s="125"/>
      <c r="AD91" s="125"/>
      <c r="AK91" s="125"/>
      <c r="AL91" s="125"/>
      <c r="AM91" s="125"/>
      <c r="AN91" s="125"/>
      <c r="AO91" s="125"/>
    </row>
    <row r="92" spans="2:41" s="126" customFormat="1" ht="15.75">
      <c r="B92" s="296">
        <v>57</v>
      </c>
      <c r="C92" s="294" t="s">
        <v>312</v>
      </c>
      <c r="D92" s="383" t="s">
        <v>423</v>
      </c>
      <c r="E92" s="297" t="s">
        <v>269</v>
      </c>
      <c r="F92" s="305" t="s">
        <v>216</v>
      </c>
      <c r="G92" s="218" t="s">
        <v>184</v>
      </c>
      <c r="H92" s="264" t="s">
        <v>282</v>
      </c>
      <c r="I92" s="307">
        <v>5</v>
      </c>
      <c r="J92" s="308" t="s">
        <v>254</v>
      </c>
      <c r="K92" s="314"/>
      <c r="L92" s="311"/>
      <c r="M92" s="311"/>
      <c r="N92" s="311"/>
      <c r="O92" s="349"/>
      <c r="P92" s="324">
        <v>175</v>
      </c>
      <c r="Q92" s="312"/>
      <c r="R92" s="219"/>
      <c r="S92" s="219"/>
      <c r="T92" s="315"/>
      <c r="U92" s="315" t="s">
        <v>258</v>
      </c>
      <c r="V92" s="219" t="s">
        <v>328</v>
      </c>
      <c r="X92" s="125"/>
      <c r="Y92" s="125"/>
      <c r="Z92" s="125"/>
      <c r="AA92" s="125"/>
      <c r="AB92" s="125"/>
      <c r="AC92" s="125"/>
      <c r="AD92" s="125"/>
      <c r="AK92" s="125"/>
      <c r="AL92" s="125"/>
      <c r="AM92" s="125"/>
      <c r="AN92" s="125"/>
      <c r="AO92" s="125"/>
    </row>
    <row r="93" spans="2:41" s="319" customFormat="1" ht="14.25">
      <c r="B93" s="408" t="s">
        <v>225</v>
      </c>
      <c r="C93" s="409"/>
      <c r="D93" s="409"/>
      <c r="E93" s="409"/>
      <c r="F93" s="409"/>
      <c r="G93" s="409"/>
      <c r="H93" s="409"/>
      <c r="I93" s="409"/>
      <c r="J93" s="410"/>
      <c r="K93" s="316" t="s">
        <v>185</v>
      </c>
      <c r="L93" s="317">
        <v>245</v>
      </c>
      <c r="M93" s="317">
        <v>124</v>
      </c>
      <c r="N93" s="317">
        <v>69</v>
      </c>
      <c r="O93" s="350">
        <v>2.0960000000000001</v>
      </c>
      <c r="P93" s="318">
        <v>700</v>
      </c>
      <c r="Q93" s="318">
        <v>860</v>
      </c>
      <c r="R93" s="295" t="s">
        <v>324</v>
      </c>
      <c r="S93" s="292" t="s">
        <v>281</v>
      </c>
      <c r="T93" s="290"/>
      <c r="U93" s="290"/>
      <c r="V93" s="289"/>
      <c r="X93" s="320"/>
      <c r="Y93" s="323">
        <f>P93/20</f>
        <v>35</v>
      </c>
      <c r="Z93" s="320"/>
      <c r="AA93" s="320"/>
      <c r="AB93" s="320"/>
      <c r="AC93" s="320"/>
      <c r="AD93" s="320"/>
      <c r="AK93" s="320"/>
      <c r="AL93" s="320"/>
      <c r="AM93" s="320"/>
      <c r="AN93" s="320"/>
      <c r="AO93" s="320"/>
    </row>
    <row r="94" spans="2:41" s="126" customFormat="1" ht="15.75">
      <c r="B94" s="296">
        <v>58</v>
      </c>
      <c r="C94" s="294" t="s">
        <v>313</v>
      </c>
      <c r="D94" s="383" t="s">
        <v>423</v>
      </c>
      <c r="E94" s="297" t="s">
        <v>336</v>
      </c>
      <c r="F94" s="305" t="s">
        <v>216</v>
      </c>
      <c r="G94" s="218" t="s">
        <v>184</v>
      </c>
      <c r="H94" s="264" t="s">
        <v>282</v>
      </c>
      <c r="I94" s="63">
        <v>5</v>
      </c>
      <c r="J94" s="63" t="s">
        <v>222</v>
      </c>
      <c r="K94" s="309"/>
      <c r="L94" s="128"/>
      <c r="M94" s="128"/>
      <c r="N94" s="128"/>
      <c r="O94" s="348"/>
      <c r="P94" s="324">
        <v>175</v>
      </c>
      <c r="Q94" s="309"/>
      <c r="R94" s="309"/>
      <c r="S94" s="309"/>
      <c r="T94" s="310"/>
      <c r="U94" s="331" t="s">
        <v>255</v>
      </c>
      <c r="V94" s="322" t="s">
        <v>328</v>
      </c>
      <c r="X94" s="125"/>
      <c r="Y94" s="125"/>
      <c r="Z94" s="125"/>
      <c r="AA94" s="125"/>
      <c r="AB94" s="125"/>
      <c r="AC94" s="125"/>
      <c r="AD94" s="125"/>
      <c r="AK94" s="125"/>
      <c r="AL94" s="125"/>
      <c r="AM94" s="125"/>
      <c r="AN94" s="125"/>
      <c r="AO94" s="125"/>
    </row>
    <row r="95" spans="2:41" s="126" customFormat="1" ht="15.75">
      <c r="B95" s="296">
        <v>59</v>
      </c>
      <c r="C95" s="294" t="s">
        <v>313</v>
      </c>
      <c r="D95" s="383" t="s">
        <v>423</v>
      </c>
      <c r="E95" s="297" t="s">
        <v>338</v>
      </c>
      <c r="F95" s="305" t="s">
        <v>216</v>
      </c>
      <c r="G95" s="218" t="s">
        <v>184</v>
      </c>
      <c r="H95" s="264" t="s">
        <v>282</v>
      </c>
      <c r="I95" s="63">
        <v>5</v>
      </c>
      <c r="J95" s="63" t="s">
        <v>254</v>
      </c>
      <c r="K95" s="309"/>
      <c r="L95" s="128"/>
      <c r="M95" s="128"/>
      <c r="N95" s="128"/>
      <c r="O95" s="348"/>
      <c r="P95" s="324">
        <v>175</v>
      </c>
      <c r="Q95" s="309"/>
      <c r="R95" s="309"/>
      <c r="S95" s="309"/>
      <c r="T95" s="310"/>
      <c r="U95" s="331" t="s">
        <v>256</v>
      </c>
      <c r="V95" s="322" t="s">
        <v>328</v>
      </c>
      <c r="X95" s="125"/>
      <c r="Y95" s="125"/>
      <c r="Z95" s="125"/>
      <c r="AA95" s="125"/>
      <c r="AB95" s="125"/>
      <c r="AC95" s="125"/>
      <c r="AD95" s="125"/>
      <c r="AK95" s="125"/>
      <c r="AL95" s="125"/>
      <c r="AM95" s="125"/>
      <c r="AN95" s="125"/>
      <c r="AO95" s="125"/>
    </row>
    <row r="96" spans="2:41" s="126" customFormat="1" ht="15.75">
      <c r="B96" s="296">
        <v>60</v>
      </c>
      <c r="C96" s="294" t="s">
        <v>313</v>
      </c>
      <c r="D96" s="383" t="s">
        <v>423</v>
      </c>
      <c r="E96" s="297" t="s">
        <v>340</v>
      </c>
      <c r="F96" s="305" t="s">
        <v>216</v>
      </c>
      <c r="G96" s="218" t="s">
        <v>184</v>
      </c>
      <c r="H96" s="264" t="s">
        <v>282</v>
      </c>
      <c r="I96" s="307">
        <v>5</v>
      </c>
      <c r="J96" s="308" t="s">
        <v>254</v>
      </c>
      <c r="K96" s="314"/>
      <c r="L96" s="311"/>
      <c r="M96" s="311"/>
      <c r="N96" s="311"/>
      <c r="O96" s="349"/>
      <c r="P96" s="324">
        <v>175</v>
      </c>
      <c r="Q96" s="312"/>
      <c r="R96" s="219"/>
      <c r="S96" s="219"/>
      <c r="T96" s="315"/>
      <c r="U96" s="315" t="s">
        <v>257</v>
      </c>
      <c r="V96" s="219" t="s">
        <v>328</v>
      </c>
      <c r="X96" s="125"/>
      <c r="Y96" s="125"/>
      <c r="Z96" s="125"/>
      <c r="AA96" s="125"/>
      <c r="AB96" s="125"/>
      <c r="AC96" s="125"/>
      <c r="AD96" s="125"/>
      <c r="AK96" s="125"/>
      <c r="AL96" s="125"/>
      <c r="AM96" s="125"/>
      <c r="AN96" s="125"/>
      <c r="AO96" s="125"/>
    </row>
    <row r="97" spans="2:41" s="126" customFormat="1" ht="15.75">
      <c r="B97" s="296">
        <v>61</v>
      </c>
      <c r="C97" s="294" t="s">
        <v>313</v>
      </c>
      <c r="D97" s="383" t="s">
        <v>423</v>
      </c>
      <c r="E97" s="297" t="s">
        <v>269</v>
      </c>
      <c r="F97" s="305" t="s">
        <v>216</v>
      </c>
      <c r="G97" s="218" t="s">
        <v>184</v>
      </c>
      <c r="H97" s="264" t="s">
        <v>282</v>
      </c>
      <c r="I97" s="307">
        <v>5</v>
      </c>
      <c r="J97" s="308" t="s">
        <v>254</v>
      </c>
      <c r="K97" s="314"/>
      <c r="L97" s="311"/>
      <c r="M97" s="311"/>
      <c r="N97" s="311"/>
      <c r="O97" s="349"/>
      <c r="P97" s="324">
        <v>175</v>
      </c>
      <c r="Q97" s="312"/>
      <c r="R97" s="219"/>
      <c r="S97" s="219"/>
      <c r="T97" s="315"/>
      <c r="U97" s="315" t="s">
        <v>258</v>
      </c>
      <c r="V97" s="219" t="s">
        <v>328</v>
      </c>
      <c r="X97" s="125"/>
      <c r="Y97" s="125"/>
      <c r="Z97" s="125"/>
      <c r="AA97" s="125"/>
      <c r="AB97" s="125"/>
      <c r="AC97" s="125"/>
      <c r="AD97" s="125"/>
      <c r="AK97" s="125"/>
      <c r="AL97" s="125"/>
      <c r="AM97" s="125"/>
      <c r="AN97" s="125"/>
      <c r="AO97" s="125"/>
    </row>
    <row r="98" spans="2:41" s="319" customFormat="1" ht="14.25">
      <c r="B98" s="408" t="s">
        <v>225</v>
      </c>
      <c r="C98" s="409"/>
      <c r="D98" s="409"/>
      <c r="E98" s="409"/>
      <c r="F98" s="409"/>
      <c r="G98" s="409"/>
      <c r="H98" s="409"/>
      <c r="I98" s="409"/>
      <c r="J98" s="410"/>
      <c r="K98" s="316" t="s">
        <v>185</v>
      </c>
      <c r="L98" s="317">
        <v>245</v>
      </c>
      <c r="M98" s="317">
        <v>124</v>
      </c>
      <c r="N98" s="317">
        <v>69</v>
      </c>
      <c r="O98" s="350">
        <v>2.0960000000000001</v>
      </c>
      <c r="P98" s="318">
        <v>700</v>
      </c>
      <c r="Q98" s="318">
        <v>860</v>
      </c>
      <c r="R98" s="295" t="s">
        <v>324</v>
      </c>
      <c r="S98" s="292" t="s">
        <v>281</v>
      </c>
      <c r="T98" s="290"/>
      <c r="U98" s="290"/>
      <c r="V98" s="289"/>
      <c r="X98" s="320"/>
      <c r="Y98" s="323">
        <f>P98/20</f>
        <v>35</v>
      </c>
      <c r="Z98" s="320"/>
      <c r="AA98" s="320"/>
      <c r="AB98" s="320"/>
      <c r="AC98" s="320"/>
      <c r="AD98" s="320"/>
      <c r="AK98" s="320"/>
      <c r="AL98" s="320"/>
      <c r="AM98" s="320"/>
      <c r="AN98" s="320"/>
      <c r="AO98" s="320"/>
    </row>
    <row r="99" spans="2:41" s="126" customFormat="1" ht="15.75">
      <c r="B99" s="296">
        <v>62</v>
      </c>
      <c r="C99" s="294" t="s">
        <v>314</v>
      </c>
      <c r="D99" s="383" t="s">
        <v>423</v>
      </c>
      <c r="E99" s="297" t="s">
        <v>336</v>
      </c>
      <c r="F99" s="305" t="s">
        <v>216</v>
      </c>
      <c r="G99" s="218" t="s">
        <v>184</v>
      </c>
      <c r="H99" s="264" t="s">
        <v>282</v>
      </c>
      <c r="I99" s="63">
        <v>5</v>
      </c>
      <c r="J99" s="63" t="s">
        <v>222</v>
      </c>
      <c r="K99" s="309"/>
      <c r="L99" s="128"/>
      <c r="M99" s="128"/>
      <c r="N99" s="128"/>
      <c r="O99" s="348"/>
      <c r="P99" s="324">
        <v>175</v>
      </c>
      <c r="Q99" s="309"/>
      <c r="R99" s="309"/>
      <c r="S99" s="309"/>
      <c r="T99" s="310"/>
      <c r="U99" s="331" t="s">
        <v>255</v>
      </c>
      <c r="V99" s="322" t="s">
        <v>328</v>
      </c>
      <c r="X99" s="125"/>
      <c r="Y99" s="125"/>
      <c r="Z99" s="125"/>
      <c r="AA99" s="125"/>
      <c r="AB99" s="125"/>
      <c r="AC99" s="125"/>
      <c r="AD99" s="125"/>
      <c r="AK99" s="125"/>
      <c r="AL99" s="125"/>
      <c r="AM99" s="125"/>
      <c r="AN99" s="125"/>
      <c r="AO99" s="125"/>
    </row>
    <row r="100" spans="2:41" s="126" customFormat="1" ht="15.75">
      <c r="B100" s="296">
        <v>63</v>
      </c>
      <c r="C100" s="294" t="s">
        <v>314</v>
      </c>
      <c r="D100" s="383" t="s">
        <v>423</v>
      </c>
      <c r="E100" s="297" t="s">
        <v>338</v>
      </c>
      <c r="F100" s="305" t="s">
        <v>216</v>
      </c>
      <c r="G100" s="218" t="s">
        <v>184</v>
      </c>
      <c r="H100" s="264" t="s">
        <v>282</v>
      </c>
      <c r="I100" s="63">
        <v>5</v>
      </c>
      <c r="J100" s="63" t="s">
        <v>254</v>
      </c>
      <c r="K100" s="309"/>
      <c r="L100" s="128"/>
      <c r="M100" s="128"/>
      <c r="N100" s="128"/>
      <c r="O100" s="348"/>
      <c r="P100" s="324">
        <v>175</v>
      </c>
      <c r="Q100" s="309"/>
      <c r="R100" s="309"/>
      <c r="S100" s="309"/>
      <c r="T100" s="310"/>
      <c r="U100" s="331" t="s">
        <v>256</v>
      </c>
      <c r="V100" s="322" t="s">
        <v>328</v>
      </c>
      <c r="X100" s="125"/>
      <c r="Y100" s="125"/>
      <c r="Z100" s="125"/>
      <c r="AA100" s="125"/>
      <c r="AB100" s="125"/>
      <c r="AC100" s="125"/>
      <c r="AD100" s="125"/>
      <c r="AK100" s="125"/>
      <c r="AL100" s="125"/>
      <c r="AM100" s="125"/>
      <c r="AN100" s="125"/>
      <c r="AO100" s="125"/>
    </row>
    <row r="101" spans="2:41" s="126" customFormat="1" ht="15.75">
      <c r="B101" s="296">
        <v>64</v>
      </c>
      <c r="C101" s="294" t="s">
        <v>314</v>
      </c>
      <c r="D101" s="383" t="s">
        <v>423</v>
      </c>
      <c r="E101" s="297" t="s">
        <v>340</v>
      </c>
      <c r="F101" s="305" t="s">
        <v>216</v>
      </c>
      <c r="G101" s="218" t="s">
        <v>184</v>
      </c>
      <c r="H101" s="264" t="s">
        <v>282</v>
      </c>
      <c r="I101" s="307">
        <v>5</v>
      </c>
      <c r="J101" s="308" t="s">
        <v>254</v>
      </c>
      <c r="K101" s="314"/>
      <c r="L101" s="311"/>
      <c r="M101" s="311"/>
      <c r="N101" s="311"/>
      <c r="O101" s="349"/>
      <c r="P101" s="324">
        <v>175</v>
      </c>
      <c r="Q101" s="312"/>
      <c r="R101" s="219"/>
      <c r="S101" s="219"/>
      <c r="T101" s="315"/>
      <c r="U101" s="315" t="s">
        <v>257</v>
      </c>
      <c r="V101" s="219" t="s">
        <v>328</v>
      </c>
      <c r="X101" s="125"/>
      <c r="Y101" s="125"/>
      <c r="Z101" s="125"/>
      <c r="AA101" s="125"/>
      <c r="AB101" s="125"/>
      <c r="AC101" s="125"/>
      <c r="AD101" s="125"/>
      <c r="AK101" s="125"/>
      <c r="AL101" s="125"/>
      <c r="AM101" s="125"/>
      <c r="AN101" s="125"/>
      <c r="AO101" s="125"/>
    </row>
    <row r="102" spans="2:41" s="126" customFormat="1" ht="15.75">
      <c r="B102" s="296">
        <v>65</v>
      </c>
      <c r="C102" s="294" t="s">
        <v>314</v>
      </c>
      <c r="D102" s="383" t="s">
        <v>423</v>
      </c>
      <c r="E102" s="297" t="s">
        <v>269</v>
      </c>
      <c r="F102" s="305" t="s">
        <v>216</v>
      </c>
      <c r="G102" s="218" t="s">
        <v>184</v>
      </c>
      <c r="H102" s="264" t="s">
        <v>282</v>
      </c>
      <c r="I102" s="307">
        <v>5</v>
      </c>
      <c r="J102" s="308" t="s">
        <v>254</v>
      </c>
      <c r="K102" s="314"/>
      <c r="L102" s="311"/>
      <c r="M102" s="311"/>
      <c r="N102" s="311"/>
      <c r="O102" s="349"/>
      <c r="P102" s="324">
        <v>175</v>
      </c>
      <c r="Q102" s="312"/>
      <c r="R102" s="219"/>
      <c r="S102" s="219"/>
      <c r="T102" s="315"/>
      <c r="U102" s="315" t="s">
        <v>258</v>
      </c>
      <c r="V102" s="219" t="s">
        <v>328</v>
      </c>
      <c r="X102" s="125"/>
      <c r="Y102" s="125"/>
      <c r="Z102" s="125"/>
      <c r="AA102" s="125"/>
      <c r="AB102" s="125"/>
      <c r="AC102" s="125"/>
      <c r="AD102" s="125"/>
      <c r="AK102" s="125"/>
      <c r="AL102" s="125"/>
      <c r="AM102" s="125"/>
      <c r="AN102" s="125"/>
      <c r="AO102" s="125"/>
    </row>
    <row r="103" spans="2:41" s="319" customFormat="1" ht="14.25">
      <c r="B103" s="408" t="s">
        <v>225</v>
      </c>
      <c r="C103" s="409"/>
      <c r="D103" s="409"/>
      <c r="E103" s="409"/>
      <c r="F103" s="409"/>
      <c r="G103" s="409"/>
      <c r="H103" s="409"/>
      <c r="I103" s="409"/>
      <c r="J103" s="410"/>
      <c r="K103" s="316" t="s">
        <v>185</v>
      </c>
      <c r="L103" s="317">
        <v>245</v>
      </c>
      <c r="M103" s="317">
        <v>124</v>
      </c>
      <c r="N103" s="317">
        <v>69</v>
      </c>
      <c r="O103" s="350">
        <v>2.0960000000000001</v>
      </c>
      <c r="P103" s="318">
        <v>700</v>
      </c>
      <c r="Q103" s="318">
        <v>860</v>
      </c>
      <c r="R103" s="295" t="s">
        <v>324</v>
      </c>
      <c r="S103" s="292" t="s">
        <v>281</v>
      </c>
      <c r="T103" s="290"/>
      <c r="U103" s="290"/>
      <c r="V103" s="289"/>
      <c r="X103" s="320"/>
      <c r="Y103" s="323">
        <f>P103/20</f>
        <v>35</v>
      </c>
      <c r="Z103" s="320"/>
      <c r="AA103" s="320"/>
      <c r="AB103" s="320"/>
      <c r="AC103" s="320"/>
      <c r="AD103" s="320"/>
      <c r="AK103" s="320"/>
      <c r="AL103" s="320"/>
      <c r="AM103" s="320"/>
      <c r="AN103" s="320"/>
      <c r="AO103" s="320"/>
    </row>
    <row r="104" spans="2:41" s="126" customFormat="1" ht="15.75">
      <c r="B104" s="296">
        <v>66</v>
      </c>
      <c r="C104" s="294" t="s">
        <v>315</v>
      </c>
      <c r="D104" s="383" t="s">
        <v>423</v>
      </c>
      <c r="E104" s="297" t="s">
        <v>336</v>
      </c>
      <c r="F104" s="305" t="s">
        <v>216</v>
      </c>
      <c r="G104" s="218" t="s">
        <v>184</v>
      </c>
      <c r="H104" s="264" t="s">
        <v>282</v>
      </c>
      <c r="I104" s="63">
        <v>5</v>
      </c>
      <c r="J104" s="63" t="s">
        <v>222</v>
      </c>
      <c r="K104" s="309"/>
      <c r="L104" s="128"/>
      <c r="M104" s="128"/>
      <c r="N104" s="128"/>
      <c r="O104" s="348"/>
      <c r="P104" s="324">
        <v>168.75</v>
      </c>
      <c r="Q104" s="309"/>
      <c r="R104" s="309"/>
      <c r="S104" s="309"/>
      <c r="T104" s="310"/>
      <c r="U104" s="331" t="s">
        <v>259</v>
      </c>
      <c r="V104" s="322" t="s">
        <v>328</v>
      </c>
      <c r="X104" s="125"/>
      <c r="Y104" s="125"/>
      <c r="Z104" s="125"/>
      <c r="AA104" s="125"/>
      <c r="AB104" s="125"/>
      <c r="AC104" s="125"/>
      <c r="AD104" s="125"/>
      <c r="AK104" s="125"/>
      <c r="AL104" s="125"/>
      <c r="AM104" s="125"/>
      <c r="AN104" s="125"/>
      <c r="AO104" s="125"/>
    </row>
    <row r="105" spans="2:41" s="126" customFormat="1" ht="15.75">
      <c r="B105" s="296">
        <v>67</v>
      </c>
      <c r="C105" s="294" t="s">
        <v>315</v>
      </c>
      <c r="D105" s="383" t="s">
        <v>423</v>
      </c>
      <c r="E105" s="297" t="s">
        <v>338</v>
      </c>
      <c r="F105" s="305" t="s">
        <v>216</v>
      </c>
      <c r="G105" s="218" t="s">
        <v>184</v>
      </c>
      <c r="H105" s="264" t="s">
        <v>282</v>
      </c>
      <c r="I105" s="63">
        <v>5</v>
      </c>
      <c r="J105" s="63" t="s">
        <v>254</v>
      </c>
      <c r="K105" s="309"/>
      <c r="L105" s="128"/>
      <c r="M105" s="128"/>
      <c r="N105" s="128"/>
      <c r="O105" s="348"/>
      <c r="P105" s="324">
        <v>168.75</v>
      </c>
      <c r="Q105" s="309"/>
      <c r="R105" s="309"/>
      <c r="S105" s="309"/>
      <c r="T105" s="310"/>
      <c r="U105" s="331" t="s">
        <v>260</v>
      </c>
      <c r="V105" s="322" t="s">
        <v>328</v>
      </c>
      <c r="X105" s="125"/>
      <c r="Y105" s="125"/>
      <c r="Z105" s="125"/>
      <c r="AA105" s="125"/>
      <c r="AB105" s="125"/>
      <c r="AC105" s="125"/>
      <c r="AD105" s="125"/>
      <c r="AK105" s="125"/>
      <c r="AL105" s="125"/>
      <c r="AM105" s="125"/>
      <c r="AN105" s="125"/>
      <c r="AO105" s="125"/>
    </row>
    <row r="106" spans="2:41" s="126" customFormat="1" ht="15.75">
      <c r="B106" s="296">
        <v>68</v>
      </c>
      <c r="C106" s="294" t="s">
        <v>315</v>
      </c>
      <c r="D106" s="383" t="s">
        <v>423</v>
      </c>
      <c r="E106" s="297" t="s">
        <v>340</v>
      </c>
      <c r="F106" s="305" t="s">
        <v>216</v>
      </c>
      <c r="G106" s="218" t="s">
        <v>184</v>
      </c>
      <c r="H106" s="264" t="s">
        <v>282</v>
      </c>
      <c r="I106" s="307">
        <v>5</v>
      </c>
      <c r="J106" s="308" t="s">
        <v>254</v>
      </c>
      <c r="K106" s="314"/>
      <c r="L106" s="311"/>
      <c r="M106" s="311"/>
      <c r="N106" s="311"/>
      <c r="O106" s="349"/>
      <c r="P106" s="324">
        <v>168.75</v>
      </c>
      <c r="Q106" s="312"/>
      <c r="R106" s="219"/>
      <c r="S106" s="219"/>
      <c r="T106" s="315"/>
      <c r="U106" s="315" t="s">
        <v>261</v>
      </c>
      <c r="V106" s="219" t="s">
        <v>328</v>
      </c>
      <c r="X106" s="125"/>
      <c r="Y106" s="125"/>
      <c r="Z106" s="125"/>
      <c r="AA106" s="125"/>
      <c r="AB106" s="125"/>
      <c r="AC106" s="125"/>
      <c r="AD106" s="125"/>
      <c r="AK106" s="125"/>
      <c r="AL106" s="125"/>
      <c r="AM106" s="125"/>
      <c r="AN106" s="125"/>
      <c r="AO106" s="125"/>
    </row>
    <row r="107" spans="2:41" s="126" customFormat="1" ht="15.75">
      <c r="B107" s="296">
        <v>69</v>
      </c>
      <c r="C107" s="294" t="s">
        <v>315</v>
      </c>
      <c r="D107" s="383" t="s">
        <v>423</v>
      </c>
      <c r="E107" s="297" t="s">
        <v>269</v>
      </c>
      <c r="F107" s="305" t="s">
        <v>216</v>
      </c>
      <c r="G107" s="218" t="s">
        <v>184</v>
      </c>
      <c r="H107" s="264" t="s">
        <v>282</v>
      </c>
      <c r="I107" s="307">
        <v>5</v>
      </c>
      <c r="J107" s="308" t="s">
        <v>254</v>
      </c>
      <c r="K107" s="314"/>
      <c r="L107" s="311"/>
      <c r="M107" s="311"/>
      <c r="N107" s="311"/>
      <c r="O107" s="349"/>
      <c r="P107" s="324">
        <v>168.75</v>
      </c>
      <c r="Q107" s="312"/>
      <c r="R107" s="219"/>
      <c r="S107" s="219"/>
      <c r="T107" s="315"/>
      <c r="U107" s="315" t="s">
        <v>262</v>
      </c>
      <c r="V107" s="219" t="s">
        <v>328</v>
      </c>
      <c r="X107" s="125"/>
      <c r="Y107" s="125"/>
      <c r="Z107" s="125"/>
      <c r="AA107" s="125"/>
      <c r="AB107" s="125"/>
      <c r="AC107" s="125"/>
      <c r="AD107" s="125"/>
      <c r="AK107" s="125"/>
      <c r="AL107" s="125"/>
      <c r="AM107" s="125"/>
      <c r="AN107" s="125"/>
      <c r="AO107" s="125"/>
    </row>
    <row r="108" spans="2:41" s="319" customFormat="1" ht="14.25">
      <c r="B108" s="408" t="s">
        <v>225</v>
      </c>
      <c r="C108" s="409"/>
      <c r="D108" s="409"/>
      <c r="E108" s="409"/>
      <c r="F108" s="409"/>
      <c r="G108" s="409"/>
      <c r="H108" s="409"/>
      <c r="I108" s="409"/>
      <c r="J108" s="410"/>
      <c r="K108" s="316" t="s">
        <v>185</v>
      </c>
      <c r="L108" s="317">
        <v>245</v>
      </c>
      <c r="M108" s="317">
        <v>124</v>
      </c>
      <c r="N108" s="317">
        <v>69</v>
      </c>
      <c r="O108" s="350">
        <v>2.0960000000000001</v>
      </c>
      <c r="P108" s="318">
        <v>675</v>
      </c>
      <c r="Q108" s="318">
        <v>835</v>
      </c>
      <c r="R108" s="295" t="s">
        <v>324</v>
      </c>
      <c r="S108" s="292" t="s">
        <v>281</v>
      </c>
      <c r="T108" s="290"/>
      <c r="U108" s="290"/>
      <c r="V108" s="289"/>
      <c r="X108" s="320"/>
      <c r="Y108" s="323">
        <f>P108/20</f>
        <v>33.75</v>
      </c>
      <c r="Z108" s="320"/>
      <c r="AA108" s="320"/>
      <c r="AB108" s="320"/>
      <c r="AC108" s="320"/>
      <c r="AD108" s="320"/>
      <c r="AK108" s="320"/>
      <c r="AL108" s="320"/>
      <c r="AM108" s="320"/>
      <c r="AN108" s="320"/>
      <c r="AO108" s="320"/>
    </row>
    <row r="109" spans="2:41" s="126" customFormat="1" ht="15.75">
      <c r="B109" s="296">
        <v>70</v>
      </c>
      <c r="C109" s="294" t="s">
        <v>316</v>
      </c>
      <c r="D109" s="383" t="s">
        <v>423</v>
      </c>
      <c r="E109" s="297" t="s">
        <v>336</v>
      </c>
      <c r="F109" s="305" t="s">
        <v>216</v>
      </c>
      <c r="G109" s="218" t="s">
        <v>184</v>
      </c>
      <c r="H109" s="264" t="s">
        <v>282</v>
      </c>
      <c r="I109" s="63">
        <v>5</v>
      </c>
      <c r="J109" s="63" t="s">
        <v>222</v>
      </c>
      <c r="K109" s="309"/>
      <c r="L109" s="128"/>
      <c r="M109" s="128"/>
      <c r="N109" s="128"/>
      <c r="O109" s="348"/>
      <c r="P109" s="324">
        <v>168.75</v>
      </c>
      <c r="Q109" s="309"/>
      <c r="R109" s="309"/>
      <c r="S109" s="309"/>
      <c r="T109" s="310"/>
      <c r="U109" s="331" t="s">
        <v>259</v>
      </c>
      <c r="V109" s="322" t="s">
        <v>328</v>
      </c>
      <c r="X109" s="125"/>
      <c r="Y109" s="125"/>
      <c r="Z109" s="125"/>
      <c r="AA109" s="125"/>
      <c r="AB109" s="125"/>
      <c r="AC109" s="125"/>
      <c r="AD109" s="125"/>
      <c r="AK109" s="125"/>
      <c r="AL109" s="125"/>
      <c r="AM109" s="125"/>
      <c r="AN109" s="125"/>
      <c r="AO109" s="125"/>
    </row>
    <row r="110" spans="2:41" s="126" customFormat="1" ht="15.75">
      <c r="B110" s="296">
        <v>71</v>
      </c>
      <c r="C110" s="294" t="s">
        <v>316</v>
      </c>
      <c r="D110" s="383" t="s">
        <v>423</v>
      </c>
      <c r="E110" s="297" t="s">
        <v>338</v>
      </c>
      <c r="F110" s="305" t="s">
        <v>216</v>
      </c>
      <c r="G110" s="218" t="s">
        <v>184</v>
      </c>
      <c r="H110" s="264" t="s">
        <v>282</v>
      </c>
      <c r="I110" s="63">
        <v>5</v>
      </c>
      <c r="J110" s="63" t="s">
        <v>254</v>
      </c>
      <c r="K110" s="309"/>
      <c r="L110" s="128"/>
      <c r="M110" s="128"/>
      <c r="N110" s="128"/>
      <c r="O110" s="348"/>
      <c r="P110" s="324">
        <v>168.75</v>
      </c>
      <c r="Q110" s="309"/>
      <c r="R110" s="309"/>
      <c r="S110" s="309"/>
      <c r="T110" s="310"/>
      <c r="U110" s="331" t="s">
        <v>260</v>
      </c>
      <c r="V110" s="322" t="s">
        <v>328</v>
      </c>
      <c r="X110" s="125"/>
      <c r="Y110" s="125"/>
      <c r="Z110" s="125"/>
      <c r="AA110" s="125"/>
      <c r="AB110" s="125"/>
      <c r="AC110" s="125"/>
      <c r="AD110" s="125"/>
      <c r="AK110" s="125"/>
      <c r="AL110" s="125"/>
      <c r="AM110" s="125"/>
      <c r="AN110" s="125"/>
      <c r="AO110" s="125"/>
    </row>
    <row r="111" spans="2:41" s="126" customFormat="1" ht="15.75">
      <c r="B111" s="296">
        <v>72</v>
      </c>
      <c r="C111" s="294" t="s">
        <v>316</v>
      </c>
      <c r="D111" s="383" t="s">
        <v>423</v>
      </c>
      <c r="E111" s="297" t="s">
        <v>340</v>
      </c>
      <c r="F111" s="305" t="s">
        <v>216</v>
      </c>
      <c r="G111" s="218" t="s">
        <v>184</v>
      </c>
      <c r="H111" s="264" t="s">
        <v>282</v>
      </c>
      <c r="I111" s="307">
        <v>5</v>
      </c>
      <c r="J111" s="308" t="s">
        <v>254</v>
      </c>
      <c r="K111" s="314"/>
      <c r="L111" s="311"/>
      <c r="M111" s="311"/>
      <c r="N111" s="311"/>
      <c r="O111" s="349"/>
      <c r="P111" s="324">
        <v>168.75</v>
      </c>
      <c r="Q111" s="312"/>
      <c r="R111" s="219"/>
      <c r="S111" s="219"/>
      <c r="T111" s="315"/>
      <c r="U111" s="315" t="s">
        <v>261</v>
      </c>
      <c r="V111" s="219" t="s">
        <v>328</v>
      </c>
      <c r="X111" s="125"/>
      <c r="Y111" s="125"/>
      <c r="Z111" s="125"/>
      <c r="AA111" s="125"/>
      <c r="AB111" s="125"/>
      <c r="AC111" s="125"/>
      <c r="AD111" s="125"/>
      <c r="AK111" s="125"/>
      <c r="AL111" s="125"/>
      <c r="AM111" s="125"/>
      <c r="AN111" s="125"/>
      <c r="AO111" s="125"/>
    </row>
    <row r="112" spans="2:41" s="126" customFormat="1" ht="15.75">
      <c r="B112" s="296">
        <v>73</v>
      </c>
      <c r="C112" s="294" t="s">
        <v>316</v>
      </c>
      <c r="D112" s="383" t="s">
        <v>423</v>
      </c>
      <c r="E112" s="297" t="s">
        <v>269</v>
      </c>
      <c r="F112" s="305" t="s">
        <v>216</v>
      </c>
      <c r="G112" s="218" t="s">
        <v>184</v>
      </c>
      <c r="H112" s="264" t="s">
        <v>282</v>
      </c>
      <c r="I112" s="307">
        <v>5</v>
      </c>
      <c r="J112" s="308" t="s">
        <v>254</v>
      </c>
      <c r="K112" s="314"/>
      <c r="L112" s="311"/>
      <c r="M112" s="311"/>
      <c r="N112" s="311"/>
      <c r="O112" s="349"/>
      <c r="P112" s="324">
        <v>168.75</v>
      </c>
      <c r="Q112" s="312"/>
      <c r="R112" s="219"/>
      <c r="S112" s="219"/>
      <c r="T112" s="315"/>
      <c r="U112" s="315" t="s">
        <v>262</v>
      </c>
      <c r="V112" s="219" t="s">
        <v>328</v>
      </c>
      <c r="X112" s="125"/>
      <c r="Y112" s="125"/>
      <c r="Z112" s="125"/>
      <c r="AA112" s="125"/>
      <c r="AB112" s="125"/>
      <c r="AC112" s="125"/>
      <c r="AD112" s="125"/>
      <c r="AK112" s="125"/>
      <c r="AL112" s="125"/>
      <c r="AM112" s="125"/>
      <c r="AN112" s="125"/>
      <c r="AO112" s="125"/>
    </row>
    <row r="113" spans="2:41" s="319" customFormat="1" ht="14.25">
      <c r="B113" s="408" t="s">
        <v>225</v>
      </c>
      <c r="C113" s="409"/>
      <c r="D113" s="409"/>
      <c r="E113" s="409"/>
      <c r="F113" s="409"/>
      <c r="G113" s="409"/>
      <c r="H113" s="409"/>
      <c r="I113" s="409"/>
      <c r="J113" s="410"/>
      <c r="K113" s="316" t="s">
        <v>185</v>
      </c>
      <c r="L113" s="317">
        <v>245</v>
      </c>
      <c r="M113" s="317">
        <v>124</v>
      </c>
      <c r="N113" s="317">
        <v>69</v>
      </c>
      <c r="O113" s="350">
        <v>2.0960000000000001</v>
      </c>
      <c r="P113" s="318">
        <v>675</v>
      </c>
      <c r="Q113" s="318">
        <v>835</v>
      </c>
      <c r="R113" s="295" t="s">
        <v>324</v>
      </c>
      <c r="S113" s="292" t="s">
        <v>281</v>
      </c>
      <c r="T113" s="290"/>
      <c r="U113" s="290"/>
      <c r="V113" s="289"/>
      <c r="X113" s="320"/>
      <c r="Y113" s="323">
        <f>P113/20</f>
        <v>33.75</v>
      </c>
      <c r="Z113" s="320"/>
      <c r="AA113" s="320"/>
      <c r="AB113" s="320"/>
      <c r="AC113" s="320"/>
      <c r="AD113" s="320"/>
      <c r="AK113" s="320"/>
      <c r="AL113" s="320"/>
      <c r="AM113" s="320"/>
      <c r="AN113" s="320"/>
      <c r="AO113" s="320"/>
    </row>
    <row r="114" spans="2:41" s="126" customFormat="1" ht="15.75">
      <c r="B114" s="296">
        <v>74</v>
      </c>
      <c r="C114" s="294" t="s">
        <v>317</v>
      </c>
      <c r="D114" s="383" t="s">
        <v>423</v>
      </c>
      <c r="E114" s="297" t="s">
        <v>336</v>
      </c>
      <c r="F114" s="305" t="s">
        <v>216</v>
      </c>
      <c r="G114" s="218" t="s">
        <v>184</v>
      </c>
      <c r="H114" s="264" t="s">
        <v>282</v>
      </c>
      <c r="I114" s="63">
        <v>5</v>
      </c>
      <c r="J114" s="63" t="s">
        <v>222</v>
      </c>
      <c r="K114" s="309"/>
      <c r="L114" s="128"/>
      <c r="M114" s="128"/>
      <c r="N114" s="128"/>
      <c r="O114" s="348"/>
      <c r="P114" s="324">
        <v>168.75</v>
      </c>
      <c r="Q114" s="309"/>
      <c r="R114" s="309"/>
      <c r="S114" s="309"/>
      <c r="T114" s="310"/>
      <c r="U114" s="331" t="s">
        <v>259</v>
      </c>
      <c r="V114" s="322" t="s">
        <v>328</v>
      </c>
      <c r="X114" s="125"/>
      <c r="Y114" s="125"/>
      <c r="Z114" s="125"/>
      <c r="AA114" s="125"/>
      <c r="AB114" s="125"/>
      <c r="AC114" s="125"/>
      <c r="AD114" s="125"/>
      <c r="AK114" s="125"/>
      <c r="AL114" s="125"/>
      <c r="AM114" s="125"/>
      <c r="AN114" s="125"/>
      <c r="AO114" s="125"/>
    </row>
    <row r="115" spans="2:41" s="126" customFormat="1" ht="15.75">
      <c r="B115" s="296">
        <v>75</v>
      </c>
      <c r="C115" s="294" t="s">
        <v>317</v>
      </c>
      <c r="D115" s="383" t="s">
        <v>423</v>
      </c>
      <c r="E115" s="297" t="s">
        <v>338</v>
      </c>
      <c r="F115" s="305" t="s">
        <v>216</v>
      </c>
      <c r="G115" s="218" t="s">
        <v>184</v>
      </c>
      <c r="H115" s="264" t="s">
        <v>282</v>
      </c>
      <c r="I115" s="63">
        <v>5</v>
      </c>
      <c r="J115" s="63" t="s">
        <v>254</v>
      </c>
      <c r="K115" s="309"/>
      <c r="L115" s="128"/>
      <c r="M115" s="128"/>
      <c r="N115" s="128"/>
      <c r="O115" s="348"/>
      <c r="P115" s="324">
        <v>168.75</v>
      </c>
      <c r="Q115" s="309"/>
      <c r="R115" s="309"/>
      <c r="S115" s="309"/>
      <c r="T115" s="310"/>
      <c r="U115" s="331" t="s">
        <v>260</v>
      </c>
      <c r="V115" s="322" t="s">
        <v>328</v>
      </c>
      <c r="X115" s="125"/>
      <c r="Y115" s="125"/>
      <c r="Z115" s="125"/>
      <c r="AA115" s="125"/>
      <c r="AB115" s="125"/>
      <c r="AC115" s="125"/>
      <c r="AD115" s="125"/>
      <c r="AK115" s="125"/>
      <c r="AL115" s="125"/>
      <c r="AM115" s="125"/>
      <c r="AN115" s="125"/>
      <c r="AO115" s="125"/>
    </row>
    <row r="116" spans="2:41" s="126" customFormat="1" ht="15.75">
      <c r="B116" s="296">
        <v>76</v>
      </c>
      <c r="C116" s="294" t="s">
        <v>317</v>
      </c>
      <c r="D116" s="383" t="s">
        <v>423</v>
      </c>
      <c r="E116" s="297" t="s">
        <v>340</v>
      </c>
      <c r="F116" s="305" t="s">
        <v>216</v>
      </c>
      <c r="G116" s="218" t="s">
        <v>184</v>
      </c>
      <c r="H116" s="264" t="s">
        <v>282</v>
      </c>
      <c r="I116" s="307">
        <v>5</v>
      </c>
      <c r="J116" s="308" t="s">
        <v>254</v>
      </c>
      <c r="K116" s="314"/>
      <c r="L116" s="311"/>
      <c r="M116" s="311"/>
      <c r="N116" s="311"/>
      <c r="O116" s="349"/>
      <c r="P116" s="324">
        <v>168.75</v>
      </c>
      <c r="Q116" s="312"/>
      <c r="R116" s="219"/>
      <c r="S116" s="219"/>
      <c r="T116" s="315"/>
      <c r="U116" s="315" t="s">
        <v>261</v>
      </c>
      <c r="V116" s="219" t="s">
        <v>328</v>
      </c>
      <c r="X116" s="125"/>
      <c r="Y116" s="125"/>
      <c r="Z116" s="125"/>
      <c r="AA116" s="125"/>
      <c r="AB116" s="125"/>
      <c r="AC116" s="125"/>
      <c r="AD116" s="125"/>
      <c r="AK116" s="125"/>
      <c r="AL116" s="125"/>
      <c r="AM116" s="125"/>
      <c r="AN116" s="125"/>
      <c r="AO116" s="125"/>
    </row>
    <row r="117" spans="2:41" s="126" customFormat="1" ht="15.75">
      <c r="B117" s="296">
        <v>77</v>
      </c>
      <c r="C117" s="294" t="s">
        <v>317</v>
      </c>
      <c r="D117" s="383" t="s">
        <v>423</v>
      </c>
      <c r="E117" s="297" t="s">
        <v>269</v>
      </c>
      <c r="F117" s="305" t="s">
        <v>216</v>
      </c>
      <c r="G117" s="218" t="s">
        <v>184</v>
      </c>
      <c r="H117" s="264" t="s">
        <v>282</v>
      </c>
      <c r="I117" s="307">
        <v>5</v>
      </c>
      <c r="J117" s="308" t="s">
        <v>254</v>
      </c>
      <c r="K117" s="314"/>
      <c r="L117" s="311"/>
      <c r="M117" s="311"/>
      <c r="N117" s="311"/>
      <c r="O117" s="349"/>
      <c r="P117" s="324">
        <v>168.75</v>
      </c>
      <c r="Q117" s="312"/>
      <c r="R117" s="219"/>
      <c r="S117" s="219"/>
      <c r="T117" s="315"/>
      <c r="U117" s="315" t="s">
        <v>262</v>
      </c>
      <c r="V117" s="219" t="s">
        <v>328</v>
      </c>
      <c r="X117" s="125"/>
      <c r="Y117" s="125"/>
      <c r="Z117" s="125"/>
      <c r="AA117" s="125"/>
      <c r="AB117" s="125"/>
      <c r="AC117" s="125"/>
      <c r="AD117" s="125"/>
      <c r="AK117" s="125"/>
      <c r="AL117" s="125"/>
      <c r="AM117" s="125"/>
      <c r="AN117" s="125"/>
      <c r="AO117" s="125"/>
    </row>
    <row r="118" spans="2:41" s="319" customFormat="1" ht="14.25">
      <c r="B118" s="408" t="s">
        <v>225</v>
      </c>
      <c r="C118" s="409"/>
      <c r="D118" s="409"/>
      <c r="E118" s="409"/>
      <c r="F118" s="409"/>
      <c r="G118" s="409"/>
      <c r="H118" s="409"/>
      <c r="I118" s="409"/>
      <c r="J118" s="410"/>
      <c r="K118" s="316" t="s">
        <v>185</v>
      </c>
      <c r="L118" s="317">
        <v>245</v>
      </c>
      <c r="M118" s="317">
        <v>124</v>
      </c>
      <c r="N118" s="317">
        <v>69</v>
      </c>
      <c r="O118" s="350">
        <v>2.0960000000000001</v>
      </c>
      <c r="P118" s="318">
        <v>675</v>
      </c>
      <c r="Q118" s="318">
        <v>835</v>
      </c>
      <c r="R118" s="295" t="s">
        <v>324</v>
      </c>
      <c r="S118" s="292" t="s">
        <v>281</v>
      </c>
      <c r="T118" s="290"/>
      <c r="U118" s="290"/>
      <c r="V118" s="289"/>
      <c r="X118" s="320"/>
      <c r="Y118" s="323">
        <f>P118/20</f>
        <v>33.75</v>
      </c>
      <c r="Z118" s="320"/>
      <c r="AA118" s="320"/>
      <c r="AB118" s="320"/>
      <c r="AC118" s="320"/>
      <c r="AD118" s="320"/>
      <c r="AK118" s="320"/>
      <c r="AL118" s="320"/>
      <c r="AM118" s="320"/>
      <c r="AN118" s="320"/>
      <c r="AO118" s="320"/>
    </row>
    <row r="119" spans="2:41" s="126" customFormat="1" ht="15.75">
      <c r="B119" s="296">
        <v>78</v>
      </c>
      <c r="C119" s="294" t="s">
        <v>318</v>
      </c>
      <c r="D119" s="383" t="s">
        <v>422</v>
      </c>
      <c r="E119" s="297" t="s">
        <v>336</v>
      </c>
      <c r="F119" s="305" t="s">
        <v>216</v>
      </c>
      <c r="G119" s="218" t="s">
        <v>184</v>
      </c>
      <c r="H119" s="264" t="s">
        <v>282</v>
      </c>
      <c r="I119" s="63">
        <v>5</v>
      </c>
      <c r="J119" s="63" t="s">
        <v>222</v>
      </c>
      <c r="K119" s="309"/>
      <c r="L119" s="128"/>
      <c r="M119" s="128"/>
      <c r="N119" s="128"/>
      <c r="O119" s="348"/>
      <c r="P119" s="324">
        <v>168.75</v>
      </c>
      <c r="Q119" s="309"/>
      <c r="R119" s="309"/>
      <c r="S119" s="309"/>
      <c r="T119" s="310"/>
      <c r="U119" s="331" t="s">
        <v>259</v>
      </c>
      <c r="V119" s="322" t="s">
        <v>328</v>
      </c>
      <c r="X119" s="125"/>
      <c r="Y119" s="125"/>
      <c r="Z119" s="125"/>
      <c r="AA119" s="125"/>
      <c r="AB119" s="125"/>
      <c r="AC119" s="125"/>
      <c r="AD119" s="125"/>
      <c r="AK119" s="125"/>
      <c r="AL119" s="125"/>
      <c r="AM119" s="125"/>
      <c r="AN119" s="125"/>
      <c r="AO119" s="125"/>
    </row>
    <row r="120" spans="2:41" s="126" customFormat="1" ht="15.75">
      <c r="B120" s="296">
        <v>79</v>
      </c>
      <c r="C120" s="294" t="s">
        <v>318</v>
      </c>
      <c r="D120" s="383" t="s">
        <v>422</v>
      </c>
      <c r="E120" s="297" t="s">
        <v>338</v>
      </c>
      <c r="F120" s="305" t="s">
        <v>216</v>
      </c>
      <c r="G120" s="218" t="s">
        <v>184</v>
      </c>
      <c r="H120" s="264" t="s">
        <v>282</v>
      </c>
      <c r="I120" s="63">
        <v>5</v>
      </c>
      <c r="J120" s="63" t="s">
        <v>254</v>
      </c>
      <c r="K120" s="309"/>
      <c r="L120" s="128"/>
      <c r="M120" s="128"/>
      <c r="N120" s="128"/>
      <c r="O120" s="348"/>
      <c r="P120" s="324">
        <v>168.75</v>
      </c>
      <c r="Q120" s="309"/>
      <c r="R120" s="309"/>
      <c r="S120" s="309"/>
      <c r="T120" s="310"/>
      <c r="U120" s="331" t="s">
        <v>260</v>
      </c>
      <c r="V120" s="322" t="s">
        <v>328</v>
      </c>
      <c r="X120" s="125"/>
      <c r="Y120" s="125"/>
      <c r="Z120" s="125"/>
      <c r="AA120" s="125"/>
      <c r="AB120" s="125"/>
      <c r="AC120" s="125"/>
      <c r="AD120" s="125"/>
      <c r="AK120" s="125"/>
      <c r="AL120" s="125"/>
      <c r="AM120" s="125"/>
      <c r="AN120" s="125"/>
      <c r="AO120" s="125"/>
    </row>
    <row r="121" spans="2:41" s="126" customFormat="1" ht="15.75">
      <c r="B121" s="296">
        <v>80</v>
      </c>
      <c r="C121" s="294" t="s">
        <v>318</v>
      </c>
      <c r="D121" s="383" t="s">
        <v>422</v>
      </c>
      <c r="E121" s="297" t="s">
        <v>340</v>
      </c>
      <c r="F121" s="305" t="s">
        <v>216</v>
      </c>
      <c r="G121" s="218" t="s">
        <v>184</v>
      </c>
      <c r="H121" s="264" t="s">
        <v>282</v>
      </c>
      <c r="I121" s="307">
        <v>5</v>
      </c>
      <c r="J121" s="308" t="s">
        <v>254</v>
      </c>
      <c r="K121" s="314"/>
      <c r="L121" s="311"/>
      <c r="M121" s="311"/>
      <c r="N121" s="311"/>
      <c r="O121" s="349"/>
      <c r="P121" s="324">
        <v>168.75</v>
      </c>
      <c r="Q121" s="312"/>
      <c r="R121" s="219"/>
      <c r="S121" s="219"/>
      <c r="T121" s="315"/>
      <c r="U121" s="315" t="s">
        <v>261</v>
      </c>
      <c r="V121" s="219" t="s">
        <v>328</v>
      </c>
      <c r="X121" s="125"/>
      <c r="Y121" s="125"/>
      <c r="Z121" s="125"/>
      <c r="AA121" s="125"/>
      <c r="AB121" s="125"/>
      <c r="AC121" s="125"/>
      <c r="AD121" s="125"/>
      <c r="AK121" s="125"/>
      <c r="AL121" s="125"/>
      <c r="AM121" s="125"/>
      <c r="AN121" s="125"/>
      <c r="AO121" s="125"/>
    </row>
    <row r="122" spans="2:41" s="126" customFormat="1" ht="15.75">
      <c r="B122" s="296">
        <v>81</v>
      </c>
      <c r="C122" s="294" t="s">
        <v>318</v>
      </c>
      <c r="D122" s="383" t="s">
        <v>422</v>
      </c>
      <c r="E122" s="297" t="s">
        <v>269</v>
      </c>
      <c r="F122" s="305" t="s">
        <v>216</v>
      </c>
      <c r="G122" s="218" t="s">
        <v>184</v>
      </c>
      <c r="H122" s="264" t="s">
        <v>282</v>
      </c>
      <c r="I122" s="307">
        <v>5</v>
      </c>
      <c r="J122" s="308" t="s">
        <v>254</v>
      </c>
      <c r="K122" s="314"/>
      <c r="L122" s="311"/>
      <c r="M122" s="311"/>
      <c r="N122" s="311"/>
      <c r="O122" s="349"/>
      <c r="P122" s="324">
        <v>168.75</v>
      </c>
      <c r="Q122" s="312"/>
      <c r="R122" s="219"/>
      <c r="S122" s="219"/>
      <c r="T122" s="315"/>
      <c r="U122" s="315" t="s">
        <v>262</v>
      </c>
      <c r="V122" s="219" t="s">
        <v>328</v>
      </c>
      <c r="X122" s="125"/>
      <c r="Y122" s="125"/>
      <c r="Z122" s="125"/>
      <c r="AA122" s="125"/>
      <c r="AB122" s="125"/>
      <c r="AC122" s="125"/>
      <c r="AD122" s="125"/>
      <c r="AK122" s="125"/>
      <c r="AL122" s="125"/>
      <c r="AM122" s="125"/>
      <c r="AN122" s="125"/>
      <c r="AO122" s="125"/>
    </row>
    <row r="123" spans="2:41" s="319" customFormat="1" ht="14.25">
      <c r="B123" s="408" t="s">
        <v>225</v>
      </c>
      <c r="C123" s="409"/>
      <c r="D123" s="409"/>
      <c r="E123" s="409"/>
      <c r="F123" s="409"/>
      <c r="G123" s="409"/>
      <c r="H123" s="409"/>
      <c r="I123" s="409"/>
      <c r="J123" s="410"/>
      <c r="K123" s="316" t="s">
        <v>185</v>
      </c>
      <c r="L123" s="317">
        <v>245</v>
      </c>
      <c r="M123" s="317">
        <v>124</v>
      </c>
      <c r="N123" s="317">
        <v>69</v>
      </c>
      <c r="O123" s="350">
        <v>2.0960000000000001</v>
      </c>
      <c r="P123" s="318">
        <v>675</v>
      </c>
      <c r="Q123" s="318">
        <v>835</v>
      </c>
      <c r="R123" s="295" t="s">
        <v>324</v>
      </c>
      <c r="S123" s="292" t="s">
        <v>281</v>
      </c>
      <c r="T123" s="290"/>
      <c r="U123" s="290"/>
      <c r="V123" s="289"/>
      <c r="X123" s="320"/>
      <c r="Y123" s="323">
        <f>P123/20</f>
        <v>33.75</v>
      </c>
      <c r="Z123" s="320"/>
      <c r="AA123" s="320"/>
      <c r="AB123" s="320"/>
      <c r="AC123" s="320"/>
      <c r="AD123" s="320"/>
      <c r="AK123" s="320"/>
      <c r="AL123" s="320"/>
      <c r="AM123" s="320"/>
      <c r="AN123" s="320"/>
      <c r="AO123" s="320"/>
    </row>
    <row r="124" spans="2:41" s="126" customFormat="1" ht="15.75">
      <c r="B124" s="296">
        <v>82</v>
      </c>
      <c r="C124" s="294" t="s">
        <v>319</v>
      </c>
      <c r="D124" s="383" t="s">
        <v>422</v>
      </c>
      <c r="E124" s="297" t="s">
        <v>336</v>
      </c>
      <c r="F124" s="305" t="s">
        <v>216</v>
      </c>
      <c r="G124" s="218" t="s">
        <v>184</v>
      </c>
      <c r="H124" s="264" t="s">
        <v>282</v>
      </c>
      <c r="I124" s="63">
        <v>2</v>
      </c>
      <c r="J124" s="63" t="s">
        <v>222</v>
      </c>
      <c r="K124" s="309"/>
      <c r="L124" s="128"/>
      <c r="M124" s="128"/>
      <c r="N124" s="128"/>
      <c r="O124" s="348"/>
      <c r="P124" s="324">
        <v>67.5</v>
      </c>
      <c r="Q124" s="309"/>
      <c r="R124" s="309"/>
      <c r="S124" s="309"/>
      <c r="T124" s="310"/>
      <c r="U124" s="331" t="s">
        <v>255</v>
      </c>
      <c r="V124" s="322" t="s">
        <v>328</v>
      </c>
      <c r="X124" s="125"/>
      <c r="Y124" s="125"/>
      <c r="Z124" s="125"/>
      <c r="AA124" s="125"/>
      <c r="AB124" s="125"/>
      <c r="AC124" s="125"/>
      <c r="AD124" s="125"/>
      <c r="AK124" s="125"/>
      <c r="AL124" s="125"/>
      <c r="AM124" s="125"/>
      <c r="AN124" s="125"/>
      <c r="AO124" s="125"/>
    </row>
    <row r="125" spans="2:41" s="126" customFormat="1" ht="15.75">
      <c r="B125" s="296">
        <v>83</v>
      </c>
      <c r="C125" s="294" t="s">
        <v>319</v>
      </c>
      <c r="D125" s="383" t="s">
        <v>422</v>
      </c>
      <c r="E125" s="297" t="s">
        <v>338</v>
      </c>
      <c r="F125" s="305" t="s">
        <v>216</v>
      </c>
      <c r="G125" s="218" t="s">
        <v>184</v>
      </c>
      <c r="H125" s="264" t="s">
        <v>282</v>
      </c>
      <c r="I125" s="63">
        <v>2</v>
      </c>
      <c r="J125" s="63" t="s">
        <v>254</v>
      </c>
      <c r="K125" s="309"/>
      <c r="L125" s="128"/>
      <c r="M125" s="128"/>
      <c r="N125" s="128"/>
      <c r="O125" s="348"/>
      <c r="P125" s="324">
        <v>67.5</v>
      </c>
      <c r="Q125" s="309"/>
      <c r="R125" s="309"/>
      <c r="S125" s="309"/>
      <c r="T125" s="310"/>
      <c r="U125" s="331" t="s">
        <v>256</v>
      </c>
      <c r="V125" s="322" t="s">
        <v>328</v>
      </c>
      <c r="X125" s="125"/>
      <c r="Y125" s="125"/>
      <c r="Z125" s="125"/>
      <c r="AA125" s="125"/>
      <c r="AB125" s="125"/>
      <c r="AC125" s="125"/>
      <c r="AD125" s="125"/>
      <c r="AK125" s="125"/>
      <c r="AL125" s="125"/>
      <c r="AM125" s="125"/>
      <c r="AN125" s="125"/>
      <c r="AO125" s="125"/>
    </row>
    <row r="126" spans="2:41" s="126" customFormat="1" ht="15.75">
      <c r="B126" s="296">
        <v>84</v>
      </c>
      <c r="C126" s="294" t="s">
        <v>319</v>
      </c>
      <c r="D126" s="383" t="s">
        <v>422</v>
      </c>
      <c r="E126" s="297" t="s">
        <v>340</v>
      </c>
      <c r="F126" s="305" t="s">
        <v>216</v>
      </c>
      <c r="G126" s="218" t="s">
        <v>184</v>
      </c>
      <c r="H126" s="264" t="s">
        <v>282</v>
      </c>
      <c r="I126" s="307">
        <v>2</v>
      </c>
      <c r="J126" s="308" t="s">
        <v>254</v>
      </c>
      <c r="K126" s="314"/>
      <c r="L126" s="311"/>
      <c r="M126" s="311"/>
      <c r="N126" s="311"/>
      <c r="O126" s="349"/>
      <c r="P126" s="324">
        <v>67.5</v>
      </c>
      <c r="Q126" s="312"/>
      <c r="R126" s="219"/>
      <c r="S126" s="219"/>
      <c r="T126" s="315"/>
      <c r="U126" s="315" t="s">
        <v>257</v>
      </c>
      <c r="V126" s="219" t="s">
        <v>328</v>
      </c>
      <c r="X126" s="125"/>
      <c r="Y126" s="125"/>
      <c r="Z126" s="125"/>
      <c r="AA126" s="125"/>
      <c r="AB126" s="125"/>
      <c r="AC126" s="125"/>
      <c r="AD126" s="125"/>
      <c r="AK126" s="125"/>
      <c r="AL126" s="125"/>
      <c r="AM126" s="125"/>
      <c r="AN126" s="125"/>
      <c r="AO126" s="125"/>
    </row>
    <row r="127" spans="2:41" s="126" customFormat="1" ht="15.75">
      <c r="B127" s="296">
        <v>85</v>
      </c>
      <c r="C127" s="294" t="s">
        <v>319</v>
      </c>
      <c r="D127" s="383" t="s">
        <v>422</v>
      </c>
      <c r="E127" s="297" t="s">
        <v>269</v>
      </c>
      <c r="F127" s="305" t="s">
        <v>216</v>
      </c>
      <c r="G127" s="218" t="s">
        <v>184</v>
      </c>
      <c r="H127" s="264" t="s">
        <v>282</v>
      </c>
      <c r="I127" s="307">
        <v>2</v>
      </c>
      <c r="J127" s="308" t="s">
        <v>254</v>
      </c>
      <c r="K127" s="314"/>
      <c r="L127" s="311"/>
      <c r="M127" s="311"/>
      <c r="N127" s="311"/>
      <c r="O127" s="349"/>
      <c r="P127" s="324">
        <v>67.5</v>
      </c>
      <c r="Q127" s="312"/>
      <c r="R127" s="219"/>
      <c r="S127" s="219"/>
      <c r="T127" s="315"/>
      <c r="U127" s="315" t="s">
        <v>258</v>
      </c>
      <c r="V127" s="219" t="s">
        <v>328</v>
      </c>
      <c r="X127" s="125"/>
      <c r="Y127" s="125"/>
      <c r="Z127" s="125"/>
      <c r="AA127" s="125"/>
      <c r="AB127" s="125"/>
      <c r="AC127" s="125"/>
      <c r="AD127" s="125"/>
      <c r="AK127" s="125"/>
      <c r="AL127" s="125"/>
      <c r="AM127" s="125"/>
      <c r="AN127" s="125"/>
      <c r="AO127" s="125"/>
    </row>
    <row r="128" spans="2:41" s="126" customFormat="1" ht="15.75">
      <c r="B128" s="296">
        <v>86</v>
      </c>
      <c r="C128" s="294" t="s">
        <v>319</v>
      </c>
      <c r="D128" s="383" t="s">
        <v>422</v>
      </c>
      <c r="E128" s="297" t="s">
        <v>336</v>
      </c>
      <c r="F128" s="305" t="s">
        <v>216</v>
      </c>
      <c r="G128" s="218" t="s">
        <v>184</v>
      </c>
      <c r="H128" s="264" t="s">
        <v>282</v>
      </c>
      <c r="I128" s="63">
        <v>3</v>
      </c>
      <c r="J128" s="63" t="s">
        <v>222</v>
      </c>
      <c r="K128" s="309"/>
      <c r="L128" s="128"/>
      <c r="M128" s="128"/>
      <c r="N128" s="128"/>
      <c r="O128" s="348"/>
      <c r="P128" s="324">
        <v>101.25</v>
      </c>
      <c r="Q128" s="309"/>
      <c r="R128" s="309"/>
      <c r="S128" s="309"/>
      <c r="T128" s="310"/>
      <c r="U128" s="331" t="s">
        <v>259</v>
      </c>
      <c r="V128" s="322" t="s">
        <v>328</v>
      </c>
      <c r="X128" s="125"/>
      <c r="Y128" s="125"/>
      <c r="Z128" s="125"/>
      <c r="AA128" s="125"/>
      <c r="AB128" s="125"/>
      <c r="AC128" s="125"/>
      <c r="AD128" s="125"/>
      <c r="AK128" s="125"/>
      <c r="AL128" s="125"/>
      <c r="AM128" s="125"/>
      <c r="AN128" s="125"/>
      <c r="AO128" s="125"/>
    </row>
    <row r="129" spans="2:41" s="126" customFormat="1" ht="15.75">
      <c r="B129" s="296">
        <v>87</v>
      </c>
      <c r="C129" s="294" t="s">
        <v>319</v>
      </c>
      <c r="D129" s="383" t="s">
        <v>422</v>
      </c>
      <c r="E129" s="297" t="s">
        <v>338</v>
      </c>
      <c r="F129" s="305" t="s">
        <v>216</v>
      </c>
      <c r="G129" s="218" t="s">
        <v>184</v>
      </c>
      <c r="H129" s="264" t="s">
        <v>282</v>
      </c>
      <c r="I129" s="63">
        <v>3</v>
      </c>
      <c r="J129" s="63" t="s">
        <v>254</v>
      </c>
      <c r="K129" s="309"/>
      <c r="L129" s="128"/>
      <c r="M129" s="128"/>
      <c r="N129" s="128"/>
      <c r="O129" s="348"/>
      <c r="P129" s="324">
        <v>101.25</v>
      </c>
      <c r="Q129" s="309"/>
      <c r="R129" s="309"/>
      <c r="S129" s="309"/>
      <c r="T129" s="310"/>
      <c r="U129" s="331" t="s">
        <v>260</v>
      </c>
      <c r="V129" s="322" t="s">
        <v>328</v>
      </c>
      <c r="X129" s="125"/>
      <c r="Y129" s="125"/>
      <c r="Z129" s="125"/>
      <c r="AA129" s="125"/>
      <c r="AB129" s="125"/>
      <c r="AC129" s="125"/>
      <c r="AD129" s="125"/>
      <c r="AK129" s="125"/>
      <c r="AL129" s="125"/>
      <c r="AM129" s="125"/>
      <c r="AN129" s="125"/>
      <c r="AO129" s="125"/>
    </row>
    <row r="130" spans="2:41" s="126" customFormat="1" ht="15.75">
      <c r="B130" s="296">
        <v>88</v>
      </c>
      <c r="C130" s="294" t="s">
        <v>319</v>
      </c>
      <c r="D130" s="383" t="s">
        <v>422</v>
      </c>
      <c r="E130" s="297" t="s">
        <v>340</v>
      </c>
      <c r="F130" s="305" t="s">
        <v>216</v>
      </c>
      <c r="G130" s="218" t="s">
        <v>184</v>
      </c>
      <c r="H130" s="264" t="s">
        <v>282</v>
      </c>
      <c r="I130" s="307">
        <v>3</v>
      </c>
      <c r="J130" s="308" t="s">
        <v>254</v>
      </c>
      <c r="K130" s="314"/>
      <c r="L130" s="311"/>
      <c r="M130" s="311"/>
      <c r="N130" s="311"/>
      <c r="O130" s="349"/>
      <c r="P130" s="324">
        <v>101.25</v>
      </c>
      <c r="Q130" s="312"/>
      <c r="R130" s="219"/>
      <c r="S130" s="219"/>
      <c r="T130" s="315"/>
      <c r="U130" s="315" t="s">
        <v>261</v>
      </c>
      <c r="V130" s="219" t="s">
        <v>328</v>
      </c>
      <c r="X130" s="125"/>
      <c r="Y130" s="125"/>
      <c r="Z130" s="125"/>
      <c r="AA130" s="125"/>
      <c r="AB130" s="125"/>
      <c r="AC130" s="125"/>
      <c r="AD130" s="125"/>
      <c r="AK130" s="125"/>
      <c r="AL130" s="125"/>
      <c r="AM130" s="125"/>
      <c r="AN130" s="125"/>
      <c r="AO130" s="125"/>
    </row>
    <row r="131" spans="2:41" s="126" customFormat="1" ht="15.75">
      <c r="B131" s="296">
        <v>89</v>
      </c>
      <c r="C131" s="294" t="s">
        <v>319</v>
      </c>
      <c r="D131" s="383" t="s">
        <v>422</v>
      </c>
      <c r="E131" s="297" t="s">
        <v>269</v>
      </c>
      <c r="F131" s="305" t="s">
        <v>216</v>
      </c>
      <c r="G131" s="218" t="s">
        <v>184</v>
      </c>
      <c r="H131" s="264" t="s">
        <v>282</v>
      </c>
      <c r="I131" s="307">
        <v>3</v>
      </c>
      <c r="J131" s="308" t="s">
        <v>254</v>
      </c>
      <c r="K131" s="314"/>
      <c r="L131" s="311"/>
      <c r="M131" s="311"/>
      <c r="N131" s="311"/>
      <c r="O131" s="349"/>
      <c r="P131" s="324">
        <v>101.25</v>
      </c>
      <c r="Q131" s="312"/>
      <c r="R131" s="219"/>
      <c r="S131" s="219"/>
      <c r="T131" s="315"/>
      <c r="U131" s="315" t="s">
        <v>262</v>
      </c>
      <c r="V131" s="219" t="s">
        <v>328</v>
      </c>
      <c r="X131" s="125"/>
      <c r="Y131" s="125"/>
      <c r="Z131" s="125"/>
      <c r="AA131" s="125"/>
      <c r="AB131" s="125"/>
      <c r="AC131" s="125"/>
      <c r="AD131" s="125"/>
      <c r="AK131" s="125"/>
      <c r="AL131" s="125"/>
      <c r="AM131" s="125"/>
      <c r="AN131" s="125"/>
      <c r="AO131" s="125"/>
    </row>
    <row r="132" spans="2:41" s="319" customFormat="1" ht="14.25">
      <c r="B132" s="408" t="s">
        <v>225</v>
      </c>
      <c r="C132" s="409"/>
      <c r="D132" s="409"/>
      <c r="E132" s="409"/>
      <c r="F132" s="409"/>
      <c r="G132" s="409"/>
      <c r="H132" s="409"/>
      <c r="I132" s="409"/>
      <c r="J132" s="410"/>
      <c r="K132" s="316" t="s">
        <v>185</v>
      </c>
      <c r="L132" s="317">
        <v>245</v>
      </c>
      <c r="M132" s="317">
        <v>124</v>
      </c>
      <c r="N132" s="317">
        <v>69</v>
      </c>
      <c r="O132" s="350">
        <v>2.0960000000000001</v>
      </c>
      <c r="P132" s="318">
        <v>675</v>
      </c>
      <c r="Q132" s="318">
        <v>835</v>
      </c>
      <c r="R132" s="295" t="s">
        <v>324</v>
      </c>
      <c r="S132" s="292" t="s">
        <v>281</v>
      </c>
      <c r="T132" s="290"/>
      <c r="U132" s="290"/>
      <c r="V132" s="289"/>
      <c r="X132" s="320"/>
      <c r="Y132" s="323">
        <f>P132/20</f>
        <v>33.75</v>
      </c>
      <c r="Z132" s="320"/>
      <c r="AA132" s="320"/>
      <c r="AB132" s="320"/>
      <c r="AC132" s="320"/>
      <c r="AD132" s="320"/>
      <c r="AK132" s="320"/>
      <c r="AL132" s="320"/>
      <c r="AM132" s="320"/>
      <c r="AN132" s="320"/>
      <c r="AO132" s="320"/>
    </row>
    <row r="133" spans="2:41" s="126" customFormat="1" ht="15.75">
      <c r="B133" s="296">
        <v>90</v>
      </c>
      <c r="C133" s="294" t="s">
        <v>320</v>
      </c>
      <c r="D133" s="383" t="s">
        <v>423</v>
      </c>
      <c r="E133" s="297" t="s">
        <v>343</v>
      </c>
      <c r="F133" s="305" t="s">
        <v>216</v>
      </c>
      <c r="G133" s="218" t="s">
        <v>184</v>
      </c>
      <c r="H133" s="264" t="s">
        <v>282</v>
      </c>
      <c r="I133" s="63">
        <v>24</v>
      </c>
      <c r="J133" s="63" t="s">
        <v>222</v>
      </c>
      <c r="K133" s="309"/>
      <c r="L133" s="128"/>
      <c r="M133" s="128"/>
      <c r="N133" s="128"/>
      <c r="O133" s="348"/>
      <c r="P133" s="324">
        <v>105.5</v>
      </c>
      <c r="Q133" s="309"/>
      <c r="R133" s="309"/>
      <c r="S133" s="309"/>
      <c r="T133" s="310"/>
      <c r="U133" s="331" t="s">
        <v>263</v>
      </c>
      <c r="V133" s="322" t="s">
        <v>328</v>
      </c>
      <c r="X133" s="125"/>
      <c r="Y133" s="125"/>
      <c r="Z133" s="125"/>
      <c r="AA133" s="125"/>
      <c r="AB133" s="125"/>
      <c r="AC133" s="125"/>
      <c r="AD133" s="125"/>
      <c r="AK133" s="125"/>
      <c r="AL133" s="125"/>
      <c r="AM133" s="125"/>
      <c r="AN133" s="125"/>
      <c r="AO133" s="125"/>
    </row>
    <row r="134" spans="2:41" s="126" customFormat="1" ht="15.75">
      <c r="B134" s="296">
        <v>91</v>
      </c>
      <c r="C134" s="294" t="s">
        <v>320</v>
      </c>
      <c r="D134" s="383" t="s">
        <v>423</v>
      </c>
      <c r="E134" s="297" t="s">
        <v>345</v>
      </c>
      <c r="F134" s="305" t="s">
        <v>216</v>
      </c>
      <c r="G134" s="218" t="s">
        <v>184</v>
      </c>
      <c r="H134" s="264" t="s">
        <v>282</v>
      </c>
      <c r="I134" s="63">
        <v>24</v>
      </c>
      <c r="J134" s="63" t="s">
        <v>254</v>
      </c>
      <c r="K134" s="309"/>
      <c r="L134" s="128"/>
      <c r="M134" s="128"/>
      <c r="N134" s="128"/>
      <c r="O134" s="348"/>
      <c r="P134" s="324">
        <v>105.5</v>
      </c>
      <c r="Q134" s="309"/>
      <c r="R134" s="309"/>
      <c r="S134" s="309"/>
      <c r="T134" s="310"/>
      <c r="U134" s="331" t="s">
        <v>264</v>
      </c>
      <c r="V134" s="322" t="s">
        <v>328</v>
      </c>
      <c r="X134" s="125"/>
      <c r="Y134" s="125"/>
      <c r="Z134" s="125"/>
      <c r="AA134" s="125"/>
      <c r="AB134" s="125"/>
      <c r="AC134" s="125"/>
      <c r="AD134" s="125"/>
      <c r="AK134" s="125"/>
      <c r="AL134" s="125"/>
      <c r="AM134" s="125"/>
      <c r="AN134" s="125"/>
      <c r="AO134" s="125"/>
    </row>
    <row r="135" spans="2:41" s="126" customFormat="1" ht="15.75">
      <c r="B135" s="296">
        <v>92</v>
      </c>
      <c r="C135" s="294" t="s">
        <v>320</v>
      </c>
      <c r="D135" s="383" t="s">
        <v>423</v>
      </c>
      <c r="E135" s="297" t="s">
        <v>268</v>
      </c>
      <c r="F135" s="305" t="s">
        <v>216</v>
      </c>
      <c r="G135" s="218" t="s">
        <v>184</v>
      </c>
      <c r="H135" s="264" t="s">
        <v>282</v>
      </c>
      <c r="I135" s="307">
        <v>24</v>
      </c>
      <c r="J135" s="308" t="s">
        <v>254</v>
      </c>
      <c r="K135" s="314"/>
      <c r="L135" s="311"/>
      <c r="M135" s="311"/>
      <c r="N135" s="311"/>
      <c r="O135" s="349"/>
      <c r="P135" s="324">
        <v>105.5</v>
      </c>
      <c r="Q135" s="312"/>
      <c r="R135" s="219"/>
      <c r="S135" s="219"/>
      <c r="T135" s="315"/>
      <c r="U135" s="315" t="s">
        <v>265</v>
      </c>
      <c r="V135" s="219" t="s">
        <v>328</v>
      </c>
      <c r="X135" s="125"/>
      <c r="Y135" s="125"/>
      <c r="Z135" s="125"/>
      <c r="AA135" s="125"/>
      <c r="AB135" s="125"/>
      <c r="AC135" s="125"/>
      <c r="AD135" s="125"/>
      <c r="AK135" s="125"/>
      <c r="AL135" s="125"/>
      <c r="AM135" s="125"/>
      <c r="AN135" s="125"/>
      <c r="AO135" s="125"/>
    </row>
    <row r="136" spans="2:41" s="126" customFormat="1" ht="15.75">
      <c r="B136" s="296">
        <v>93</v>
      </c>
      <c r="C136" s="294" t="s">
        <v>320</v>
      </c>
      <c r="D136" s="383" t="s">
        <v>423</v>
      </c>
      <c r="E136" s="297" t="s">
        <v>348</v>
      </c>
      <c r="F136" s="305" t="s">
        <v>216</v>
      </c>
      <c r="G136" s="218" t="s">
        <v>184</v>
      </c>
      <c r="H136" s="264" t="s">
        <v>282</v>
      </c>
      <c r="I136" s="307">
        <v>24</v>
      </c>
      <c r="J136" s="308" t="s">
        <v>254</v>
      </c>
      <c r="K136" s="314"/>
      <c r="L136" s="311"/>
      <c r="M136" s="311"/>
      <c r="N136" s="311"/>
      <c r="O136" s="349"/>
      <c r="P136" s="324">
        <v>105.5</v>
      </c>
      <c r="Q136" s="312"/>
      <c r="R136" s="219"/>
      <c r="S136" s="219"/>
      <c r="T136" s="315"/>
      <c r="U136" s="315" t="s">
        <v>266</v>
      </c>
      <c r="V136" s="219" t="s">
        <v>328</v>
      </c>
      <c r="X136" s="125"/>
      <c r="Y136" s="125"/>
      <c r="Z136" s="125"/>
      <c r="AA136" s="125"/>
      <c r="AB136" s="125"/>
      <c r="AC136" s="125"/>
      <c r="AD136" s="125"/>
      <c r="AK136" s="125"/>
      <c r="AL136" s="125"/>
      <c r="AM136" s="125"/>
      <c r="AN136" s="125"/>
      <c r="AO136" s="125"/>
    </row>
    <row r="137" spans="2:41" s="319" customFormat="1" ht="14.25">
      <c r="B137" s="408" t="s">
        <v>225</v>
      </c>
      <c r="C137" s="409"/>
      <c r="D137" s="409"/>
      <c r="E137" s="409"/>
      <c r="F137" s="409"/>
      <c r="G137" s="409"/>
      <c r="H137" s="409"/>
      <c r="I137" s="409"/>
      <c r="J137" s="410"/>
      <c r="K137" s="316" t="s">
        <v>185</v>
      </c>
      <c r="L137" s="317">
        <v>140</v>
      </c>
      <c r="M137" s="317">
        <v>140</v>
      </c>
      <c r="N137" s="317">
        <v>113</v>
      </c>
      <c r="O137" s="350">
        <v>2.2149999999999999</v>
      </c>
      <c r="P137" s="318">
        <v>422</v>
      </c>
      <c r="Q137" s="318">
        <v>550</v>
      </c>
      <c r="R137" s="295" t="s">
        <v>324</v>
      </c>
      <c r="S137" s="292" t="s">
        <v>281</v>
      </c>
      <c r="T137" s="290"/>
      <c r="U137" s="290"/>
      <c r="V137" s="289"/>
      <c r="X137" s="320"/>
      <c r="Y137" s="323">
        <f>P137/96</f>
        <v>4.395833333333333</v>
      </c>
      <c r="Z137" s="320"/>
      <c r="AA137" s="320"/>
      <c r="AB137" s="320"/>
      <c r="AC137" s="320"/>
      <c r="AD137" s="320"/>
      <c r="AK137" s="320"/>
      <c r="AL137" s="320"/>
      <c r="AM137" s="320"/>
      <c r="AN137" s="320"/>
      <c r="AO137" s="320"/>
    </row>
    <row r="138" spans="2:41" s="126" customFormat="1" ht="15.75">
      <c r="B138" s="296">
        <v>94</v>
      </c>
      <c r="C138" s="294" t="s">
        <v>321</v>
      </c>
      <c r="D138" s="383" t="s">
        <v>422</v>
      </c>
      <c r="E138" s="297" t="s">
        <v>175</v>
      </c>
      <c r="F138" s="305" t="s">
        <v>216</v>
      </c>
      <c r="G138" s="218" t="s">
        <v>184</v>
      </c>
      <c r="H138" s="264" t="s">
        <v>282</v>
      </c>
      <c r="I138" s="63">
        <v>40</v>
      </c>
      <c r="J138" s="63" t="s">
        <v>222</v>
      </c>
      <c r="K138" s="309"/>
      <c r="L138" s="128"/>
      <c r="M138" s="128"/>
      <c r="N138" s="128"/>
      <c r="O138" s="348"/>
      <c r="P138" s="324">
        <v>132.75</v>
      </c>
      <c r="Q138" s="309"/>
      <c r="R138" s="309"/>
      <c r="S138" s="309"/>
      <c r="T138" s="310"/>
      <c r="U138" s="331" t="s">
        <v>270</v>
      </c>
      <c r="V138" s="322" t="s">
        <v>328</v>
      </c>
      <c r="X138" s="125"/>
      <c r="Y138" s="125"/>
      <c r="Z138" s="125"/>
      <c r="AA138" s="125"/>
      <c r="AB138" s="125"/>
      <c r="AC138" s="125"/>
      <c r="AD138" s="125"/>
      <c r="AK138" s="125"/>
      <c r="AL138" s="125"/>
      <c r="AM138" s="125"/>
      <c r="AN138" s="125"/>
      <c r="AO138" s="125"/>
    </row>
    <row r="139" spans="2:41" s="126" customFormat="1" ht="15.75">
      <c r="B139" s="296">
        <v>95</v>
      </c>
      <c r="C139" s="294" t="s">
        <v>321</v>
      </c>
      <c r="D139" s="383" t="s">
        <v>422</v>
      </c>
      <c r="E139" s="297" t="s">
        <v>267</v>
      </c>
      <c r="F139" s="305" t="s">
        <v>216</v>
      </c>
      <c r="G139" s="218" t="s">
        <v>184</v>
      </c>
      <c r="H139" s="264" t="s">
        <v>282</v>
      </c>
      <c r="I139" s="63">
        <v>40</v>
      </c>
      <c r="J139" s="63" t="s">
        <v>254</v>
      </c>
      <c r="K139" s="309"/>
      <c r="L139" s="128"/>
      <c r="M139" s="128"/>
      <c r="N139" s="128"/>
      <c r="O139" s="348"/>
      <c r="P139" s="324">
        <v>132.75</v>
      </c>
      <c r="Q139" s="309"/>
      <c r="R139" s="309"/>
      <c r="S139" s="309"/>
      <c r="T139" s="310"/>
      <c r="U139" s="331" t="s">
        <v>271</v>
      </c>
      <c r="V139" s="322" t="s">
        <v>328</v>
      </c>
      <c r="X139" s="125"/>
      <c r="Y139" s="125"/>
      <c r="Z139" s="125"/>
      <c r="AA139" s="125"/>
      <c r="AB139" s="125"/>
      <c r="AC139" s="125"/>
      <c r="AD139" s="125"/>
      <c r="AK139" s="125"/>
      <c r="AL139" s="125"/>
      <c r="AM139" s="125"/>
      <c r="AN139" s="125"/>
      <c r="AO139" s="125"/>
    </row>
    <row r="140" spans="2:41" s="126" customFormat="1" ht="15.75">
      <c r="B140" s="296">
        <v>96</v>
      </c>
      <c r="C140" s="294" t="s">
        <v>321</v>
      </c>
      <c r="D140" s="383" t="s">
        <v>422</v>
      </c>
      <c r="E140" s="297" t="s">
        <v>268</v>
      </c>
      <c r="F140" s="305" t="s">
        <v>216</v>
      </c>
      <c r="G140" s="218" t="s">
        <v>184</v>
      </c>
      <c r="H140" s="264" t="s">
        <v>282</v>
      </c>
      <c r="I140" s="307">
        <v>40</v>
      </c>
      <c r="J140" s="308" t="s">
        <v>254</v>
      </c>
      <c r="K140" s="314"/>
      <c r="L140" s="311"/>
      <c r="M140" s="311"/>
      <c r="N140" s="311"/>
      <c r="O140" s="349"/>
      <c r="P140" s="324">
        <v>132.75</v>
      </c>
      <c r="Q140" s="312"/>
      <c r="R140" s="219"/>
      <c r="S140" s="219"/>
      <c r="T140" s="315"/>
      <c r="U140" s="315" t="s">
        <v>272</v>
      </c>
      <c r="V140" s="219" t="s">
        <v>328</v>
      </c>
      <c r="X140" s="125"/>
      <c r="Y140" s="125"/>
      <c r="Z140" s="125"/>
      <c r="AA140" s="125"/>
      <c r="AB140" s="125"/>
      <c r="AC140" s="125"/>
      <c r="AD140" s="125"/>
      <c r="AK140" s="125"/>
      <c r="AL140" s="125"/>
      <c r="AM140" s="125"/>
      <c r="AN140" s="125"/>
      <c r="AO140" s="125"/>
    </row>
    <row r="141" spans="2:41" s="126" customFormat="1" ht="15.75">
      <c r="B141" s="296">
        <v>97</v>
      </c>
      <c r="C141" s="294" t="s">
        <v>321</v>
      </c>
      <c r="D141" s="383" t="s">
        <v>422</v>
      </c>
      <c r="E141" s="297" t="s">
        <v>269</v>
      </c>
      <c r="F141" s="305" t="s">
        <v>216</v>
      </c>
      <c r="G141" s="218" t="s">
        <v>184</v>
      </c>
      <c r="H141" s="264" t="s">
        <v>282</v>
      </c>
      <c r="I141" s="307">
        <v>40</v>
      </c>
      <c r="J141" s="308" t="s">
        <v>254</v>
      </c>
      <c r="K141" s="314"/>
      <c r="L141" s="311"/>
      <c r="M141" s="311"/>
      <c r="N141" s="311"/>
      <c r="O141" s="349"/>
      <c r="P141" s="324">
        <v>132.75</v>
      </c>
      <c r="Q141" s="312"/>
      <c r="R141" s="219"/>
      <c r="S141" s="219"/>
      <c r="T141" s="315"/>
      <c r="U141" s="315" t="s">
        <v>273</v>
      </c>
      <c r="V141" s="219" t="s">
        <v>328</v>
      </c>
      <c r="X141" s="125"/>
      <c r="Y141" s="125"/>
      <c r="Z141" s="125"/>
      <c r="AA141" s="125"/>
      <c r="AB141" s="125"/>
      <c r="AC141" s="125"/>
      <c r="AD141" s="125"/>
      <c r="AK141" s="125"/>
      <c r="AL141" s="125"/>
      <c r="AM141" s="125"/>
      <c r="AN141" s="125"/>
      <c r="AO141" s="125"/>
    </row>
    <row r="142" spans="2:41" s="319" customFormat="1" ht="14.25">
      <c r="B142" s="408" t="s">
        <v>225</v>
      </c>
      <c r="C142" s="409"/>
      <c r="D142" s="409"/>
      <c r="E142" s="409"/>
      <c r="F142" s="409"/>
      <c r="G142" s="409"/>
      <c r="H142" s="409"/>
      <c r="I142" s="409"/>
      <c r="J142" s="410"/>
      <c r="K142" s="316" t="s">
        <v>185</v>
      </c>
      <c r="L142" s="317">
        <v>140</v>
      </c>
      <c r="M142" s="317">
        <v>140</v>
      </c>
      <c r="N142" s="317">
        <v>113</v>
      </c>
      <c r="O142" s="350">
        <v>2.2149999999999999</v>
      </c>
      <c r="P142" s="318">
        <v>531</v>
      </c>
      <c r="Q142" s="318">
        <v>660</v>
      </c>
      <c r="R142" s="295" t="s">
        <v>324</v>
      </c>
      <c r="S142" s="292" t="s">
        <v>281</v>
      </c>
      <c r="T142" s="290"/>
      <c r="U142" s="290"/>
      <c r="V142" s="289"/>
      <c r="X142" s="320"/>
      <c r="Y142" s="323">
        <f>P142/160</f>
        <v>3.3187500000000001</v>
      </c>
      <c r="Z142" s="320"/>
      <c r="AA142" s="320"/>
      <c r="AB142" s="320"/>
      <c r="AC142" s="320"/>
      <c r="AD142" s="320"/>
      <c r="AK142" s="320"/>
      <c r="AL142" s="320"/>
      <c r="AM142" s="320"/>
      <c r="AN142" s="320"/>
      <c r="AO142" s="320"/>
    </row>
    <row r="143" spans="2:41" s="126" customFormat="1" ht="15.75">
      <c r="B143" s="296">
        <v>98</v>
      </c>
      <c r="C143" s="294" t="s">
        <v>322</v>
      </c>
      <c r="D143" s="383" t="s">
        <v>422</v>
      </c>
      <c r="E143" s="297" t="s">
        <v>350</v>
      </c>
      <c r="F143" s="305" t="s">
        <v>216</v>
      </c>
      <c r="G143" s="218" t="s">
        <v>184</v>
      </c>
      <c r="H143" s="264" t="s">
        <v>282</v>
      </c>
      <c r="I143" s="307">
        <v>11</v>
      </c>
      <c r="J143" s="308" t="s">
        <v>222</v>
      </c>
      <c r="K143" s="314"/>
      <c r="L143" s="311"/>
      <c r="M143" s="311"/>
      <c r="N143" s="311"/>
      <c r="O143" s="349"/>
      <c r="P143" s="324">
        <v>38.966101694915253</v>
      </c>
      <c r="Q143" s="312"/>
      <c r="R143" s="219"/>
      <c r="S143" s="219"/>
      <c r="T143" s="315"/>
      <c r="U143" s="315" t="s">
        <v>275</v>
      </c>
      <c r="V143" s="219" t="s">
        <v>328</v>
      </c>
      <c r="X143" s="125"/>
      <c r="Y143" s="125"/>
      <c r="Z143" s="125"/>
      <c r="AA143" s="125"/>
      <c r="AB143" s="125"/>
      <c r="AC143" s="125"/>
      <c r="AD143" s="125"/>
      <c r="AK143" s="125"/>
      <c r="AL143" s="125"/>
      <c r="AM143" s="125"/>
      <c r="AN143" s="125"/>
      <c r="AO143" s="125"/>
    </row>
    <row r="144" spans="2:41" s="126" customFormat="1" ht="15.75">
      <c r="B144" s="296">
        <v>99</v>
      </c>
      <c r="C144" s="294" t="s">
        <v>322</v>
      </c>
      <c r="D144" s="383" t="s">
        <v>422</v>
      </c>
      <c r="E144" s="297" t="s">
        <v>352</v>
      </c>
      <c r="F144" s="305" t="s">
        <v>216</v>
      </c>
      <c r="G144" s="218" t="s">
        <v>184</v>
      </c>
      <c r="H144" s="264" t="s">
        <v>282</v>
      </c>
      <c r="I144" s="63">
        <v>22</v>
      </c>
      <c r="J144" s="63" t="s">
        <v>254</v>
      </c>
      <c r="K144" s="309"/>
      <c r="L144" s="128"/>
      <c r="M144" s="128"/>
      <c r="N144" s="128"/>
      <c r="O144" s="348"/>
      <c r="P144" s="324">
        <v>77.932203389830505</v>
      </c>
      <c r="Q144" s="309"/>
      <c r="R144" s="309"/>
      <c r="S144" s="309"/>
      <c r="T144" s="310"/>
      <c r="U144" s="331" t="s">
        <v>276</v>
      </c>
      <c r="V144" s="322" t="s">
        <v>328</v>
      </c>
      <c r="X144" s="125"/>
      <c r="Y144" s="125"/>
      <c r="Z144" s="125"/>
      <c r="AA144" s="125"/>
      <c r="AB144" s="125"/>
      <c r="AC144" s="125"/>
      <c r="AD144" s="125"/>
      <c r="AK144" s="125"/>
      <c r="AL144" s="125"/>
      <c r="AM144" s="125"/>
      <c r="AN144" s="125"/>
      <c r="AO144" s="125"/>
    </row>
    <row r="145" spans="2:41" s="126" customFormat="1" ht="15.75">
      <c r="B145" s="296">
        <v>100</v>
      </c>
      <c r="C145" s="294" t="s">
        <v>322</v>
      </c>
      <c r="D145" s="383" t="s">
        <v>422</v>
      </c>
      <c r="E145" s="297" t="s">
        <v>274</v>
      </c>
      <c r="F145" s="305" t="s">
        <v>216</v>
      </c>
      <c r="G145" s="218" t="s">
        <v>184</v>
      </c>
      <c r="H145" s="264" t="s">
        <v>282</v>
      </c>
      <c r="I145" s="63">
        <v>11</v>
      </c>
      <c r="J145" s="63" t="s">
        <v>254</v>
      </c>
      <c r="K145" s="309"/>
      <c r="L145" s="128"/>
      <c r="M145" s="128"/>
      <c r="N145" s="128"/>
      <c r="O145" s="348"/>
      <c r="P145" s="324">
        <v>38.966101694915253</v>
      </c>
      <c r="Q145" s="309"/>
      <c r="R145" s="309"/>
      <c r="S145" s="309"/>
      <c r="T145" s="310"/>
      <c r="U145" s="331" t="s">
        <v>277</v>
      </c>
      <c r="V145" s="322" t="s">
        <v>328</v>
      </c>
      <c r="X145" s="125"/>
      <c r="Y145" s="125"/>
      <c r="Z145" s="125"/>
      <c r="AA145" s="125"/>
      <c r="AB145" s="125"/>
      <c r="AC145" s="125"/>
      <c r="AD145" s="125"/>
      <c r="AK145" s="125"/>
      <c r="AL145" s="125"/>
      <c r="AM145" s="125"/>
      <c r="AN145" s="125"/>
      <c r="AO145" s="125"/>
    </row>
    <row r="146" spans="2:41" s="126" customFormat="1" ht="15.75">
      <c r="B146" s="296">
        <v>101</v>
      </c>
      <c r="C146" s="294" t="s">
        <v>322</v>
      </c>
      <c r="D146" s="383" t="s">
        <v>422</v>
      </c>
      <c r="E146" s="297" t="s">
        <v>269</v>
      </c>
      <c r="F146" s="305" t="s">
        <v>216</v>
      </c>
      <c r="G146" s="218" t="s">
        <v>184</v>
      </c>
      <c r="H146" s="264" t="s">
        <v>282</v>
      </c>
      <c r="I146" s="307">
        <v>11</v>
      </c>
      <c r="J146" s="308" t="s">
        <v>254</v>
      </c>
      <c r="K146" s="314"/>
      <c r="L146" s="311"/>
      <c r="M146" s="311"/>
      <c r="N146" s="311"/>
      <c r="O146" s="349"/>
      <c r="P146" s="324">
        <v>38.966101694915253</v>
      </c>
      <c r="Q146" s="312"/>
      <c r="R146" s="219"/>
      <c r="S146" s="219"/>
      <c r="T146" s="315"/>
      <c r="U146" s="315" t="s">
        <v>278</v>
      </c>
      <c r="V146" s="219" t="s">
        <v>328</v>
      </c>
      <c r="X146" s="125"/>
      <c r="Y146" s="125"/>
      <c r="Z146" s="125"/>
      <c r="AA146" s="125"/>
      <c r="AB146" s="125"/>
      <c r="AC146" s="125"/>
      <c r="AD146" s="125"/>
      <c r="AK146" s="125"/>
      <c r="AL146" s="125"/>
      <c r="AM146" s="125"/>
      <c r="AN146" s="125"/>
      <c r="AO146" s="125"/>
    </row>
    <row r="147" spans="2:41" s="126" customFormat="1" ht="15.75">
      <c r="B147" s="296">
        <v>102</v>
      </c>
      <c r="C147" s="294" t="s">
        <v>322</v>
      </c>
      <c r="D147" s="383" t="s">
        <v>422</v>
      </c>
      <c r="E147" s="297" t="s">
        <v>177</v>
      </c>
      <c r="F147" s="305" t="s">
        <v>216</v>
      </c>
      <c r="G147" s="218" t="s">
        <v>184</v>
      </c>
      <c r="H147" s="264" t="s">
        <v>282</v>
      </c>
      <c r="I147" s="307">
        <v>4</v>
      </c>
      <c r="J147" s="308" t="s">
        <v>222</v>
      </c>
      <c r="K147" s="314"/>
      <c r="L147" s="311"/>
      <c r="M147" s="311"/>
      <c r="N147" s="311"/>
      <c r="O147" s="349"/>
      <c r="P147" s="324">
        <v>14.169491525423728</v>
      </c>
      <c r="Q147" s="312"/>
      <c r="R147" s="219"/>
      <c r="S147" s="219"/>
      <c r="T147" s="315"/>
      <c r="U147" s="315" t="s">
        <v>279</v>
      </c>
      <c r="V147" s="219" t="s">
        <v>328</v>
      </c>
      <c r="X147" s="125"/>
      <c r="Y147" s="125"/>
      <c r="Z147" s="125"/>
      <c r="AA147" s="125"/>
      <c r="AB147" s="125"/>
      <c r="AC147" s="125"/>
      <c r="AD147" s="125"/>
      <c r="AK147" s="125"/>
      <c r="AL147" s="125"/>
      <c r="AM147" s="125"/>
      <c r="AN147" s="125"/>
      <c r="AO147" s="125"/>
    </row>
    <row r="148" spans="2:41" s="319" customFormat="1" ht="14.25">
      <c r="B148" s="408" t="s">
        <v>225</v>
      </c>
      <c r="C148" s="409"/>
      <c r="D148" s="409"/>
      <c r="E148" s="409"/>
      <c r="F148" s="409"/>
      <c r="G148" s="409"/>
      <c r="H148" s="409"/>
      <c r="I148" s="409"/>
      <c r="J148" s="410"/>
      <c r="K148" s="316" t="s">
        <v>185</v>
      </c>
      <c r="L148" s="317">
        <v>140</v>
      </c>
      <c r="M148" s="317">
        <v>140</v>
      </c>
      <c r="N148" s="317">
        <v>113</v>
      </c>
      <c r="O148" s="350">
        <v>2.2149999999999999</v>
      </c>
      <c r="P148" s="318">
        <v>209</v>
      </c>
      <c r="Q148" s="318">
        <v>340</v>
      </c>
      <c r="R148" s="295" t="s">
        <v>324</v>
      </c>
      <c r="S148" s="292" t="s">
        <v>281</v>
      </c>
      <c r="T148" s="290"/>
      <c r="U148" s="290"/>
      <c r="V148" s="289"/>
      <c r="X148" s="320"/>
      <c r="Y148" s="323">
        <f>P148/59</f>
        <v>3.5423728813559321</v>
      </c>
      <c r="Z148" s="320"/>
      <c r="AA148" s="320"/>
      <c r="AB148" s="320"/>
      <c r="AC148" s="320"/>
      <c r="AD148" s="320"/>
      <c r="AK148" s="320"/>
      <c r="AL148" s="320"/>
      <c r="AM148" s="320"/>
      <c r="AN148" s="320"/>
      <c r="AO148" s="320"/>
    </row>
    <row r="149" spans="2:41" s="126" customFormat="1" ht="15.75">
      <c r="B149" s="293">
        <v>103</v>
      </c>
      <c r="C149" s="294" t="s">
        <v>323</v>
      </c>
      <c r="D149" s="383" t="s">
        <v>422</v>
      </c>
      <c r="E149" s="297" t="s">
        <v>177</v>
      </c>
      <c r="F149" s="305" t="s">
        <v>216</v>
      </c>
      <c r="G149" s="218" t="s">
        <v>184</v>
      </c>
      <c r="H149" s="264" t="s">
        <v>282</v>
      </c>
      <c r="I149" s="307">
        <v>2</v>
      </c>
      <c r="J149" s="308" t="s">
        <v>222</v>
      </c>
      <c r="K149" s="314"/>
      <c r="L149" s="311"/>
      <c r="M149" s="311"/>
      <c r="N149" s="311"/>
      <c r="O149" s="349"/>
      <c r="P149" s="312">
        <v>23</v>
      </c>
      <c r="Q149" s="312"/>
      <c r="R149" s="219"/>
      <c r="S149" s="219"/>
      <c r="T149" s="315"/>
      <c r="U149" s="315" t="s">
        <v>280</v>
      </c>
      <c r="V149" s="219" t="s">
        <v>328</v>
      </c>
      <c r="X149" s="125"/>
      <c r="Y149" s="125"/>
      <c r="Z149" s="125"/>
      <c r="AA149" s="125"/>
      <c r="AB149" s="125"/>
      <c r="AC149" s="125"/>
      <c r="AD149" s="125"/>
      <c r="AK149" s="125"/>
      <c r="AL149" s="125"/>
      <c r="AM149" s="125"/>
      <c r="AN149" s="125"/>
      <c r="AO149" s="125"/>
    </row>
    <row r="150" spans="2:41" s="319" customFormat="1" ht="14.25">
      <c r="B150" s="408" t="s">
        <v>225</v>
      </c>
      <c r="C150" s="409"/>
      <c r="D150" s="409"/>
      <c r="E150" s="409"/>
      <c r="F150" s="409"/>
      <c r="G150" s="409"/>
      <c r="H150" s="409"/>
      <c r="I150" s="409"/>
      <c r="J150" s="410"/>
      <c r="K150" s="316" t="s">
        <v>185</v>
      </c>
      <c r="L150" s="317">
        <v>287</v>
      </c>
      <c r="M150" s="317">
        <v>40</v>
      </c>
      <c r="N150" s="317">
        <v>46</v>
      </c>
      <c r="O150" s="350">
        <v>0.52800000000000002</v>
      </c>
      <c r="P150" s="318">
        <v>23</v>
      </c>
      <c r="Q150" s="318">
        <v>100</v>
      </c>
      <c r="R150" s="295" t="s">
        <v>324</v>
      </c>
      <c r="S150" s="292" t="s">
        <v>281</v>
      </c>
      <c r="T150" s="290"/>
      <c r="U150" s="290"/>
      <c r="V150" s="289"/>
      <c r="X150" s="320"/>
      <c r="Y150" s="320"/>
      <c r="Z150" s="320"/>
      <c r="AA150" s="320"/>
      <c r="AB150" s="320"/>
      <c r="AC150" s="320"/>
      <c r="AD150" s="320"/>
      <c r="AK150" s="320"/>
      <c r="AL150" s="320"/>
      <c r="AM150" s="320"/>
      <c r="AN150" s="320"/>
      <c r="AO150" s="320"/>
    </row>
    <row r="151" spans="2:41" s="57" customFormat="1" ht="32.25" customHeight="1">
      <c r="B151" s="407" t="s">
        <v>90</v>
      </c>
      <c r="C151" s="407"/>
      <c r="D151" s="407"/>
      <c r="E151" s="407"/>
      <c r="F151" s="407"/>
      <c r="G151" s="407"/>
      <c r="H151" s="407"/>
      <c r="I151" s="407"/>
      <c r="J151" s="407"/>
      <c r="K151" s="217"/>
      <c r="L151" s="217"/>
      <c r="M151" s="217"/>
      <c r="N151" s="217"/>
      <c r="O151" s="351">
        <f>SUM(O15:O150)</f>
        <v>72.69700000000006</v>
      </c>
      <c r="P151" s="285">
        <f>P150+P148+P142+P137+P132+P123+P118+P113+P108+P103+P98+P93+P88+P83+P78+P73+P68+P63+P55+P53+P51+P49+P47+P45+P42+P39+P37+P35+P31+P28+P25+P22+P20</f>
        <v>27300</v>
      </c>
      <c r="Q151" s="285">
        <f>SUM(Q15:Q150)</f>
        <v>32465</v>
      </c>
      <c r="R151" s="217"/>
      <c r="S151" s="217"/>
      <c r="T151" s="217"/>
      <c r="U151" s="217"/>
      <c r="V151" s="217"/>
      <c r="W151" s="119"/>
      <c r="X151" s="62"/>
      <c r="Y151" s="62"/>
      <c r="Z151" s="62"/>
      <c r="AA151" s="62"/>
      <c r="AB151" s="62"/>
      <c r="AC151" s="62"/>
      <c r="AD151" s="62"/>
      <c r="AK151" s="62"/>
      <c r="AL151" s="62"/>
      <c r="AM151" s="62"/>
      <c r="AN151" s="62"/>
      <c r="AO151" s="62"/>
    </row>
  </sheetData>
  <mergeCells count="53">
    <mergeCell ref="B93:J93"/>
    <mergeCell ref="B98:J98"/>
    <mergeCell ref="B103:J103"/>
    <mergeCell ref="B108:J108"/>
    <mergeCell ref="B113:J113"/>
    <mergeCell ref="B148:J148"/>
    <mergeCell ref="B150:J150"/>
    <mergeCell ref="B118:J118"/>
    <mergeCell ref="B123:J123"/>
    <mergeCell ref="B132:J132"/>
    <mergeCell ref="B137:J137"/>
    <mergeCell ref="B142:J142"/>
    <mergeCell ref="B83:J83"/>
    <mergeCell ref="B88:J88"/>
    <mergeCell ref="B49:J49"/>
    <mergeCell ref="B51:J51"/>
    <mergeCell ref="B53:J53"/>
    <mergeCell ref="B55:J55"/>
    <mergeCell ref="B63:J63"/>
    <mergeCell ref="B68:J68"/>
    <mergeCell ref="B73:J73"/>
    <mergeCell ref="B151:J151"/>
    <mergeCell ref="P13:P14"/>
    <mergeCell ref="Q13:Q14"/>
    <mergeCell ref="R13:R14"/>
    <mergeCell ref="B20:J20"/>
    <mergeCell ref="B22:J22"/>
    <mergeCell ref="B25:J25"/>
    <mergeCell ref="B28:J28"/>
    <mergeCell ref="B31:J31"/>
    <mergeCell ref="B35:J35"/>
    <mergeCell ref="B37:J37"/>
    <mergeCell ref="B39:J39"/>
    <mergeCell ref="B42:J42"/>
    <mergeCell ref="B45:J45"/>
    <mergeCell ref="B47:J47"/>
    <mergeCell ref="B78:J78"/>
    <mergeCell ref="B1:V1"/>
    <mergeCell ref="C3:K3"/>
    <mergeCell ref="B4:V4"/>
    <mergeCell ref="B13:B14"/>
    <mergeCell ref="C13:C14"/>
    <mergeCell ref="H13:H14"/>
    <mergeCell ref="I13:J13"/>
    <mergeCell ref="K13:K14"/>
    <mergeCell ref="L13:O13"/>
    <mergeCell ref="V13:V14"/>
    <mergeCell ref="S13:S14"/>
    <mergeCell ref="T13:T14"/>
    <mergeCell ref="G13:G14"/>
    <mergeCell ref="F13:F14"/>
    <mergeCell ref="U13:U14"/>
    <mergeCell ref="E13:E14"/>
  </mergeCells>
  <phoneticPr fontId="33" type="noConversion"/>
  <printOptions horizontalCentered="1"/>
  <pageMargins left="0.23622047244094491" right="0.23622047244094491" top="0.47244094488188981" bottom="0.51181102362204722" header="0.31496062992125984" footer="0.31496062992125984"/>
  <pageSetup paperSize="9" scale="59" fitToHeight="0" orientation="landscape" r:id="rId1"/>
  <headerFooter alignWithMargins="0">
    <oddFooter>&amp;C&amp;P/&amp;N</oddFooter>
  </headerFooter>
  <rowBreaks count="1" manualBreakCount="1">
    <brk id="64" max="2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U58"/>
  <sheetViews>
    <sheetView showGridLines="0" view="pageBreakPreview" topLeftCell="D1" zoomScale="80" zoomScaleNormal="100" zoomScaleSheetLayoutView="80" workbookViewId="0">
      <selection activeCell="D44" sqref="D44"/>
    </sheetView>
  </sheetViews>
  <sheetFormatPr defaultColWidth="8.76953125" defaultRowHeight="18" customHeight="1"/>
  <cols>
    <col min="1" max="1" width="1.05078125" style="91" customWidth="1"/>
    <col min="2" max="2" width="3.5078125" style="50" customWidth="1"/>
    <col min="3" max="4" width="22.3359375" style="25" customWidth="1"/>
    <col min="5" max="5" width="54.14453125" style="105" customWidth="1"/>
    <col min="6" max="6" width="11.57421875" style="7" customWidth="1"/>
    <col min="7" max="7" width="5.37890625" style="103" customWidth="1"/>
    <col min="8" max="8" width="5.37890625" style="7" customWidth="1"/>
    <col min="9" max="9" width="8.30078125" style="7" customWidth="1"/>
    <col min="10" max="12" width="7.3671875" style="7" customWidth="1"/>
    <col min="13" max="13" width="8.06640625" style="7" customWidth="1"/>
    <col min="14" max="15" width="10.0546875" style="7" bestFit="1" customWidth="1"/>
    <col min="16" max="16" width="11.109375" style="7" customWidth="1"/>
    <col min="17" max="17" width="9.5859375" style="50" customWidth="1"/>
    <col min="18" max="18" width="9.9375" style="106" customWidth="1"/>
    <col min="19" max="19" width="9.9375" style="91" customWidth="1"/>
    <col min="20" max="20" width="8.53515625" style="91" customWidth="1"/>
    <col min="21" max="21" width="8.53515625" style="91" bestFit="1" customWidth="1"/>
    <col min="22" max="16384" width="8.76953125" style="91"/>
  </cols>
  <sheetData>
    <row r="1" spans="2:21" ht="9" customHeight="1">
      <c r="B1" s="152"/>
      <c r="C1" s="7"/>
      <c r="D1" s="7"/>
      <c r="E1" s="7"/>
      <c r="G1" s="7"/>
      <c r="I1" s="6"/>
      <c r="J1" s="6"/>
      <c r="K1" s="6"/>
      <c r="L1" s="143"/>
      <c r="M1" s="92"/>
      <c r="N1" s="152"/>
      <c r="O1" s="152"/>
      <c r="P1" s="152"/>
      <c r="Q1" s="152"/>
      <c r="R1" s="152"/>
    </row>
    <row r="2" spans="2:21" ht="26.1" customHeight="1">
      <c r="B2" s="153"/>
      <c r="C2" s="7"/>
      <c r="D2" s="7"/>
      <c r="E2" s="7"/>
      <c r="G2" s="7"/>
      <c r="I2" s="6"/>
      <c r="J2" s="6"/>
      <c r="K2" s="6"/>
      <c r="L2" s="143"/>
      <c r="M2" s="92"/>
      <c r="N2" s="153"/>
      <c r="O2" s="153"/>
      <c r="P2" s="153"/>
      <c r="Q2" s="153"/>
      <c r="R2" s="153"/>
    </row>
    <row r="3" spans="2:21" ht="27.6" customHeight="1" thickBot="1">
      <c r="B3" s="153"/>
      <c r="C3" s="421" t="s">
        <v>0</v>
      </c>
      <c r="D3" s="421"/>
      <c r="E3" s="421"/>
      <c r="F3" s="421"/>
      <c r="G3" s="421"/>
      <c r="H3" s="421"/>
      <c r="I3" s="421"/>
      <c r="J3" s="421"/>
      <c r="K3" s="6"/>
      <c r="L3" s="143"/>
      <c r="M3" s="92"/>
      <c r="N3" s="93"/>
      <c r="O3" s="153"/>
      <c r="P3" s="153"/>
      <c r="Q3" s="153"/>
      <c r="R3" s="153"/>
    </row>
    <row r="4" spans="2:21" ht="33.75" customHeight="1" thickTop="1" thickBot="1">
      <c r="B4" s="415" t="s">
        <v>37</v>
      </c>
      <c r="C4" s="416"/>
      <c r="D4" s="416"/>
      <c r="E4" s="416"/>
      <c r="F4" s="416"/>
      <c r="G4" s="416"/>
      <c r="H4" s="416"/>
      <c r="I4" s="416"/>
      <c r="J4" s="416"/>
      <c r="K4" s="416"/>
      <c r="L4" s="416"/>
      <c r="M4" s="416"/>
      <c r="N4" s="416"/>
      <c r="O4" s="416"/>
      <c r="P4" s="416"/>
      <c r="Q4" s="416"/>
      <c r="R4" s="416"/>
      <c r="S4" s="416"/>
      <c r="T4" s="416"/>
      <c r="U4" s="417"/>
    </row>
    <row r="5" spans="2:21" s="7" customFormat="1" ht="17.25" customHeight="1" thickTop="1">
      <c r="B5" s="50"/>
      <c r="C5" s="94" t="s">
        <v>38</v>
      </c>
      <c r="D5" s="94"/>
      <c r="E5" s="180" t="str">
        <f>'Packing List (1_2)'!H5</f>
        <v>OM4-DE-IS-0004</v>
      </c>
      <c r="F5" s="50"/>
      <c r="G5" s="50"/>
      <c r="H5" s="50"/>
      <c r="I5" s="50"/>
      <c r="J5" s="50"/>
      <c r="K5" s="50"/>
      <c r="L5" s="50"/>
      <c r="M5" s="50"/>
      <c r="N5" s="50"/>
      <c r="O5" s="50"/>
      <c r="P5" s="50"/>
      <c r="Q5" s="95"/>
      <c r="R5" s="50"/>
    </row>
    <row r="6" spans="2:21" s="7" customFormat="1" ht="17.25" customHeight="1">
      <c r="B6" s="50"/>
      <c r="C6" s="94" t="s">
        <v>39</v>
      </c>
      <c r="D6" s="94"/>
      <c r="E6" s="148">
        <f>'Packing List (1_2)'!H6</f>
        <v>46171</v>
      </c>
      <c r="F6" s="50"/>
      <c r="G6" s="50"/>
      <c r="H6" s="25" t="s">
        <v>40</v>
      </c>
      <c r="I6" s="50"/>
      <c r="J6" s="50"/>
      <c r="K6" s="50"/>
      <c r="L6" s="50"/>
      <c r="M6" s="50"/>
      <c r="N6" s="50"/>
      <c r="O6" s="50"/>
      <c r="P6" s="25" t="s">
        <v>41</v>
      </c>
      <c r="Q6" s="50"/>
      <c r="R6" s="50"/>
      <c r="S6" s="50"/>
      <c r="T6" s="50"/>
    </row>
    <row r="7" spans="2:21" s="7" customFormat="1" ht="17.25" customHeight="1">
      <c r="B7" s="50"/>
      <c r="C7" s="94" t="s">
        <v>42</v>
      </c>
      <c r="D7" s="94"/>
      <c r="E7" s="96" t="s">
        <v>124</v>
      </c>
      <c r="F7" s="50"/>
      <c r="G7" s="50"/>
      <c r="H7" s="97" t="s">
        <v>43</v>
      </c>
      <c r="I7" s="25" t="s">
        <v>44</v>
      </c>
      <c r="J7" s="50"/>
      <c r="K7" s="50"/>
      <c r="L7" s="50"/>
      <c r="M7" s="50"/>
      <c r="N7" s="50"/>
      <c r="O7" s="50"/>
      <c r="P7" s="98"/>
      <c r="Q7" s="99" t="s">
        <v>285</v>
      </c>
      <c r="R7" s="99" t="s">
        <v>287</v>
      </c>
      <c r="S7" s="99" t="s">
        <v>186</v>
      </c>
      <c r="T7" s="99" t="s">
        <v>45</v>
      </c>
    </row>
    <row r="8" spans="2:21" s="7" customFormat="1" ht="17.25" customHeight="1">
      <c r="B8" s="50"/>
      <c r="E8" s="94"/>
      <c r="F8" s="50"/>
      <c r="G8" s="50"/>
      <c r="H8" s="97" t="s">
        <v>46</v>
      </c>
      <c r="I8" s="25" t="s">
        <v>47</v>
      </c>
      <c r="J8" s="50"/>
      <c r="K8" s="50"/>
      <c r="L8" s="50"/>
      <c r="M8" s="50"/>
      <c r="N8" s="50"/>
      <c r="O8" s="50"/>
      <c r="P8" s="99" t="s">
        <v>48</v>
      </c>
      <c r="Q8" s="99" t="s">
        <v>49</v>
      </c>
      <c r="R8" s="99" t="s">
        <v>50</v>
      </c>
      <c r="S8" s="99" t="s">
        <v>51</v>
      </c>
      <c r="T8" s="99" t="s">
        <v>52</v>
      </c>
    </row>
    <row r="9" spans="2:21" s="7" customFormat="1" ht="17.25" customHeight="1">
      <c r="B9" s="50"/>
      <c r="C9" s="94"/>
      <c r="D9" s="94"/>
      <c r="E9" s="94"/>
      <c r="F9" s="50"/>
      <c r="G9" s="50"/>
      <c r="H9" s="97" t="s">
        <v>53</v>
      </c>
      <c r="I9" s="25" t="s">
        <v>54</v>
      </c>
      <c r="J9" s="50"/>
      <c r="K9" s="50"/>
      <c r="L9" s="50"/>
      <c r="M9" s="50"/>
      <c r="N9" s="50"/>
      <c r="O9" s="50"/>
      <c r="P9" s="99" t="s">
        <v>55</v>
      </c>
      <c r="Q9" s="99" t="s">
        <v>56</v>
      </c>
      <c r="R9" s="99" t="s">
        <v>57</v>
      </c>
      <c r="S9" s="99" t="s">
        <v>58</v>
      </c>
      <c r="T9" s="99" t="s">
        <v>59</v>
      </c>
    </row>
    <row r="10" spans="2:21" s="7" customFormat="1" ht="17.25" customHeight="1">
      <c r="B10" s="50"/>
      <c r="E10" s="94"/>
      <c r="F10" s="50"/>
      <c r="G10" s="50"/>
      <c r="H10" s="97" t="s">
        <v>60</v>
      </c>
      <c r="I10" s="25" t="s">
        <v>61</v>
      </c>
      <c r="J10" s="50"/>
      <c r="K10" s="50"/>
      <c r="L10" s="50"/>
      <c r="M10" s="50"/>
      <c r="N10" s="50"/>
      <c r="O10" s="50"/>
      <c r="P10" s="99" t="s">
        <v>62</v>
      </c>
      <c r="Q10" s="99" t="s">
        <v>63</v>
      </c>
      <c r="R10" s="99" t="s">
        <v>64</v>
      </c>
      <c r="S10" s="99" t="s">
        <v>65</v>
      </c>
      <c r="T10" s="99" t="s">
        <v>66</v>
      </c>
    </row>
    <row r="11" spans="2:21" s="7" customFormat="1" ht="17.25" customHeight="1">
      <c r="B11" s="50"/>
      <c r="E11" s="94"/>
      <c r="F11" s="50"/>
      <c r="G11" s="50"/>
      <c r="H11" s="97" t="s">
        <v>67</v>
      </c>
      <c r="I11" s="25" t="s">
        <v>68</v>
      </c>
      <c r="J11" s="50"/>
      <c r="K11" s="50"/>
      <c r="L11" s="50"/>
      <c r="M11" s="50"/>
      <c r="N11" s="50"/>
      <c r="O11" s="50"/>
      <c r="P11" s="50"/>
      <c r="Q11" s="50"/>
      <c r="R11" s="50"/>
    </row>
    <row r="12" spans="2:21" s="7" customFormat="1" ht="17.25" customHeight="1">
      <c r="B12" s="50"/>
      <c r="C12" s="94"/>
      <c r="D12" s="94"/>
      <c r="E12" s="50"/>
      <c r="F12" s="50"/>
      <c r="G12" s="50"/>
      <c r="J12" s="50"/>
      <c r="K12" s="50"/>
      <c r="L12" s="50"/>
      <c r="M12" s="50"/>
      <c r="N12" s="50"/>
      <c r="O12" s="50"/>
      <c r="P12" s="50"/>
      <c r="Q12" s="50"/>
      <c r="R12" s="50"/>
    </row>
    <row r="13" spans="2:21" s="17" customFormat="1" ht="31.7" customHeight="1">
      <c r="B13" s="413" t="s">
        <v>27</v>
      </c>
      <c r="C13" s="422" t="s">
        <v>28</v>
      </c>
      <c r="D13" s="381"/>
      <c r="E13" s="424" t="s">
        <v>69</v>
      </c>
      <c r="F13" s="413" t="s">
        <v>70</v>
      </c>
      <c r="G13" s="426" t="s">
        <v>71</v>
      </c>
      <c r="H13" s="427"/>
      <c r="I13" s="413" t="s">
        <v>72</v>
      </c>
      <c r="J13" s="426" t="s">
        <v>73</v>
      </c>
      <c r="K13" s="428"/>
      <c r="L13" s="428"/>
      <c r="M13" s="427"/>
      <c r="N13" s="413" t="s">
        <v>74</v>
      </c>
      <c r="O13" s="413" t="s">
        <v>75</v>
      </c>
      <c r="P13" s="413" t="s">
        <v>167</v>
      </c>
      <c r="Q13" s="411" t="s">
        <v>168</v>
      </c>
      <c r="R13" s="411" t="s">
        <v>169</v>
      </c>
      <c r="S13" s="411" t="s">
        <v>170</v>
      </c>
      <c r="T13" s="413" t="s">
        <v>77</v>
      </c>
      <c r="U13" s="413" t="s">
        <v>78</v>
      </c>
    </row>
    <row r="14" spans="2:21" s="17" customFormat="1" ht="31.7" customHeight="1">
      <c r="B14" s="414"/>
      <c r="C14" s="423"/>
      <c r="D14" s="382" t="s">
        <v>421</v>
      </c>
      <c r="E14" s="425"/>
      <c r="F14" s="414"/>
      <c r="G14" s="100" t="s">
        <v>79</v>
      </c>
      <c r="H14" s="100" t="s">
        <v>80</v>
      </c>
      <c r="I14" s="414"/>
      <c r="J14" s="101" t="s">
        <v>81</v>
      </c>
      <c r="K14" s="101" t="s">
        <v>82</v>
      </c>
      <c r="L14" s="101" t="s">
        <v>83</v>
      </c>
      <c r="M14" s="101" t="s">
        <v>84</v>
      </c>
      <c r="N14" s="414"/>
      <c r="O14" s="414"/>
      <c r="P14" s="414"/>
      <c r="Q14" s="412"/>
      <c r="R14" s="412"/>
      <c r="S14" s="412"/>
      <c r="T14" s="414"/>
      <c r="U14" s="414"/>
    </row>
    <row r="15" spans="2:21" s="7" customFormat="1" ht="18.75" customHeight="1">
      <c r="B15" s="293">
        <v>1</v>
      </c>
      <c r="C15" s="294" t="s">
        <v>178</v>
      </c>
      <c r="D15" s="383" t="s">
        <v>422</v>
      </c>
      <c r="E15" s="33" t="s">
        <v>219</v>
      </c>
      <c r="F15" s="293" t="s">
        <v>282</v>
      </c>
      <c r="G15" s="307">
        <v>1</v>
      </c>
      <c r="H15" s="308"/>
      <c r="I15" s="308" t="s">
        <v>185</v>
      </c>
      <c r="J15" s="311">
        <v>136</v>
      </c>
      <c r="K15" s="311">
        <v>136</v>
      </c>
      <c r="L15" s="311">
        <v>117</v>
      </c>
      <c r="M15" s="334">
        <v>2.1640000000000001</v>
      </c>
      <c r="N15" s="312">
        <v>640</v>
      </c>
      <c r="O15" s="312">
        <v>810</v>
      </c>
      <c r="P15" s="295" t="s">
        <v>324</v>
      </c>
      <c r="Q15" s="295" t="s">
        <v>325</v>
      </c>
      <c r="R15" s="295" t="s">
        <v>325</v>
      </c>
      <c r="S15" s="295" t="s">
        <v>325</v>
      </c>
      <c r="T15" s="292" t="s">
        <v>326</v>
      </c>
      <c r="U15" s="306" t="s">
        <v>328</v>
      </c>
    </row>
    <row r="16" spans="2:21" s="7" customFormat="1" ht="18.75" customHeight="1">
      <c r="B16" s="293">
        <v>2</v>
      </c>
      <c r="C16" s="294" t="s">
        <v>179</v>
      </c>
      <c r="D16" s="383" t="s">
        <v>422</v>
      </c>
      <c r="E16" s="33" t="s">
        <v>177</v>
      </c>
      <c r="F16" s="293" t="s">
        <v>282</v>
      </c>
      <c r="G16" s="307">
        <v>1</v>
      </c>
      <c r="H16" s="308"/>
      <c r="I16" s="308" t="s">
        <v>185</v>
      </c>
      <c r="J16" s="311">
        <v>136</v>
      </c>
      <c r="K16" s="311">
        <v>136</v>
      </c>
      <c r="L16" s="311">
        <v>117</v>
      </c>
      <c r="M16" s="334">
        <v>2.1640000000000001</v>
      </c>
      <c r="N16" s="312">
        <v>470</v>
      </c>
      <c r="O16" s="312">
        <v>640</v>
      </c>
      <c r="P16" s="295" t="s">
        <v>324</v>
      </c>
      <c r="Q16" s="295" t="s">
        <v>325</v>
      </c>
      <c r="R16" s="295" t="s">
        <v>325</v>
      </c>
      <c r="S16" s="295" t="s">
        <v>325</v>
      </c>
      <c r="T16" s="292" t="s">
        <v>326</v>
      </c>
      <c r="U16" s="306" t="s">
        <v>328</v>
      </c>
    </row>
    <row r="17" spans="2:21" s="7" customFormat="1" ht="18.75" customHeight="1">
      <c r="B17" s="293">
        <v>3</v>
      </c>
      <c r="C17" s="294" t="s">
        <v>180</v>
      </c>
      <c r="D17" s="383" t="s">
        <v>422</v>
      </c>
      <c r="E17" s="33" t="s">
        <v>219</v>
      </c>
      <c r="F17" s="293" t="s">
        <v>282</v>
      </c>
      <c r="G17" s="307">
        <v>1</v>
      </c>
      <c r="H17" s="308"/>
      <c r="I17" s="308" t="s">
        <v>185</v>
      </c>
      <c r="J17" s="311">
        <v>136</v>
      </c>
      <c r="K17" s="311">
        <v>136</v>
      </c>
      <c r="L17" s="311">
        <v>117</v>
      </c>
      <c r="M17" s="334">
        <v>2.1640000000000001</v>
      </c>
      <c r="N17" s="312">
        <v>690</v>
      </c>
      <c r="O17" s="312">
        <v>850</v>
      </c>
      <c r="P17" s="295" t="s">
        <v>324</v>
      </c>
      <c r="Q17" s="295" t="s">
        <v>325</v>
      </c>
      <c r="R17" s="295" t="s">
        <v>325</v>
      </c>
      <c r="S17" s="295" t="s">
        <v>325</v>
      </c>
      <c r="T17" s="292" t="s">
        <v>326</v>
      </c>
      <c r="U17" s="306" t="s">
        <v>328</v>
      </c>
    </row>
    <row r="18" spans="2:21" s="7" customFormat="1" ht="18.75" customHeight="1">
      <c r="B18" s="293">
        <v>4</v>
      </c>
      <c r="C18" s="294" t="s">
        <v>181</v>
      </c>
      <c r="D18" s="383" t="s">
        <v>422</v>
      </c>
      <c r="E18" s="33" t="s">
        <v>177</v>
      </c>
      <c r="F18" s="293" t="s">
        <v>282</v>
      </c>
      <c r="G18" s="307">
        <v>1</v>
      </c>
      <c r="H18" s="308"/>
      <c r="I18" s="308" t="s">
        <v>185</v>
      </c>
      <c r="J18" s="311">
        <v>136</v>
      </c>
      <c r="K18" s="311">
        <v>136</v>
      </c>
      <c r="L18" s="311">
        <v>117</v>
      </c>
      <c r="M18" s="334">
        <v>2.1640000000000001</v>
      </c>
      <c r="N18" s="312">
        <v>950</v>
      </c>
      <c r="O18" s="312">
        <v>1110</v>
      </c>
      <c r="P18" s="295" t="s">
        <v>324</v>
      </c>
      <c r="Q18" s="295" t="s">
        <v>325</v>
      </c>
      <c r="R18" s="295" t="s">
        <v>325</v>
      </c>
      <c r="S18" s="295" t="s">
        <v>325</v>
      </c>
      <c r="T18" s="292" t="s">
        <v>326</v>
      </c>
      <c r="U18" s="306" t="s">
        <v>328</v>
      </c>
    </row>
    <row r="19" spans="2:21" s="7" customFormat="1" ht="18.75" customHeight="1">
      <c r="B19" s="293">
        <v>5</v>
      </c>
      <c r="C19" s="294" t="s">
        <v>182</v>
      </c>
      <c r="D19" s="383" t="s">
        <v>422</v>
      </c>
      <c r="E19" s="33" t="s">
        <v>177</v>
      </c>
      <c r="F19" s="293" t="s">
        <v>282</v>
      </c>
      <c r="G19" s="307">
        <v>1</v>
      </c>
      <c r="H19" s="308"/>
      <c r="I19" s="308" t="s">
        <v>185</v>
      </c>
      <c r="J19" s="311">
        <v>136</v>
      </c>
      <c r="K19" s="311">
        <v>136</v>
      </c>
      <c r="L19" s="311">
        <v>117</v>
      </c>
      <c r="M19" s="334">
        <v>2.1640000000000001</v>
      </c>
      <c r="N19" s="312">
        <v>830</v>
      </c>
      <c r="O19" s="312">
        <v>990</v>
      </c>
      <c r="P19" s="295" t="s">
        <v>324</v>
      </c>
      <c r="Q19" s="295" t="s">
        <v>325</v>
      </c>
      <c r="R19" s="295" t="s">
        <v>325</v>
      </c>
      <c r="S19" s="295" t="s">
        <v>325</v>
      </c>
      <c r="T19" s="292" t="s">
        <v>326</v>
      </c>
      <c r="U19" s="306" t="s">
        <v>328</v>
      </c>
    </row>
    <row r="20" spans="2:21" s="7" customFormat="1" ht="18.75" customHeight="1">
      <c r="B20" s="293">
        <v>6</v>
      </c>
      <c r="C20" s="294" t="s">
        <v>183</v>
      </c>
      <c r="D20" s="383" t="s">
        <v>422</v>
      </c>
      <c r="E20" s="33" t="s">
        <v>177</v>
      </c>
      <c r="F20" s="293" t="s">
        <v>282</v>
      </c>
      <c r="G20" s="307">
        <v>1</v>
      </c>
      <c r="H20" s="308"/>
      <c r="I20" s="308" t="s">
        <v>185</v>
      </c>
      <c r="J20" s="311">
        <v>157</v>
      </c>
      <c r="K20" s="311">
        <v>123</v>
      </c>
      <c r="L20" s="311">
        <v>66</v>
      </c>
      <c r="M20" s="334">
        <v>1.2749999999999999</v>
      </c>
      <c r="N20" s="312">
        <v>240</v>
      </c>
      <c r="O20" s="312">
        <v>380</v>
      </c>
      <c r="P20" s="295" t="s">
        <v>324</v>
      </c>
      <c r="Q20" s="295" t="s">
        <v>325</v>
      </c>
      <c r="R20" s="295" t="s">
        <v>325</v>
      </c>
      <c r="S20" s="295" t="s">
        <v>325</v>
      </c>
      <c r="T20" s="292" t="s">
        <v>326</v>
      </c>
      <c r="U20" s="306" t="s">
        <v>328</v>
      </c>
    </row>
    <row r="21" spans="2:21" s="7" customFormat="1" ht="18.75" customHeight="1">
      <c r="B21" s="293">
        <v>7</v>
      </c>
      <c r="C21" s="294" t="s">
        <v>187</v>
      </c>
      <c r="D21" s="383" t="s">
        <v>422</v>
      </c>
      <c r="E21" s="33" t="s">
        <v>177</v>
      </c>
      <c r="F21" s="293" t="s">
        <v>282</v>
      </c>
      <c r="G21" s="307">
        <v>1</v>
      </c>
      <c r="H21" s="308"/>
      <c r="I21" s="308" t="s">
        <v>185</v>
      </c>
      <c r="J21" s="311">
        <v>136</v>
      </c>
      <c r="K21" s="311">
        <v>136</v>
      </c>
      <c r="L21" s="311">
        <v>142</v>
      </c>
      <c r="M21" s="334">
        <v>2.6259999999999999</v>
      </c>
      <c r="N21" s="312">
        <v>1580</v>
      </c>
      <c r="O21" s="312">
        <v>1730</v>
      </c>
      <c r="P21" s="295" t="s">
        <v>324</v>
      </c>
      <c r="Q21" s="295" t="s">
        <v>325</v>
      </c>
      <c r="R21" s="295" t="s">
        <v>325</v>
      </c>
      <c r="S21" s="295" t="s">
        <v>325</v>
      </c>
      <c r="T21" s="292" t="s">
        <v>326</v>
      </c>
      <c r="U21" s="306" t="s">
        <v>328</v>
      </c>
    </row>
    <row r="22" spans="2:21" s="7" customFormat="1" ht="18.75" customHeight="1">
      <c r="B22" s="293">
        <v>8</v>
      </c>
      <c r="C22" s="294" t="s">
        <v>188</v>
      </c>
      <c r="D22" s="383" t="s">
        <v>422</v>
      </c>
      <c r="E22" s="33" t="s">
        <v>177</v>
      </c>
      <c r="F22" s="293" t="s">
        <v>282</v>
      </c>
      <c r="G22" s="307">
        <v>1</v>
      </c>
      <c r="H22" s="308"/>
      <c r="I22" s="308" t="s">
        <v>185</v>
      </c>
      <c r="J22" s="311">
        <v>136</v>
      </c>
      <c r="K22" s="311">
        <v>136</v>
      </c>
      <c r="L22" s="311">
        <v>142</v>
      </c>
      <c r="M22" s="334">
        <v>2.6259999999999999</v>
      </c>
      <c r="N22" s="312">
        <v>1580</v>
      </c>
      <c r="O22" s="312">
        <v>1750</v>
      </c>
      <c r="P22" s="295" t="s">
        <v>324</v>
      </c>
      <c r="Q22" s="295" t="s">
        <v>325</v>
      </c>
      <c r="R22" s="295" t="s">
        <v>325</v>
      </c>
      <c r="S22" s="295" t="s">
        <v>325</v>
      </c>
      <c r="T22" s="292" t="s">
        <v>326</v>
      </c>
      <c r="U22" s="306" t="s">
        <v>328</v>
      </c>
    </row>
    <row r="23" spans="2:21" s="7" customFormat="1" ht="18.75" customHeight="1">
      <c r="B23" s="293">
        <v>9</v>
      </c>
      <c r="C23" s="294" t="s">
        <v>189</v>
      </c>
      <c r="D23" s="383" t="s">
        <v>422</v>
      </c>
      <c r="E23" s="33" t="s">
        <v>177</v>
      </c>
      <c r="F23" s="293" t="s">
        <v>282</v>
      </c>
      <c r="G23" s="307">
        <v>1</v>
      </c>
      <c r="H23" s="308"/>
      <c r="I23" s="308" t="s">
        <v>185</v>
      </c>
      <c r="J23" s="311">
        <v>136</v>
      </c>
      <c r="K23" s="311">
        <v>136</v>
      </c>
      <c r="L23" s="311">
        <v>142</v>
      </c>
      <c r="M23" s="334">
        <v>2.6259999999999999</v>
      </c>
      <c r="N23" s="312">
        <v>1300</v>
      </c>
      <c r="O23" s="312">
        <v>1490</v>
      </c>
      <c r="P23" s="295" t="s">
        <v>324</v>
      </c>
      <c r="Q23" s="295" t="s">
        <v>325</v>
      </c>
      <c r="R23" s="295" t="s">
        <v>325</v>
      </c>
      <c r="S23" s="295" t="s">
        <v>325</v>
      </c>
      <c r="T23" s="292" t="s">
        <v>326</v>
      </c>
      <c r="U23" s="306" t="s">
        <v>328</v>
      </c>
    </row>
    <row r="24" spans="2:21" s="7" customFormat="1" ht="18.75" customHeight="1">
      <c r="B24" s="293">
        <v>10</v>
      </c>
      <c r="C24" s="294" t="s">
        <v>190</v>
      </c>
      <c r="D24" s="383" t="s">
        <v>422</v>
      </c>
      <c r="E24" s="33" t="s">
        <v>177</v>
      </c>
      <c r="F24" s="293" t="s">
        <v>282</v>
      </c>
      <c r="G24" s="307">
        <v>1</v>
      </c>
      <c r="H24" s="308"/>
      <c r="I24" s="308" t="s">
        <v>185</v>
      </c>
      <c r="J24" s="311">
        <v>136</v>
      </c>
      <c r="K24" s="311">
        <v>136</v>
      </c>
      <c r="L24" s="311">
        <v>142</v>
      </c>
      <c r="M24" s="334">
        <v>2.6259999999999999</v>
      </c>
      <c r="N24" s="312">
        <v>1050</v>
      </c>
      <c r="O24" s="312">
        <v>1240</v>
      </c>
      <c r="P24" s="295" t="s">
        <v>324</v>
      </c>
      <c r="Q24" s="295" t="s">
        <v>325</v>
      </c>
      <c r="R24" s="295" t="s">
        <v>325</v>
      </c>
      <c r="S24" s="295" t="s">
        <v>325</v>
      </c>
      <c r="T24" s="292" t="s">
        <v>326</v>
      </c>
      <c r="U24" s="306" t="s">
        <v>328</v>
      </c>
    </row>
    <row r="25" spans="2:21" s="7" customFormat="1" ht="18.75" customHeight="1">
      <c r="B25" s="293">
        <v>11</v>
      </c>
      <c r="C25" s="294" t="s">
        <v>191</v>
      </c>
      <c r="D25" s="383" t="s">
        <v>422</v>
      </c>
      <c r="E25" s="33" t="s">
        <v>219</v>
      </c>
      <c r="F25" s="293" t="s">
        <v>282</v>
      </c>
      <c r="G25" s="307">
        <v>1</v>
      </c>
      <c r="H25" s="308"/>
      <c r="I25" s="308" t="s">
        <v>185</v>
      </c>
      <c r="J25" s="311">
        <v>136</v>
      </c>
      <c r="K25" s="311">
        <v>136</v>
      </c>
      <c r="L25" s="311">
        <v>158</v>
      </c>
      <c r="M25" s="334">
        <v>2.9220000000000002</v>
      </c>
      <c r="N25" s="312">
        <v>1730</v>
      </c>
      <c r="O25" s="312">
        <v>1890</v>
      </c>
      <c r="P25" s="295" t="s">
        <v>324</v>
      </c>
      <c r="Q25" s="295" t="s">
        <v>325</v>
      </c>
      <c r="R25" s="295" t="s">
        <v>325</v>
      </c>
      <c r="S25" s="295" t="s">
        <v>325</v>
      </c>
      <c r="T25" s="292" t="s">
        <v>326</v>
      </c>
      <c r="U25" s="306" t="s">
        <v>328</v>
      </c>
    </row>
    <row r="26" spans="2:21" s="7" customFormat="1" ht="18.75" customHeight="1">
      <c r="B26" s="293">
        <v>12</v>
      </c>
      <c r="C26" s="294" t="s">
        <v>192</v>
      </c>
      <c r="D26" s="383" t="s">
        <v>422</v>
      </c>
      <c r="E26" s="33" t="s">
        <v>219</v>
      </c>
      <c r="F26" s="293" t="s">
        <v>282</v>
      </c>
      <c r="G26" s="307">
        <v>1</v>
      </c>
      <c r="H26" s="308"/>
      <c r="I26" s="308" t="s">
        <v>185</v>
      </c>
      <c r="J26" s="311">
        <v>136</v>
      </c>
      <c r="K26" s="311">
        <v>136</v>
      </c>
      <c r="L26" s="311">
        <v>158</v>
      </c>
      <c r="M26" s="334">
        <v>2.9220000000000002</v>
      </c>
      <c r="N26" s="312">
        <v>1780</v>
      </c>
      <c r="O26" s="312">
        <v>1940</v>
      </c>
      <c r="P26" s="295" t="s">
        <v>324</v>
      </c>
      <c r="Q26" s="295" t="s">
        <v>325</v>
      </c>
      <c r="R26" s="295" t="s">
        <v>325</v>
      </c>
      <c r="S26" s="295" t="s">
        <v>325</v>
      </c>
      <c r="T26" s="292" t="s">
        <v>326</v>
      </c>
      <c r="U26" s="306" t="s">
        <v>328</v>
      </c>
    </row>
    <row r="27" spans="2:21" s="7" customFormat="1" ht="18.75" customHeight="1">
      <c r="B27" s="293">
        <v>13</v>
      </c>
      <c r="C27" s="294" t="s">
        <v>193</v>
      </c>
      <c r="D27" s="383" t="s">
        <v>422</v>
      </c>
      <c r="E27" s="33" t="s">
        <v>219</v>
      </c>
      <c r="F27" s="293" t="s">
        <v>282</v>
      </c>
      <c r="G27" s="307">
        <v>1</v>
      </c>
      <c r="H27" s="308"/>
      <c r="I27" s="308" t="s">
        <v>185</v>
      </c>
      <c r="J27" s="311">
        <v>136</v>
      </c>
      <c r="K27" s="311">
        <v>136</v>
      </c>
      <c r="L27" s="311">
        <v>158</v>
      </c>
      <c r="M27" s="334">
        <v>2.9220000000000002</v>
      </c>
      <c r="N27" s="312">
        <v>1080</v>
      </c>
      <c r="O27" s="312">
        <v>1260</v>
      </c>
      <c r="P27" s="295" t="s">
        <v>324</v>
      </c>
      <c r="Q27" s="295" t="s">
        <v>325</v>
      </c>
      <c r="R27" s="295" t="s">
        <v>325</v>
      </c>
      <c r="S27" s="295" t="s">
        <v>325</v>
      </c>
      <c r="T27" s="292" t="s">
        <v>326</v>
      </c>
      <c r="U27" s="306" t="s">
        <v>328</v>
      </c>
    </row>
    <row r="28" spans="2:21" s="7" customFormat="1" ht="18.75" customHeight="1">
      <c r="B28" s="293">
        <v>14</v>
      </c>
      <c r="C28" s="294" t="s">
        <v>194</v>
      </c>
      <c r="D28" s="383" t="s">
        <v>422</v>
      </c>
      <c r="E28" s="33" t="s">
        <v>219</v>
      </c>
      <c r="F28" s="293" t="s">
        <v>282</v>
      </c>
      <c r="G28" s="307">
        <v>1</v>
      </c>
      <c r="H28" s="308"/>
      <c r="I28" s="308" t="s">
        <v>185</v>
      </c>
      <c r="J28" s="311">
        <v>136</v>
      </c>
      <c r="K28" s="311">
        <v>136</v>
      </c>
      <c r="L28" s="311">
        <v>158</v>
      </c>
      <c r="M28" s="334">
        <v>2.9220000000000002</v>
      </c>
      <c r="N28" s="312">
        <v>1150</v>
      </c>
      <c r="O28" s="312">
        <v>1330</v>
      </c>
      <c r="P28" s="295" t="s">
        <v>324</v>
      </c>
      <c r="Q28" s="295" t="s">
        <v>325</v>
      </c>
      <c r="R28" s="295" t="s">
        <v>325</v>
      </c>
      <c r="S28" s="295" t="s">
        <v>325</v>
      </c>
      <c r="T28" s="292" t="s">
        <v>326</v>
      </c>
      <c r="U28" s="306" t="s">
        <v>328</v>
      </c>
    </row>
    <row r="29" spans="2:21" s="7" customFormat="1" ht="18.75" customHeight="1">
      <c r="B29" s="293">
        <v>15</v>
      </c>
      <c r="C29" s="294" t="s">
        <v>195</v>
      </c>
      <c r="D29" s="383" t="s">
        <v>422</v>
      </c>
      <c r="E29" s="33" t="s">
        <v>219</v>
      </c>
      <c r="F29" s="293" t="s">
        <v>282</v>
      </c>
      <c r="G29" s="307">
        <v>1</v>
      </c>
      <c r="H29" s="308"/>
      <c r="I29" s="308" t="s">
        <v>185</v>
      </c>
      <c r="J29" s="311">
        <v>136</v>
      </c>
      <c r="K29" s="311">
        <v>136</v>
      </c>
      <c r="L29" s="311">
        <v>158</v>
      </c>
      <c r="M29" s="334">
        <v>2.9220000000000002</v>
      </c>
      <c r="N29" s="312">
        <v>1780</v>
      </c>
      <c r="O29" s="312">
        <v>1950</v>
      </c>
      <c r="P29" s="295" t="s">
        <v>324</v>
      </c>
      <c r="Q29" s="295" t="s">
        <v>325</v>
      </c>
      <c r="R29" s="295" t="s">
        <v>325</v>
      </c>
      <c r="S29" s="295" t="s">
        <v>325</v>
      </c>
      <c r="T29" s="292" t="s">
        <v>326</v>
      </c>
      <c r="U29" s="306" t="s">
        <v>328</v>
      </c>
    </row>
    <row r="30" spans="2:21" s="7" customFormat="1" ht="18.75" customHeight="1">
      <c r="B30" s="293">
        <v>16</v>
      </c>
      <c r="C30" s="294" t="s">
        <v>196</v>
      </c>
      <c r="D30" s="383" t="s">
        <v>422</v>
      </c>
      <c r="E30" s="33" t="s">
        <v>177</v>
      </c>
      <c r="F30" s="293" t="s">
        <v>282</v>
      </c>
      <c r="G30" s="307">
        <v>1</v>
      </c>
      <c r="H30" s="308"/>
      <c r="I30" s="308" t="s">
        <v>185</v>
      </c>
      <c r="J30" s="311">
        <v>245</v>
      </c>
      <c r="K30" s="311">
        <v>67</v>
      </c>
      <c r="L30" s="311">
        <v>65</v>
      </c>
      <c r="M30" s="334">
        <v>1.0669999999999999</v>
      </c>
      <c r="N30" s="312">
        <v>290</v>
      </c>
      <c r="O30" s="312">
        <v>400</v>
      </c>
      <c r="P30" s="295" t="s">
        <v>324</v>
      </c>
      <c r="Q30" s="295" t="s">
        <v>325</v>
      </c>
      <c r="R30" s="295" t="s">
        <v>325</v>
      </c>
      <c r="S30" s="295" t="s">
        <v>325</v>
      </c>
      <c r="T30" s="292" t="s">
        <v>326</v>
      </c>
      <c r="U30" s="306" t="s">
        <v>328</v>
      </c>
    </row>
    <row r="31" spans="2:21" s="7" customFormat="1" ht="18.75" customHeight="1">
      <c r="B31" s="293">
        <v>17</v>
      </c>
      <c r="C31" s="294" t="s">
        <v>197</v>
      </c>
      <c r="D31" s="383" t="s">
        <v>422</v>
      </c>
      <c r="E31" s="33" t="s">
        <v>176</v>
      </c>
      <c r="F31" s="293" t="s">
        <v>282</v>
      </c>
      <c r="G31" s="307">
        <v>1</v>
      </c>
      <c r="H31" s="308"/>
      <c r="I31" s="308" t="s">
        <v>185</v>
      </c>
      <c r="J31" s="311">
        <v>245</v>
      </c>
      <c r="K31" s="311">
        <v>124</v>
      </c>
      <c r="L31" s="311">
        <v>69</v>
      </c>
      <c r="M31" s="334">
        <v>2.0960000000000001</v>
      </c>
      <c r="N31" s="312">
        <v>700</v>
      </c>
      <c r="O31" s="312">
        <v>860</v>
      </c>
      <c r="P31" s="295" t="s">
        <v>324</v>
      </c>
      <c r="Q31" s="295" t="s">
        <v>325</v>
      </c>
      <c r="R31" s="295" t="s">
        <v>325</v>
      </c>
      <c r="S31" s="295" t="s">
        <v>325</v>
      </c>
      <c r="T31" s="292" t="s">
        <v>326</v>
      </c>
      <c r="U31" s="306" t="s">
        <v>328</v>
      </c>
    </row>
    <row r="32" spans="2:21" s="7" customFormat="1" ht="18.75" customHeight="1">
      <c r="B32" s="293">
        <v>18</v>
      </c>
      <c r="C32" s="294" t="s">
        <v>198</v>
      </c>
      <c r="D32" s="383" t="s">
        <v>422</v>
      </c>
      <c r="E32" s="33" t="s">
        <v>176</v>
      </c>
      <c r="F32" s="293" t="s">
        <v>282</v>
      </c>
      <c r="G32" s="307">
        <v>1</v>
      </c>
      <c r="H32" s="308"/>
      <c r="I32" s="308" t="s">
        <v>185</v>
      </c>
      <c r="J32" s="311">
        <v>245</v>
      </c>
      <c r="K32" s="311">
        <v>124</v>
      </c>
      <c r="L32" s="311">
        <v>69</v>
      </c>
      <c r="M32" s="334">
        <v>2.0960000000000001</v>
      </c>
      <c r="N32" s="312">
        <v>700</v>
      </c>
      <c r="O32" s="312">
        <v>860</v>
      </c>
      <c r="P32" s="295" t="s">
        <v>324</v>
      </c>
      <c r="Q32" s="295" t="s">
        <v>325</v>
      </c>
      <c r="R32" s="295" t="s">
        <v>325</v>
      </c>
      <c r="S32" s="295" t="s">
        <v>325</v>
      </c>
      <c r="T32" s="292" t="s">
        <v>326</v>
      </c>
      <c r="U32" s="306" t="s">
        <v>328</v>
      </c>
    </row>
    <row r="33" spans="2:21" s="7" customFormat="1" ht="18.75" customHeight="1">
      <c r="B33" s="293">
        <v>19</v>
      </c>
      <c r="C33" s="294" t="s">
        <v>199</v>
      </c>
      <c r="D33" s="383" t="s">
        <v>422</v>
      </c>
      <c r="E33" s="33" t="s">
        <v>176</v>
      </c>
      <c r="F33" s="293" t="s">
        <v>282</v>
      </c>
      <c r="G33" s="307">
        <v>1</v>
      </c>
      <c r="H33" s="308"/>
      <c r="I33" s="308" t="s">
        <v>185</v>
      </c>
      <c r="J33" s="311">
        <v>245</v>
      </c>
      <c r="K33" s="311">
        <v>124</v>
      </c>
      <c r="L33" s="311">
        <v>69</v>
      </c>
      <c r="M33" s="334">
        <v>2.0960000000000001</v>
      </c>
      <c r="N33" s="312">
        <v>700</v>
      </c>
      <c r="O33" s="312">
        <v>860</v>
      </c>
      <c r="P33" s="295" t="s">
        <v>324</v>
      </c>
      <c r="Q33" s="295" t="s">
        <v>325</v>
      </c>
      <c r="R33" s="295" t="s">
        <v>325</v>
      </c>
      <c r="S33" s="295" t="s">
        <v>325</v>
      </c>
      <c r="T33" s="292" t="s">
        <v>326</v>
      </c>
      <c r="U33" s="306" t="s">
        <v>328</v>
      </c>
    </row>
    <row r="34" spans="2:21" s="7" customFormat="1" ht="18.75" customHeight="1">
      <c r="B34" s="293">
        <v>20</v>
      </c>
      <c r="C34" s="294" t="s">
        <v>200</v>
      </c>
      <c r="D34" s="383" t="s">
        <v>422</v>
      </c>
      <c r="E34" s="33" t="s">
        <v>176</v>
      </c>
      <c r="F34" s="293" t="s">
        <v>282</v>
      </c>
      <c r="G34" s="307">
        <v>1</v>
      </c>
      <c r="H34" s="308"/>
      <c r="I34" s="308" t="s">
        <v>185</v>
      </c>
      <c r="J34" s="311">
        <v>245</v>
      </c>
      <c r="K34" s="311">
        <v>124</v>
      </c>
      <c r="L34" s="311">
        <v>69</v>
      </c>
      <c r="M34" s="334">
        <v>2.0960000000000001</v>
      </c>
      <c r="N34" s="312">
        <v>700</v>
      </c>
      <c r="O34" s="312">
        <v>860</v>
      </c>
      <c r="P34" s="295" t="s">
        <v>324</v>
      </c>
      <c r="Q34" s="295" t="s">
        <v>325</v>
      </c>
      <c r="R34" s="295" t="s">
        <v>325</v>
      </c>
      <c r="S34" s="295" t="s">
        <v>325</v>
      </c>
      <c r="T34" s="292" t="s">
        <v>326</v>
      </c>
      <c r="U34" s="306" t="s">
        <v>328</v>
      </c>
    </row>
    <row r="35" spans="2:21" s="7" customFormat="1" ht="18.75" customHeight="1">
      <c r="B35" s="293">
        <v>21</v>
      </c>
      <c r="C35" s="294" t="s">
        <v>201</v>
      </c>
      <c r="D35" s="383" t="s">
        <v>423</v>
      </c>
      <c r="E35" s="33" t="s">
        <v>176</v>
      </c>
      <c r="F35" s="293" t="s">
        <v>282</v>
      </c>
      <c r="G35" s="307">
        <v>1</v>
      </c>
      <c r="H35" s="308"/>
      <c r="I35" s="308" t="s">
        <v>185</v>
      </c>
      <c r="J35" s="311">
        <v>245</v>
      </c>
      <c r="K35" s="311">
        <v>124</v>
      </c>
      <c r="L35" s="311">
        <v>69</v>
      </c>
      <c r="M35" s="334">
        <v>2.0960000000000001</v>
      </c>
      <c r="N35" s="312">
        <v>700</v>
      </c>
      <c r="O35" s="312">
        <v>860</v>
      </c>
      <c r="P35" s="295" t="s">
        <v>324</v>
      </c>
      <c r="Q35" s="295" t="s">
        <v>325</v>
      </c>
      <c r="R35" s="295" t="s">
        <v>325</v>
      </c>
      <c r="S35" s="295" t="s">
        <v>325</v>
      </c>
      <c r="T35" s="292" t="s">
        <v>326</v>
      </c>
      <c r="U35" s="306" t="s">
        <v>328</v>
      </c>
    </row>
    <row r="36" spans="2:21" s="7" customFormat="1" ht="18.75" customHeight="1">
      <c r="B36" s="293">
        <v>22</v>
      </c>
      <c r="C36" s="294" t="s">
        <v>202</v>
      </c>
      <c r="D36" s="383" t="s">
        <v>423</v>
      </c>
      <c r="E36" s="33" t="s">
        <v>176</v>
      </c>
      <c r="F36" s="293" t="s">
        <v>282</v>
      </c>
      <c r="G36" s="307">
        <v>1</v>
      </c>
      <c r="H36" s="308"/>
      <c r="I36" s="308" t="s">
        <v>185</v>
      </c>
      <c r="J36" s="311">
        <v>245</v>
      </c>
      <c r="K36" s="311">
        <v>124</v>
      </c>
      <c r="L36" s="311">
        <v>69</v>
      </c>
      <c r="M36" s="334">
        <v>2.0960000000000001</v>
      </c>
      <c r="N36" s="312">
        <v>700</v>
      </c>
      <c r="O36" s="312">
        <v>860</v>
      </c>
      <c r="P36" s="295" t="s">
        <v>324</v>
      </c>
      <c r="Q36" s="295" t="s">
        <v>325</v>
      </c>
      <c r="R36" s="295" t="s">
        <v>325</v>
      </c>
      <c r="S36" s="295" t="s">
        <v>325</v>
      </c>
      <c r="T36" s="292" t="s">
        <v>326</v>
      </c>
      <c r="U36" s="306" t="s">
        <v>328</v>
      </c>
    </row>
    <row r="37" spans="2:21" s="7" customFormat="1" ht="18.75" customHeight="1">
      <c r="B37" s="293">
        <v>23</v>
      </c>
      <c r="C37" s="294" t="s">
        <v>203</v>
      </c>
      <c r="D37" s="383" t="s">
        <v>423</v>
      </c>
      <c r="E37" s="33" t="s">
        <v>176</v>
      </c>
      <c r="F37" s="293" t="s">
        <v>282</v>
      </c>
      <c r="G37" s="307">
        <v>1</v>
      </c>
      <c r="H37" s="308"/>
      <c r="I37" s="308" t="s">
        <v>185</v>
      </c>
      <c r="J37" s="311">
        <v>245</v>
      </c>
      <c r="K37" s="311">
        <v>124</v>
      </c>
      <c r="L37" s="311">
        <v>69</v>
      </c>
      <c r="M37" s="334">
        <v>2.0960000000000001</v>
      </c>
      <c r="N37" s="312">
        <v>700</v>
      </c>
      <c r="O37" s="312">
        <v>860</v>
      </c>
      <c r="P37" s="295" t="s">
        <v>324</v>
      </c>
      <c r="Q37" s="295" t="s">
        <v>325</v>
      </c>
      <c r="R37" s="295" t="s">
        <v>325</v>
      </c>
      <c r="S37" s="295" t="s">
        <v>325</v>
      </c>
      <c r="T37" s="292" t="s">
        <v>326</v>
      </c>
      <c r="U37" s="306" t="s">
        <v>328</v>
      </c>
    </row>
    <row r="38" spans="2:21" s="7" customFormat="1" ht="18.75" customHeight="1">
      <c r="B38" s="293">
        <v>24</v>
      </c>
      <c r="C38" s="294" t="s">
        <v>204</v>
      </c>
      <c r="D38" s="383" t="s">
        <v>423</v>
      </c>
      <c r="E38" s="33" t="s">
        <v>176</v>
      </c>
      <c r="F38" s="293" t="s">
        <v>282</v>
      </c>
      <c r="G38" s="307">
        <v>1</v>
      </c>
      <c r="H38" s="308"/>
      <c r="I38" s="308" t="s">
        <v>185</v>
      </c>
      <c r="J38" s="311">
        <v>245</v>
      </c>
      <c r="K38" s="311">
        <v>124</v>
      </c>
      <c r="L38" s="311">
        <v>69</v>
      </c>
      <c r="M38" s="334">
        <v>2.0960000000000001</v>
      </c>
      <c r="N38" s="312">
        <v>700</v>
      </c>
      <c r="O38" s="312">
        <v>860</v>
      </c>
      <c r="P38" s="295" t="s">
        <v>324</v>
      </c>
      <c r="Q38" s="295" t="s">
        <v>325</v>
      </c>
      <c r="R38" s="295" t="s">
        <v>325</v>
      </c>
      <c r="S38" s="295" t="s">
        <v>325</v>
      </c>
      <c r="T38" s="292" t="s">
        <v>326</v>
      </c>
      <c r="U38" s="306" t="s">
        <v>328</v>
      </c>
    </row>
    <row r="39" spans="2:21" s="7" customFormat="1" ht="18.75" customHeight="1">
      <c r="B39" s="293">
        <v>25</v>
      </c>
      <c r="C39" s="294" t="s">
        <v>205</v>
      </c>
      <c r="D39" s="383" t="s">
        <v>423</v>
      </c>
      <c r="E39" s="33" t="s">
        <v>176</v>
      </c>
      <c r="F39" s="293" t="s">
        <v>282</v>
      </c>
      <c r="G39" s="307">
        <v>1</v>
      </c>
      <c r="H39" s="308"/>
      <c r="I39" s="308" t="s">
        <v>185</v>
      </c>
      <c r="J39" s="311">
        <v>245</v>
      </c>
      <c r="K39" s="311">
        <v>124</v>
      </c>
      <c r="L39" s="311">
        <v>69</v>
      </c>
      <c r="M39" s="334">
        <v>2.0960000000000001</v>
      </c>
      <c r="N39" s="312">
        <v>675</v>
      </c>
      <c r="O39" s="312">
        <v>835</v>
      </c>
      <c r="P39" s="295" t="s">
        <v>324</v>
      </c>
      <c r="Q39" s="295" t="s">
        <v>325</v>
      </c>
      <c r="R39" s="295" t="s">
        <v>325</v>
      </c>
      <c r="S39" s="295" t="s">
        <v>325</v>
      </c>
      <c r="T39" s="292" t="s">
        <v>326</v>
      </c>
      <c r="U39" s="306" t="s">
        <v>328</v>
      </c>
    </row>
    <row r="40" spans="2:21" s="7" customFormat="1" ht="18.75" customHeight="1">
      <c r="B40" s="293">
        <v>26</v>
      </c>
      <c r="C40" s="294" t="s">
        <v>206</v>
      </c>
      <c r="D40" s="383" t="s">
        <v>423</v>
      </c>
      <c r="E40" s="33" t="s">
        <v>176</v>
      </c>
      <c r="F40" s="293" t="s">
        <v>282</v>
      </c>
      <c r="G40" s="307">
        <v>1</v>
      </c>
      <c r="H40" s="308"/>
      <c r="I40" s="308" t="s">
        <v>185</v>
      </c>
      <c r="J40" s="311">
        <v>245</v>
      </c>
      <c r="K40" s="311">
        <v>124</v>
      </c>
      <c r="L40" s="311">
        <v>69</v>
      </c>
      <c r="M40" s="334">
        <v>2.0960000000000001</v>
      </c>
      <c r="N40" s="312">
        <v>675</v>
      </c>
      <c r="O40" s="312">
        <v>835</v>
      </c>
      <c r="P40" s="295" t="s">
        <v>324</v>
      </c>
      <c r="Q40" s="295" t="s">
        <v>325</v>
      </c>
      <c r="R40" s="295" t="s">
        <v>325</v>
      </c>
      <c r="S40" s="295" t="s">
        <v>325</v>
      </c>
      <c r="T40" s="292" t="s">
        <v>326</v>
      </c>
      <c r="U40" s="306" t="s">
        <v>328</v>
      </c>
    </row>
    <row r="41" spans="2:21" s="7" customFormat="1" ht="18.75" customHeight="1">
      <c r="B41" s="293">
        <v>27</v>
      </c>
      <c r="C41" s="294" t="s">
        <v>207</v>
      </c>
      <c r="D41" s="383" t="s">
        <v>423</v>
      </c>
      <c r="E41" s="33" t="s">
        <v>176</v>
      </c>
      <c r="F41" s="293" t="s">
        <v>282</v>
      </c>
      <c r="G41" s="307">
        <v>1</v>
      </c>
      <c r="H41" s="308"/>
      <c r="I41" s="308" t="s">
        <v>185</v>
      </c>
      <c r="J41" s="311">
        <v>245</v>
      </c>
      <c r="K41" s="311">
        <v>124</v>
      </c>
      <c r="L41" s="311">
        <v>69</v>
      </c>
      <c r="M41" s="334">
        <v>2.0960000000000001</v>
      </c>
      <c r="N41" s="312">
        <v>675</v>
      </c>
      <c r="O41" s="312">
        <v>835</v>
      </c>
      <c r="P41" s="295" t="s">
        <v>324</v>
      </c>
      <c r="Q41" s="295" t="s">
        <v>325</v>
      </c>
      <c r="R41" s="295" t="s">
        <v>325</v>
      </c>
      <c r="S41" s="295" t="s">
        <v>325</v>
      </c>
      <c r="T41" s="292" t="s">
        <v>326</v>
      </c>
      <c r="U41" s="306" t="s">
        <v>328</v>
      </c>
    </row>
    <row r="42" spans="2:21" s="7" customFormat="1" ht="18.75" customHeight="1">
      <c r="B42" s="293">
        <v>28</v>
      </c>
      <c r="C42" s="294" t="s">
        <v>208</v>
      </c>
      <c r="D42" s="383" t="s">
        <v>422</v>
      </c>
      <c r="E42" s="33" t="s">
        <v>176</v>
      </c>
      <c r="F42" s="293" t="s">
        <v>282</v>
      </c>
      <c r="G42" s="307">
        <v>1</v>
      </c>
      <c r="H42" s="308"/>
      <c r="I42" s="308" t="s">
        <v>185</v>
      </c>
      <c r="J42" s="311">
        <v>245</v>
      </c>
      <c r="K42" s="311">
        <v>124</v>
      </c>
      <c r="L42" s="311">
        <v>69</v>
      </c>
      <c r="M42" s="334">
        <v>2.0960000000000001</v>
      </c>
      <c r="N42" s="312">
        <v>675</v>
      </c>
      <c r="O42" s="312">
        <v>835</v>
      </c>
      <c r="P42" s="295" t="s">
        <v>324</v>
      </c>
      <c r="Q42" s="295" t="s">
        <v>325</v>
      </c>
      <c r="R42" s="295" t="s">
        <v>325</v>
      </c>
      <c r="S42" s="295" t="s">
        <v>325</v>
      </c>
      <c r="T42" s="292" t="s">
        <v>326</v>
      </c>
      <c r="U42" s="306" t="s">
        <v>328</v>
      </c>
    </row>
    <row r="43" spans="2:21" s="7" customFormat="1" ht="18.75" customHeight="1">
      <c r="B43" s="293">
        <v>29</v>
      </c>
      <c r="C43" s="294" t="s">
        <v>209</v>
      </c>
      <c r="D43" s="383" t="s">
        <v>422</v>
      </c>
      <c r="E43" s="33" t="s">
        <v>176</v>
      </c>
      <c r="F43" s="293" t="s">
        <v>282</v>
      </c>
      <c r="G43" s="307">
        <v>1</v>
      </c>
      <c r="H43" s="308"/>
      <c r="I43" s="308" t="s">
        <v>185</v>
      </c>
      <c r="J43" s="311">
        <v>245</v>
      </c>
      <c r="K43" s="311">
        <v>124</v>
      </c>
      <c r="L43" s="311">
        <v>69</v>
      </c>
      <c r="M43" s="334">
        <v>2.0960000000000001</v>
      </c>
      <c r="N43" s="312">
        <v>675</v>
      </c>
      <c r="O43" s="312">
        <v>835</v>
      </c>
      <c r="P43" s="295" t="s">
        <v>324</v>
      </c>
      <c r="Q43" s="295" t="s">
        <v>325</v>
      </c>
      <c r="R43" s="295" t="s">
        <v>325</v>
      </c>
      <c r="S43" s="295" t="s">
        <v>325</v>
      </c>
      <c r="T43" s="292" t="s">
        <v>326</v>
      </c>
      <c r="U43" s="306" t="s">
        <v>328</v>
      </c>
    </row>
    <row r="44" spans="2:21" s="7" customFormat="1" ht="18.75" customHeight="1">
      <c r="B44" s="293">
        <v>30</v>
      </c>
      <c r="C44" s="294" t="s">
        <v>210</v>
      </c>
      <c r="D44" s="383" t="s">
        <v>423</v>
      </c>
      <c r="E44" s="33" t="s">
        <v>220</v>
      </c>
      <c r="F44" s="293" t="s">
        <v>282</v>
      </c>
      <c r="G44" s="307">
        <v>1</v>
      </c>
      <c r="H44" s="308"/>
      <c r="I44" s="308" t="s">
        <v>185</v>
      </c>
      <c r="J44" s="311">
        <v>140</v>
      </c>
      <c r="K44" s="311">
        <v>140</v>
      </c>
      <c r="L44" s="311">
        <v>113</v>
      </c>
      <c r="M44" s="334">
        <v>2.2149999999999999</v>
      </c>
      <c r="N44" s="312">
        <v>422</v>
      </c>
      <c r="O44" s="312">
        <v>550</v>
      </c>
      <c r="P44" s="295" t="s">
        <v>324</v>
      </c>
      <c r="Q44" s="295" t="s">
        <v>325</v>
      </c>
      <c r="R44" s="295" t="s">
        <v>325</v>
      </c>
      <c r="S44" s="295" t="s">
        <v>325</v>
      </c>
      <c r="T44" s="292" t="s">
        <v>326</v>
      </c>
      <c r="U44" s="306" t="s">
        <v>328</v>
      </c>
    </row>
    <row r="45" spans="2:21" s="7" customFormat="1" ht="18.75" customHeight="1">
      <c r="B45" s="293">
        <v>31</v>
      </c>
      <c r="C45" s="294" t="s">
        <v>211</v>
      </c>
      <c r="D45" s="383" t="s">
        <v>422</v>
      </c>
      <c r="E45" s="33" t="s">
        <v>175</v>
      </c>
      <c r="F45" s="293" t="s">
        <v>282</v>
      </c>
      <c r="G45" s="307">
        <v>1</v>
      </c>
      <c r="H45" s="308"/>
      <c r="I45" s="308" t="s">
        <v>185</v>
      </c>
      <c r="J45" s="311">
        <v>140</v>
      </c>
      <c r="K45" s="311">
        <v>140</v>
      </c>
      <c r="L45" s="311">
        <v>113</v>
      </c>
      <c r="M45" s="334">
        <v>2.2149999999999999</v>
      </c>
      <c r="N45" s="312">
        <v>531</v>
      </c>
      <c r="O45" s="312">
        <v>660</v>
      </c>
      <c r="P45" s="295" t="s">
        <v>324</v>
      </c>
      <c r="Q45" s="295" t="s">
        <v>325</v>
      </c>
      <c r="R45" s="295" t="s">
        <v>325</v>
      </c>
      <c r="S45" s="295" t="s">
        <v>325</v>
      </c>
      <c r="T45" s="292" t="s">
        <v>326</v>
      </c>
      <c r="U45" s="306" t="s">
        <v>328</v>
      </c>
    </row>
    <row r="46" spans="2:21" s="7" customFormat="1" ht="18.75" customHeight="1">
      <c r="B46" s="293">
        <v>32</v>
      </c>
      <c r="C46" s="294" t="s">
        <v>212</v>
      </c>
      <c r="D46" s="383" t="s">
        <v>422</v>
      </c>
      <c r="E46" s="33" t="s">
        <v>221</v>
      </c>
      <c r="F46" s="293" t="s">
        <v>282</v>
      </c>
      <c r="G46" s="307">
        <v>1</v>
      </c>
      <c r="H46" s="308"/>
      <c r="I46" s="308" t="s">
        <v>185</v>
      </c>
      <c r="J46" s="311">
        <v>140</v>
      </c>
      <c r="K46" s="311">
        <v>140</v>
      </c>
      <c r="L46" s="311">
        <v>113</v>
      </c>
      <c r="M46" s="334">
        <v>2.2149999999999999</v>
      </c>
      <c r="N46" s="312">
        <v>209</v>
      </c>
      <c r="O46" s="312">
        <v>340</v>
      </c>
      <c r="P46" s="295" t="s">
        <v>324</v>
      </c>
      <c r="Q46" s="295" t="s">
        <v>325</v>
      </c>
      <c r="R46" s="295" t="s">
        <v>325</v>
      </c>
      <c r="S46" s="295" t="s">
        <v>325</v>
      </c>
      <c r="T46" s="292" t="s">
        <v>326</v>
      </c>
      <c r="U46" s="306" t="s">
        <v>328</v>
      </c>
    </row>
    <row r="47" spans="2:21" s="7" customFormat="1" ht="18.75" customHeight="1">
      <c r="B47" s="293">
        <v>33</v>
      </c>
      <c r="C47" s="294" t="s">
        <v>213</v>
      </c>
      <c r="D47" s="383" t="s">
        <v>422</v>
      </c>
      <c r="E47" s="33" t="s">
        <v>177</v>
      </c>
      <c r="F47" s="293" t="s">
        <v>282</v>
      </c>
      <c r="G47" s="307">
        <v>1</v>
      </c>
      <c r="H47" s="308"/>
      <c r="I47" s="308" t="s">
        <v>185</v>
      </c>
      <c r="J47" s="311">
        <v>287</v>
      </c>
      <c r="K47" s="311">
        <v>40</v>
      </c>
      <c r="L47" s="311">
        <v>46</v>
      </c>
      <c r="M47" s="334">
        <v>0.52800000000000002</v>
      </c>
      <c r="N47" s="312">
        <v>23</v>
      </c>
      <c r="O47" s="312">
        <v>100</v>
      </c>
      <c r="P47" s="295" t="s">
        <v>324</v>
      </c>
      <c r="Q47" s="295" t="s">
        <v>325</v>
      </c>
      <c r="R47" s="295" t="s">
        <v>325</v>
      </c>
      <c r="S47" s="295" t="s">
        <v>325</v>
      </c>
      <c r="T47" s="292" t="s">
        <v>326</v>
      </c>
      <c r="U47" s="306" t="s">
        <v>328</v>
      </c>
    </row>
    <row r="48" spans="2:21" ht="18.75" customHeight="1">
      <c r="B48" s="418" t="s">
        <v>85</v>
      </c>
      <c r="C48" s="419"/>
      <c r="D48" s="419"/>
      <c r="E48" s="419"/>
      <c r="F48" s="419"/>
      <c r="G48" s="419"/>
      <c r="H48" s="419"/>
      <c r="I48" s="419"/>
      <c r="J48" s="419"/>
      <c r="K48" s="419"/>
      <c r="L48" s="420"/>
      <c r="M48" s="335">
        <f>SUM(M15:M47)</f>
        <v>72.69700000000006</v>
      </c>
      <c r="N48" s="286">
        <f>SUM(N15:N47)</f>
        <v>27300</v>
      </c>
      <c r="O48" s="286">
        <f>SUM(O15:O47)</f>
        <v>32465</v>
      </c>
      <c r="P48" s="99"/>
      <c r="Q48" s="99"/>
      <c r="R48" s="99"/>
    </row>
    <row r="49" spans="5:18" ht="18" customHeight="1">
      <c r="E49" s="102"/>
      <c r="R49" s="104"/>
    </row>
    <row r="50" spans="5:18" ht="18" customHeight="1">
      <c r="E50" s="102"/>
      <c r="R50" s="104"/>
    </row>
    <row r="51" spans="5:18" ht="18" customHeight="1">
      <c r="E51" s="102"/>
      <c r="R51" s="104"/>
    </row>
    <row r="52" spans="5:18" ht="18" customHeight="1">
      <c r="E52" s="102"/>
      <c r="R52" s="104"/>
    </row>
    <row r="53" spans="5:18" ht="18" customHeight="1">
      <c r="E53" s="102"/>
      <c r="R53" s="104"/>
    </row>
    <row r="54" spans="5:18" ht="18" customHeight="1">
      <c r="E54" s="102"/>
      <c r="R54" s="104"/>
    </row>
    <row r="55" spans="5:18" ht="18" customHeight="1">
      <c r="E55" s="102"/>
      <c r="R55" s="104"/>
    </row>
    <row r="56" spans="5:18" ht="18" customHeight="1">
      <c r="E56" s="102"/>
      <c r="R56" s="104"/>
    </row>
    <row r="57" spans="5:18" ht="18" customHeight="1">
      <c r="E57" s="102"/>
      <c r="R57" s="104"/>
    </row>
    <row r="58" spans="5:18" ht="18" customHeight="1">
      <c r="E58" s="102"/>
      <c r="R58" s="104"/>
    </row>
  </sheetData>
  <autoFilter ref="B14:U48" xr:uid="{00000000-0001-0000-0400-000000000000}"/>
  <mergeCells count="18">
    <mergeCell ref="C3:J3"/>
    <mergeCell ref="B13:B14"/>
    <mergeCell ref="C13:C14"/>
    <mergeCell ref="E13:E14"/>
    <mergeCell ref="F13:F14"/>
    <mergeCell ref="G13:H13"/>
    <mergeCell ref="I13:I14"/>
    <mergeCell ref="J13:M13"/>
    <mergeCell ref="S13:S14"/>
    <mergeCell ref="T13:T14"/>
    <mergeCell ref="U13:U14"/>
    <mergeCell ref="B4:U4"/>
    <mergeCell ref="B48:L48"/>
    <mergeCell ref="N13:N14"/>
    <mergeCell ref="O13:O14"/>
    <mergeCell ref="P13:P14"/>
    <mergeCell ref="Q13:Q14"/>
    <mergeCell ref="R13:R14"/>
  </mergeCells>
  <phoneticPr fontId="33" type="noConversion"/>
  <printOptions horizontalCentered="1"/>
  <pageMargins left="0.70866141732283472" right="0.70866141732283472" top="0.74803149606299213" bottom="0.74803149606299213" header="0.31496062992125984" footer="0.31496062992125984"/>
  <pageSetup paperSize="9" scale="52" orientation="landscape"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E412-2F1C-43B4-B633-460D8FA0CC0B}">
  <sheetPr>
    <tabColor rgb="FFFFC000"/>
    <pageSetUpPr fitToPage="1"/>
  </sheetPr>
  <dimension ref="A1:P47"/>
  <sheetViews>
    <sheetView showGridLines="0" view="pageBreakPreview" topLeftCell="A13" zoomScale="80" zoomScaleNormal="100" zoomScaleSheetLayoutView="80" workbookViewId="0">
      <selection activeCell="B14" sqref="B14:F17"/>
    </sheetView>
  </sheetViews>
  <sheetFormatPr defaultColWidth="9.5859375" defaultRowHeight="17.25" customHeight="1"/>
  <cols>
    <col min="1" max="1" width="1.51953125" style="7" customWidth="1"/>
    <col min="2" max="2" width="27.36328125" style="7" customWidth="1"/>
    <col min="3" max="3" width="1.7539062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00390625" style="6" customWidth="1"/>
    <col min="10" max="10" width="10.875" style="6" customWidth="1"/>
    <col min="11" max="11" width="13.4453125" style="56" bestFit="1" customWidth="1"/>
    <col min="12" max="12" width="7.71484375" style="6" customWidth="1"/>
    <col min="13" max="13" width="10.875" style="7" bestFit="1" customWidth="1"/>
    <col min="14" max="14" width="9.5859375" style="7"/>
    <col min="15" max="15" width="10.875" style="7" bestFit="1" customWidth="1"/>
    <col min="16" max="16" width="12.39453125" style="7" bestFit="1" customWidth="1"/>
    <col min="17" max="16384" width="9.5859375" style="7"/>
  </cols>
  <sheetData>
    <row r="1" spans="1:14" ht="21.95" customHeight="1">
      <c r="A1" s="1"/>
      <c r="B1" s="2"/>
      <c r="C1" s="2"/>
      <c r="D1" s="2"/>
      <c r="E1" s="2"/>
      <c r="F1" s="2"/>
      <c r="G1" s="3"/>
      <c r="H1" s="3"/>
      <c r="I1" s="3"/>
      <c r="J1" s="4"/>
      <c r="K1" s="5"/>
    </row>
    <row r="2" spans="1:14" ht="21.95" customHeight="1">
      <c r="A2" s="8"/>
      <c r="J2" s="143"/>
      <c r="K2" s="9"/>
    </row>
    <row r="3" spans="1:14" ht="14.45" customHeight="1">
      <c r="A3" s="10"/>
      <c r="B3" s="433"/>
      <c r="C3" s="434"/>
      <c r="D3" s="434"/>
      <c r="E3" s="434"/>
      <c r="F3" s="144"/>
      <c r="G3" s="145"/>
      <c r="H3" s="433"/>
      <c r="I3" s="434"/>
      <c r="J3" s="434"/>
      <c r="K3" s="435"/>
    </row>
    <row r="4" spans="1:14" s="13" customFormat="1" ht="24.75" customHeight="1">
      <c r="A4" s="436" t="s">
        <v>1</v>
      </c>
      <c r="B4" s="437"/>
      <c r="C4" s="437"/>
      <c r="D4" s="437"/>
      <c r="E4" s="437"/>
      <c r="F4" s="437"/>
      <c r="G4" s="437"/>
      <c r="H4" s="437"/>
      <c r="I4" s="437"/>
      <c r="J4" s="437"/>
      <c r="K4" s="438"/>
      <c r="L4" s="11"/>
    </row>
    <row r="5" spans="1:14" s="13" customFormat="1" ht="15.95" customHeight="1">
      <c r="A5" s="190" t="s">
        <v>2</v>
      </c>
      <c r="B5" s="191"/>
      <c r="C5" s="191"/>
      <c r="D5" s="191"/>
      <c r="E5" s="192"/>
      <c r="F5" s="193"/>
      <c r="G5" s="194" t="s">
        <v>138</v>
      </c>
      <c r="H5" s="300" t="s">
        <v>171</v>
      </c>
      <c r="I5" s="300"/>
      <c r="J5" s="300"/>
      <c r="K5" s="195"/>
      <c r="L5" s="15"/>
      <c r="M5" s="367"/>
    </row>
    <row r="6" spans="1:14" s="13" customFormat="1" ht="14.45" customHeight="1">
      <c r="A6" s="196"/>
      <c r="B6" s="439" t="s">
        <v>401</v>
      </c>
      <c r="C6" s="440"/>
      <c r="D6" s="440"/>
      <c r="E6" s="440"/>
      <c r="F6" s="441"/>
      <c r="G6" s="197" t="s">
        <v>3</v>
      </c>
      <c r="H6" s="254">
        <v>46219</v>
      </c>
      <c r="I6" s="301"/>
      <c r="J6" s="302"/>
      <c r="K6" s="198"/>
      <c r="L6" s="15"/>
    </row>
    <row r="7" spans="1:14" ht="15.6" customHeight="1">
      <c r="A7" s="199"/>
      <c r="B7" s="440"/>
      <c r="C7" s="440"/>
      <c r="D7" s="440"/>
      <c r="E7" s="440"/>
      <c r="F7" s="441"/>
      <c r="G7" s="200" t="s">
        <v>4</v>
      </c>
      <c r="H7" s="201" t="s">
        <v>112</v>
      </c>
      <c r="I7" s="201"/>
      <c r="J7" s="201"/>
      <c r="K7" s="202"/>
    </row>
    <row r="8" spans="1:14" ht="16.5" customHeight="1">
      <c r="A8" s="199"/>
      <c r="B8" s="442"/>
      <c r="C8" s="442"/>
      <c r="D8" s="442"/>
      <c r="E8" s="442"/>
      <c r="F8" s="443"/>
      <c r="G8" s="197" t="s">
        <v>3</v>
      </c>
      <c r="H8" s="254">
        <v>45814</v>
      </c>
      <c r="I8" s="203"/>
      <c r="J8" s="203"/>
      <c r="K8" s="198"/>
    </row>
    <row r="9" spans="1:14" ht="24" customHeight="1" thickBot="1">
      <c r="A9" s="204" t="s">
        <v>6</v>
      </c>
      <c r="B9" s="201"/>
      <c r="C9" s="201"/>
      <c r="D9" s="201"/>
      <c r="E9" s="201"/>
      <c r="F9" s="205"/>
      <c r="G9" s="444" t="s">
        <v>7</v>
      </c>
      <c r="H9" s="445"/>
      <c r="I9" s="445"/>
      <c r="J9" s="445"/>
      <c r="K9" s="446"/>
    </row>
    <row r="10" spans="1:14" ht="14.1" customHeight="1">
      <c r="A10" s="199"/>
      <c r="B10" s="447" t="s">
        <v>153</v>
      </c>
      <c r="C10" s="448"/>
      <c r="D10" s="448"/>
      <c r="E10" s="448"/>
      <c r="F10" s="449"/>
      <c r="G10" s="452" t="s">
        <v>124</v>
      </c>
      <c r="H10" s="453"/>
      <c r="I10" s="453"/>
      <c r="J10" s="453"/>
      <c r="K10" s="454"/>
    </row>
    <row r="11" spans="1:14" ht="14.1" customHeight="1">
      <c r="A11" s="199"/>
      <c r="B11" s="448"/>
      <c r="C11" s="448"/>
      <c r="D11" s="448"/>
      <c r="E11" s="448"/>
      <c r="F11" s="449"/>
      <c r="G11" s="455"/>
      <c r="H11" s="456"/>
      <c r="I11" s="456"/>
      <c r="J11" s="456"/>
      <c r="K11" s="457"/>
    </row>
    <row r="12" spans="1:14" ht="28.35" customHeight="1" thickBot="1">
      <c r="A12" s="206"/>
      <c r="B12" s="450"/>
      <c r="C12" s="450"/>
      <c r="D12" s="450"/>
      <c r="E12" s="450"/>
      <c r="F12" s="451"/>
      <c r="G12" s="458"/>
      <c r="H12" s="459"/>
      <c r="I12" s="459"/>
      <c r="J12" s="459"/>
      <c r="K12" s="460"/>
    </row>
    <row r="13" spans="1:14" ht="14.1" customHeight="1">
      <c r="A13" s="207" t="s">
        <v>9</v>
      </c>
      <c r="B13" s="208"/>
      <c r="C13" s="209"/>
      <c r="D13" s="209"/>
      <c r="E13" s="209"/>
      <c r="F13" s="209"/>
      <c r="G13" s="210"/>
      <c r="H13" s="209"/>
      <c r="I13" s="209"/>
      <c r="J13" s="211"/>
      <c r="K13" s="212"/>
    </row>
    <row r="14" spans="1:14" ht="14.1" customHeight="1">
      <c r="A14" s="199"/>
      <c r="B14" s="461" t="s">
        <v>402</v>
      </c>
      <c r="C14" s="462"/>
      <c r="D14" s="462"/>
      <c r="E14" s="462"/>
      <c r="F14" s="463"/>
      <c r="G14" s="210"/>
      <c r="H14" s="466"/>
      <c r="I14" s="466"/>
      <c r="J14" s="466"/>
      <c r="K14" s="467"/>
    </row>
    <row r="15" spans="1:14" ht="14.1" customHeight="1">
      <c r="A15" s="199"/>
      <c r="B15" s="462"/>
      <c r="C15" s="462"/>
      <c r="D15" s="462"/>
      <c r="E15" s="462"/>
      <c r="F15" s="463"/>
      <c r="G15" s="303" t="s">
        <v>139</v>
      </c>
      <c r="H15" s="468" t="s">
        <v>171</v>
      </c>
      <c r="I15" s="468"/>
      <c r="J15" s="468"/>
      <c r="K15" s="469"/>
      <c r="N15" s="25"/>
    </row>
    <row r="16" spans="1:14" ht="12.75">
      <c r="A16" s="199"/>
      <c r="B16" s="462"/>
      <c r="C16" s="462"/>
      <c r="D16" s="462"/>
      <c r="E16" s="462"/>
      <c r="F16" s="463"/>
      <c r="G16" s="210"/>
      <c r="H16" s="468"/>
      <c r="I16" s="468"/>
      <c r="J16" s="468"/>
      <c r="K16" s="469"/>
    </row>
    <row r="17" spans="1:16" ht="94.5" customHeight="1">
      <c r="A17" s="199"/>
      <c r="B17" s="464"/>
      <c r="C17" s="464"/>
      <c r="D17" s="464"/>
      <c r="E17" s="464"/>
      <c r="F17" s="465"/>
      <c r="G17" s="210" t="s">
        <v>140</v>
      </c>
      <c r="H17" s="470" t="s">
        <v>356</v>
      </c>
      <c r="I17" s="470"/>
      <c r="J17" s="470"/>
      <c r="K17" s="471"/>
    </row>
    <row r="18" spans="1:16" ht="18.600000000000001" customHeight="1">
      <c r="A18" s="20" t="s">
        <v>149</v>
      </c>
      <c r="B18" s="26"/>
      <c r="C18" s="18" t="s">
        <v>12</v>
      </c>
      <c r="D18" s="19"/>
      <c r="E18" s="19"/>
      <c r="F18" s="21"/>
      <c r="G18" s="24"/>
      <c r="H18" s="431"/>
      <c r="I18" s="431"/>
      <c r="J18" s="431"/>
      <c r="K18" s="432"/>
    </row>
    <row r="19" spans="1:16" s="6" customFormat="1" ht="13.5" customHeight="1">
      <c r="A19" s="22"/>
      <c r="B19" s="275" t="s">
        <v>355</v>
      </c>
      <c r="C19" s="27"/>
      <c r="D19" s="429">
        <v>46222</v>
      </c>
      <c r="E19" s="429"/>
      <c r="F19" s="430"/>
      <c r="G19" s="24" t="s">
        <v>107</v>
      </c>
      <c r="H19" s="431" t="s">
        <v>108</v>
      </c>
      <c r="I19" s="431"/>
      <c r="J19" s="431"/>
      <c r="K19" s="432"/>
      <c r="M19" s="7"/>
      <c r="N19" s="7"/>
      <c r="O19" s="7"/>
    </row>
    <row r="20" spans="1:16" s="6" customFormat="1" ht="18.600000000000001" customHeight="1">
      <c r="A20" s="20" t="s">
        <v>13</v>
      </c>
      <c r="B20" s="19"/>
      <c r="C20" s="18" t="s">
        <v>14</v>
      </c>
      <c r="D20" s="19"/>
      <c r="E20" s="19"/>
      <c r="F20" s="21"/>
      <c r="G20" s="210" t="s">
        <v>152</v>
      </c>
      <c r="H20" s="470" t="s">
        <v>217</v>
      </c>
      <c r="I20" s="470"/>
      <c r="J20" s="470"/>
      <c r="K20" s="368"/>
      <c r="M20" s="7"/>
      <c r="N20" s="7"/>
      <c r="O20" s="7"/>
    </row>
    <row r="21" spans="1:16" s="6" customFormat="1" ht="15" customHeight="1">
      <c r="A21" s="8"/>
      <c r="B21" s="209" t="s">
        <v>173</v>
      </c>
      <c r="C21" s="475" t="s">
        <v>400</v>
      </c>
      <c r="D21" s="476"/>
      <c r="E21" s="476"/>
      <c r="F21" s="477"/>
      <c r="H21" s="143"/>
      <c r="K21" s="9"/>
      <c r="M21" s="7"/>
      <c r="N21" s="7"/>
      <c r="O21" s="7"/>
    </row>
    <row r="22" spans="1:16" s="6" customFormat="1" ht="18.600000000000001" customHeight="1">
      <c r="A22" s="20" t="s">
        <v>150</v>
      </c>
      <c r="B22" s="26"/>
      <c r="C22" s="18" t="s">
        <v>151</v>
      </c>
      <c r="D22" s="19"/>
      <c r="E22" s="19"/>
      <c r="F22" s="21"/>
      <c r="G22" s="24"/>
      <c r="H22" s="143"/>
      <c r="K22" s="9"/>
      <c r="M22" s="7"/>
      <c r="N22" s="7"/>
      <c r="O22" s="7"/>
    </row>
    <row r="23" spans="1:16" s="6" customFormat="1" ht="15.95" customHeight="1">
      <c r="A23" s="22"/>
      <c r="B23" s="275" t="s">
        <v>357</v>
      </c>
      <c r="C23" s="276"/>
      <c r="D23" s="429">
        <v>46222</v>
      </c>
      <c r="E23" s="429"/>
      <c r="F23" s="430"/>
      <c r="G23" s="24"/>
      <c r="K23" s="9"/>
      <c r="M23" s="7"/>
      <c r="N23" s="7"/>
      <c r="O23" s="7"/>
    </row>
    <row r="24" spans="1:16" s="6" customFormat="1" ht="19.350000000000001" customHeight="1">
      <c r="A24" s="20" t="s">
        <v>17</v>
      </c>
      <c r="B24" s="19"/>
      <c r="C24" s="19"/>
      <c r="D24" s="19"/>
      <c r="E24" s="19"/>
      <c r="F24" s="19"/>
      <c r="G24" s="29" t="s">
        <v>330</v>
      </c>
      <c r="H24" s="30"/>
      <c r="I24" s="31"/>
      <c r="J24" s="30"/>
      <c r="K24" s="32"/>
      <c r="M24" s="7"/>
      <c r="N24" s="7"/>
      <c r="O24" s="7"/>
    </row>
    <row r="25" spans="1:16" s="6" customFormat="1" ht="12.75">
      <c r="A25" s="8"/>
      <c r="B25" s="17" t="s">
        <v>8</v>
      </c>
      <c r="C25" s="7"/>
      <c r="D25" s="7"/>
      <c r="E25" s="7"/>
      <c r="F25" s="7"/>
      <c r="G25" s="340" t="s">
        <v>333</v>
      </c>
      <c r="K25" s="9"/>
      <c r="M25" s="7"/>
      <c r="N25" s="7"/>
      <c r="O25" s="7"/>
    </row>
    <row r="26" spans="1:16" s="6" customFormat="1" ht="12.75">
      <c r="A26" s="8"/>
      <c r="B26" s="478" t="s">
        <v>148</v>
      </c>
      <c r="C26" s="478"/>
      <c r="D26" s="478"/>
      <c r="E26" s="478"/>
      <c r="F26" s="479"/>
      <c r="G26" s="340" t="s">
        <v>331</v>
      </c>
      <c r="K26" s="9"/>
      <c r="M26" s="7"/>
      <c r="N26" s="7"/>
      <c r="O26" s="7"/>
    </row>
    <row r="27" spans="1:16" s="6" customFormat="1" ht="12.75">
      <c r="A27" s="22"/>
      <c r="B27" s="480"/>
      <c r="C27" s="480"/>
      <c r="D27" s="480"/>
      <c r="E27" s="480"/>
      <c r="F27" s="481"/>
      <c r="G27" s="341" t="s">
        <v>332</v>
      </c>
      <c r="H27" s="34"/>
      <c r="I27" s="34"/>
      <c r="J27" s="34"/>
      <c r="K27" s="35"/>
      <c r="M27" s="7"/>
      <c r="N27" s="7"/>
      <c r="O27" s="7"/>
    </row>
    <row r="28" spans="1:16" ht="45" customHeight="1">
      <c r="A28" s="482" t="s">
        <v>18</v>
      </c>
      <c r="B28" s="473"/>
      <c r="C28" s="473"/>
      <c r="D28" s="473"/>
      <c r="E28" s="473"/>
      <c r="F28" s="473"/>
      <c r="G28" s="483"/>
      <c r="H28" s="36" t="s">
        <v>19</v>
      </c>
      <c r="I28" s="36" t="s">
        <v>20</v>
      </c>
      <c r="J28" s="37" t="s">
        <v>21</v>
      </c>
      <c r="K28" s="38" t="s">
        <v>22</v>
      </c>
    </row>
    <row r="29" spans="1:16" ht="36" customHeight="1">
      <c r="A29" s="23"/>
      <c r="B29" s="484" t="s">
        <v>161</v>
      </c>
      <c r="C29" s="484"/>
      <c r="D29" s="484"/>
      <c r="E29" s="484"/>
      <c r="F29" s="484"/>
      <c r="G29" s="485"/>
      <c r="H29" s="39"/>
      <c r="I29" s="39"/>
      <c r="J29" s="39"/>
      <c r="K29" s="40"/>
      <c r="N29" s="256"/>
      <c r="O29" s="255"/>
    </row>
    <row r="30" spans="1:16" ht="18.75" customHeight="1">
      <c r="A30" s="23"/>
      <c r="B30" s="208"/>
      <c r="C30" s="209"/>
      <c r="D30" s="209"/>
      <c r="E30" s="209"/>
      <c r="F30" s="209"/>
      <c r="G30" s="213"/>
      <c r="H30" s="214"/>
      <c r="I30" s="214"/>
      <c r="J30" s="215"/>
      <c r="K30" s="215"/>
      <c r="M30" s="255"/>
      <c r="O30" s="326"/>
      <c r="P30" s="326"/>
    </row>
    <row r="31" spans="1:16" ht="15" customHeight="1">
      <c r="A31" s="486" t="s">
        <v>289</v>
      </c>
      <c r="B31" s="487"/>
      <c r="C31" s="487"/>
      <c r="D31" s="487"/>
      <c r="E31" s="487"/>
      <c r="F31" s="487"/>
      <c r="G31" s="488"/>
      <c r="H31" s="214"/>
      <c r="I31" s="260"/>
      <c r="J31" s="215"/>
      <c r="K31" s="215"/>
      <c r="M31" s="255"/>
      <c r="O31" s="326"/>
      <c r="P31" s="326"/>
    </row>
    <row r="32" spans="1:16" ht="15" customHeight="1">
      <c r="A32" s="489"/>
      <c r="B32" s="487"/>
      <c r="C32" s="487"/>
      <c r="D32" s="487"/>
      <c r="E32" s="487"/>
      <c r="F32" s="487"/>
      <c r="G32" s="488"/>
      <c r="H32" s="214" t="s">
        <v>404</v>
      </c>
      <c r="I32" s="260" t="s">
        <v>403</v>
      </c>
      <c r="J32" s="215"/>
      <c r="K32" s="215">
        <v>141543.19000000003</v>
      </c>
      <c r="M32" s="255"/>
      <c r="O32" s="326"/>
      <c r="P32" s="326"/>
    </row>
    <row r="33" spans="1:16" ht="15" customHeight="1">
      <c r="A33" s="489"/>
      <c r="B33" s="487"/>
      <c r="C33" s="487"/>
      <c r="D33" s="487"/>
      <c r="E33" s="487"/>
      <c r="F33" s="487"/>
      <c r="G33" s="488"/>
      <c r="H33" s="214"/>
      <c r="I33" s="260"/>
      <c r="J33" s="215"/>
      <c r="K33" s="215"/>
      <c r="M33" s="255"/>
      <c r="O33" s="326"/>
      <c r="P33" s="326"/>
    </row>
    <row r="34" spans="1:16" ht="15" customHeight="1">
      <c r="A34" s="489"/>
      <c r="B34" s="487"/>
      <c r="C34" s="487"/>
      <c r="D34" s="487"/>
      <c r="E34" s="487"/>
      <c r="F34" s="487"/>
      <c r="G34" s="488"/>
      <c r="H34" s="214"/>
      <c r="I34" s="260"/>
      <c r="J34" s="215"/>
      <c r="K34" s="215"/>
      <c r="M34" s="255"/>
      <c r="O34" s="326"/>
      <c r="P34" s="326"/>
    </row>
    <row r="35" spans="1:16" ht="18" customHeight="1">
      <c r="A35" s="23"/>
      <c r="B35" s="209" t="s">
        <v>155</v>
      </c>
      <c r="C35" s="209"/>
      <c r="D35" s="209"/>
      <c r="E35" s="209"/>
      <c r="F35" s="209"/>
      <c r="G35" s="213"/>
      <c r="H35" s="214"/>
      <c r="I35" s="214"/>
      <c r="J35" s="215"/>
      <c r="K35" s="215"/>
      <c r="M35" s="255"/>
    </row>
    <row r="36" spans="1:16" ht="18" customHeight="1">
      <c r="A36" s="23"/>
      <c r="B36" s="209"/>
      <c r="C36" s="209"/>
      <c r="D36" s="209"/>
      <c r="E36" s="209"/>
      <c r="F36" s="209"/>
      <c r="G36" s="213"/>
      <c r="H36" s="214"/>
      <c r="I36" s="214"/>
      <c r="J36" s="215"/>
      <c r="K36" s="215"/>
      <c r="M36" s="255"/>
      <c r="O36" s="325"/>
    </row>
    <row r="37" spans="1:16" ht="18" customHeight="1">
      <c r="A37" s="41"/>
      <c r="B37" s="42"/>
      <c r="C37" s="42"/>
      <c r="D37" s="42"/>
      <c r="E37" s="42"/>
      <c r="F37" s="42"/>
      <c r="G37" s="43"/>
      <c r="H37" s="44"/>
      <c r="I37" s="44"/>
      <c r="J37" s="44"/>
      <c r="K37" s="45"/>
    </row>
    <row r="38" spans="1:16" ht="14.1" customHeight="1">
      <c r="A38" s="20"/>
      <c r="B38" s="472" t="s">
        <v>25</v>
      </c>
      <c r="C38" s="472"/>
      <c r="D38" s="472"/>
      <c r="E38" s="472"/>
      <c r="F38" s="472"/>
      <c r="G38" s="472"/>
      <c r="H38" s="46"/>
      <c r="I38" s="31"/>
      <c r="J38" s="31"/>
      <c r="K38" s="47">
        <f>SUM(K31:K37)</f>
        <v>141543.19000000003</v>
      </c>
      <c r="M38" s="255"/>
    </row>
    <row r="39" spans="1:16" ht="14.1" customHeight="1">
      <c r="A39" s="41"/>
      <c r="B39" s="473"/>
      <c r="C39" s="473"/>
      <c r="D39" s="473"/>
      <c r="E39" s="473"/>
      <c r="F39" s="473"/>
      <c r="G39" s="473"/>
      <c r="H39" s="48"/>
      <c r="I39" s="48"/>
      <c r="J39" s="48"/>
      <c r="K39" s="49"/>
    </row>
    <row r="40" spans="1:16" ht="14.1" customHeight="1">
      <c r="A40" s="23"/>
      <c r="K40" s="9"/>
    </row>
    <row r="41" spans="1:16" ht="14.1" customHeight="1">
      <c r="A41" s="23"/>
      <c r="K41" s="9"/>
    </row>
    <row r="42" spans="1:16" ht="14.1" customHeight="1">
      <c r="A42" s="8"/>
      <c r="K42" s="9"/>
    </row>
    <row r="43" spans="1:16" ht="14.1" customHeight="1">
      <c r="A43" s="8"/>
      <c r="K43" s="9"/>
    </row>
    <row r="44" spans="1:16" ht="14.1" customHeight="1">
      <c r="A44" s="8"/>
      <c r="K44" s="9"/>
    </row>
    <row r="45" spans="1:16" ht="14.1" customHeight="1">
      <c r="A45" s="8"/>
      <c r="G45" s="50" t="s">
        <v>26</v>
      </c>
      <c r="H45" s="34"/>
      <c r="I45" s="34"/>
      <c r="J45" s="34"/>
      <c r="K45" s="9"/>
    </row>
    <row r="46" spans="1:16" ht="14.1" customHeight="1">
      <c r="A46" s="8"/>
      <c r="H46" s="474" t="s">
        <v>166</v>
      </c>
      <c r="I46" s="474"/>
      <c r="J46" s="474"/>
      <c r="K46" s="9"/>
    </row>
    <row r="47" spans="1:16" ht="14.1" customHeight="1" thickBot="1">
      <c r="A47" s="90"/>
      <c r="B47" s="52"/>
      <c r="C47" s="52"/>
      <c r="D47" s="52"/>
      <c r="E47" s="52"/>
      <c r="F47" s="52"/>
      <c r="G47" s="53"/>
      <c r="H47" s="54"/>
      <c r="I47" s="54"/>
      <c r="J47" s="54"/>
      <c r="K47" s="146"/>
    </row>
  </sheetData>
  <sheetProtection selectLockedCells="1" selectUnlockedCells="1"/>
  <mergeCells count="23">
    <mergeCell ref="B38:G39"/>
    <mergeCell ref="H46:J46"/>
    <mergeCell ref="C21:F21"/>
    <mergeCell ref="H20:J20"/>
    <mergeCell ref="D23:F23"/>
    <mergeCell ref="B26:F27"/>
    <mergeCell ref="A28:G28"/>
    <mergeCell ref="B29:G29"/>
    <mergeCell ref="A31:G34"/>
    <mergeCell ref="D19:F19"/>
    <mergeCell ref="H19:K19"/>
    <mergeCell ref="B3:E3"/>
    <mergeCell ref="H3:K3"/>
    <mergeCell ref="A4:K4"/>
    <mergeCell ref="B6:F8"/>
    <mergeCell ref="G9:K9"/>
    <mergeCell ref="B10:F12"/>
    <mergeCell ref="G10:K12"/>
    <mergeCell ref="B14:F17"/>
    <mergeCell ref="H14:K14"/>
    <mergeCell ref="H15:K16"/>
    <mergeCell ref="H17:K17"/>
    <mergeCell ref="H18:K18"/>
  </mergeCells>
  <printOptions horizontalCentered="1" verticalCentered="1"/>
  <pageMargins left="0.49" right="0.53" top="0.41" bottom="0.57999999999999996" header="0.31496062992125984" footer="0.31496062992125984"/>
  <pageSetup paperSize="9" scale="6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30B8-88A4-43D1-BBAE-BE0C2397C389}">
  <sheetPr>
    <tabColor rgb="FFFFC000"/>
    <pageSetUpPr fitToPage="1"/>
  </sheetPr>
  <dimension ref="A4:AD138"/>
  <sheetViews>
    <sheetView showGridLines="0" tabSelected="1" view="pageBreakPreview" topLeftCell="A76" zoomScale="72" zoomScaleNormal="86" zoomScaleSheetLayoutView="72" workbookViewId="0">
      <selection activeCell="C100" sqref="C100"/>
    </sheetView>
  </sheetViews>
  <sheetFormatPr defaultColWidth="8.76953125" defaultRowHeight="14.25"/>
  <cols>
    <col min="1" max="1" width="5.26171875" style="57" customWidth="1"/>
    <col min="2" max="3" width="21.1640625" style="57" customWidth="1"/>
    <col min="4" max="4" width="32.9765625" style="57" customWidth="1"/>
    <col min="5" max="5" width="22.921875" style="57" customWidth="1"/>
    <col min="6" max="6" width="8.76953125" style="62" customWidth="1"/>
    <col min="7" max="7" width="11.34375" style="57" customWidth="1"/>
    <col min="8" max="8" width="10.171875" style="57" customWidth="1"/>
    <col min="9" max="9" width="8.65234375" style="62" customWidth="1"/>
    <col min="10" max="10" width="7.484375" style="62" customWidth="1"/>
    <col min="11" max="11" width="5.37890625" style="62" hidden="1" customWidth="1"/>
    <col min="12" max="12" width="7.3671875" style="62" hidden="1" customWidth="1"/>
    <col min="13" max="13" width="6.78125" style="62" hidden="1" customWidth="1"/>
    <col min="14" max="14" width="10.7578125" style="62" customWidth="1"/>
    <col min="15" max="15" width="9.47265625" style="62" hidden="1" customWidth="1"/>
    <col min="16" max="16" width="9.12109375" style="57" customWidth="1"/>
    <col min="17" max="17" width="10.5234375" style="57" customWidth="1"/>
    <col min="18" max="18" width="30.5234375" style="57" customWidth="1"/>
    <col min="19" max="19" width="10.0546875" style="57" bestFit="1" customWidth="1"/>
    <col min="20" max="20" width="9.703125" style="57" hidden="1" customWidth="1"/>
    <col min="21" max="22" width="9.5859375" style="57" hidden="1" customWidth="1"/>
    <col min="23" max="27" width="0" style="57" hidden="1" customWidth="1"/>
    <col min="28" max="28" width="1.05078125" style="57" customWidth="1"/>
    <col min="29" max="29" width="10.40625" style="57" bestFit="1" customWidth="1"/>
    <col min="30" max="16384" width="8.76953125" style="57"/>
  </cols>
  <sheetData>
    <row r="4" spans="1:27">
      <c r="AA4" s="57">
        <v>1</v>
      </c>
    </row>
    <row r="5" spans="1:27">
      <c r="A5" s="388" t="s">
        <v>156</v>
      </c>
      <c r="B5" s="388"/>
      <c r="C5" s="387"/>
      <c r="D5" s="58" t="str">
        <f>'Commercial Invoice'!H5</f>
        <v>OM4-DE-IS-0004</v>
      </c>
      <c r="E5" s="116"/>
      <c r="F5" s="61"/>
      <c r="G5" s="59"/>
      <c r="H5" s="58" t="s">
        <v>125</v>
      </c>
      <c r="I5" s="389"/>
      <c r="J5" s="389"/>
      <c r="K5" s="389"/>
      <c r="L5" s="389"/>
      <c r="M5" s="389"/>
      <c r="N5" s="389"/>
      <c r="O5" s="389"/>
      <c r="P5" s="60"/>
      <c r="Q5" s="359"/>
      <c r="R5" s="359" t="str">
        <f>'Commercial Invoice'!G6</f>
        <v>DATE:</v>
      </c>
      <c r="S5" s="359">
        <v>46219</v>
      </c>
      <c r="AA5" s="57">
        <v>2</v>
      </c>
    </row>
    <row r="6" spans="1:27">
      <c r="B6" s="61"/>
      <c r="C6" s="387"/>
      <c r="D6" s="61"/>
      <c r="E6" s="61"/>
      <c r="F6" s="61"/>
      <c r="AA6" s="57">
        <v>3</v>
      </c>
    </row>
    <row r="7" spans="1:27" ht="47.25" customHeight="1">
      <c r="A7" s="264" t="s">
        <v>27</v>
      </c>
      <c r="B7" s="63" t="s">
        <v>28</v>
      </c>
      <c r="C7" s="63" t="s">
        <v>424</v>
      </c>
      <c r="D7" s="63" t="s">
        <v>18</v>
      </c>
      <c r="E7" s="373" t="s">
        <v>415</v>
      </c>
      <c r="F7" s="374" t="s">
        <v>416</v>
      </c>
      <c r="G7" s="264" t="s">
        <v>29</v>
      </c>
      <c r="H7" s="264" t="s">
        <v>30</v>
      </c>
      <c r="I7" s="63" t="s">
        <v>20</v>
      </c>
      <c r="J7" s="63" t="s">
        <v>19</v>
      </c>
      <c r="K7" s="63"/>
      <c r="L7" s="63"/>
      <c r="M7" s="63"/>
      <c r="N7" s="264" t="s">
        <v>157</v>
      </c>
      <c r="O7" s="365" t="s">
        <v>157</v>
      </c>
      <c r="P7" s="264" t="s">
        <v>21</v>
      </c>
      <c r="Q7" s="264" t="s">
        <v>22</v>
      </c>
      <c r="R7" s="264" t="s">
        <v>358</v>
      </c>
      <c r="S7" s="264" t="s">
        <v>327</v>
      </c>
      <c r="AA7" s="57">
        <v>4</v>
      </c>
    </row>
    <row r="8" spans="1:27" ht="23.1" customHeight="1">
      <c r="A8" s="63">
        <v>1</v>
      </c>
      <c r="B8" s="63" t="s">
        <v>290</v>
      </c>
      <c r="C8" s="63" t="s">
        <v>422</v>
      </c>
      <c r="D8" s="372" t="s">
        <v>334</v>
      </c>
      <c r="E8" s="375" t="s">
        <v>369</v>
      </c>
      <c r="F8" s="378" t="s">
        <v>405</v>
      </c>
      <c r="G8" s="264" t="s">
        <v>282</v>
      </c>
      <c r="H8" s="264" t="s">
        <v>288</v>
      </c>
      <c r="I8" s="63">
        <v>13</v>
      </c>
      <c r="J8" s="63" t="s">
        <v>222</v>
      </c>
      <c r="K8" s="63"/>
      <c r="L8" s="63"/>
      <c r="M8" s="63"/>
      <c r="N8" s="364">
        <v>163.13725490196077</v>
      </c>
      <c r="O8" s="366">
        <v>163.13725490196077</v>
      </c>
      <c r="P8" s="354">
        <v>65.06</v>
      </c>
      <c r="Q8" s="354">
        <v>845.82</v>
      </c>
      <c r="R8" s="354" t="s">
        <v>230</v>
      </c>
      <c r="S8" s="354" t="s">
        <v>328</v>
      </c>
    </row>
    <row r="9" spans="1:27" ht="23.1" customHeight="1">
      <c r="A9" s="63">
        <v>2</v>
      </c>
      <c r="B9" s="63" t="s">
        <v>290</v>
      </c>
      <c r="C9" s="63" t="s">
        <v>422</v>
      </c>
      <c r="D9" s="372" t="s">
        <v>335</v>
      </c>
      <c r="E9" s="375" t="s">
        <v>370</v>
      </c>
      <c r="F9" s="378" t="s">
        <v>405</v>
      </c>
      <c r="G9" s="264" t="s">
        <v>282</v>
      </c>
      <c r="H9" s="264" t="s">
        <v>288</v>
      </c>
      <c r="I9" s="63">
        <v>19</v>
      </c>
      <c r="J9" s="63" t="s">
        <v>222</v>
      </c>
      <c r="K9" s="63"/>
      <c r="L9" s="63"/>
      <c r="M9" s="63"/>
      <c r="N9" s="364">
        <v>238.43137254901961</v>
      </c>
      <c r="O9" s="366">
        <v>238.43137254901961</v>
      </c>
      <c r="P9" s="354">
        <v>65.06</v>
      </c>
      <c r="Q9" s="354">
        <v>1236.2</v>
      </c>
      <c r="R9" s="354" t="s">
        <v>231</v>
      </c>
      <c r="S9" s="354" t="s">
        <v>328</v>
      </c>
    </row>
    <row r="10" spans="1:27" ht="23.1" customHeight="1">
      <c r="A10" s="63">
        <v>3</v>
      </c>
      <c r="B10" s="63" t="s">
        <v>290</v>
      </c>
      <c r="C10" s="63" t="s">
        <v>422</v>
      </c>
      <c r="D10" s="372" t="s">
        <v>335</v>
      </c>
      <c r="E10" s="375" t="s">
        <v>371</v>
      </c>
      <c r="F10" s="378" t="s">
        <v>405</v>
      </c>
      <c r="G10" s="264" t="s">
        <v>282</v>
      </c>
      <c r="H10" s="264" t="s">
        <v>288</v>
      </c>
      <c r="I10" s="63">
        <v>10</v>
      </c>
      <c r="J10" s="63" t="s">
        <v>222</v>
      </c>
      <c r="K10" s="63"/>
      <c r="L10" s="63"/>
      <c r="M10" s="63"/>
      <c r="N10" s="364">
        <v>125.49019607843137</v>
      </c>
      <c r="O10" s="366">
        <v>125.49019607843137</v>
      </c>
      <c r="P10" s="354">
        <v>65.06</v>
      </c>
      <c r="Q10" s="354">
        <v>650.63</v>
      </c>
      <c r="R10" s="354" t="s">
        <v>232</v>
      </c>
      <c r="S10" s="354" t="s">
        <v>328</v>
      </c>
    </row>
    <row r="11" spans="1:27" ht="23.1" customHeight="1">
      <c r="A11" s="63">
        <v>4</v>
      </c>
      <c r="B11" s="63" t="s">
        <v>290</v>
      </c>
      <c r="C11" s="63" t="s">
        <v>422</v>
      </c>
      <c r="D11" s="372" t="s">
        <v>177</v>
      </c>
      <c r="E11" s="375" t="s">
        <v>372</v>
      </c>
      <c r="F11" s="378" t="s">
        <v>405</v>
      </c>
      <c r="G11" s="264" t="s">
        <v>282</v>
      </c>
      <c r="H11" s="264" t="s">
        <v>288</v>
      </c>
      <c r="I11" s="63">
        <v>4</v>
      </c>
      <c r="J11" s="63" t="s">
        <v>222</v>
      </c>
      <c r="K11" s="63"/>
      <c r="L11" s="63"/>
      <c r="M11" s="63"/>
      <c r="N11" s="364">
        <v>50.196078431372548</v>
      </c>
      <c r="O11" s="366">
        <v>50.196078431372548</v>
      </c>
      <c r="P11" s="354">
        <v>65.06</v>
      </c>
      <c r="Q11" s="354">
        <v>260.25</v>
      </c>
      <c r="R11" s="354" t="s">
        <v>228</v>
      </c>
      <c r="S11" s="354" t="s">
        <v>328</v>
      </c>
    </row>
    <row r="12" spans="1:27" ht="23.1" customHeight="1">
      <c r="A12" s="63">
        <v>5</v>
      </c>
      <c r="B12" s="63" t="s">
        <v>290</v>
      </c>
      <c r="C12" s="63" t="s">
        <v>422</v>
      </c>
      <c r="D12" s="372" t="s">
        <v>177</v>
      </c>
      <c r="E12" s="375" t="s">
        <v>373</v>
      </c>
      <c r="F12" s="378" t="s">
        <v>405</v>
      </c>
      <c r="G12" s="264" t="s">
        <v>282</v>
      </c>
      <c r="H12" s="264" t="s">
        <v>288</v>
      </c>
      <c r="I12" s="63">
        <v>5</v>
      </c>
      <c r="J12" s="63" t="s">
        <v>222</v>
      </c>
      <c r="K12" s="63"/>
      <c r="L12" s="63"/>
      <c r="M12" s="63"/>
      <c r="N12" s="364">
        <v>62.745098039215684</v>
      </c>
      <c r="O12" s="366">
        <v>62.745098039215684</v>
      </c>
      <c r="P12" s="354">
        <v>65.06</v>
      </c>
      <c r="Q12" s="354">
        <v>325.32</v>
      </c>
      <c r="R12" s="354" t="s">
        <v>229</v>
      </c>
      <c r="S12" s="354" t="s">
        <v>328</v>
      </c>
    </row>
    <row r="13" spans="1:27" ht="23.1" customHeight="1">
      <c r="A13" s="63">
        <v>6</v>
      </c>
      <c r="B13" s="63" t="s">
        <v>292</v>
      </c>
      <c r="C13" s="63" t="s">
        <v>422</v>
      </c>
      <c r="D13" s="372" t="s">
        <v>177</v>
      </c>
      <c r="E13" s="375" t="s">
        <v>374</v>
      </c>
      <c r="F13" s="378" t="s">
        <v>405</v>
      </c>
      <c r="G13" s="264" t="s">
        <v>282</v>
      </c>
      <c r="H13" s="264" t="s">
        <v>288</v>
      </c>
      <c r="I13" s="63">
        <v>29</v>
      </c>
      <c r="J13" s="63" t="s">
        <v>222</v>
      </c>
      <c r="K13" s="63"/>
      <c r="L13" s="63"/>
      <c r="M13" s="63"/>
      <c r="N13" s="364">
        <v>470</v>
      </c>
      <c r="O13" s="366">
        <v>470</v>
      </c>
      <c r="P13" s="354">
        <v>84.03</v>
      </c>
      <c r="Q13" s="354">
        <v>2436.8200000000002</v>
      </c>
      <c r="R13" s="354" t="s">
        <v>233</v>
      </c>
      <c r="S13" s="354" t="s">
        <v>328</v>
      </c>
    </row>
    <row r="14" spans="1:27" ht="23.1" customHeight="1">
      <c r="A14" s="63">
        <v>7</v>
      </c>
      <c r="B14" s="63" t="s">
        <v>293</v>
      </c>
      <c r="C14" s="63" t="s">
        <v>422</v>
      </c>
      <c r="D14" s="372" t="s">
        <v>335</v>
      </c>
      <c r="E14" s="375" t="s">
        <v>375</v>
      </c>
      <c r="F14" s="378" t="s">
        <v>405</v>
      </c>
      <c r="G14" s="264" t="s">
        <v>282</v>
      </c>
      <c r="H14" s="264" t="s">
        <v>288</v>
      </c>
      <c r="I14" s="63">
        <v>38</v>
      </c>
      <c r="J14" s="63" t="s">
        <v>222</v>
      </c>
      <c r="K14" s="63"/>
      <c r="L14" s="63"/>
      <c r="M14" s="63"/>
      <c r="N14" s="364">
        <v>639.51219512195121</v>
      </c>
      <c r="O14" s="366">
        <v>639.51219512195121</v>
      </c>
      <c r="P14" s="354">
        <v>87.26</v>
      </c>
      <c r="Q14" s="354">
        <v>3315.7</v>
      </c>
      <c r="R14" s="354" t="s">
        <v>234</v>
      </c>
      <c r="S14" s="354" t="s">
        <v>328</v>
      </c>
    </row>
    <row r="15" spans="1:27" ht="23.1" customHeight="1">
      <c r="A15" s="63">
        <v>8</v>
      </c>
      <c r="B15" s="63" t="s">
        <v>293</v>
      </c>
      <c r="C15" s="63" t="s">
        <v>422</v>
      </c>
      <c r="D15" s="372" t="s">
        <v>335</v>
      </c>
      <c r="E15" s="375" t="s">
        <v>376</v>
      </c>
      <c r="F15" s="378" t="s">
        <v>405</v>
      </c>
      <c r="G15" s="264" t="s">
        <v>282</v>
      </c>
      <c r="H15" s="264" t="s">
        <v>288</v>
      </c>
      <c r="I15" s="63">
        <v>3</v>
      </c>
      <c r="J15" s="63" t="s">
        <v>222</v>
      </c>
      <c r="K15" s="63"/>
      <c r="L15" s="63"/>
      <c r="M15" s="63"/>
      <c r="N15" s="364">
        <v>50.487804878048777</v>
      </c>
      <c r="O15" s="366">
        <v>50.487804878048777</v>
      </c>
      <c r="P15" s="354">
        <v>87.26</v>
      </c>
      <c r="Q15" s="354">
        <v>261.77</v>
      </c>
      <c r="R15" s="354" t="s">
        <v>235</v>
      </c>
      <c r="S15" s="354" t="s">
        <v>328</v>
      </c>
    </row>
    <row r="16" spans="1:27" ht="23.1" customHeight="1">
      <c r="A16" s="63">
        <v>9</v>
      </c>
      <c r="B16" s="63" t="s">
        <v>294</v>
      </c>
      <c r="C16" s="63" t="s">
        <v>422</v>
      </c>
      <c r="D16" s="372" t="s">
        <v>177</v>
      </c>
      <c r="E16" s="375" t="s">
        <v>377</v>
      </c>
      <c r="F16" s="378" t="s">
        <v>405</v>
      </c>
      <c r="G16" s="264" t="s">
        <v>282</v>
      </c>
      <c r="H16" s="264" t="s">
        <v>288</v>
      </c>
      <c r="I16" s="63">
        <v>17</v>
      </c>
      <c r="J16" s="63" t="s">
        <v>222</v>
      </c>
      <c r="K16" s="63"/>
      <c r="L16" s="63"/>
      <c r="M16" s="63"/>
      <c r="N16" s="364">
        <v>672.91666666666674</v>
      </c>
      <c r="O16" s="366">
        <v>672.91666666666674</v>
      </c>
      <c r="P16" s="354">
        <v>205.23</v>
      </c>
      <c r="Q16" s="354">
        <v>3488.89</v>
      </c>
      <c r="R16" s="354" t="s">
        <v>226</v>
      </c>
      <c r="S16" s="354" t="s">
        <v>328</v>
      </c>
    </row>
    <row r="17" spans="1:19" ht="23.1" customHeight="1">
      <c r="A17" s="63">
        <v>10</v>
      </c>
      <c r="B17" s="63" t="s">
        <v>294</v>
      </c>
      <c r="C17" s="63" t="s">
        <v>422</v>
      </c>
      <c r="D17" s="372" t="s">
        <v>177</v>
      </c>
      <c r="E17" s="375" t="s">
        <v>378</v>
      </c>
      <c r="F17" s="378" t="s">
        <v>405</v>
      </c>
      <c r="G17" s="264" t="s">
        <v>282</v>
      </c>
      <c r="H17" s="264" t="s">
        <v>288</v>
      </c>
      <c r="I17" s="63">
        <v>7</v>
      </c>
      <c r="J17" s="63" t="s">
        <v>222</v>
      </c>
      <c r="K17" s="63"/>
      <c r="L17" s="63"/>
      <c r="M17" s="63"/>
      <c r="N17" s="364">
        <v>277.08333333333337</v>
      </c>
      <c r="O17" s="366">
        <v>277.08333333333337</v>
      </c>
      <c r="P17" s="354">
        <v>205.23</v>
      </c>
      <c r="Q17" s="354">
        <v>1436.6</v>
      </c>
      <c r="R17" s="354" t="s">
        <v>227</v>
      </c>
      <c r="S17" s="354" t="s">
        <v>328</v>
      </c>
    </row>
    <row r="18" spans="1:19" ht="23.1" customHeight="1">
      <c r="A18" s="63">
        <v>11</v>
      </c>
      <c r="B18" s="63" t="s">
        <v>295</v>
      </c>
      <c r="C18" s="63" t="s">
        <v>422</v>
      </c>
      <c r="D18" s="372" t="s">
        <v>177</v>
      </c>
      <c r="E18" s="375" t="s">
        <v>379</v>
      </c>
      <c r="F18" s="378" t="s">
        <v>405</v>
      </c>
      <c r="G18" s="264" t="s">
        <v>282</v>
      </c>
      <c r="H18" s="264" t="s">
        <v>288</v>
      </c>
      <c r="I18" s="63">
        <v>46</v>
      </c>
      <c r="J18" s="63" t="s">
        <v>222</v>
      </c>
      <c r="K18" s="63"/>
      <c r="L18" s="63"/>
      <c r="M18" s="63"/>
      <c r="N18" s="364">
        <v>606.03174603174602</v>
      </c>
      <c r="O18" s="366">
        <v>606.03174603174602</v>
      </c>
      <c r="P18" s="354">
        <v>68.31</v>
      </c>
      <c r="Q18" s="354">
        <v>3142.11</v>
      </c>
      <c r="R18" s="354" t="s">
        <v>223</v>
      </c>
      <c r="S18" s="354" t="s">
        <v>328</v>
      </c>
    </row>
    <row r="19" spans="1:19" ht="23.1" customHeight="1">
      <c r="A19" s="63">
        <v>12</v>
      </c>
      <c r="B19" s="63" t="s">
        <v>295</v>
      </c>
      <c r="C19" s="63" t="s">
        <v>422</v>
      </c>
      <c r="D19" s="372" t="s">
        <v>177</v>
      </c>
      <c r="E19" s="375" t="s">
        <v>380</v>
      </c>
      <c r="F19" s="378" t="s">
        <v>405</v>
      </c>
      <c r="G19" s="264" t="s">
        <v>282</v>
      </c>
      <c r="H19" s="264" t="s">
        <v>288</v>
      </c>
      <c r="I19" s="63">
        <v>17</v>
      </c>
      <c r="J19" s="63" t="s">
        <v>222</v>
      </c>
      <c r="K19" s="63"/>
      <c r="L19" s="63"/>
      <c r="M19" s="63"/>
      <c r="N19" s="364">
        <v>223.96825396825395</v>
      </c>
      <c r="O19" s="366">
        <v>223.96825396825395</v>
      </c>
      <c r="P19" s="354">
        <v>68.31</v>
      </c>
      <c r="Q19" s="354">
        <v>1161.22</v>
      </c>
      <c r="R19" s="354" t="s">
        <v>224</v>
      </c>
      <c r="S19" s="354" t="s">
        <v>328</v>
      </c>
    </row>
    <row r="20" spans="1:19" ht="23.1" customHeight="1">
      <c r="A20" s="63">
        <v>13</v>
      </c>
      <c r="B20" s="63" t="s">
        <v>296</v>
      </c>
      <c r="C20" s="63" t="s">
        <v>422</v>
      </c>
      <c r="D20" s="372" t="s">
        <v>177</v>
      </c>
      <c r="E20" s="375" t="s">
        <v>381</v>
      </c>
      <c r="F20" s="378" t="s">
        <v>405</v>
      </c>
      <c r="G20" s="264" t="s">
        <v>282</v>
      </c>
      <c r="H20" s="264" t="s">
        <v>288</v>
      </c>
      <c r="I20" s="63">
        <v>6</v>
      </c>
      <c r="J20" s="63" t="s">
        <v>222</v>
      </c>
      <c r="K20" s="63"/>
      <c r="L20" s="63"/>
      <c r="M20" s="63"/>
      <c r="N20" s="364">
        <v>37.89473684210526</v>
      </c>
      <c r="O20" s="366">
        <v>37.89473684210526</v>
      </c>
      <c r="P20" s="354">
        <v>32.75</v>
      </c>
      <c r="Q20" s="354">
        <v>196.47</v>
      </c>
      <c r="R20" s="354" t="s">
        <v>236</v>
      </c>
      <c r="S20" s="354" t="s">
        <v>328</v>
      </c>
    </row>
    <row r="21" spans="1:19" ht="23.1" customHeight="1">
      <c r="A21" s="63">
        <v>14</v>
      </c>
      <c r="B21" s="63" t="s">
        <v>296</v>
      </c>
      <c r="C21" s="63" t="s">
        <v>422</v>
      </c>
      <c r="D21" s="372" t="s">
        <v>177</v>
      </c>
      <c r="E21" s="375" t="s">
        <v>382</v>
      </c>
      <c r="F21" s="378" t="s">
        <v>405</v>
      </c>
      <c r="G21" s="264" t="s">
        <v>282</v>
      </c>
      <c r="H21" s="264" t="s">
        <v>288</v>
      </c>
      <c r="I21" s="63">
        <v>10</v>
      </c>
      <c r="J21" s="63" t="s">
        <v>222</v>
      </c>
      <c r="K21" s="63"/>
      <c r="L21" s="63"/>
      <c r="M21" s="63"/>
      <c r="N21" s="364">
        <v>63.15789473684211</v>
      </c>
      <c r="O21" s="366">
        <v>63.15789473684211</v>
      </c>
      <c r="P21" s="354">
        <v>32.75</v>
      </c>
      <c r="Q21" s="354">
        <v>327.45999999999998</v>
      </c>
      <c r="R21" s="354" t="s">
        <v>237</v>
      </c>
      <c r="S21" s="354" t="s">
        <v>328</v>
      </c>
    </row>
    <row r="22" spans="1:19" ht="23.1" customHeight="1">
      <c r="A22" s="63">
        <v>15</v>
      </c>
      <c r="B22" s="63" t="s">
        <v>296</v>
      </c>
      <c r="C22" s="63" t="s">
        <v>422</v>
      </c>
      <c r="D22" s="372" t="s">
        <v>177</v>
      </c>
      <c r="E22" s="375" t="s">
        <v>383</v>
      </c>
      <c r="F22" s="378" t="s">
        <v>405</v>
      </c>
      <c r="G22" s="264" t="s">
        <v>282</v>
      </c>
      <c r="H22" s="264" t="s">
        <v>288</v>
      </c>
      <c r="I22" s="63">
        <v>22</v>
      </c>
      <c r="J22" s="63" t="s">
        <v>222</v>
      </c>
      <c r="K22" s="63"/>
      <c r="L22" s="63"/>
      <c r="M22" s="63"/>
      <c r="N22" s="364">
        <v>138.94736842105263</v>
      </c>
      <c r="O22" s="366">
        <v>138.94736842105263</v>
      </c>
      <c r="P22" s="354">
        <v>32.75</v>
      </c>
      <c r="Q22" s="354">
        <v>720.4</v>
      </c>
      <c r="R22" s="354" t="s">
        <v>238</v>
      </c>
      <c r="S22" s="354" t="s">
        <v>328</v>
      </c>
    </row>
    <row r="23" spans="1:19" ht="23.1" customHeight="1">
      <c r="A23" s="63">
        <v>16</v>
      </c>
      <c r="B23" s="63" t="s">
        <v>297</v>
      </c>
      <c r="C23" s="63" t="s">
        <v>422</v>
      </c>
      <c r="D23" s="372" t="s">
        <v>177</v>
      </c>
      <c r="E23" s="375" t="s">
        <v>384</v>
      </c>
      <c r="F23" s="378" t="s">
        <v>405</v>
      </c>
      <c r="G23" s="264" t="s">
        <v>282</v>
      </c>
      <c r="H23" s="264" t="s">
        <v>288</v>
      </c>
      <c r="I23" s="63">
        <v>32</v>
      </c>
      <c r="J23" s="63" t="s">
        <v>222</v>
      </c>
      <c r="K23" s="63"/>
      <c r="L23" s="63"/>
      <c r="M23" s="63"/>
      <c r="N23" s="364">
        <v>1580</v>
      </c>
      <c r="O23" s="366">
        <v>1580</v>
      </c>
      <c r="P23" s="354">
        <v>256</v>
      </c>
      <c r="Q23" s="354">
        <v>8191.88</v>
      </c>
      <c r="R23" s="354" t="s">
        <v>239</v>
      </c>
      <c r="S23" s="354" t="s">
        <v>328</v>
      </c>
    </row>
    <row r="24" spans="1:19" ht="23.1" customHeight="1">
      <c r="A24" s="63">
        <v>17</v>
      </c>
      <c r="B24" s="63" t="s">
        <v>298</v>
      </c>
      <c r="C24" s="63" t="s">
        <v>422</v>
      </c>
      <c r="D24" s="372" t="s">
        <v>177</v>
      </c>
      <c r="E24" s="375" t="s">
        <v>385</v>
      </c>
      <c r="F24" s="378" t="s">
        <v>405</v>
      </c>
      <c r="G24" s="264" t="s">
        <v>282</v>
      </c>
      <c r="H24" s="264" t="s">
        <v>288</v>
      </c>
      <c r="I24" s="63">
        <v>32</v>
      </c>
      <c r="J24" s="63" t="s">
        <v>222</v>
      </c>
      <c r="K24" s="63"/>
      <c r="L24" s="63"/>
      <c r="M24" s="63"/>
      <c r="N24" s="364">
        <v>1580</v>
      </c>
      <c r="O24" s="366">
        <v>1580</v>
      </c>
      <c r="P24" s="354">
        <v>256</v>
      </c>
      <c r="Q24" s="354">
        <v>8191.88</v>
      </c>
      <c r="R24" s="354" t="s">
        <v>226</v>
      </c>
      <c r="S24" s="354" t="s">
        <v>328</v>
      </c>
    </row>
    <row r="25" spans="1:19" ht="23.1" customHeight="1">
      <c r="A25" s="63">
        <v>18</v>
      </c>
      <c r="B25" s="63" t="s">
        <v>299</v>
      </c>
      <c r="C25" s="63" t="s">
        <v>422</v>
      </c>
      <c r="D25" s="372" t="s">
        <v>177</v>
      </c>
      <c r="E25" s="375" t="s">
        <v>406</v>
      </c>
      <c r="F25" s="378" t="s">
        <v>405</v>
      </c>
      <c r="G25" s="264" t="s">
        <v>282</v>
      </c>
      <c r="H25" s="264" t="s">
        <v>288</v>
      </c>
      <c r="I25" s="63">
        <v>25</v>
      </c>
      <c r="J25" s="63" t="s">
        <v>222</v>
      </c>
      <c r="K25" s="63"/>
      <c r="L25" s="63"/>
      <c r="M25" s="63"/>
      <c r="N25" s="364">
        <v>1120.6896551724139</v>
      </c>
      <c r="O25" s="366">
        <v>1120.6896551724139</v>
      </c>
      <c r="P25" s="354">
        <v>232.42</v>
      </c>
      <c r="Q25" s="354">
        <v>5810.48</v>
      </c>
      <c r="R25" s="354" t="s">
        <v>240</v>
      </c>
      <c r="S25" s="354" t="s">
        <v>328</v>
      </c>
    </row>
    <row r="26" spans="1:19" ht="23.1" customHeight="1">
      <c r="A26" s="63">
        <v>19</v>
      </c>
      <c r="B26" s="63" t="s">
        <v>299</v>
      </c>
      <c r="C26" s="63" t="s">
        <v>422</v>
      </c>
      <c r="D26" s="372" t="s">
        <v>177</v>
      </c>
      <c r="E26" s="375" t="s">
        <v>386</v>
      </c>
      <c r="F26" s="378" t="s">
        <v>405</v>
      </c>
      <c r="G26" s="264" t="s">
        <v>282</v>
      </c>
      <c r="H26" s="264" t="s">
        <v>288</v>
      </c>
      <c r="I26" s="63">
        <v>4</v>
      </c>
      <c r="J26" s="63" t="s">
        <v>222</v>
      </c>
      <c r="K26" s="63"/>
      <c r="L26" s="63"/>
      <c r="M26" s="63"/>
      <c r="N26" s="364">
        <v>179.31034482758622</v>
      </c>
      <c r="O26" s="366">
        <v>179.31034482758622</v>
      </c>
      <c r="P26" s="354">
        <v>232.42</v>
      </c>
      <c r="Q26" s="354">
        <v>929.68</v>
      </c>
      <c r="R26" s="354" t="s">
        <v>241</v>
      </c>
      <c r="S26" s="354" t="s">
        <v>328</v>
      </c>
    </row>
    <row r="27" spans="1:19" ht="23.1" customHeight="1">
      <c r="A27" s="63">
        <v>20</v>
      </c>
      <c r="B27" s="63" t="s">
        <v>300</v>
      </c>
      <c r="C27" s="63" t="s">
        <v>422</v>
      </c>
      <c r="D27" s="372" t="s">
        <v>177</v>
      </c>
      <c r="E27" s="375" t="s">
        <v>387</v>
      </c>
      <c r="F27" s="378" t="s">
        <v>405</v>
      </c>
      <c r="G27" s="264" t="s">
        <v>282</v>
      </c>
      <c r="H27" s="264" t="s">
        <v>288</v>
      </c>
      <c r="I27" s="63">
        <v>17</v>
      </c>
      <c r="J27" s="63" t="s">
        <v>222</v>
      </c>
      <c r="K27" s="63"/>
      <c r="L27" s="63"/>
      <c r="M27" s="63"/>
      <c r="N27" s="364">
        <v>595</v>
      </c>
      <c r="O27" s="366">
        <v>595</v>
      </c>
      <c r="P27" s="354">
        <v>181.47</v>
      </c>
      <c r="Q27" s="354">
        <v>3084.92</v>
      </c>
      <c r="R27" s="354" t="s">
        <v>242</v>
      </c>
      <c r="S27" s="354" t="s">
        <v>328</v>
      </c>
    </row>
    <row r="28" spans="1:19" ht="23.1" customHeight="1">
      <c r="A28" s="63">
        <v>21</v>
      </c>
      <c r="B28" s="63" t="s">
        <v>300</v>
      </c>
      <c r="C28" s="63" t="s">
        <v>422</v>
      </c>
      <c r="D28" s="372" t="s">
        <v>177</v>
      </c>
      <c r="E28" s="375" t="s">
        <v>388</v>
      </c>
      <c r="F28" s="378" t="s">
        <v>405</v>
      </c>
      <c r="G28" s="264" t="s">
        <v>282</v>
      </c>
      <c r="H28" s="264" t="s">
        <v>288</v>
      </c>
      <c r="I28" s="63">
        <v>13</v>
      </c>
      <c r="J28" s="63" t="s">
        <v>222</v>
      </c>
      <c r="K28" s="63"/>
      <c r="L28" s="63"/>
      <c r="M28" s="63"/>
      <c r="N28" s="364">
        <v>455</v>
      </c>
      <c r="O28" s="366">
        <v>455</v>
      </c>
      <c r="P28" s="354">
        <v>181.47</v>
      </c>
      <c r="Q28" s="354">
        <v>2359.0500000000002</v>
      </c>
      <c r="R28" s="354" t="s">
        <v>243</v>
      </c>
      <c r="S28" s="354" t="s">
        <v>328</v>
      </c>
    </row>
    <row r="29" spans="1:19" ht="23.1" customHeight="1">
      <c r="A29" s="63">
        <v>22</v>
      </c>
      <c r="B29" s="63" t="s">
        <v>301</v>
      </c>
      <c r="C29" s="63" t="s">
        <v>422</v>
      </c>
      <c r="D29" s="372" t="s">
        <v>335</v>
      </c>
      <c r="E29" s="375" t="s">
        <v>389</v>
      </c>
      <c r="F29" s="378" t="s">
        <v>405</v>
      </c>
      <c r="G29" s="264" t="s">
        <v>282</v>
      </c>
      <c r="H29" s="264" t="s">
        <v>288</v>
      </c>
      <c r="I29" s="63">
        <v>35</v>
      </c>
      <c r="J29" s="63" t="s">
        <v>222</v>
      </c>
      <c r="K29" s="63"/>
      <c r="L29" s="63"/>
      <c r="M29" s="63"/>
      <c r="N29" s="364">
        <v>1730</v>
      </c>
      <c r="O29" s="366">
        <v>1730</v>
      </c>
      <c r="P29" s="354">
        <v>256.27</v>
      </c>
      <c r="Q29" s="354">
        <v>8969.59</v>
      </c>
      <c r="R29" s="354" t="s">
        <v>244</v>
      </c>
      <c r="S29" s="354" t="s">
        <v>328</v>
      </c>
    </row>
    <row r="30" spans="1:19" ht="23.1" customHeight="1">
      <c r="A30" s="63">
        <v>23</v>
      </c>
      <c r="B30" s="63" t="s">
        <v>302</v>
      </c>
      <c r="C30" s="63" t="s">
        <v>422</v>
      </c>
      <c r="D30" s="372" t="s">
        <v>335</v>
      </c>
      <c r="E30" s="375" t="s">
        <v>390</v>
      </c>
      <c r="F30" s="378" t="s">
        <v>405</v>
      </c>
      <c r="G30" s="264" t="s">
        <v>282</v>
      </c>
      <c r="H30" s="264" t="s">
        <v>288</v>
      </c>
      <c r="I30" s="63">
        <v>36</v>
      </c>
      <c r="J30" s="63" t="s">
        <v>222</v>
      </c>
      <c r="K30" s="63"/>
      <c r="L30" s="63"/>
      <c r="M30" s="63"/>
      <c r="N30" s="364">
        <v>1780</v>
      </c>
      <c r="O30" s="366">
        <v>1780</v>
      </c>
      <c r="P30" s="354">
        <v>256.36</v>
      </c>
      <c r="Q30" s="354">
        <v>9228.82</v>
      </c>
      <c r="R30" s="354" t="s">
        <v>244</v>
      </c>
      <c r="S30" s="354" t="s">
        <v>328</v>
      </c>
    </row>
    <row r="31" spans="1:19" ht="23.1" customHeight="1">
      <c r="A31" s="63">
        <v>24</v>
      </c>
      <c r="B31" s="63" t="s">
        <v>303</v>
      </c>
      <c r="C31" s="63" t="s">
        <v>422</v>
      </c>
      <c r="D31" s="372" t="s">
        <v>335</v>
      </c>
      <c r="E31" s="375" t="s">
        <v>391</v>
      </c>
      <c r="F31" s="378" t="s">
        <v>405</v>
      </c>
      <c r="G31" s="264" t="s">
        <v>282</v>
      </c>
      <c r="H31" s="264" t="s">
        <v>288</v>
      </c>
      <c r="I31" s="63">
        <v>32</v>
      </c>
      <c r="J31" s="63" t="s">
        <v>222</v>
      </c>
      <c r="K31" s="63"/>
      <c r="L31" s="63"/>
      <c r="M31" s="63"/>
      <c r="N31" s="364">
        <v>1080</v>
      </c>
      <c r="O31" s="366">
        <v>1080</v>
      </c>
      <c r="P31" s="354">
        <v>174.98</v>
      </c>
      <c r="Q31" s="354">
        <v>5599.51</v>
      </c>
      <c r="R31" s="354" t="s">
        <v>245</v>
      </c>
      <c r="S31" s="354" t="s">
        <v>328</v>
      </c>
    </row>
    <row r="32" spans="1:19" ht="23.1" customHeight="1">
      <c r="A32" s="63">
        <v>25</v>
      </c>
      <c r="B32" s="63" t="s">
        <v>304</v>
      </c>
      <c r="C32" s="63" t="s">
        <v>422</v>
      </c>
      <c r="D32" s="372" t="s">
        <v>335</v>
      </c>
      <c r="E32" s="375" t="s">
        <v>392</v>
      </c>
      <c r="F32" s="378" t="s">
        <v>405</v>
      </c>
      <c r="G32" s="264" t="s">
        <v>282</v>
      </c>
      <c r="H32" s="264" t="s">
        <v>288</v>
      </c>
      <c r="I32" s="63">
        <v>34</v>
      </c>
      <c r="J32" s="63" t="s">
        <v>222</v>
      </c>
      <c r="K32" s="63"/>
      <c r="L32" s="63"/>
      <c r="M32" s="63"/>
      <c r="N32" s="364">
        <v>1150</v>
      </c>
      <c r="O32" s="366">
        <v>1150</v>
      </c>
      <c r="P32" s="354">
        <f>ROUND(Q32/I32,2)</f>
        <v>197.74</v>
      </c>
      <c r="Q32" s="354">
        <v>6723.2799999999961</v>
      </c>
      <c r="R32" s="354" t="s">
        <v>245</v>
      </c>
      <c r="S32" s="354" t="s">
        <v>328</v>
      </c>
    </row>
    <row r="33" spans="1:19" ht="23.1" customHeight="1">
      <c r="A33" s="63">
        <v>26</v>
      </c>
      <c r="B33" s="63" t="s">
        <v>305</v>
      </c>
      <c r="C33" s="63" t="s">
        <v>422</v>
      </c>
      <c r="D33" s="372" t="s">
        <v>335</v>
      </c>
      <c r="E33" s="375" t="s">
        <v>390</v>
      </c>
      <c r="F33" s="378" t="s">
        <v>405</v>
      </c>
      <c r="G33" s="264" t="s">
        <v>282</v>
      </c>
      <c r="H33" s="264" t="s">
        <v>288</v>
      </c>
      <c r="I33" s="63">
        <v>36</v>
      </c>
      <c r="J33" s="63" t="s">
        <v>222</v>
      </c>
      <c r="K33" s="63"/>
      <c r="L33" s="63"/>
      <c r="M33" s="63"/>
      <c r="N33" s="364">
        <v>1780</v>
      </c>
      <c r="O33" s="366">
        <v>1780</v>
      </c>
      <c r="P33" s="354">
        <v>256.36</v>
      </c>
      <c r="Q33" s="354">
        <v>9228.82</v>
      </c>
      <c r="R33" s="354" t="s">
        <v>244</v>
      </c>
      <c r="S33" s="354" t="s">
        <v>328</v>
      </c>
    </row>
    <row r="34" spans="1:19" ht="23.1" customHeight="1">
      <c r="A34" s="63">
        <v>27</v>
      </c>
      <c r="B34" s="63" t="s">
        <v>306</v>
      </c>
      <c r="C34" s="63" t="s">
        <v>422</v>
      </c>
      <c r="D34" s="372" t="s">
        <v>177</v>
      </c>
      <c r="E34" s="375" t="s">
        <v>393</v>
      </c>
      <c r="F34" s="378" t="s">
        <v>405</v>
      </c>
      <c r="G34" s="264" t="s">
        <v>282</v>
      </c>
      <c r="H34" s="264" t="s">
        <v>288</v>
      </c>
      <c r="I34" s="63">
        <v>1</v>
      </c>
      <c r="J34" s="63" t="s">
        <v>246</v>
      </c>
      <c r="K34" s="63"/>
      <c r="L34" s="63"/>
      <c r="M34" s="63"/>
      <c r="N34" s="364">
        <v>32.222222222222221</v>
      </c>
      <c r="O34" s="366">
        <v>32.222222222222221</v>
      </c>
      <c r="P34" s="354">
        <v>167.06</v>
      </c>
      <c r="Q34" s="354">
        <v>167.06</v>
      </c>
      <c r="R34" s="354" t="s">
        <v>247</v>
      </c>
      <c r="S34" s="354" t="s">
        <v>328</v>
      </c>
    </row>
    <row r="35" spans="1:19" ht="23.1" customHeight="1">
      <c r="A35" s="63">
        <v>28</v>
      </c>
      <c r="B35" s="63" t="s">
        <v>306</v>
      </c>
      <c r="C35" s="63" t="s">
        <v>422</v>
      </c>
      <c r="D35" s="372" t="s">
        <v>177</v>
      </c>
      <c r="E35" s="375" t="s">
        <v>394</v>
      </c>
      <c r="F35" s="378" t="s">
        <v>405</v>
      </c>
      <c r="G35" s="264" t="s">
        <v>282</v>
      </c>
      <c r="H35" s="264" t="s">
        <v>288</v>
      </c>
      <c r="I35" s="63">
        <v>1</v>
      </c>
      <c r="J35" s="63" t="s">
        <v>246</v>
      </c>
      <c r="K35" s="63"/>
      <c r="L35" s="63"/>
      <c r="M35" s="63"/>
      <c r="N35" s="364">
        <v>32.222222222222221</v>
      </c>
      <c r="O35" s="366">
        <v>32.222222222222221</v>
      </c>
      <c r="P35" s="354">
        <v>167.06</v>
      </c>
      <c r="Q35" s="354">
        <v>167.06</v>
      </c>
      <c r="R35" s="354" t="s">
        <v>248</v>
      </c>
      <c r="S35" s="354" t="s">
        <v>328</v>
      </c>
    </row>
    <row r="36" spans="1:19" ht="23.1" customHeight="1">
      <c r="A36" s="63">
        <v>29</v>
      </c>
      <c r="B36" s="63" t="s">
        <v>306</v>
      </c>
      <c r="C36" s="63" t="s">
        <v>422</v>
      </c>
      <c r="D36" s="372" t="s">
        <v>177</v>
      </c>
      <c r="E36" s="375" t="s">
        <v>395</v>
      </c>
      <c r="F36" s="378" t="s">
        <v>405</v>
      </c>
      <c r="G36" s="264" t="s">
        <v>282</v>
      </c>
      <c r="H36" s="264" t="s">
        <v>288</v>
      </c>
      <c r="I36" s="63">
        <v>1</v>
      </c>
      <c r="J36" s="63" t="s">
        <v>246</v>
      </c>
      <c r="K36" s="63"/>
      <c r="L36" s="63"/>
      <c r="M36" s="63"/>
      <c r="N36" s="364">
        <v>32.222222222222221</v>
      </c>
      <c r="O36" s="366">
        <v>32.222222222222221</v>
      </c>
      <c r="P36" s="354">
        <v>167.06</v>
      </c>
      <c r="Q36" s="354">
        <v>167.06</v>
      </c>
      <c r="R36" s="354" t="s">
        <v>249</v>
      </c>
      <c r="S36" s="354" t="s">
        <v>328</v>
      </c>
    </row>
    <row r="37" spans="1:19" ht="23.1" customHeight="1">
      <c r="A37" s="63">
        <v>30</v>
      </c>
      <c r="B37" s="63" t="s">
        <v>306</v>
      </c>
      <c r="C37" s="63" t="s">
        <v>422</v>
      </c>
      <c r="D37" s="372" t="s">
        <v>177</v>
      </c>
      <c r="E37" s="375" t="s">
        <v>396</v>
      </c>
      <c r="F37" s="378" t="s">
        <v>405</v>
      </c>
      <c r="G37" s="264" t="s">
        <v>282</v>
      </c>
      <c r="H37" s="264" t="s">
        <v>288</v>
      </c>
      <c r="I37" s="63">
        <v>2</v>
      </c>
      <c r="J37" s="63" t="s">
        <v>222</v>
      </c>
      <c r="K37" s="63"/>
      <c r="L37" s="63"/>
      <c r="M37" s="63"/>
      <c r="N37" s="364">
        <v>64.444444444444443</v>
      </c>
      <c r="O37" s="366">
        <v>64.444444444444443</v>
      </c>
      <c r="P37" s="354">
        <v>167.07</v>
      </c>
      <c r="Q37" s="354">
        <v>334.14</v>
      </c>
      <c r="R37" s="354" t="s">
        <v>250</v>
      </c>
      <c r="S37" s="354" t="s">
        <v>328</v>
      </c>
    </row>
    <row r="38" spans="1:19" ht="23.1" customHeight="1">
      <c r="A38" s="63">
        <v>31</v>
      </c>
      <c r="B38" s="63" t="s">
        <v>306</v>
      </c>
      <c r="C38" s="63" t="s">
        <v>422</v>
      </c>
      <c r="D38" s="372" t="s">
        <v>177</v>
      </c>
      <c r="E38" s="375" t="s">
        <v>397</v>
      </c>
      <c r="F38" s="378" t="s">
        <v>405</v>
      </c>
      <c r="G38" s="264" t="s">
        <v>282</v>
      </c>
      <c r="H38" s="264" t="s">
        <v>288</v>
      </c>
      <c r="I38" s="63">
        <v>1</v>
      </c>
      <c r="J38" s="63" t="s">
        <v>246</v>
      </c>
      <c r="K38" s="63"/>
      <c r="L38" s="63"/>
      <c r="M38" s="63"/>
      <c r="N38" s="364">
        <v>32.222222222222221</v>
      </c>
      <c r="O38" s="366">
        <v>32.222222222222221</v>
      </c>
      <c r="P38" s="354">
        <v>167.06</v>
      </c>
      <c r="Q38" s="354">
        <v>167.06</v>
      </c>
      <c r="R38" s="354" t="s">
        <v>251</v>
      </c>
      <c r="S38" s="354" t="s">
        <v>328</v>
      </c>
    </row>
    <row r="39" spans="1:19" ht="23.1" customHeight="1">
      <c r="A39" s="63">
        <v>32</v>
      </c>
      <c r="B39" s="63" t="s">
        <v>306</v>
      </c>
      <c r="C39" s="63" t="s">
        <v>422</v>
      </c>
      <c r="D39" s="372" t="s">
        <v>177</v>
      </c>
      <c r="E39" s="375" t="s">
        <v>398</v>
      </c>
      <c r="F39" s="378" t="s">
        <v>405</v>
      </c>
      <c r="G39" s="264" t="s">
        <v>282</v>
      </c>
      <c r="H39" s="264" t="s">
        <v>288</v>
      </c>
      <c r="I39" s="63">
        <v>1</v>
      </c>
      <c r="J39" s="63" t="s">
        <v>246</v>
      </c>
      <c r="K39" s="63"/>
      <c r="L39" s="63"/>
      <c r="M39" s="63"/>
      <c r="N39" s="364">
        <v>32.222222222222221</v>
      </c>
      <c r="O39" s="366">
        <v>32.222222222222221</v>
      </c>
      <c r="P39" s="354">
        <v>167.06</v>
      </c>
      <c r="Q39" s="354">
        <v>167.06</v>
      </c>
      <c r="R39" s="354" t="s">
        <v>252</v>
      </c>
      <c r="S39" s="354" t="s">
        <v>328</v>
      </c>
    </row>
    <row r="40" spans="1:19" ht="23.1" customHeight="1">
      <c r="A40" s="63">
        <v>33</v>
      </c>
      <c r="B40" s="63" t="s">
        <v>306</v>
      </c>
      <c r="C40" s="63" t="s">
        <v>422</v>
      </c>
      <c r="D40" s="372" t="s">
        <v>177</v>
      </c>
      <c r="E40" s="375" t="s">
        <v>399</v>
      </c>
      <c r="F40" s="378" t="s">
        <v>405</v>
      </c>
      <c r="G40" s="264" t="s">
        <v>282</v>
      </c>
      <c r="H40" s="264" t="s">
        <v>288</v>
      </c>
      <c r="I40" s="63">
        <v>2</v>
      </c>
      <c r="J40" s="63" t="s">
        <v>222</v>
      </c>
      <c r="K40" s="63"/>
      <c r="L40" s="63"/>
      <c r="M40" s="63"/>
      <c r="N40" s="364">
        <v>64.444444444444443</v>
      </c>
      <c r="O40" s="366">
        <v>64.444444444444443</v>
      </c>
      <c r="P40" s="354">
        <v>167.07</v>
      </c>
      <c r="Q40" s="354">
        <v>334.13</v>
      </c>
      <c r="R40" s="354" t="s">
        <v>253</v>
      </c>
      <c r="S40" s="354" t="s">
        <v>328</v>
      </c>
    </row>
    <row r="41" spans="1:19" ht="23.1" customHeight="1">
      <c r="A41" s="63">
        <v>34</v>
      </c>
      <c r="B41" s="63" t="s">
        <v>307</v>
      </c>
      <c r="C41" s="63" t="s">
        <v>422</v>
      </c>
      <c r="D41" s="372" t="s">
        <v>337</v>
      </c>
      <c r="E41" s="375" t="s">
        <v>407</v>
      </c>
      <c r="F41" s="378" t="s">
        <v>408</v>
      </c>
      <c r="G41" s="264" t="s">
        <v>282</v>
      </c>
      <c r="H41" s="264" t="s">
        <v>288</v>
      </c>
      <c r="I41" s="63">
        <v>5</v>
      </c>
      <c r="J41" s="63" t="s">
        <v>222</v>
      </c>
      <c r="K41" s="63">
        <v>57</v>
      </c>
      <c r="L41" s="63">
        <f>I41*K41</f>
        <v>285</v>
      </c>
      <c r="M41" s="355">
        <v>663.1</v>
      </c>
      <c r="N41" s="362">
        <v>663.1</v>
      </c>
      <c r="O41" s="366">
        <v>175</v>
      </c>
      <c r="P41" s="354">
        <v>181.47</v>
      </c>
      <c r="Q41" s="354">
        <v>907.33</v>
      </c>
      <c r="R41" s="354" t="s">
        <v>255</v>
      </c>
      <c r="S41" s="354" t="s">
        <v>328</v>
      </c>
    </row>
    <row r="42" spans="1:19" ht="23.1" customHeight="1">
      <c r="A42" s="63">
        <v>35</v>
      </c>
      <c r="B42" s="63" t="s">
        <v>307</v>
      </c>
      <c r="C42" s="63" t="s">
        <v>422</v>
      </c>
      <c r="D42" s="372" t="s">
        <v>339</v>
      </c>
      <c r="E42" s="375" t="s">
        <v>359</v>
      </c>
      <c r="F42" s="378" t="s">
        <v>409</v>
      </c>
      <c r="G42" s="264" t="s">
        <v>282</v>
      </c>
      <c r="H42" s="264" t="s">
        <v>288</v>
      </c>
      <c r="I42" s="63">
        <v>5</v>
      </c>
      <c r="J42" s="63" t="s">
        <v>254</v>
      </c>
      <c r="K42" s="63">
        <v>2.2000000000000002</v>
      </c>
      <c r="L42" s="63">
        <f t="shared" ref="L42:L44" si="0">I42*K42</f>
        <v>11</v>
      </c>
      <c r="M42" s="355">
        <v>25.59</v>
      </c>
      <c r="N42" s="362">
        <v>25.59</v>
      </c>
      <c r="O42" s="366">
        <v>175</v>
      </c>
      <c r="P42" s="354">
        <v>181.47</v>
      </c>
      <c r="Q42" s="354">
        <v>907.33</v>
      </c>
      <c r="R42" s="354" t="s">
        <v>256</v>
      </c>
      <c r="S42" s="354" t="s">
        <v>328</v>
      </c>
    </row>
    <row r="43" spans="1:19" ht="23.1" customHeight="1">
      <c r="A43" s="63">
        <v>36</v>
      </c>
      <c r="B43" s="63" t="s">
        <v>307</v>
      </c>
      <c r="C43" s="63" t="s">
        <v>422</v>
      </c>
      <c r="D43" s="372" t="s">
        <v>341</v>
      </c>
      <c r="E43" s="375" t="s">
        <v>360</v>
      </c>
      <c r="F43" s="378" t="s">
        <v>410</v>
      </c>
      <c r="G43" s="264" t="s">
        <v>282</v>
      </c>
      <c r="H43" s="264" t="s">
        <v>288</v>
      </c>
      <c r="I43" s="63">
        <v>5</v>
      </c>
      <c r="J43" s="63" t="s">
        <v>254</v>
      </c>
      <c r="K43" s="63">
        <v>0.6</v>
      </c>
      <c r="L43" s="63">
        <f t="shared" si="0"/>
        <v>3</v>
      </c>
      <c r="M43" s="355">
        <v>6.99</v>
      </c>
      <c r="N43" s="362">
        <v>6.99</v>
      </c>
      <c r="O43" s="366">
        <v>175</v>
      </c>
      <c r="P43" s="354">
        <v>181.47</v>
      </c>
      <c r="Q43" s="354">
        <v>907.33</v>
      </c>
      <c r="R43" s="354" t="s">
        <v>257</v>
      </c>
      <c r="S43" s="354" t="s">
        <v>328</v>
      </c>
    </row>
    <row r="44" spans="1:19" ht="23.1" customHeight="1">
      <c r="A44" s="63">
        <v>37</v>
      </c>
      <c r="B44" s="63" t="s">
        <v>307</v>
      </c>
      <c r="C44" s="63" t="s">
        <v>422</v>
      </c>
      <c r="D44" s="372" t="s">
        <v>342</v>
      </c>
      <c r="E44" s="375" t="s">
        <v>361</v>
      </c>
      <c r="F44" s="378" t="s">
        <v>411</v>
      </c>
      <c r="G44" s="264" t="s">
        <v>282</v>
      </c>
      <c r="H44" s="264" t="s">
        <v>288</v>
      </c>
      <c r="I44" s="63">
        <v>5</v>
      </c>
      <c r="J44" s="63" t="s">
        <v>254</v>
      </c>
      <c r="K44" s="63">
        <v>0.37</v>
      </c>
      <c r="L44" s="63">
        <f t="shared" si="0"/>
        <v>1.85</v>
      </c>
      <c r="M44" s="355">
        <v>4.32</v>
      </c>
      <c r="N44" s="362">
        <v>4.32</v>
      </c>
      <c r="O44" s="366">
        <v>175</v>
      </c>
      <c r="P44" s="354">
        <v>181.47</v>
      </c>
      <c r="Q44" s="354">
        <v>907.33</v>
      </c>
      <c r="R44" s="354" t="s">
        <v>258</v>
      </c>
      <c r="S44" s="354" t="s">
        <v>328</v>
      </c>
    </row>
    <row r="45" spans="1:19" ht="23.1" customHeight="1">
      <c r="A45" s="63">
        <v>38</v>
      </c>
      <c r="B45" s="63" t="s">
        <v>308</v>
      </c>
      <c r="C45" s="63" t="s">
        <v>422</v>
      </c>
      <c r="D45" s="372" t="s">
        <v>337</v>
      </c>
      <c r="E45" s="375" t="s">
        <v>407</v>
      </c>
      <c r="F45" s="378" t="s">
        <v>408</v>
      </c>
      <c r="G45" s="264" t="s">
        <v>282</v>
      </c>
      <c r="H45" s="264" t="s">
        <v>288</v>
      </c>
      <c r="I45" s="63">
        <v>5</v>
      </c>
      <c r="J45" s="63" t="s">
        <v>222</v>
      </c>
      <c r="K45" s="63">
        <v>57</v>
      </c>
      <c r="L45" s="63">
        <f>I45*K45</f>
        <v>285</v>
      </c>
      <c r="M45" s="355">
        <v>663.1</v>
      </c>
      <c r="N45" s="362">
        <v>663.1</v>
      </c>
      <c r="O45" s="366">
        <v>175</v>
      </c>
      <c r="P45" s="354">
        <v>181.47</v>
      </c>
      <c r="Q45" s="354">
        <v>907.33</v>
      </c>
      <c r="R45" s="354" t="s">
        <v>255</v>
      </c>
      <c r="S45" s="354" t="s">
        <v>328</v>
      </c>
    </row>
    <row r="46" spans="1:19" ht="23.1" customHeight="1">
      <c r="A46" s="63">
        <v>39</v>
      </c>
      <c r="B46" s="63" t="s">
        <v>308</v>
      </c>
      <c r="C46" s="63" t="s">
        <v>422</v>
      </c>
      <c r="D46" s="372" t="s">
        <v>339</v>
      </c>
      <c r="E46" s="375" t="s">
        <v>359</v>
      </c>
      <c r="F46" s="378" t="s">
        <v>409</v>
      </c>
      <c r="G46" s="264" t="s">
        <v>282</v>
      </c>
      <c r="H46" s="264" t="s">
        <v>288</v>
      </c>
      <c r="I46" s="63">
        <v>5</v>
      </c>
      <c r="J46" s="63" t="s">
        <v>254</v>
      </c>
      <c r="K46" s="63">
        <v>2.2000000000000002</v>
      </c>
      <c r="L46" s="63">
        <f t="shared" ref="L46:L48" si="1">I46*K46</f>
        <v>11</v>
      </c>
      <c r="M46" s="355">
        <v>25.59</v>
      </c>
      <c r="N46" s="362">
        <v>25.59</v>
      </c>
      <c r="O46" s="366">
        <v>175</v>
      </c>
      <c r="P46" s="354">
        <v>181.47</v>
      </c>
      <c r="Q46" s="354">
        <v>907.33</v>
      </c>
      <c r="R46" s="354" t="s">
        <v>256</v>
      </c>
      <c r="S46" s="354" t="s">
        <v>328</v>
      </c>
    </row>
    <row r="47" spans="1:19" ht="23.1" customHeight="1">
      <c r="A47" s="63">
        <v>40</v>
      </c>
      <c r="B47" s="63" t="s">
        <v>308</v>
      </c>
      <c r="C47" s="63" t="s">
        <v>422</v>
      </c>
      <c r="D47" s="372" t="s">
        <v>341</v>
      </c>
      <c r="E47" s="375" t="s">
        <v>360</v>
      </c>
      <c r="F47" s="378" t="s">
        <v>410</v>
      </c>
      <c r="G47" s="264" t="s">
        <v>282</v>
      </c>
      <c r="H47" s="264" t="s">
        <v>288</v>
      </c>
      <c r="I47" s="63">
        <v>5</v>
      </c>
      <c r="J47" s="63" t="s">
        <v>254</v>
      </c>
      <c r="K47" s="63">
        <v>0.6</v>
      </c>
      <c r="L47" s="63">
        <f t="shared" si="1"/>
        <v>3</v>
      </c>
      <c r="M47" s="355">
        <v>6.99</v>
      </c>
      <c r="N47" s="362">
        <v>6.99</v>
      </c>
      <c r="O47" s="366">
        <v>175</v>
      </c>
      <c r="P47" s="354">
        <v>181.47</v>
      </c>
      <c r="Q47" s="354">
        <v>907.33</v>
      </c>
      <c r="R47" s="354" t="s">
        <v>257</v>
      </c>
      <c r="S47" s="354" t="s">
        <v>328</v>
      </c>
    </row>
    <row r="48" spans="1:19" ht="23.1" customHeight="1">
      <c r="A48" s="63">
        <v>41</v>
      </c>
      <c r="B48" s="63" t="s">
        <v>308</v>
      </c>
      <c r="C48" s="63" t="s">
        <v>422</v>
      </c>
      <c r="D48" s="372" t="s">
        <v>342</v>
      </c>
      <c r="E48" s="375" t="s">
        <v>361</v>
      </c>
      <c r="F48" s="378" t="s">
        <v>411</v>
      </c>
      <c r="G48" s="264" t="s">
        <v>282</v>
      </c>
      <c r="H48" s="264" t="s">
        <v>288</v>
      </c>
      <c r="I48" s="63">
        <v>5</v>
      </c>
      <c r="J48" s="63" t="s">
        <v>254</v>
      </c>
      <c r="K48" s="63">
        <v>0.37</v>
      </c>
      <c r="L48" s="63">
        <f t="shared" si="1"/>
        <v>1.85</v>
      </c>
      <c r="M48" s="355">
        <v>4.32</v>
      </c>
      <c r="N48" s="362">
        <v>4.32</v>
      </c>
      <c r="O48" s="366">
        <v>175</v>
      </c>
      <c r="P48" s="354">
        <v>181.47</v>
      </c>
      <c r="Q48" s="354">
        <v>907.33</v>
      </c>
      <c r="R48" s="354" t="s">
        <v>258</v>
      </c>
      <c r="S48" s="354" t="s">
        <v>328</v>
      </c>
    </row>
    <row r="49" spans="1:19" ht="23.1" customHeight="1">
      <c r="A49" s="63">
        <v>42</v>
      </c>
      <c r="B49" s="63" t="s">
        <v>309</v>
      </c>
      <c r="C49" s="63" t="s">
        <v>422</v>
      </c>
      <c r="D49" s="372" t="s">
        <v>337</v>
      </c>
      <c r="E49" s="375" t="s">
        <v>407</v>
      </c>
      <c r="F49" s="378" t="s">
        <v>408</v>
      </c>
      <c r="G49" s="264" t="s">
        <v>282</v>
      </c>
      <c r="H49" s="264" t="s">
        <v>288</v>
      </c>
      <c r="I49" s="63">
        <v>5</v>
      </c>
      <c r="J49" s="63" t="s">
        <v>222</v>
      </c>
      <c r="K49" s="63">
        <v>57</v>
      </c>
      <c r="L49" s="63">
        <f>I49*K49</f>
        <v>285</v>
      </c>
      <c r="M49" s="355">
        <v>663.1</v>
      </c>
      <c r="N49" s="362">
        <v>663.1</v>
      </c>
      <c r="O49" s="366">
        <v>175</v>
      </c>
      <c r="P49" s="354">
        <v>181.47</v>
      </c>
      <c r="Q49" s="354">
        <v>907.33</v>
      </c>
      <c r="R49" s="354" t="s">
        <v>255</v>
      </c>
      <c r="S49" s="354" t="s">
        <v>328</v>
      </c>
    </row>
    <row r="50" spans="1:19" ht="23.1" customHeight="1">
      <c r="A50" s="63">
        <v>43</v>
      </c>
      <c r="B50" s="63" t="s">
        <v>309</v>
      </c>
      <c r="C50" s="63" t="s">
        <v>422</v>
      </c>
      <c r="D50" s="372" t="s">
        <v>339</v>
      </c>
      <c r="E50" s="375" t="s">
        <v>359</v>
      </c>
      <c r="F50" s="378" t="s">
        <v>409</v>
      </c>
      <c r="G50" s="264" t="s">
        <v>282</v>
      </c>
      <c r="H50" s="264" t="s">
        <v>288</v>
      </c>
      <c r="I50" s="63">
        <v>5</v>
      </c>
      <c r="J50" s="63" t="s">
        <v>254</v>
      </c>
      <c r="K50" s="63">
        <v>2.2000000000000002</v>
      </c>
      <c r="L50" s="63">
        <f t="shared" ref="L50:L52" si="2">I50*K50</f>
        <v>11</v>
      </c>
      <c r="M50" s="355">
        <v>25.59</v>
      </c>
      <c r="N50" s="362">
        <v>25.59</v>
      </c>
      <c r="O50" s="366">
        <v>175</v>
      </c>
      <c r="P50" s="354">
        <v>181.47</v>
      </c>
      <c r="Q50" s="354">
        <v>907.33</v>
      </c>
      <c r="R50" s="354" t="s">
        <v>256</v>
      </c>
      <c r="S50" s="354" t="s">
        <v>328</v>
      </c>
    </row>
    <row r="51" spans="1:19" ht="23.1" customHeight="1">
      <c r="A51" s="63">
        <v>44</v>
      </c>
      <c r="B51" s="63" t="s">
        <v>309</v>
      </c>
      <c r="C51" s="63" t="s">
        <v>422</v>
      </c>
      <c r="D51" s="372" t="s">
        <v>341</v>
      </c>
      <c r="E51" s="375" t="s">
        <v>360</v>
      </c>
      <c r="F51" s="378" t="s">
        <v>410</v>
      </c>
      <c r="G51" s="264" t="s">
        <v>282</v>
      </c>
      <c r="H51" s="264" t="s">
        <v>288</v>
      </c>
      <c r="I51" s="63">
        <v>5</v>
      </c>
      <c r="J51" s="63" t="s">
        <v>254</v>
      </c>
      <c r="K51" s="63">
        <v>0.6</v>
      </c>
      <c r="L51" s="63">
        <f t="shared" si="2"/>
        <v>3</v>
      </c>
      <c r="M51" s="355">
        <v>6.99</v>
      </c>
      <c r="N51" s="362">
        <v>6.99</v>
      </c>
      <c r="O51" s="366">
        <v>175</v>
      </c>
      <c r="P51" s="354">
        <v>181.47</v>
      </c>
      <c r="Q51" s="354">
        <v>907.33</v>
      </c>
      <c r="R51" s="354" t="s">
        <v>257</v>
      </c>
      <c r="S51" s="354" t="s">
        <v>328</v>
      </c>
    </row>
    <row r="52" spans="1:19" ht="23.1" customHeight="1">
      <c r="A52" s="63">
        <v>45</v>
      </c>
      <c r="B52" s="63" t="s">
        <v>309</v>
      </c>
      <c r="C52" s="63" t="s">
        <v>422</v>
      </c>
      <c r="D52" s="372" t="s">
        <v>342</v>
      </c>
      <c r="E52" s="375" t="s">
        <v>361</v>
      </c>
      <c r="F52" s="378" t="s">
        <v>411</v>
      </c>
      <c r="G52" s="264" t="s">
        <v>282</v>
      </c>
      <c r="H52" s="264" t="s">
        <v>288</v>
      </c>
      <c r="I52" s="63">
        <v>5</v>
      </c>
      <c r="J52" s="63" t="s">
        <v>254</v>
      </c>
      <c r="K52" s="63">
        <v>0.37</v>
      </c>
      <c r="L52" s="63">
        <f t="shared" si="2"/>
        <v>1.85</v>
      </c>
      <c r="M52" s="355">
        <v>4.32</v>
      </c>
      <c r="N52" s="362">
        <v>4.32</v>
      </c>
      <c r="O52" s="366">
        <v>175</v>
      </c>
      <c r="P52" s="354">
        <v>181.47</v>
      </c>
      <c r="Q52" s="354">
        <v>907.33</v>
      </c>
      <c r="R52" s="354" t="s">
        <v>258</v>
      </c>
      <c r="S52" s="354" t="s">
        <v>328</v>
      </c>
    </row>
    <row r="53" spans="1:19" ht="23.1" customHeight="1">
      <c r="A53" s="63">
        <v>46</v>
      </c>
      <c r="B53" s="63" t="s">
        <v>310</v>
      </c>
      <c r="C53" s="63" t="s">
        <v>422</v>
      </c>
      <c r="D53" s="372" t="s">
        <v>337</v>
      </c>
      <c r="E53" s="375" t="s">
        <v>407</v>
      </c>
      <c r="F53" s="378" t="s">
        <v>408</v>
      </c>
      <c r="G53" s="264" t="s">
        <v>282</v>
      </c>
      <c r="H53" s="264" t="s">
        <v>288</v>
      </c>
      <c r="I53" s="63">
        <v>5</v>
      </c>
      <c r="J53" s="63" t="s">
        <v>222</v>
      </c>
      <c r="K53" s="63">
        <v>57</v>
      </c>
      <c r="L53" s="63">
        <f>I53*K53</f>
        <v>285</v>
      </c>
      <c r="M53" s="355">
        <v>663.1</v>
      </c>
      <c r="N53" s="362">
        <v>663.1</v>
      </c>
      <c r="O53" s="366">
        <v>175</v>
      </c>
      <c r="P53" s="354">
        <v>181.47</v>
      </c>
      <c r="Q53" s="354">
        <v>907.33</v>
      </c>
      <c r="R53" s="354" t="s">
        <v>255</v>
      </c>
      <c r="S53" s="354" t="s">
        <v>328</v>
      </c>
    </row>
    <row r="54" spans="1:19" ht="23.1" customHeight="1">
      <c r="A54" s="63">
        <v>47</v>
      </c>
      <c r="B54" s="63" t="s">
        <v>310</v>
      </c>
      <c r="C54" s="63" t="s">
        <v>422</v>
      </c>
      <c r="D54" s="372" t="s">
        <v>339</v>
      </c>
      <c r="E54" s="375" t="s">
        <v>359</v>
      </c>
      <c r="F54" s="378" t="s">
        <v>409</v>
      </c>
      <c r="G54" s="264" t="s">
        <v>282</v>
      </c>
      <c r="H54" s="264" t="s">
        <v>288</v>
      </c>
      <c r="I54" s="63">
        <v>5</v>
      </c>
      <c r="J54" s="63" t="s">
        <v>254</v>
      </c>
      <c r="K54" s="63">
        <v>2.2000000000000002</v>
      </c>
      <c r="L54" s="63">
        <f t="shared" ref="L54:L56" si="3">I54*K54</f>
        <v>11</v>
      </c>
      <c r="M54" s="355">
        <v>25.59</v>
      </c>
      <c r="N54" s="362">
        <v>25.59</v>
      </c>
      <c r="O54" s="366">
        <v>175</v>
      </c>
      <c r="P54" s="354">
        <v>181.47</v>
      </c>
      <c r="Q54" s="354">
        <v>907.33</v>
      </c>
      <c r="R54" s="354" t="s">
        <v>256</v>
      </c>
      <c r="S54" s="354" t="s">
        <v>328</v>
      </c>
    </row>
    <row r="55" spans="1:19" ht="23.1" customHeight="1">
      <c r="A55" s="63">
        <v>48</v>
      </c>
      <c r="B55" s="63" t="s">
        <v>310</v>
      </c>
      <c r="C55" s="63" t="s">
        <v>422</v>
      </c>
      <c r="D55" s="372" t="s">
        <v>341</v>
      </c>
      <c r="E55" s="375" t="s">
        <v>360</v>
      </c>
      <c r="F55" s="378" t="s">
        <v>410</v>
      </c>
      <c r="G55" s="264" t="s">
        <v>282</v>
      </c>
      <c r="H55" s="264" t="s">
        <v>288</v>
      </c>
      <c r="I55" s="63">
        <v>5</v>
      </c>
      <c r="J55" s="63" t="s">
        <v>254</v>
      </c>
      <c r="K55" s="63">
        <v>0.6</v>
      </c>
      <c r="L55" s="63">
        <f t="shared" si="3"/>
        <v>3</v>
      </c>
      <c r="M55" s="355">
        <v>6.99</v>
      </c>
      <c r="N55" s="362">
        <v>6.99</v>
      </c>
      <c r="O55" s="366">
        <v>175</v>
      </c>
      <c r="P55" s="354">
        <v>181.47</v>
      </c>
      <c r="Q55" s="354">
        <v>907.33</v>
      </c>
      <c r="R55" s="354" t="s">
        <v>257</v>
      </c>
      <c r="S55" s="354" t="s">
        <v>328</v>
      </c>
    </row>
    <row r="56" spans="1:19" ht="23.1" customHeight="1">
      <c r="A56" s="63">
        <v>49</v>
      </c>
      <c r="B56" s="63" t="s">
        <v>310</v>
      </c>
      <c r="C56" s="63" t="s">
        <v>422</v>
      </c>
      <c r="D56" s="372" t="s">
        <v>342</v>
      </c>
      <c r="E56" s="375" t="s">
        <v>361</v>
      </c>
      <c r="F56" s="378" t="s">
        <v>411</v>
      </c>
      <c r="G56" s="264" t="s">
        <v>282</v>
      </c>
      <c r="H56" s="264" t="s">
        <v>288</v>
      </c>
      <c r="I56" s="63">
        <v>5</v>
      </c>
      <c r="J56" s="63" t="s">
        <v>254</v>
      </c>
      <c r="K56" s="63">
        <v>0.37</v>
      </c>
      <c r="L56" s="63">
        <f t="shared" si="3"/>
        <v>1.85</v>
      </c>
      <c r="M56" s="355">
        <v>4.32</v>
      </c>
      <c r="N56" s="362">
        <v>4.32</v>
      </c>
      <c r="O56" s="366">
        <v>175</v>
      </c>
      <c r="P56" s="354">
        <v>181.47</v>
      </c>
      <c r="Q56" s="354">
        <v>907.33</v>
      </c>
      <c r="R56" s="354" t="s">
        <v>258</v>
      </c>
      <c r="S56" s="354" t="s">
        <v>328</v>
      </c>
    </row>
    <row r="57" spans="1:19" ht="23.1" customHeight="1">
      <c r="A57" s="63">
        <v>50</v>
      </c>
      <c r="B57" s="63" t="s">
        <v>311</v>
      </c>
      <c r="C57" s="63" t="s">
        <v>423</v>
      </c>
      <c r="D57" s="372" t="s">
        <v>337</v>
      </c>
      <c r="E57" s="375" t="s">
        <v>407</v>
      </c>
      <c r="F57" s="378" t="s">
        <v>408</v>
      </c>
      <c r="G57" s="264" t="s">
        <v>282</v>
      </c>
      <c r="H57" s="264" t="s">
        <v>288</v>
      </c>
      <c r="I57" s="63">
        <v>5</v>
      </c>
      <c r="J57" s="63" t="s">
        <v>222</v>
      </c>
      <c r="K57" s="63">
        <v>57</v>
      </c>
      <c r="L57" s="63">
        <f>I57*K57</f>
        <v>285</v>
      </c>
      <c r="M57" s="355">
        <v>663.1</v>
      </c>
      <c r="N57" s="362">
        <v>663.1</v>
      </c>
      <c r="O57" s="366">
        <v>175</v>
      </c>
      <c r="P57" s="354">
        <v>181.47</v>
      </c>
      <c r="Q57" s="354">
        <v>907.33</v>
      </c>
      <c r="R57" s="354" t="s">
        <v>255</v>
      </c>
      <c r="S57" s="354" t="s">
        <v>328</v>
      </c>
    </row>
    <row r="58" spans="1:19" ht="23.1" customHeight="1">
      <c r="A58" s="63">
        <v>51</v>
      </c>
      <c r="B58" s="63" t="s">
        <v>311</v>
      </c>
      <c r="C58" s="63" t="s">
        <v>423</v>
      </c>
      <c r="D58" s="372" t="s">
        <v>339</v>
      </c>
      <c r="E58" s="375" t="s">
        <v>359</v>
      </c>
      <c r="F58" s="378" t="s">
        <v>409</v>
      </c>
      <c r="G58" s="264" t="s">
        <v>282</v>
      </c>
      <c r="H58" s="264" t="s">
        <v>288</v>
      </c>
      <c r="I58" s="63">
        <v>5</v>
      </c>
      <c r="J58" s="63" t="s">
        <v>254</v>
      </c>
      <c r="K58" s="63">
        <v>2.2000000000000002</v>
      </c>
      <c r="L58" s="63">
        <f t="shared" ref="L58:L60" si="4">I58*K58</f>
        <v>11</v>
      </c>
      <c r="M58" s="355">
        <v>25.59</v>
      </c>
      <c r="N58" s="362">
        <v>25.59</v>
      </c>
      <c r="O58" s="366">
        <v>175</v>
      </c>
      <c r="P58" s="354">
        <v>181.47</v>
      </c>
      <c r="Q58" s="354">
        <v>907.33</v>
      </c>
      <c r="R58" s="354" t="s">
        <v>256</v>
      </c>
      <c r="S58" s="354" t="s">
        <v>328</v>
      </c>
    </row>
    <row r="59" spans="1:19" ht="23.1" customHeight="1">
      <c r="A59" s="63">
        <v>52</v>
      </c>
      <c r="B59" s="63" t="s">
        <v>311</v>
      </c>
      <c r="C59" s="63" t="s">
        <v>423</v>
      </c>
      <c r="D59" s="372" t="s">
        <v>341</v>
      </c>
      <c r="E59" s="375" t="s">
        <v>360</v>
      </c>
      <c r="F59" s="378" t="s">
        <v>410</v>
      </c>
      <c r="G59" s="264" t="s">
        <v>282</v>
      </c>
      <c r="H59" s="264" t="s">
        <v>288</v>
      </c>
      <c r="I59" s="63">
        <v>5</v>
      </c>
      <c r="J59" s="63" t="s">
        <v>254</v>
      </c>
      <c r="K59" s="63">
        <v>0.6</v>
      </c>
      <c r="L59" s="63">
        <f t="shared" si="4"/>
        <v>3</v>
      </c>
      <c r="M59" s="355">
        <v>6.99</v>
      </c>
      <c r="N59" s="362">
        <v>6.99</v>
      </c>
      <c r="O59" s="366">
        <v>175</v>
      </c>
      <c r="P59" s="354">
        <v>181.47</v>
      </c>
      <c r="Q59" s="354">
        <v>907.33</v>
      </c>
      <c r="R59" s="354" t="s">
        <v>257</v>
      </c>
      <c r="S59" s="354" t="s">
        <v>328</v>
      </c>
    </row>
    <row r="60" spans="1:19" ht="23.1" customHeight="1">
      <c r="A60" s="63">
        <v>53</v>
      </c>
      <c r="B60" s="63" t="s">
        <v>311</v>
      </c>
      <c r="C60" s="63" t="s">
        <v>423</v>
      </c>
      <c r="D60" s="372" t="s">
        <v>342</v>
      </c>
      <c r="E60" s="375" t="s">
        <v>361</v>
      </c>
      <c r="F60" s="378" t="s">
        <v>411</v>
      </c>
      <c r="G60" s="264" t="s">
        <v>282</v>
      </c>
      <c r="H60" s="264" t="s">
        <v>288</v>
      </c>
      <c r="I60" s="63">
        <v>5</v>
      </c>
      <c r="J60" s="63" t="s">
        <v>254</v>
      </c>
      <c r="K60" s="63">
        <v>0.37</v>
      </c>
      <c r="L60" s="63">
        <f t="shared" si="4"/>
        <v>1.85</v>
      </c>
      <c r="M60" s="355">
        <v>4.32</v>
      </c>
      <c r="N60" s="362">
        <v>4.32</v>
      </c>
      <c r="O60" s="366">
        <v>175</v>
      </c>
      <c r="P60" s="354">
        <v>181.47</v>
      </c>
      <c r="Q60" s="354">
        <v>907.33</v>
      </c>
      <c r="R60" s="354" t="s">
        <v>258</v>
      </c>
      <c r="S60" s="354" t="s">
        <v>328</v>
      </c>
    </row>
    <row r="61" spans="1:19" ht="23.1" customHeight="1">
      <c r="A61" s="63">
        <v>54</v>
      </c>
      <c r="B61" s="63" t="s">
        <v>312</v>
      </c>
      <c r="C61" s="63" t="s">
        <v>423</v>
      </c>
      <c r="D61" s="372" t="s">
        <v>337</v>
      </c>
      <c r="E61" s="375" t="s">
        <v>407</v>
      </c>
      <c r="F61" s="378" t="s">
        <v>408</v>
      </c>
      <c r="G61" s="264" t="s">
        <v>282</v>
      </c>
      <c r="H61" s="264" t="s">
        <v>288</v>
      </c>
      <c r="I61" s="63">
        <v>5</v>
      </c>
      <c r="J61" s="63" t="s">
        <v>222</v>
      </c>
      <c r="K61" s="63">
        <v>57</v>
      </c>
      <c r="L61" s="63">
        <f>I61*K61</f>
        <v>285</v>
      </c>
      <c r="M61" s="355">
        <v>663.1</v>
      </c>
      <c r="N61" s="362">
        <v>663.1</v>
      </c>
      <c r="O61" s="366">
        <v>175</v>
      </c>
      <c r="P61" s="354">
        <v>181.47</v>
      </c>
      <c r="Q61" s="354">
        <v>907.33</v>
      </c>
      <c r="R61" s="354" t="s">
        <v>255</v>
      </c>
      <c r="S61" s="354" t="s">
        <v>328</v>
      </c>
    </row>
    <row r="62" spans="1:19" ht="23.1" customHeight="1">
      <c r="A62" s="63">
        <v>55</v>
      </c>
      <c r="B62" s="63" t="s">
        <v>312</v>
      </c>
      <c r="C62" s="63" t="s">
        <v>423</v>
      </c>
      <c r="D62" s="372" t="s">
        <v>339</v>
      </c>
      <c r="E62" s="375" t="s">
        <v>359</v>
      </c>
      <c r="F62" s="378" t="s">
        <v>409</v>
      </c>
      <c r="G62" s="264" t="s">
        <v>282</v>
      </c>
      <c r="H62" s="264" t="s">
        <v>288</v>
      </c>
      <c r="I62" s="63">
        <v>5</v>
      </c>
      <c r="J62" s="63" t="s">
        <v>254</v>
      </c>
      <c r="K62" s="63">
        <v>2.2000000000000002</v>
      </c>
      <c r="L62" s="63">
        <f t="shared" ref="L62:L64" si="5">I62*K62</f>
        <v>11</v>
      </c>
      <c r="M62" s="355">
        <v>25.59</v>
      </c>
      <c r="N62" s="362">
        <v>25.59</v>
      </c>
      <c r="O62" s="366">
        <v>175</v>
      </c>
      <c r="P62" s="354">
        <v>181.47</v>
      </c>
      <c r="Q62" s="354">
        <v>907.33</v>
      </c>
      <c r="R62" s="354" t="s">
        <v>256</v>
      </c>
      <c r="S62" s="354" t="s">
        <v>328</v>
      </c>
    </row>
    <row r="63" spans="1:19" ht="23.1" customHeight="1">
      <c r="A63" s="63">
        <v>56</v>
      </c>
      <c r="B63" s="63" t="s">
        <v>312</v>
      </c>
      <c r="C63" s="63" t="s">
        <v>423</v>
      </c>
      <c r="D63" s="372" t="s">
        <v>341</v>
      </c>
      <c r="E63" s="375" t="s">
        <v>360</v>
      </c>
      <c r="F63" s="378" t="s">
        <v>410</v>
      </c>
      <c r="G63" s="264" t="s">
        <v>282</v>
      </c>
      <c r="H63" s="264" t="s">
        <v>288</v>
      </c>
      <c r="I63" s="63">
        <v>5</v>
      </c>
      <c r="J63" s="63" t="s">
        <v>254</v>
      </c>
      <c r="K63" s="63">
        <v>0.6</v>
      </c>
      <c r="L63" s="63">
        <f t="shared" si="5"/>
        <v>3</v>
      </c>
      <c r="M63" s="355">
        <v>6.99</v>
      </c>
      <c r="N63" s="362">
        <v>6.99</v>
      </c>
      <c r="O63" s="366">
        <v>175</v>
      </c>
      <c r="P63" s="354">
        <v>181.47</v>
      </c>
      <c r="Q63" s="354">
        <v>907.33</v>
      </c>
      <c r="R63" s="354" t="s">
        <v>257</v>
      </c>
      <c r="S63" s="354" t="s">
        <v>328</v>
      </c>
    </row>
    <row r="64" spans="1:19" ht="23.1" customHeight="1">
      <c r="A64" s="63">
        <v>57</v>
      </c>
      <c r="B64" s="63" t="s">
        <v>312</v>
      </c>
      <c r="C64" s="63" t="s">
        <v>423</v>
      </c>
      <c r="D64" s="372" t="s">
        <v>342</v>
      </c>
      <c r="E64" s="375" t="s">
        <v>361</v>
      </c>
      <c r="F64" s="378" t="s">
        <v>411</v>
      </c>
      <c r="G64" s="264" t="s">
        <v>282</v>
      </c>
      <c r="H64" s="264" t="s">
        <v>288</v>
      </c>
      <c r="I64" s="63">
        <v>5</v>
      </c>
      <c r="J64" s="63" t="s">
        <v>254</v>
      </c>
      <c r="K64" s="63">
        <v>0.37</v>
      </c>
      <c r="L64" s="63">
        <f t="shared" si="5"/>
        <v>1.85</v>
      </c>
      <c r="M64" s="355">
        <v>4.32</v>
      </c>
      <c r="N64" s="362">
        <v>4.32</v>
      </c>
      <c r="O64" s="366">
        <v>175</v>
      </c>
      <c r="P64" s="354">
        <v>181.47</v>
      </c>
      <c r="Q64" s="354">
        <v>907.33</v>
      </c>
      <c r="R64" s="354" t="s">
        <v>258</v>
      </c>
      <c r="S64" s="354" t="s">
        <v>328</v>
      </c>
    </row>
    <row r="65" spans="1:19" ht="23.1" customHeight="1">
      <c r="A65" s="63">
        <v>58</v>
      </c>
      <c r="B65" s="63" t="s">
        <v>313</v>
      </c>
      <c r="C65" s="63" t="s">
        <v>423</v>
      </c>
      <c r="D65" s="372" t="s">
        <v>337</v>
      </c>
      <c r="E65" s="375" t="s">
        <v>407</v>
      </c>
      <c r="F65" s="378" t="s">
        <v>408</v>
      </c>
      <c r="G65" s="264" t="s">
        <v>282</v>
      </c>
      <c r="H65" s="264" t="s">
        <v>288</v>
      </c>
      <c r="I65" s="63">
        <v>5</v>
      </c>
      <c r="J65" s="63" t="s">
        <v>222</v>
      </c>
      <c r="K65" s="63">
        <v>57</v>
      </c>
      <c r="L65" s="63">
        <f>I65*K65</f>
        <v>285</v>
      </c>
      <c r="M65" s="355">
        <v>663.1</v>
      </c>
      <c r="N65" s="362">
        <v>663.1</v>
      </c>
      <c r="O65" s="366">
        <v>175</v>
      </c>
      <c r="P65" s="354">
        <v>181.47</v>
      </c>
      <c r="Q65" s="354">
        <v>907.33</v>
      </c>
      <c r="R65" s="354" t="s">
        <v>255</v>
      </c>
      <c r="S65" s="354" t="s">
        <v>328</v>
      </c>
    </row>
    <row r="66" spans="1:19" ht="23.1" customHeight="1">
      <c r="A66" s="63">
        <v>59</v>
      </c>
      <c r="B66" s="63" t="s">
        <v>313</v>
      </c>
      <c r="C66" s="63" t="s">
        <v>423</v>
      </c>
      <c r="D66" s="372" t="s">
        <v>339</v>
      </c>
      <c r="E66" s="375" t="s">
        <v>359</v>
      </c>
      <c r="F66" s="378" t="s">
        <v>409</v>
      </c>
      <c r="G66" s="264" t="s">
        <v>282</v>
      </c>
      <c r="H66" s="264" t="s">
        <v>288</v>
      </c>
      <c r="I66" s="63">
        <v>5</v>
      </c>
      <c r="J66" s="63" t="s">
        <v>254</v>
      </c>
      <c r="K66" s="63">
        <v>2.2000000000000002</v>
      </c>
      <c r="L66" s="63">
        <f t="shared" ref="L66:L68" si="6">I66*K66</f>
        <v>11</v>
      </c>
      <c r="M66" s="355">
        <v>25.59</v>
      </c>
      <c r="N66" s="362">
        <v>25.59</v>
      </c>
      <c r="O66" s="366">
        <v>175</v>
      </c>
      <c r="P66" s="354">
        <v>181.47</v>
      </c>
      <c r="Q66" s="354">
        <v>907.33</v>
      </c>
      <c r="R66" s="354" t="s">
        <v>256</v>
      </c>
      <c r="S66" s="354" t="s">
        <v>328</v>
      </c>
    </row>
    <row r="67" spans="1:19" ht="23.1" customHeight="1">
      <c r="A67" s="63">
        <v>60</v>
      </c>
      <c r="B67" s="63" t="s">
        <v>313</v>
      </c>
      <c r="C67" s="63" t="s">
        <v>423</v>
      </c>
      <c r="D67" s="372" t="s">
        <v>341</v>
      </c>
      <c r="E67" s="375" t="s">
        <v>360</v>
      </c>
      <c r="F67" s="378" t="s">
        <v>410</v>
      </c>
      <c r="G67" s="264" t="s">
        <v>282</v>
      </c>
      <c r="H67" s="264" t="s">
        <v>288</v>
      </c>
      <c r="I67" s="63">
        <v>5</v>
      </c>
      <c r="J67" s="63" t="s">
        <v>254</v>
      </c>
      <c r="K67" s="63">
        <v>0.6</v>
      </c>
      <c r="L67" s="63">
        <f t="shared" si="6"/>
        <v>3</v>
      </c>
      <c r="M67" s="355">
        <v>6.99</v>
      </c>
      <c r="N67" s="362">
        <v>6.99</v>
      </c>
      <c r="O67" s="366">
        <v>175</v>
      </c>
      <c r="P67" s="354">
        <v>181.47</v>
      </c>
      <c r="Q67" s="354">
        <v>907.33</v>
      </c>
      <c r="R67" s="354" t="s">
        <v>257</v>
      </c>
      <c r="S67" s="354" t="s">
        <v>328</v>
      </c>
    </row>
    <row r="68" spans="1:19" ht="23.1" customHeight="1">
      <c r="A68" s="63">
        <v>61</v>
      </c>
      <c r="B68" s="63" t="s">
        <v>313</v>
      </c>
      <c r="C68" s="63" t="s">
        <v>423</v>
      </c>
      <c r="D68" s="372" t="s">
        <v>342</v>
      </c>
      <c r="E68" s="375" t="s">
        <v>361</v>
      </c>
      <c r="F68" s="378" t="s">
        <v>411</v>
      </c>
      <c r="G68" s="264" t="s">
        <v>282</v>
      </c>
      <c r="H68" s="264" t="s">
        <v>288</v>
      </c>
      <c r="I68" s="63">
        <v>5</v>
      </c>
      <c r="J68" s="63" t="s">
        <v>254</v>
      </c>
      <c r="K68" s="63">
        <v>0.37</v>
      </c>
      <c r="L68" s="63">
        <f t="shared" si="6"/>
        <v>1.85</v>
      </c>
      <c r="M68" s="355">
        <v>4.32</v>
      </c>
      <c r="N68" s="362">
        <v>4.32</v>
      </c>
      <c r="O68" s="366">
        <v>175</v>
      </c>
      <c r="P68" s="354">
        <v>181.47</v>
      </c>
      <c r="Q68" s="354">
        <v>907.33</v>
      </c>
      <c r="R68" s="354" t="s">
        <v>258</v>
      </c>
      <c r="S68" s="354" t="s">
        <v>328</v>
      </c>
    </row>
    <row r="69" spans="1:19" ht="23.1" customHeight="1">
      <c r="A69" s="63">
        <v>62</v>
      </c>
      <c r="B69" s="63" t="s">
        <v>314</v>
      </c>
      <c r="C69" s="63" t="s">
        <v>423</v>
      </c>
      <c r="D69" s="372" t="s">
        <v>337</v>
      </c>
      <c r="E69" s="375" t="s">
        <v>407</v>
      </c>
      <c r="F69" s="378" t="s">
        <v>408</v>
      </c>
      <c r="G69" s="264" t="s">
        <v>282</v>
      </c>
      <c r="H69" s="264" t="s">
        <v>288</v>
      </c>
      <c r="I69" s="63">
        <v>5</v>
      </c>
      <c r="J69" s="63" t="s">
        <v>222</v>
      </c>
      <c r="K69" s="63">
        <v>57</v>
      </c>
      <c r="L69" s="63">
        <f>I69*K69</f>
        <v>285</v>
      </c>
      <c r="M69" s="355">
        <v>663.1</v>
      </c>
      <c r="N69" s="362">
        <v>663.1</v>
      </c>
      <c r="O69" s="366">
        <v>175</v>
      </c>
      <c r="P69" s="354">
        <v>181.47</v>
      </c>
      <c r="Q69" s="354">
        <v>907.33</v>
      </c>
      <c r="R69" s="354" t="s">
        <v>255</v>
      </c>
      <c r="S69" s="354" t="s">
        <v>328</v>
      </c>
    </row>
    <row r="70" spans="1:19" ht="23.1" customHeight="1">
      <c r="A70" s="63">
        <v>63</v>
      </c>
      <c r="B70" s="63" t="s">
        <v>314</v>
      </c>
      <c r="C70" s="63" t="s">
        <v>423</v>
      </c>
      <c r="D70" s="372" t="s">
        <v>339</v>
      </c>
      <c r="E70" s="375" t="s">
        <v>359</v>
      </c>
      <c r="F70" s="378" t="s">
        <v>409</v>
      </c>
      <c r="G70" s="264" t="s">
        <v>282</v>
      </c>
      <c r="H70" s="264" t="s">
        <v>288</v>
      </c>
      <c r="I70" s="63">
        <v>5</v>
      </c>
      <c r="J70" s="63" t="s">
        <v>254</v>
      </c>
      <c r="K70" s="63">
        <v>2.2000000000000002</v>
      </c>
      <c r="L70" s="63">
        <f t="shared" ref="L70:L72" si="7">I70*K70</f>
        <v>11</v>
      </c>
      <c r="M70" s="355">
        <v>25.59</v>
      </c>
      <c r="N70" s="362">
        <v>25.59</v>
      </c>
      <c r="O70" s="366">
        <v>175</v>
      </c>
      <c r="P70" s="354">
        <v>181.47</v>
      </c>
      <c r="Q70" s="354">
        <v>907.33</v>
      </c>
      <c r="R70" s="354" t="s">
        <v>256</v>
      </c>
      <c r="S70" s="354" t="s">
        <v>328</v>
      </c>
    </row>
    <row r="71" spans="1:19" ht="23.1" customHeight="1">
      <c r="A71" s="63">
        <v>64</v>
      </c>
      <c r="B71" s="63" t="s">
        <v>314</v>
      </c>
      <c r="C71" s="63" t="s">
        <v>423</v>
      </c>
      <c r="D71" s="372" t="s">
        <v>341</v>
      </c>
      <c r="E71" s="375" t="s">
        <v>360</v>
      </c>
      <c r="F71" s="378" t="s">
        <v>410</v>
      </c>
      <c r="G71" s="264" t="s">
        <v>282</v>
      </c>
      <c r="H71" s="264" t="s">
        <v>288</v>
      </c>
      <c r="I71" s="63">
        <v>5</v>
      </c>
      <c r="J71" s="63" t="s">
        <v>254</v>
      </c>
      <c r="K71" s="63">
        <v>0.6</v>
      </c>
      <c r="L71" s="63">
        <f t="shared" si="7"/>
        <v>3</v>
      </c>
      <c r="M71" s="355">
        <v>6.99</v>
      </c>
      <c r="N71" s="362">
        <v>6.99</v>
      </c>
      <c r="O71" s="366">
        <v>175</v>
      </c>
      <c r="P71" s="354">
        <v>181.47</v>
      </c>
      <c r="Q71" s="354">
        <v>907.33</v>
      </c>
      <c r="R71" s="354" t="s">
        <v>257</v>
      </c>
      <c r="S71" s="354" t="s">
        <v>328</v>
      </c>
    </row>
    <row r="72" spans="1:19" ht="23.1" customHeight="1">
      <c r="A72" s="63">
        <v>65</v>
      </c>
      <c r="B72" s="63" t="s">
        <v>314</v>
      </c>
      <c r="C72" s="63" t="s">
        <v>423</v>
      </c>
      <c r="D72" s="372" t="s">
        <v>342</v>
      </c>
      <c r="E72" s="375" t="s">
        <v>361</v>
      </c>
      <c r="F72" s="378" t="s">
        <v>411</v>
      </c>
      <c r="G72" s="264" t="s">
        <v>282</v>
      </c>
      <c r="H72" s="264" t="s">
        <v>288</v>
      </c>
      <c r="I72" s="63">
        <v>5</v>
      </c>
      <c r="J72" s="63" t="s">
        <v>254</v>
      </c>
      <c r="K72" s="63">
        <v>0.37</v>
      </c>
      <c r="L72" s="63">
        <f t="shared" si="7"/>
        <v>1.85</v>
      </c>
      <c r="M72" s="355">
        <v>4.32</v>
      </c>
      <c r="N72" s="362">
        <v>4.32</v>
      </c>
      <c r="O72" s="366">
        <v>175</v>
      </c>
      <c r="P72" s="354">
        <v>181.47</v>
      </c>
      <c r="Q72" s="354">
        <v>907.33</v>
      </c>
      <c r="R72" s="354" t="s">
        <v>258</v>
      </c>
      <c r="S72" s="354" t="s">
        <v>328</v>
      </c>
    </row>
    <row r="73" spans="1:19" ht="23.1" customHeight="1">
      <c r="A73" s="63">
        <v>66</v>
      </c>
      <c r="B73" s="63" t="s">
        <v>315</v>
      </c>
      <c r="C73" s="63" t="s">
        <v>423</v>
      </c>
      <c r="D73" s="372" t="s">
        <v>337</v>
      </c>
      <c r="E73" s="375" t="s">
        <v>412</v>
      </c>
      <c r="F73" s="378" t="s">
        <v>408</v>
      </c>
      <c r="G73" s="264" t="s">
        <v>282</v>
      </c>
      <c r="H73" s="264" t="s">
        <v>288</v>
      </c>
      <c r="I73" s="63">
        <v>5</v>
      </c>
      <c r="J73" s="63" t="s">
        <v>222</v>
      </c>
      <c r="K73" s="63">
        <v>57</v>
      </c>
      <c r="L73" s="63">
        <f>I73*K73</f>
        <v>285</v>
      </c>
      <c r="M73" s="355">
        <v>663.1</v>
      </c>
      <c r="N73" s="364">
        <v>638.1</v>
      </c>
      <c r="O73" s="366">
        <v>168.75</v>
      </c>
      <c r="P73" s="354">
        <v>174.98</v>
      </c>
      <c r="Q73" s="354">
        <v>874.92</v>
      </c>
      <c r="R73" s="354" t="s">
        <v>259</v>
      </c>
      <c r="S73" s="354" t="s">
        <v>328</v>
      </c>
    </row>
    <row r="74" spans="1:19" ht="23.1" customHeight="1">
      <c r="A74" s="63">
        <v>67</v>
      </c>
      <c r="B74" s="63" t="s">
        <v>315</v>
      </c>
      <c r="C74" s="63" t="s">
        <v>423</v>
      </c>
      <c r="D74" s="372" t="s">
        <v>339</v>
      </c>
      <c r="E74" s="375" t="s">
        <v>359</v>
      </c>
      <c r="F74" s="378" t="s">
        <v>409</v>
      </c>
      <c r="G74" s="264" t="s">
        <v>282</v>
      </c>
      <c r="H74" s="264" t="s">
        <v>288</v>
      </c>
      <c r="I74" s="63">
        <v>5</v>
      </c>
      <c r="J74" s="63" t="s">
        <v>254</v>
      </c>
      <c r="K74" s="63">
        <v>2.2000000000000002</v>
      </c>
      <c r="L74" s="63">
        <f t="shared" ref="L74:L76" si="8">I74*K74</f>
        <v>11</v>
      </c>
      <c r="M74" s="355">
        <v>25.59</v>
      </c>
      <c r="N74" s="364">
        <v>25.59</v>
      </c>
      <c r="O74" s="366">
        <v>168.75</v>
      </c>
      <c r="P74" s="354">
        <v>174.98</v>
      </c>
      <c r="Q74" s="354">
        <v>874.92</v>
      </c>
      <c r="R74" s="354" t="s">
        <v>260</v>
      </c>
      <c r="S74" s="354" t="s">
        <v>328</v>
      </c>
    </row>
    <row r="75" spans="1:19" ht="23.1" customHeight="1">
      <c r="A75" s="63">
        <v>68</v>
      </c>
      <c r="B75" s="63" t="s">
        <v>315</v>
      </c>
      <c r="C75" s="63" t="s">
        <v>423</v>
      </c>
      <c r="D75" s="372" t="s">
        <v>341</v>
      </c>
      <c r="E75" s="375" t="s">
        <v>360</v>
      </c>
      <c r="F75" s="378" t="s">
        <v>410</v>
      </c>
      <c r="G75" s="264" t="s">
        <v>282</v>
      </c>
      <c r="H75" s="264" t="s">
        <v>288</v>
      </c>
      <c r="I75" s="63">
        <v>5</v>
      </c>
      <c r="J75" s="63" t="s">
        <v>254</v>
      </c>
      <c r="K75" s="63">
        <v>0.6</v>
      </c>
      <c r="L75" s="63">
        <f t="shared" si="8"/>
        <v>3</v>
      </c>
      <c r="M75" s="355">
        <v>6.99</v>
      </c>
      <c r="N75" s="364">
        <v>6.99</v>
      </c>
      <c r="O75" s="366">
        <v>168.75</v>
      </c>
      <c r="P75" s="354">
        <v>174.98</v>
      </c>
      <c r="Q75" s="354">
        <v>874.92</v>
      </c>
      <c r="R75" s="354" t="s">
        <v>261</v>
      </c>
      <c r="S75" s="354" t="s">
        <v>328</v>
      </c>
    </row>
    <row r="76" spans="1:19" ht="23.1" customHeight="1">
      <c r="A76" s="63">
        <v>69</v>
      </c>
      <c r="B76" s="63" t="s">
        <v>315</v>
      </c>
      <c r="C76" s="63" t="s">
        <v>423</v>
      </c>
      <c r="D76" s="372" t="s">
        <v>342</v>
      </c>
      <c r="E76" s="375" t="s">
        <v>361</v>
      </c>
      <c r="F76" s="378" t="s">
        <v>411</v>
      </c>
      <c r="G76" s="264" t="s">
        <v>282</v>
      </c>
      <c r="H76" s="264" t="s">
        <v>288</v>
      </c>
      <c r="I76" s="63">
        <v>5</v>
      </c>
      <c r="J76" s="63" t="s">
        <v>254</v>
      </c>
      <c r="K76" s="63">
        <v>0.37</v>
      </c>
      <c r="L76" s="63">
        <f t="shared" si="8"/>
        <v>1.85</v>
      </c>
      <c r="M76" s="355">
        <v>4.32</v>
      </c>
      <c r="N76" s="364">
        <v>4.32</v>
      </c>
      <c r="O76" s="366">
        <v>168.75</v>
      </c>
      <c r="P76" s="354">
        <v>174.98</v>
      </c>
      <c r="Q76" s="354">
        <v>874.92</v>
      </c>
      <c r="R76" s="354" t="s">
        <v>262</v>
      </c>
      <c r="S76" s="354" t="s">
        <v>328</v>
      </c>
    </row>
    <row r="77" spans="1:19" ht="23.1" customHeight="1">
      <c r="A77" s="63">
        <v>70</v>
      </c>
      <c r="B77" s="63" t="s">
        <v>316</v>
      </c>
      <c r="C77" s="63" t="s">
        <v>423</v>
      </c>
      <c r="D77" s="372" t="s">
        <v>337</v>
      </c>
      <c r="E77" s="375" t="s">
        <v>412</v>
      </c>
      <c r="F77" s="378" t="s">
        <v>408</v>
      </c>
      <c r="G77" s="264" t="s">
        <v>282</v>
      </c>
      <c r="H77" s="264" t="s">
        <v>288</v>
      </c>
      <c r="I77" s="63">
        <v>5</v>
      </c>
      <c r="J77" s="63" t="s">
        <v>222</v>
      </c>
      <c r="K77" s="63">
        <v>57</v>
      </c>
      <c r="L77" s="63">
        <f>I77*K77</f>
        <v>285</v>
      </c>
      <c r="M77" s="355">
        <v>663.1</v>
      </c>
      <c r="N77" s="364">
        <v>638.1</v>
      </c>
      <c r="O77" s="366">
        <v>168.75</v>
      </c>
      <c r="P77" s="354">
        <v>174.98</v>
      </c>
      <c r="Q77" s="354">
        <v>874.92</v>
      </c>
      <c r="R77" s="354" t="s">
        <v>259</v>
      </c>
      <c r="S77" s="354" t="s">
        <v>328</v>
      </c>
    </row>
    <row r="78" spans="1:19" ht="23.1" customHeight="1">
      <c r="A78" s="63">
        <v>71</v>
      </c>
      <c r="B78" s="63" t="s">
        <v>316</v>
      </c>
      <c r="C78" s="63" t="s">
        <v>423</v>
      </c>
      <c r="D78" s="372" t="s">
        <v>339</v>
      </c>
      <c r="E78" s="375" t="s">
        <v>359</v>
      </c>
      <c r="F78" s="378" t="s">
        <v>409</v>
      </c>
      <c r="G78" s="264" t="s">
        <v>282</v>
      </c>
      <c r="H78" s="264" t="s">
        <v>288</v>
      </c>
      <c r="I78" s="63">
        <v>5</v>
      </c>
      <c r="J78" s="63" t="s">
        <v>254</v>
      </c>
      <c r="K78" s="63">
        <v>2.2000000000000002</v>
      </c>
      <c r="L78" s="63">
        <f t="shared" ref="L78:L80" si="9">I78*K78</f>
        <v>11</v>
      </c>
      <c r="M78" s="355">
        <v>25.59</v>
      </c>
      <c r="N78" s="364">
        <v>25.59</v>
      </c>
      <c r="O78" s="366">
        <v>168.75</v>
      </c>
      <c r="P78" s="354">
        <v>174.98</v>
      </c>
      <c r="Q78" s="354">
        <v>874.92</v>
      </c>
      <c r="R78" s="354" t="s">
        <v>260</v>
      </c>
      <c r="S78" s="354" t="s">
        <v>328</v>
      </c>
    </row>
    <row r="79" spans="1:19" ht="23.1" customHeight="1">
      <c r="A79" s="63">
        <v>72</v>
      </c>
      <c r="B79" s="63" t="s">
        <v>316</v>
      </c>
      <c r="C79" s="63" t="s">
        <v>423</v>
      </c>
      <c r="D79" s="372" t="s">
        <v>341</v>
      </c>
      <c r="E79" s="375" t="s">
        <v>360</v>
      </c>
      <c r="F79" s="378" t="s">
        <v>410</v>
      </c>
      <c r="G79" s="264" t="s">
        <v>282</v>
      </c>
      <c r="H79" s="264" t="s">
        <v>288</v>
      </c>
      <c r="I79" s="63">
        <v>5</v>
      </c>
      <c r="J79" s="63" t="s">
        <v>254</v>
      </c>
      <c r="K79" s="63">
        <v>0.6</v>
      </c>
      <c r="L79" s="63">
        <f t="shared" si="9"/>
        <v>3</v>
      </c>
      <c r="M79" s="355">
        <v>6.99</v>
      </c>
      <c r="N79" s="364">
        <v>6.99</v>
      </c>
      <c r="O79" s="366">
        <v>168.75</v>
      </c>
      <c r="P79" s="354">
        <v>174.98</v>
      </c>
      <c r="Q79" s="354">
        <v>874.92</v>
      </c>
      <c r="R79" s="354" t="s">
        <v>261</v>
      </c>
      <c r="S79" s="354" t="s">
        <v>328</v>
      </c>
    </row>
    <row r="80" spans="1:19" ht="23.1" customHeight="1">
      <c r="A80" s="63">
        <v>73</v>
      </c>
      <c r="B80" s="63" t="s">
        <v>316</v>
      </c>
      <c r="C80" s="63" t="s">
        <v>423</v>
      </c>
      <c r="D80" s="372" t="s">
        <v>342</v>
      </c>
      <c r="E80" s="375" t="s">
        <v>361</v>
      </c>
      <c r="F80" s="378" t="s">
        <v>411</v>
      </c>
      <c r="G80" s="264" t="s">
        <v>282</v>
      </c>
      <c r="H80" s="264" t="s">
        <v>288</v>
      </c>
      <c r="I80" s="63">
        <v>5</v>
      </c>
      <c r="J80" s="63" t="s">
        <v>254</v>
      </c>
      <c r="K80" s="63">
        <v>0.37</v>
      </c>
      <c r="L80" s="63">
        <f t="shared" si="9"/>
        <v>1.85</v>
      </c>
      <c r="M80" s="355">
        <v>4.32</v>
      </c>
      <c r="N80" s="364">
        <v>4.32</v>
      </c>
      <c r="O80" s="366">
        <v>168.75</v>
      </c>
      <c r="P80" s="354">
        <v>174.98</v>
      </c>
      <c r="Q80" s="354">
        <v>874.92</v>
      </c>
      <c r="R80" s="354" t="s">
        <v>262</v>
      </c>
      <c r="S80" s="354" t="s">
        <v>328</v>
      </c>
    </row>
    <row r="81" spans="1:19" ht="23.1" customHeight="1">
      <c r="A81" s="63">
        <v>74</v>
      </c>
      <c r="B81" s="63" t="s">
        <v>317</v>
      </c>
      <c r="C81" s="63" t="s">
        <v>423</v>
      </c>
      <c r="D81" s="372" t="s">
        <v>337</v>
      </c>
      <c r="E81" s="375" t="s">
        <v>412</v>
      </c>
      <c r="F81" s="378" t="s">
        <v>408</v>
      </c>
      <c r="G81" s="264" t="s">
        <v>282</v>
      </c>
      <c r="H81" s="264" t="s">
        <v>288</v>
      </c>
      <c r="I81" s="63">
        <v>5</v>
      </c>
      <c r="J81" s="63" t="s">
        <v>222</v>
      </c>
      <c r="K81" s="63">
        <v>57</v>
      </c>
      <c r="L81" s="63">
        <f>I81*K81</f>
        <v>285</v>
      </c>
      <c r="M81" s="355">
        <v>663.1</v>
      </c>
      <c r="N81" s="364">
        <v>638.1</v>
      </c>
      <c r="O81" s="366">
        <v>168.75</v>
      </c>
      <c r="P81" s="354">
        <v>174.98</v>
      </c>
      <c r="Q81" s="354">
        <v>874.92</v>
      </c>
      <c r="R81" s="354" t="s">
        <v>259</v>
      </c>
      <c r="S81" s="354" t="s">
        <v>328</v>
      </c>
    </row>
    <row r="82" spans="1:19" ht="23.1" customHeight="1">
      <c r="A82" s="63">
        <v>75</v>
      </c>
      <c r="B82" s="63" t="s">
        <v>317</v>
      </c>
      <c r="C82" s="63" t="s">
        <v>423</v>
      </c>
      <c r="D82" s="372" t="s">
        <v>339</v>
      </c>
      <c r="E82" s="375" t="s">
        <v>359</v>
      </c>
      <c r="F82" s="378" t="s">
        <v>409</v>
      </c>
      <c r="G82" s="264" t="s">
        <v>282</v>
      </c>
      <c r="H82" s="264" t="s">
        <v>288</v>
      </c>
      <c r="I82" s="63">
        <v>5</v>
      </c>
      <c r="J82" s="63" t="s">
        <v>254</v>
      </c>
      <c r="K82" s="63">
        <v>2.2000000000000002</v>
      </c>
      <c r="L82" s="63">
        <f t="shared" ref="L82:L84" si="10">I82*K82</f>
        <v>11</v>
      </c>
      <c r="M82" s="355">
        <v>25.59</v>
      </c>
      <c r="N82" s="364">
        <v>25.59</v>
      </c>
      <c r="O82" s="366">
        <v>168.75</v>
      </c>
      <c r="P82" s="354">
        <v>174.98</v>
      </c>
      <c r="Q82" s="354">
        <v>874.92</v>
      </c>
      <c r="R82" s="354" t="s">
        <v>260</v>
      </c>
      <c r="S82" s="354" t="s">
        <v>328</v>
      </c>
    </row>
    <row r="83" spans="1:19" ht="23.1" customHeight="1">
      <c r="A83" s="63">
        <v>76</v>
      </c>
      <c r="B83" s="63" t="s">
        <v>317</v>
      </c>
      <c r="C83" s="63" t="s">
        <v>423</v>
      </c>
      <c r="D83" s="372" t="s">
        <v>341</v>
      </c>
      <c r="E83" s="375" t="s">
        <v>360</v>
      </c>
      <c r="F83" s="378" t="s">
        <v>410</v>
      </c>
      <c r="G83" s="264" t="s">
        <v>282</v>
      </c>
      <c r="H83" s="264" t="s">
        <v>288</v>
      </c>
      <c r="I83" s="63">
        <v>5</v>
      </c>
      <c r="J83" s="63" t="s">
        <v>254</v>
      </c>
      <c r="K83" s="63">
        <v>0.6</v>
      </c>
      <c r="L83" s="63">
        <f t="shared" si="10"/>
        <v>3</v>
      </c>
      <c r="M83" s="355">
        <v>6.99</v>
      </c>
      <c r="N83" s="364">
        <v>6.99</v>
      </c>
      <c r="O83" s="366">
        <v>168.75</v>
      </c>
      <c r="P83" s="354">
        <v>174.98</v>
      </c>
      <c r="Q83" s="354">
        <v>874.92</v>
      </c>
      <c r="R83" s="354" t="s">
        <v>261</v>
      </c>
      <c r="S83" s="354" t="s">
        <v>328</v>
      </c>
    </row>
    <row r="84" spans="1:19" ht="23.1" customHeight="1">
      <c r="A84" s="63">
        <v>77</v>
      </c>
      <c r="B84" s="63" t="s">
        <v>317</v>
      </c>
      <c r="C84" s="63" t="s">
        <v>423</v>
      </c>
      <c r="D84" s="372" t="s">
        <v>342</v>
      </c>
      <c r="E84" s="375" t="s">
        <v>361</v>
      </c>
      <c r="F84" s="378" t="s">
        <v>411</v>
      </c>
      <c r="G84" s="264" t="s">
        <v>282</v>
      </c>
      <c r="H84" s="264" t="s">
        <v>288</v>
      </c>
      <c r="I84" s="63">
        <v>5</v>
      </c>
      <c r="J84" s="63" t="s">
        <v>254</v>
      </c>
      <c r="K84" s="63">
        <v>0.37</v>
      </c>
      <c r="L84" s="63">
        <f t="shared" si="10"/>
        <v>1.85</v>
      </c>
      <c r="M84" s="355">
        <v>4.32</v>
      </c>
      <c r="N84" s="364">
        <v>4.32</v>
      </c>
      <c r="O84" s="366">
        <v>168.75</v>
      </c>
      <c r="P84" s="354">
        <v>174.98</v>
      </c>
      <c r="Q84" s="354">
        <v>874.92</v>
      </c>
      <c r="R84" s="354" t="s">
        <v>262</v>
      </c>
      <c r="S84" s="354" t="s">
        <v>328</v>
      </c>
    </row>
    <row r="85" spans="1:19" ht="23.1" customHeight="1">
      <c r="A85" s="63">
        <v>78</v>
      </c>
      <c r="B85" s="63" t="s">
        <v>318</v>
      </c>
      <c r="C85" s="63" t="s">
        <v>422</v>
      </c>
      <c r="D85" s="372" t="s">
        <v>337</v>
      </c>
      <c r="E85" s="375" t="s">
        <v>412</v>
      </c>
      <c r="F85" s="378" t="s">
        <v>408</v>
      </c>
      <c r="G85" s="264" t="s">
        <v>282</v>
      </c>
      <c r="H85" s="264" t="s">
        <v>288</v>
      </c>
      <c r="I85" s="63">
        <v>5</v>
      </c>
      <c r="J85" s="63" t="s">
        <v>222</v>
      </c>
      <c r="K85" s="63">
        <v>57</v>
      </c>
      <c r="L85" s="63">
        <f>I85*K85</f>
        <v>285</v>
      </c>
      <c r="M85" s="355">
        <v>663.1</v>
      </c>
      <c r="N85" s="364">
        <v>638.1</v>
      </c>
      <c r="O85" s="366">
        <v>168.75</v>
      </c>
      <c r="P85" s="354">
        <v>174.98</v>
      </c>
      <c r="Q85" s="354">
        <v>874.92</v>
      </c>
      <c r="R85" s="354" t="s">
        <v>259</v>
      </c>
      <c r="S85" s="354" t="s">
        <v>328</v>
      </c>
    </row>
    <row r="86" spans="1:19" ht="23.1" customHeight="1">
      <c r="A86" s="63">
        <v>79</v>
      </c>
      <c r="B86" s="63" t="s">
        <v>318</v>
      </c>
      <c r="C86" s="63" t="s">
        <v>422</v>
      </c>
      <c r="D86" s="372" t="s">
        <v>339</v>
      </c>
      <c r="E86" s="375" t="s">
        <v>359</v>
      </c>
      <c r="F86" s="378" t="s">
        <v>409</v>
      </c>
      <c r="G86" s="264" t="s">
        <v>282</v>
      </c>
      <c r="H86" s="264" t="s">
        <v>288</v>
      </c>
      <c r="I86" s="63">
        <v>5</v>
      </c>
      <c r="J86" s="63" t="s">
        <v>254</v>
      </c>
      <c r="K86" s="63">
        <v>2.2000000000000002</v>
      </c>
      <c r="L86" s="63">
        <f t="shared" ref="L86:L88" si="11">I86*K86</f>
        <v>11</v>
      </c>
      <c r="M86" s="355">
        <v>25.59</v>
      </c>
      <c r="N86" s="364">
        <v>25.59</v>
      </c>
      <c r="O86" s="366">
        <v>168.75</v>
      </c>
      <c r="P86" s="354">
        <v>174.98</v>
      </c>
      <c r="Q86" s="354">
        <v>874.92</v>
      </c>
      <c r="R86" s="354" t="s">
        <v>260</v>
      </c>
      <c r="S86" s="354" t="s">
        <v>328</v>
      </c>
    </row>
    <row r="87" spans="1:19" ht="23.1" customHeight="1">
      <c r="A87" s="63">
        <v>80</v>
      </c>
      <c r="B87" s="63" t="s">
        <v>318</v>
      </c>
      <c r="C87" s="63" t="s">
        <v>422</v>
      </c>
      <c r="D87" s="372" t="s">
        <v>341</v>
      </c>
      <c r="E87" s="375" t="s">
        <v>360</v>
      </c>
      <c r="F87" s="378" t="s">
        <v>410</v>
      </c>
      <c r="G87" s="264" t="s">
        <v>282</v>
      </c>
      <c r="H87" s="264" t="s">
        <v>288</v>
      </c>
      <c r="I87" s="63">
        <v>5</v>
      </c>
      <c r="J87" s="63" t="s">
        <v>254</v>
      </c>
      <c r="K87" s="63">
        <v>0.6</v>
      </c>
      <c r="L87" s="63">
        <f t="shared" si="11"/>
        <v>3</v>
      </c>
      <c r="M87" s="355">
        <v>6.99</v>
      </c>
      <c r="N87" s="364">
        <v>6.99</v>
      </c>
      <c r="O87" s="366">
        <v>168.75</v>
      </c>
      <c r="P87" s="354">
        <v>174.98</v>
      </c>
      <c r="Q87" s="354">
        <v>874.92</v>
      </c>
      <c r="R87" s="354" t="s">
        <v>261</v>
      </c>
      <c r="S87" s="354" t="s">
        <v>328</v>
      </c>
    </row>
    <row r="88" spans="1:19" ht="23.1" customHeight="1">
      <c r="A88" s="63">
        <v>81</v>
      </c>
      <c r="B88" s="63" t="s">
        <v>318</v>
      </c>
      <c r="C88" s="63" t="s">
        <v>422</v>
      </c>
      <c r="D88" s="372" t="s">
        <v>342</v>
      </c>
      <c r="E88" s="375" t="s">
        <v>361</v>
      </c>
      <c r="F88" s="378" t="s">
        <v>411</v>
      </c>
      <c r="G88" s="264" t="s">
        <v>282</v>
      </c>
      <c r="H88" s="264" t="s">
        <v>288</v>
      </c>
      <c r="I88" s="63">
        <v>5</v>
      </c>
      <c r="J88" s="63" t="s">
        <v>254</v>
      </c>
      <c r="K88" s="63">
        <v>0.37</v>
      </c>
      <c r="L88" s="63">
        <f t="shared" si="11"/>
        <v>1.85</v>
      </c>
      <c r="M88" s="355">
        <v>4.32</v>
      </c>
      <c r="N88" s="364">
        <v>4.32</v>
      </c>
      <c r="O88" s="366">
        <v>168.75</v>
      </c>
      <c r="P88" s="354">
        <v>174.98</v>
      </c>
      <c r="Q88" s="354">
        <v>874.92</v>
      </c>
      <c r="R88" s="354" t="s">
        <v>262</v>
      </c>
      <c r="S88" s="354" t="s">
        <v>328</v>
      </c>
    </row>
    <row r="89" spans="1:19" ht="23.1" customHeight="1">
      <c r="A89" s="63">
        <v>82</v>
      </c>
      <c r="B89" s="63" t="s">
        <v>319</v>
      </c>
      <c r="C89" s="63" t="s">
        <v>422</v>
      </c>
      <c r="D89" s="372" t="s">
        <v>337</v>
      </c>
      <c r="E89" s="375" t="s">
        <v>412</v>
      </c>
      <c r="F89" s="378" t="s">
        <v>408</v>
      </c>
      <c r="G89" s="264" t="s">
        <v>282</v>
      </c>
      <c r="H89" s="264" t="s">
        <v>288</v>
      </c>
      <c r="I89" s="63">
        <v>2</v>
      </c>
      <c r="J89" s="63" t="s">
        <v>222</v>
      </c>
      <c r="K89" s="63">
        <v>57</v>
      </c>
      <c r="L89" s="63">
        <f>I89*K89</f>
        <v>114</v>
      </c>
      <c r="M89" s="63">
        <v>256</v>
      </c>
      <c r="N89" s="364">
        <v>255.4</v>
      </c>
      <c r="O89" s="366">
        <v>67.5</v>
      </c>
      <c r="P89" s="354">
        <v>174.99</v>
      </c>
      <c r="Q89" s="354">
        <v>349.97</v>
      </c>
      <c r="R89" s="354" t="s">
        <v>255</v>
      </c>
      <c r="S89" s="354" t="s">
        <v>328</v>
      </c>
    </row>
    <row r="90" spans="1:19" ht="23.1" customHeight="1">
      <c r="A90" s="63">
        <v>83</v>
      </c>
      <c r="B90" s="63" t="s">
        <v>319</v>
      </c>
      <c r="C90" s="63" t="s">
        <v>422</v>
      </c>
      <c r="D90" s="372" t="s">
        <v>339</v>
      </c>
      <c r="E90" s="375" t="s">
        <v>359</v>
      </c>
      <c r="F90" s="378" t="s">
        <v>409</v>
      </c>
      <c r="G90" s="264" t="s">
        <v>282</v>
      </c>
      <c r="H90" s="264" t="s">
        <v>288</v>
      </c>
      <c r="I90" s="63">
        <v>2</v>
      </c>
      <c r="J90" s="63" t="s">
        <v>254</v>
      </c>
      <c r="K90" s="63">
        <v>2.2000000000000002</v>
      </c>
      <c r="L90" s="63">
        <f t="shared" ref="L90:L92" si="12">I90*K90</f>
        <v>4.4000000000000004</v>
      </c>
      <c r="M90" s="63">
        <v>10.236000000000001</v>
      </c>
      <c r="N90" s="364">
        <v>10.199999999999999</v>
      </c>
      <c r="O90" s="366">
        <v>67.5</v>
      </c>
      <c r="P90" s="354">
        <v>174.99</v>
      </c>
      <c r="Q90" s="354">
        <v>349.97</v>
      </c>
      <c r="R90" s="354" t="s">
        <v>256</v>
      </c>
      <c r="S90" s="354" t="s">
        <v>328</v>
      </c>
    </row>
    <row r="91" spans="1:19" ht="23.1" customHeight="1">
      <c r="A91" s="63">
        <v>84</v>
      </c>
      <c r="B91" s="63" t="s">
        <v>319</v>
      </c>
      <c r="C91" s="63" t="s">
        <v>422</v>
      </c>
      <c r="D91" s="372" t="s">
        <v>341</v>
      </c>
      <c r="E91" s="375" t="s">
        <v>360</v>
      </c>
      <c r="F91" s="378" t="s">
        <v>410</v>
      </c>
      <c r="G91" s="264" t="s">
        <v>282</v>
      </c>
      <c r="H91" s="264" t="s">
        <v>288</v>
      </c>
      <c r="I91" s="63">
        <v>2</v>
      </c>
      <c r="J91" s="63" t="s">
        <v>254</v>
      </c>
      <c r="K91" s="63">
        <v>0.6</v>
      </c>
      <c r="L91" s="63">
        <f t="shared" si="12"/>
        <v>1.2</v>
      </c>
      <c r="M91" s="63">
        <v>2.7960000000000003</v>
      </c>
      <c r="N91" s="364">
        <v>2.7</v>
      </c>
      <c r="O91" s="366">
        <v>67.5</v>
      </c>
      <c r="P91" s="354">
        <v>174.99</v>
      </c>
      <c r="Q91" s="354">
        <v>349.97</v>
      </c>
      <c r="R91" s="354" t="s">
        <v>257</v>
      </c>
      <c r="S91" s="354" t="s">
        <v>328</v>
      </c>
    </row>
    <row r="92" spans="1:19" ht="23.1" customHeight="1">
      <c r="A92" s="63">
        <v>85</v>
      </c>
      <c r="B92" s="63" t="s">
        <v>319</v>
      </c>
      <c r="C92" s="63" t="s">
        <v>422</v>
      </c>
      <c r="D92" s="372" t="s">
        <v>342</v>
      </c>
      <c r="E92" s="375" t="s">
        <v>361</v>
      </c>
      <c r="F92" s="378" t="s">
        <v>411</v>
      </c>
      <c r="G92" s="264" t="s">
        <v>282</v>
      </c>
      <c r="H92" s="264" t="s">
        <v>288</v>
      </c>
      <c r="I92" s="63">
        <v>2</v>
      </c>
      <c r="J92" s="63" t="s">
        <v>254</v>
      </c>
      <c r="K92" s="63">
        <v>0.37</v>
      </c>
      <c r="L92" s="63">
        <f t="shared" si="12"/>
        <v>0.74</v>
      </c>
      <c r="M92" s="63">
        <v>1.7</v>
      </c>
      <c r="N92" s="364">
        <v>1.7</v>
      </c>
      <c r="O92" s="366">
        <v>67.5</v>
      </c>
      <c r="P92" s="354">
        <v>174.99</v>
      </c>
      <c r="Q92" s="354">
        <v>349.97</v>
      </c>
      <c r="R92" s="354" t="s">
        <v>258</v>
      </c>
      <c r="S92" s="354" t="s">
        <v>328</v>
      </c>
    </row>
    <row r="93" spans="1:19" ht="23.1" customHeight="1">
      <c r="A93" s="63">
        <v>86</v>
      </c>
      <c r="B93" s="63" t="s">
        <v>319</v>
      </c>
      <c r="C93" s="63" t="s">
        <v>422</v>
      </c>
      <c r="D93" s="372" t="s">
        <v>337</v>
      </c>
      <c r="E93" s="375" t="s">
        <v>412</v>
      </c>
      <c r="F93" s="378" t="s">
        <v>408</v>
      </c>
      <c r="G93" s="264" t="s">
        <v>282</v>
      </c>
      <c r="H93" s="264" t="s">
        <v>288</v>
      </c>
      <c r="I93" s="63">
        <v>3</v>
      </c>
      <c r="J93" s="63" t="s">
        <v>222</v>
      </c>
      <c r="K93" s="63">
        <v>57</v>
      </c>
      <c r="L93" s="63">
        <f>I93*K93</f>
        <v>171</v>
      </c>
      <c r="M93" s="63">
        <v>383.1</v>
      </c>
      <c r="N93" s="364">
        <v>383.1</v>
      </c>
      <c r="O93" s="366">
        <v>101.25</v>
      </c>
      <c r="P93" s="354">
        <v>174.98</v>
      </c>
      <c r="Q93" s="354">
        <v>524.95000000000005</v>
      </c>
      <c r="R93" s="354" t="s">
        <v>259</v>
      </c>
      <c r="S93" s="354" t="s">
        <v>328</v>
      </c>
    </row>
    <row r="94" spans="1:19" ht="23.1" customHeight="1">
      <c r="A94" s="63">
        <v>87</v>
      </c>
      <c r="B94" s="63" t="s">
        <v>319</v>
      </c>
      <c r="C94" s="63" t="s">
        <v>422</v>
      </c>
      <c r="D94" s="372" t="s">
        <v>339</v>
      </c>
      <c r="E94" s="375" t="s">
        <v>359</v>
      </c>
      <c r="F94" s="378" t="s">
        <v>409</v>
      </c>
      <c r="G94" s="264" t="s">
        <v>282</v>
      </c>
      <c r="H94" s="264" t="s">
        <v>288</v>
      </c>
      <c r="I94" s="63">
        <v>3</v>
      </c>
      <c r="J94" s="63" t="s">
        <v>254</v>
      </c>
      <c r="K94" s="63">
        <v>2.2000000000000002</v>
      </c>
      <c r="L94" s="63">
        <f t="shared" ref="L94:L96" si="13">I94*K94</f>
        <v>6.6000000000000005</v>
      </c>
      <c r="M94" s="63">
        <v>15.3</v>
      </c>
      <c r="N94" s="364">
        <v>15.3</v>
      </c>
      <c r="O94" s="366">
        <v>101.25</v>
      </c>
      <c r="P94" s="354">
        <v>174.98</v>
      </c>
      <c r="Q94" s="354">
        <v>524.95000000000005</v>
      </c>
      <c r="R94" s="354" t="s">
        <v>260</v>
      </c>
      <c r="S94" s="354" t="s">
        <v>328</v>
      </c>
    </row>
    <row r="95" spans="1:19" ht="23.1" customHeight="1">
      <c r="A95" s="63">
        <v>88</v>
      </c>
      <c r="B95" s="63" t="s">
        <v>319</v>
      </c>
      <c r="C95" s="63" t="s">
        <v>422</v>
      </c>
      <c r="D95" s="372" t="s">
        <v>341</v>
      </c>
      <c r="E95" s="375" t="s">
        <v>360</v>
      </c>
      <c r="F95" s="378" t="s">
        <v>410</v>
      </c>
      <c r="G95" s="264" t="s">
        <v>282</v>
      </c>
      <c r="H95" s="264" t="s">
        <v>288</v>
      </c>
      <c r="I95" s="63">
        <v>3</v>
      </c>
      <c r="J95" s="63" t="s">
        <v>254</v>
      </c>
      <c r="K95" s="63">
        <v>0.6</v>
      </c>
      <c r="L95" s="63">
        <f t="shared" si="13"/>
        <v>1.7999999999999998</v>
      </c>
      <c r="M95" s="63">
        <v>4.0999999999999996</v>
      </c>
      <c r="N95" s="364">
        <v>4.0999999999999996</v>
      </c>
      <c r="O95" s="366">
        <v>101.25</v>
      </c>
      <c r="P95" s="354">
        <v>174.98</v>
      </c>
      <c r="Q95" s="354">
        <v>524.95000000000005</v>
      </c>
      <c r="R95" s="354" t="s">
        <v>261</v>
      </c>
      <c r="S95" s="354" t="s">
        <v>328</v>
      </c>
    </row>
    <row r="96" spans="1:19" ht="23.1" customHeight="1">
      <c r="A96" s="63">
        <v>89</v>
      </c>
      <c r="B96" s="63" t="s">
        <v>319</v>
      </c>
      <c r="C96" s="63" t="s">
        <v>422</v>
      </c>
      <c r="D96" s="372" t="s">
        <v>342</v>
      </c>
      <c r="E96" s="375" t="s">
        <v>361</v>
      </c>
      <c r="F96" s="378" t="s">
        <v>411</v>
      </c>
      <c r="G96" s="264" t="s">
        <v>282</v>
      </c>
      <c r="H96" s="264" t="s">
        <v>288</v>
      </c>
      <c r="I96" s="63">
        <v>3</v>
      </c>
      <c r="J96" s="63" t="s">
        <v>254</v>
      </c>
      <c r="K96" s="63">
        <v>0.37</v>
      </c>
      <c r="L96" s="63">
        <f t="shared" si="13"/>
        <v>1.1099999999999999</v>
      </c>
      <c r="M96" s="63">
        <v>2.5</v>
      </c>
      <c r="N96" s="364">
        <v>2.5</v>
      </c>
      <c r="O96" s="366">
        <v>101.25</v>
      </c>
      <c r="P96" s="354">
        <v>174.98</v>
      </c>
      <c r="Q96" s="354">
        <v>524.95000000000005</v>
      </c>
      <c r="R96" s="354" t="s">
        <v>262</v>
      </c>
      <c r="S96" s="354" t="s">
        <v>328</v>
      </c>
    </row>
    <row r="97" spans="1:30" ht="23.1" customHeight="1">
      <c r="A97" s="63">
        <v>90</v>
      </c>
      <c r="B97" s="63" t="s">
        <v>320</v>
      </c>
      <c r="C97" s="63" t="s">
        <v>422</v>
      </c>
      <c r="D97" s="372" t="s">
        <v>344</v>
      </c>
      <c r="E97" s="375" t="s">
        <v>417</v>
      </c>
      <c r="F97" s="378" t="s">
        <v>408</v>
      </c>
      <c r="G97" s="264" t="s">
        <v>282</v>
      </c>
      <c r="H97" s="264" t="s">
        <v>288</v>
      </c>
      <c r="I97" s="63">
        <v>24</v>
      </c>
      <c r="J97" s="63" t="s">
        <v>222</v>
      </c>
      <c r="K97" s="63"/>
      <c r="L97" s="63">
        <f>M101/I101</f>
        <v>10.854749999999999</v>
      </c>
      <c r="M97" s="356">
        <v>356.46</v>
      </c>
      <c r="N97" s="364">
        <v>356.46</v>
      </c>
      <c r="O97" s="366">
        <v>105.5</v>
      </c>
      <c r="P97" s="354">
        <v>22.79</v>
      </c>
      <c r="Q97" s="354">
        <v>546.99</v>
      </c>
      <c r="R97" s="354" t="s">
        <v>263</v>
      </c>
      <c r="S97" s="354" t="s">
        <v>328</v>
      </c>
    </row>
    <row r="98" spans="1:30" ht="23.1" customHeight="1">
      <c r="A98" s="63">
        <v>91</v>
      </c>
      <c r="B98" s="63" t="s">
        <v>320</v>
      </c>
      <c r="C98" s="63" t="s">
        <v>422</v>
      </c>
      <c r="D98" s="372" t="s">
        <v>346</v>
      </c>
      <c r="E98" s="375" t="s">
        <v>362</v>
      </c>
      <c r="F98" s="378" t="s">
        <v>409</v>
      </c>
      <c r="G98" s="264" t="s">
        <v>282</v>
      </c>
      <c r="H98" s="264" t="s">
        <v>288</v>
      </c>
      <c r="I98" s="63">
        <v>24</v>
      </c>
      <c r="J98" s="63" t="s">
        <v>254</v>
      </c>
      <c r="K98" s="63"/>
      <c r="L98" s="63">
        <f>M102/I102</f>
        <v>1.5522500000000001</v>
      </c>
      <c r="M98" s="356">
        <v>37.25</v>
      </c>
      <c r="N98" s="364">
        <v>37.25</v>
      </c>
      <c r="O98" s="366">
        <v>105.5</v>
      </c>
      <c r="P98" s="354">
        <v>22.79</v>
      </c>
      <c r="Q98" s="354">
        <v>546.99</v>
      </c>
      <c r="R98" s="354" t="s">
        <v>264</v>
      </c>
      <c r="S98" s="354" t="s">
        <v>328</v>
      </c>
    </row>
    <row r="99" spans="1:30" ht="23.1" customHeight="1">
      <c r="A99" s="63">
        <v>92</v>
      </c>
      <c r="B99" s="63" t="s">
        <v>320</v>
      </c>
      <c r="C99" s="63" t="s">
        <v>422</v>
      </c>
      <c r="D99" s="372" t="s">
        <v>347</v>
      </c>
      <c r="E99" s="375" t="s">
        <v>363</v>
      </c>
      <c r="F99" s="378" t="s">
        <v>410</v>
      </c>
      <c r="G99" s="264" t="s">
        <v>282</v>
      </c>
      <c r="H99" s="264" t="s">
        <v>288</v>
      </c>
      <c r="I99" s="63">
        <v>24</v>
      </c>
      <c r="J99" s="63" t="s">
        <v>254</v>
      </c>
      <c r="K99" s="63"/>
      <c r="L99" s="63">
        <f>M103/I103</f>
        <v>0.27900000000000003</v>
      </c>
      <c r="M99" s="356">
        <v>6.69</v>
      </c>
      <c r="N99" s="364">
        <v>6.69</v>
      </c>
      <c r="O99" s="366">
        <v>105.5</v>
      </c>
      <c r="P99" s="354">
        <v>22.79</v>
      </c>
      <c r="Q99" s="354">
        <v>546.99</v>
      </c>
      <c r="R99" s="354" t="s">
        <v>265</v>
      </c>
      <c r="S99" s="354" t="s">
        <v>328</v>
      </c>
    </row>
    <row r="100" spans="1:30" ht="23.1" customHeight="1">
      <c r="A100" s="63">
        <v>93</v>
      </c>
      <c r="B100" s="63" t="s">
        <v>320</v>
      </c>
      <c r="C100" s="63" t="s">
        <v>423</v>
      </c>
      <c r="D100" s="372" t="s">
        <v>348</v>
      </c>
      <c r="E100" s="375" t="s">
        <v>413</v>
      </c>
      <c r="F100" s="378" t="s">
        <v>411</v>
      </c>
      <c r="G100" s="264" t="s">
        <v>282</v>
      </c>
      <c r="H100" s="264" t="s">
        <v>288</v>
      </c>
      <c r="I100" s="63">
        <v>24</v>
      </c>
      <c r="J100" s="63" t="s">
        <v>254</v>
      </c>
      <c r="K100" s="63"/>
      <c r="L100" s="63">
        <v>0.9</v>
      </c>
      <c r="M100" s="63">
        <v>21.6</v>
      </c>
      <c r="N100" s="364">
        <v>21.6</v>
      </c>
      <c r="O100" s="366">
        <v>105.5</v>
      </c>
      <c r="P100" s="354">
        <f t="shared" ref="P100:P106" si="14">ROUND(Q100/I100,2)</f>
        <v>4.5599999999999996</v>
      </c>
      <c r="Q100" s="354">
        <v>109.4</v>
      </c>
      <c r="R100" s="354" t="s">
        <v>266</v>
      </c>
      <c r="S100" s="354" t="s">
        <v>328</v>
      </c>
    </row>
    <row r="101" spans="1:30" ht="23.1" customHeight="1">
      <c r="A101" s="63">
        <v>94</v>
      </c>
      <c r="B101" s="63" t="s">
        <v>321</v>
      </c>
      <c r="C101" s="63" t="s">
        <v>422</v>
      </c>
      <c r="D101" s="372" t="s">
        <v>175</v>
      </c>
      <c r="E101" s="375" t="s">
        <v>418</v>
      </c>
      <c r="F101" s="378" t="s">
        <v>408</v>
      </c>
      <c r="G101" s="264" t="s">
        <v>282</v>
      </c>
      <c r="H101" s="264" t="s">
        <v>288</v>
      </c>
      <c r="I101" s="63">
        <v>40</v>
      </c>
      <c r="J101" s="63" t="s">
        <v>222</v>
      </c>
      <c r="K101" s="63">
        <v>2.6</v>
      </c>
      <c r="L101" s="63">
        <f>I101*K101</f>
        <v>104</v>
      </c>
      <c r="M101" s="63">
        <v>434.19</v>
      </c>
      <c r="N101" s="364">
        <v>434.19</v>
      </c>
      <c r="O101" s="366">
        <v>132.75</v>
      </c>
      <c r="P101" s="354">
        <f t="shared" si="14"/>
        <v>17.21</v>
      </c>
      <c r="Q101" s="354">
        <v>688.27</v>
      </c>
      <c r="R101" s="354" t="s">
        <v>270</v>
      </c>
      <c r="S101" s="354" t="s">
        <v>328</v>
      </c>
    </row>
    <row r="102" spans="1:30" ht="23.1" customHeight="1">
      <c r="A102" s="63">
        <v>95</v>
      </c>
      <c r="B102" s="63" t="s">
        <v>321</v>
      </c>
      <c r="C102" s="63" t="s">
        <v>422</v>
      </c>
      <c r="D102" s="372" t="s">
        <v>267</v>
      </c>
      <c r="E102" s="375" t="s">
        <v>364</v>
      </c>
      <c r="F102" s="378" t="s">
        <v>409</v>
      </c>
      <c r="G102" s="264" t="s">
        <v>282</v>
      </c>
      <c r="H102" s="264" t="s">
        <v>288</v>
      </c>
      <c r="I102" s="63">
        <v>40</v>
      </c>
      <c r="J102" s="63" t="s">
        <v>254</v>
      </c>
      <c r="K102" s="63">
        <v>0.5</v>
      </c>
      <c r="L102" s="63">
        <f t="shared" ref="L102:L104" si="15">I102*K102</f>
        <v>20</v>
      </c>
      <c r="M102" s="63">
        <v>62.09</v>
      </c>
      <c r="N102" s="364">
        <v>62.09</v>
      </c>
      <c r="O102" s="366">
        <v>132.75</v>
      </c>
      <c r="P102" s="354">
        <f t="shared" si="14"/>
        <v>17.21</v>
      </c>
      <c r="Q102" s="354">
        <v>688.27</v>
      </c>
      <c r="R102" s="354" t="s">
        <v>271</v>
      </c>
      <c r="S102" s="354" t="s">
        <v>328</v>
      </c>
    </row>
    <row r="103" spans="1:30" ht="23.1" customHeight="1">
      <c r="A103" s="63">
        <v>96</v>
      </c>
      <c r="B103" s="63" t="s">
        <v>321</v>
      </c>
      <c r="C103" s="63" t="s">
        <v>422</v>
      </c>
      <c r="D103" s="372" t="s">
        <v>268</v>
      </c>
      <c r="E103" s="375" t="s">
        <v>363</v>
      </c>
      <c r="F103" s="378" t="s">
        <v>410</v>
      </c>
      <c r="G103" s="264" t="s">
        <v>282</v>
      </c>
      <c r="H103" s="264" t="s">
        <v>288</v>
      </c>
      <c r="I103" s="63">
        <v>40</v>
      </c>
      <c r="J103" s="63" t="s">
        <v>254</v>
      </c>
      <c r="K103" s="63">
        <v>0.09</v>
      </c>
      <c r="L103" s="63">
        <f>I103*K103</f>
        <v>3.5999999999999996</v>
      </c>
      <c r="M103" s="63">
        <v>11.16</v>
      </c>
      <c r="N103" s="364">
        <v>11.16</v>
      </c>
      <c r="O103" s="366">
        <v>132.75</v>
      </c>
      <c r="P103" s="354">
        <f t="shared" si="14"/>
        <v>17.21</v>
      </c>
      <c r="Q103" s="354">
        <v>688.27</v>
      </c>
      <c r="R103" s="354" t="s">
        <v>272</v>
      </c>
      <c r="S103" s="354" t="s">
        <v>328</v>
      </c>
    </row>
    <row r="104" spans="1:30" ht="23.1" customHeight="1">
      <c r="A104" s="63">
        <v>97</v>
      </c>
      <c r="B104" s="63" t="s">
        <v>321</v>
      </c>
      <c r="C104" s="63" t="s">
        <v>422</v>
      </c>
      <c r="D104" s="372" t="s">
        <v>269</v>
      </c>
      <c r="E104" s="375" t="s">
        <v>365</v>
      </c>
      <c r="F104" s="378" t="s">
        <v>411</v>
      </c>
      <c r="G104" s="264" t="s">
        <v>282</v>
      </c>
      <c r="H104" s="264" t="s">
        <v>288</v>
      </c>
      <c r="I104" s="63">
        <v>40</v>
      </c>
      <c r="J104" s="63" t="s">
        <v>254</v>
      </c>
      <c r="K104" s="63">
        <v>0.19</v>
      </c>
      <c r="L104" s="63">
        <f t="shared" si="15"/>
        <v>7.6</v>
      </c>
      <c r="M104" s="63">
        <v>23.56</v>
      </c>
      <c r="N104" s="364">
        <v>23.56</v>
      </c>
      <c r="O104" s="366">
        <v>132.75</v>
      </c>
      <c r="P104" s="354">
        <f t="shared" si="14"/>
        <v>17.21</v>
      </c>
      <c r="Q104" s="354">
        <v>688.27</v>
      </c>
      <c r="R104" s="354" t="s">
        <v>273</v>
      </c>
      <c r="S104" s="354" t="s">
        <v>328</v>
      </c>
    </row>
    <row r="105" spans="1:30" ht="23.1" customHeight="1">
      <c r="A105" s="63">
        <v>98</v>
      </c>
      <c r="B105" s="63" t="s">
        <v>322</v>
      </c>
      <c r="C105" s="63" t="s">
        <v>422</v>
      </c>
      <c r="D105" s="372" t="s">
        <v>351</v>
      </c>
      <c r="E105" s="375" t="s">
        <v>419</v>
      </c>
      <c r="F105" s="378" t="s">
        <v>408</v>
      </c>
      <c r="G105" s="264" t="s">
        <v>282</v>
      </c>
      <c r="H105" s="264" t="s">
        <v>288</v>
      </c>
      <c r="I105" s="63">
        <v>11</v>
      </c>
      <c r="J105" s="63" t="s">
        <v>222</v>
      </c>
      <c r="K105" s="63"/>
      <c r="L105" s="63"/>
      <c r="M105" s="357">
        <v>157.13999999999999</v>
      </c>
      <c r="N105" s="364">
        <v>90.02</v>
      </c>
      <c r="O105" s="366">
        <v>38.966101694915253</v>
      </c>
      <c r="P105" s="354">
        <f t="shared" si="14"/>
        <v>3.67</v>
      </c>
      <c r="Q105" s="354">
        <v>40.409999999999997</v>
      </c>
      <c r="R105" s="354" t="s">
        <v>275</v>
      </c>
      <c r="S105" s="354" t="s">
        <v>328</v>
      </c>
    </row>
    <row r="106" spans="1:30" ht="23.1" customHeight="1">
      <c r="A106" s="63">
        <v>99</v>
      </c>
      <c r="B106" s="63" t="s">
        <v>322</v>
      </c>
      <c r="C106" s="63" t="s">
        <v>422</v>
      </c>
      <c r="D106" s="372" t="s">
        <v>353</v>
      </c>
      <c r="E106" s="375" t="s">
        <v>366</v>
      </c>
      <c r="F106" s="378" t="s">
        <v>409</v>
      </c>
      <c r="G106" s="264" t="s">
        <v>282</v>
      </c>
      <c r="H106" s="264" t="s">
        <v>288</v>
      </c>
      <c r="I106" s="63">
        <v>22</v>
      </c>
      <c r="J106" s="63" t="s">
        <v>254</v>
      </c>
      <c r="K106" s="63"/>
      <c r="L106" s="63"/>
      <c r="M106" s="358">
        <v>26.93</v>
      </c>
      <c r="N106" s="364">
        <v>26.88</v>
      </c>
      <c r="O106" s="366">
        <v>77.932203389830505</v>
      </c>
      <c r="P106" s="354">
        <f t="shared" si="14"/>
        <v>18.37</v>
      </c>
      <c r="Q106" s="354">
        <v>404.06</v>
      </c>
      <c r="R106" s="354" t="s">
        <v>276</v>
      </c>
      <c r="S106" s="354" t="s">
        <v>328</v>
      </c>
    </row>
    <row r="107" spans="1:30" ht="23.1" customHeight="1">
      <c r="A107" s="63">
        <v>100</v>
      </c>
      <c r="B107" s="63" t="s">
        <v>322</v>
      </c>
      <c r="C107" s="63" t="s">
        <v>422</v>
      </c>
      <c r="D107" s="372" t="s">
        <v>269</v>
      </c>
      <c r="E107" s="375" t="s">
        <v>368</v>
      </c>
      <c r="F107" s="378" t="s">
        <v>411</v>
      </c>
      <c r="G107" s="264" t="s">
        <v>282</v>
      </c>
      <c r="H107" s="264" t="s">
        <v>288</v>
      </c>
      <c r="I107" s="63">
        <v>11</v>
      </c>
      <c r="J107" s="63" t="s">
        <v>254</v>
      </c>
      <c r="K107" s="63"/>
      <c r="L107" s="63"/>
      <c r="M107" s="358">
        <v>6.28</v>
      </c>
      <c r="N107" s="364">
        <v>6.28</v>
      </c>
      <c r="O107" s="366">
        <v>38.966101694915253</v>
      </c>
      <c r="P107" s="354">
        <v>18.37</v>
      </c>
      <c r="Q107" s="354">
        <v>202.04</v>
      </c>
      <c r="R107" s="354" t="s">
        <v>278</v>
      </c>
      <c r="S107" s="354" t="s">
        <v>328</v>
      </c>
    </row>
    <row r="108" spans="1:30" ht="23.1" customHeight="1">
      <c r="A108" s="63">
        <v>101</v>
      </c>
      <c r="B108" s="63" t="s">
        <v>322</v>
      </c>
      <c r="C108" s="63" t="s">
        <v>422</v>
      </c>
      <c r="D108" s="372" t="s">
        <v>177</v>
      </c>
      <c r="E108" s="375" t="s">
        <v>420</v>
      </c>
      <c r="F108" s="378" t="s">
        <v>405</v>
      </c>
      <c r="G108" s="264" t="s">
        <v>282</v>
      </c>
      <c r="H108" s="264" t="s">
        <v>288</v>
      </c>
      <c r="I108" s="63">
        <v>4</v>
      </c>
      <c r="J108" s="63" t="s">
        <v>222</v>
      </c>
      <c r="K108" s="63"/>
      <c r="L108" s="63"/>
      <c r="M108" s="63"/>
      <c r="N108" s="364">
        <v>69.819999999999993</v>
      </c>
      <c r="O108" s="366">
        <v>14.169491525423728</v>
      </c>
      <c r="P108" s="354">
        <v>18.37</v>
      </c>
      <c r="Q108" s="354">
        <v>73.47</v>
      </c>
      <c r="R108" s="354" t="s">
        <v>279</v>
      </c>
      <c r="S108" s="354" t="s">
        <v>328</v>
      </c>
    </row>
    <row r="109" spans="1:30" ht="23.1" customHeight="1">
      <c r="A109" s="63">
        <v>102</v>
      </c>
      <c r="B109" s="63" t="s">
        <v>323</v>
      </c>
      <c r="C109" s="63" t="s">
        <v>422</v>
      </c>
      <c r="D109" s="372" t="s">
        <v>177</v>
      </c>
      <c r="E109" s="375" t="s">
        <v>414</v>
      </c>
      <c r="F109" s="378" t="s">
        <v>405</v>
      </c>
      <c r="G109" s="264" t="s">
        <v>282</v>
      </c>
      <c r="H109" s="264" t="s">
        <v>288</v>
      </c>
      <c r="I109" s="63">
        <v>2</v>
      </c>
      <c r="J109" s="63" t="s">
        <v>222</v>
      </c>
      <c r="K109" s="63"/>
      <c r="L109" s="63"/>
      <c r="M109" s="63"/>
      <c r="N109" s="364">
        <v>23</v>
      </c>
      <c r="O109" s="366">
        <v>23</v>
      </c>
      <c r="P109" s="354">
        <v>59.63</v>
      </c>
      <c r="Q109" s="354">
        <v>119.25</v>
      </c>
      <c r="R109" s="354" t="s">
        <v>280</v>
      </c>
      <c r="S109" s="354" t="s">
        <v>328</v>
      </c>
    </row>
    <row r="110" spans="1:30" ht="22.5" customHeight="1">
      <c r="A110" s="63">
        <v>103</v>
      </c>
      <c r="B110" s="63" t="s">
        <v>322</v>
      </c>
      <c r="C110" s="63" t="s">
        <v>422</v>
      </c>
      <c r="D110" s="372" t="s">
        <v>274</v>
      </c>
      <c r="E110" s="376" t="s">
        <v>367</v>
      </c>
      <c r="F110" s="379" t="s">
        <v>410</v>
      </c>
      <c r="G110" s="264" t="s">
        <v>282</v>
      </c>
      <c r="H110" s="264" t="s">
        <v>288</v>
      </c>
      <c r="I110" s="63">
        <v>11</v>
      </c>
      <c r="J110" s="63" t="s">
        <v>254</v>
      </c>
      <c r="K110" s="63"/>
      <c r="L110" s="63"/>
      <c r="M110" s="358">
        <v>4.4800000000000004</v>
      </c>
      <c r="N110" s="363">
        <v>16</v>
      </c>
      <c r="O110" s="366">
        <v>38.966101694915253</v>
      </c>
      <c r="P110" s="354">
        <f>ROUND(Q110/I110,2)</f>
        <v>3.67</v>
      </c>
      <c r="Q110" s="354">
        <v>40.409999999999997</v>
      </c>
      <c r="R110" s="354" t="s">
        <v>277</v>
      </c>
      <c r="S110" s="354" t="s">
        <v>328</v>
      </c>
      <c r="AD110" s="57" t="s">
        <v>354</v>
      </c>
    </row>
    <row r="111" spans="1:30" ht="24.6" customHeight="1">
      <c r="A111" s="69"/>
      <c r="B111" s="69"/>
      <c r="C111" s="69"/>
      <c r="D111" s="69"/>
      <c r="E111" s="69"/>
      <c r="F111" s="377"/>
      <c r="G111" s="70"/>
      <c r="H111" s="70"/>
      <c r="I111" s="390" t="s">
        <v>141</v>
      </c>
      <c r="J111" s="390"/>
      <c r="K111" s="390"/>
      <c r="L111" s="390"/>
      <c r="M111" s="390"/>
      <c r="N111" s="390"/>
      <c r="O111" s="390"/>
      <c r="P111" s="390"/>
      <c r="Q111" s="370">
        <f>SUM(Q8:Q109)</f>
        <v>141502.78000000003</v>
      </c>
      <c r="R111" s="370"/>
      <c r="S111" s="370"/>
      <c r="T111" s="369" t="e">
        <f>ROUND(#REF!/SUM(#REF!),5)*#REF!</f>
        <v>#REF!</v>
      </c>
      <c r="U111" s="360"/>
      <c r="AC111" s="65"/>
    </row>
    <row r="112" spans="1:30" ht="12.95" hidden="1" customHeight="1">
      <c r="G112" s="371"/>
      <c r="H112" s="371"/>
      <c r="T112" s="369" t="e">
        <f>ROUND(#REF!/SUM(#REF!),5)*#REF!</f>
        <v>#REF!</v>
      </c>
      <c r="U112" s="360"/>
      <c r="AC112" s="65"/>
    </row>
    <row r="113" spans="15:29" ht="26.45" customHeight="1">
      <c r="T113" s="265" t="e">
        <f>ROUND($U$113/SUM(#REF!),5)*#REF!</f>
        <v>#REF!</v>
      </c>
      <c r="U113" s="361">
        <v>9817.5</v>
      </c>
      <c r="AC113" s="65"/>
    </row>
    <row r="114" spans="15:29" ht="26.45" customHeight="1">
      <c r="O114" s="268"/>
      <c r="T114" s="265" t="e">
        <f>ROUND($U$113/SUM(#REF!),5)*#REF!</f>
        <v>#REF!</v>
      </c>
      <c r="V114" s="359"/>
      <c r="AC114" s="65"/>
    </row>
    <row r="115" spans="15:29" ht="26.45" customHeight="1">
      <c r="O115" s="268"/>
      <c r="U115" s="361">
        <f>SUM(AB6:AB7)</f>
        <v>0</v>
      </c>
      <c r="AC115" s="65"/>
    </row>
    <row r="116" spans="15:29" ht="26.45" customHeight="1">
      <c r="U116" s="361">
        <v>14280</v>
      </c>
      <c r="AC116" s="65"/>
    </row>
    <row r="117" spans="15:29" ht="26.45" customHeight="1">
      <c r="T117" s="265" t="e">
        <f>ROUND($U$117/SUM(#REF!),5)*#REF!</f>
        <v>#REF!</v>
      </c>
      <c r="U117" s="361">
        <v>9817.5</v>
      </c>
      <c r="AC117" s="65"/>
    </row>
    <row r="118" spans="15:29" ht="26.45" customHeight="1">
      <c r="T118" s="265" t="e">
        <f>ROUND($U$117/SUM(#REF!),5)*#REF!</f>
        <v>#REF!</v>
      </c>
      <c r="U118" s="361"/>
      <c r="AC118" s="65"/>
    </row>
    <row r="119" spans="15:29" ht="26.45" customHeight="1">
      <c r="T119" s="265" t="e">
        <f>ROUND($U$117/SUM(#REF!),5)*#REF!</f>
        <v>#REF!</v>
      </c>
      <c r="U119" s="361"/>
      <c r="AC119" s="65"/>
    </row>
    <row r="120" spans="15:29" ht="26.45" customHeight="1">
      <c r="T120" s="265" t="e">
        <f>ROUND($U$117/SUM(#REF!),5)*#REF!</f>
        <v>#REF!</v>
      </c>
      <c r="U120" s="361"/>
      <c r="AC120" s="65"/>
    </row>
    <row r="121" spans="15:29" ht="26.45" customHeight="1">
      <c r="T121" s="265" t="e">
        <f>ROUND($U$117/SUM(#REF!),5)*#REF!</f>
        <v>#REF!</v>
      </c>
      <c r="U121" s="361"/>
      <c r="AC121" s="65"/>
    </row>
    <row r="122" spans="15:29" ht="26.45" customHeight="1">
      <c r="T122" s="265" t="e">
        <f>ROUND($U$117/SUM(#REF!),5)*#REF!</f>
        <v>#REF!</v>
      </c>
      <c r="U122" s="361"/>
      <c r="AC122" s="65"/>
    </row>
    <row r="123" spans="15:29" ht="26.45" customHeight="1">
      <c r="T123" s="265" t="e">
        <f>ROUND($U$117/SUM(#REF!),5)*#REF!</f>
        <v>#REF!</v>
      </c>
      <c r="U123" s="361"/>
      <c r="AC123" s="65"/>
    </row>
    <row r="124" spans="15:29" ht="26.45" customHeight="1">
      <c r="T124" s="265" t="e">
        <f>ROUND($U$117/SUM(#REF!),5)*#REF!</f>
        <v>#REF!</v>
      </c>
      <c r="U124" s="361"/>
      <c r="AC124" s="65"/>
    </row>
    <row r="125" spans="15:29" ht="26.45" customHeight="1">
      <c r="T125" s="265" t="e">
        <f>ROUND($U$125/SUM(#REF!),5)*#REF!</f>
        <v>#REF!</v>
      </c>
      <c r="U125" s="361">
        <v>15172.5</v>
      </c>
      <c r="AC125" s="65"/>
    </row>
    <row r="126" spans="15:29" ht="26.45" customHeight="1">
      <c r="T126" s="265" t="e">
        <f>ROUND($U$125/SUM(#REF!),5)*#REF!</f>
        <v>#REF!</v>
      </c>
      <c r="U126" s="361"/>
      <c r="W126" s="57">
        <v>122.5</v>
      </c>
      <c r="AC126" s="65"/>
    </row>
    <row r="127" spans="15:29" ht="26.45" customHeight="1">
      <c r="T127" s="265" t="e">
        <f>ROUND($U$125/SUM(#REF!),5)*#REF!</f>
        <v>#REF!</v>
      </c>
      <c r="U127" s="361"/>
      <c r="AC127" s="65"/>
    </row>
    <row r="128" spans="15:29" ht="26.45" customHeight="1">
      <c r="T128" s="265" t="e">
        <f>ROUND($U$125/SUM(#REF!),5)*#REF!</f>
        <v>#REF!</v>
      </c>
      <c r="U128" s="361"/>
      <c r="AC128" s="65"/>
    </row>
    <row r="129" spans="20:29" ht="26.45" customHeight="1">
      <c r="T129" s="265" t="e">
        <f>ROUND($U$125/SUM(#REF!),5)*#REF!</f>
        <v>#REF!</v>
      </c>
      <c r="U129" s="361"/>
      <c r="AC129" s="65"/>
    </row>
    <row r="130" spans="20:29" ht="26.45" customHeight="1">
      <c r="T130" s="265" t="e">
        <f>ROUND($U$125/SUM(#REF!),5)*#REF!</f>
        <v>#REF!</v>
      </c>
      <c r="U130" s="361"/>
      <c r="AC130" s="65"/>
    </row>
    <row r="131" spans="20:29" ht="26.45" customHeight="1">
      <c r="T131" s="265" t="e">
        <f>ROUND($U$131/SUM(#REF!),5)*#REF!</f>
        <v>#REF!</v>
      </c>
      <c r="U131" s="361">
        <v>892.5</v>
      </c>
      <c r="AC131" s="65"/>
    </row>
    <row r="132" spans="20:29" ht="26.45" customHeight="1">
      <c r="T132" s="265" t="e">
        <f>ROUND($U$131/SUM(#REF!),5)*#REF!</f>
        <v>#REF!</v>
      </c>
      <c r="U132" s="361"/>
      <c r="AC132" s="65"/>
    </row>
    <row r="133" spans="20:29" ht="26.45" customHeight="1">
      <c r="T133" s="265" t="e">
        <f>ROUND($U$131/SUM(#REF!),5)*#REF!</f>
        <v>#REF!</v>
      </c>
      <c r="U133" s="361"/>
      <c r="AC133" s="65"/>
    </row>
    <row r="134" spans="20:29" ht="26.45" customHeight="1">
      <c r="T134" s="265" t="e">
        <f>ROUND($U$131/SUM(#REF!),5)*#REF!</f>
        <v>#REF!</v>
      </c>
      <c r="U134" s="361"/>
      <c r="AC134" s="65"/>
    </row>
    <row r="135" spans="20:29" ht="14.1" customHeight="1">
      <c r="T135" s="65"/>
      <c r="U135" s="361"/>
    </row>
    <row r="136" spans="20:29" ht="14.1" customHeight="1">
      <c r="U136" s="361"/>
    </row>
    <row r="137" spans="20:29">
      <c r="U137" s="361"/>
    </row>
    <row r="138" spans="20:29">
      <c r="U138" s="361"/>
    </row>
  </sheetData>
  <autoFilter ref="A7:AC134" xr:uid="{00000000-0001-0000-0100-000000000000}"/>
  <mergeCells count="3">
    <mergeCell ref="A5:B5"/>
    <mergeCell ref="I5:O5"/>
    <mergeCell ref="I111:P111"/>
  </mergeCells>
  <phoneticPr fontId="33" type="noConversion"/>
  <printOptions horizontalCentered="1"/>
  <pageMargins left="0.70866141732283472" right="0.31496062992125984" top="0.74803149606299213" bottom="0.74803149606299213" header="0.31496062992125984" footer="0.31496062992125984"/>
  <pageSetup paperSize="9" scale="59"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P47"/>
  <sheetViews>
    <sheetView showGridLines="0" view="pageBreakPreview" zoomScale="80" zoomScaleNormal="100" zoomScaleSheetLayoutView="80" workbookViewId="0">
      <selection activeCell="G10" sqref="G10:K12"/>
    </sheetView>
  </sheetViews>
  <sheetFormatPr defaultColWidth="9.5859375" defaultRowHeight="17.25" customHeight="1"/>
  <cols>
    <col min="1" max="1" width="1.51953125" style="7" customWidth="1"/>
    <col min="2" max="2" width="27.36328125" style="7" customWidth="1"/>
    <col min="3" max="3" width="1.7539062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00390625" style="6" customWidth="1"/>
    <col min="10" max="10" width="10.875" style="6" customWidth="1"/>
    <col min="11" max="11" width="13.4453125" style="56" bestFit="1" customWidth="1"/>
    <col min="12" max="12" width="7.71484375" style="6" customWidth="1"/>
    <col min="13" max="13" width="10.875" style="7" bestFit="1" customWidth="1"/>
    <col min="14" max="14" width="9.5859375" style="7"/>
    <col min="15" max="15" width="10.875" style="7" bestFit="1" customWidth="1"/>
    <col min="16" max="16" width="12.39453125" style="7" bestFit="1" customWidth="1"/>
    <col min="17" max="16384" width="9.5859375" style="7"/>
  </cols>
  <sheetData>
    <row r="1" spans="1:14" ht="21.95" customHeight="1">
      <c r="A1" s="1"/>
      <c r="B1" s="2"/>
      <c r="C1" s="2"/>
      <c r="D1" s="2"/>
      <c r="E1" s="2"/>
      <c r="F1" s="2"/>
      <c r="G1" s="3"/>
      <c r="H1" s="3"/>
      <c r="I1" s="3"/>
      <c r="J1" s="4"/>
      <c r="K1" s="5"/>
    </row>
    <row r="2" spans="1:14" ht="21.95" customHeight="1">
      <c r="A2" s="8"/>
      <c r="J2" s="143"/>
      <c r="K2" s="9"/>
    </row>
    <row r="3" spans="1:14" ht="37.5" customHeight="1">
      <c r="A3" s="10"/>
      <c r="B3" s="433" t="s">
        <v>111</v>
      </c>
      <c r="C3" s="434"/>
      <c r="D3" s="434"/>
      <c r="E3" s="434"/>
      <c r="F3" s="144"/>
      <c r="G3" s="145"/>
      <c r="H3" s="433"/>
      <c r="I3" s="434"/>
      <c r="J3" s="434"/>
      <c r="K3" s="435"/>
    </row>
    <row r="4" spans="1:14" s="13" customFormat="1" ht="24.75" customHeight="1">
      <c r="A4" s="436" t="s">
        <v>1</v>
      </c>
      <c r="B4" s="437"/>
      <c r="C4" s="437"/>
      <c r="D4" s="437"/>
      <c r="E4" s="437"/>
      <c r="F4" s="437"/>
      <c r="G4" s="437"/>
      <c r="H4" s="437"/>
      <c r="I4" s="437"/>
      <c r="J4" s="437"/>
      <c r="K4" s="438"/>
      <c r="L4" s="11"/>
      <c r="M4" s="12"/>
      <c r="N4" s="12"/>
    </row>
    <row r="5" spans="1:14" s="13" customFormat="1" ht="15.95" customHeight="1">
      <c r="A5" s="190" t="s">
        <v>2</v>
      </c>
      <c r="B5" s="191"/>
      <c r="C5" s="191"/>
      <c r="D5" s="191"/>
      <c r="E5" s="192"/>
      <c r="F5" s="193"/>
      <c r="G5" s="194" t="s">
        <v>138</v>
      </c>
      <c r="H5" s="300" t="s">
        <v>171</v>
      </c>
      <c r="I5" s="300"/>
      <c r="J5" s="300"/>
      <c r="K5" s="195"/>
      <c r="L5" s="15"/>
      <c r="M5" s="16"/>
      <c r="N5" s="12"/>
    </row>
    <row r="6" spans="1:14" s="13" customFormat="1" ht="14.45" customHeight="1">
      <c r="A6" s="196"/>
      <c r="B6" s="439" t="s">
        <v>147</v>
      </c>
      <c r="C6" s="440"/>
      <c r="D6" s="440"/>
      <c r="E6" s="440"/>
      <c r="F6" s="441"/>
      <c r="G6" s="197" t="s">
        <v>3</v>
      </c>
      <c r="H6" s="254">
        <v>46171</v>
      </c>
      <c r="I6" s="301"/>
      <c r="J6" s="302"/>
      <c r="K6" s="198"/>
      <c r="L6" s="15"/>
      <c r="M6" s="12"/>
      <c r="N6" s="12"/>
    </row>
    <row r="7" spans="1:14" ht="15.6" customHeight="1">
      <c r="A7" s="199"/>
      <c r="B7" s="440"/>
      <c r="C7" s="440"/>
      <c r="D7" s="440"/>
      <c r="E7" s="440"/>
      <c r="F7" s="441"/>
      <c r="G7" s="200" t="s">
        <v>4</v>
      </c>
      <c r="H7" s="201" t="s">
        <v>112</v>
      </c>
      <c r="I7" s="201"/>
      <c r="J7" s="201"/>
      <c r="K7" s="202"/>
    </row>
    <row r="8" spans="1:14" ht="16.5" customHeight="1">
      <c r="A8" s="199"/>
      <c r="B8" s="442"/>
      <c r="C8" s="442"/>
      <c r="D8" s="442"/>
      <c r="E8" s="442"/>
      <c r="F8" s="443"/>
      <c r="G8" s="197" t="s">
        <v>3</v>
      </c>
      <c r="H8" s="254">
        <v>45814</v>
      </c>
      <c r="I8" s="203"/>
      <c r="J8" s="203"/>
      <c r="K8" s="198"/>
    </row>
    <row r="9" spans="1:14" ht="21.95" customHeight="1" thickBot="1">
      <c r="A9" s="204" t="s">
        <v>6</v>
      </c>
      <c r="B9" s="201"/>
      <c r="C9" s="201"/>
      <c r="D9" s="201"/>
      <c r="E9" s="201"/>
      <c r="F9" s="205"/>
      <c r="G9" s="444" t="s">
        <v>7</v>
      </c>
      <c r="H9" s="445"/>
      <c r="I9" s="445"/>
      <c r="J9" s="445"/>
      <c r="K9" s="446"/>
    </row>
    <row r="10" spans="1:14" ht="14.1" customHeight="1">
      <c r="A10" s="199"/>
      <c r="B10" s="447" t="s">
        <v>158</v>
      </c>
      <c r="C10" s="448"/>
      <c r="D10" s="448"/>
      <c r="E10" s="448"/>
      <c r="F10" s="449"/>
      <c r="G10" s="452" t="s">
        <v>124</v>
      </c>
      <c r="H10" s="453"/>
      <c r="I10" s="453"/>
      <c r="J10" s="453"/>
      <c r="K10" s="454"/>
    </row>
    <row r="11" spans="1:14" ht="14.1" customHeight="1">
      <c r="A11" s="199"/>
      <c r="B11" s="448"/>
      <c r="C11" s="448"/>
      <c r="D11" s="448"/>
      <c r="E11" s="448"/>
      <c r="F11" s="449"/>
      <c r="G11" s="455"/>
      <c r="H11" s="456"/>
      <c r="I11" s="456"/>
      <c r="J11" s="456"/>
      <c r="K11" s="457"/>
    </row>
    <row r="12" spans="1:14" ht="28.35" customHeight="1" thickBot="1">
      <c r="A12" s="206"/>
      <c r="B12" s="450"/>
      <c r="C12" s="450"/>
      <c r="D12" s="450"/>
      <c r="E12" s="450"/>
      <c r="F12" s="451"/>
      <c r="G12" s="458"/>
      <c r="H12" s="459"/>
      <c r="I12" s="459"/>
      <c r="J12" s="459"/>
      <c r="K12" s="460"/>
    </row>
    <row r="13" spans="1:14" ht="14.1" customHeight="1">
      <c r="A13" s="207" t="s">
        <v>9</v>
      </c>
      <c r="B13" s="208"/>
      <c r="C13" s="209"/>
      <c r="D13" s="209"/>
      <c r="E13" s="209"/>
      <c r="F13" s="209"/>
      <c r="G13" s="210"/>
      <c r="H13" s="209"/>
      <c r="I13" s="209"/>
      <c r="J13" s="211"/>
      <c r="K13" s="212"/>
    </row>
    <row r="14" spans="1:14" ht="14.1" customHeight="1">
      <c r="A14" s="199"/>
      <c r="B14" s="461" t="s">
        <v>154</v>
      </c>
      <c r="C14" s="462"/>
      <c r="D14" s="462"/>
      <c r="E14" s="462"/>
      <c r="F14" s="463"/>
      <c r="G14" s="210"/>
      <c r="H14" s="466"/>
      <c r="I14" s="466"/>
      <c r="J14" s="466"/>
      <c r="K14" s="467"/>
    </row>
    <row r="15" spans="1:14" ht="14.1" customHeight="1">
      <c r="A15" s="199"/>
      <c r="B15" s="462"/>
      <c r="C15" s="462"/>
      <c r="D15" s="462"/>
      <c r="E15" s="462"/>
      <c r="F15" s="463"/>
      <c r="G15" s="303" t="s">
        <v>139</v>
      </c>
      <c r="H15" s="468" t="s">
        <v>171</v>
      </c>
      <c r="I15" s="468"/>
      <c r="J15" s="468"/>
      <c r="K15" s="469"/>
      <c r="N15" s="25"/>
    </row>
    <row r="16" spans="1:14" ht="12.75">
      <c r="A16" s="199"/>
      <c r="B16" s="462"/>
      <c r="C16" s="462"/>
      <c r="D16" s="462"/>
      <c r="E16" s="462"/>
      <c r="F16" s="463"/>
      <c r="G16" s="210"/>
      <c r="H16" s="468"/>
      <c r="I16" s="468"/>
      <c r="J16" s="468"/>
      <c r="K16" s="469"/>
    </row>
    <row r="17" spans="1:16" ht="94.5" customHeight="1">
      <c r="A17" s="199"/>
      <c r="B17" s="464"/>
      <c r="C17" s="464"/>
      <c r="D17" s="464"/>
      <c r="E17" s="464"/>
      <c r="F17" s="465"/>
      <c r="G17" s="210" t="s">
        <v>140</v>
      </c>
      <c r="H17" s="470" t="s">
        <v>356</v>
      </c>
      <c r="I17" s="470"/>
      <c r="J17" s="470"/>
      <c r="K17" s="471"/>
    </row>
    <row r="18" spans="1:16" ht="18.600000000000001" customHeight="1">
      <c r="A18" s="20" t="s">
        <v>149</v>
      </c>
      <c r="B18" s="26"/>
      <c r="C18" s="18" t="s">
        <v>12</v>
      </c>
      <c r="D18" s="19"/>
      <c r="E18" s="19"/>
      <c r="F18" s="21"/>
      <c r="G18" s="24"/>
      <c r="H18" s="431"/>
      <c r="I18" s="431"/>
      <c r="J18" s="431"/>
      <c r="K18" s="432"/>
    </row>
    <row r="19" spans="1:16" s="6" customFormat="1" ht="11.45" customHeight="1">
      <c r="A19" s="22"/>
      <c r="B19" s="275" t="s">
        <v>355</v>
      </c>
      <c r="C19" s="27"/>
      <c r="D19" s="490">
        <v>46223</v>
      </c>
      <c r="E19" s="490"/>
      <c r="F19" s="491"/>
      <c r="G19" s="24" t="s">
        <v>107</v>
      </c>
      <c r="H19" s="431" t="s">
        <v>108</v>
      </c>
      <c r="I19" s="431"/>
      <c r="J19" s="431"/>
      <c r="K19" s="432"/>
      <c r="M19" s="7"/>
      <c r="N19" s="7"/>
      <c r="O19" s="7"/>
    </row>
    <row r="20" spans="1:16" s="6" customFormat="1" ht="18.600000000000001" customHeight="1">
      <c r="A20" s="20" t="s">
        <v>13</v>
      </c>
      <c r="B20" s="19"/>
      <c r="C20" s="18" t="s">
        <v>14</v>
      </c>
      <c r="D20" s="19"/>
      <c r="E20" s="19"/>
      <c r="F20" s="21"/>
      <c r="G20" s="210" t="s">
        <v>152</v>
      </c>
      <c r="H20" s="470" t="s">
        <v>217</v>
      </c>
      <c r="I20" s="470"/>
      <c r="J20" s="470"/>
      <c r="K20" s="259"/>
      <c r="M20" s="7"/>
      <c r="N20" s="7"/>
      <c r="O20" s="7"/>
    </row>
    <row r="21" spans="1:16" s="6" customFormat="1" ht="12.95" customHeight="1">
      <c r="A21" s="8"/>
      <c r="B21" s="209" t="s">
        <v>173</v>
      </c>
      <c r="C21" s="28"/>
      <c r="D21" s="278" t="s">
        <v>174</v>
      </c>
      <c r="E21" s="279"/>
      <c r="F21" s="280"/>
      <c r="H21" s="143"/>
      <c r="K21" s="9"/>
      <c r="M21" s="7"/>
      <c r="N21" s="7"/>
      <c r="O21" s="7"/>
    </row>
    <row r="22" spans="1:16" s="6" customFormat="1" ht="18.600000000000001" customHeight="1">
      <c r="A22" s="20" t="s">
        <v>150</v>
      </c>
      <c r="B22" s="26"/>
      <c r="C22" s="18" t="s">
        <v>151</v>
      </c>
      <c r="D22" s="19"/>
      <c r="E22" s="19"/>
      <c r="F22" s="21"/>
      <c r="G22" s="24"/>
      <c r="H22" s="143"/>
      <c r="K22" s="9"/>
      <c r="M22" s="7"/>
      <c r="N22" s="7"/>
      <c r="O22" s="7"/>
    </row>
    <row r="23" spans="1:16" s="6" customFormat="1" ht="14.1" customHeight="1">
      <c r="A23" s="22"/>
      <c r="B23" s="275" t="s">
        <v>357</v>
      </c>
      <c r="C23" s="276"/>
      <c r="D23" s="490">
        <v>46222</v>
      </c>
      <c r="E23" s="490"/>
      <c r="F23" s="491"/>
      <c r="G23" s="24"/>
      <c r="K23" s="9"/>
      <c r="M23" s="7"/>
      <c r="N23" s="7"/>
      <c r="O23" s="7"/>
    </row>
    <row r="24" spans="1:16" s="6" customFormat="1" ht="19.350000000000001" customHeight="1">
      <c r="A24" s="20" t="s">
        <v>17</v>
      </c>
      <c r="B24" s="19"/>
      <c r="C24" s="19"/>
      <c r="D24" s="19"/>
      <c r="E24" s="19"/>
      <c r="F24" s="19"/>
      <c r="G24" s="29" t="s">
        <v>330</v>
      </c>
      <c r="H24" s="30"/>
      <c r="I24" s="31"/>
      <c r="J24" s="30"/>
      <c r="K24" s="32"/>
      <c r="M24" s="7"/>
      <c r="N24" s="7"/>
      <c r="O24" s="7"/>
    </row>
    <row r="25" spans="1:16" s="6" customFormat="1" ht="12.75">
      <c r="A25" s="8"/>
      <c r="B25" s="17" t="s">
        <v>8</v>
      </c>
      <c r="C25" s="7"/>
      <c r="D25" s="7"/>
      <c r="E25" s="7"/>
      <c r="F25" s="7"/>
      <c r="G25" s="340" t="s">
        <v>333</v>
      </c>
      <c r="K25" s="9"/>
      <c r="M25" s="7"/>
      <c r="N25" s="7"/>
      <c r="O25" s="7"/>
    </row>
    <row r="26" spans="1:16" s="6" customFormat="1" ht="12.75">
      <c r="A26" s="8"/>
      <c r="B26" s="478" t="s">
        <v>148</v>
      </c>
      <c r="C26" s="478"/>
      <c r="D26" s="478"/>
      <c r="E26" s="478"/>
      <c r="F26" s="479"/>
      <c r="G26" s="340" t="s">
        <v>331</v>
      </c>
      <c r="K26" s="9"/>
      <c r="M26" s="7"/>
      <c r="N26" s="7"/>
      <c r="O26" s="7"/>
    </row>
    <row r="27" spans="1:16" s="6" customFormat="1" ht="12.75">
      <c r="A27" s="22"/>
      <c r="B27" s="480"/>
      <c r="C27" s="480"/>
      <c r="D27" s="480"/>
      <c r="E27" s="480"/>
      <c r="F27" s="481"/>
      <c r="G27" s="341" t="s">
        <v>332</v>
      </c>
      <c r="H27" s="34"/>
      <c r="I27" s="34"/>
      <c r="J27" s="34"/>
      <c r="K27" s="35"/>
      <c r="M27" s="7"/>
      <c r="N27" s="7"/>
      <c r="O27" s="7"/>
    </row>
    <row r="28" spans="1:16" ht="45" customHeight="1">
      <c r="A28" s="482" t="s">
        <v>18</v>
      </c>
      <c r="B28" s="473"/>
      <c r="C28" s="473"/>
      <c r="D28" s="473"/>
      <c r="E28" s="473"/>
      <c r="F28" s="473"/>
      <c r="G28" s="483"/>
      <c r="H28" s="36" t="s">
        <v>19</v>
      </c>
      <c r="I28" s="36" t="s">
        <v>20</v>
      </c>
      <c r="J28" s="37" t="s">
        <v>21</v>
      </c>
      <c r="K28" s="38" t="s">
        <v>22</v>
      </c>
    </row>
    <row r="29" spans="1:16" ht="36" customHeight="1">
      <c r="A29" s="23"/>
      <c r="B29" s="484" t="s">
        <v>161</v>
      </c>
      <c r="C29" s="484"/>
      <c r="D29" s="484"/>
      <c r="E29" s="484"/>
      <c r="F29" s="484"/>
      <c r="G29" s="485"/>
      <c r="H29" s="39"/>
      <c r="I29" s="39"/>
      <c r="J29" s="39"/>
      <c r="K29" s="40"/>
      <c r="N29" s="256"/>
      <c r="O29" s="255"/>
    </row>
    <row r="30" spans="1:16" ht="18.75" customHeight="1">
      <c r="A30" s="23"/>
      <c r="B30" s="208"/>
      <c r="C30" s="209"/>
      <c r="D30" s="209"/>
      <c r="E30" s="209"/>
      <c r="F30" s="209"/>
      <c r="G30" s="213"/>
      <c r="H30" s="214"/>
      <c r="I30" s="214"/>
      <c r="J30" s="215"/>
      <c r="K30" s="215"/>
      <c r="M30" s="257"/>
      <c r="O30" s="326"/>
      <c r="P30" s="326"/>
    </row>
    <row r="31" spans="1:16" ht="15" customHeight="1">
      <c r="A31" s="492" t="s">
        <v>289</v>
      </c>
      <c r="B31" s="493"/>
      <c r="C31" s="493"/>
      <c r="D31" s="493"/>
      <c r="E31" s="493"/>
      <c r="F31" s="493"/>
      <c r="G31" s="494"/>
      <c r="H31" s="214"/>
      <c r="I31" s="260"/>
      <c r="J31" s="215"/>
      <c r="K31" s="215"/>
      <c r="M31" s="257"/>
      <c r="O31" s="326"/>
      <c r="P31" s="326"/>
    </row>
    <row r="32" spans="1:16" ht="15" customHeight="1">
      <c r="A32" s="495"/>
      <c r="B32" s="493"/>
      <c r="C32" s="493"/>
      <c r="D32" s="493"/>
      <c r="E32" s="493"/>
      <c r="F32" s="493"/>
      <c r="G32" s="494"/>
      <c r="H32" s="214" t="s">
        <v>185</v>
      </c>
      <c r="I32" s="260" t="s">
        <v>329</v>
      </c>
      <c r="J32" s="215">
        <f>ROUND(K32/I32,2)</f>
        <v>4289.1899999999996</v>
      </c>
      <c r="K32" s="215">
        <f>'Break Down CI'!K111</f>
        <v>141543.19000000003</v>
      </c>
      <c r="M32" s="257"/>
      <c r="O32" s="326"/>
      <c r="P32" s="326"/>
    </row>
    <row r="33" spans="1:16" ht="15" customHeight="1">
      <c r="A33" s="495"/>
      <c r="B33" s="493"/>
      <c r="C33" s="493"/>
      <c r="D33" s="493"/>
      <c r="E33" s="493"/>
      <c r="F33" s="493"/>
      <c r="G33" s="494"/>
      <c r="H33" s="214"/>
      <c r="I33" s="260"/>
      <c r="J33" s="215"/>
      <c r="K33" s="215"/>
      <c r="M33" s="257"/>
      <c r="O33" s="326"/>
      <c r="P33" s="326"/>
    </row>
    <row r="34" spans="1:16" ht="15" customHeight="1">
      <c r="A34" s="495"/>
      <c r="B34" s="493"/>
      <c r="C34" s="493"/>
      <c r="D34" s="493"/>
      <c r="E34" s="493"/>
      <c r="F34" s="493"/>
      <c r="G34" s="494"/>
      <c r="H34" s="214"/>
      <c r="I34" s="260"/>
      <c r="J34" s="215"/>
      <c r="K34" s="215"/>
      <c r="M34" s="257"/>
      <c r="O34" s="326"/>
      <c r="P34" s="326"/>
    </row>
    <row r="35" spans="1:16" ht="18" customHeight="1">
      <c r="A35" s="23"/>
      <c r="B35" s="209" t="s">
        <v>155</v>
      </c>
      <c r="C35" s="209"/>
      <c r="D35" s="209"/>
      <c r="E35" s="209"/>
      <c r="F35" s="209"/>
      <c r="G35" s="213"/>
      <c r="H35" s="214"/>
      <c r="I35" s="214"/>
      <c r="J35" s="215"/>
      <c r="K35" s="215"/>
      <c r="M35" s="257"/>
    </row>
    <row r="36" spans="1:16" ht="18" customHeight="1">
      <c r="A36" s="23"/>
      <c r="B36" s="209"/>
      <c r="C36" s="209"/>
      <c r="D36" s="209"/>
      <c r="E36" s="209"/>
      <c r="F36" s="209"/>
      <c r="G36" s="213"/>
      <c r="H36" s="214"/>
      <c r="I36" s="214"/>
      <c r="J36" s="215"/>
      <c r="K36" s="215"/>
      <c r="M36" s="257"/>
      <c r="O36" s="325"/>
    </row>
    <row r="37" spans="1:16" ht="18" customHeight="1">
      <c r="A37" s="41"/>
      <c r="B37" s="42"/>
      <c r="C37" s="42"/>
      <c r="D37" s="42"/>
      <c r="E37" s="42"/>
      <c r="F37" s="42"/>
      <c r="G37" s="43"/>
      <c r="H37" s="44"/>
      <c r="I37" s="44"/>
      <c r="J37" s="44"/>
      <c r="K37" s="45"/>
      <c r="M37" s="258"/>
    </row>
    <row r="38" spans="1:16" ht="14.1" customHeight="1">
      <c r="A38" s="20"/>
      <c r="B38" s="472" t="s">
        <v>25</v>
      </c>
      <c r="C38" s="472"/>
      <c r="D38" s="472"/>
      <c r="E38" s="472"/>
      <c r="F38" s="472"/>
      <c r="G38" s="472"/>
      <c r="H38" s="46"/>
      <c r="I38" s="31"/>
      <c r="J38" s="31"/>
      <c r="K38" s="47">
        <f>SUM(K31:K37)</f>
        <v>141543.19000000003</v>
      </c>
      <c r="M38" s="257"/>
    </row>
    <row r="39" spans="1:16" ht="14.1" customHeight="1">
      <c r="A39" s="41"/>
      <c r="B39" s="473"/>
      <c r="C39" s="473"/>
      <c r="D39" s="473"/>
      <c r="E39" s="473"/>
      <c r="F39" s="473"/>
      <c r="G39" s="473"/>
      <c r="H39" s="48"/>
      <c r="I39" s="48"/>
      <c r="J39" s="48"/>
      <c r="K39" s="49"/>
    </row>
    <row r="40" spans="1:16" ht="14.1" customHeight="1">
      <c r="A40" s="23"/>
      <c r="K40" s="9"/>
    </row>
    <row r="41" spans="1:16" ht="14.1" customHeight="1">
      <c r="A41" s="23"/>
      <c r="K41" s="9"/>
    </row>
    <row r="42" spans="1:16" ht="14.1" customHeight="1">
      <c r="A42" s="8"/>
      <c r="K42" s="9"/>
    </row>
    <row r="43" spans="1:16" ht="14.1" customHeight="1">
      <c r="A43" s="8"/>
      <c r="K43" s="9"/>
    </row>
    <row r="44" spans="1:16" ht="14.1" customHeight="1">
      <c r="A44" s="8"/>
      <c r="K44" s="9"/>
    </row>
    <row r="45" spans="1:16" ht="14.1" customHeight="1">
      <c r="A45" s="8"/>
      <c r="G45" s="50" t="s">
        <v>26</v>
      </c>
      <c r="H45" s="34"/>
      <c r="I45" s="34"/>
      <c r="J45" s="34"/>
      <c r="K45" s="9"/>
    </row>
    <row r="46" spans="1:16" ht="14.1" customHeight="1">
      <c r="A46" s="8"/>
      <c r="H46" s="474" t="s">
        <v>166</v>
      </c>
      <c r="I46" s="474"/>
      <c r="J46" s="474"/>
      <c r="K46" s="9"/>
    </row>
    <row r="47" spans="1:16" ht="14.1" customHeight="1" thickBot="1">
      <c r="A47" s="90"/>
      <c r="B47" s="52"/>
      <c r="C47" s="52"/>
      <c r="D47" s="52"/>
      <c r="E47" s="52"/>
      <c r="F47" s="52"/>
      <c r="G47" s="53"/>
      <c r="H47" s="54"/>
      <c r="I47" s="54"/>
      <c r="J47" s="54"/>
      <c r="K47" s="146"/>
    </row>
  </sheetData>
  <sheetProtection selectLockedCells="1" selectUnlockedCells="1"/>
  <mergeCells count="22">
    <mergeCell ref="B3:E3"/>
    <mergeCell ref="H3:K3"/>
    <mergeCell ref="A4:K4"/>
    <mergeCell ref="G9:K9"/>
    <mergeCell ref="B6:F8"/>
    <mergeCell ref="G10:K12"/>
    <mergeCell ref="H14:K14"/>
    <mergeCell ref="H15:K16"/>
    <mergeCell ref="H17:K17"/>
    <mergeCell ref="B10:F12"/>
    <mergeCell ref="B14:F17"/>
    <mergeCell ref="H46:J46"/>
    <mergeCell ref="H18:K18"/>
    <mergeCell ref="D19:F19"/>
    <mergeCell ref="H19:K19"/>
    <mergeCell ref="B38:G39"/>
    <mergeCell ref="D23:F23"/>
    <mergeCell ref="A28:G28"/>
    <mergeCell ref="B29:G29"/>
    <mergeCell ref="H20:J20"/>
    <mergeCell ref="A31:G34"/>
    <mergeCell ref="B26:F27"/>
  </mergeCells>
  <phoneticPr fontId="33" type="noConversion"/>
  <printOptions horizontalCentered="1" verticalCentered="1"/>
  <pageMargins left="0.49" right="0.53" top="0.41" bottom="0.57999999999999996" header="0.31496062992125984" footer="0.31496062992125984"/>
  <pageSetup paperSize="9" scale="69" fitToHeight="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V49"/>
  <sheetViews>
    <sheetView showGridLines="0" view="pageBreakPreview" topLeftCell="A25" zoomScale="80" zoomScaleNormal="100" zoomScaleSheetLayoutView="80" workbookViewId="0">
      <selection activeCell="I41" sqref="I41"/>
    </sheetView>
  </sheetViews>
  <sheetFormatPr defaultColWidth="9.5859375" defaultRowHeight="17.25" customHeight="1"/>
  <cols>
    <col min="1" max="1" width="1.51953125" style="7" customWidth="1"/>
    <col min="2" max="2" width="27.12890625" style="7" customWidth="1"/>
    <col min="3" max="3" width="3.5078125" style="7" customWidth="1"/>
    <col min="4" max="4" width="6.6640625" style="7" customWidth="1"/>
    <col min="5" max="5" width="7.6015625" style="7" customWidth="1"/>
    <col min="6" max="6" width="9.8203125" style="7" customWidth="1"/>
    <col min="7" max="7" width="18.0078125" style="6" customWidth="1"/>
    <col min="8" max="8" width="11.57421875" style="6" customWidth="1"/>
    <col min="9" max="10" width="9.5859375" style="6" customWidth="1"/>
    <col min="11" max="11" width="14.6171875" style="56" customWidth="1"/>
    <col min="12" max="12" width="7.71484375" style="6" customWidth="1"/>
    <col min="13" max="13" width="18.828125" style="77" customWidth="1"/>
    <col min="14" max="14" width="7.71484375" style="50" customWidth="1"/>
    <col min="15" max="15" width="9.5859375" style="78"/>
    <col min="16" max="17" width="9.5859375" style="50"/>
    <col min="18" max="16384" width="9.5859375" style="7"/>
  </cols>
  <sheetData>
    <row r="1" spans="1:21" ht="21.95" customHeight="1">
      <c r="A1" s="1"/>
      <c r="B1" s="2"/>
      <c r="C1" s="2"/>
      <c r="D1" s="2"/>
      <c r="E1" s="2"/>
      <c r="F1" s="2"/>
      <c r="G1" s="3"/>
      <c r="H1" s="3"/>
      <c r="I1" s="3"/>
      <c r="J1" s="4"/>
      <c r="K1" s="5"/>
    </row>
    <row r="2" spans="1:21" ht="21.95" customHeight="1">
      <c r="A2" s="8"/>
      <c r="J2" s="143"/>
      <c r="K2" s="9"/>
    </row>
    <row r="3" spans="1:21" ht="37.5" customHeight="1">
      <c r="A3" s="10"/>
      <c r="B3" s="433" t="s">
        <v>123</v>
      </c>
      <c r="C3" s="502"/>
      <c r="D3" s="502"/>
      <c r="E3" s="502"/>
      <c r="F3" s="502"/>
      <c r="G3" s="149"/>
      <c r="H3" s="503"/>
      <c r="I3" s="504"/>
      <c r="J3" s="504"/>
      <c r="K3" s="505"/>
    </row>
    <row r="4" spans="1:21" s="13" customFormat="1" ht="21.95" customHeight="1">
      <c r="A4" s="436" t="s">
        <v>31</v>
      </c>
      <c r="B4" s="437"/>
      <c r="C4" s="437"/>
      <c r="D4" s="437"/>
      <c r="E4" s="437"/>
      <c r="F4" s="437"/>
      <c r="G4" s="437"/>
      <c r="H4" s="437"/>
      <c r="I4" s="437"/>
      <c r="J4" s="437"/>
      <c r="K4" s="438"/>
      <c r="L4" s="11"/>
      <c r="M4" s="11"/>
      <c r="N4" s="79"/>
      <c r="O4" s="79"/>
      <c r="P4" s="80"/>
      <c r="R4" s="12"/>
      <c r="S4" s="12"/>
      <c r="T4" s="12"/>
      <c r="U4" s="12"/>
    </row>
    <row r="5" spans="1:21" s="13" customFormat="1" ht="12.75">
      <c r="A5" s="14" t="s">
        <v>2</v>
      </c>
      <c r="B5" s="191"/>
      <c r="C5" s="191"/>
      <c r="D5" s="191"/>
      <c r="E5" s="192"/>
      <c r="F5" s="193"/>
      <c r="G5" s="194" t="s">
        <v>32</v>
      </c>
      <c r="H5" s="300" t="str">
        <f>'Commercial Invoice'!H5</f>
        <v>OM4-DE-IS-0004</v>
      </c>
      <c r="I5" s="300"/>
      <c r="J5" s="300"/>
      <c r="K5" s="195"/>
      <c r="L5" s="15"/>
      <c r="M5" s="15"/>
      <c r="N5" s="15"/>
      <c r="O5" s="15"/>
      <c r="P5" s="15"/>
      <c r="Q5" s="15"/>
      <c r="R5" s="12"/>
      <c r="S5" s="12"/>
      <c r="T5" s="12"/>
      <c r="U5" s="12"/>
    </row>
    <row r="6" spans="1:21" s="13" customFormat="1" ht="12.75">
      <c r="A6" s="81"/>
      <c r="B6" s="439" t="s">
        <v>147</v>
      </c>
      <c r="C6" s="440"/>
      <c r="D6" s="440"/>
      <c r="E6" s="440"/>
      <c r="F6" s="441"/>
      <c r="G6" s="197" t="s">
        <v>3</v>
      </c>
      <c r="H6" s="254">
        <f>'Commercial Invoice'!H6</f>
        <v>46171</v>
      </c>
      <c r="I6" s="203"/>
      <c r="J6" s="299"/>
      <c r="K6" s="198"/>
      <c r="L6" s="15"/>
      <c r="M6" s="15"/>
      <c r="N6" s="15"/>
      <c r="O6" s="15"/>
      <c r="P6" s="15"/>
      <c r="Q6" s="15"/>
      <c r="R6" s="12"/>
      <c r="S6" s="12"/>
      <c r="T6" s="12"/>
      <c r="U6" s="12"/>
    </row>
    <row r="7" spans="1:21" ht="12.75">
      <c r="A7" s="8"/>
      <c r="B7" s="440"/>
      <c r="C7" s="440"/>
      <c r="D7" s="440"/>
      <c r="E7" s="440"/>
      <c r="F7" s="441"/>
      <c r="G7" s="200" t="s">
        <v>4</v>
      </c>
      <c r="H7" s="201" t="s">
        <v>5</v>
      </c>
      <c r="I7" s="201"/>
      <c r="J7" s="201"/>
      <c r="K7" s="228"/>
    </row>
    <row r="8" spans="1:21" ht="12.75">
      <c r="A8" s="8"/>
      <c r="B8" s="442"/>
      <c r="C8" s="442"/>
      <c r="D8" s="442"/>
      <c r="E8" s="442"/>
      <c r="F8" s="443"/>
      <c r="G8" s="197" t="s">
        <v>3</v>
      </c>
      <c r="H8" s="254">
        <f>'Commercial Invoice'!H8</f>
        <v>45814</v>
      </c>
      <c r="I8" s="203"/>
      <c r="J8" s="203"/>
      <c r="K8" s="228"/>
    </row>
    <row r="9" spans="1:21" ht="21" thickBot="1">
      <c r="A9" s="20" t="s">
        <v>6</v>
      </c>
      <c r="B9" s="201"/>
      <c r="C9" s="201"/>
      <c r="D9" s="201"/>
      <c r="E9" s="201"/>
      <c r="F9" s="205"/>
      <c r="G9" s="444" t="s">
        <v>7</v>
      </c>
      <c r="H9" s="445"/>
      <c r="I9" s="445"/>
      <c r="J9" s="445"/>
      <c r="K9" s="446"/>
    </row>
    <row r="10" spans="1:21" ht="17.45" customHeight="1">
      <c r="A10" s="8"/>
      <c r="B10" s="447" t="s">
        <v>153</v>
      </c>
      <c r="C10" s="448"/>
      <c r="D10" s="448"/>
      <c r="E10" s="448"/>
      <c r="F10" s="449"/>
      <c r="G10" s="452" t="s">
        <v>8</v>
      </c>
      <c r="H10" s="453"/>
      <c r="I10" s="453"/>
      <c r="J10" s="453"/>
      <c r="K10" s="454"/>
    </row>
    <row r="11" spans="1:21" ht="17.45" customHeight="1">
      <c r="A11" s="8"/>
      <c r="B11" s="448"/>
      <c r="C11" s="448"/>
      <c r="D11" s="448"/>
      <c r="E11" s="448"/>
      <c r="F11" s="449"/>
      <c r="G11" s="455"/>
      <c r="H11" s="456"/>
      <c r="I11" s="456"/>
      <c r="J11" s="456"/>
      <c r="K11" s="457"/>
    </row>
    <row r="12" spans="1:21" ht="24" customHeight="1" thickBot="1">
      <c r="A12" s="22"/>
      <c r="B12" s="450"/>
      <c r="C12" s="450"/>
      <c r="D12" s="450"/>
      <c r="E12" s="450"/>
      <c r="F12" s="451"/>
      <c r="G12" s="458"/>
      <c r="H12" s="459"/>
      <c r="I12" s="459"/>
      <c r="J12" s="459"/>
      <c r="K12" s="460"/>
    </row>
    <row r="13" spans="1:21" ht="21.6" customHeight="1">
      <c r="A13" s="23" t="s">
        <v>9</v>
      </c>
      <c r="B13" s="208"/>
      <c r="C13" s="209"/>
      <c r="D13" s="209"/>
      <c r="E13" s="209"/>
      <c r="F13" s="209"/>
      <c r="G13" s="229"/>
      <c r="H13" s="514"/>
      <c r="I13" s="514"/>
      <c r="J13" s="514"/>
      <c r="K13" s="515"/>
    </row>
    <row r="14" spans="1:21" ht="14.1" customHeight="1">
      <c r="A14" s="8"/>
      <c r="B14" s="461" t="s">
        <v>154</v>
      </c>
      <c r="C14" s="462"/>
      <c r="D14" s="462"/>
      <c r="E14" s="462"/>
      <c r="F14" s="463"/>
      <c r="G14" s="210"/>
      <c r="H14" s="466"/>
      <c r="I14" s="466"/>
      <c r="J14" s="466"/>
      <c r="K14" s="467"/>
    </row>
    <row r="15" spans="1:21" ht="14.1" customHeight="1">
      <c r="A15" s="8"/>
      <c r="B15" s="462"/>
      <c r="C15" s="462"/>
      <c r="D15" s="462"/>
      <c r="E15" s="462"/>
      <c r="F15" s="463"/>
      <c r="G15" s="210" t="s">
        <v>10</v>
      </c>
      <c r="H15" s="508" t="str">
        <f>'Commercial Invoice'!H15:K16</f>
        <v>OM4-DE-IS-0004</v>
      </c>
      <c r="I15" s="508"/>
      <c r="J15" s="508"/>
      <c r="K15" s="509"/>
    </row>
    <row r="16" spans="1:21" ht="14.1" customHeight="1">
      <c r="A16" s="8"/>
      <c r="B16" s="462"/>
      <c r="C16" s="462"/>
      <c r="D16" s="462"/>
      <c r="E16" s="462"/>
      <c r="F16" s="463"/>
      <c r="G16" s="210"/>
      <c r="H16" s="508"/>
      <c r="I16" s="508"/>
      <c r="J16" s="508"/>
      <c r="K16" s="509"/>
    </row>
    <row r="17" spans="1:22" ht="99.6" customHeight="1">
      <c r="A17" s="8"/>
      <c r="B17" s="464"/>
      <c r="C17" s="464"/>
      <c r="D17" s="464"/>
      <c r="E17" s="464"/>
      <c r="F17" s="465"/>
      <c r="G17" s="210" t="s">
        <v>140</v>
      </c>
      <c r="H17" s="470" t="s">
        <v>356</v>
      </c>
      <c r="I17" s="470"/>
      <c r="J17" s="470"/>
      <c r="K17" s="471"/>
      <c r="N17" s="78"/>
    </row>
    <row r="18" spans="1:22" ht="18.600000000000001" customHeight="1">
      <c r="A18" s="20" t="s">
        <v>11</v>
      </c>
      <c r="B18" s="26"/>
      <c r="C18" s="18" t="s">
        <v>12</v>
      </c>
      <c r="D18" s="19"/>
      <c r="E18" s="19"/>
      <c r="F18" s="21"/>
      <c r="G18" s="24"/>
      <c r="H18" s="431"/>
      <c r="I18" s="431"/>
      <c r="J18" s="431"/>
      <c r="K18" s="432"/>
    </row>
    <row r="19" spans="1:22" s="6" customFormat="1" ht="12.75">
      <c r="A19" s="22"/>
      <c r="B19" s="275" t="s">
        <v>355</v>
      </c>
      <c r="C19" s="27"/>
      <c r="D19" s="490">
        <v>46223</v>
      </c>
      <c r="E19" s="490"/>
      <c r="F19" s="491"/>
      <c r="G19" s="24" t="s">
        <v>107</v>
      </c>
      <c r="H19" s="431" t="s">
        <v>108</v>
      </c>
      <c r="I19" s="431"/>
      <c r="J19" s="431"/>
      <c r="K19" s="432"/>
      <c r="M19" s="77"/>
      <c r="N19" s="50"/>
      <c r="O19" s="78"/>
      <c r="P19" s="50"/>
      <c r="Q19" s="50"/>
      <c r="R19" s="7"/>
      <c r="S19" s="7"/>
      <c r="T19" s="7"/>
      <c r="U19" s="7"/>
      <c r="V19" s="7"/>
    </row>
    <row r="20" spans="1:22" s="6" customFormat="1" ht="18.600000000000001" customHeight="1">
      <c r="A20" s="20" t="s">
        <v>13</v>
      </c>
      <c r="B20" s="19"/>
      <c r="C20" s="18" t="s">
        <v>14</v>
      </c>
      <c r="D20" s="19"/>
      <c r="E20" s="19"/>
      <c r="F20" s="21"/>
      <c r="G20" s="210"/>
      <c r="H20" s="470"/>
      <c r="I20" s="470"/>
      <c r="J20" s="470"/>
      <c r="K20" s="259"/>
      <c r="M20" s="77"/>
      <c r="N20" s="50"/>
      <c r="O20" s="78"/>
      <c r="P20" s="50"/>
      <c r="Q20" s="50"/>
      <c r="R20" s="7"/>
      <c r="S20" s="7"/>
      <c r="T20" s="7"/>
      <c r="U20" s="7"/>
      <c r="V20" s="7"/>
    </row>
    <row r="21" spans="1:22" s="6" customFormat="1" ht="12.75">
      <c r="A21" s="8"/>
      <c r="B21" s="209" t="s">
        <v>172</v>
      </c>
      <c r="C21" s="277"/>
      <c r="D21" s="278" t="s">
        <v>174</v>
      </c>
      <c r="E21" s="279"/>
      <c r="F21" s="280"/>
      <c r="G21" s="24"/>
      <c r="H21" s="143"/>
      <c r="K21" s="9"/>
      <c r="M21" s="77"/>
      <c r="N21" s="50"/>
      <c r="O21" s="78"/>
      <c r="P21" s="50"/>
      <c r="Q21" s="50"/>
      <c r="R21" s="7"/>
      <c r="S21" s="7"/>
      <c r="T21" s="7"/>
      <c r="U21" s="7"/>
      <c r="V21" s="7"/>
    </row>
    <row r="22" spans="1:22" s="6" customFormat="1" ht="18.600000000000001" customHeight="1">
      <c r="A22" s="20" t="s">
        <v>15</v>
      </c>
      <c r="B22" s="26"/>
      <c r="C22" s="18" t="s">
        <v>16</v>
      </c>
      <c r="D22" s="19"/>
      <c r="E22" s="19"/>
      <c r="F22" s="21"/>
      <c r="G22" s="24"/>
      <c r="H22" s="143"/>
      <c r="K22" s="9"/>
      <c r="M22" s="77"/>
      <c r="N22" s="50"/>
      <c r="O22" s="78"/>
      <c r="P22" s="50"/>
      <c r="Q22" s="50"/>
      <c r="R22" s="7"/>
      <c r="S22" s="7"/>
      <c r="T22" s="7"/>
      <c r="U22" s="7"/>
      <c r="V22" s="7"/>
    </row>
    <row r="23" spans="1:22" s="6" customFormat="1" ht="12.75">
      <c r="A23" s="22"/>
      <c r="B23" s="275" t="s">
        <v>357</v>
      </c>
      <c r="C23" s="276"/>
      <c r="D23" s="490">
        <v>46222</v>
      </c>
      <c r="E23" s="490"/>
      <c r="F23" s="491"/>
      <c r="G23" s="24"/>
      <c r="K23" s="9"/>
      <c r="M23" s="77"/>
      <c r="N23" s="50"/>
      <c r="O23" s="78"/>
      <c r="P23" s="50"/>
      <c r="Q23" s="50"/>
      <c r="R23" s="7"/>
      <c r="S23" s="7"/>
      <c r="T23" s="7"/>
      <c r="U23" s="7"/>
      <c r="V23" s="7"/>
    </row>
    <row r="24" spans="1:22" s="6" customFormat="1" ht="12.75">
      <c r="A24" s="20" t="s">
        <v>17</v>
      </c>
      <c r="B24" s="19"/>
      <c r="C24" s="19"/>
      <c r="D24" s="19"/>
      <c r="E24" s="19"/>
      <c r="F24" s="19"/>
      <c r="G24" s="29" t="s">
        <v>330</v>
      </c>
      <c r="H24" s="30"/>
      <c r="I24" s="30"/>
      <c r="J24" s="30"/>
      <c r="K24" s="32"/>
      <c r="M24" s="77"/>
      <c r="N24" s="50"/>
      <c r="O24" s="78"/>
      <c r="P24" s="50"/>
      <c r="Q24" s="50"/>
      <c r="R24" s="7"/>
      <c r="S24" s="7"/>
      <c r="T24" s="7"/>
      <c r="U24" s="7"/>
      <c r="V24" s="7"/>
    </row>
    <row r="25" spans="1:22" s="6" customFormat="1" ht="12.75">
      <c r="A25" s="8"/>
      <c r="B25" s="17" t="s">
        <v>8</v>
      </c>
      <c r="C25" s="7"/>
      <c r="D25" s="7"/>
      <c r="E25" s="7"/>
      <c r="F25" s="7"/>
      <c r="G25" s="340" t="s">
        <v>333</v>
      </c>
      <c r="K25" s="9"/>
      <c r="M25" s="77"/>
      <c r="N25" s="50"/>
      <c r="O25" s="78"/>
      <c r="P25" s="50"/>
      <c r="Q25" s="50"/>
      <c r="R25" s="7"/>
      <c r="S25" s="7"/>
      <c r="T25" s="7"/>
      <c r="U25" s="7"/>
      <c r="V25" s="7"/>
    </row>
    <row r="26" spans="1:22" s="6" customFormat="1" ht="14.45" customHeight="1">
      <c r="A26" s="8"/>
      <c r="B26" s="498" t="s">
        <v>148</v>
      </c>
      <c r="C26" s="498"/>
      <c r="D26" s="498"/>
      <c r="E26" s="498"/>
      <c r="F26" s="499"/>
      <c r="G26" s="340" t="s">
        <v>331</v>
      </c>
      <c r="K26" s="9"/>
      <c r="M26" s="77"/>
      <c r="N26" s="50"/>
      <c r="O26" s="78"/>
      <c r="P26" s="50"/>
      <c r="Q26" s="50"/>
      <c r="R26" s="7"/>
      <c r="S26" s="7"/>
      <c r="T26" s="7"/>
      <c r="U26" s="7"/>
      <c r="V26" s="7"/>
    </row>
    <row r="27" spans="1:22" s="6" customFormat="1" ht="13.35" customHeight="1">
      <c r="A27" s="206"/>
      <c r="B27" s="500"/>
      <c r="C27" s="500"/>
      <c r="D27" s="500"/>
      <c r="E27" s="500"/>
      <c r="F27" s="501"/>
      <c r="G27" s="341" t="s">
        <v>332</v>
      </c>
      <c r="H27" s="220"/>
      <c r="I27" s="220"/>
      <c r="J27" s="220"/>
      <c r="K27" s="221"/>
      <c r="M27" s="77"/>
      <c r="N27" s="50"/>
      <c r="O27" s="78"/>
      <c r="P27" s="50"/>
      <c r="Q27" s="50"/>
      <c r="R27" s="7"/>
      <c r="S27" s="7"/>
      <c r="T27" s="7"/>
      <c r="U27" s="7"/>
      <c r="V27" s="7"/>
    </row>
    <row r="28" spans="1:22" s="17" customFormat="1" ht="48.6" customHeight="1">
      <c r="A28" s="510" t="s">
        <v>18</v>
      </c>
      <c r="B28" s="511"/>
      <c r="C28" s="511"/>
      <c r="D28" s="511"/>
      <c r="E28" s="511"/>
      <c r="F28" s="511"/>
      <c r="G28" s="222" t="s">
        <v>19</v>
      </c>
      <c r="H28" s="222" t="s">
        <v>20</v>
      </c>
      <c r="I28" s="223" t="s">
        <v>33</v>
      </c>
      <c r="J28" s="223" t="s">
        <v>34</v>
      </c>
      <c r="K28" s="224" t="s">
        <v>35</v>
      </c>
      <c r="L28" s="82"/>
      <c r="M28" s="83"/>
      <c r="N28" s="84"/>
      <c r="O28" s="85"/>
      <c r="P28" s="84"/>
      <c r="Q28" s="84"/>
    </row>
    <row r="29" spans="1:22" ht="45.6" customHeight="1">
      <c r="A29" s="207"/>
      <c r="B29" s="512" t="s">
        <v>162</v>
      </c>
      <c r="C29" s="512"/>
      <c r="D29" s="512"/>
      <c r="E29" s="512"/>
      <c r="F29" s="513"/>
      <c r="G29" s="214"/>
      <c r="H29" s="214"/>
      <c r="I29" s="225"/>
      <c r="J29" s="225"/>
      <c r="K29" s="226"/>
    </row>
    <row r="30" spans="1:22" ht="14.1" customHeight="1">
      <c r="A30" s="207"/>
      <c r="B30" s="208"/>
      <c r="C30" s="209"/>
      <c r="D30" s="209"/>
      <c r="E30" s="209"/>
      <c r="F30" s="209"/>
      <c r="G30" s="214"/>
      <c r="H30" s="214"/>
      <c r="I30" s="214"/>
      <c r="J30" s="214"/>
      <c r="K30" s="227"/>
      <c r="M30" s="50"/>
    </row>
    <row r="31" spans="1:22" ht="14.1" customHeight="1">
      <c r="A31" s="207"/>
      <c r="B31" s="209"/>
      <c r="C31" s="209"/>
      <c r="D31" s="209"/>
      <c r="E31" s="209"/>
      <c r="F31" s="209"/>
      <c r="G31" s="214"/>
      <c r="H31" s="214"/>
      <c r="I31" s="214"/>
      <c r="J31" s="214"/>
      <c r="K31" s="227"/>
      <c r="M31" s="50"/>
    </row>
    <row r="32" spans="1:22" ht="12.75">
      <c r="A32" s="207"/>
      <c r="B32" s="496" t="s">
        <v>289</v>
      </c>
      <c r="C32" s="496"/>
      <c r="D32" s="496"/>
      <c r="E32" s="496"/>
      <c r="F32" s="497"/>
      <c r="G32" s="214" t="s">
        <v>185</v>
      </c>
      <c r="H32" s="214">
        <v>10</v>
      </c>
      <c r="I32" s="215">
        <v>8313</v>
      </c>
      <c r="J32" s="215">
        <v>9830</v>
      </c>
      <c r="K32" s="336">
        <v>19.866</v>
      </c>
      <c r="M32" s="25" t="s">
        <v>177</v>
      </c>
    </row>
    <row r="33" spans="1:22" ht="14.1" customHeight="1">
      <c r="A33" s="207"/>
      <c r="B33" s="496"/>
      <c r="C33" s="496"/>
      <c r="D33" s="496"/>
      <c r="E33" s="496"/>
      <c r="F33" s="497"/>
      <c r="G33" s="214" t="s">
        <v>185</v>
      </c>
      <c r="H33" s="214">
        <v>7</v>
      </c>
      <c r="I33" s="215">
        <v>8850</v>
      </c>
      <c r="J33" s="215">
        <v>10030</v>
      </c>
      <c r="K33" s="336">
        <v>18.937999999999999</v>
      </c>
      <c r="M33" s="25" t="s">
        <v>219</v>
      </c>
    </row>
    <row r="34" spans="1:22" ht="14.1" customHeight="1">
      <c r="A34" s="207"/>
      <c r="B34" s="496"/>
      <c r="C34" s="496"/>
      <c r="D34" s="496"/>
      <c r="E34" s="496"/>
      <c r="F34" s="497"/>
      <c r="G34" s="214" t="s">
        <v>185</v>
      </c>
      <c r="H34" s="214">
        <v>1</v>
      </c>
      <c r="I34" s="215">
        <v>422</v>
      </c>
      <c r="J34" s="215">
        <v>550</v>
      </c>
      <c r="K34" s="336">
        <v>2.2149999999999999</v>
      </c>
      <c r="M34" s="25" t="s">
        <v>220</v>
      </c>
    </row>
    <row r="35" spans="1:22" ht="14.1" customHeight="1">
      <c r="A35" s="207"/>
      <c r="B35" s="496"/>
      <c r="C35" s="496"/>
      <c r="D35" s="496"/>
      <c r="E35" s="496"/>
      <c r="F35" s="497"/>
      <c r="G35" s="214" t="s">
        <v>185</v>
      </c>
      <c r="H35" s="214">
        <v>1</v>
      </c>
      <c r="I35" s="215">
        <v>209</v>
      </c>
      <c r="J35" s="215">
        <v>340</v>
      </c>
      <c r="K35" s="336">
        <v>2.2149999999999999</v>
      </c>
      <c r="M35" s="25" t="s">
        <v>221</v>
      </c>
    </row>
    <row r="36" spans="1:22" ht="14.1" customHeight="1">
      <c r="A36" s="207"/>
      <c r="B36" s="209"/>
      <c r="C36" s="209"/>
      <c r="D36" s="209"/>
      <c r="E36" s="209"/>
      <c r="F36" s="209"/>
      <c r="G36" s="214" t="s">
        <v>185</v>
      </c>
      <c r="H36" s="214">
        <v>1</v>
      </c>
      <c r="I36" s="215">
        <v>531</v>
      </c>
      <c r="J36" s="215">
        <v>660</v>
      </c>
      <c r="K36" s="336">
        <v>2.2149999999999999</v>
      </c>
      <c r="M36" s="25" t="s">
        <v>175</v>
      </c>
    </row>
    <row r="37" spans="1:22" ht="14.1" customHeight="1">
      <c r="A37" s="207"/>
      <c r="B37" s="216"/>
      <c r="C37" s="209"/>
      <c r="D37" s="209"/>
      <c r="E37" s="209"/>
      <c r="F37" s="209"/>
      <c r="G37" s="214" t="s">
        <v>185</v>
      </c>
      <c r="H37" s="214">
        <v>13</v>
      </c>
      <c r="I37" s="215">
        <v>8975</v>
      </c>
      <c r="J37" s="215">
        <v>11055</v>
      </c>
      <c r="K37" s="336">
        <v>27.248000000000001</v>
      </c>
      <c r="M37" s="25"/>
    </row>
    <row r="38" spans="1:22" ht="14.1" customHeight="1">
      <c r="A38" s="207"/>
      <c r="B38" s="304" t="s">
        <v>23</v>
      </c>
      <c r="C38" s="209"/>
      <c r="D38" s="278">
        <v>33</v>
      </c>
      <c r="E38" s="209" t="s">
        <v>24</v>
      </c>
      <c r="F38" s="209"/>
      <c r="G38" s="214"/>
      <c r="H38" s="214"/>
      <c r="I38" s="214"/>
      <c r="J38" s="214"/>
      <c r="K38" s="336"/>
    </row>
    <row r="39" spans="1:22" ht="14.1" customHeight="1">
      <c r="A39" s="207"/>
      <c r="B39" s="216"/>
      <c r="C39" s="209"/>
      <c r="D39" s="209"/>
      <c r="E39" s="209"/>
      <c r="F39" s="209"/>
      <c r="G39" s="214"/>
      <c r="H39" s="214"/>
      <c r="I39" s="214"/>
      <c r="J39" s="214"/>
      <c r="K39" s="336"/>
    </row>
    <row r="40" spans="1:22" ht="14.1" customHeight="1">
      <c r="A40" s="41"/>
      <c r="B40" s="42"/>
      <c r="C40" s="42"/>
      <c r="D40" s="42"/>
      <c r="E40" s="42"/>
      <c r="F40" s="42"/>
      <c r="G40" s="44"/>
      <c r="H40" s="44"/>
      <c r="I40" s="44"/>
      <c r="J40" s="44"/>
      <c r="K40" s="337"/>
    </row>
    <row r="41" spans="1:22" s="82" customFormat="1" ht="23.1" customHeight="1">
      <c r="A41" s="86"/>
      <c r="B41" s="87"/>
      <c r="C41" s="87"/>
      <c r="D41" s="87"/>
      <c r="E41" s="87"/>
      <c r="F41" s="87"/>
      <c r="G41" s="506" t="s">
        <v>36</v>
      </c>
      <c r="H41" s="507"/>
      <c r="I41" s="313">
        <f>SUM(I29:I40)</f>
        <v>27300</v>
      </c>
      <c r="J41" s="313">
        <f>SUM(J29:J40)</f>
        <v>32465</v>
      </c>
      <c r="K41" s="338">
        <f>SUM(K29:K40)</f>
        <v>72.697000000000017</v>
      </c>
      <c r="M41" s="83"/>
      <c r="N41" s="84"/>
      <c r="O41" s="85"/>
      <c r="P41" s="84"/>
      <c r="Q41" s="84"/>
      <c r="R41" s="17"/>
      <c r="S41" s="17"/>
      <c r="T41" s="17"/>
      <c r="U41" s="17"/>
      <c r="V41" s="17"/>
    </row>
    <row r="42" spans="1:22" s="6" customFormat="1" ht="14.1" customHeight="1">
      <c r="A42" s="23"/>
      <c r="B42" s="7"/>
      <c r="C42" s="7"/>
      <c r="D42" s="7"/>
      <c r="E42" s="7"/>
      <c r="F42" s="7"/>
      <c r="K42" s="9"/>
      <c r="M42" s="77"/>
      <c r="N42" s="50"/>
      <c r="O42" s="78"/>
      <c r="P42" s="50"/>
      <c r="Q42" s="50"/>
      <c r="R42" s="7"/>
      <c r="S42" s="7"/>
      <c r="T42" s="7"/>
      <c r="U42" s="7"/>
      <c r="V42" s="7"/>
    </row>
    <row r="43" spans="1:22" s="6" customFormat="1" ht="14.1" customHeight="1">
      <c r="A43" s="23"/>
      <c r="B43" s="7"/>
      <c r="C43" s="7"/>
      <c r="D43" s="7"/>
      <c r="E43" s="7"/>
      <c r="F43" s="7"/>
      <c r="K43" s="9"/>
      <c r="M43" s="77"/>
      <c r="N43" s="50"/>
      <c r="O43" s="78"/>
      <c r="P43" s="50"/>
      <c r="Q43" s="50"/>
      <c r="R43" s="7"/>
      <c r="S43" s="7"/>
      <c r="T43" s="7"/>
      <c r="U43" s="7"/>
      <c r="V43" s="7"/>
    </row>
    <row r="44" spans="1:22" s="6" customFormat="1" ht="14.1" customHeight="1">
      <c r="A44" s="23"/>
      <c r="B44" s="7"/>
      <c r="C44" s="7"/>
      <c r="D44" s="7"/>
      <c r="E44" s="7"/>
      <c r="F44" s="7"/>
      <c r="K44" s="9"/>
      <c r="M44" s="77"/>
      <c r="N44" s="50"/>
      <c r="O44" s="78"/>
      <c r="P44" s="50"/>
      <c r="Q44" s="50"/>
      <c r="R44" s="7"/>
      <c r="S44" s="7"/>
      <c r="T44" s="7"/>
      <c r="U44" s="7"/>
      <c r="V44" s="7"/>
    </row>
    <row r="45" spans="1:22" s="6" customFormat="1" ht="14.1" customHeight="1">
      <c r="A45" s="88"/>
      <c r="B45" s="7"/>
      <c r="C45" s="7"/>
      <c r="D45" s="7"/>
      <c r="E45" s="7"/>
      <c r="F45" s="7"/>
      <c r="K45" s="9"/>
      <c r="M45" s="77"/>
      <c r="N45" s="50"/>
      <c r="O45" s="78"/>
      <c r="P45" s="50"/>
      <c r="Q45" s="50"/>
      <c r="R45" s="7"/>
      <c r="S45" s="7"/>
      <c r="T45" s="7"/>
      <c r="U45" s="7"/>
      <c r="V45" s="7"/>
    </row>
    <row r="46" spans="1:22" s="6" customFormat="1" ht="14.1" customHeight="1">
      <c r="A46" s="89"/>
      <c r="B46" s="7"/>
      <c r="C46" s="7"/>
      <c r="D46" s="7"/>
      <c r="E46" s="7"/>
      <c r="F46" s="7"/>
      <c r="K46" s="9"/>
      <c r="M46" s="77"/>
      <c r="N46" s="50"/>
      <c r="O46" s="78"/>
      <c r="P46" s="50"/>
      <c r="Q46" s="50"/>
      <c r="R46" s="7"/>
      <c r="S46" s="7"/>
      <c r="T46" s="7"/>
      <c r="U46" s="7"/>
      <c r="V46" s="7"/>
    </row>
    <row r="47" spans="1:22" s="6" customFormat="1" ht="14.1" customHeight="1">
      <c r="A47" s="89"/>
      <c r="B47" s="150"/>
      <c r="C47" s="7"/>
      <c r="D47" s="7"/>
      <c r="E47" s="7"/>
      <c r="F47" s="7"/>
      <c r="G47" s="50" t="s">
        <v>26</v>
      </c>
      <c r="H47" s="34"/>
      <c r="I47" s="34"/>
      <c r="J47" s="34"/>
      <c r="K47" s="9"/>
      <c r="M47" s="77"/>
      <c r="N47" s="50"/>
      <c r="O47" s="78"/>
      <c r="P47" s="50"/>
      <c r="Q47" s="50"/>
      <c r="R47" s="7"/>
      <c r="S47" s="7"/>
      <c r="T47" s="7"/>
      <c r="U47" s="7"/>
      <c r="V47" s="7"/>
    </row>
    <row r="48" spans="1:22" s="6" customFormat="1" ht="14.1" customHeight="1">
      <c r="A48" s="89"/>
      <c r="B48" s="150"/>
      <c r="C48" s="7"/>
      <c r="D48" s="7"/>
      <c r="E48" s="7"/>
      <c r="F48" s="7"/>
      <c r="G48" s="50"/>
      <c r="H48" s="474" t="s">
        <v>166</v>
      </c>
      <c r="I48" s="474"/>
      <c r="J48" s="474"/>
      <c r="K48" s="9"/>
      <c r="M48" s="77"/>
      <c r="N48" s="50"/>
      <c r="O48" s="78"/>
      <c r="P48" s="50"/>
      <c r="Q48" s="50"/>
      <c r="R48" s="7"/>
      <c r="S48" s="7"/>
      <c r="T48" s="7"/>
      <c r="U48" s="7"/>
      <c r="V48" s="7"/>
    </row>
    <row r="49" spans="1:22" s="6" customFormat="1" ht="24" customHeight="1" thickBot="1">
      <c r="A49" s="51"/>
      <c r="B49" s="151"/>
      <c r="C49" s="52"/>
      <c r="D49" s="52"/>
      <c r="E49" s="52"/>
      <c r="F49" s="52"/>
      <c r="G49" s="53"/>
      <c r="H49" s="54"/>
      <c r="I49" s="54"/>
      <c r="J49" s="53"/>
      <c r="K49" s="55"/>
      <c r="M49" s="77"/>
      <c r="N49" s="50"/>
      <c r="O49" s="78"/>
      <c r="P49" s="50"/>
      <c r="Q49" s="50"/>
      <c r="R49" s="7"/>
      <c r="S49" s="7"/>
      <c r="T49" s="7"/>
      <c r="U49" s="7"/>
      <c r="V49" s="7"/>
    </row>
  </sheetData>
  <mergeCells count="23">
    <mergeCell ref="B3:F3"/>
    <mergeCell ref="H3:K3"/>
    <mergeCell ref="G41:H41"/>
    <mergeCell ref="H14:K14"/>
    <mergeCell ref="H15:K16"/>
    <mergeCell ref="H18:K18"/>
    <mergeCell ref="D19:F19"/>
    <mergeCell ref="H19:K19"/>
    <mergeCell ref="D23:F23"/>
    <mergeCell ref="A28:F28"/>
    <mergeCell ref="B29:F29"/>
    <mergeCell ref="B14:F17"/>
    <mergeCell ref="H20:J20"/>
    <mergeCell ref="H13:K13"/>
    <mergeCell ref="H48:J48"/>
    <mergeCell ref="H17:K17"/>
    <mergeCell ref="A4:K4"/>
    <mergeCell ref="G9:K9"/>
    <mergeCell ref="G10:K12"/>
    <mergeCell ref="B10:F12"/>
    <mergeCell ref="B6:F8"/>
    <mergeCell ref="B32:F35"/>
    <mergeCell ref="B26:F27"/>
  </mergeCells>
  <phoneticPr fontId="33"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ADEB-B5CB-48DA-B4B4-B1206F8CC8F6}">
  <sheetPr>
    <tabColor rgb="FF00B050"/>
    <pageSetUpPr fitToPage="1"/>
  </sheetPr>
  <dimension ref="A1:M39"/>
  <sheetViews>
    <sheetView showGridLines="0" view="pageBreakPreview" topLeftCell="A7" zoomScale="70" zoomScaleNormal="70" zoomScaleSheetLayoutView="70" workbookViewId="0">
      <selection activeCell="L13" sqref="L13"/>
    </sheetView>
  </sheetViews>
  <sheetFormatPr defaultColWidth="7.71484375" defaultRowHeight="23.25"/>
  <cols>
    <col min="1" max="1" width="43.15234375" style="133" customWidth="1"/>
    <col min="2" max="2" width="2.5703125" style="134" customWidth="1"/>
    <col min="3" max="3" width="12.16015625" style="133" customWidth="1"/>
    <col min="4" max="4" width="10.875" style="133" customWidth="1"/>
    <col min="5" max="5" width="12.16015625" style="133" customWidth="1"/>
    <col min="6" max="6" width="14.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'PL(2_2)'!C15</f>
        <v>OM4-DE-IS-0004-001</v>
      </c>
      <c r="D13" s="273"/>
      <c r="E13" s="273"/>
      <c r="F13" s="273"/>
      <c r="G13" s="273"/>
      <c r="H13" s="273"/>
      <c r="I13" s="273"/>
      <c r="J13" s="274"/>
      <c r="L13" s="135" t="s">
        <v>146</v>
      </c>
      <c r="M13" s="137"/>
    </row>
    <row r="14" spans="1:13" s="135" customFormat="1" ht="36.6" customHeight="1">
      <c r="A14" s="236" t="s">
        <v>116</v>
      </c>
      <c r="B14" s="237" t="s">
        <v>94</v>
      </c>
      <c r="C14" s="282">
        <f>'PL(2_2)'!N15</f>
        <v>640</v>
      </c>
      <c r="D14" s="327" t="s">
        <v>99</v>
      </c>
      <c r="E14" s="328"/>
      <c r="F14" s="328"/>
      <c r="G14" s="328"/>
      <c r="H14" s="328"/>
      <c r="I14" s="328"/>
      <c r="J14" s="239"/>
    </row>
    <row r="15" spans="1:13" s="135" customFormat="1" ht="57.6" customHeight="1">
      <c r="A15" s="236" t="s">
        <v>117</v>
      </c>
      <c r="B15" s="237" t="s">
        <v>94</v>
      </c>
      <c r="C15" s="282">
        <f>'PL(2_2)'!O15</f>
        <v>810</v>
      </c>
      <c r="D15" s="327" t="s">
        <v>99</v>
      </c>
      <c r="E15" s="328"/>
      <c r="F15" s="329"/>
      <c r="G15" s="328"/>
      <c r="H15" s="328"/>
      <c r="I15" s="328"/>
      <c r="J15" s="240"/>
    </row>
    <row r="16" spans="1:13" s="135" customFormat="1" ht="53.45" customHeight="1">
      <c r="A16" s="236" t="s">
        <v>119</v>
      </c>
      <c r="B16" s="238" t="s">
        <v>94</v>
      </c>
      <c r="C16" s="282">
        <f>'PL(2_2)'!J15</f>
        <v>136</v>
      </c>
      <c r="D16" s="327" t="s">
        <v>100</v>
      </c>
      <c r="E16" s="282">
        <f>'PL(2_2)'!K15</f>
        <v>136</v>
      </c>
      <c r="F16" s="327" t="s">
        <v>101</v>
      </c>
      <c r="G16" s="282">
        <f>'PL(2_2)'!L15</f>
        <v>117</v>
      </c>
      <c r="H16" s="327" t="s">
        <v>102</v>
      </c>
      <c r="I16" s="339">
        <f>'PL(2_2)'!M15</f>
        <v>2.1640000000000001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1"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035D-52D5-4199-86AE-C940EE8F4118}">
  <sheetPr>
    <tabColor rgb="FF00B050"/>
    <pageSetUpPr fitToPage="1"/>
  </sheetPr>
  <dimension ref="A1:M39"/>
  <sheetViews>
    <sheetView showGridLines="0" view="pageBreakPreview" topLeftCell="Q1" zoomScale="70" zoomScaleNormal="70" zoomScaleSheetLayoutView="70" workbookViewId="0">
      <selection activeCell="AS1" sqref="AS1"/>
    </sheetView>
  </sheetViews>
  <sheetFormatPr defaultColWidth="7.71484375" defaultRowHeight="23.25"/>
  <cols>
    <col min="1" max="1" width="43.15234375" style="133" customWidth="1"/>
    <col min="2" max="2" width="2.5703125" style="134" customWidth="1"/>
    <col min="3" max="3" width="12.16015625" style="133" customWidth="1"/>
    <col min="4" max="4" width="10.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'PL(2_2)'!C16</f>
        <v>OM4-DE-IS-0004-002</v>
      </c>
      <c r="D13" s="273"/>
      <c r="E13" s="273"/>
      <c r="F13" s="273"/>
      <c r="G13" s="273"/>
      <c r="H13" s="273"/>
      <c r="I13" s="273"/>
      <c r="J13" s="274"/>
      <c r="L13" s="135" t="s">
        <v>146</v>
      </c>
      <c r="M13" s="137"/>
    </row>
    <row r="14" spans="1:13" s="135" customFormat="1" ht="36.6" customHeight="1">
      <c r="A14" s="236" t="s">
        <v>116</v>
      </c>
      <c r="B14" s="237" t="s">
        <v>94</v>
      </c>
      <c r="C14" s="282">
        <f>'PL(2_2)'!N16</f>
        <v>470</v>
      </c>
      <c r="D14" s="327" t="s">
        <v>99</v>
      </c>
      <c r="E14" s="328"/>
      <c r="F14" s="328"/>
      <c r="G14" s="328"/>
      <c r="H14" s="328"/>
      <c r="I14" s="328"/>
      <c r="J14" s="239"/>
    </row>
    <row r="15" spans="1:13" s="135" customFormat="1" ht="57.6" customHeight="1">
      <c r="A15" s="236" t="s">
        <v>117</v>
      </c>
      <c r="B15" s="237" t="s">
        <v>94</v>
      </c>
      <c r="C15" s="282">
        <f>'PL(2_2)'!O16</f>
        <v>640</v>
      </c>
      <c r="D15" s="327" t="s">
        <v>99</v>
      </c>
      <c r="E15" s="328"/>
      <c r="F15" s="329"/>
      <c r="G15" s="328"/>
      <c r="H15" s="328"/>
      <c r="I15" s="328"/>
      <c r="J15" s="240"/>
    </row>
    <row r="16" spans="1:13" s="135" customFormat="1" ht="53.45" customHeight="1">
      <c r="A16" s="236" t="s">
        <v>119</v>
      </c>
      <c r="B16" s="238" t="s">
        <v>94</v>
      </c>
      <c r="C16" s="282">
        <f>'PL(2_2)'!J16</f>
        <v>136</v>
      </c>
      <c r="D16" s="327" t="s">
        <v>100</v>
      </c>
      <c r="E16" s="282">
        <f>'PL(2_2)'!K16</f>
        <v>136</v>
      </c>
      <c r="F16" s="327" t="s">
        <v>101</v>
      </c>
      <c r="G16" s="282">
        <f>'PL(2_2)'!L16</f>
        <v>117</v>
      </c>
      <c r="H16" s="327" t="s">
        <v>102</v>
      </c>
      <c r="I16" s="339">
        <f>'PL(2_2)'!M16</f>
        <v>2.1640000000000001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1"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927C-D6BA-4423-8C36-4BB45C59D988}">
  <sheetPr>
    <tabColor rgb="FF00B050"/>
    <pageSetUpPr fitToPage="1"/>
  </sheetPr>
  <dimension ref="A1:M39"/>
  <sheetViews>
    <sheetView showGridLines="0" view="pageBreakPreview" topLeftCell="Q1" zoomScale="70" zoomScaleNormal="70" zoomScaleSheetLayoutView="70" workbookViewId="0">
      <selection activeCell="AS1" sqref="AS1"/>
    </sheetView>
  </sheetViews>
  <sheetFormatPr defaultColWidth="7.71484375" defaultRowHeight="23.25"/>
  <cols>
    <col min="1" max="1" width="43.15234375" style="133" customWidth="1"/>
    <col min="2" max="2" width="2.5703125" style="134" customWidth="1"/>
    <col min="3" max="3" width="12.16015625" style="133" customWidth="1"/>
    <col min="4" max="4" width="10.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'PL(2_2)'!C17</f>
        <v>OM4-DE-IS-0004-003</v>
      </c>
      <c r="D13" s="273"/>
      <c r="E13" s="273"/>
      <c r="F13" s="273"/>
      <c r="G13" s="273"/>
      <c r="H13" s="273"/>
      <c r="I13" s="273"/>
      <c r="J13" s="274"/>
      <c r="L13" s="135" t="s">
        <v>146</v>
      </c>
      <c r="M13" s="137"/>
    </row>
    <row r="14" spans="1:13" s="135" customFormat="1" ht="36.6" customHeight="1">
      <c r="A14" s="236" t="s">
        <v>116</v>
      </c>
      <c r="B14" s="237" t="s">
        <v>94</v>
      </c>
      <c r="C14" s="282">
        <f>'PL(2_2)'!N17</f>
        <v>690</v>
      </c>
      <c r="D14" s="327" t="s">
        <v>99</v>
      </c>
      <c r="E14" s="328"/>
      <c r="F14" s="328"/>
      <c r="G14" s="328"/>
      <c r="H14" s="328"/>
      <c r="I14" s="328"/>
      <c r="J14" s="239"/>
    </row>
    <row r="15" spans="1:13" s="135" customFormat="1" ht="57.6" customHeight="1">
      <c r="A15" s="236" t="s">
        <v>117</v>
      </c>
      <c r="B15" s="237" t="s">
        <v>94</v>
      </c>
      <c r="C15" s="282">
        <f>'PL(2_2)'!O17</f>
        <v>850</v>
      </c>
      <c r="D15" s="327" t="s">
        <v>99</v>
      </c>
      <c r="E15" s="328"/>
      <c r="F15" s="329"/>
      <c r="G15" s="328"/>
      <c r="H15" s="328"/>
      <c r="I15" s="328"/>
      <c r="J15" s="240"/>
    </row>
    <row r="16" spans="1:13" s="135" customFormat="1" ht="53.45" customHeight="1">
      <c r="A16" s="236" t="s">
        <v>119</v>
      </c>
      <c r="B16" s="238" t="s">
        <v>94</v>
      </c>
      <c r="C16" s="282">
        <f>'PL(2_2)'!J17</f>
        <v>136</v>
      </c>
      <c r="D16" s="327" t="s">
        <v>100</v>
      </c>
      <c r="E16" s="282">
        <f>'PL(2_2)'!K17</f>
        <v>136</v>
      </c>
      <c r="F16" s="327" t="s">
        <v>101</v>
      </c>
      <c r="G16" s="282">
        <f>'PL(2_2)'!L17</f>
        <v>117</v>
      </c>
      <c r="H16" s="327" t="s">
        <v>102</v>
      </c>
      <c r="I16" s="339">
        <f>'PL(2_2)'!M17</f>
        <v>2.1640000000000001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6641F-F2F0-422C-B6D0-8A1BE6EADBF6}">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'PL(2_2)'!C18</f>
        <v>OM4-DE-IS-0004-004</v>
      </c>
      <c r="D13" s="273"/>
      <c r="E13" s="273"/>
      <c r="F13" s="273"/>
      <c r="G13" s="273"/>
      <c r="H13" s="273"/>
      <c r="I13" s="273"/>
      <c r="J13" s="274"/>
      <c r="L13" s="135" t="s">
        <v>146</v>
      </c>
      <c r="M13" s="137"/>
    </row>
    <row r="14" spans="1:13" s="135" customFormat="1" ht="36.6" customHeight="1">
      <c r="A14" s="236" t="s">
        <v>116</v>
      </c>
      <c r="B14" s="237" t="s">
        <v>94</v>
      </c>
      <c r="C14" s="282">
        <f>'PL(2_2)'!N18</f>
        <v>950</v>
      </c>
      <c r="D14" s="327" t="s">
        <v>99</v>
      </c>
      <c r="E14" s="328"/>
      <c r="F14" s="328"/>
      <c r="G14" s="328"/>
      <c r="H14" s="328"/>
      <c r="I14" s="328"/>
      <c r="J14" s="239"/>
    </row>
    <row r="15" spans="1:13" s="135" customFormat="1" ht="57.6" customHeight="1">
      <c r="A15" s="236" t="s">
        <v>117</v>
      </c>
      <c r="B15" s="237" t="s">
        <v>94</v>
      </c>
      <c r="C15" s="282">
        <f>'PL(2_2)'!O18</f>
        <v>1110</v>
      </c>
      <c r="D15" s="327" t="s">
        <v>99</v>
      </c>
      <c r="E15" s="328"/>
      <c r="F15" s="329"/>
      <c r="G15" s="328"/>
      <c r="H15" s="328"/>
      <c r="I15" s="328"/>
      <c r="J15" s="240"/>
    </row>
    <row r="16" spans="1:13" s="135" customFormat="1" ht="53.45" customHeight="1">
      <c r="A16" s="236" t="s">
        <v>119</v>
      </c>
      <c r="B16" s="238" t="s">
        <v>94</v>
      </c>
      <c r="C16" s="282">
        <f>'PL(2_2)'!J18</f>
        <v>136</v>
      </c>
      <c r="D16" s="327" t="s">
        <v>100</v>
      </c>
      <c r="E16" s="282">
        <f>'PL(2_2)'!K18</f>
        <v>136</v>
      </c>
      <c r="F16" s="327" t="s">
        <v>101</v>
      </c>
      <c r="G16" s="282">
        <f>'PL(2_2)'!L18</f>
        <v>117</v>
      </c>
      <c r="H16" s="327" t="s">
        <v>102</v>
      </c>
      <c r="I16" s="339">
        <f>'PL(2_2)'!M18</f>
        <v>2.1640000000000001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BDB1-91A3-435F-92DB-74954E834B2F}">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'PL(2_2)'!C19</f>
        <v>OM4-DE-IS-0004-005</v>
      </c>
      <c r="D13" s="273"/>
      <c r="E13" s="273"/>
      <c r="F13" s="273"/>
      <c r="G13" s="273"/>
      <c r="H13" s="273"/>
      <c r="I13" s="273"/>
      <c r="J13" s="274"/>
      <c r="L13" s="135" t="s">
        <v>146</v>
      </c>
      <c r="M13" s="137"/>
    </row>
    <row r="14" spans="1:13" s="135" customFormat="1" ht="36.6" customHeight="1">
      <c r="A14" s="236" t="s">
        <v>116</v>
      </c>
      <c r="B14" s="237" t="s">
        <v>94</v>
      </c>
      <c r="C14" s="282">
        <f>'PL(2_2)'!N19</f>
        <v>830</v>
      </c>
      <c r="D14" s="327" t="s">
        <v>99</v>
      </c>
      <c r="E14" s="328"/>
      <c r="F14" s="328"/>
      <c r="G14" s="328"/>
      <c r="H14" s="328"/>
      <c r="I14" s="328"/>
      <c r="J14" s="239"/>
    </row>
    <row r="15" spans="1:13" s="135" customFormat="1" ht="57.6" customHeight="1">
      <c r="A15" s="236" t="s">
        <v>117</v>
      </c>
      <c r="B15" s="237" t="s">
        <v>94</v>
      </c>
      <c r="C15" s="282">
        <f>'PL(2_2)'!O19</f>
        <v>990</v>
      </c>
      <c r="D15" s="327" t="s">
        <v>99</v>
      </c>
      <c r="E15" s="328"/>
      <c r="F15" s="329"/>
      <c r="G15" s="328"/>
      <c r="H15" s="328"/>
      <c r="I15" s="328"/>
      <c r="J15" s="240"/>
    </row>
    <row r="16" spans="1:13" s="135" customFormat="1" ht="53.45" customHeight="1">
      <c r="A16" s="236" t="s">
        <v>119</v>
      </c>
      <c r="B16" s="238" t="s">
        <v>94</v>
      </c>
      <c r="C16" s="282">
        <f>'PL(2_2)'!J19</f>
        <v>136</v>
      </c>
      <c r="D16" s="327" t="s">
        <v>100</v>
      </c>
      <c r="E16" s="282">
        <f>'PL(2_2)'!K19</f>
        <v>136</v>
      </c>
      <c r="F16" s="327" t="s">
        <v>101</v>
      </c>
      <c r="G16" s="282">
        <f>'PL(2_2)'!L19</f>
        <v>117</v>
      </c>
      <c r="H16" s="327" t="s">
        <v>102</v>
      </c>
      <c r="I16" s="339">
        <f>'PL(2_2)'!M19</f>
        <v>2.1640000000000001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F930-3FB9-4A9A-989F-B98DB83909FB}">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'PL(2_2)'!C20</f>
        <v>OM4-DE-IS-0004-006</v>
      </c>
      <c r="D13" s="273"/>
      <c r="E13" s="273"/>
      <c r="F13" s="273"/>
      <c r="G13" s="273"/>
      <c r="H13" s="273"/>
      <c r="I13" s="273"/>
      <c r="J13" s="274"/>
      <c r="L13" s="135" t="s">
        <v>146</v>
      </c>
      <c r="M13" s="137"/>
    </row>
    <row r="14" spans="1:13" s="135" customFormat="1" ht="36.6" customHeight="1">
      <c r="A14" s="236" t="s">
        <v>116</v>
      </c>
      <c r="B14" s="237" t="s">
        <v>94</v>
      </c>
      <c r="C14" s="282">
        <f>'PL(2_2)'!N20</f>
        <v>240</v>
      </c>
      <c r="D14" s="327" t="s">
        <v>99</v>
      </c>
      <c r="E14" s="328"/>
      <c r="F14" s="328"/>
      <c r="G14" s="328"/>
      <c r="H14" s="328"/>
      <c r="I14" s="328"/>
      <c r="J14" s="239"/>
    </row>
    <row r="15" spans="1:13" s="135" customFormat="1" ht="57.6" customHeight="1">
      <c r="A15" s="236" t="s">
        <v>117</v>
      </c>
      <c r="B15" s="237" t="s">
        <v>94</v>
      </c>
      <c r="C15" s="282">
        <f>'PL(2_2)'!O20</f>
        <v>380</v>
      </c>
      <c r="D15" s="327" t="s">
        <v>99</v>
      </c>
      <c r="E15" s="328"/>
      <c r="F15" s="329"/>
      <c r="G15" s="328"/>
      <c r="H15" s="328"/>
      <c r="I15" s="328"/>
      <c r="J15" s="240"/>
    </row>
    <row r="16" spans="1:13" s="135" customFormat="1" ht="53.45" customHeight="1">
      <c r="A16" s="236" t="s">
        <v>119</v>
      </c>
      <c r="B16" s="238" t="s">
        <v>94</v>
      </c>
      <c r="C16" s="282">
        <f>'PL(2_2)'!J20</f>
        <v>157</v>
      </c>
      <c r="D16" s="327" t="s">
        <v>100</v>
      </c>
      <c r="E16" s="282">
        <f>'PL(2_2)'!K20</f>
        <v>123</v>
      </c>
      <c r="F16" s="327" t="s">
        <v>101</v>
      </c>
      <c r="G16" s="282">
        <f>'PL(2_2)'!L20</f>
        <v>66</v>
      </c>
      <c r="H16" s="327" t="s">
        <v>102</v>
      </c>
      <c r="I16" s="339">
        <f>'PL(2_2)'!M20</f>
        <v>1.2749999999999999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4292-1555-45DA-A560-9E00CF3D4952}">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'PL(2_2)'!C21</f>
        <v>OM4-DE-IS-0004-007</v>
      </c>
      <c r="D13" s="273"/>
      <c r="E13" s="273"/>
      <c r="F13" s="273"/>
      <c r="G13" s="273"/>
      <c r="H13" s="273"/>
      <c r="I13" s="273"/>
      <c r="J13" s="274"/>
      <c r="L13" s="135" t="s">
        <v>146</v>
      </c>
      <c r="M13" s="137"/>
    </row>
    <row r="14" spans="1:13" s="135" customFormat="1" ht="36.6" customHeight="1">
      <c r="A14" s="236" t="s">
        <v>116</v>
      </c>
      <c r="B14" s="237" t="s">
        <v>94</v>
      </c>
      <c r="C14" s="282">
        <f>'PL(2_2)'!N21</f>
        <v>1580</v>
      </c>
      <c r="D14" s="327" t="s">
        <v>99</v>
      </c>
      <c r="E14" s="328"/>
      <c r="F14" s="328"/>
      <c r="G14" s="328"/>
      <c r="H14" s="328"/>
      <c r="I14" s="328"/>
      <c r="J14" s="239"/>
    </row>
    <row r="15" spans="1:13" s="135" customFormat="1" ht="57.6" customHeight="1">
      <c r="A15" s="236" t="s">
        <v>117</v>
      </c>
      <c r="B15" s="237" t="s">
        <v>94</v>
      </c>
      <c r="C15" s="282">
        <f>'PL(2_2)'!O21</f>
        <v>1730</v>
      </c>
      <c r="D15" s="327" t="s">
        <v>99</v>
      </c>
      <c r="E15" s="328"/>
      <c r="F15" s="329"/>
      <c r="G15" s="328"/>
      <c r="H15" s="328"/>
      <c r="I15" s="328"/>
      <c r="J15" s="240"/>
    </row>
    <row r="16" spans="1:13" s="135" customFormat="1" ht="53.45" customHeight="1">
      <c r="A16" s="236" t="s">
        <v>119</v>
      </c>
      <c r="B16" s="238" t="s">
        <v>94</v>
      </c>
      <c r="C16" s="282">
        <f>'PL(2_2)'!J21</f>
        <v>136</v>
      </c>
      <c r="D16" s="327" t="s">
        <v>100</v>
      </c>
      <c r="E16" s="282">
        <f>'PL(2_2)'!K21</f>
        <v>136</v>
      </c>
      <c r="F16" s="327" t="s">
        <v>101</v>
      </c>
      <c r="G16" s="282">
        <f>'PL(2_2)'!L21</f>
        <v>142</v>
      </c>
      <c r="H16" s="327" t="s">
        <v>102</v>
      </c>
      <c r="I16" s="339">
        <f>'PL(2_2)'!M21</f>
        <v>2.6259999999999999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1270-FC2A-4FF0-9CF3-4BF6D747AD9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'PL(2_2)'!C22</f>
        <v>OM4-DE-IS-0004-008</v>
      </c>
      <c r="D13" s="273"/>
      <c r="E13" s="273"/>
      <c r="F13" s="273"/>
      <c r="G13" s="273"/>
      <c r="H13" s="273"/>
      <c r="I13" s="273"/>
      <c r="J13" s="274"/>
      <c r="L13" s="135" t="s">
        <v>146</v>
      </c>
      <c r="M13" s="137"/>
    </row>
    <row r="14" spans="1:13" s="135" customFormat="1" ht="36.6" customHeight="1">
      <c r="A14" s="236" t="s">
        <v>116</v>
      </c>
      <c r="B14" s="237" t="s">
        <v>94</v>
      </c>
      <c r="C14" s="282">
        <f>'PL(2_2)'!N22</f>
        <v>1580</v>
      </c>
      <c r="D14" s="327" t="s">
        <v>99</v>
      </c>
      <c r="E14" s="328"/>
      <c r="F14" s="328"/>
      <c r="G14" s="328"/>
      <c r="H14" s="328"/>
      <c r="I14" s="328"/>
      <c r="J14" s="239"/>
    </row>
    <row r="15" spans="1:13" s="135" customFormat="1" ht="57.6" customHeight="1">
      <c r="A15" s="236" t="s">
        <v>117</v>
      </c>
      <c r="B15" s="237" t="s">
        <v>94</v>
      </c>
      <c r="C15" s="282">
        <f>'PL(2_2)'!O22</f>
        <v>1750</v>
      </c>
      <c r="D15" s="327" t="s">
        <v>99</v>
      </c>
      <c r="E15" s="328"/>
      <c r="F15" s="329"/>
      <c r="G15" s="328"/>
      <c r="H15" s="328"/>
      <c r="I15" s="328"/>
      <c r="J15" s="240"/>
    </row>
    <row r="16" spans="1:13" s="135" customFormat="1" ht="53.45" customHeight="1">
      <c r="A16" s="236" t="s">
        <v>119</v>
      </c>
      <c r="B16" s="238" t="s">
        <v>94</v>
      </c>
      <c r="C16" s="282">
        <f>'PL(2_2)'!J22</f>
        <v>136</v>
      </c>
      <c r="D16" s="327" t="s">
        <v>100</v>
      </c>
      <c r="E16" s="282">
        <f>'PL(2_2)'!K22</f>
        <v>136</v>
      </c>
      <c r="F16" s="327" t="s">
        <v>101</v>
      </c>
      <c r="G16" s="282">
        <f>'PL(2_2)'!L22</f>
        <v>142</v>
      </c>
      <c r="H16" s="327" t="s">
        <v>102</v>
      </c>
      <c r="I16" s="339">
        <f>'PL(2_2)'!M22</f>
        <v>2.6259999999999999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D968-E8F6-4493-ACB4-EB0CD21A50A4}">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'PL(2_2)'!C23</f>
        <v>OM4-DE-IS-0004-009</v>
      </c>
      <c r="D13" s="273"/>
      <c r="E13" s="273"/>
      <c r="F13" s="273"/>
      <c r="G13" s="273"/>
      <c r="H13" s="273"/>
      <c r="I13" s="273"/>
      <c r="J13" s="274"/>
      <c r="L13" s="135" t="s">
        <v>146</v>
      </c>
      <c r="M13" s="137"/>
    </row>
    <row r="14" spans="1:13" s="135" customFormat="1" ht="36.6" customHeight="1">
      <c r="A14" s="236" t="s">
        <v>116</v>
      </c>
      <c r="B14" s="237" t="s">
        <v>94</v>
      </c>
      <c r="C14" s="282">
        <f>'PL(2_2)'!N23</f>
        <v>1300</v>
      </c>
      <c r="D14" s="327" t="s">
        <v>99</v>
      </c>
      <c r="E14" s="328"/>
      <c r="F14" s="328"/>
      <c r="G14" s="328"/>
      <c r="H14" s="328"/>
      <c r="I14" s="328"/>
      <c r="J14" s="239"/>
    </row>
    <row r="15" spans="1:13" s="135" customFormat="1" ht="57.6" customHeight="1">
      <c r="A15" s="236" t="s">
        <v>117</v>
      </c>
      <c r="B15" s="237" t="s">
        <v>94</v>
      </c>
      <c r="C15" s="282">
        <f>'PL(2_2)'!O23</f>
        <v>1490</v>
      </c>
      <c r="D15" s="327" t="s">
        <v>99</v>
      </c>
      <c r="E15" s="328"/>
      <c r="F15" s="329"/>
      <c r="G15" s="328"/>
      <c r="H15" s="328"/>
      <c r="I15" s="328"/>
      <c r="J15" s="240"/>
    </row>
    <row r="16" spans="1:13" s="135" customFormat="1" ht="53.45" customHeight="1">
      <c r="A16" s="236" t="s">
        <v>119</v>
      </c>
      <c r="B16" s="238" t="s">
        <v>94</v>
      </c>
      <c r="C16" s="282">
        <f>'PL(2_2)'!J23</f>
        <v>136</v>
      </c>
      <c r="D16" s="327" t="s">
        <v>100</v>
      </c>
      <c r="E16" s="282">
        <f>'PL(2_2)'!K23</f>
        <v>136</v>
      </c>
      <c r="F16" s="327" t="s">
        <v>101</v>
      </c>
      <c r="G16" s="282">
        <f>'PL(2_2)'!L23</f>
        <v>142</v>
      </c>
      <c r="H16" s="327" t="s">
        <v>102</v>
      </c>
      <c r="I16" s="339">
        <f>'PL(2_2)'!M23</f>
        <v>2.6259999999999999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ED8D-9451-4C79-80F4-20A12AFFE4C8}">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'PL(2_2)'!C24</f>
        <v>OM4-DE-IS-0004-010</v>
      </c>
      <c r="D13" s="273"/>
      <c r="E13" s="273"/>
      <c r="F13" s="273"/>
      <c r="G13" s="273"/>
      <c r="H13" s="273"/>
      <c r="I13" s="273"/>
      <c r="J13" s="274"/>
      <c r="L13" s="135" t="s">
        <v>146</v>
      </c>
      <c r="M13" s="137"/>
    </row>
    <row r="14" spans="1:13" s="135" customFormat="1" ht="36.6" customHeight="1">
      <c r="A14" s="236" t="s">
        <v>116</v>
      </c>
      <c r="B14" s="237" t="s">
        <v>94</v>
      </c>
      <c r="C14" s="282">
        <f>'PL(2_2)'!N24</f>
        <v>1050</v>
      </c>
      <c r="D14" s="327" t="s">
        <v>99</v>
      </c>
      <c r="E14" s="328"/>
      <c r="F14" s="328"/>
      <c r="G14" s="328"/>
      <c r="H14" s="328"/>
      <c r="I14" s="328"/>
      <c r="J14" s="239"/>
    </row>
    <row r="15" spans="1:13" s="135" customFormat="1" ht="57.6" customHeight="1">
      <c r="A15" s="236" t="s">
        <v>117</v>
      </c>
      <c r="B15" s="237" t="s">
        <v>94</v>
      </c>
      <c r="C15" s="282">
        <f>'PL(2_2)'!O24</f>
        <v>1240</v>
      </c>
      <c r="D15" s="327" t="s">
        <v>99</v>
      </c>
      <c r="E15" s="328"/>
      <c r="F15" s="329"/>
      <c r="G15" s="328"/>
      <c r="H15" s="328"/>
      <c r="I15" s="328"/>
      <c r="J15" s="240"/>
    </row>
    <row r="16" spans="1:13" s="135" customFormat="1" ht="53.45" customHeight="1">
      <c r="A16" s="236" t="s">
        <v>119</v>
      </c>
      <c r="B16" s="238" t="s">
        <v>94</v>
      </c>
      <c r="C16" s="282">
        <f>'PL(2_2)'!J24</f>
        <v>136</v>
      </c>
      <c r="D16" s="327" t="s">
        <v>100</v>
      </c>
      <c r="E16" s="282">
        <f>'PL(2_2)'!K24</f>
        <v>136</v>
      </c>
      <c r="F16" s="327" t="s">
        <v>101</v>
      </c>
      <c r="G16" s="282">
        <f>'PL(2_2)'!L24</f>
        <v>142</v>
      </c>
      <c r="H16" s="327" t="s">
        <v>102</v>
      </c>
      <c r="I16" s="339">
        <f>'PL(2_2)'!M24</f>
        <v>2.6259999999999999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28F4-639B-4AFE-B005-8FF10C0B0E86}">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'PL(2_2)'!C25</f>
        <v>OM4-DE-IS-0004-011</v>
      </c>
      <c r="D13" s="273"/>
      <c r="E13" s="273"/>
      <c r="F13" s="273"/>
      <c r="G13" s="273"/>
      <c r="H13" s="273"/>
      <c r="I13" s="273"/>
      <c r="J13" s="274"/>
      <c r="L13" s="135" t="s">
        <v>146</v>
      </c>
      <c r="M13" s="137"/>
    </row>
    <row r="14" spans="1:13" s="135" customFormat="1" ht="36.6" customHeight="1">
      <c r="A14" s="236" t="s">
        <v>116</v>
      </c>
      <c r="B14" s="237" t="s">
        <v>94</v>
      </c>
      <c r="C14" s="282">
        <f>'PL(2_2)'!N25</f>
        <v>1730</v>
      </c>
      <c r="D14" s="327" t="s">
        <v>99</v>
      </c>
      <c r="E14" s="328"/>
      <c r="F14" s="328"/>
      <c r="G14" s="328"/>
      <c r="H14" s="328"/>
      <c r="I14" s="328"/>
      <c r="J14" s="239"/>
    </row>
    <row r="15" spans="1:13" s="135" customFormat="1" ht="57.6" customHeight="1">
      <c r="A15" s="236" t="s">
        <v>117</v>
      </c>
      <c r="B15" s="237" t="s">
        <v>94</v>
      </c>
      <c r="C15" s="282">
        <f>'PL(2_2)'!O25</f>
        <v>1890</v>
      </c>
      <c r="D15" s="327" t="s">
        <v>99</v>
      </c>
      <c r="E15" s="328"/>
      <c r="F15" s="329"/>
      <c r="G15" s="328"/>
      <c r="H15" s="328"/>
      <c r="I15" s="328"/>
      <c r="J15" s="240"/>
    </row>
    <row r="16" spans="1:13" s="135" customFormat="1" ht="53.45" customHeight="1">
      <c r="A16" s="236" t="s">
        <v>119</v>
      </c>
      <c r="B16" s="238" t="s">
        <v>94</v>
      </c>
      <c r="C16" s="282">
        <f>'PL(2_2)'!J25</f>
        <v>136</v>
      </c>
      <c r="D16" s="327" t="s">
        <v>100</v>
      </c>
      <c r="E16" s="282">
        <f>'PL(2_2)'!K25</f>
        <v>136</v>
      </c>
      <c r="F16" s="327" t="s">
        <v>101</v>
      </c>
      <c r="G16" s="282">
        <f>'PL(2_2)'!L25</f>
        <v>158</v>
      </c>
      <c r="H16" s="327" t="s">
        <v>102</v>
      </c>
      <c r="I16" s="339">
        <f>'PL(2_2)'!M25</f>
        <v>2.9220000000000002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1070-1C2B-4BFC-8540-C31DC960644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'PL(2_2)'!C26</f>
        <v>OM4-DE-IS-0004-012</v>
      </c>
      <c r="D13" s="273"/>
      <c r="E13" s="273"/>
      <c r="F13" s="273"/>
      <c r="G13" s="273"/>
      <c r="H13" s="273"/>
      <c r="I13" s="273"/>
      <c r="J13" s="274"/>
      <c r="L13" s="135" t="s">
        <v>146</v>
      </c>
      <c r="M13" s="137"/>
    </row>
    <row r="14" spans="1:13" s="135" customFormat="1" ht="36.6" customHeight="1">
      <c r="A14" s="236" t="s">
        <v>116</v>
      </c>
      <c r="B14" s="237" t="s">
        <v>94</v>
      </c>
      <c r="C14" s="282">
        <f>'PL(2_2)'!N26</f>
        <v>1780</v>
      </c>
      <c r="D14" s="327" t="s">
        <v>99</v>
      </c>
      <c r="E14" s="328"/>
      <c r="F14" s="328"/>
      <c r="G14" s="328"/>
      <c r="H14" s="328"/>
      <c r="I14" s="328"/>
      <c r="J14" s="239"/>
    </row>
    <row r="15" spans="1:13" s="135" customFormat="1" ht="57.6" customHeight="1">
      <c r="A15" s="236" t="s">
        <v>117</v>
      </c>
      <c r="B15" s="237" t="s">
        <v>94</v>
      </c>
      <c r="C15" s="282">
        <f>'PL(2_2)'!O26</f>
        <v>1940</v>
      </c>
      <c r="D15" s="327" t="s">
        <v>99</v>
      </c>
      <c r="E15" s="328"/>
      <c r="F15" s="329"/>
      <c r="G15" s="328"/>
      <c r="H15" s="328"/>
      <c r="I15" s="328"/>
      <c r="J15" s="240"/>
    </row>
    <row r="16" spans="1:13" s="135" customFormat="1" ht="53.45" customHeight="1">
      <c r="A16" s="236" t="s">
        <v>119</v>
      </c>
      <c r="B16" s="238" t="s">
        <v>94</v>
      </c>
      <c r="C16" s="282">
        <f>'PL(2_2)'!J26</f>
        <v>136</v>
      </c>
      <c r="D16" s="327" t="s">
        <v>100</v>
      </c>
      <c r="E16" s="282">
        <f>'PL(2_2)'!K26</f>
        <v>136</v>
      </c>
      <c r="F16" s="327" t="s">
        <v>101</v>
      </c>
      <c r="G16" s="282">
        <f>'PL(2_2)'!L26</f>
        <v>158</v>
      </c>
      <c r="H16" s="327" t="s">
        <v>102</v>
      </c>
      <c r="I16" s="339">
        <f>'PL(2_2)'!M26</f>
        <v>2.9220000000000002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6BC9-16DC-452D-93FC-3BCB72C89962}">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'PL(2_2)'!C27</f>
        <v>OM4-DE-IS-0004-013</v>
      </c>
      <c r="D13" s="273"/>
      <c r="E13" s="273"/>
      <c r="F13" s="273"/>
      <c r="G13" s="273"/>
      <c r="H13" s="273"/>
      <c r="I13" s="273"/>
      <c r="J13" s="274"/>
      <c r="L13" s="135" t="s">
        <v>146</v>
      </c>
      <c r="M13" s="137"/>
    </row>
    <row r="14" spans="1:13" s="135" customFormat="1" ht="36.6" customHeight="1">
      <c r="A14" s="236" t="s">
        <v>116</v>
      </c>
      <c r="B14" s="237" t="s">
        <v>94</v>
      </c>
      <c r="C14" s="282">
        <f>'PL(2_2)'!N27</f>
        <v>1080</v>
      </c>
      <c r="D14" s="327" t="s">
        <v>99</v>
      </c>
      <c r="E14" s="328"/>
      <c r="F14" s="328"/>
      <c r="G14" s="328"/>
      <c r="H14" s="328"/>
      <c r="I14" s="328"/>
      <c r="J14" s="239"/>
    </row>
    <row r="15" spans="1:13" s="135" customFormat="1" ht="57.6" customHeight="1">
      <c r="A15" s="236" t="s">
        <v>117</v>
      </c>
      <c r="B15" s="237" t="s">
        <v>94</v>
      </c>
      <c r="C15" s="282">
        <f>'PL(2_2)'!O27</f>
        <v>1260</v>
      </c>
      <c r="D15" s="327" t="s">
        <v>99</v>
      </c>
      <c r="E15" s="328"/>
      <c r="F15" s="329"/>
      <c r="G15" s="328"/>
      <c r="H15" s="328"/>
      <c r="I15" s="328"/>
      <c r="J15" s="240"/>
    </row>
    <row r="16" spans="1:13" s="135" customFormat="1" ht="53.45" customHeight="1">
      <c r="A16" s="236" t="s">
        <v>119</v>
      </c>
      <c r="B16" s="238" t="s">
        <v>94</v>
      </c>
      <c r="C16" s="282">
        <f>'PL(2_2)'!J27</f>
        <v>136</v>
      </c>
      <c r="D16" s="327" t="s">
        <v>100</v>
      </c>
      <c r="E16" s="282">
        <f>'PL(2_2)'!K27</f>
        <v>136</v>
      </c>
      <c r="F16" s="327" t="s">
        <v>101</v>
      </c>
      <c r="G16" s="282">
        <f>'PL(2_2)'!L27</f>
        <v>158</v>
      </c>
      <c r="H16" s="327" t="s">
        <v>102</v>
      </c>
      <c r="I16" s="339">
        <f>'PL(2_2)'!M27</f>
        <v>2.9220000000000002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5326-C8AD-4E93-B227-2553D51F0948}">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'PL(2_2)'!C28</f>
        <v>OM4-DE-IS-0004-014</v>
      </c>
      <c r="D13" s="273"/>
      <c r="E13" s="273"/>
      <c r="F13" s="273"/>
      <c r="G13" s="273"/>
      <c r="H13" s="273"/>
      <c r="I13" s="273"/>
      <c r="J13" s="274"/>
      <c r="L13" s="135" t="s">
        <v>146</v>
      </c>
      <c r="M13" s="137"/>
    </row>
    <row r="14" spans="1:13" s="135" customFormat="1" ht="36.6" customHeight="1">
      <c r="A14" s="236" t="s">
        <v>116</v>
      </c>
      <c r="B14" s="237" t="s">
        <v>94</v>
      </c>
      <c r="C14" s="282">
        <f>'PL(2_2)'!N28</f>
        <v>1150</v>
      </c>
      <c r="D14" s="327" t="s">
        <v>99</v>
      </c>
      <c r="E14" s="328"/>
      <c r="F14" s="328"/>
      <c r="G14" s="328"/>
      <c r="H14" s="328"/>
      <c r="I14" s="328"/>
      <c r="J14" s="239"/>
    </row>
    <row r="15" spans="1:13" s="135" customFormat="1" ht="57.6" customHeight="1">
      <c r="A15" s="236" t="s">
        <v>117</v>
      </c>
      <c r="B15" s="237" t="s">
        <v>94</v>
      </c>
      <c r="C15" s="282">
        <f>'PL(2_2)'!O28</f>
        <v>1330</v>
      </c>
      <c r="D15" s="327" t="s">
        <v>99</v>
      </c>
      <c r="E15" s="328"/>
      <c r="F15" s="329"/>
      <c r="G15" s="328"/>
      <c r="H15" s="328"/>
      <c r="I15" s="328"/>
      <c r="J15" s="240"/>
    </row>
    <row r="16" spans="1:13" s="135" customFormat="1" ht="53.45" customHeight="1">
      <c r="A16" s="236" t="s">
        <v>119</v>
      </c>
      <c r="B16" s="238" t="s">
        <v>94</v>
      </c>
      <c r="C16" s="282">
        <f>'PL(2_2)'!J28</f>
        <v>136</v>
      </c>
      <c r="D16" s="327" t="s">
        <v>100</v>
      </c>
      <c r="E16" s="282">
        <f>'PL(2_2)'!K28</f>
        <v>136</v>
      </c>
      <c r="F16" s="327" t="s">
        <v>101</v>
      </c>
      <c r="G16" s="282">
        <f>'PL(2_2)'!L28</f>
        <v>158</v>
      </c>
      <c r="H16" s="327" t="s">
        <v>102</v>
      </c>
      <c r="I16" s="339">
        <f>'PL(2_2)'!M28</f>
        <v>2.9220000000000002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9D30-6338-4CA2-BE7A-AC9A4BE39E9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'PL(2_2)'!C29</f>
        <v>OM4-DE-IS-0004-015</v>
      </c>
      <c r="D13" s="273"/>
      <c r="E13" s="273"/>
      <c r="F13" s="273"/>
      <c r="G13" s="273"/>
      <c r="H13" s="273"/>
      <c r="I13" s="273"/>
      <c r="J13" s="274"/>
      <c r="L13" s="135" t="s">
        <v>146</v>
      </c>
      <c r="M13" s="137"/>
    </row>
    <row r="14" spans="1:13" s="135" customFormat="1" ht="36.6" customHeight="1">
      <c r="A14" s="236" t="s">
        <v>116</v>
      </c>
      <c r="B14" s="237" t="s">
        <v>94</v>
      </c>
      <c r="C14" s="282">
        <f>'PL(2_2)'!N29</f>
        <v>1780</v>
      </c>
      <c r="D14" s="327" t="s">
        <v>99</v>
      </c>
      <c r="E14" s="328"/>
      <c r="F14" s="328"/>
      <c r="G14" s="328"/>
      <c r="H14" s="328"/>
      <c r="I14" s="328"/>
      <c r="J14" s="239"/>
    </row>
    <row r="15" spans="1:13" s="135" customFormat="1" ht="57.6" customHeight="1">
      <c r="A15" s="236" t="s">
        <v>117</v>
      </c>
      <c r="B15" s="237" t="s">
        <v>94</v>
      </c>
      <c r="C15" s="282">
        <f>'PL(2_2)'!O29</f>
        <v>1950</v>
      </c>
      <c r="D15" s="327" t="s">
        <v>99</v>
      </c>
      <c r="E15" s="328"/>
      <c r="F15" s="329"/>
      <c r="G15" s="328"/>
      <c r="H15" s="328"/>
      <c r="I15" s="328"/>
      <c r="J15" s="240"/>
    </row>
    <row r="16" spans="1:13" s="135" customFormat="1" ht="53.45" customHeight="1">
      <c r="A16" s="236" t="s">
        <v>119</v>
      </c>
      <c r="B16" s="238" t="s">
        <v>94</v>
      </c>
      <c r="C16" s="282">
        <f>'PL(2_2)'!J29</f>
        <v>136</v>
      </c>
      <c r="D16" s="327" t="s">
        <v>100</v>
      </c>
      <c r="E16" s="282">
        <f>'PL(2_2)'!K29</f>
        <v>136</v>
      </c>
      <c r="F16" s="327" t="s">
        <v>101</v>
      </c>
      <c r="G16" s="282">
        <f>'PL(2_2)'!L29</f>
        <v>158</v>
      </c>
      <c r="H16" s="327" t="s">
        <v>102</v>
      </c>
      <c r="I16" s="339">
        <f>'PL(2_2)'!M29</f>
        <v>2.9220000000000002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0859-715A-4D14-A82F-473701CBFC3F}">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'PL(2_2)'!C30</f>
        <v>OM4-DE-IS-0004-016</v>
      </c>
      <c r="D13" s="273"/>
      <c r="E13" s="273"/>
      <c r="F13" s="273"/>
      <c r="G13" s="273"/>
      <c r="H13" s="273"/>
      <c r="I13" s="273"/>
      <c r="J13" s="274"/>
      <c r="L13" s="135" t="s">
        <v>146</v>
      </c>
      <c r="M13" s="137"/>
    </row>
    <row r="14" spans="1:13" s="135" customFormat="1" ht="36.6" customHeight="1">
      <c r="A14" s="236" t="s">
        <v>116</v>
      </c>
      <c r="B14" s="237" t="s">
        <v>94</v>
      </c>
      <c r="C14" s="282">
        <f>'PL(2_2)'!N30</f>
        <v>290</v>
      </c>
      <c r="D14" s="327" t="s">
        <v>99</v>
      </c>
      <c r="E14" s="328"/>
      <c r="F14" s="328"/>
      <c r="G14" s="328"/>
      <c r="H14" s="328"/>
      <c r="I14" s="328"/>
      <c r="J14" s="239"/>
    </row>
    <row r="15" spans="1:13" s="135" customFormat="1" ht="57.6" customHeight="1">
      <c r="A15" s="236" t="s">
        <v>117</v>
      </c>
      <c r="B15" s="237" t="s">
        <v>94</v>
      </c>
      <c r="C15" s="282">
        <f>'PL(2_2)'!O30</f>
        <v>400</v>
      </c>
      <c r="D15" s="327" t="s">
        <v>99</v>
      </c>
      <c r="E15" s="328"/>
      <c r="F15" s="329"/>
      <c r="G15" s="328"/>
      <c r="H15" s="328"/>
      <c r="I15" s="328"/>
      <c r="J15" s="240"/>
    </row>
    <row r="16" spans="1:13" s="135" customFormat="1" ht="53.45" customHeight="1">
      <c r="A16" s="236" t="s">
        <v>119</v>
      </c>
      <c r="B16" s="238" t="s">
        <v>94</v>
      </c>
      <c r="C16" s="282">
        <f>'PL(2_2)'!J30</f>
        <v>245</v>
      </c>
      <c r="D16" s="327" t="s">
        <v>100</v>
      </c>
      <c r="E16" s="282">
        <f>'PL(2_2)'!K30</f>
        <v>67</v>
      </c>
      <c r="F16" s="327" t="s">
        <v>101</v>
      </c>
      <c r="G16" s="282">
        <f>'PL(2_2)'!L30</f>
        <v>65</v>
      </c>
      <c r="H16" s="327" t="s">
        <v>102</v>
      </c>
      <c r="I16" s="339">
        <f>'PL(2_2)'!M30</f>
        <v>1.0669999999999999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EA9C-F36B-4916-AA5A-025350B15CF5}">
  <sheetPr>
    <tabColor rgb="FF00B050"/>
    <pageSetUpPr fitToPage="1"/>
  </sheetPr>
  <dimension ref="A1:M39"/>
  <sheetViews>
    <sheetView showGridLines="0" view="pageBreakPreview" topLeftCell="A10" zoomScale="70" zoomScaleNormal="70" zoomScaleSheetLayoutView="70" workbookViewId="0">
      <selection activeCell="C14" sqref="C14"/>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'PL(2_2)'!C31</f>
        <v>OM4-DE-IS-0004-017</v>
      </c>
      <c r="D13" s="273"/>
      <c r="E13" s="273"/>
      <c r="F13" s="273"/>
      <c r="G13" s="273"/>
      <c r="H13" s="273"/>
      <c r="I13" s="273"/>
      <c r="J13" s="274"/>
      <c r="L13" s="135" t="s">
        <v>146</v>
      </c>
      <c r="M13" s="137"/>
    </row>
    <row r="14" spans="1:13" s="135" customFormat="1" ht="36.6" customHeight="1">
      <c r="A14" s="236" t="s">
        <v>116</v>
      </c>
      <c r="B14" s="237" t="s">
        <v>94</v>
      </c>
      <c r="C14" s="282">
        <f>'PL(2_2)'!N31</f>
        <v>700</v>
      </c>
      <c r="D14" s="327" t="s">
        <v>99</v>
      </c>
      <c r="E14" s="328"/>
      <c r="F14" s="328"/>
      <c r="G14" s="328"/>
      <c r="H14" s="328"/>
      <c r="I14" s="328"/>
      <c r="J14" s="239"/>
    </row>
    <row r="15" spans="1:13" s="135" customFormat="1" ht="57.6" customHeight="1">
      <c r="A15" s="236" t="s">
        <v>117</v>
      </c>
      <c r="B15" s="237" t="s">
        <v>94</v>
      </c>
      <c r="C15" s="282">
        <f>'PL(2_2)'!O31</f>
        <v>860</v>
      </c>
      <c r="D15" s="327" t="s">
        <v>99</v>
      </c>
      <c r="E15" s="328"/>
      <c r="F15" s="329"/>
      <c r="G15" s="328"/>
      <c r="H15" s="328"/>
      <c r="I15" s="328"/>
      <c r="J15" s="240"/>
    </row>
    <row r="16" spans="1:13" s="135" customFormat="1" ht="53.45" customHeight="1">
      <c r="A16" s="236" t="s">
        <v>119</v>
      </c>
      <c r="B16" s="238" t="s">
        <v>94</v>
      </c>
      <c r="C16" s="282">
        <f>'PL(2_2)'!J31</f>
        <v>245</v>
      </c>
      <c r="D16" s="327" t="s">
        <v>100</v>
      </c>
      <c r="E16" s="282">
        <f>'PL(2_2)'!K31</f>
        <v>124</v>
      </c>
      <c r="F16" s="327" t="s">
        <v>101</v>
      </c>
      <c r="G16" s="282">
        <f>'PL(2_2)'!L31</f>
        <v>69</v>
      </c>
      <c r="H16" s="327" t="s">
        <v>102</v>
      </c>
      <c r="I16" s="339">
        <f>'PL(2_2)'!M31</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B16A8-86BB-47D2-8920-FFF3F57F60D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'PL(2_2)'!C32</f>
        <v>OM4-DE-IS-0004-018</v>
      </c>
      <c r="D13" s="273"/>
      <c r="E13" s="273"/>
      <c r="F13" s="273"/>
      <c r="G13" s="273"/>
      <c r="H13" s="273"/>
      <c r="I13" s="273"/>
      <c r="J13" s="274"/>
      <c r="L13" s="135" t="s">
        <v>146</v>
      </c>
      <c r="M13" s="137"/>
    </row>
    <row r="14" spans="1:13" s="135" customFormat="1" ht="36.6" customHeight="1">
      <c r="A14" s="236" t="s">
        <v>116</v>
      </c>
      <c r="B14" s="237" t="s">
        <v>94</v>
      </c>
      <c r="C14" s="282">
        <f>'PL(2_2)'!N32</f>
        <v>700</v>
      </c>
      <c r="D14" s="327" t="s">
        <v>99</v>
      </c>
      <c r="E14" s="328"/>
      <c r="F14" s="328"/>
      <c r="G14" s="328"/>
      <c r="H14" s="328"/>
      <c r="I14" s="328"/>
      <c r="J14" s="239"/>
    </row>
    <row r="15" spans="1:13" s="135" customFormat="1" ht="57.6" customHeight="1">
      <c r="A15" s="236" t="s">
        <v>117</v>
      </c>
      <c r="B15" s="237" t="s">
        <v>94</v>
      </c>
      <c r="C15" s="282">
        <f>'PL(2_2)'!O32</f>
        <v>860</v>
      </c>
      <c r="D15" s="327" t="s">
        <v>99</v>
      </c>
      <c r="E15" s="328"/>
      <c r="F15" s="329"/>
      <c r="G15" s="328"/>
      <c r="H15" s="328"/>
      <c r="I15" s="328"/>
      <c r="J15" s="240"/>
    </row>
    <row r="16" spans="1:13" s="135" customFormat="1" ht="53.45" customHeight="1">
      <c r="A16" s="236" t="s">
        <v>119</v>
      </c>
      <c r="B16" s="238" t="s">
        <v>94</v>
      </c>
      <c r="C16" s="282">
        <f>'PL(2_2)'!J32</f>
        <v>245</v>
      </c>
      <c r="D16" s="327" t="s">
        <v>100</v>
      </c>
      <c r="E16" s="282">
        <f>'PL(2_2)'!K32</f>
        <v>124</v>
      </c>
      <c r="F16" s="327" t="s">
        <v>101</v>
      </c>
      <c r="G16" s="282">
        <f>'PL(2_2)'!L32</f>
        <v>69</v>
      </c>
      <c r="H16" s="327" t="s">
        <v>102</v>
      </c>
      <c r="I16" s="339">
        <f>'PL(2_2)'!M32</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069DB-A486-4ABF-B860-D847A19C61B4}">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'PL(2_2)'!C33</f>
        <v>OM4-DE-IS-0004-019</v>
      </c>
      <c r="D13" s="273"/>
      <c r="E13" s="273"/>
      <c r="F13" s="273"/>
      <c r="G13" s="273"/>
      <c r="H13" s="273"/>
      <c r="I13" s="273"/>
      <c r="J13" s="274"/>
      <c r="L13" s="135" t="s">
        <v>146</v>
      </c>
      <c r="M13" s="137"/>
    </row>
    <row r="14" spans="1:13" s="135" customFormat="1" ht="36.6" customHeight="1">
      <c r="A14" s="236" t="s">
        <v>116</v>
      </c>
      <c r="B14" s="237" t="s">
        <v>94</v>
      </c>
      <c r="C14" s="282">
        <f>'PL(2_2)'!N33</f>
        <v>700</v>
      </c>
      <c r="D14" s="327" t="s">
        <v>99</v>
      </c>
      <c r="E14" s="328"/>
      <c r="F14" s="328"/>
      <c r="G14" s="328"/>
      <c r="H14" s="328"/>
      <c r="I14" s="328"/>
      <c r="J14" s="239"/>
    </row>
    <row r="15" spans="1:13" s="135" customFormat="1" ht="57.6" customHeight="1">
      <c r="A15" s="236" t="s">
        <v>117</v>
      </c>
      <c r="B15" s="237" t="s">
        <v>94</v>
      </c>
      <c r="C15" s="282">
        <f>'PL(2_2)'!O33</f>
        <v>860</v>
      </c>
      <c r="D15" s="327" t="s">
        <v>99</v>
      </c>
      <c r="E15" s="328"/>
      <c r="F15" s="329"/>
      <c r="G15" s="328"/>
      <c r="H15" s="328"/>
      <c r="I15" s="328"/>
      <c r="J15" s="240"/>
    </row>
    <row r="16" spans="1:13" s="135" customFormat="1" ht="53.45" customHeight="1">
      <c r="A16" s="236" t="s">
        <v>119</v>
      </c>
      <c r="B16" s="238" t="s">
        <v>94</v>
      </c>
      <c r="C16" s="282">
        <f>'PL(2_2)'!J33</f>
        <v>245</v>
      </c>
      <c r="D16" s="327" t="s">
        <v>100</v>
      </c>
      <c r="E16" s="282">
        <f>'PL(2_2)'!K33</f>
        <v>124</v>
      </c>
      <c r="F16" s="327" t="s">
        <v>101</v>
      </c>
      <c r="G16" s="282">
        <f>'PL(2_2)'!L33</f>
        <v>69</v>
      </c>
      <c r="H16" s="327" t="s">
        <v>102</v>
      </c>
      <c r="I16" s="339">
        <f>'PL(2_2)'!M33</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6378-D2D7-4743-823E-8A94F5EE9FEE}">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'PL(2_2)'!C34</f>
        <v>OM4-DE-IS-0004-020</v>
      </c>
      <c r="D13" s="273"/>
      <c r="E13" s="273"/>
      <c r="F13" s="273"/>
      <c r="G13" s="273"/>
      <c r="H13" s="273"/>
      <c r="I13" s="273"/>
      <c r="J13" s="274"/>
      <c r="L13" s="135" t="s">
        <v>146</v>
      </c>
      <c r="M13" s="137"/>
    </row>
    <row r="14" spans="1:13" s="135" customFormat="1" ht="36.6" customHeight="1">
      <c r="A14" s="236" t="s">
        <v>116</v>
      </c>
      <c r="B14" s="237" t="s">
        <v>94</v>
      </c>
      <c r="C14" s="282">
        <f>'PL(2_2)'!N34</f>
        <v>700</v>
      </c>
      <c r="D14" s="327" t="s">
        <v>99</v>
      </c>
      <c r="E14" s="328"/>
      <c r="F14" s="328"/>
      <c r="G14" s="328"/>
      <c r="H14" s="328"/>
      <c r="I14" s="328"/>
      <c r="J14" s="239"/>
    </row>
    <row r="15" spans="1:13" s="135" customFormat="1" ht="57.6" customHeight="1">
      <c r="A15" s="236" t="s">
        <v>117</v>
      </c>
      <c r="B15" s="237" t="s">
        <v>94</v>
      </c>
      <c r="C15" s="282">
        <f>'PL(2_2)'!O34</f>
        <v>860</v>
      </c>
      <c r="D15" s="327" t="s">
        <v>99</v>
      </c>
      <c r="E15" s="328"/>
      <c r="F15" s="329"/>
      <c r="G15" s="328"/>
      <c r="H15" s="328"/>
      <c r="I15" s="328"/>
      <c r="J15" s="240"/>
    </row>
    <row r="16" spans="1:13" s="135" customFormat="1" ht="53.45" customHeight="1">
      <c r="A16" s="236" t="s">
        <v>119</v>
      </c>
      <c r="B16" s="238" t="s">
        <v>94</v>
      </c>
      <c r="C16" s="282">
        <f>'PL(2_2)'!J34</f>
        <v>245</v>
      </c>
      <c r="D16" s="327" t="s">
        <v>100</v>
      </c>
      <c r="E16" s="282">
        <f>'PL(2_2)'!K34</f>
        <v>124</v>
      </c>
      <c r="F16" s="327" t="s">
        <v>101</v>
      </c>
      <c r="G16" s="282">
        <f>'PL(2_2)'!L34</f>
        <v>69</v>
      </c>
      <c r="H16" s="327" t="s">
        <v>102</v>
      </c>
      <c r="I16" s="339">
        <f>'PL(2_2)'!M34</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5A0F-423F-43C4-9615-32E9C0A0D038}">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'PL(2_2)'!C35</f>
        <v>OM4-DE-IS-0004-021</v>
      </c>
      <c r="D13" s="273"/>
      <c r="E13" s="273"/>
      <c r="F13" s="273"/>
      <c r="G13" s="273"/>
      <c r="H13" s="273"/>
      <c r="I13" s="273"/>
      <c r="J13" s="274"/>
      <c r="L13" s="135" t="s">
        <v>146</v>
      </c>
      <c r="M13" s="137"/>
    </row>
    <row r="14" spans="1:13" s="135" customFormat="1" ht="36.6" customHeight="1">
      <c r="A14" s="236" t="s">
        <v>116</v>
      </c>
      <c r="B14" s="237" t="s">
        <v>94</v>
      </c>
      <c r="C14" s="282">
        <f>'PL(2_2)'!N35</f>
        <v>700</v>
      </c>
      <c r="D14" s="327" t="s">
        <v>99</v>
      </c>
      <c r="E14" s="328"/>
      <c r="F14" s="328"/>
      <c r="G14" s="328"/>
      <c r="H14" s="328"/>
      <c r="I14" s="328"/>
      <c r="J14" s="239"/>
    </row>
    <row r="15" spans="1:13" s="135" customFormat="1" ht="57.6" customHeight="1">
      <c r="A15" s="236" t="s">
        <v>117</v>
      </c>
      <c r="B15" s="237" t="s">
        <v>94</v>
      </c>
      <c r="C15" s="282">
        <f>'PL(2_2)'!O35</f>
        <v>860</v>
      </c>
      <c r="D15" s="327" t="s">
        <v>99</v>
      </c>
      <c r="E15" s="328"/>
      <c r="F15" s="329"/>
      <c r="G15" s="328"/>
      <c r="H15" s="328"/>
      <c r="I15" s="328"/>
      <c r="J15" s="240"/>
    </row>
    <row r="16" spans="1:13" s="135" customFormat="1" ht="53.45" customHeight="1">
      <c r="A16" s="236" t="s">
        <v>119</v>
      </c>
      <c r="B16" s="238" t="s">
        <v>94</v>
      </c>
      <c r="C16" s="282">
        <f>'PL(2_2)'!J35</f>
        <v>245</v>
      </c>
      <c r="D16" s="327" t="s">
        <v>100</v>
      </c>
      <c r="E16" s="282">
        <f>'PL(2_2)'!K35</f>
        <v>124</v>
      </c>
      <c r="F16" s="327" t="s">
        <v>101</v>
      </c>
      <c r="G16" s="282">
        <f>'PL(2_2)'!L35</f>
        <v>69</v>
      </c>
      <c r="H16" s="327" t="s">
        <v>102</v>
      </c>
      <c r="I16" s="339">
        <f>'PL(2_2)'!M35</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473B-4F95-4576-931E-95C75D32C9C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'PL(2_2)'!C36</f>
        <v>OM4-DE-IS-0004-022</v>
      </c>
      <c r="D13" s="273"/>
      <c r="E13" s="273"/>
      <c r="F13" s="273"/>
      <c r="G13" s="273"/>
      <c r="H13" s="273"/>
      <c r="I13" s="273"/>
      <c r="J13" s="274"/>
      <c r="L13" s="135" t="s">
        <v>146</v>
      </c>
      <c r="M13" s="137"/>
    </row>
    <row r="14" spans="1:13" s="135" customFormat="1" ht="36.6" customHeight="1">
      <c r="A14" s="236" t="s">
        <v>116</v>
      </c>
      <c r="B14" s="237" t="s">
        <v>94</v>
      </c>
      <c r="C14" s="282">
        <f>'PL(2_2)'!N36</f>
        <v>700</v>
      </c>
      <c r="D14" s="327" t="s">
        <v>99</v>
      </c>
      <c r="E14" s="328"/>
      <c r="F14" s="328"/>
      <c r="G14" s="328"/>
      <c r="H14" s="328"/>
      <c r="I14" s="328"/>
      <c r="J14" s="239"/>
    </row>
    <row r="15" spans="1:13" s="135" customFormat="1" ht="57.6" customHeight="1">
      <c r="A15" s="236" t="s">
        <v>117</v>
      </c>
      <c r="B15" s="237" t="s">
        <v>94</v>
      </c>
      <c r="C15" s="282">
        <f>'PL(2_2)'!O36</f>
        <v>860</v>
      </c>
      <c r="D15" s="327" t="s">
        <v>99</v>
      </c>
      <c r="E15" s="328"/>
      <c r="F15" s="329"/>
      <c r="G15" s="328"/>
      <c r="H15" s="328"/>
      <c r="I15" s="328"/>
      <c r="J15" s="240"/>
    </row>
    <row r="16" spans="1:13" s="135" customFormat="1" ht="53.45" customHeight="1">
      <c r="A16" s="236" t="s">
        <v>119</v>
      </c>
      <c r="B16" s="238" t="s">
        <v>94</v>
      </c>
      <c r="C16" s="282">
        <f>'PL(2_2)'!J36</f>
        <v>245</v>
      </c>
      <c r="D16" s="327" t="s">
        <v>100</v>
      </c>
      <c r="E16" s="282">
        <f>'PL(2_2)'!K36</f>
        <v>124</v>
      </c>
      <c r="F16" s="327" t="s">
        <v>101</v>
      </c>
      <c r="G16" s="282">
        <f>'PL(2_2)'!L36</f>
        <v>69</v>
      </c>
      <c r="H16" s="327" t="s">
        <v>102</v>
      </c>
      <c r="I16" s="339">
        <f>'PL(2_2)'!M36</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D3B32-A10B-4640-BAF5-48B977E096C7}">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'PL(2_2)'!C37</f>
        <v>OM4-DE-IS-0004-023</v>
      </c>
      <c r="D13" s="273"/>
      <c r="E13" s="273"/>
      <c r="F13" s="273"/>
      <c r="G13" s="273"/>
      <c r="H13" s="273"/>
      <c r="I13" s="273"/>
      <c r="J13" s="274"/>
      <c r="L13" s="135" t="s">
        <v>146</v>
      </c>
      <c r="M13" s="137"/>
    </row>
    <row r="14" spans="1:13" s="135" customFormat="1" ht="36.6" customHeight="1">
      <c r="A14" s="236" t="s">
        <v>116</v>
      </c>
      <c r="B14" s="237" t="s">
        <v>94</v>
      </c>
      <c r="C14" s="282">
        <f>'PL(2_2)'!N37</f>
        <v>700</v>
      </c>
      <c r="D14" s="327" t="s">
        <v>99</v>
      </c>
      <c r="E14" s="328"/>
      <c r="F14" s="328"/>
      <c r="G14" s="328"/>
      <c r="H14" s="328"/>
      <c r="I14" s="328"/>
      <c r="J14" s="239"/>
    </row>
    <row r="15" spans="1:13" s="135" customFormat="1" ht="57.6" customHeight="1">
      <c r="A15" s="236" t="s">
        <v>117</v>
      </c>
      <c r="B15" s="237" t="s">
        <v>94</v>
      </c>
      <c r="C15" s="282">
        <f>'PL(2_2)'!O37</f>
        <v>860</v>
      </c>
      <c r="D15" s="327" t="s">
        <v>99</v>
      </c>
      <c r="E15" s="328"/>
      <c r="F15" s="329"/>
      <c r="G15" s="328"/>
      <c r="H15" s="328"/>
      <c r="I15" s="328"/>
      <c r="J15" s="240"/>
    </row>
    <row r="16" spans="1:13" s="135" customFormat="1" ht="53.45" customHeight="1">
      <c r="A16" s="236" t="s">
        <v>119</v>
      </c>
      <c r="B16" s="238" t="s">
        <v>94</v>
      </c>
      <c r="C16" s="282">
        <f>'PL(2_2)'!J37</f>
        <v>245</v>
      </c>
      <c r="D16" s="327" t="s">
        <v>100</v>
      </c>
      <c r="E16" s="282">
        <f>'PL(2_2)'!K37</f>
        <v>124</v>
      </c>
      <c r="F16" s="327" t="s">
        <v>101</v>
      </c>
      <c r="G16" s="282">
        <f>'PL(2_2)'!L37</f>
        <v>69</v>
      </c>
      <c r="H16" s="327" t="s">
        <v>102</v>
      </c>
      <c r="I16" s="339">
        <f>'PL(2_2)'!M37</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7160-4DBA-46BF-9310-C5BFE1DD0197}">
  <sheetPr>
    <tabColor rgb="FF00B050"/>
    <pageSetUpPr fitToPage="1"/>
  </sheetPr>
  <dimension ref="A1:M39"/>
  <sheetViews>
    <sheetView showGridLines="0" view="pageBreakPreview" topLeftCell="A10"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'PL(2_2)'!C38</f>
        <v>OM4-DE-IS-0004-024</v>
      </c>
      <c r="D13" s="273"/>
      <c r="E13" s="273"/>
      <c r="F13" s="273"/>
      <c r="G13" s="273"/>
      <c r="H13" s="273"/>
      <c r="I13" s="273"/>
      <c r="J13" s="274"/>
      <c r="L13" s="135" t="s">
        <v>146</v>
      </c>
      <c r="M13" s="137"/>
    </row>
    <row r="14" spans="1:13" s="135" customFormat="1" ht="36.6" customHeight="1">
      <c r="A14" s="236" t="s">
        <v>116</v>
      </c>
      <c r="B14" s="237" t="s">
        <v>94</v>
      </c>
      <c r="C14" s="282">
        <f>'PL(2_2)'!N38</f>
        <v>700</v>
      </c>
      <c r="D14" s="327" t="s">
        <v>99</v>
      </c>
      <c r="E14" s="328"/>
      <c r="F14" s="328"/>
      <c r="G14" s="328"/>
      <c r="H14" s="328"/>
      <c r="I14" s="328"/>
      <c r="J14" s="239"/>
    </row>
    <row r="15" spans="1:13" s="135" customFormat="1" ht="57.6" customHeight="1">
      <c r="A15" s="236" t="s">
        <v>117</v>
      </c>
      <c r="B15" s="237" t="s">
        <v>94</v>
      </c>
      <c r="C15" s="282">
        <f>'PL(2_2)'!O38</f>
        <v>860</v>
      </c>
      <c r="D15" s="327" t="s">
        <v>99</v>
      </c>
      <c r="E15" s="328"/>
      <c r="F15" s="329"/>
      <c r="G15" s="328"/>
      <c r="H15" s="328"/>
      <c r="I15" s="328"/>
      <c r="J15" s="240"/>
    </row>
    <row r="16" spans="1:13" s="135" customFormat="1" ht="53.45" customHeight="1">
      <c r="A16" s="236" t="s">
        <v>119</v>
      </c>
      <c r="B16" s="238" t="s">
        <v>94</v>
      </c>
      <c r="C16" s="282">
        <f>'PL(2_2)'!J38</f>
        <v>245</v>
      </c>
      <c r="D16" s="327" t="s">
        <v>100</v>
      </c>
      <c r="E16" s="282">
        <f>'PL(2_2)'!K38</f>
        <v>124</v>
      </c>
      <c r="F16" s="327" t="s">
        <v>101</v>
      </c>
      <c r="G16" s="282">
        <f>'PL(2_2)'!L38</f>
        <v>69</v>
      </c>
      <c r="H16" s="327" t="s">
        <v>102</v>
      </c>
      <c r="I16" s="339">
        <f>'PL(2_2)'!M38</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DD16-2211-4D59-89B5-3B2F0ECF6B6B}">
  <sheetPr>
    <tabColor rgb="FF00B050"/>
    <pageSetUpPr fitToPage="1"/>
  </sheetPr>
  <dimension ref="A1:M39"/>
  <sheetViews>
    <sheetView showGridLines="0" view="pageBreakPreview" topLeftCell="A10"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'PL(2_2)'!C39</f>
        <v>OM4-DE-IS-0004-025</v>
      </c>
      <c r="D13" s="273"/>
      <c r="E13" s="273"/>
      <c r="F13" s="273"/>
      <c r="G13" s="273"/>
      <c r="H13" s="273"/>
      <c r="I13" s="273"/>
      <c r="J13" s="274"/>
      <c r="L13" s="135" t="s">
        <v>146</v>
      </c>
      <c r="M13" s="137"/>
    </row>
    <row r="14" spans="1:13" s="135" customFormat="1" ht="36.6" customHeight="1">
      <c r="A14" s="236" t="s">
        <v>116</v>
      </c>
      <c r="B14" s="237" t="s">
        <v>94</v>
      </c>
      <c r="C14" s="282">
        <f>'PL(2_2)'!N39</f>
        <v>675</v>
      </c>
      <c r="D14" s="327" t="s">
        <v>99</v>
      </c>
      <c r="E14" s="328"/>
      <c r="F14" s="328"/>
      <c r="G14" s="328"/>
      <c r="H14" s="328"/>
      <c r="I14" s="328"/>
      <c r="J14" s="239"/>
    </row>
    <row r="15" spans="1:13" s="135" customFormat="1" ht="57.6" customHeight="1">
      <c r="A15" s="236" t="s">
        <v>117</v>
      </c>
      <c r="B15" s="237" t="s">
        <v>94</v>
      </c>
      <c r="C15" s="282">
        <f>'PL(2_2)'!O39</f>
        <v>835</v>
      </c>
      <c r="D15" s="327" t="s">
        <v>99</v>
      </c>
      <c r="E15" s="328"/>
      <c r="F15" s="329"/>
      <c r="G15" s="328"/>
      <c r="H15" s="328"/>
      <c r="I15" s="328"/>
      <c r="J15" s="240"/>
    </row>
    <row r="16" spans="1:13" s="135" customFormat="1" ht="53.45" customHeight="1">
      <c r="A16" s="236" t="s">
        <v>119</v>
      </c>
      <c r="B16" s="238" t="s">
        <v>94</v>
      </c>
      <c r="C16" s="282">
        <f>'PL(2_2)'!J39</f>
        <v>245</v>
      </c>
      <c r="D16" s="327" t="s">
        <v>100</v>
      </c>
      <c r="E16" s="282">
        <f>'PL(2_2)'!K39</f>
        <v>124</v>
      </c>
      <c r="F16" s="327" t="s">
        <v>101</v>
      </c>
      <c r="G16" s="282">
        <f>'PL(2_2)'!L39</f>
        <v>69</v>
      </c>
      <c r="H16" s="327" t="s">
        <v>102</v>
      </c>
      <c r="I16" s="339">
        <f>'PL(2_2)'!M39</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537F-9411-4A5E-AC4E-22D29E92F58A}">
  <sheetPr>
    <tabColor rgb="FF00B050"/>
    <pageSetUpPr fitToPage="1"/>
  </sheetPr>
  <dimension ref="A1:M39"/>
  <sheetViews>
    <sheetView showGridLines="0" view="pageBreakPreview" topLeftCell="A10"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'PL(2_2)'!C40</f>
        <v>OM4-DE-IS-0004-026</v>
      </c>
      <c r="D13" s="273"/>
      <c r="E13" s="273"/>
      <c r="F13" s="273"/>
      <c r="G13" s="273"/>
      <c r="H13" s="273"/>
      <c r="I13" s="273"/>
      <c r="J13" s="274"/>
      <c r="L13" s="135" t="s">
        <v>146</v>
      </c>
      <c r="M13" s="137"/>
    </row>
    <row r="14" spans="1:13" s="135" customFormat="1" ht="36.6" customHeight="1">
      <c r="A14" s="236" t="s">
        <v>116</v>
      </c>
      <c r="B14" s="237" t="s">
        <v>94</v>
      </c>
      <c r="C14" s="282">
        <f>'PL(2_2)'!N40</f>
        <v>675</v>
      </c>
      <c r="D14" s="327" t="s">
        <v>99</v>
      </c>
      <c r="E14" s="328"/>
      <c r="F14" s="328"/>
      <c r="G14" s="328"/>
      <c r="H14" s="328"/>
      <c r="I14" s="328"/>
      <c r="J14" s="239"/>
    </row>
    <row r="15" spans="1:13" s="135" customFormat="1" ht="57.6" customHeight="1">
      <c r="A15" s="236" t="s">
        <v>117</v>
      </c>
      <c r="B15" s="237" t="s">
        <v>94</v>
      </c>
      <c r="C15" s="282">
        <f>'PL(2_2)'!O40</f>
        <v>835</v>
      </c>
      <c r="D15" s="327" t="s">
        <v>99</v>
      </c>
      <c r="E15" s="328"/>
      <c r="F15" s="329"/>
      <c r="G15" s="328"/>
      <c r="H15" s="328"/>
      <c r="I15" s="328"/>
      <c r="J15" s="240"/>
    </row>
    <row r="16" spans="1:13" s="135" customFormat="1" ht="53.45" customHeight="1">
      <c r="A16" s="236" t="s">
        <v>119</v>
      </c>
      <c r="B16" s="238" t="s">
        <v>94</v>
      </c>
      <c r="C16" s="282">
        <f>'PL(2_2)'!J40</f>
        <v>245</v>
      </c>
      <c r="D16" s="327" t="s">
        <v>100</v>
      </c>
      <c r="E16" s="282">
        <f>'PL(2_2)'!K40</f>
        <v>124</v>
      </c>
      <c r="F16" s="327" t="s">
        <v>101</v>
      </c>
      <c r="G16" s="282">
        <f>'PL(2_2)'!L40</f>
        <v>69</v>
      </c>
      <c r="H16" s="327" t="s">
        <v>102</v>
      </c>
      <c r="I16" s="339">
        <f>'PL(2_2)'!M40</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F0ACF-C369-4CBA-829C-82F29E4E09F1}">
  <sheetPr>
    <tabColor rgb="FF00B050"/>
    <pageSetUpPr fitToPage="1"/>
  </sheetPr>
  <dimension ref="A1:M39"/>
  <sheetViews>
    <sheetView showGridLines="0" view="pageBreakPreview" topLeftCell="A10"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'PL(2_2)'!C41</f>
        <v>OM4-DE-IS-0004-027</v>
      </c>
      <c r="D13" s="273"/>
      <c r="E13" s="273"/>
      <c r="F13" s="273"/>
      <c r="G13" s="273"/>
      <c r="H13" s="273"/>
      <c r="I13" s="273"/>
      <c r="J13" s="274"/>
      <c r="L13" s="135" t="s">
        <v>146</v>
      </c>
      <c r="M13" s="137"/>
    </row>
    <row r="14" spans="1:13" s="135" customFormat="1" ht="36.6" customHeight="1">
      <c r="A14" s="236" t="s">
        <v>116</v>
      </c>
      <c r="B14" s="237" t="s">
        <v>94</v>
      </c>
      <c r="C14" s="282">
        <f>'PL(2_2)'!N41</f>
        <v>675</v>
      </c>
      <c r="D14" s="327" t="s">
        <v>99</v>
      </c>
      <c r="E14" s="328"/>
      <c r="F14" s="328"/>
      <c r="G14" s="328"/>
      <c r="H14" s="328"/>
      <c r="I14" s="328"/>
      <c r="J14" s="239"/>
    </row>
    <row r="15" spans="1:13" s="135" customFormat="1" ht="57.6" customHeight="1">
      <c r="A15" s="236" t="s">
        <v>117</v>
      </c>
      <c r="B15" s="237" t="s">
        <v>94</v>
      </c>
      <c r="C15" s="282">
        <f>'PL(2_2)'!O41</f>
        <v>835</v>
      </c>
      <c r="D15" s="327" t="s">
        <v>99</v>
      </c>
      <c r="E15" s="328"/>
      <c r="F15" s="329"/>
      <c r="G15" s="328"/>
      <c r="H15" s="328"/>
      <c r="I15" s="328"/>
      <c r="J15" s="240"/>
    </row>
    <row r="16" spans="1:13" s="135" customFormat="1" ht="53.45" customHeight="1">
      <c r="A16" s="236" t="s">
        <v>119</v>
      </c>
      <c r="B16" s="238" t="s">
        <v>94</v>
      </c>
      <c r="C16" s="282">
        <f>'PL(2_2)'!J41</f>
        <v>245</v>
      </c>
      <c r="D16" s="327" t="s">
        <v>100</v>
      </c>
      <c r="E16" s="282">
        <f>'PL(2_2)'!K41</f>
        <v>124</v>
      </c>
      <c r="F16" s="327" t="s">
        <v>101</v>
      </c>
      <c r="G16" s="282">
        <f>'PL(2_2)'!L41</f>
        <v>69</v>
      </c>
      <c r="H16" s="327" t="s">
        <v>102</v>
      </c>
      <c r="I16" s="339">
        <f>'PL(2_2)'!M41</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DBCF-76E1-4E87-9B15-9F1B54A1F86E}">
  <sheetPr>
    <tabColor rgb="FF00B050"/>
    <pageSetUpPr fitToPage="1"/>
  </sheetPr>
  <dimension ref="A1:M39"/>
  <sheetViews>
    <sheetView showGridLines="0" view="pageBreakPreview" topLeftCell="A10"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'PL(2_2)'!C42</f>
        <v>OM4-DE-IS-0004-028</v>
      </c>
      <c r="D13" s="273"/>
      <c r="E13" s="273"/>
      <c r="F13" s="273"/>
      <c r="G13" s="273"/>
      <c r="H13" s="273"/>
      <c r="I13" s="273"/>
      <c r="J13" s="274"/>
      <c r="L13" s="135" t="s">
        <v>146</v>
      </c>
      <c r="M13" s="137"/>
    </row>
    <row r="14" spans="1:13" s="135" customFormat="1" ht="36.6" customHeight="1">
      <c r="A14" s="236" t="s">
        <v>116</v>
      </c>
      <c r="B14" s="237" t="s">
        <v>94</v>
      </c>
      <c r="C14" s="282">
        <f>'PL(2_2)'!N42</f>
        <v>675</v>
      </c>
      <c r="D14" s="327" t="s">
        <v>99</v>
      </c>
      <c r="E14" s="328"/>
      <c r="F14" s="328"/>
      <c r="G14" s="328"/>
      <c r="H14" s="328"/>
      <c r="I14" s="328"/>
      <c r="J14" s="239"/>
    </row>
    <row r="15" spans="1:13" s="135" customFormat="1" ht="57.6" customHeight="1">
      <c r="A15" s="236" t="s">
        <v>117</v>
      </c>
      <c r="B15" s="237" t="s">
        <v>94</v>
      </c>
      <c r="C15" s="282">
        <f>'PL(2_2)'!O42</f>
        <v>835</v>
      </c>
      <c r="D15" s="327" t="s">
        <v>99</v>
      </c>
      <c r="E15" s="328"/>
      <c r="F15" s="329"/>
      <c r="G15" s="328"/>
      <c r="H15" s="328"/>
      <c r="I15" s="328"/>
      <c r="J15" s="240"/>
    </row>
    <row r="16" spans="1:13" s="135" customFormat="1" ht="53.45" customHeight="1">
      <c r="A16" s="236" t="s">
        <v>119</v>
      </c>
      <c r="B16" s="238" t="s">
        <v>94</v>
      </c>
      <c r="C16" s="282">
        <f>'PL(2_2)'!J42</f>
        <v>245</v>
      </c>
      <c r="D16" s="327" t="s">
        <v>100</v>
      </c>
      <c r="E16" s="282">
        <f>'PL(2_2)'!K42</f>
        <v>124</v>
      </c>
      <c r="F16" s="327" t="s">
        <v>101</v>
      </c>
      <c r="G16" s="282">
        <f>'PL(2_2)'!L42</f>
        <v>69</v>
      </c>
      <c r="H16" s="327" t="s">
        <v>102</v>
      </c>
      <c r="I16" s="339">
        <f>'PL(2_2)'!M42</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F0A9-3602-4665-BE4F-2C02DB837909}">
  <sheetPr>
    <tabColor rgb="FF00B050"/>
    <pageSetUpPr fitToPage="1"/>
  </sheetPr>
  <dimension ref="A1:M39"/>
  <sheetViews>
    <sheetView showGridLines="0" view="pageBreakPreview" topLeftCell="A7"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'PL(2_2)'!C43</f>
        <v>OM4-DE-IS-0004-029</v>
      </c>
      <c r="D13" s="273"/>
      <c r="E13" s="273"/>
      <c r="F13" s="273"/>
      <c r="G13" s="273"/>
      <c r="H13" s="273"/>
      <c r="I13" s="273"/>
      <c r="J13" s="274"/>
      <c r="L13" s="135" t="s">
        <v>146</v>
      </c>
      <c r="M13" s="137"/>
    </row>
    <row r="14" spans="1:13" s="135" customFormat="1" ht="36.6" customHeight="1">
      <c r="A14" s="236" t="s">
        <v>116</v>
      </c>
      <c r="B14" s="237" t="s">
        <v>94</v>
      </c>
      <c r="C14" s="282">
        <f>'PL(2_2)'!N43</f>
        <v>675</v>
      </c>
      <c r="D14" s="327" t="s">
        <v>99</v>
      </c>
      <c r="E14" s="328"/>
      <c r="F14" s="328"/>
      <c r="G14" s="328"/>
      <c r="H14" s="328"/>
      <c r="I14" s="328"/>
      <c r="J14" s="239"/>
    </row>
    <row r="15" spans="1:13" s="135" customFormat="1" ht="57.6" customHeight="1">
      <c r="A15" s="236" t="s">
        <v>117</v>
      </c>
      <c r="B15" s="237" t="s">
        <v>94</v>
      </c>
      <c r="C15" s="282">
        <f>'PL(2_2)'!O43</f>
        <v>835</v>
      </c>
      <c r="D15" s="327" t="s">
        <v>99</v>
      </c>
      <c r="E15" s="328"/>
      <c r="F15" s="329"/>
      <c r="G15" s="328"/>
      <c r="H15" s="328"/>
      <c r="I15" s="328"/>
      <c r="J15" s="240"/>
    </row>
    <row r="16" spans="1:13" s="135" customFormat="1" ht="53.45" customHeight="1">
      <c r="A16" s="236" t="s">
        <v>119</v>
      </c>
      <c r="B16" s="238" t="s">
        <v>94</v>
      </c>
      <c r="C16" s="282">
        <f>'PL(2_2)'!J43</f>
        <v>245</v>
      </c>
      <c r="D16" s="327" t="s">
        <v>100</v>
      </c>
      <c r="E16" s="282">
        <f>'PL(2_2)'!K43</f>
        <v>124</v>
      </c>
      <c r="F16" s="327" t="s">
        <v>101</v>
      </c>
      <c r="G16" s="282">
        <f>'PL(2_2)'!L43</f>
        <v>69</v>
      </c>
      <c r="H16" s="327" t="s">
        <v>102</v>
      </c>
      <c r="I16" s="339">
        <f>'PL(2_2)'!M43</f>
        <v>2.0960000000000001</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796D-133D-4DF3-B924-C1E58188EFD6}">
  <sheetPr>
    <tabColor rgb="FF00B050"/>
    <pageSetUpPr fitToPage="1"/>
  </sheetPr>
  <dimension ref="A1:M39"/>
  <sheetViews>
    <sheetView showGridLines="0" view="pageBreakPreview" topLeftCell="A7"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'PL(2_2)'!C44</f>
        <v>OM4-DE-IS-0004-030</v>
      </c>
      <c r="D13" s="273"/>
      <c r="E13" s="273"/>
      <c r="F13" s="273"/>
      <c r="G13" s="273"/>
      <c r="H13" s="273"/>
      <c r="I13" s="273"/>
      <c r="J13" s="274"/>
      <c r="L13" s="135" t="s">
        <v>146</v>
      </c>
      <c r="M13" s="137"/>
    </row>
    <row r="14" spans="1:13" s="135" customFormat="1" ht="36.6" customHeight="1">
      <c r="A14" s="236" t="s">
        <v>116</v>
      </c>
      <c r="B14" s="237" t="s">
        <v>94</v>
      </c>
      <c r="C14" s="282">
        <f>'PL(2_2)'!N44</f>
        <v>422</v>
      </c>
      <c r="D14" s="327" t="s">
        <v>99</v>
      </c>
      <c r="E14" s="328"/>
      <c r="F14" s="328"/>
      <c r="G14" s="328"/>
      <c r="H14" s="328"/>
      <c r="I14" s="328"/>
      <c r="J14" s="239"/>
    </row>
    <row r="15" spans="1:13" s="135" customFormat="1" ht="57.6" customHeight="1">
      <c r="A15" s="236" t="s">
        <v>117</v>
      </c>
      <c r="B15" s="237" t="s">
        <v>94</v>
      </c>
      <c r="C15" s="282">
        <f>'PL(2_2)'!O44</f>
        <v>550</v>
      </c>
      <c r="D15" s="327" t="s">
        <v>99</v>
      </c>
      <c r="E15" s="328"/>
      <c r="F15" s="329"/>
      <c r="G15" s="328"/>
      <c r="H15" s="328"/>
      <c r="I15" s="328"/>
      <c r="J15" s="240"/>
    </row>
    <row r="16" spans="1:13" s="135" customFormat="1" ht="53.45" customHeight="1">
      <c r="A16" s="236" t="s">
        <v>119</v>
      </c>
      <c r="B16" s="238" t="s">
        <v>94</v>
      </c>
      <c r="C16" s="282">
        <f>'PL(2_2)'!J44</f>
        <v>140</v>
      </c>
      <c r="D16" s="327" t="s">
        <v>100</v>
      </c>
      <c r="E16" s="282">
        <f>'PL(2_2)'!K44</f>
        <v>140</v>
      </c>
      <c r="F16" s="327" t="s">
        <v>101</v>
      </c>
      <c r="G16" s="282">
        <f>'PL(2_2)'!L44</f>
        <v>113</v>
      </c>
      <c r="H16" s="327" t="s">
        <v>102</v>
      </c>
      <c r="I16" s="339">
        <f>'PL(2_2)'!M44</f>
        <v>2.2149999999999999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AF0D-A992-40F4-8345-C871997ABE3B}">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'PL(2_2)'!C45</f>
        <v>OM4-DE-IS-0004-031</v>
      </c>
      <c r="D13" s="273"/>
      <c r="E13" s="273"/>
      <c r="F13" s="273"/>
      <c r="G13" s="273"/>
      <c r="H13" s="273"/>
      <c r="I13" s="273"/>
      <c r="J13" s="274"/>
      <c r="L13" s="135" t="s">
        <v>146</v>
      </c>
      <c r="M13" s="137"/>
    </row>
    <row r="14" spans="1:13" s="135" customFormat="1" ht="36.6" customHeight="1">
      <c r="A14" s="236" t="s">
        <v>116</v>
      </c>
      <c r="B14" s="237" t="s">
        <v>94</v>
      </c>
      <c r="C14" s="282">
        <f>'PL(2_2)'!N45</f>
        <v>531</v>
      </c>
      <c r="D14" s="327" t="s">
        <v>99</v>
      </c>
      <c r="E14" s="328"/>
      <c r="F14" s="328"/>
      <c r="G14" s="328"/>
      <c r="H14" s="328"/>
      <c r="I14" s="328"/>
      <c r="J14" s="239"/>
    </row>
    <row r="15" spans="1:13" s="135" customFormat="1" ht="57.6" customHeight="1">
      <c r="A15" s="236" t="s">
        <v>117</v>
      </c>
      <c r="B15" s="237" t="s">
        <v>94</v>
      </c>
      <c r="C15" s="282">
        <f>'PL(2_2)'!O45</f>
        <v>660</v>
      </c>
      <c r="D15" s="327" t="s">
        <v>99</v>
      </c>
      <c r="E15" s="328"/>
      <c r="F15" s="329"/>
      <c r="G15" s="328"/>
      <c r="H15" s="328"/>
      <c r="I15" s="328"/>
      <c r="J15" s="240"/>
    </row>
    <row r="16" spans="1:13" s="135" customFormat="1" ht="53.45" customHeight="1">
      <c r="A16" s="236" t="s">
        <v>119</v>
      </c>
      <c r="B16" s="238" t="s">
        <v>94</v>
      </c>
      <c r="C16" s="282">
        <f>'PL(2_2)'!J45</f>
        <v>140</v>
      </c>
      <c r="D16" s="327" t="s">
        <v>100</v>
      </c>
      <c r="E16" s="282">
        <f>'PL(2_2)'!K45</f>
        <v>140</v>
      </c>
      <c r="F16" s="327" t="s">
        <v>101</v>
      </c>
      <c r="G16" s="282">
        <f>'PL(2_2)'!L45</f>
        <v>113</v>
      </c>
      <c r="H16" s="327" t="s">
        <v>102</v>
      </c>
      <c r="I16" s="339">
        <f>'PL(2_2)'!M45</f>
        <v>2.2149999999999999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8008-1C2D-4A2E-835B-97FE3CCC1D02}">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'PL(2_2)'!C46</f>
        <v>OM4-DE-IS-0004-032</v>
      </c>
      <c r="D13" s="273"/>
      <c r="E13" s="273"/>
      <c r="F13" s="273"/>
      <c r="G13" s="273"/>
      <c r="H13" s="273"/>
      <c r="I13" s="273"/>
      <c r="J13" s="274"/>
      <c r="L13" s="135" t="s">
        <v>146</v>
      </c>
      <c r="M13" s="137"/>
    </row>
    <row r="14" spans="1:13" s="135" customFormat="1" ht="36.6" customHeight="1">
      <c r="A14" s="236" t="s">
        <v>116</v>
      </c>
      <c r="B14" s="237" t="s">
        <v>94</v>
      </c>
      <c r="C14" s="282">
        <f>'PL(2_2)'!N46</f>
        <v>209</v>
      </c>
      <c r="D14" s="327" t="s">
        <v>99</v>
      </c>
      <c r="E14" s="328"/>
      <c r="F14" s="328"/>
      <c r="G14" s="328"/>
      <c r="H14" s="328"/>
      <c r="I14" s="328"/>
      <c r="J14" s="239"/>
    </row>
    <row r="15" spans="1:13" s="135" customFormat="1" ht="57.6" customHeight="1">
      <c r="A15" s="236" t="s">
        <v>117</v>
      </c>
      <c r="B15" s="237" t="s">
        <v>94</v>
      </c>
      <c r="C15" s="282">
        <f>'PL(2_2)'!O46</f>
        <v>340</v>
      </c>
      <c r="D15" s="327" t="s">
        <v>99</v>
      </c>
      <c r="E15" s="328"/>
      <c r="F15" s="329"/>
      <c r="G15" s="328"/>
      <c r="H15" s="328"/>
      <c r="I15" s="328"/>
      <c r="J15" s="240"/>
    </row>
    <row r="16" spans="1:13" s="135" customFormat="1" ht="53.45" customHeight="1">
      <c r="A16" s="236" t="s">
        <v>119</v>
      </c>
      <c r="B16" s="238" t="s">
        <v>94</v>
      </c>
      <c r="C16" s="282">
        <f>'PL(2_2)'!J46</f>
        <v>140</v>
      </c>
      <c r="D16" s="327" t="s">
        <v>100</v>
      </c>
      <c r="E16" s="282">
        <f>'PL(2_2)'!K46</f>
        <v>140</v>
      </c>
      <c r="F16" s="327" t="s">
        <v>101</v>
      </c>
      <c r="G16" s="282">
        <f>'PL(2_2)'!L46</f>
        <v>113</v>
      </c>
      <c r="H16" s="327" t="s">
        <v>102</v>
      </c>
      <c r="I16" s="339">
        <f>'PL(2_2)'!M46</f>
        <v>2.2149999999999999</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D1EA-A9F5-4BE9-B08B-7915058278E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15234375" style="133" customWidth="1"/>
    <col min="2" max="2" width="2.5703125" style="134" customWidth="1"/>
    <col min="3" max="3" width="14.1484375" style="133" customWidth="1"/>
    <col min="4" max="4" width="10.9921875" style="133" customWidth="1"/>
    <col min="5" max="5" width="12.16015625" style="133" customWidth="1"/>
    <col min="6" max="6" width="13.4453125" style="133" customWidth="1"/>
    <col min="7" max="9" width="12.1601562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0.95" customHeight="1" thickBot="1">
      <c r="A1" s="518" t="s">
        <v>91</v>
      </c>
      <c r="B1" s="518"/>
      <c r="C1" s="518"/>
      <c r="D1" s="518"/>
      <c r="E1" s="518"/>
      <c r="F1" s="518"/>
      <c r="G1" s="518"/>
      <c r="H1" s="518"/>
      <c r="I1" s="518"/>
      <c r="J1" s="518"/>
    </row>
    <row r="2" spans="1:13" ht="32.450000000000003" customHeight="1">
      <c r="A2" s="519" t="s">
        <v>92</v>
      </c>
      <c r="B2" s="520"/>
      <c r="C2" s="520"/>
      <c r="D2" s="520"/>
      <c r="E2" s="520"/>
      <c r="F2" s="520"/>
      <c r="G2" s="520"/>
      <c r="H2" s="520"/>
      <c r="I2" s="520"/>
      <c r="J2" s="521"/>
    </row>
    <row r="3" spans="1:13" ht="27.95" customHeight="1">
      <c r="A3" s="522" t="s">
        <v>164</v>
      </c>
      <c r="B3" s="523"/>
      <c r="C3" s="523"/>
      <c r="D3" s="523"/>
      <c r="E3" s="523"/>
      <c r="F3" s="523"/>
      <c r="G3" s="523"/>
      <c r="H3" s="523"/>
      <c r="I3" s="523"/>
      <c r="J3" s="524"/>
    </row>
    <row r="4" spans="1:13" s="135" customFormat="1" ht="30" customHeight="1">
      <c r="A4" s="234" t="s">
        <v>93</v>
      </c>
      <c r="B4" s="235" t="s">
        <v>94</v>
      </c>
      <c r="C4" s="525" t="s">
        <v>142</v>
      </c>
      <c r="D4" s="526"/>
      <c r="E4" s="526"/>
      <c r="F4" s="526"/>
      <c r="G4" s="526"/>
      <c r="H4" s="526"/>
      <c r="I4" s="526"/>
      <c r="J4" s="527"/>
    </row>
    <row r="5" spans="1:13" s="135" customFormat="1" ht="55.5" customHeight="1">
      <c r="A5" s="236" t="s">
        <v>95</v>
      </c>
      <c r="B5" s="237" t="s">
        <v>94</v>
      </c>
      <c r="C5" s="516" t="s">
        <v>143</v>
      </c>
      <c r="D5" s="516"/>
      <c r="E5" s="516"/>
      <c r="F5" s="516"/>
      <c r="G5" s="516"/>
      <c r="H5" s="516"/>
      <c r="I5" s="516"/>
      <c r="J5" s="517"/>
    </row>
    <row r="6" spans="1:13" s="135" customFormat="1" ht="101.45" customHeight="1">
      <c r="A6" s="236" t="s">
        <v>113</v>
      </c>
      <c r="B6" s="238" t="s">
        <v>94</v>
      </c>
      <c r="C6" s="516" t="s">
        <v>159</v>
      </c>
      <c r="D6" s="516"/>
      <c r="E6" s="516"/>
      <c r="F6" s="516"/>
      <c r="G6" s="516"/>
      <c r="H6" s="516"/>
      <c r="I6" s="516"/>
      <c r="J6" s="517"/>
    </row>
    <row r="7" spans="1:13" s="135" customFormat="1" ht="243.6" customHeight="1">
      <c r="A7" s="236" t="s">
        <v>96</v>
      </c>
      <c r="B7" s="238" t="s">
        <v>97</v>
      </c>
      <c r="C7" s="516" t="s">
        <v>160</v>
      </c>
      <c r="D7" s="516"/>
      <c r="E7" s="516"/>
      <c r="F7" s="516"/>
      <c r="G7" s="516"/>
      <c r="H7" s="516"/>
      <c r="I7" s="516"/>
      <c r="J7" s="517"/>
    </row>
    <row r="8" spans="1:13" s="135" customFormat="1" ht="27.95" customHeight="1">
      <c r="A8" s="236" t="s">
        <v>114</v>
      </c>
      <c r="B8" s="237" t="s">
        <v>94</v>
      </c>
      <c r="C8" s="516" t="s">
        <v>112</v>
      </c>
      <c r="D8" s="516"/>
      <c r="E8" s="516"/>
      <c r="F8" s="516"/>
      <c r="G8" s="516"/>
      <c r="H8" s="516"/>
      <c r="I8" s="516"/>
      <c r="J8" s="517"/>
    </row>
    <row r="9" spans="1:13" s="135" customFormat="1" ht="33.6" customHeight="1">
      <c r="A9" s="236" t="s">
        <v>98</v>
      </c>
      <c r="B9" s="237" t="s">
        <v>97</v>
      </c>
      <c r="C9" s="516" t="s">
        <v>171</v>
      </c>
      <c r="D9" s="516"/>
      <c r="E9" s="516"/>
      <c r="F9" s="516"/>
      <c r="G9" s="516"/>
      <c r="H9" s="516"/>
      <c r="I9" s="516"/>
      <c r="J9" s="517"/>
    </row>
    <row r="10" spans="1:13" s="135" customFormat="1" ht="29.1" customHeight="1">
      <c r="A10" s="236" t="s">
        <v>115</v>
      </c>
      <c r="B10" s="237" t="s">
        <v>94</v>
      </c>
      <c r="C10" s="516" t="s">
        <v>165</v>
      </c>
      <c r="D10" s="516"/>
      <c r="E10" s="516"/>
      <c r="F10" s="516"/>
      <c r="G10" s="516"/>
      <c r="H10" s="516"/>
      <c r="I10" s="516"/>
      <c r="J10" s="517"/>
    </row>
    <row r="11" spans="1:13" s="135" customFormat="1">
      <c r="A11" s="236" t="s">
        <v>144</v>
      </c>
      <c r="B11" s="237" t="s">
        <v>94</v>
      </c>
      <c r="C11" s="528"/>
      <c r="D11" s="528"/>
      <c r="E11" s="528"/>
      <c r="F11" s="528"/>
      <c r="G11" s="528"/>
      <c r="H11" s="528"/>
      <c r="I11" s="528"/>
      <c r="J11" s="529"/>
      <c r="L11" s="135" t="s">
        <v>145</v>
      </c>
    </row>
    <row r="12" spans="1:13" s="135" customFormat="1" ht="32.1" customHeight="1">
      <c r="A12" s="236" t="s">
        <v>121</v>
      </c>
      <c r="B12" s="238" t="s">
        <v>97</v>
      </c>
      <c r="C12" s="281" t="s">
        <v>216</v>
      </c>
      <c r="D12" s="273"/>
      <c r="E12" s="273"/>
      <c r="F12" s="273"/>
      <c r="G12" s="273"/>
      <c r="H12" s="273"/>
      <c r="I12" s="273"/>
      <c r="J12" s="274"/>
      <c r="M12" s="137"/>
    </row>
    <row r="13" spans="1:13" s="135" customFormat="1" ht="37.5" customHeight="1">
      <c r="A13" s="236" t="s">
        <v>118</v>
      </c>
      <c r="B13" s="238" t="s">
        <v>97</v>
      </c>
      <c r="C13" s="281" t="str">
        <f>'PL(2_2)'!C47</f>
        <v>OM4-DE-IS-0004-033</v>
      </c>
      <c r="D13" s="273"/>
      <c r="E13" s="273"/>
      <c r="F13" s="273"/>
      <c r="G13" s="273"/>
      <c r="H13" s="273"/>
      <c r="I13" s="273"/>
      <c r="J13" s="274"/>
      <c r="L13" s="135" t="s">
        <v>146</v>
      </c>
      <c r="M13" s="137"/>
    </row>
    <row r="14" spans="1:13" s="135" customFormat="1" ht="36.6" customHeight="1">
      <c r="A14" s="236" t="s">
        <v>116</v>
      </c>
      <c r="B14" s="237" t="s">
        <v>94</v>
      </c>
      <c r="C14" s="282">
        <f>'PL(2_2)'!N47</f>
        <v>23</v>
      </c>
      <c r="D14" s="327" t="s">
        <v>99</v>
      </c>
      <c r="E14" s="328"/>
      <c r="F14" s="328"/>
      <c r="G14" s="328"/>
      <c r="H14" s="328"/>
      <c r="I14" s="328"/>
      <c r="J14" s="239"/>
    </row>
    <row r="15" spans="1:13" s="135" customFormat="1" ht="57.6" customHeight="1">
      <c r="A15" s="236" t="s">
        <v>117</v>
      </c>
      <c r="B15" s="237" t="s">
        <v>94</v>
      </c>
      <c r="C15" s="282">
        <f>'PL(2_2)'!O47</f>
        <v>100</v>
      </c>
      <c r="D15" s="327" t="s">
        <v>99</v>
      </c>
      <c r="E15" s="328"/>
      <c r="F15" s="329"/>
      <c r="G15" s="328"/>
      <c r="H15" s="328"/>
      <c r="I15" s="328"/>
      <c r="J15" s="240"/>
    </row>
    <row r="16" spans="1:13" s="135" customFormat="1" ht="53.45" customHeight="1">
      <c r="A16" s="236" t="s">
        <v>119</v>
      </c>
      <c r="B16" s="238" t="s">
        <v>94</v>
      </c>
      <c r="C16" s="282">
        <f>'PL(2_2)'!J47</f>
        <v>287</v>
      </c>
      <c r="D16" s="327" t="s">
        <v>100</v>
      </c>
      <c r="E16" s="282">
        <f>'PL(2_2)'!K47</f>
        <v>40</v>
      </c>
      <c r="F16" s="327" t="s">
        <v>101</v>
      </c>
      <c r="G16" s="282">
        <f>'PL(2_2)'!L47</f>
        <v>46</v>
      </c>
      <c r="H16" s="327" t="s">
        <v>102</v>
      </c>
      <c r="I16" s="339">
        <f>'PL(2_2)'!M47</f>
        <v>0.52800000000000002</v>
      </c>
      <c r="J16" s="241" t="s">
        <v>103</v>
      </c>
    </row>
    <row r="17" spans="1:13" s="135" customFormat="1" ht="30.95" customHeight="1">
      <c r="A17" s="140" t="s">
        <v>110</v>
      </c>
      <c r="B17" s="136" t="s">
        <v>94</v>
      </c>
      <c r="C17" s="185" t="s">
        <v>173</v>
      </c>
      <c r="D17" s="186"/>
      <c r="E17" s="187"/>
      <c r="F17" s="186"/>
      <c r="G17" s="187"/>
      <c r="H17" s="186"/>
      <c r="I17" s="188"/>
      <c r="J17" s="189"/>
    </row>
    <row r="18" spans="1:13" s="135" customFormat="1" ht="48.95" customHeight="1">
      <c r="A18" s="140" t="s">
        <v>120</v>
      </c>
      <c r="B18" s="136" t="s">
        <v>94</v>
      </c>
      <c r="C18" s="185" t="s">
        <v>163</v>
      </c>
      <c r="D18" s="186"/>
      <c r="E18" s="187"/>
      <c r="F18" s="186"/>
      <c r="G18" s="187"/>
      <c r="H18" s="186"/>
      <c r="I18" s="188"/>
      <c r="J18" s="189"/>
    </row>
    <row r="19" spans="1:13" s="135" customFormat="1">
      <c r="A19" s="141" t="s">
        <v>104</v>
      </c>
      <c r="B19" s="136" t="s">
        <v>94</v>
      </c>
      <c r="C19" s="283" t="s">
        <v>184</v>
      </c>
      <c r="D19" s="186"/>
      <c r="E19" s="187"/>
      <c r="F19" s="186"/>
      <c r="G19" s="187"/>
      <c r="H19" s="186"/>
      <c r="I19" s="188"/>
      <c r="J19" s="189"/>
    </row>
    <row r="20" spans="1:13" s="135" customFormat="1" ht="39.950000000000003" customHeight="1">
      <c r="A20" s="142" t="s">
        <v>105</v>
      </c>
      <c r="B20" s="138" t="s">
        <v>94</v>
      </c>
      <c r="C20" s="253" t="s">
        <v>106</v>
      </c>
      <c r="D20" s="182"/>
      <c r="E20" s="182"/>
      <c r="F20" s="182"/>
      <c r="G20" s="182"/>
      <c r="H20" s="182"/>
      <c r="I20" s="182"/>
      <c r="J20" s="183"/>
    </row>
    <row r="21" spans="1:13" ht="120" hidden="1" customHeight="1" thickBot="1"/>
    <row r="22" spans="1:13" ht="54.95" hidden="1" customHeight="1"/>
    <row r="23" spans="1:13" ht="54.95" hidden="1" customHeight="1" thickBot="1"/>
    <row r="24" spans="1:13" ht="39.950000000000003" hidden="1" customHeight="1"/>
    <row r="25" spans="1:13" s="135" customFormat="1" ht="39.950000000000003"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39.950000000000003" hidden="1" customHeight="1">
      <c r="A29" s="133"/>
      <c r="B29" s="134"/>
      <c r="C29" s="133"/>
      <c r="D29" s="133"/>
      <c r="E29" s="133"/>
      <c r="F29" s="133"/>
      <c r="G29" s="133"/>
      <c r="H29" s="133"/>
      <c r="I29" s="133"/>
      <c r="J29" s="133"/>
    </row>
    <row r="30" spans="1:13" s="135" customFormat="1" ht="39.950000000000003"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39.950000000000003" hidden="1" customHeight="1">
      <c r="A32" s="133"/>
      <c r="B32" s="134"/>
      <c r="C32" s="133"/>
      <c r="D32" s="133"/>
      <c r="E32" s="133"/>
      <c r="F32" s="133"/>
      <c r="G32" s="133"/>
      <c r="H32" s="133"/>
      <c r="I32" s="133"/>
      <c r="J32" s="133"/>
      <c r="M32" s="137"/>
    </row>
    <row r="33" spans="1:10" s="135" customFormat="1" ht="39.950000000000003" hidden="1" customHeight="1">
      <c r="A33" s="133"/>
      <c r="B33" s="134"/>
      <c r="C33" s="133"/>
      <c r="D33" s="133"/>
      <c r="E33" s="133"/>
      <c r="F33" s="133"/>
      <c r="G33" s="133"/>
      <c r="H33" s="133"/>
      <c r="I33" s="133"/>
      <c r="J33" s="133"/>
    </row>
    <row r="34" spans="1:10" s="135" customFormat="1" ht="39.950000000000003" hidden="1" customHeight="1">
      <c r="A34" s="133"/>
      <c r="B34" s="134"/>
      <c r="C34" s="133"/>
      <c r="D34" s="133"/>
      <c r="E34" s="133"/>
      <c r="F34" s="133"/>
      <c r="G34" s="133"/>
      <c r="H34" s="133"/>
      <c r="I34" s="133"/>
      <c r="J34" s="133"/>
    </row>
    <row r="35" spans="1:10" s="135" customFormat="1" ht="39.950000000000003" hidden="1" customHeight="1">
      <c r="A35" s="133"/>
      <c r="B35" s="134"/>
      <c r="C35" s="133"/>
      <c r="D35" s="133"/>
      <c r="E35" s="133"/>
      <c r="F35" s="133"/>
      <c r="G35" s="133"/>
      <c r="H35" s="133"/>
      <c r="I35" s="133"/>
      <c r="J35" s="133"/>
    </row>
    <row r="36" spans="1:10" s="135" customFormat="1" ht="39.950000000000003" hidden="1" customHeight="1">
      <c r="A36" s="133"/>
      <c r="B36" s="134"/>
      <c r="C36" s="133"/>
      <c r="D36" s="133"/>
      <c r="E36" s="133"/>
      <c r="F36" s="133"/>
      <c r="G36" s="133"/>
      <c r="H36" s="133"/>
      <c r="I36" s="133"/>
      <c r="J36" s="133"/>
    </row>
    <row r="37" spans="1:10" s="135" customFormat="1" ht="39.950000000000003" hidden="1" customHeight="1">
      <c r="A37" s="133"/>
      <c r="B37" s="134"/>
      <c r="C37" s="133"/>
      <c r="D37" s="133"/>
      <c r="E37" s="133"/>
      <c r="F37" s="133"/>
      <c r="G37" s="133"/>
      <c r="H37" s="133"/>
      <c r="I37" s="133"/>
      <c r="J37" s="133"/>
    </row>
    <row r="38" spans="1:10" s="135" customFormat="1" ht="39.950000000000003" hidden="1" customHeight="1">
      <c r="A38" s="133"/>
      <c r="B38" s="134"/>
      <c r="C38" s="133"/>
      <c r="D38" s="133"/>
      <c r="E38" s="133"/>
      <c r="F38" s="133"/>
      <c r="G38" s="133"/>
      <c r="H38" s="133"/>
      <c r="I38" s="133"/>
      <c r="J38" s="133"/>
    </row>
    <row r="39" spans="1:10" s="135" customFormat="1" ht="39.950000000000003"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83"/>
  <sheetViews>
    <sheetView view="pageBreakPreview" topLeftCell="A31" zoomScale="85" zoomScaleNormal="100" zoomScaleSheetLayoutView="85" workbookViewId="0">
      <selection activeCell="D46" sqref="D46"/>
    </sheetView>
  </sheetViews>
  <sheetFormatPr defaultColWidth="8.88671875" defaultRowHeight="14.25"/>
  <cols>
    <col min="1" max="1" width="11.34375" style="57" customWidth="1"/>
    <col min="2" max="2" width="28.65234375" style="57" customWidth="1"/>
    <col min="3" max="3" width="39.05859375" style="64" bestFit="1" customWidth="1"/>
    <col min="4" max="4" width="10.7578125" style="179" customWidth="1"/>
    <col min="5" max="5" width="7.3671875" style="62" customWidth="1"/>
    <col min="6" max="7" width="22.8046875" style="178" customWidth="1"/>
    <col min="8" max="8" width="49.46875" style="57" customWidth="1"/>
    <col min="9" max="10" width="8.88671875" style="64"/>
    <col min="11" max="16384" width="8.88671875" style="57"/>
  </cols>
  <sheetData>
    <row r="1" spans="1:10" s="154" customFormat="1">
      <c r="C1" s="155"/>
      <c r="D1" s="156"/>
      <c r="E1" s="157"/>
      <c r="G1" s="57"/>
      <c r="H1" s="120"/>
      <c r="I1" s="155"/>
      <c r="J1" s="155"/>
    </row>
    <row r="2" spans="1:10" s="154" customFormat="1">
      <c r="C2" s="155"/>
      <c r="D2" s="156"/>
      <c r="E2" s="157"/>
      <c r="G2" s="57"/>
      <c r="H2" s="120"/>
      <c r="I2" s="155"/>
      <c r="J2" s="155"/>
    </row>
    <row r="3" spans="1:10" s="154" customFormat="1">
      <c r="C3" s="155"/>
      <c r="D3" s="156"/>
      <c r="E3" s="157"/>
      <c r="G3" s="57"/>
      <c r="H3" s="120"/>
      <c r="I3" s="155"/>
      <c r="J3" s="155"/>
    </row>
    <row r="4" spans="1:10" s="154" customFormat="1">
      <c r="C4" s="155"/>
      <c r="D4" s="156"/>
      <c r="E4" s="157"/>
      <c r="G4" s="57"/>
      <c r="H4" s="120"/>
      <c r="I4" s="155"/>
      <c r="J4" s="155"/>
    </row>
    <row r="5" spans="1:10" s="154" customFormat="1">
      <c r="C5" s="155"/>
      <c r="D5" s="156"/>
      <c r="E5" s="157"/>
      <c r="G5" s="246"/>
      <c r="H5" s="120"/>
      <c r="I5" s="155"/>
      <c r="J5" s="155"/>
    </row>
    <row r="6" spans="1:10" ht="35.25" customHeight="1">
      <c r="A6" s="391" t="s">
        <v>126</v>
      </c>
      <c r="B6" s="391"/>
      <c r="C6" s="391"/>
      <c r="D6" s="391"/>
      <c r="E6" s="391"/>
      <c r="F6" s="391"/>
      <c r="G6" s="391"/>
      <c r="H6" s="391"/>
    </row>
    <row r="7" spans="1:10" s="110" customFormat="1" ht="20.25" customHeight="1" thickBot="1">
      <c r="A7" s="158" t="s">
        <v>127</v>
      </c>
      <c r="B7" s="247" t="str">
        <f>'Commercial Invoice'!H5</f>
        <v>OM4-DE-IS-0004</v>
      </c>
      <c r="C7" s="159"/>
      <c r="D7" s="160"/>
      <c r="E7" s="109"/>
      <c r="F7" s="161"/>
      <c r="G7" s="161"/>
      <c r="I7" s="159"/>
      <c r="J7" s="159"/>
    </row>
    <row r="8" spans="1:10" s="163" customFormat="1" ht="21.95" customHeight="1">
      <c r="A8" s="531" t="s">
        <v>128</v>
      </c>
      <c r="B8" s="533" t="s">
        <v>129</v>
      </c>
      <c r="C8" s="533" t="s">
        <v>130</v>
      </c>
      <c r="D8" s="535" t="s">
        <v>131</v>
      </c>
      <c r="E8" s="536"/>
      <c r="F8" s="537" t="s">
        <v>132</v>
      </c>
      <c r="G8" s="538"/>
      <c r="H8" s="539" t="s">
        <v>133</v>
      </c>
      <c r="I8" s="162"/>
      <c r="J8" s="162"/>
    </row>
    <row r="9" spans="1:10" s="163" customFormat="1" ht="21.95" customHeight="1">
      <c r="A9" s="532"/>
      <c r="B9" s="534"/>
      <c r="C9" s="534"/>
      <c r="D9" s="164" t="s">
        <v>134</v>
      </c>
      <c r="E9" s="184" t="s">
        <v>135</v>
      </c>
      <c r="F9" s="165" t="s">
        <v>136</v>
      </c>
      <c r="G9" s="165" t="s">
        <v>137</v>
      </c>
      <c r="H9" s="540"/>
      <c r="I9" s="162"/>
      <c r="J9" s="162"/>
    </row>
    <row r="10" spans="1:10" s="163" customFormat="1" ht="21.95" customHeight="1">
      <c r="A10" s="248">
        <v>1</v>
      </c>
      <c r="B10" s="184" t="s">
        <v>178</v>
      </c>
      <c r="C10" s="250" t="str">
        <f>'PL(2_2)'!E15</f>
        <v>EMBEDDED MATERIAL ASS'Y</v>
      </c>
      <c r="D10" s="164">
        <v>1</v>
      </c>
      <c r="E10" s="184" t="s">
        <v>218</v>
      </c>
      <c r="F10" s="298"/>
      <c r="G10" s="298"/>
      <c r="H10" s="291"/>
      <c r="I10" s="162"/>
      <c r="J10" s="162"/>
    </row>
    <row r="11" spans="1:10" s="163" customFormat="1" ht="21.95" customHeight="1">
      <c r="A11" s="248">
        <v>2</v>
      </c>
      <c r="B11" s="249" t="s">
        <v>179</v>
      </c>
      <c r="C11" s="250" t="str">
        <f>'PL(2_2)'!E16</f>
        <v>EMBEDDED HARDWARE</v>
      </c>
      <c r="D11" s="164">
        <v>1</v>
      </c>
      <c r="E11" s="184" t="s">
        <v>218</v>
      </c>
      <c r="F11" s="298"/>
      <c r="G11" s="298"/>
      <c r="H11" s="291"/>
      <c r="I11" s="162"/>
      <c r="J11" s="162"/>
    </row>
    <row r="12" spans="1:10" s="163" customFormat="1" ht="21.95" customHeight="1">
      <c r="A12" s="248">
        <v>3</v>
      </c>
      <c r="B12" s="249" t="s">
        <v>180</v>
      </c>
      <c r="C12" s="250" t="str">
        <f>'PL(2_2)'!E17</f>
        <v>EMBEDDED MATERIAL ASS'Y</v>
      </c>
      <c r="D12" s="164">
        <v>1</v>
      </c>
      <c r="E12" s="184" t="s">
        <v>218</v>
      </c>
      <c r="F12" s="298"/>
      <c r="G12" s="298"/>
      <c r="H12" s="291"/>
      <c r="I12" s="162"/>
      <c r="J12" s="162"/>
    </row>
    <row r="13" spans="1:10" s="163" customFormat="1" ht="21.95" customHeight="1">
      <c r="A13" s="248">
        <v>4</v>
      </c>
      <c r="B13" s="184" t="s">
        <v>181</v>
      </c>
      <c r="C13" s="250" t="str">
        <f>'PL(2_2)'!E18</f>
        <v>EMBEDDED HARDWARE</v>
      </c>
      <c r="D13" s="164">
        <v>1</v>
      </c>
      <c r="E13" s="184" t="s">
        <v>218</v>
      </c>
      <c r="F13" s="298"/>
      <c r="G13" s="298"/>
      <c r="H13" s="291"/>
      <c r="I13" s="162"/>
      <c r="J13" s="162"/>
    </row>
    <row r="14" spans="1:10" s="163" customFormat="1" ht="21.95" customHeight="1">
      <c r="A14" s="248">
        <v>5</v>
      </c>
      <c r="B14" s="249" t="s">
        <v>182</v>
      </c>
      <c r="C14" s="250" t="str">
        <f>'PL(2_2)'!E19</f>
        <v>EMBEDDED HARDWARE</v>
      </c>
      <c r="D14" s="164">
        <v>1</v>
      </c>
      <c r="E14" s="184" t="s">
        <v>218</v>
      </c>
      <c r="F14" s="298"/>
      <c r="G14" s="298"/>
      <c r="H14" s="291"/>
      <c r="I14" s="162"/>
      <c r="J14" s="162"/>
    </row>
    <row r="15" spans="1:10" s="163" customFormat="1" ht="21.95" customHeight="1">
      <c r="A15" s="248">
        <v>6</v>
      </c>
      <c r="B15" s="249" t="s">
        <v>183</v>
      </c>
      <c r="C15" s="250" t="str">
        <f>'PL(2_2)'!E20</f>
        <v>EMBEDDED HARDWARE</v>
      </c>
      <c r="D15" s="164">
        <v>1</v>
      </c>
      <c r="E15" s="184" t="s">
        <v>218</v>
      </c>
      <c r="F15" s="298"/>
      <c r="G15" s="298"/>
      <c r="H15" s="291"/>
      <c r="I15" s="162"/>
      <c r="J15" s="162"/>
    </row>
    <row r="16" spans="1:10" s="163" customFormat="1" ht="21.95" customHeight="1">
      <c r="A16" s="248">
        <v>7</v>
      </c>
      <c r="B16" s="184" t="s">
        <v>187</v>
      </c>
      <c r="C16" s="250" t="str">
        <f>'PL(2_2)'!E21</f>
        <v>EMBEDDED HARDWARE</v>
      </c>
      <c r="D16" s="164">
        <v>1</v>
      </c>
      <c r="E16" s="184" t="s">
        <v>218</v>
      </c>
      <c r="F16" s="298"/>
      <c r="G16" s="298"/>
      <c r="H16" s="291"/>
      <c r="I16" s="162"/>
      <c r="J16" s="162"/>
    </row>
    <row r="17" spans="1:10" s="163" customFormat="1" ht="21.95" customHeight="1">
      <c r="A17" s="248">
        <v>8</v>
      </c>
      <c r="B17" s="249" t="s">
        <v>188</v>
      </c>
      <c r="C17" s="250" t="str">
        <f>'PL(2_2)'!E22</f>
        <v>EMBEDDED HARDWARE</v>
      </c>
      <c r="D17" s="164">
        <v>1</v>
      </c>
      <c r="E17" s="184" t="s">
        <v>218</v>
      </c>
      <c r="F17" s="298"/>
      <c r="G17" s="298"/>
      <c r="H17" s="291"/>
      <c r="I17" s="162"/>
      <c r="J17" s="162"/>
    </row>
    <row r="18" spans="1:10" s="163" customFormat="1" ht="21.95" customHeight="1">
      <c r="A18" s="248">
        <v>9</v>
      </c>
      <c r="B18" s="249" t="s">
        <v>189</v>
      </c>
      <c r="C18" s="250" t="str">
        <f>'PL(2_2)'!E23</f>
        <v>EMBEDDED HARDWARE</v>
      </c>
      <c r="D18" s="164">
        <v>1</v>
      </c>
      <c r="E18" s="184" t="s">
        <v>218</v>
      </c>
      <c r="F18" s="298"/>
      <c r="G18" s="298"/>
      <c r="H18" s="291"/>
      <c r="I18" s="162"/>
      <c r="J18" s="162"/>
    </row>
    <row r="19" spans="1:10" s="163" customFormat="1" ht="21.95" customHeight="1">
      <c r="A19" s="248">
        <v>10</v>
      </c>
      <c r="B19" s="184" t="s">
        <v>190</v>
      </c>
      <c r="C19" s="250" t="str">
        <f>'PL(2_2)'!E24</f>
        <v>EMBEDDED HARDWARE</v>
      </c>
      <c r="D19" s="164">
        <v>1</v>
      </c>
      <c r="E19" s="184" t="s">
        <v>218</v>
      </c>
      <c r="F19" s="298"/>
      <c r="G19" s="298"/>
      <c r="H19" s="291"/>
      <c r="I19" s="162"/>
      <c r="J19" s="162"/>
    </row>
    <row r="20" spans="1:10" s="163" customFormat="1" ht="21.95" customHeight="1">
      <c r="A20" s="248">
        <v>11</v>
      </c>
      <c r="B20" s="249" t="s">
        <v>191</v>
      </c>
      <c r="C20" s="250" t="str">
        <f>'PL(2_2)'!E25</f>
        <v>EMBEDDED MATERIAL ASS'Y</v>
      </c>
      <c r="D20" s="164">
        <v>1</v>
      </c>
      <c r="E20" s="184" t="s">
        <v>218</v>
      </c>
      <c r="F20" s="298"/>
      <c r="G20" s="298"/>
      <c r="H20" s="291"/>
      <c r="I20" s="162"/>
      <c r="J20" s="162"/>
    </row>
    <row r="21" spans="1:10" s="163" customFormat="1" ht="21.95" customHeight="1">
      <c r="A21" s="248">
        <v>12</v>
      </c>
      <c r="B21" s="249" t="s">
        <v>192</v>
      </c>
      <c r="C21" s="250" t="str">
        <f>'PL(2_2)'!E26</f>
        <v>EMBEDDED MATERIAL ASS'Y</v>
      </c>
      <c r="D21" s="164">
        <v>1</v>
      </c>
      <c r="E21" s="184" t="s">
        <v>218</v>
      </c>
      <c r="F21" s="298"/>
      <c r="G21" s="298"/>
      <c r="H21" s="291"/>
      <c r="I21" s="162"/>
      <c r="J21" s="162"/>
    </row>
    <row r="22" spans="1:10" s="163" customFormat="1" ht="21.95" customHeight="1">
      <c r="A22" s="248">
        <v>13</v>
      </c>
      <c r="B22" s="184" t="s">
        <v>193</v>
      </c>
      <c r="C22" s="250" t="str">
        <f>'PL(2_2)'!E27</f>
        <v>EMBEDDED MATERIAL ASS'Y</v>
      </c>
      <c r="D22" s="164">
        <v>1</v>
      </c>
      <c r="E22" s="184" t="s">
        <v>218</v>
      </c>
      <c r="F22" s="298"/>
      <c r="G22" s="298"/>
      <c r="H22" s="291"/>
      <c r="I22" s="162"/>
      <c r="J22" s="162"/>
    </row>
    <row r="23" spans="1:10" s="163" customFormat="1" ht="21.95" customHeight="1">
      <c r="A23" s="248">
        <v>14</v>
      </c>
      <c r="B23" s="249" t="s">
        <v>194</v>
      </c>
      <c r="C23" s="250" t="str">
        <f>'PL(2_2)'!E28</f>
        <v>EMBEDDED MATERIAL ASS'Y</v>
      </c>
      <c r="D23" s="164">
        <v>1</v>
      </c>
      <c r="E23" s="184" t="s">
        <v>218</v>
      </c>
      <c r="F23" s="298"/>
      <c r="G23" s="298"/>
      <c r="H23" s="291"/>
      <c r="I23" s="162"/>
      <c r="J23" s="162"/>
    </row>
    <row r="24" spans="1:10" s="163" customFormat="1" ht="21.95" customHeight="1">
      <c r="A24" s="248">
        <v>15</v>
      </c>
      <c r="B24" s="249" t="s">
        <v>195</v>
      </c>
      <c r="C24" s="250" t="str">
        <f>'PL(2_2)'!E29</f>
        <v>EMBEDDED MATERIAL ASS'Y</v>
      </c>
      <c r="D24" s="164">
        <v>1</v>
      </c>
      <c r="E24" s="184" t="s">
        <v>218</v>
      </c>
      <c r="F24" s="298"/>
      <c r="G24" s="298"/>
      <c r="H24" s="291"/>
      <c r="I24" s="162"/>
      <c r="J24" s="162"/>
    </row>
    <row r="25" spans="1:10" s="163" customFormat="1" ht="21.95" customHeight="1">
      <c r="A25" s="248">
        <v>16</v>
      </c>
      <c r="B25" s="184" t="s">
        <v>196</v>
      </c>
      <c r="C25" s="250" t="str">
        <f>'PL(2_2)'!E30</f>
        <v>EMBEDDED HARDWARE</v>
      </c>
      <c r="D25" s="164">
        <v>1</v>
      </c>
      <c r="E25" s="184" t="s">
        <v>218</v>
      </c>
      <c r="F25" s="298"/>
      <c r="G25" s="298"/>
      <c r="H25" s="291"/>
      <c r="I25" s="162"/>
      <c r="J25" s="162"/>
    </row>
    <row r="26" spans="1:10" s="163" customFormat="1" ht="21.95" customHeight="1">
      <c r="A26" s="248">
        <v>17</v>
      </c>
      <c r="B26" s="249" t="s">
        <v>197</v>
      </c>
      <c r="C26" s="250" t="str">
        <f>'PL(2_2)'!E31</f>
        <v>FOUNDATION BOLT M68X4X2000</v>
      </c>
      <c r="D26" s="164">
        <v>1</v>
      </c>
      <c r="E26" s="184" t="s">
        <v>218</v>
      </c>
      <c r="F26" s="298"/>
      <c r="G26" s="298"/>
      <c r="H26" s="291"/>
      <c r="I26" s="162"/>
      <c r="J26" s="162"/>
    </row>
    <row r="27" spans="1:10" s="163" customFormat="1" ht="21.95" customHeight="1">
      <c r="A27" s="248">
        <v>18</v>
      </c>
      <c r="B27" s="249" t="s">
        <v>198</v>
      </c>
      <c r="C27" s="250" t="str">
        <f>'PL(2_2)'!E32</f>
        <v>FOUNDATION BOLT M68X4X2000</v>
      </c>
      <c r="D27" s="164">
        <v>1</v>
      </c>
      <c r="E27" s="184" t="s">
        <v>218</v>
      </c>
      <c r="F27" s="298"/>
      <c r="G27" s="298"/>
      <c r="H27" s="291"/>
      <c r="I27" s="162"/>
      <c r="J27" s="162"/>
    </row>
    <row r="28" spans="1:10" s="163" customFormat="1" ht="21.95" customHeight="1">
      <c r="A28" s="248">
        <v>19</v>
      </c>
      <c r="B28" s="184" t="s">
        <v>199</v>
      </c>
      <c r="C28" s="250" t="str">
        <f>'PL(2_2)'!E33</f>
        <v>FOUNDATION BOLT M68X4X2000</v>
      </c>
      <c r="D28" s="164">
        <v>1</v>
      </c>
      <c r="E28" s="184" t="s">
        <v>218</v>
      </c>
      <c r="F28" s="298"/>
      <c r="G28" s="298"/>
      <c r="H28" s="291"/>
      <c r="I28" s="162"/>
      <c r="J28" s="162"/>
    </row>
    <row r="29" spans="1:10" s="163" customFormat="1" ht="21.95" customHeight="1">
      <c r="A29" s="248">
        <v>20</v>
      </c>
      <c r="B29" s="249" t="s">
        <v>200</v>
      </c>
      <c r="C29" s="250" t="str">
        <f>'PL(2_2)'!E34</f>
        <v>FOUNDATION BOLT M68X4X2000</v>
      </c>
      <c r="D29" s="164">
        <v>1</v>
      </c>
      <c r="E29" s="184" t="s">
        <v>218</v>
      </c>
      <c r="F29" s="298"/>
      <c r="G29" s="298"/>
      <c r="H29" s="291"/>
      <c r="I29" s="162"/>
      <c r="J29" s="162"/>
    </row>
    <row r="30" spans="1:10" s="163" customFormat="1" ht="21.95" customHeight="1">
      <c r="A30" s="248">
        <v>21</v>
      </c>
      <c r="B30" s="249" t="s">
        <v>201</v>
      </c>
      <c r="C30" s="250" t="str">
        <f>'PL(2_2)'!E35</f>
        <v>FOUNDATION BOLT M68X4X2000</v>
      </c>
      <c r="D30" s="164">
        <v>1</v>
      </c>
      <c r="E30" s="184" t="s">
        <v>218</v>
      </c>
      <c r="F30" s="298"/>
      <c r="G30" s="298"/>
      <c r="H30" s="291"/>
      <c r="I30" s="162"/>
      <c r="J30" s="162"/>
    </row>
    <row r="31" spans="1:10" s="163" customFormat="1" ht="21.95" customHeight="1">
      <c r="A31" s="248">
        <v>22</v>
      </c>
      <c r="B31" s="184" t="s">
        <v>202</v>
      </c>
      <c r="C31" s="250" t="str">
        <f>'PL(2_2)'!E36</f>
        <v>FOUNDATION BOLT M68X4X2000</v>
      </c>
      <c r="D31" s="164">
        <v>1</v>
      </c>
      <c r="E31" s="184" t="s">
        <v>218</v>
      </c>
      <c r="F31" s="298"/>
      <c r="G31" s="298"/>
      <c r="H31" s="291"/>
      <c r="I31" s="162"/>
      <c r="J31" s="162"/>
    </row>
    <row r="32" spans="1:10" s="163" customFormat="1" ht="21.95" customHeight="1">
      <c r="A32" s="248">
        <v>23</v>
      </c>
      <c r="B32" s="249" t="s">
        <v>203</v>
      </c>
      <c r="C32" s="250" t="str">
        <f>'PL(2_2)'!E37</f>
        <v>FOUNDATION BOLT M68X4X2000</v>
      </c>
      <c r="D32" s="164">
        <v>1</v>
      </c>
      <c r="E32" s="184" t="s">
        <v>218</v>
      </c>
      <c r="F32" s="298"/>
      <c r="G32" s="298"/>
      <c r="H32" s="291"/>
      <c r="I32" s="162"/>
      <c r="J32" s="162"/>
    </row>
    <row r="33" spans="1:10" s="163" customFormat="1" ht="21.95" customHeight="1">
      <c r="A33" s="248">
        <v>24</v>
      </c>
      <c r="B33" s="184" t="s">
        <v>204</v>
      </c>
      <c r="C33" s="250" t="str">
        <f>'PL(2_2)'!E38</f>
        <v>FOUNDATION BOLT M68X4X2000</v>
      </c>
      <c r="D33" s="164">
        <v>1</v>
      </c>
      <c r="E33" s="184" t="s">
        <v>218</v>
      </c>
      <c r="F33" s="298"/>
      <c r="G33" s="298"/>
      <c r="H33" s="291"/>
      <c r="I33" s="162"/>
      <c r="J33" s="162"/>
    </row>
    <row r="34" spans="1:10" s="163" customFormat="1" ht="21.95" customHeight="1">
      <c r="A34" s="248">
        <v>25</v>
      </c>
      <c r="B34" s="249" t="s">
        <v>205</v>
      </c>
      <c r="C34" s="250" t="str">
        <f>'PL(2_2)'!E39</f>
        <v>FOUNDATION BOLT M68X4X2000</v>
      </c>
      <c r="D34" s="164">
        <v>1</v>
      </c>
      <c r="E34" s="184" t="s">
        <v>218</v>
      </c>
      <c r="F34" s="298"/>
      <c r="G34" s="298"/>
      <c r="H34" s="291"/>
      <c r="I34" s="162"/>
      <c r="J34" s="162"/>
    </row>
    <row r="35" spans="1:10" s="163" customFormat="1" ht="21.95" customHeight="1">
      <c r="A35" s="248">
        <v>26</v>
      </c>
      <c r="B35" s="249" t="s">
        <v>206</v>
      </c>
      <c r="C35" s="250" t="str">
        <f>'PL(2_2)'!E40</f>
        <v>FOUNDATION BOLT M68X4X2000</v>
      </c>
      <c r="D35" s="164">
        <v>1</v>
      </c>
      <c r="E35" s="184" t="s">
        <v>218</v>
      </c>
      <c r="F35" s="298"/>
      <c r="G35" s="298"/>
      <c r="H35" s="291"/>
      <c r="I35" s="162"/>
      <c r="J35" s="162"/>
    </row>
    <row r="36" spans="1:10" s="163" customFormat="1" ht="21.95" customHeight="1">
      <c r="A36" s="248">
        <v>27</v>
      </c>
      <c r="B36" s="184" t="s">
        <v>207</v>
      </c>
      <c r="C36" s="250" t="str">
        <f>'PL(2_2)'!E41</f>
        <v>FOUNDATION BOLT M68X4X2000</v>
      </c>
      <c r="D36" s="164">
        <v>1</v>
      </c>
      <c r="E36" s="184" t="s">
        <v>218</v>
      </c>
      <c r="F36" s="298"/>
      <c r="G36" s="298"/>
      <c r="H36" s="291"/>
      <c r="I36" s="162"/>
      <c r="J36" s="162"/>
    </row>
    <row r="37" spans="1:10" s="163" customFormat="1" ht="21.95" customHeight="1">
      <c r="A37" s="248">
        <v>28</v>
      </c>
      <c r="B37" s="249" t="s">
        <v>208</v>
      </c>
      <c r="C37" s="250" t="str">
        <f>'PL(2_2)'!E42</f>
        <v>FOUNDATION BOLT M68X4X2000</v>
      </c>
      <c r="D37" s="164">
        <v>1</v>
      </c>
      <c r="E37" s="184" t="s">
        <v>218</v>
      </c>
      <c r="F37" s="298"/>
      <c r="G37" s="298"/>
      <c r="H37" s="291"/>
      <c r="I37" s="162"/>
      <c r="J37" s="162"/>
    </row>
    <row r="38" spans="1:10" s="168" customFormat="1" ht="18">
      <c r="A38" s="248">
        <v>29</v>
      </c>
      <c r="B38" s="249" t="s">
        <v>209</v>
      </c>
      <c r="C38" s="250" t="str">
        <f>'PL(2_2)'!E43</f>
        <v>FOUNDATION BOLT M68X4X2000</v>
      </c>
      <c r="D38" s="164">
        <v>1</v>
      </c>
      <c r="E38" s="184" t="s">
        <v>218</v>
      </c>
      <c r="F38" s="251"/>
      <c r="G38" s="251"/>
      <c r="H38" s="252"/>
      <c r="I38" s="166"/>
      <c r="J38" s="167"/>
    </row>
    <row r="39" spans="1:10" ht="18.75">
      <c r="A39" s="248">
        <v>30</v>
      </c>
      <c r="B39" s="184" t="s">
        <v>210</v>
      </c>
      <c r="C39" s="250" t="str">
        <f>'PL(2_2)'!E44</f>
        <v>FOUNDATION BOLT ASS'Y:M36 X 760</v>
      </c>
      <c r="D39" s="164">
        <v>1</v>
      </c>
      <c r="E39" s="184" t="s">
        <v>218</v>
      </c>
      <c r="F39" s="242"/>
      <c r="G39" s="242"/>
      <c r="H39" s="252"/>
    </row>
    <row r="40" spans="1:10" ht="18.75">
      <c r="A40" s="248">
        <v>31</v>
      </c>
      <c r="B40" s="249" t="s">
        <v>211</v>
      </c>
      <c r="C40" s="250" t="str">
        <f>'PL(2_2)'!E45</f>
        <v>FOUNDATION BOLT M36X700</v>
      </c>
      <c r="D40" s="164">
        <v>1</v>
      </c>
      <c r="E40" s="184" t="s">
        <v>218</v>
      </c>
      <c r="F40" s="243"/>
      <c r="G40" s="243"/>
      <c r="H40" s="252"/>
    </row>
    <row r="41" spans="1:10" ht="18.75">
      <c r="A41" s="248">
        <v>32</v>
      </c>
      <c r="B41" s="184" t="s">
        <v>212</v>
      </c>
      <c r="C41" s="250" t="str">
        <f>'PL(2_2)'!E46</f>
        <v>FOUNDATION BOLT M30X3X630</v>
      </c>
      <c r="D41" s="164">
        <v>1</v>
      </c>
      <c r="E41" s="184" t="s">
        <v>218</v>
      </c>
      <c r="F41" s="243"/>
      <c r="G41" s="243"/>
      <c r="H41" s="252"/>
    </row>
    <row r="42" spans="1:10" ht="18.75">
      <c r="A42" s="248">
        <v>33</v>
      </c>
      <c r="B42" s="249" t="s">
        <v>213</v>
      </c>
      <c r="C42" s="250" t="str">
        <f>'PL(2_2)'!E47</f>
        <v>EMBEDDED HARDWARE</v>
      </c>
      <c r="D42" s="164">
        <v>1</v>
      </c>
      <c r="E42" s="184" t="s">
        <v>218</v>
      </c>
      <c r="F42" s="243"/>
      <c r="G42" s="243"/>
      <c r="H42" s="252"/>
    </row>
    <row r="43" spans="1:10" ht="19.5" thickBot="1">
      <c r="A43" s="248">
        <v>34</v>
      </c>
      <c r="B43" s="249" t="s">
        <v>214</v>
      </c>
      <c r="C43" s="250" t="e">
        <f>'PL(2_2)'!#REF!</f>
        <v>#REF!</v>
      </c>
      <c r="D43" s="164">
        <v>1</v>
      </c>
      <c r="E43" s="184" t="s">
        <v>218</v>
      </c>
      <c r="F43" s="243"/>
      <c r="G43" s="243"/>
      <c r="H43" s="252"/>
    </row>
    <row r="44" spans="1:10" s="169" customFormat="1" ht="29.25" customHeight="1">
      <c r="D44" s="244"/>
      <c r="E44" s="244"/>
      <c r="F44" s="244"/>
      <c r="G44" s="245"/>
      <c r="H44" s="170"/>
      <c r="I44" s="171"/>
      <c r="J44" s="171"/>
    </row>
    <row r="45" spans="1:10" s="154" customFormat="1" ht="12" customHeight="1">
      <c r="B45" s="157"/>
      <c r="D45" s="172"/>
      <c r="E45" s="157"/>
      <c r="F45" s="173"/>
      <c r="G45" s="173"/>
      <c r="H45" s="174"/>
      <c r="I45" s="155"/>
      <c r="J45" s="155"/>
    </row>
    <row r="46" spans="1:10" s="154" customFormat="1" ht="18" customHeight="1">
      <c r="B46" s="157"/>
      <c r="D46" s="172"/>
      <c r="E46" s="157"/>
      <c r="F46" s="173"/>
      <c r="G46" s="173"/>
      <c r="H46" s="174"/>
      <c r="I46" s="155"/>
      <c r="J46" s="155"/>
    </row>
    <row r="47" spans="1:10" s="154" customFormat="1" ht="12" customHeight="1">
      <c r="B47" s="157"/>
      <c r="D47" s="172"/>
      <c r="E47" s="157"/>
      <c r="F47" s="173"/>
      <c r="G47" s="173"/>
      <c r="H47" s="174"/>
      <c r="I47" s="155"/>
      <c r="J47" s="155"/>
    </row>
    <row r="48" spans="1:10" s="154" customFormat="1" ht="12" customHeight="1">
      <c r="B48" s="157"/>
      <c r="D48" s="172"/>
      <c r="E48" s="157"/>
      <c r="F48" s="173"/>
      <c r="G48" s="173"/>
      <c r="H48" s="174"/>
      <c r="I48" s="155"/>
      <c r="J48" s="155"/>
    </row>
    <row r="49" spans="2:10" s="154" customFormat="1" ht="12" customHeight="1">
      <c r="B49" s="157"/>
      <c r="D49" s="172"/>
      <c r="E49" s="157"/>
      <c r="F49" s="173"/>
      <c r="G49" s="173"/>
      <c r="H49" s="174"/>
      <c r="I49" s="155"/>
      <c r="J49" s="155"/>
    </row>
    <row r="50" spans="2:10" s="154" customFormat="1" ht="12" customHeight="1">
      <c r="B50" s="157"/>
      <c r="D50" s="172"/>
      <c r="E50" s="157"/>
      <c r="F50" s="173"/>
      <c r="G50" s="173"/>
      <c r="H50" s="174"/>
      <c r="I50" s="155"/>
      <c r="J50" s="155"/>
    </row>
    <row r="51" spans="2:10" s="154" customFormat="1" ht="12" customHeight="1">
      <c r="B51" s="157"/>
      <c r="D51" s="172"/>
      <c r="E51" s="157"/>
      <c r="F51" s="173"/>
      <c r="G51" s="173"/>
      <c r="H51" s="174"/>
      <c r="I51" s="155"/>
      <c r="J51" s="155"/>
    </row>
    <row r="52" spans="2:10" s="154" customFormat="1" ht="13.5" customHeight="1">
      <c r="B52" s="157"/>
      <c r="D52" s="172"/>
      <c r="E52" s="157"/>
      <c r="F52" s="173"/>
      <c r="G52" s="173"/>
      <c r="H52" s="174"/>
      <c r="I52" s="155"/>
      <c r="J52" s="155"/>
    </row>
    <row r="53" spans="2:10" s="154" customFormat="1" ht="13.5" customHeight="1">
      <c r="B53" s="157"/>
      <c r="D53" s="172"/>
      <c r="E53" s="157"/>
      <c r="F53" s="173"/>
      <c r="G53" s="173"/>
      <c r="H53" s="174"/>
      <c r="I53" s="155"/>
      <c r="J53" s="155"/>
    </row>
    <row r="54" spans="2:10" s="154" customFormat="1" ht="13.5" customHeight="1">
      <c r="B54" s="157"/>
      <c r="D54" s="172"/>
      <c r="E54" s="157"/>
      <c r="F54" s="173"/>
      <c r="G54" s="173"/>
      <c r="H54" s="174"/>
      <c r="I54" s="155"/>
      <c r="J54" s="155"/>
    </row>
    <row r="55" spans="2:10" s="154" customFormat="1" ht="29.25" customHeight="1">
      <c r="B55" s="157"/>
      <c r="D55" s="172"/>
      <c r="E55" s="157"/>
      <c r="F55" s="173"/>
      <c r="G55" s="173"/>
      <c r="H55" s="174"/>
      <c r="I55" s="155"/>
      <c r="J55" s="155"/>
    </row>
    <row r="56" spans="2:10" s="154" customFormat="1" ht="13.5" customHeight="1">
      <c r="B56" s="157"/>
      <c r="D56" s="172"/>
      <c r="E56" s="157"/>
      <c r="F56" s="173"/>
      <c r="G56" s="173"/>
      <c r="H56" s="174"/>
      <c r="I56" s="155"/>
      <c r="J56" s="155"/>
    </row>
    <row r="57" spans="2:10" s="154" customFormat="1" ht="13.5" customHeight="1">
      <c r="B57" s="157"/>
      <c r="D57" s="172"/>
      <c r="E57" s="157"/>
      <c r="F57" s="173"/>
      <c r="G57" s="173"/>
      <c r="H57" s="174"/>
      <c r="I57" s="155"/>
      <c r="J57" s="155"/>
    </row>
    <row r="58" spans="2:10" s="154" customFormat="1" ht="13.5" customHeight="1">
      <c r="B58" s="157"/>
      <c r="D58" s="172"/>
      <c r="E58" s="157"/>
      <c r="F58" s="173"/>
      <c r="G58" s="173"/>
      <c r="H58" s="174"/>
      <c r="I58" s="155"/>
      <c r="J58" s="155"/>
    </row>
    <row r="59" spans="2:10" s="154" customFormat="1" ht="13.5" customHeight="1">
      <c r="B59" s="157"/>
      <c r="D59" s="172"/>
      <c r="E59" s="157"/>
      <c r="F59" s="173"/>
      <c r="G59" s="173"/>
      <c r="H59" s="174"/>
      <c r="I59" s="155"/>
      <c r="J59" s="155"/>
    </row>
    <row r="60" spans="2:10" s="154" customFormat="1" ht="13.5" customHeight="1">
      <c r="B60" s="157"/>
      <c r="D60" s="172"/>
      <c r="E60" s="157"/>
      <c r="F60" s="173"/>
      <c r="G60" s="173"/>
      <c r="H60" s="174"/>
      <c r="I60" s="155"/>
      <c r="J60" s="155"/>
    </row>
    <row r="61" spans="2:10" s="154" customFormat="1" ht="13.5" customHeight="1">
      <c r="B61" s="157"/>
      <c r="D61" s="172"/>
      <c r="E61" s="157"/>
      <c r="F61" s="173"/>
      <c r="G61" s="173"/>
      <c r="H61" s="174"/>
      <c r="I61" s="155"/>
      <c r="J61" s="155"/>
    </row>
    <row r="62" spans="2:10" s="154" customFormat="1" ht="13.5" customHeight="1">
      <c r="B62" s="157"/>
      <c r="D62" s="172"/>
      <c r="E62" s="157"/>
      <c r="F62" s="173"/>
      <c r="G62" s="173"/>
      <c r="H62" s="174"/>
      <c r="I62" s="155"/>
      <c r="J62" s="155"/>
    </row>
    <row r="63" spans="2:10" s="154" customFormat="1" ht="13.5" customHeight="1">
      <c r="B63" s="157"/>
      <c r="D63" s="172"/>
      <c r="E63" s="157"/>
      <c r="F63" s="173"/>
      <c r="G63" s="173"/>
      <c r="H63" s="174"/>
      <c r="I63" s="155"/>
      <c r="J63" s="155"/>
    </row>
    <row r="64" spans="2:10" s="154" customFormat="1" ht="13.5" customHeight="1">
      <c r="B64" s="157"/>
      <c r="D64" s="172"/>
      <c r="E64" s="157"/>
      <c r="F64" s="173"/>
      <c r="G64" s="173"/>
      <c r="H64" s="174"/>
      <c r="I64" s="155"/>
      <c r="J64" s="155"/>
    </row>
    <row r="65" spans="1:18" s="154" customFormat="1" ht="13.5" customHeight="1">
      <c r="B65" s="157"/>
      <c r="D65" s="172"/>
      <c r="E65" s="157"/>
      <c r="F65" s="173"/>
      <c r="G65" s="173"/>
      <c r="H65" s="174"/>
      <c r="I65" s="155"/>
      <c r="J65" s="155"/>
    </row>
    <row r="66" spans="1:18" s="154" customFormat="1" ht="13.5" customHeight="1">
      <c r="B66" s="157"/>
      <c r="D66" s="172"/>
      <c r="E66" s="157"/>
      <c r="F66" s="173"/>
      <c r="G66" s="173"/>
      <c r="H66" s="174"/>
      <c r="I66" s="155"/>
      <c r="J66" s="155"/>
    </row>
    <row r="67" spans="1:18" s="154" customFormat="1" ht="13.5" customHeight="1">
      <c r="B67" s="157"/>
      <c r="D67" s="172"/>
      <c r="E67" s="157"/>
      <c r="F67" s="173"/>
      <c r="G67" s="173"/>
      <c r="H67" s="174"/>
      <c r="I67" s="155"/>
      <c r="J67" s="155"/>
    </row>
    <row r="68" spans="1:18" s="154" customFormat="1" ht="13.5" customHeight="1">
      <c r="B68" s="157"/>
      <c r="D68" s="172"/>
      <c r="E68" s="157"/>
      <c r="F68" s="173"/>
      <c r="G68" s="173"/>
      <c r="H68" s="174"/>
      <c r="I68" s="155"/>
      <c r="J68" s="155"/>
    </row>
    <row r="69" spans="1:18" s="154" customFormat="1" ht="13.5" customHeight="1">
      <c r="B69" s="157"/>
      <c r="D69" s="172"/>
      <c r="E69" s="157"/>
      <c r="F69" s="173"/>
      <c r="G69" s="173"/>
      <c r="H69" s="174"/>
      <c r="I69" s="155"/>
      <c r="J69" s="155"/>
    </row>
    <row r="70" spans="1:18" s="154" customFormat="1" ht="13.5" customHeight="1">
      <c r="B70" s="157"/>
      <c r="D70" s="172"/>
      <c r="E70" s="157"/>
      <c r="F70" s="173"/>
      <c r="G70" s="173"/>
      <c r="H70" s="174"/>
      <c r="I70" s="155"/>
      <c r="J70" s="155"/>
    </row>
    <row r="71" spans="1:18" s="154" customFormat="1" ht="13.5" customHeight="1">
      <c r="B71" s="157"/>
      <c r="D71" s="172"/>
      <c r="E71" s="157"/>
      <c r="F71" s="173"/>
      <c r="G71" s="173"/>
      <c r="H71" s="174"/>
      <c r="I71" s="155"/>
      <c r="J71" s="155"/>
    </row>
    <row r="72" spans="1:18" s="154" customFormat="1" ht="13.5" customHeight="1">
      <c r="B72" s="157"/>
      <c r="D72" s="172"/>
      <c r="E72" s="157"/>
      <c r="F72" s="173"/>
      <c r="G72" s="173"/>
      <c r="H72" s="174"/>
      <c r="I72" s="155"/>
      <c r="J72" s="155"/>
    </row>
    <row r="73" spans="1:18" s="154" customFormat="1" ht="13.5" customHeight="1">
      <c r="B73" s="157"/>
      <c r="D73" s="172"/>
      <c r="E73" s="157"/>
      <c r="F73" s="173"/>
      <c r="G73" s="173"/>
      <c r="H73" s="174"/>
      <c r="I73" s="155"/>
      <c r="J73" s="155"/>
    </row>
    <row r="74" spans="1:18" s="154" customFormat="1" ht="13.5" customHeight="1">
      <c r="B74" s="157"/>
      <c r="D74" s="172"/>
      <c r="E74" s="157"/>
      <c r="F74" s="173"/>
      <c r="G74" s="173"/>
      <c r="H74" s="174"/>
      <c r="I74" s="155"/>
      <c r="J74" s="155"/>
    </row>
    <row r="75" spans="1:18" s="154" customFormat="1" ht="13.5" customHeight="1">
      <c r="B75" s="157"/>
      <c r="D75" s="172"/>
      <c r="E75" s="157"/>
      <c r="F75" s="173"/>
      <c r="G75" s="173"/>
      <c r="H75" s="174"/>
      <c r="I75" s="155"/>
      <c r="J75" s="155"/>
    </row>
    <row r="76" spans="1:18" s="154" customFormat="1" ht="13.5" customHeight="1">
      <c r="B76" s="157"/>
      <c r="D76" s="175"/>
      <c r="E76" s="157"/>
      <c r="F76" s="173"/>
      <c r="G76" s="173"/>
      <c r="H76" s="174"/>
      <c r="I76" s="155"/>
      <c r="J76" s="155"/>
    </row>
    <row r="77" spans="1:18" s="154" customFormat="1" ht="22.5" customHeight="1">
      <c r="B77" s="530"/>
      <c r="C77" s="530"/>
      <c r="D77" s="175"/>
      <c r="E77" s="157"/>
      <c r="F77" s="176"/>
      <c r="G77" s="176"/>
      <c r="H77" s="174"/>
      <c r="I77" s="155"/>
      <c r="J77" s="155"/>
    </row>
    <row r="78" spans="1:18">
      <c r="D78" s="177"/>
    </row>
    <row r="79" spans="1:18">
      <c r="D79" s="177"/>
    </row>
    <row r="80" spans="1:18" s="64" customFormat="1">
      <c r="A80" s="57"/>
      <c r="B80" s="57"/>
      <c r="D80" s="177"/>
      <c r="E80" s="62"/>
      <c r="F80" s="178"/>
      <c r="G80" s="178"/>
      <c r="H80" s="57"/>
      <c r="K80" s="57"/>
      <c r="L80" s="57"/>
      <c r="M80" s="57"/>
      <c r="N80" s="57"/>
      <c r="O80" s="57"/>
      <c r="P80" s="57"/>
      <c r="Q80" s="57"/>
      <c r="R80" s="57"/>
    </row>
    <row r="81" spans="1:18" s="64" customFormat="1">
      <c r="A81" s="57"/>
      <c r="B81" s="57"/>
      <c r="D81" s="177"/>
      <c r="E81" s="62"/>
      <c r="F81" s="178"/>
      <c r="G81" s="178"/>
      <c r="H81" s="57"/>
      <c r="K81" s="57"/>
      <c r="L81" s="57"/>
      <c r="M81" s="57"/>
      <c r="N81" s="57"/>
      <c r="O81" s="57"/>
      <c r="P81" s="57"/>
      <c r="Q81" s="57"/>
      <c r="R81" s="57"/>
    </row>
    <row r="82" spans="1:18" s="64" customFormat="1">
      <c r="A82" s="57"/>
      <c r="B82" s="57"/>
      <c r="D82" s="177"/>
      <c r="E82" s="62"/>
      <c r="F82" s="178"/>
      <c r="G82" s="178"/>
      <c r="H82" s="57"/>
      <c r="K82" s="57"/>
      <c r="L82" s="57"/>
      <c r="M82" s="57"/>
      <c r="N82" s="57"/>
      <c r="O82" s="57"/>
      <c r="P82" s="57"/>
      <c r="Q82" s="57"/>
      <c r="R82" s="57"/>
    </row>
    <row r="83" spans="1:18" s="64" customFormat="1">
      <c r="A83" s="57"/>
      <c r="B83" s="57"/>
      <c r="D83" s="177"/>
      <c r="E83" s="62"/>
      <c r="F83" s="178"/>
      <c r="G83" s="178"/>
      <c r="H83" s="57"/>
      <c r="K83" s="57"/>
      <c r="L83" s="57"/>
      <c r="M83" s="57"/>
      <c r="N83" s="57"/>
      <c r="O83" s="57"/>
      <c r="P83" s="57"/>
      <c r="Q83" s="57"/>
      <c r="R83" s="57"/>
    </row>
  </sheetData>
  <protectedRanges>
    <protectedRange sqref="C10:C43 F38:H43 D44:F44" name="범위1_1"/>
  </protectedRanges>
  <autoFilter ref="A8:H43" xr:uid="{00000000-0009-0000-0000-000007000000}"/>
  <mergeCells count="8">
    <mergeCell ref="B77:C77"/>
    <mergeCell ref="A6:H6"/>
    <mergeCell ref="A8:A9"/>
    <mergeCell ref="B8:B9"/>
    <mergeCell ref="C8:C9"/>
    <mergeCell ref="D8:E8"/>
    <mergeCell ref="F8:G8"/>
    <mergeCell ref="H8:H9"/>
  </mergeCells>
  <phoneticPr fontId="33"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
  <sheetViews>
    <sheetView workbookViewId="0">
      <selection activeCell="K32" sqref="K32"/>
    </sheetView>
  </sheetViews>
  <sheetFormatPr defaultRowHeight="13.5"/>
  <sheetData/>
  <phoneticPr fontId="33" type="noConversion"/>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
  <sheetViews>
    <sheetView workbookViewId="0">
      <selection activeCell="K19" sqref="K19"/>
    </sheetView>
  </sheetViews>
  <sheetFormatPr defaultRowHeight="13.5"/>
  <sheetData/>
  <phoneticPr fontId="33" type="noConversion"/>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I3"/>
  <sheetViews>
    <sheetView workbookViewId="0">
      <selection activeCell="I34" sqref="I34"/>
    </sheetView>
  </sheetViews>
  <sheetFormatPr defaultRowHeight="13.5"/>
  <cols>
    <col min="9" max="9" width="80.80859375" customWidth="1"/>
  </cols>
  <sheetData>
    <row r="3" spans="9:9" ht="57">
      <c r="I3" s="139" t="s">
        <v>109</v>
      </c>
    </row>
  </sheetData>
  <phoneticPr fontId="33" type="noConversion"/>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
  <sheetViews>
    <sheetView workbookViewId="0">
      <selection activeCell="L15" sqref="L15"/>
    </sheetView>
  </sheetViews>
  <sheetFormatPr defaultRowHeight="13.5"/>
  <sheetData>
    <row r="2" ht="24" customHeight="1"/>
  </sheetData>
  <phoneticPr fontId="3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d5cc5e-dfa1-4e82-94a9-1981df698304" xsi:nil="true"/>
    <lcf76f155ced4ddcb4097134ff3c332f xmlns="394f4bda-2b1c-4f7c-8f89-933f198c8d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1DBA561FAA6C9F48918AC7C258C8C719" ma:contentTypeVersion="12" ma:contentTypeDescription="새 문서를 만듭니다." ma:contentTypeScope="" ma:versionID="6981404f9f6e7d5c4470ebbd71762f3a">
  <xsd:schema xmlns:xsd="http://www.w3.org/2001/XMLSchema" xmlns:xs="http://www.w3.org/2001/XMLSchema" xmlns:p="http://schemas.microsoft.com/office/2006/metadata/properties" xmlns:ns2="394f4bda-2b1c-4f7c-8f89-933f198c8d42" xmlns:ns3="a4d5cc5e-dfa1-4e82-94a9-1981df698304" targetNamespace="http://schemas.microsoft.com/office/2006/metadata/properties" ma:root="true" ma:fieldsID="2970cbac16af690ed1cb8133dfe87462" ns2:_="" ns3:_="">
    <xsd:import namespace="394f4bda-2b1c-4f7c-8f89-933f198c8d42"/>
    <xsd:import namespace="a4d5cc5e-dfa1-4e82-94a9-1981df6983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4f4bda-2b1c-4f7c-8f89-933f198c8d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5cc5e-dfa1-4e82-94a9-1981df6983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b0f660-ad80-4b11-98e5-db6d20d88209}" ma:internalName="TaxCatchAll" ma:showField="CatchAllData" ma:web="a4d5cc5e-dfa1-4e82-94a9-1981df6983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6C71D9-1122-41BE-8046-842F0AE68963}">
  <ds:schemaRefs>
    <ds:schemaRef ds:uri="http://schemas.microsoft.com/office/2006/metadata/properties"/>
    <ds:schemaRef ds:uri="http://www.w3.org/2000/xmlns/"/>
    <ds:schemaRef ds:uri="a4d5cc5e-dfa1-4e82-94a9-1981df698304"/>
    <ds:schemaRef ds:uri="http://www.w3.org/2001/XMLSchema-instance"/>
    <ds:schemaRef ds:uri="394f4bda-2b1c-4f7c-8f89-933f198c8d42"/>
    <ds:schemaRef ds:uri="http://schemas.microsoft.com/office/infopath/2007/PartnerControls"/>
  </ds:schemaRefs>
</ds:datastoreItem>
</file>

<file path=customXml/itemProps2.xml><?xml version="1.0" encoding="utf-8"?>
<ds:datastoreItem xmlns:ds="http://schemas.openxmlformats.org/officeDocument/2006/customXml" ds:itemID="{FD118D43-B7CD-45F3-8174-31C6C469D825}">
  <ds:schemaRefs>
    <ds:schemaRef ds:uri="http://schemas.microsoft.com/sharepoint/v3/contenttype/forms"/>
  </ds:schemaRefs>
</ds:datastoreItem>
</file>

<file path=customXml/itemProps3.xml><?xml version="1.0" encoding="utf-8"?>
<ds:datastoreItem xmlns:ds="http://schemas.openxmlformats.org/officeDocument/2006/customXml" ds:itemID="{D1054B1C-BE6D-4E27-BD76-32526A05F4B3}">
  <ds:schemaRefs>
    <ds:schemaRef ds:uri="http://schemas.microsoft.com/office/2006/metadata/contentType"/>
    <ds:schemaRef ds:uri="http://schemas.microsoft.com/office/2006/metadata/properties/metaAttributes"/>
    <ds:schemaRef ds:uri="http://www.w3.org/2000/xmlns/"/>
    <ds:schemaRef ds:uri="http://www.w3.org/2001/XMLSchema"/>
    <ds:schemaRef ds:uri="394f4bda-2b1c-4f7c-8f89-933f198c8d42"/>
    <ds:schemaRef ds:uri="a4d5cc5e-dfa1-4e82-94a9-1981df698304"/>
  </ds:schemaRefs>
</ds:datastoreItem>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45</vt:i4>
      </vt:variant>
      <vt:variant>
        <vt:lpstr>Phạm vi Có tên</vt:lpstr>
      </vt:variant>
      <vt:variant>
        <vt:i4>47</vt:i4>
      </vt:variant>
    </vt:vector>
  </HeadingPairs>
  <TitlesOfParts>
    <vt:vector size="92" baseType="lpstr">
      <vt:lpstr>Break Down CI</vt:lpstr>
      <vt:lpstr>Detailed PL</vt:lpstr>
      <vt:lpstr>PL(2_2)</vt:lpstr>
      <vt:lpstr>Commercial Invoice (Rev1)</vt:lpstr>
      <vt:lpstr>Break Down CI (Rve1)</vt:lpstr>
      <vt:lpstr>Commercial Invoice</vt:lpstr>
      <vt:lpstr>Packing List (1_2)</vt:lpstr>
      <vt:lpstr>SHIPPING MARK(1)</vt:lpstr>
      <vt:lpstr>SHIPPING MARK(2)</vt:lpstr>
      <vt:lpstr>SHIPPING MARK(3)</vt:lpstr>
      <vt:lpstr>SHIPPING MARK(4)</vt:lpstr>
      <vt:lpstr>SHIPPING MARK(5)</vt:lpstr>
      <vt:lpstr>SHIPPING MARK(6)</vt:lpstr>
      <vt:lpstr>SHIPPING MARK(7)</vt:lpstr>
      <vt:lpstr>SHIPPING MARK(8)</vt:lpstr>
      <vt:lpstr>SHIPPING MARK(9)</vt:lpstr>
      <vt:lpstr>SHIPPING MARK(10)</vt:lpstr>
      <vt:lpstr>SHIPPING MARK(11)</vt:lpstr>
      <vt:lpstr>SHIPPING MARK(12)</vt:lpstr>
      <vt:lpstr>SHIPPING MARK(13)</vt:lpstr>
      <vt:lpstr>SHIPPING MARK(14)</vt:lpstr>
      <vt:lpstr>SHIPPING MARK(15)</vt:lpstr>
      <vt:lpstr>SHIPPING MARK(16)</vt:lpstr>
      <vt:lpstr>SHIPPING MARK(17)</vt:lpstr>
      <vt:lpstr>SHIPPING MARK(18)</vt:lpstr>
      <vt:lpstr>SHIPPING MARK(19)</vt:lpstr>
      <vt:lpstr>SHIPPING MARK(20)</vt:lpstr>
      <vt:lpstr>SHIPPING MARK(21)</vt:lpstr>
      <vt:lpstr>SHIPPING MARK(22)</vt:lpstr>
      <vt:lpstr>SHIPPING MARK(23)</vt:lpstr>
      <vt:lpstr>SHIPPING MARK(24)</vt:lpstr>
      <vt:lpstr>SHIPPING MARK(25)</vt:lpstr>
      <vt:lpstr>SHIPPING MARK(26)</vt:lpstr>
      <vt:lpstr>SHIPPING MARK(27)</vt:lpstr>
      <vt:lpstr>SHIPPING MARK(28)</vt:lpstr>
      <vt:lpstr>SHIPPING MARK(29)</vt:lpstr>
      <vt:lpstr>SHIPPING MARK(30)</vt:lpstr>
      <vt:lpstr>SHIPPING MARK(31)</vt:lpstr>
      <vt:lpstr>SHIPPING MARK(32)</vt:lpstr>
      <vt:lpstr>SHIPPING MARK(33)</vt:lpstr>
      <vt:lpstr>Technical Description</vt:lpstr>
      <vt:lpstr>CO</vt:lpstr>
      <vt:lpstr>CQ</vt:lpstr>
      <vt:lpstr>BL</vt:lpstr>
      <vt:lpstr>PSIC</vt:lpstr>
      <vt:lpstr>PSIC!_Hlk215568700</vt:lpstr>
      <vt:lpstr>Break Down CI!Print_Titles</vt:lpstr>
      <vt:lpstr>Break Down CI (Rve1)!Print_Titles</vt:lpstr>
      <vt:lpstr>Detailed PL!Print_Titles</vt:lpstr>
      <vt:lpstr>PL(2_2)!Print_Titles</vt:lpstr>
      <vt:lpstr>Technical Description!Print_Titles</vt:lpstr>
      <vt:lpstr>Break Down CI!Vùng_In</vt:lpstr>
      <vt:lpstr>Break Down CI (Rve1)!Vùng_In</vt:lpstr>
      <vt:lpstr>Commercial Invoice!Vùng_In</vt:lpstr>
      <vt:lpstr>Commercial Invoice (Rev1)!Vùng_In</vt:lpstr>
      <vt:lpstr>Detailed PL!Vùng_In</vt:lpstr>
      <vt:lpstr>Packing List (1_2)!Vùng_In</vt:lpstr>
      <vt:lpstr>PL(2_2)!Vùng_In</vt:lpstr>
      <vt:lpstr>SHIPPING MARK(1)!Vùng_In</vt:lpstr>
      <vt:lpstr>SHIPPING MARK(10)!Vùng_In</vt:lpstr>
      <vt:lpstr>SHIPPING MARK(11)!Vùng_In</vt:lpstr>
      <vt:lpstr>SHIPPING MARK(12)!Vùng_In</vt:lpstr>
      <vt:lpstr>SHIPPING MARK(13)!Vùng_In</vt:lpstr>
      <vt:lpstr>SHIPPING MARK(14)!Vùng_In</vt:lpstr>
      <vt:lpstr>SHIPPING MARK(15)!Vùng_In</vt:lpstr>
      <vt:lpstr>SHIPPING MARK(16)!Vùng_In</vt:lpstr>
      <vt:lpstr>SHIPPING MARK(17)!Vùng_In</vt:lpstr>
      <vt:lpstr>SHIPPING MARK(18)!Vùng_In</vt:lpstr>
      <vt:lpstr>SHIPPING MARK(19)!Vùng_In</vt:lpstr>
      <vt:lpstr>SHIPPING MARK(2)!Vùng_In</vt:lpstr>
      <vt:lpstr>SHIPPING MARK(20)!Vùng_In</vt:lpstr>
      <vt:lpstr>SHIPPING MARK(21)!Vùng_In</vt:lpstr>
      <vt:lpstr>SHIPPING MARK(22)!Vùng_In</vt:lpstr>
      <vt:lpstr>SHIPPING MARK(23)!Vùng_In</vt:lpstr>
      <vt:lpstr>SHIPPING MARK(24)!Vùng_In</vt:lpstr>
      <vt:lpstr>SHIPPING MARK(25)!Vùng_In</vt:lpstr>
      <vt:lpstr>SHIPPING MARK(26)!Vùng_In</vt:lpstr>
      <vt:lpstr>SHIPPING MARK(27)!Vùng_In</vt:lpstr>
      <vt:lpstr>SHIPPING MARK(28)!Vùng_In</vt:lpstr>
      <vt:lpstr>SHIPPING MARK(29)!Vùng_In</vt:lpstr>
      <vt:lpstr>SHIPPING MARK(3)!Vùng_In</vt:lpstr>
      <vt:lpstr>SHIPPING MARK(30)!Vùng_In</vt:lpstr>
      <vt:lpstr>SHIPPING MARK(31)!Vùng_In</vt:lpstr>
      <vt:lpstr>SHIPPING MARK(32)!Vùng_In</vt:lpstr>
      <vt:lpstr>SHIPPING MARK(33)!Vùng_In</vt:lpstr>
      <vt:lpstr>SHIPPING MARK(4)!Vùng_In</vt:lpstr>
      <vt:lpstr>SHIPPING MARK(5)!Vùng_In</vt:lpstr>
      <vt:lpstr>SHIPPING MARK(6)!Vùng_In</vt:lpstr>
      <vt:lpstr>SHIPPING MARK(7)!Vùng_In</vt:lpstr>
      <vt:lpstr>SHIPPING MARK(8)!Vùng_In</vt:lpstr>
      <vt:lpstr>SHIPPING MARK(9)!Vùng_In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Dai Leduy</cp:lastModifiedBy>
  <cp:lastPrinted>2026-08-11T07:01:52Z</cp:lastPrinted>
  <dcterms:created xsi:type="dcterms:W3CDTF">2025-07-09T09:39:20Z</dcterms:created>
  <dcterms:modified xsi:type="dcterms:W3CDTF">2026-08-11T07:01:53Z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0x0101001DBA561FAA6C9F48918AC7C258C8C719</vt:lpwstr>
  </property>
  <property fmtid="{D5CDD505-2E9C-101B-9397-08002B2CF9AE}" pid="3" name="MediaServiceImageTags">
    <vt:lpwstr/>
  </property>
</Properties>
</file>