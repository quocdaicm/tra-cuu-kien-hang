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3"/>
  <workbookPr/>
  <mc:AlternateContent xmlns:mc="http://schemas.openxmlformats.org/markup-compatibility/2006">
    <mc:Choice Requires="x15">
      <x15ac:absPath xmlns:x15ac="http://schemas.microsoft.com/office/spreadsheetml/2010/11/ac" url="D:\Documents\Downloads\OM4-DE-IS-0009, 0010\"/>
    </mc:Choice>
  </mc:AlternateContent>
  <xr:revisionPtr revIDLastSave="0" documentId="13_ncr:1_{C9D45F84-8FF0-4425-91FC-31DAC5040E97}" xr6:coauthVersionLast="47" xr6:coauthVersionMax="47" xr10:uidLastSave="{00000000-0000-0000-0000-000000000000}"/>
  <bookViews>
    <workbookView xWindow="12090" yWindow="-21600" windowWidth="28215" windowHeight="20985" tabRatio="667" xr2:uid="{00000000-000D-0000-FFFF-FFFF00000000}"/>
  </bookViews>
  <sheets>
    <sheet name="Detailed PL" sheetId="31" r:id="rId1"/>
    <sheet name="Commercial Invoice" sheetId="1" r:id="rId2"/>
    <sheet name="Break Down CI" sheetId="2" r:id="rId3"/>
    <sheet name="Packing List (1_2)" sheetId="3" r:id="rId4"/>
    <sheet name="PL(2_2)" sheetId="30" r:id="rId5"/>
    <sheet name="SHIPPING MARK (001)" sheetId="12" r:id="rId6"/>
    <sheet name="SHIPPING MARK (002)" sheetId="32" r:id="rId7"/>
    <sheet name="SHIPPING MARK (003)" sheetId="33" r:id="rId8"/>
    <sheet name="SHIPPING MARK (004)" sheetId="34" r:id="rId9"/>
    <sheet name="SHIPPING MARK (005)" sheetId="35" r:id="rId10"/>
    <sheet name="SHIPPING MARK (006)" sheetId="36" r:id="rId11"/>
    <sheet name="SHIPPING MARK (007)" sheetId="37" r:id="rId12"/>
    <sheet name="SHIPPING MARK (008)" sheetId="38" r:id="rId13"/>
    <sheet name="SHIPPING MARK (009)" sheetId="39" r:id="rId14"/>
    <sheet name="SHIPPING MARK (010)" sheetId="40" r:id="rId15"/>
    <sheet name="SHIPPING MARK (011)" sheetId="41" r:id="rId16"/>
    <sheet name="SHIPPING MARK (012)" sheetId="42" r:id="rId17"/>
    <sheet name="SHIPPING MARK (013)" sheetId="43" r:id="rId18"/>
    <sheet name="SHIPPING MARK (14)" sheetId="44" r:id="rId19"/>
    <sheet name="SHIPPING MARK (15)" sheetId="45" r:id="rId20"/>
    <sheet name="SHIPPING MARK (16)" sheetId="46" r:id="rId21"/>
    <sheet name="SHIPPING MARK (17)" sheetId="47" r:id="rId22"/>
    <sheet name="Technical Description" sheetId="13" r:id="rId23"/>
    <sheet name="CO" sheetId="6" r:id="rId24"/>
    <sheet name="CQ" sheetId="10" r:id="rId25"/>
    <sheet name="BL" sheetId="7" r:id="rId26"/>
    <sheet name="PSIC" sheetId="11" r:id="rId27"/>
  </sheets>
  <externalReferences>
    <externalReference r:id="rId28"/>
    <externalReference r:id="rId29"/>
    <externalReference r:id="rId30"/>
    <externalReference r:id="rId31"/>
    <externalReference r:id="rId32"/>
    <externalReference r:id="rId33"/>
  </externalReferences>
  <definedNames>
    <definedName name="__123Graph_A" localSheetId="2" hidden="1">'[1]Eq. Mobilization'!#REF!</definedName>
    <definedName name="__123Graph_A" localSheetId="1" hidden="1">'[1]Eq. Mobilization'!#REF!</definedName>
    <definedName name="__123Graph_A" localSheetId="0" hidden="1">'[1]Eq. Mobilization'!#REF!</definedName>
    <definedName name="__123Graph_A" localSheetId="3" hidden="1">'[1]Eq. Mobilization'!#REF!</definedName>
    <definedName name="__123Graph_A" localSheetId="5" hidden="1">'[1]Eq. Mobilization'!#REF!</definedName>
    <definedName name="__123Graph_A" localSheetId="6" hidden="1">'[1]Eq. Mobilization'!#REF!</definedName>
    <definedName name="__123Graph_A" localSheetId="7" hidden="1">'[1]Eq. Mobilization'!#REF!</definedName>
    <definedName name="__123Graph_A" localSheetId="8" hidden="1">'[1]Eq. Mobilization'!#REF!</definedName>
    <definedName name="__123Graph_A" localSheetId="9" hidden="1">'[1]Eq. Mobilization'!#REF!</definedName>
    <definedName name="__123Graph_A" localSheetId="10" hidden="1">'[1]Eq. Mobilization'!#REF!</definedName>
    <definedName name="__123Graph_A" localSheetId="11" hidden="1">'[1]Eq. Mobilization'!#REF!</definedName>
    <definedName name="__123Graph_A" localSheetId="12" hidden="1">'[1]Eq. Mobilization'!#REF!</definedName>
    <definedName name="__123Graph_A" localSheetId="13" hidden="1">'[1]Eq. Mobilization'!#REF!</definedName>
    <definedName name="__123Graph_A" localSheetId="14" hidden="1">'[1]Eq. Mobilization'!#REF!</definedName>
    <definedName name="__123Graph_A" localSheetId="15" hidden="1">'[1]Eq. Mobilization'!#REF!</definedName>
    <definedName name="__123Graph_A" localSheetId="16" hidden="1">'[1]Eq. Mobilization'!#REF!</definedName>
    <definedName name="__123Graph_A" localSheetId="17" hidden="1">'[1]Eq. Mobilization'!#REF!</definedName>
    <definedName name="__123Graph_A" localSheetId="18" hidden="1">'[1]Eq. Mobilization'!#REF!</definedName>
    <definedName name="__123Graph_A" localSheetId="19" hidden="1">'[1]Eq. Mobilization'!#REF!</definedName>
    <definedName name="__123Graph_A" localSheetId="20" hidden="1">'[1]Eq. Mobilization'!#REF!</definedName>
    <definedName name="__123Graph_A" localSheetId="21" hidden="1">'[1]Eq. Mobilization'!#REF!</definedName>
    <definedName name="__123Graph_A" localSheetId="22" hidden="1">#REF!</definedName>
    <definedName name="__123Graph_A" hidden="1">'[1]Eq. Mobilization'!#REF!</definedName>
    <definedName name="__123Graph_ACurrent" localSheetId="2" hidden="1">'[1]Eq. Mobilization'!#REF!</definedName>
    <definedName name="__123Graph_ACurrent" localSheetId="1" hidden="1">'[1]Eq. Mobilization'!#REF!</definedName>
    <definedName name="__123Graph_ACurrent" localSheetId="0" hidden="1">'[1]Eq. Mobilization'!#REF!</definedName>
    <definedName name="__123Graph_ACurrent" localSheetId="3" hidden="1">'[1]Eq. Mobilization'!#REF!</definedName>
    <definedName name="__123Graph_ACurrent" localSheetId="5" hidden="1">'[1]Eq. Mobilization'!#REF!</definedName>
    <definedName name="__123Graph_ACurrent" localSheetId="6" hidden="1">'[1]Eq. Mobilization'!#REF!</definedName>
    <definedName name="__123Graph_ACurrent" localSheetId="7" hidden="1">'[1]Eq. Mobilization'!#REF!</definedName>
    <definedName name="__123Graph_ACurrent" localSheetId="8" hidden="1">'[1]Eq. Mobilization'!#REF!</definedName>
    <definedName name="__123Graph_ACurrent" localSheetId="9" hidden="1">'[1]Eq. Mobilization'!#REF!</definedName>
    <definedName name="__123Graph_ACurrent" localSheetId="10" hidden="1">'[1]Eq. Mobilization'!#REF!</definedName>
    <definedName name="__123Graph_ACurrent" localSheetId="11" hidden="1">'[1]Eq. Mobilization'!#REF!</definedName>
    <definedName name="__123Graph_ACurrent" localSheetId="12" hidden="1">'[1]Eq. Mobilization'!#REF!</definedName>
    <definedName name="__123Graph_ACurrent" localSheetId="13" hidden="1">'[1]Eq. Mobilization'!#REF!</definedName>
    <definedName name="__123Graph_ACurrent" localSheetId="14" hidden="1">'[1]Eq. Mobilization'!#REF!</definedName>
    <definedName name="__123Graph_ACurrent" localSheetId="15" hidden="1">'[1]Eq. Mobilization'!#REF!</definedName>
    <definedName name="__123Graph_ACurrent" localSheetId="16" hidden="1">'[1]Eq. Mobilization'!#REF!</definedName>
    <definedName name="__123Graph_ACurrent" localSheetId="17" hidden="1">'[1]Eq. Mobilization'!#REF!</definedName>
    <definedName name="__123Graph_ACurrent" localSheetId="18" hidden="1">'[1]Eq. Mobilization'!#REF!</definedName>
    <definedName name="__123Graph_ACurrent" localSheetId="19" hidden="1">'[1]Eq. Mobilization'!#REF!</definedName>
    <definedName name="__123Graph_ACurrent" localSheetId="20" hidden="1">'[1]Eq. Mobilization'!#REF!</definedName>
    <definedName name="__123Graph_ACurrent" localSheetId="21" hidden="1">'[1]Eq. Mobilization'!#REF!</definedName>
    <definedName name="__123Graph_ACurrent" localSheetId="22" hidden="1">#REF!</definedName>
    <definedName name="__123Graph_ACurrent" hidden="1">'[1]Eq. Mobilization'!#REF!</definedName>
    <definedName name="__123Graph_B" localSheetId="2" hidden="1">'[1]Eq. Mobilization'!#REF!</definedName>
    <definedName name="__123Graph_B" localSheetId="1" hidden="1">'[1]Eq. Mobilization'!#REF!</definedName>
    <definedName name="__123Graph_B" localSheetId="0" hidden="1">'[1]Eq. Mobilization'!#REF!</definedName>
    <definedName name="__123Graph_B" localSheetId="3" hidden="1">'[1]Eq. Mobilization'!#REF!</definedName>
    <definedName name="__123Graph_B" localSheetId="5" hidden="1">'[1]Eq. Mobilization'!#REF!</definedName>
    <definedName name="__123Graph_B" localSheetId="6" hidden="1">'[1]Eq. Mobilization'!#REF!</definedName>
    <definedName name="__123Graph_B" localSheetId="7" hidden="1">'[1]Eq. Mobilization'!#REF!</definedName>
    <definedName name="__123Graph_B" localSheetId="8" hidden="1">'[1]Eq. Mobilization'!#REF!</definedName>
    <definedName name="__123Graph_B" localSheetId="9" hidden="1">'[1]Eq. Mobilization'!#REF!</definedName>
    <definedName name="__123Graph_B" localSheetId="10" hidden="1">'[1]Eq. Mobilization'!#REF!</definedName>
    <definedName name="__123Graph_B" localSheetId="11" hidden="1">'[1]Eq. Mobilization'!#REF!</definedName>
    <definedName name="__123Graph_B" localSheetId="12" hidden="1">'[1]Eq. Mobilization'!#REF!</definedName>
    <definedName name="__123Graph_B" localSheetId="13" hidden="1">'[1]Eq. Mobilization'!#REF!</definedName>
    <definedName name="__123Graph_B" localSheetId="14" hidden="1">'[1]Eq. Mobilization'!#REF!</definedName>
    <definedName name="__123Graph_B" localSheetId="15" hidden="1">'[1]Eq. Mobilization'!#REF!</definedName>
    <definedName name="__123Graph_B" localSheetId="16" hidden="1">'[1]Eq. Mobilization'!#REF!</definedName>
    <definedName name="__123Graph_B" localSheetId="17" hidden="1">'[1]Eq. Mobilization'!#REF!</definedName>
    <definedName name="__123Graph_B" localSheetId="18" hidden="1">'[1]Eq. Mobilization'!#REF!</definedName>
    <definedName name="__123Graph_B" localSheetId="19" hidden="1">'[1]Eq. Mobilization'!#REF!</definedName>
    <definedName name="__123Graph_B" localSheetId="20" hidden="1">'[1]Eq. Mobilization'!#REF!</definedName>
    <definedName name="__123Graph_B" localSheetId="21" hidden="1">'[1]Eq. Mobilization'!#REF!</definedName>
    <definedName name="__123Graph_B" localSheetId="22" hidden="1">#REF!</definedName>
    <definedName name="__123Graph_B" hidden="1">'[1]Eq. Mobilization'!#REF!</definedName>
    <definedName name="__123Graph_BCurrent" localSheetId="2" hidden="1">'[1]Eq. Mobilization'!#REF!</definedName>
    <definedName name="__123Graph_BCurrent" localSheetId="1" hidden="1">'[1]Eq. Mobilization'!#REF!</definedName>
    <definedName name="__123Graph_BCurrent" localSheetId="0" hidden="1">'[1]Eq. Mobilization'!#REF!</definedName>
    <definedName name="__123Graph_BCurrent" localSheetId="3" hidden="1">'[1]Eq. Mobilization'!#REF!</definedName>
    <definedName name="__123Graph_BCurrent" localSheetId="5" hidden="1">'[1]Eq. Mobilization'!#REF!</definedName>
    <definedName name="__123Graph_BCurrent" localSheetId="6" hidden="1">'[1]Eq. Mobilization'!#REF!</definedName>
    <definedName name="__123Graph_BCurrent" localSheetId="7" hidden="1">'[1]Eq. Mobilization'!#REF!</definedName>
    <definedName name="__123Graph_BCurrent" localSheetId="8" hidden="1">'[1]Eq. Mobilization'!#REF!</definedName>
    <definedName name="__123Graph_BCurrent" localSheetId="9" hidden="1">'[1]Eq. Mobilization'!#REF!</definedName>
    <definedName name="__123Graph_BCurrent" localSheetId="10" hidden="1">'[1]Eq. Mobilization'!#REF!</definedName>
    <definedName name="__123Graph_BCurrent" localSheetId="11" hidden="1">'[1]Eq. Mobilization'!#REF!</definedName>
    <definedName name="__123Graph_BCurrent" localSheetId="12" hidden="1">'[1]Eq. Mobilization'!#REF!</definedName>
    <definedName name="__123Graph_BCurrent" localSheetId="13" hidden="1">'[1]Eq. Mobilization'!#REF!</definedName>
    <definedName name="__123Graph_BCurrent" localSheetId="14" hidden="1">'[1]Eq. Mobilization'!#REF!</definedName>
    <definedName name="__123Graph_BCurrent" localSheetId="15" hidden="1">'[1]Eq. Mobilization'!#REF!</definedName>
    <definedName name="__123Graph_BCurrent" localSheetId="16" hidden="1">'[1]Eq. Mobilization'!#REF!</definedName>
    <definedName name="__123Graph_BCurrent" localSheetId="17" hidden="1">'[1]Eq. Mobilization'!#REF!</definedName>
    <definedName name="__123Graph_BCurrent" localSheetId="18" hidden="1">'[1]Eq. Mobilization'!#REF!</definedName>
    <definedName name="__123Graph_BCurrent" localSheetId="19" hidden="1">'[1]Eq. Mobilization'!#REF!</definedName>
    <definedName name="__123Graph_BCurrent" localSheetId="20" hidden="1">'[1]Eq. Mobilization'!#REF!</definedName>
    <definedName name="__123Graph_BCurrent" localSheetId="21" hidden="1">'[1]Eq. Mobilization'!#REF!</definedName>
    <definedName name="__123Graph_BCurrent" localSheetId="22" hidden="1">#REF!</definedName>
    <definedName name="__123Graph_BCurrent" hidden="1">'[1]Eq. Mobilization'!#REF!</definedName>
    <definedName name="__123Graph_D" localSheetId="2" hidden="1">#REF!</definedName>
    <definedName name="__123Graph_D" localSheetId="1" hidden="1">#REF!</definedName>
    <definedName name="__123Graph_D" localSheetId="0" hidden="1">#REF!</definedName>
    <definedName name="__123Graph_D" localSheetId="3" hidden="1">#REF!</definedName>
    <definedName name="__123Graph_D" localSheetId="5" hidden="1">#REF!</definedName>
    <definedName name="__123Graph_D" localSheetId="6" hidden="1">#REF!</definedName>
    <definedName name="__123Graph_D" localSheetId="7" hidden="1">#REF!</definedName>
    <definedName name="__123Graph_D" localSheetId="8" hidden="1">#REF!</definedName>
    <definedName name="__123Graph_D" localSheetId="9" hidden="1">#REF!</definedName>
    <definedName name="__123Graph_D" localSheetId="10" hidden="1">#REF!</definedName>
    <definedName name="__123Graph_D" localSheetId="11" hidden="1">#REF!</definedName>
    <definedName name="__123Graph_D" localSheetId="12" hidden="1">#REF!</definedName>
    <definedName name="__123Graph_D" localSheetId="13" hidden="1">#REF!</definedName>
    <definedName name="__123Graph_D" localSheetId="14" hidden="1">#REF!</definedName>
    <definedName name="__123Graph_D" localSheetId="15" hidden="1">#REF!</definedName>
    <definedName name="__123Graph_D" localSheetId="16" hidden="1">#REF!</definedName>
    <definedName name="__123Graph_D" localSheetId="17" hidden="1">#REF!</definedName>
    <definedName name="__123Graph_D" localSheetId="18" hidden="1">#REF!</definedName>
    <definedName name="__123Graph_D" localSheetId="19" hidden="1">#REF!</definedName>
    <definedName name="__123Graph_D" localSheetId="20" hidden="1">#REF!</definedName>
    <definedName name="__123Graph_D" localSheetId="21" hidden="1">#REF!</definedName>
    <definedName name="__123Graph_D" hidden="1">#REF!</definedName>
    <definedName name="__123Graph_E" localSheetId="2" hidden="1">#REF!</definedName>
    <definedName name="__123Graph_E" localSheetId="1" hidden="1">#REF!</definedName>
    <definedName name="__123Graph_E" localSheetId="3" hidden="1">#REF!</definedName>
    <definedName name="__123Graph_E" localSheetId="5" hidden="1">#REF!</definedName>
    <definedName name="__123Graph_E" localSheetId="6" hidden="1">#REF!</definedName>
    <definedName name="__123Graph_E" localSheetId="7" hidden="1">#REF!</definedName>
    <definedName name="__123Graph_E" localSheetId="8" hidden="1">#REF!</definedName>
    <definedName name="__123Graph_E" localSheetId="9" hidden="1">#REF!</definedName>
    <definedName name="__123Graph_E" localSheetId="10" hidden="1">#REF!</definedName>
    <definedName name="__123Graph_E" localSheetId="11" hidden="1">#REF!</definedName>
    <definedName name="__123Graph_E" localSheetId="12" hidden="1">#REF!</definedName>
    <definedName name="__123Graph_E" localSheetId="13" hidden="1">#REF!</definedName>
    <definedName name="__123Graph_E" localSheetId="14" hidden="1">#REF!</definedName>
    <definedName name="__123Graph_E" localSheetId="15" hidden="1">#REF!</definedName>
    <definedName name="__123Graph_E" localSheetId="16" hidden="1">#REF!</definedName>
    <definedName name="__123Graph_E" localSheetId="17" hidden="1">#REF!</definedName>
    <definedName name="__123Graph_E" localSheetId="18" hidden="1">#REF!</definedName>
    <definedName name="__123Graph_E" localSheetId="19" hidden="1">#REF!</definedName>
    <definedName name="__123Graph_E" localSheetId="20" hidden="1">#REF!</definedName>
    <definedName name="__123Graph_E" localSheetId="21" hidden="1">#REF!</definedName>
    <definedName name="__123Graph_E" hidden="1">#REF!</definedName>
    <definedName name="__123Graph_LBL_A" localSheetId="2" hidden="1">'[1]Eq. Mobilization'!#REF!</definedName>
    <definedName name="__123Graph_LBL_A" localSheetId="1" hidden="1">'[1]Eq. Mobilization'!#REF!</definedName>
    <definedName name="__123Graph_LBL_A" localSheetId="0" hidden="1">'[1]Eq. Mobilization'!#REF!</definedName>
    <definedName name="__123Graph_LBL_A" localSheetId="3" hidden="1">'[1]Eq. Mobilization'!#REF!</definedName>
    <definedName name="__123Graph_LBL_A" localSheetId="5" hidden="1">'[1]Eq. Mobilization'!#REF!</definedName>
    <definedName name="__123Graph_LBL_A" localSheetId="6" hidden="1">'[1]Eq. Mobilization'!#REF!</definedName>
    <definedName name="__123Graph_LBL_A" localSheetId="7" hidden="1">'[1]Eq. Mobilization'!#REF!</definedName>
    <definedName name="__123Graph_LBL_A" localSheetId="8" hidden="1">'[1]Eq. Mobilization'!#REF!</definedName>
    <definedName name="__123Graph_LBL_A" localSheetId="9" hidden="1">'[1]Eq. Mobilization'!#REF!</definedName>
    <definedName name="__123Graph_LBL_A" localSheetId="10" hidden="1">'[1]Eq. Mobilization'!#REF!</definedName>
    <definedName name="__123Graph_LBL_A" localSheetId="11" hidden="1">'[1]Eq. Mobilization'!#REF!</definedName>
    <definedName name="__123Graph_LBL_A" localSheetId="12" hidden="1">'[1]Eq. Mobilization'!#REF!</definedName>
    <definedName name="__123Graph_LBL_A" localSheetId="13" hidden="1">'[1]Eq. Mobilization'!#REF!</definedName>
    <definedName name="__123Graph_LBL_A" localSheetId="14" hidden="1">'[1]Eq. Mobilization'!#REF!</definedName>
    <definedName name="__123Graph_LBL_A" localSheetId="15" hidden="1">'[1]Eq. Mobilization'!#REF!</definedName>
    <definedName name="__123Graph_LBL_A" localSheetId="16" hidden="1">'[1]Eq. Mobilization'!#REF!</definedName>
    <definedName name="__123Graph_LBL_A" localSheetId="17" hidden="1">'[1]Eq. Mobilization'!#REF!</definedName>
    <definedName name="__123Graph_LBL_A" localSheetId="18" hidden="1">'[1]Eq. Mobilization'!#REF!</definedName>
    <definedName name="__123Graph_LBL_A" localSheetId="19" hidden="1">'[1]Eq. Mobilization'!#REF!</definedName>
    <definedName name="__123Graph_LBL_A" localSheetId="20" hidden="1">'[1]Eq. Mobilization'!#REF!</definedName>
    <definedName name="__123Graph_LBL_A" localSheetId="21" hidden="1">'[1]Eq. Mobilization'!#REF!</definedName>
    <definedName name="__123Graph_LBL_A" localSheetId="22" hidden="1">#REF!</definedName>
    <definedName name="__123Graph_LBL_A" hidden="1">'[1]Eq. Mobilization'!#REF!</definedName>
    <definedName name="__123Graph_LBL_B" localSheetId="2" hidden="1">'[1]Eq. Mobilization'!#REF!</definedName>
    <definedName name="__123Graph_LBL_B" localSheetId="1" hidden="1">'[1]Eq. Mobilization'!#REF!</definedName>
    <definedName name="__123Graph_LBL_B" localSheetId="0" hidden="1">'[1]Eq. Mobilization'!#REF!</definedName>
    <definedName name="__123Graph_LBL_B" localSheetId="3" hidden="1">'[1]Eq. Mobilization'!#REF!</definedName>
    <definedName name="__123Graph_LBL_B" localSheetId="5" hidden="1">'[1]Eq. Mobilization'!#REF!</definedName>
    <definedName name="__123Graph_LBL_B" localSheetId="6" hidden="1">'[1]Eq. Mobilization'!#REF!</definedName>
    <definedName name="__123Graph_LBL_B" localSheetId="7" hidden="1">'[1]Eq. Mobilization'!#REF!</definedName>
    <definedName name="__123Graph_LBL_B" localSheetId="8" hidden="1">'[1]Eq. Mobilization'!#REF!</definedName>
    <definedName name="__123Graph_LBL_B" localSheetId="9" hidden="1">'[1]Eq. Mobilization'!#REF!</definedName>
    <definedName name="__123Graph_LBL_B" localSheetId="10" hidden="1">'[1]Eq. Mobilization'!#REF!</definedName>
    <definedName name="__123Graph_LBL_B" localSheetId="11" hidden="1">'[1]Eq. Mobilization'!#REF!</definedName>
    <definedName name="__123Graph_LBL_B" localSheetId="12" hidden="1">'[1]Eq. Mobilization'!#REF!</definedName>
    <definedName name="__123Graph_LBL_B" localSheetId="13" hidden="1">'[1]Eq. Mobilization'!#REF!</definedName>
    <definedName name="__123Graph_LBL_B" localSheetId="14" hidden="1">'[1]Eq. Mobilization'!#REF!</definedName>
    <definedName name="__123Graph_LBL_B" localSheetId="15" hidden="1">'[1]Eq. Mobilization'!#REF!</definedName>
    <definedName name="__123Graph_LBL_B" localSheetId="16" hidden="1">'[1]Eq. Mobilization'!#REF!</definedName>
    <definedName name="__123Graph_LBL_B" localSheetId="17" hidden="1">'[1]Eq. Mobilization'!#REF!</definedName>
    <definedName name="__123Graph_LBL_B" localSheetId="18" hidden="1">'[1]Eq. Mobilization'!#REF!</definedName>
    <definedName name="__123Graph_LBL_B" localSheetId="19" hidden="1">'[1]Eq. Mobilization'!#REF!</definedName>
    <definedName name="__123Graph_LBL_B" localSheetId="20" hidden="1">'[1]Eq. Mobilization'!#REF!</definedName>
    <definedName name="__123Graph_LBL_B" localSheetId="21" hidden="1">'[1]Eq. Mobilization'!#REF!</definedName>
    <definedName name="__123Graph_LBL_B" localSheetId="22" hidden="1">#REF!</definedName>
    <definedName name="__123Graph_LBL_B" hidden="1">'[1]Eq. Mobilization'!#REF!</definedName>
    <definedName name="__123Graph_X" localSheetId="2" hidden="1">'[1]Eq. Mobilization'!#REF!</definedName>
    <definedName name="__123Graph_X" localSheetId="1" hidden="1">'[1]Eq. Mobilization'!#REF!</definedName>
    <definedName name="__123Graph_X" localSheetId="0" hidden="1">'[1]Eq. Mobilization'!#REF!</definedName>
    <definedName name="__123Graph_X" localSheetId="3" hidden="1">'[1]Eq. Mobilization'!#REF!</definedName>
    <definedName name="__123Graph_X" localSheetId="5" hidden="1">'[1]Eq. Mobilization'!#REF!</definedName>
    <definedName name="__123Graph_X" localSheetId="6" hidden="1">'[1]Eq. Mobilization'!#REF!</definedName>
    <definedName name="__123Graph_X" localSheetId="7" hidden="1">'[1]Eq. Mobilization'!#REF!</definedName>
    <definedName name="__123Graph_X" localSheetId="8" hidden="1">'[1]Eq. Mobilization'!#REF!</definedName>
    <definedName name="__123Graph_X" localSheetId="9" hidden="1">'[1]Eq. Mobilization'!#REF!</definedName>
    <definedName name="__123Graph_X" localSheetId="10" hidden="1">'[1]Eq. Mobilization'!#REF!</definedName>
    <definedName name="__123Graph_X" localSheetId="11" hidden="1">'[1]Eq. Mobilization'!#REF!</definedName>
    <definedName name="__123Graph_X" localSheetId="12" hidden="1">'[1]Eq. Mobilization'!#REF!</definedName>
    <definedName name="__123Graph_X" localSheetId="13" hidden="1">'[1]Eq. Mobilization'!#REF!</definedName>
    <definedName name="__123Graph_X" localSheetId="14" hidden="1">'[1]Eq. Mobilization'!#REF!</definedName>
    <definedName name="__123Graph_X" localSheetId="15" hidden="1">'[1]Eq. Mobilization'!#REF!</definedName>
    <definedName name="__123Graph_X" localSheetId="16" hidden="1">'[1]Eq. Mobilization'!#REF!</definedName>
    <definedName name="__123Graph_X" localSheetId="17" hidden="1">'[1]Eq. Mobilization'!#REF!</definedName>
    <definedName name="__123Graph_X" localSheetId="18" hidden="1">'[1]Eq. Mobilization'!#REF!</definedName>
    <definedName name="__123Graph_X" localSheetId="19" hidden="1">'[1]Eq. Mobilization'!#REF!</definedName>
    <definedName name="__123Graph_X" localSheetId="20" hidden="1">'[1]Eq. Mobilization'!#REF!</definedName>
    <definedName name="__123Graph_X" localSheetId="21" hidden="1">'[1]Eq. Mobilization'!#REF!</definedName>
    <definedName name="__123Graph_X" localSheetId="22" hidden="1">#REF!</definedName>
    <definedName name="__123Graph_X" hidden="1">'[1]Eq. Mobilization'!#REF!</definedName>
    <definedName name="__123Graph_XCurrent" localSheetId="2" hidden="1">'[1]Eq. Mobilization'!#REF!</definedName>
    <definedName name="__123Graph_XCurrent" localSheetId="1" hidden="1">'[1]Eq. Mobilization'!#REF!</definedName>
    <definedName name="__123Graph_XCurrent" localSheetId="0" hidden="1">'[1]Eq. Mobilization'!#REF!</definedName>
    <definedName name="__123Graph_XCurrent" localSheetId="3" hidden="1">'[1]Eq. Mobilization'!#REF!</definedName>
    <definedName name="__123Graph_XCurrent" localSheetId="5" hidden="1">'[1]Eq. Mobilization'!#REF!</definedName>
    <definedName name="__123Graph_XCurrent" localSheetId="6" hidden="1">'[1]Eq. Mobilization'!#REF!</definedName>
    <definedName name="__123Graph_XCurrent" localSheetId="7" hidden="1">'[1]Eq. Mobilization'!#REF!</definedName>
    <definedName name="__123Graph_XCurrent" localSheetId="8" hidden="1">'[1]Eq. Mobilization'!#REF!</definedName>
    <definedName name="__123Graph_XCurrent" localSheetId="9" hidden="1">'[1]Eq. Mobilization'!#REF!</definedName>
    <definedName name="__123Graph_XCurrent" localSheetId="10" hidden="1">'[1]Eq. Mobilization'!#REF!</definedName>
    <definedName name="__123Graph_XCurrent" localSheetId="11" hidden="1">'[1]Eq. Mobilization'!#REF!</definedName>
    <definedName name="__123Graph_XCurrent" localSheetId="12" hidden="1">'[1]Eq. Mobilization'!#REF!</definedName>
    <definedName name="__123Graph_XCurrent" localSheetId="13" hidden="1">'[1]Eq. Mobilization'!#REF!</definedName>
    <definedName name="__123Graph_XCurrent" localSheetId="14" hidden="1">'[1]Eq. Mobilization'!#REF!</definedName>
    <definedName name="__123Graph_XCurrent" localSheetId="15" hidden="1">'[1]Eq. Mobilization'!#REF!</definedName>
    <definedName name="__123Graph_XCurrent" localSheetId="16" hidden="1">'[1]Eq. Mobilization'!#REF!</definedName>
    <definedName name="__123Graph_XCurrent" localSheetId="17" hidden="1">'[1]Eq. Mobilization'!#REF!</definedName>
    <definedName name="__123Graph_XCurrent" localSheetId="18" hidden="1">'[1]Eq. Mobilization'!#REF!</definedName>
    <definedName name="__123Graph_XCurrent" localSheetId="19" hidden="1">'[1]Eq. Mobilization'!#REF!</definedName>
    <definedName name="__123Graph_XCurrent" localSheetId="20" hidden="1">'[1]Eq. Mobilization'!#REF!</definedName>
    <definedName name="__123Graph_XCurrent" localSheetId="21" hidden="1">'[1]Eq. Mobilization'!#REF!</definedName>
    <definedName name="__123Graph_XCurrent" localSheetId="22" hidden="1">#REF!</definedName>
    <definedName name="__123Graph_XCurrent" hidden="1">'[1]Eq. Mobilization'!#REF!</definedName>
    <definedName name="_1__123Graph_AChart_1A" localSheetId="2" hidden="1">'[1]Eq. Mobilization'!#REF!</definedName>
    <definedName name="_1__123Graph_AChart_1A" localSheetId="1" hidden="1">'[1]Eq. Mobilization'!#REF!</definedName>
    <definedName name="_1__123Graph_AChart_1A" localSheetId="0" hidden="1">'[1]Eq. Mobilization'!#REF!</definedName>
    <definedName name="_1__123Graph_AChart_1A" localSheetId="3" hidden="1">'[1]Eq. Mobilization'!#REF!</definedName>
    <definedName name="_1__123Graph_AChart_1A" localSheetId="5" hidden="1">'[1]Eq. Mobilization'!#REF!</definedName>
    <definedName name="_1__123Graph_AChart_1A" localSheetId="6" hidden="1">'[1]Eq. Mobilization'!#REF!</definedName>
    <definedName name="_1__123Graph_AChart_1A" localSheetId="7" hidden="1">'[1]Eq. Mobilization'!#REF!</definedName>
    <definedName name="_1__123Graph_AChart_1A" localSheetId="8" hidden="1">'[1]Eq. Mobilization'!#REF!</definedName>
    <definedName name="_1__123Graph_AChart_1A" localSheetId="9" hidden="1">'[1]Eq. Mobilization'!#REF!</definedName>
    <definedName name="_1__123Graph_AChart_1A" localSheetId="10" hidden="1">'[1]Eq. Mobilization'!#REF!</definedName>
    <definedName name="_1__123Graph_AChart_1A" localSheetId="11" hidden="1">'[1]Eq. Mobilization'!#REF!</definedName>
    <definedName name="_1__123Graph_AChart_1A" localSheetId="12" hidden="1">'[1]Eq. Mobilization'!#REF!</definedName>
    <definedName name="_1__123Graph_AChart_1A" localSheetId="13" hidden="1">'[1]Eq. Mobilization'!#REF!</definedName>
    <definedName name="_1__123Graph_AChart_1A" localSheetId="14" hidden="1">'[1]Eq. Mobilization'!#REF!</definedName>
    <definedName name="_1__123Graph_AChart_1A" localSheetId="15" hidden="1">'[1]Eq. Mobilization'!#REF!</definedName>
    <definedName name="_1__123Graph_AChart_1A" localSheetId="16" hidden="1">'[1]Eq. Mobilization'!#REF!</definedName>
    <definedName name="_1__123Graph_AChart_1A" localSheetId="17" hidden="1">'[1]Eq. Mobilization'!#REF!</definedName>
    <definedName name="_1__123Graph_AChart_1A" localSheetId="18" hidden="1">'[1]Eq. Mobilization'!#REF!</definedName>
    <definedName name="_1__123Graph_AChart_1A" localSheetId="19" hidden="1">'[1]Eq. Mobilization'!#REF!</definedName>
    <definedName name="_1__123Graph_AChart_1A" localSheetId="20" hidden="1">'[1]Eq. Mobilization'!#REF!</definedName>
    <definedName name="_1__123Graph_AChart_1A" localSheetId="21" hidden="1">'[1]Eq. Mobilization'!#REF!</definedName>
    <definedName name="_1__123Graph_AChart_1A" localSheetId="22" hidden="1">#REF!</definedName>
    <definedName name="_1__123Graph_AChart_1A" hidden="1">'[1]Eq. Mobilization'!#REF!</definedName>
    <definedName name="_2__123Graph_BChart_1A" localSheetId="2" hidden="1">'[1]Eq. Mobilization'!#REF!</definedName>
    <definedName name="_2__123Graph_BChart_1A" localSheetId="1" hidden="1">'[1]Eq. Mobilization'!#REF!</definedName>
    <definedName name="_2__123Graph_BChart_1A" localSheetId="0" hidden="1">'[1]Eq. Mobilization'!#REF!</definedName>
    <definedName name="_2__123Graph_BChart_1A" localSheetId="3" hidden="1">'[1]Eq. Mobilization'!#REF!</definedName>
    <definedName name="_2__123Graph_BChart_1A" localSheetId="5" hidden="1">'[1]Eq. Mobilization'!#REF!</definedName>
    <definedName name="_2__123Graph_BChart_1A" localSheetId="6" hidden="1">'[1]Eq. Mobilization'!#REF!</definedName>
    <definedName name="_2__123Graph_BChart_1A" localSheetId="7" hidden="1">'[1]Eq. Mobilization'!#REF!</definedName>
    <definedName name="_2__123Graph_BChart_1A" localSheetId="8" hidden="1">'[1]Eq. Mobilization'!#REF!</definedName>
    <definedName name="_2__123Graph_BChart_1A" localSheetId="9" hidden="1">'[1]Eq. Mobilization'!#REF!</definedName>
    <definedName name="_2__123Graph_BChart_1A" localSheetId="10" hidden="1">'[1]Eq. Mobilization'!#REF!</definedName>
    <definedName name="_2__123Graph_BChart_1A" localSheetId="11" hidden="1">'[1]Eq. Mobilization'!#REF!</definedName>
    <definedName name="_2__123Graph_BChart_1A" localSheetId="12" hidden="1">'[1]Eq. Mobilization'!#REF!</definedName>
    <definedName name="_2__123Graph_BChart_1A" localSheetId="13" hidden="1">'[1]Eq. Mobilization'!#REF!</definedName>
    <definedName name="_2__123Graph_BChart_1A" localSheetId="14" hidden="1">'[1]Eq. Mobilization'!#REF!</definedName>
    <definedName name="_2__123Graph_BChart_1A" localSheetId="15" hidden="1">'[1]Eq. Mobilization'!#REF!</definedName>
    <definedName name="_2__123Graph_BChart_1A" localSheetId="16" hidden="1">'[1]Eq. Mobilization'!#REF!</definedName>
    <definedName name="_2__123Graph_BChart_1A" localSheetId="17" hidden="1">'[1]Eq. Mobilization'!#REF!</definedName>
    <definedName name="_2__123Graph_BChart_1A" localSheetId="18" hidden="1">'[1]Eq. Mobilization'!#REF!</definedName>
    <definedName name="_2__123Graph_BChart_1A" localSheetId="19" hidden="1">'[1]Eq. Mobilization'!#REF!</definedName>
    <definedName name="_2__123Graph_BChart_1A" localSheetId="20" hidden="1">'[1]Eq. Mobilization'!#REF!</definedName>
    <definedName name="_2__123Graph_BChart_1A" localSheetId="21" hidden="1">'[1]Eq. Mobilization'!#REF!</definedName>
    <definedName name="_2__123Graph_BChart_1A" localSheetId="22" hidden="1">#REF!</definedName>
    <definedName name="_2__123Graph_BChart_1A" hidden="1">'[1]Eq. Mobilization'!#REF!</definedName>
    <definedName name="_3__123Graph_XChart_1A" localSheetId="2" hidden="1">'[1]Eq. Mobilization'!#REF!</definedName>
    <definedName name="_3__123Graph_XChart_1A" localSheetId="1" hidden="1">'[1]Eq. Mobilization'!#REF!</definedName>
    <definedName name="_3__123Graph_XChart_1A" localSheetId="0" hidden="1">'[1]Eq. Mobilization'!#REF!</definedName>
    <definedName name="_3__123Graph_XChart_1A" localSheetId="3" hidden="1">'[1]Eq. Mobilization'!#REF!</definedName>
    <definedName name="_3__123Graph_XChart_1A" localSheetId="5" hidden="1">'[1]Eq. Mobilization'!#REF!</definedName>
    <definedName name="_3__123Graph_XChart_1A" localSheetId="6" hidden="1">'[1]Eq. Mobilization'!#REF!</definedName>
    <definedName name="_3__123Graph_XChart_1A" localSheetId="7" hidden="1">'[1]Eq. Mobilization'!#REF!</definedName>
    <definedName name="_3__123Graph_XChart_1A" localSheetId="8" hidden="1">'[1]Eq. Mobilization'!#REF!</definedName>
    <definedName name="_3__123Graph_XChart_1A" localSheetId="9" hidden="1">'[1]Eq. Mobilization'!#REF!</definedName>
    <definedName name="_3__123Graph_XChart_1A" localSheetId="10" hidden="1">'[1]Eq. Mobilization'!#REF!</definedName>
    <definedName name="_3__123Graph_XChart_1A" localSheetId="11" hidden="1">'[1]Eq. Mobilization'!#REF!</definedName>
    <definedName name="_3__123Graph_XChart_1A" localSheetId="12" hidden="1">'[1]Eq. Mobilization'!#REF!</definedName>
    <definedName name="_3__123Graph_XChart_1A" localSheetId="13" hidden="1">'[1]Eq. Mobilization'!#REF!</definedName>
    <definedName name="_3__123Graph_XChart_1A" localSheetId="14" hidden="1">'[1]Eq. Mobilization'!#REF!</definedName>
    <definedName name="_3__123Graph_XChart_1A" localSheetId="15" hidden="1">'[1]Eq. Mobilization'!#REF!</definedName>
    <definedName name="_3__123Graph_XChart_1A" localSheetId="16" hidden="1">'[1]Eq. Mobilization'!#REF!</definedName>
    <definedName name="_3__123Graph_XChart_1A" localSheetId="17" hidden="1">'[1]Eq. Mobilization'!#REF!</definedName>
    <definedName name="_3__123Graph_XChart_1A" localSheetId="18" hidden="1">'[1]Eq. Mobilization'!#REF!</definedName>
    <definedName name="_3__123Graph_XChart_1A" localSheetId="19" hidden="1">'[1]Eq. Mobilization'!#REF!</definedName>
    <definedName name="_3__123Graph_XChart_1A" localSheetId="20" hidden="1">'[1]Eq. Mobilization'!#REF!</definedName>
    <definedName name="_3__123Graph_XChart_1A" localSheetId="21" hidden="1">'[1]Eq. Mobilization'!#REF!</definedName>
    <definedName name="_3__123Graph_XChart_1A" localSheetId="22" hidden="1">#REF!</definedName>
    <definedName name="_3__123Graph_XChart_1A" hidden="1">'[1]Eq. Mobilization'!#REF!</definedName>
    <definedName name="_Fill" localSheetId="2" hidden="1">#REF!</definedName>
    <definedName name="_Fill" localSheetId="1" hidden="1">#REF!</definedName>
    <definedName name="_Fill" localSheetId="0" hidden="1">#REF!</definedName>
    <definedName name="_Fill" localSheetId="3" hidden="1">#REF!</definedName>
    <definedName name="_Fill" localSheetId="5" hidden="1">#REF!</definedName>
    <definedName name="_Fill" localSheetId="6" hidden="1">#REF!</definedName>
    <definedName name="_Fill" localSheetId="7" hidden="1">#REF!</definedName>
    <definedName name="_Fill" localSheetId="8"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18" hidden="1">#REF!</definedName>
    <definedName name="_Fill" localSheetId="19" hidden="1">#REF!</definedName>
    <definedName name="_Fill" localSheetId="20" hidden="1">#REF!</definedName>
    <definedName name="_Fill" localSheetId="21" hidden="1">#REF!</definedName>
    <definedName name="_Fill" hidden="1">#REF!</definedName>
    <definedName name="_xlnm._FilterDatabase" localSheetId="2" hidden="1">'Break Down CI'!$A$8:$AB$134</definedName>
    <definedName name="_xlnm._FilterDatabase" localSheetId="0" hidden="1">'Detailed PL'!$B$14:$AN$157</definedName>
    <definedName name="_xlnm._FilterDatabase" localSheetId="5" hidden="1">'SHIPPING MARK (001)'!$A$1:$A$24</definedName>
    <definedName name="_xlnm._FilterDatabase" localSheetId="6" hidden="1">'SHIPPING MARK (002)'!$A$1:$A$24</definedName>
    <definedName name="_xlnm._FilterDatabase" localSheetId="7" hidden="1">'SHIPPING MARK (003)'!$A$1:$A$24</definedName>
    <definedName name="_xlnm._FilterDatabase" localSheetId="8" hidden="1">'SHIPPING MARK (004)'!$A$1:$A$24</definedName>
    <definedName name="_xlnm._FilterDatabase" localSheetId="9" hidden="1">'SHIPPING MARK (005)'!$A$1:$A$24</definedName>
    <definedName name="_xlnm._FilterDatabase" localSheetId="10" hidden="1">'SHIPPING MARK (006)'!$A$1:$A$24</definedName>
    <definedName name="_xlnm._FilterDatabase" localSheetId="11" hidden="1">'SHIPPING MARK (007)'!$A$1:$A$24</definedName>
    <definedName name="_xlnm._FilterDatabase" localSheetId="12" hidden="1">'SHIPPING MARK (008)'!$A$1:$A$24</definedName>
    <definedName name="_xlnm._FilterDatabase" localSheetId="13" hidden="1">'SHIPPING MARK (009)'!$A$1:$A$24</definedName>
    <definedName name="_xlnm._FilterDatabase" localSheetId="14" hidden="1">'SHIPPING MARK (010)'!$A$1:$A$24</definedName>
    <definedName name="_xlnm._FilterDatabase" localSheetId="15" hidden="1">'SHIPPING MARK (011)'!$A$1:$A$24</definedName>
    <definedName name="_xlnm._FilterDatabase" localSheetId="16" hidden="1">'SHIPPING MARK (012)'!$A$1:$A$24</definedName>
    <definedName name="_xlnm._FilterDatabase" localSheetId="17" hidden="1">'SHIPPING MARK (013)'!$A$1:$A$24</definedName>
    <definedName name="_xlnm._FilterDatabase" localSheetId="18" hidden="1">'SHIPPING MARK (14)'!$A$1:$A$24</definedName>
    <definedName name="_xlnm._FilterDatabase" localSheetId="19" hidden="1">'SHIPPING MARK (15)'!$A$1:$A$24</definedName>
    <definedName name="_xlnm._FilterDatabase" localSheetId="20" hidden="1">'SHIPPING MARK (16)'!$A$1:$A$24</definedName>
    <definedName name="_xlnm._FilterDatabase" localSheetId="21" hidden="1">'SHIPPING MARK (17)'!$A$1:$A$24</definedName>
    <definedName name="_xlnm._FilterDatabase" localSheetId="22" hidden="1">'Technical Description'!$A$8:$H$22</definedName>
    <definedName name="_Hlk215568700" localSheetId="26">PSIC!$B$2</definedName>
    <definedName name="_Key1" localSheetId="2" hidden="1">#REF!</definedName>
    <definedName name="_Key1" localSheetId="1" hidden="1">#REF!</definedName>
    <definedName name="_Key1" localSheetId="3" hidden="1">#REF!</definedName>
    <definedName name="_Key1" localSheetId="5"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0" hidden="1">#REF!</definedName>
    <definedName name="_Key1" localSheetId="11" hidden="1">#REF!</definedName>
    <definedName name="_Key1" localSheetId="12" hidden="1">#REF!</definedName>
    <definedName name="_Key1" localSheetId="13" hidden="1">#REF!</definedName>
    <definedName name="_Key1" localSheetId="14" hidden="1">#REF!</definedName>
    <definedName name="_Key1" localSheetId="15" hidden="1">#REF!</definedName>
    <definedName name="_Key1" localSheetId="16" hidden="1">#REF!</definedName>
    <definedName name="_Key1" localSheetId="17" hidden="1">#REF!</definedName>
    <definedName name="_Key1" localSheetId="18" hidden="1">#REF!</definedName>
    <definedName name="_Key1" localSheetId="19" hidden="1">#REF!</definedName>
    <definedName name="_Key1" localSheetId="20" hidden="1">#REF!</definedName>
    <definedName name="_Key1" localSheetId="21" hidden="1">#REF!</definedName>
    <definedName name="_Key1" hidden="1">#REF!</definedName>
    <definedName name="_Key2" localSheetId="2" hidden="1">#REF!</definedName>
    <definedName name="_Key2" localSheetId="1" hidden="1">#REF!</definedName>
    <definedName name="_Key2" localSheetId="3" hidden="1">#REF!</definedName>
    <definedName name="_Key2" localSheetId="5" hidden="1">#REF!</definedName>
    <definedName name="_Key2" localSheetId="6" hidden="1">#REF!</definedName>
    <definedName name="_Key2" localSheetId="7" hidden="1">#REF!</definedName>
    <definedName name="_Key2" localSheetId="8" hidden="1">#REF!</definedName>
    <definedName name="_Key2" localSheetId="9" hidden="1">#REF!</definedName>
    <definedName name="_Key2" localSheetId="10" hidden="1">#REF!</definedName>
    <definedName name="_Key2" localSheetId="11" hidden="1">#REF!</definedName>
    <definedName name="_Key2" localSheetId="12" hidden="1">#REF!</definedName>
    <definedName name="_Key2" localSheetId="13" hidden="1">#REF!</definedName>
    <definedName name="_Key2" localSheetId="14" hidden="1">#REF!</definedName>
    <definedName name="_Key2" localSheetId="15" hidden="1">#REF!</definedName>
    <definedName name="_Key2" localSheetId="16" hidden="1">#REF!</definedName>
    <definedName name="_Key2" localSheetId="17" hidden="1">#REF!</definedName>
    <definedName name="_Key2" localSheetId="18" hidden="1">#REF!</definedName>
    <definedName name="_Key2" localSheetId="19" hidden="1">#REF!</definedName>
    <definedName name="_Key2" localSheetId="20" hidden="1">#REF!</definedName>
    <definedName name="_Key2" localSheetId="21" hidden="1">#REF!</definedName>
    <definedName name="_Key2" hidden="1">#REF!</definedName>
    <definedName name="_Order1" hidden="1">255</definedName>
    <definedName name="_Order2" hidden="1">255</definedName>
    <definedName name="_Parse_In" localSheetId="2" hidden="1">#REF!</definedName>
    <definedName name="_Parse_In" localSheetId="1" hidden="1">#REF!</definedName>
    <definedName name="_Parse_In" localSheetId="0" hidden="1">#REF!</definedName>
    <definedName name="_Parse_In" localSheetId="3" hidden="1">#REF!</definedName>
    <definedName name="_Parse_In" localSheetId="5" hidden="1">#REF!</definedName>
    <definedName name="_Parse_In" localSheetId="6" hidden="1">#REF!</definedName>
    <definedName name="_Parse_In" localSheetId="7" hidden="1">#REF!</definedName>
    <definedName name="_Parse_In" localSheetId="8" hidden="1">#REF!</definedName>
    <definedName name="_Parse_In" localSheetId="9" hidden="1">#REF!</definedName>
    <definedName name="_Parse_In" localSheetId="10" hidden="1">#REF!</definedName>
    <definedName name="_Parse_In" localSheetId="11" hidden="1">#REF!</definedName>
    <definedName name="_Parse_In" localSheetId="12" hidden="1">#REF!</definedName>
    <definedName name="_Parse_In" localSheetId="13" hidden="1">#REF!</definedName>
    <definedName name="_Parse_In" localSheetId="14" hidden="1">#REF!</definedName>
    <definedName name="_Parse_In" localSheetId="15" hidden="1">#REF!</definedName>
    <definedName name="_Parse_In" localSheetId="16" hidden="1">#REF!</definedName>
    <definedName name="_Parse_In" localSheetId="17" hidden="1">#REF!</definedName>
    <definedName name="_Parse_In" localSheetId="18" hidden="1">#REF!</definedName>
    <definedName name="_Parse_In" localSheetId="19" hidden="1">#REF!</definedName>
    <definedName name="_Parse_In" localSheetId="20" hidden="1">#REF!</definedName>
    <definedName name="_Parse_In" localSheetId="21" hidden="1">#REF!</definedName>
    <definedName name="_Parse_In" hidden="1">#REF!</definedName>
    <definedName name="_Parse_Out" localSheetId="2" hidden="1">#REF!</definedName>
    <definedName name="_Parse_Out" localSheetId="1" hidden="1">#REF!</definedName>
    <definedName name="_Parse_Out" localSheetId="3" hidden="1">#REF!</definedName>
    <definedName name="_Parse_Out" localSheetId="5" hidden="1">#REF!</definedName>
    <definedName name="_Parse_Out" localSheetId="6" hidden="1">#REF!</definedName>
    <definedName name="_Parse_Out" localSheetId="7" hidden="1">#REF!</definedName>
    <definedName name="_Parse_Out" localSheetId="8" hidden="1">#REF!</definedName>
    <definedName name="_Parse_Out" localSheetId="9" hidden="1">#REF!</definedName>
    <definedName name="_Parse_Out" localSheetId="10" hidden="1">#REF!</definedName>
    <definedName name="_Parse_Out" localSheetId="11" hidden="1">#REF!</definedName>
    <definedName name="_Parse_Out" localSheetId="12" hidden="1">#REF!</definedName>
    <definedName name="_Parse_Out" localSheetId="13" hidden="1">#REF!</definedName>
    <definedName name="_Parse_Out" localSheetId="14" hidden="1">#REF!</definedName>
    <definedName name="_Parse_Out" localSheetId="15" hidden="1">#REF!</definedName>
    <definedName name="_Parse_Out" localSheetId="16" hidden="1">#REF!</definedName>
    <definedName name="_Parse_Out" localSheetId="17" hidden="1">#REF!</definedName>
    <definedName name="_Parse_Out" localSheetId="18" hidden="1">#REF!</definedName>
    <definedName name="_Parse_Out" localSheetId="19" hidden="1">#REF!</definedName>
    <definedName name="_Parse_Out" localSheetId="20" hidden="1">#REF!</definedName>
    <definedName name="_Parse_Out" localSheetId="21" hidden="1">#REF!</definedName>
    <definedName name="_Parse_Out" hidden="1">#REF!</definedName>
    <definedName name="_Sort" localSheetId="2" hidden="1">#REF!</definedName>
    <definedName name="_Sort" localSheetId="1" hidden="1">#REF!</definedName>
    <definedName name="_Sort" localSheetId="3" hidden="1">#REF!</definedName>
    <definedName name="_Sort" localSheetId="5"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0" hidden="1">#REF!</definedName>
    <definedName name="_Sort" localSheetId="11" hidden="1">#REF!</definedName>
    <definedName name="_Sort" localSheetId="12" hidden="1">#REF!</definedName>
    <definedName name="_Sort" localSheetId="13" hidden="1">#REF!</definedName>
    <definedName name="_Sort" localSheetId="14" hidden="1">#REF!</definedName>
    <definedName name="_Sort" localSheetId="15" hidden="1">#REF!</definedName>
    <definedName name="_Sort" localSheetId="16" hidden="1">#REF!</definedName>
    <definedName name="_Sort" localSheetId="17" hidden="1">#REF!</definedName>
    <definedName name="_Sort" localSheetId="18" hidden="1">#REF!</definedName>
    <definedName name="_Sort" localSheetId="19" hidden="1">#REF!</definedName>
    <definedName name="_Sort" localSheetId="20" hidden="1">#REF!</definedName>
    <definedName name="_Sort" localSheetId="21" hidden="1">#REF!</definedName>
    <definedName name="_Sort" hidden="1">#REF!</definedName>
    <definedName name="A" localSheetId="2" hidden="1">#REF!</definedName>
    <definedName name="A" localSheetId="1" hidden="1">#REF!</definedName>
    <definedName name="A" localSheetId="3" hidden="1">#REF!</definedName>
    <definedName name="A" localSheetId="5" hidden="1">#REF!</definedName>
    <definedName name="A" localSheetId="6" hidden="1">#REF!</definedName>
    <definedName name="A" localSheetId="7" hidden="1">#REF!</definedName>
    <definedName name="A" localSheetId="8" hidden="1">#REF!</definedName>
    <definedName name="A" localSheetId="9" hidden="1">#REF!</definedName>
    <definedName name="A" localSheetId="10" hidden="1">#REF!</definedName>
    <definedName name="A" localSheetId="11" hidden="1">#REF!</definedName>
    <definedName name="A" localSheetId="12" hidden="1">#REF!</definedName>
    <definedName name="A" localSheetId="13" hidden="1">#REF!</definedName>
    <definedName name="A" localSheetId="14" hidden="1">#REF!</definedName>
    <definedName name="A" localSheetId="15" hidden="1">#REF!</definedName>
    <definedName name="A" localSheetId="16" hidden="1">#REF!</definedName>
    <definedName name="A" localSheetId="17" hidden="1">#REF!</definedName>
    <definedName name="A" localSheetId="18" hidden="1">#REF!</definedName>
    <definedName name="A" localSheetId="19" hidden="1">#REF!</definedName>
    <definedName name="A" localSheetId="20" hidden="1">#REF!</definedName>
    <definedName name="A" localSheetId="21" hidden="1">#REF!</definedName>
    <definedName name="A" hidden="1">#REF!</definedName>
    <definedName name="ABC" localSheetId="2" hidden="1">'[2]Eq. Mobilization'!#REF!</definedName>
    <definedName name="ABC" localSheetId="1" hidden="1">'[2]Eq. Mobilization'!#REF!</definedName>
    <definedName name="ABC" localSheetId="0" hidden="1">'[2]Eq. Mobilization'!#REF!</definedName>
    <definedName name="ABC" localSheetId="3" hidden="1">'[2]Eq. Mobilization'!#REF!</definedName>
    <definedName name="ABC" localSheetId="5" hidden="1">'[2]Eq. Mobilization'!#REF!</definedName>
    <definedName name="ABC" localSheetId="6" hidden="1">'[2]Eq. Mobilization'!#REF!</definedName>
    <definedName name="ABC" localSheetId="7" hidden="1">'[2]Eq. Mobilization'!#REF!</definedName>
    <definedName name="ABC" localSheetId="8" hidden="1">'[2]Eq. Mobilization'!#REF!</definedName>
    <definedName name="ABC" localSheetId="9" hidden="1">'[2]Eq. Mobilization'!#REF!</definedName>
    <definedName name="ABC" localSheetId="10" hidden="1">'[2]Eq. Mobilization'!#REF!</definedName>
    <definedName name="ABC" localSheetId="11" hidden="1">'[2]Eq. Mobilization'!#REF!</definedName>
    <definedName name="ABC" localSheetId="12" hidden="1">'[2]Eq. Mobilization'!#REF!</definedName>
    <definedName name="ABC" localSheetId="13" hidden="1">'[2]Eq. Mobilization'!#REF!</definedName>
    <definedName name="ABC" localSheetId="14" hidden="1">'[2]Eq. Mobilization'!#REF!</definedName>
    <definedName name="ABC" localSheetId="15" hidden="1">'[2]Eq. Mobilization'!#REF!</definedName>
    <definedName name="ABC" localSheetId="16" hidden="1">'[2]Eq. Mobilization'!#REF!</definedName>
    <definedName name="ABC" localSheetId="17" hidden="1">'[2]Eq. Mobilization'!#REF!</definedName>
    <definedName name="ABC" localSheetId="18" hidden="1">'[2]Eq. Mobilization'!#REF!</definedName>
    <definedName name="ABC" localSheetId="19" hidden="1">'[2]Eq. Mobilization'!#REF!</definedName>
    <definedName name="ABC" localSheetId="20" hidden="1">'[2]Eq. Mobilization'!#REF!</definedName>
    <definedName name="ABC" localSheetId="21" hidden="1">'[2]Eq. Mobilization'!#REF!</definedName>
    <definedName name="ABC" localSheetId="22" hidden="1">#REF!</definedName>
    <definedName name="ABC" hidden="1">'[2]Eq. Mobilization'!#REF!</definedName>
    <definedName name="CO" localSheetId="2" hidden="1">'[3]Eq. Mobilization'!#REF!</definedName>
    <definedName name="CO" localSheetId="1" hidden="1">'[3]Eq. Mobilization'!#REF!</definedName>
    <definedName name="CO" localSheetId="0" hidden="1">'[3]Eq. Mobilization'!#REF!</definedName>
    <definedName name="CO" localSheetId="3" hidden="1">'[3]Eq. Mobilization'!#REF!</definedName>
    <definedName name="CO" localSheetId="5" hidden="1">'[3]Eq. Mobilization'!#REF!</definedName>
    <definedName name="CO" localSheetId="6" hidden="1">'[3]Eq. Mobilization'!#REF!</definedName>
    <definedName name="CO" localSheetId="7" hidden="1">'[3]Eq. Mobilization'!#REF!</definedName>
    <definedName name="CO" localSheetId="8" hidden="1">'[3]Eq. Mobilization'!#REF!</definedName>
    <definedName name="CO" localSheetId="9" hidden="1">'[3]Eq. Mobilization'!#REF!</definedName>
    <definedName name="CO" localSheetId="10" hidden="1">'[3]Eq. Mobilization'!#REF!</definedName>
    <definedName name="CO" localSheetId="11" hidden="1">'[3]Eq. Mobilization'!#REF!</definedName>
    <definedName name="CO" localSheetId="12" hidden="1">'[3]Eq. Mobilization'!#REF!</definedName>
    <definedName name="CO" localSheetId="13" hidden="1">'[3]Eq. Mobilization'!#REF!</definedName>
    <definedName name="CO" localSheetId="14" hidden="1">'[3]Eq. Mobilization'!#REF!</definedName>
    <definedName name="CO" localSheetId="15" hidden="1">'[3]Eq. Mobilization'!#REF!</definedName>
    <definedName name="CO" localSheetId="16" hidden="1">'[3]Eq. Mobilization'!#REF!</definedName>
    <definedName name="CO" localSheetId="17" hidden="1">'[3]Eq. Mobilization'!#REF!</definedName>
    <definedName name="CO" localSheetId="18" hidden="1">'[3]Eq. Mobilization'!#REF!</definedName>
    <definedName name="CO" localSheetId="19" hidden="1">'[3]Eq. Mobilization'!#REF!</definedName>
    <definedName name="CO" localSheetId="20" hidden="1">'[3]Eq. Mobilization'!#REF!</definedName>
    <definedName name="CO" localSheetId="21" hidden="1">'[3]Eq. Mobilization'!#REF!</definedName>
    <definedName name="CO" localSheetId="22" hidden="1">#REF!</definedName>
    <definedName name="CO" hidden="1">'[3]Eq. Mobilization'!#REF!</definedName>
    <definedName name="e" localSheetId="5" hidden="1">'[1]Eq. Mobilization'!#REF!</definedName>
    <definedName name="e" localSheetId="6" hidden="1">'[1]Eq. Mobilization'!#REF!</definedName>
    <definedName name="e" localSheetId="7" hidden="1">'[1]Eq. Mobilization'!#REF!</definedName>
    <definedName name="e" localSheetId="8" hidden="1">'[1]Eq. Mobilization'!#REF!</definedName>
    <definedName name="e" localSheetId="9" hidden="1">'[1]Eq. Mobilization'!#REF!</definedName>
    <definedName name="e" localSheetId="10" hidden="1">'[1]Eq. Mobilization'!#REF!</definedName>
    <definedName name="e" localSheetId="11" hidden="1">'[1]Eq. Mobilization'!#REF!</definedName>
    <definedName name="e" localSheetId="12" hidden="1">'[1]Eq. Mobilization'!#REF!</definedName>
    <definedName name="e" localSheetId="13" hidden="1">'[1]Eq. Mobilization'!#REF!</definedName>
    <definedName name="e" localSheetId="14" hidden="1">'[1]Eq. Mobilization'!#REF!</definedName>
    <definedName name="e" localSheetId="15" hidden="1">'[1]Eq. Mobilization'!#REF!</definedName>
    <definedName name="e" localSheetId="16" hidden="1">'[1]Eq. Mobilization'!#REF!</definedName>
    <definedName name="e" localSheetId="17" hidden="1">'[1]Eq. Mobilization'!#REF!</definedName>
    <definedName name="e" localSheetId="18" hidden="1">'[1]Eq. Mobilization'!#REF!</definedName>
    <definedName name="e" localSheetId="19" hidden="1">'[1]Eq. Mobilization'!#REF!</definedName>
    <definedName name="e" localSheetId="20" hidden="1">'[1]Eq. Mobilization'!#REF!</definedName>
    <definedName name="e" localSheetId="21" hidden="1">'[1]Eq. Mobilization'!#REF!</definedName>
    <definedName name="e" localSheetId="22" hidden="1">#REF!</definedName>
    <definedName name="e" hidden="1">'[1]Eq. Mobilization'!#REF!</definedName>
    <definedName name="Ge" localSheetId="5" hidden="1">'[1]Eq. Mobilization'!#REF!</definedName>
    <definedName name="Ge" localSheetId="6" hidden="1">'[1]Eq. Mobilization'!#REF!</definedName>
    <definedName name="Ge" localSheetId="7" hidden="1">'[1]Eq. Mobilization'!#REF!</definedName>
    <definedName name="Ge" localSheetId="8" hidden="1">'[1]Eq. Mobilization'!#REF!</definedName>
    <definedName name="Ge" localSheetId="9" hidden="1">'[1]Eq. Mobilization'!#REF!</definedName>
    <definedName name="Ge" localSheetId="10" hidden="1">'[1]Eq. Mobilization'!#REF!</definedName>
    <definedName name="Ge" localSheetId="11" hidden="1">'[1]Eq. Mobilization'!#REF!</definedName>
    <definedName name="Ge" localSheetId="12" hidden="1">'[1]Eq. Mobilization'!#REF!</definedName>
    <definedName name="Ge" localSheetId="13" hidden="1">'[1]Eq. Mobilization'!#REF!</definedName>
    <definedName name="Ge" localSheetId="14" hidden="1">'[1]Eq. Mobilization'!#REF!</definedName>
    <definedName name="Ge" localSheetId="15" hidden="1">'[1]Eq. Mobilization'!#REF!</definedName>
    <definedName name="Ge" localSheetId="16" hidden="1">'[1]Eq. Mobilization'!#REF!</definedName>
    <definedName name="Ge" localSheetId="17" hidden="1">'[1]Eq. Mobilization'!#REF!</definedName>
    <definedName name="Ge" localSheetId="18" hidden="1">'[1]Eq. Mobilization'!#REF!</definedName>
    <definedName name="Ge" localSheetId="19" hidden="1">'[1]Eq. Mobilization'!#REF!</definedName>
    <definedName name="Ge" localSheetId="20" hidden="1">'[1]Eq. Mobilization'!#REF!</definedName>
    <definedName name="Ge" localSheetId="21" hidden="1">'[1]Eq. Mobilization'!#REF!</definedName>
    <definedName name="Ge" localSheetId="22" hidden="1">#REF!</definedName>
    <definedName name="Ge" hidden="1">'[1]Eq. Mobilization'!#REF!</definedName>
    <definedName name="iv2dt" localSheetId="2" hidden="1">'[1]Eq. Mobilization'!#REF!</definedName>
    <definedName name="iv2dt" localSheetId="1" hidden="1">'[1]Eq. Mobilization'!#REF!</definedName>
    <definedName name="iv2dt" localSheetId="0" hidden="1">'[1]Eq. Mobilization'!#REF!</definedName>
    <definedName name="iv2dt" localSheetId="3" hidden="1">'[1]Eq. Mobilization'!#REF!</definedName>
    <definedName name="iv2dt" localSheetId="5" hidden="1">'[1]Eq. Mobilization'!#REF!</definedName>
    <definedName name="iv2dt" localSheetId="6" hidden="1">'[1]Eq. Mobilization'!#REF!</definedName>
    <definedName name="iv2dt" localSheetId="7" hidden="1">'[1]Eq. Mobilization'!#REF!</definedName>
    <definedName name="iv2dt" localSheetId="8" hidden="1">'[1]Eq. Mobilization'!#REF!</definedName>
    <definedName name="iv2dt" localSheetId="9" hidden="1">'[1]Eq. Mobilization'!#REF!</definedName>
    <definedName name="iv2dt" localSheetId="10" hidden="1">'[1]Eq. Mobilization'!#REF!</definedName>
    <definedName name="iv2dt" localSheetId="11" hidden="1">'[1]Eq. Mobilization'!#REF!</definedName>
    <definedName name="iv2dt" localSheetId="12" hidden="1">'[1]Eq. Mobilization'!#REF!</definedName>
    <definedName name="iv2dt" localSheetId="13" hidden="1">'[1]Eq. Mobilization'!#REF!</definedName>
    <definedName name="iv2dt" localSheetId="14" hidden="1">'[1]Eq. Mobilization'!#REF!</definedName>
    <definedName name="iv2dt" localSheetId="15" hidden="1">'[1]Eq. Mobilization'!#REF!</definedName>
    <definedName name="iv2dt" localSheetId="16" hidden="1">'[1]Eq. Mobilization'!#REF!</definedName>
    <definedName name="iv2dt" localSheetId="17" hidden="1">'[1]Eq. Mobilization'!#REF!</definedName>
    <definedName name="iv2dt" localSheetId="18" hidden="1">'[1]Eq. Mobilization'!#REF!</definedName>
    <definedName name="iv2dt" localSheetId="19" hidden="1">'[1]Eq. Mobilization'!#REF!</definedName>
    <definedName name="iv2dt" localSheetId="20" hidden="1">'[1]Eq. Mobilization'!#REF!</definedName>
    <definedName name="iv2dt" localSheetId="21" hidden="1">'[1]Eq. Mobilization'!#REF!</definedName>
    <definedName name="iv2dt" localSheetId="22" hidden="1">#REF!</definedName>
    <definedName name="iv2dt" hidden="1">'[1]Eq. Mobilization'!#REF!</definedName>
    <definedName name="ivdt" localSheetId="2" hidden="1">'[1]Eq. Mobilization'!#REF!</definedName>
    <definedName name="ivdt" localSheetId="1" hidden="1">'[1]Eq. Mobilization'!#REF!</definedName>
    <definedName name="ivdt" localSheetId="0" hidden="1">'[1]Eq. Mobilization'!#REF!</definedName>
    <definedName name="ivdt" localSheetId="3" hidden="1">'[1]Eq. Mobilization'!#REF!</definedName>
    <definedName name="ivdt" localSheetId="5" hidden="1">'[1]Eq. Mobilization'!#REF!</definedName>
    <definedName name="ivdt" localSheetId="6" hidden="1">'[1]Eq. Mobilization'!#REF!</definedName>
    <definedName name="ivdt" localSheetId="7" hidden="1">'[1]Eq. Mobilization'!#REF!</definedName>
    <definedName name="ivdt" localSheetId="8" hidden="1">'[1]Eq. Mobilization'!#REF!</definedName>
    <definedName name="ivdt" localSheetId="9" hidden="1">'[1]Eq. Mobilization'!#REF!</definedName>
    <definedName name="ivdt" localSheetId="10" hidden="1">'[1]Eq. Mobilization'!#REF!</definedName>
    <definedName name="ivdt" localSheetId="11" hidden="1">'[1]Eq. Mobilization'!#REF!</definedName>
    <definedName name="ivdt" localSheetId="12" hidden="1">'[1]Eq. Mobilization'!#REF!</definedName>
    <definedName name="ivdt" localSheetId="13" hidden="1">'[1]Eq. Mobilization'!#REF!</definedName>
    <definedName name="ivdt" localSheetId="14" hidden="1">'[1]Eq. Mobilization'!#REF!</definedName>
    <definedName name="ivdt" localSheetId="15" hidden="1">'[1]Eq. Mobilization'!#REF!</definedName>
    <definedName name="ivdt" localSheetId="16" hidden="1">'[1]Eq. Mobilization'!#REF!</definedName>
    <definedName name="ivdt" localSheetId="17" hidden="1">'[1]Eq. Mobilization'!#REF!</definedName>
    <definedName name="ivdt" localSheetId="18" hidden="1">'[1]Eq. Mobilization'!#REF!</definedName>
    <definedName name="ivdt" localSheetId="19" hidden="1">'[1]Eq. Mobilization'!#REF!</definedName>
    <definedName name="ivdt" localSheetId="20" hidden="1">'[1]Eq. Mobilization'!#REF!</definedName>
    <definedName name="ivdt" localSheetId="21" hidden="1">'[1]Eq. Mobilization'!#REF!</definedName>
    <definedName name="ivdt" localSheetId="22" hidden="1">#REF!</definedName>
    <definedName name="ivdt" hidden="1">'[1]Eq. Mobilization'!#REF!</definedName>
    <definedName name="KABOLINE" localSheetId="2" hidden="1">'[1]Eq. Mobilization'!#REF!</definedName>
    <definedName name="KABOLINE" localSheetId="1" hidden="1">'[1]Eq. Mobilization'!#REF!</definedName>
    <definedName name="KABOLINE" localSheetId="0" hidden="1">'[1]Eq. Mobilization'!#REF!</definedName>
    <definedName name="KABOLINE" localSheetId="3" hidden="1">'[1]Eq. Mobilization'!#REF!</definedName>
    <definedName name="KABOLINE" localSheetId="5" hidden="1">'[1]Eq. Mobilization'!#REF!</definedName>
    <definedName name="KABOLINE" localSheetId="6" hidden="1">'[1]Eq. Mobilization'!#REF!</definedName>
    <definedName name="KABOLINE" localSheetId="7" hidden="1">'[1]Eq. Mobilization'!#REF!</definedName>
    <definedName name="KABOLINE" localSheetId="8" hidden="1">'[1]Eq. Mobilization'!#REF!</definedName>
    <definedName name="KABOLINE" localSheetId="9" hidden="1">'[1]Eq. Mobilization'!#REF!</definedName>
    <definedName name="KABOLINE" localSheetId="10" hidden="1">'[1]Eq. Mobilization'!#REF!</definedName>
    <definedName name="KABOLINE" localSheetId="11" hidden="1">'[1]Eq. Mobilization'!#REF!</definedName>
    <definedName name="KABOLINE" localSheetId="12" hidden="1">'[1]Eq. Mobilization'!#REF!</definedName>
    <definedName name="KABOLINE" localSheetId="13" hidden="1">'[1]Eq. Mobilization'!#REF!</definedName>
    <definedName name="KABOLINE" localSheetId="14" hidden="1">'[1]Eq. Mobilization'!#REF!</definedName>
    <definedName name="KABOLINE" localSheetId="15" hidden="1">'[1]Eq. Mobilization'!#REF!</definedName>
    <definedName name="KABOLINE" localSheetId="16" hidden="1">'[1]Eq. Mobilization'!#REF!</definedName>
    <definedName name="KABOLINE" localSheetId="17" hidden="1">'[1]Eq. Mobilization'!#REF!</definedName>
    <definedName name="KABOLINE" localSheetId="18" hidden="1">'[1]Eq. Mobilization'!#REF!</definedName>
    <definedName name="KABOLINE" localSheetId="19" hidden="1">'[1]Eq. Mobilization'!#REF!</definedName>
    <definedName name="KABOLINE" localSheetId="20" hidden="1">'[1]Eq. Mobilization'!#REF!</definedName>
    <definedName name="KABOLINE" localSheetId="21" hidden="1">'[1]Eq. Mobilization'!#REF!</definedName>
    <definedName name="KABOLINE" localSheetId="22" hidden="1">#REF!</definedName>
    <definedName name="KABOLINE" hidden="1">'[1]Eq. Mobilization'!#REF!</definedName>
    <definedName name="latent" localSheetId="22">#REF!</definedName>
    <definedName name="latent">'[4]steam table'!$N$5:$Q$102</definedName>
    <definedName name="_xlnm.Print_Titles" localSheetId="2">'Break Down CI'!$7:$7</definedName>
    <definedName name="_xlnm.Print_Titles" localSheetId="0">'Detailed PL'!$13:$14</definedName>
    <definedName name="_xlnm.Print_Titles" localSheetId="4">'PL(2_2)'!$13:$14</definedName>
    <definedName name="_xlnm.Print_Titles" localSheetId="22">'Technical Description'!$7:$8</definedName>
    <definedName name="SM" localSheetId="5" hidden="1">#REF!</definedName>
    <definedName name="SM" localSheetId="6" hidden="1">#REF!</definedName>
    <definedName name="SM" localSheetId="7" hidden="1">#REF!</definedName>
    <definedName name="SM" localSheetId="8" hidden="1">#REF!</definedName>
    <definedName name="SM" localSheetId="9" hidden="1">#REF!</definedName>
    <definedName name="SM" localSheetId="10" hidden="1">#REF!</definedName>
    <definedName name="SM" localSheetId="11" hidden="1">#REF!</definedName>
    <definedName name="SM" localSheetId="12" hidden="1">#REF!</definedName>
    <definedName name="SM" localSheetId="13" hidden="1">#REF!</definedName>
    <definedName name="SM" localSheetId="14" hidden="1">#REF!</definedName>
    <definedName name="SM" localSheetId="15" hidden="1">#REF!</definedName>
    <definedName name="SM" localSheetId="16" hidden="1">#REF!</definedName>
    <definedName name="SM" localSheetId="17" hidden="1">#REF!</definedName>
    <definedName name="SM" localSheetId="18" hidden="1">#REF!</definedName>
    <definedName name="SM" localSheetId="19" hidden="1">#REF!</definedName>
    <definedName name="SM" localSheetId="20" hidden="1">#REF!</definedName>
    <definedName name="SM" localSheetId="21" hidden="1">#REF!</definedName>
    <definedName name="SM" hidden="1">#REF!</definedName>
    <definedName name="tube_test_press1_12">#REF!</definedName>
    <definedName name="_xlnm.Print_Area" localSheetId="2">'Break Down CI'!$A$1:$P$135</definedName>
    <definedName name="_xlnm.Print_Area" localSheetId="1">'Commercial Invoice'!$A$1:$K$47</definedName>
    <definedName name="_xlnm.Print_Area" localSheetId="0">'Detailed PL'!$A$1:$U$157</definedName>
    <definedName name="_xlnm.Print_Area" localSheetId="3">'Packing List (1_2)'!$A$1:$K$58</definedName>
    <definedName name="_xlnm.Print_Area" localSheetId="4">'PL(2_2)'!$B$1:$T$32</definedName>
    <definedName name="_xlnm.Print_Area" localSheetId="5">'SHIPPING MARK (001)'!$A$1:$J$24</definedName>
    <definedName name="_xlnm.Print_Area" localSheetId="6">'SHIPPING MARK (002)'!$A$1:$J$24</definedName>
    <definedName name="_xlnm.Print_Area" localSheetId="7">'SHIPPING MARK (003)'!$A$1:$J$24</definedName>
    <definedName name="_xlnm.Print_Area" localSheetId="8">'SHIPPING MARK (004)'!$A$1:$J$24</definedName>
    <definedName name="_xlnm.Print_Area" localSheetId="9">'SHIPPING MARK (005)'!$A$1:$J$24</definedName>
    <definedName name="_xlnm.Print_Area" localSheetId="10">'SHIPPING MARK (006)'!$A$1:$J$24</definedName>
    <definedName name="_xlnm.Print_Area" localSheetId="11">'SHIPPING MARK (007)'!$A$1:$J$24</definedName>
    <definedName name="_xlnm.Print_Area" localSheetId="12">'SHIPPING MARK (008)'!$A$1:$J$24</definedName>
    <definedName name="_xlnm.Print_Area" localSheetId="13">'SHIPPING MARK (009)'!$A$1:$J$24</definedName>
    <definedName name="_xlnm.Print_Area" localSheetId="14">'SHIPPING MARK (010)'!$A$1:$J$24</definedName>
    <definedName name="_xlnm.Print_Area" localSheetId="15">'SHIPPING MARK (011)'!$A$1:$J$24</definedName>
    <definedName name="_xlnm.Print_Area" localSheetId="16">'SHIPPING MARK (012)'!$A$1:$J$24</definedName>
    <definedName name="_xlnm.Print_Area" localSheetId="17">'SHIPPING MARK (013)'!$A$1:$J$24</definedName>
    <definedName name="_xlnm.Print_Area" localSheetId="18">'SHIPPING MARK (14)'!$A$1:$J$24</definedName>
    <definedName name="_xlnm.Print_Area" localSheetId="19">'SHIPPING MARK (15)'!$A$1:$J$24</definedName>
    <definedName name="_xlnm.Print_Area" localSheetId="20">'SHIPPING MARK (16)'!$A$1:$J$24</definedName>
    <definedName name="_xlnm.Print_Area" localSheetId="21">'SHIPPING MARK (17)'!$A$1:$J$24</definedName>
    <definedName name="_xlnm.Print_Area" localSheetId="22">'Technical Description'!$A$1:$H$22</definedName>
    <definedName name="weki_9701.xls" localSheetId="2" hidden="1">'[1]Eq. Mobilization'!#REF!</definedName>
    <definedName name="weki_9701.xls" localSheetId="1" hidden="1">'[1]Eq. Mobilization'!#REF!</definedName>
    <definedName name="weki_9701.xls" localSheetId="3" hidden="1">'[1]Eq. Mobilization'!#REF!</definedName>
    <definedName name="weki_9701.xls" localSheetId="5" hidden="1">'[1]Eq. Mobilization'!#REF!</definedName>
    <definedName name="weki_9701.xls" localSheetId="6" hidden="1">'[1]Eq. Mobilization'!#REF!</definedName>
    <definedName name="weki_9701.xls" localSheetId="7" hidden="1">'[1]Eq. Mobilization'!#REF!</definedName>
    <definedName name="weki_9701.xls" localSheetId="8" hidden="1">'[1]Eq. Mobilization'!#REF!</definedName>
    <definedName name="weki_9701.xls" localSheetId="9" hidden="1">'[1]Eq. Mobilization'!#REF!</definedName>
    <definedName name="weki_9701.xls" localSheetId="10" hidden="1">'[1]Eq. Mobilization'!#REF!</definedName>
    <definedName name="weki_9701.xls" localSheetId="11" hidden="1">'[1]Eq. Mobilization'!#REF!</definedName>
    <definedName name="weki_9701.xls" localSheetId="12" hidden="1">'[1]Eq. Mobilization'!#REF!</definedName>
    <definedName name="weki_9701.xls" localSheetId="13" hidden="1">'[1]Eq. Mobilization'!#REF!</definedName>
    <definedName name="weki_9701.xls" localSheetId="14" hidden="1">'[1]Eq. Mobilization'!#REF!</definedName>
    <definedName name="weki_9701.xls" localSheetId="15" hidden="1">'[1]Eq. Mobilization'!#REF!</definedName>
    <definedName name="weki_9701.xls" localSheetId="16" hidden="1">'[1]Eq. Mobilization'!#REF!</definedName>
    <definedName name="weki_9701.xls" localSheetId="17" hidden="1">'[1]Eq. Mobilization'!#REF!</definedName>
    <definedName name="weki_9701.xls" localSheetId="18" hidden="1">'[1]Eq. Mobilization'!#REF!</definedName>
    <definedName name="weki_9701.xls" localSheetId="19" hidden="1">'[1]Eq. Mobilization'!#REF!</definedName>
    <definedName name="weki_9701.xls" localSheetId="20" hidden="1">'[1]Eq. Mobilization'!#REF!</definedName>
    <definedName name="weki_9701.xls" localSheetId="21" hidden="1">'[1]Eq. Mobilization'!#REF!</definedName>
    <definedName name="weki_9701.xls" localSheetId="22" hidden="1">#REF!</definedName>
    <definedName name="weki_9701.xls" hidden="1">'[1]Eq. Mobilization'!#REF!</definedName>
    <definedName name="wekir9701.xls" localSheetId="2" hidden="1">'[1]Eq. Mobilization'!#REF!</definedName>
    <definedName name="wekir9701.xls" localSheetId="1" hidden="1">'[1]Eq. Mobilization'!#REF!</definedName>
    <definedName name="wekir9701.xls" localSheetId="3" hidden="1">'[1]Eq. Mobilization'!#REF!</definedName>
    <definedName name="wekir9701.xls" localSheetId="5" hidden="1">'[1]Eq. Mobilization'!#REF!</definedName>
    <definedName name="wekir9701.xls" localSheetId="6" hidden="1">'[1]Eq. Mobilization'!#REF!</definedName>
    <definedName name="wekir9701.xls" localSheetId="7" hidden="1">'[1]Eq. Mobilization'!#REF!</definedName>
    <definedName name="wekir9701.xls" localSheetId="8" hidden="1">'[1]Eq. Mobilization'!#REF!</definedName>
    <definedName name="wekir9701.xls" localSheetId="9" hidden="1">'[1]Eq. Mobilization'!#REF!</definedName>
    <definedName name="wekir9701.xls" localSheetId="10" hidden="1">'[1]Eq. Mobilization'!#REF!</definedName>
    <definedName name="wekir9701.xls" localSheetId="11" hidden="1">'[1]Eq. Mobilization'!#REF!</definedName>
    <definedName name="wekir9701.xls" localSheetId="12" hidden="1">'[1]Eq. Mobilization'!#REF!</definedName>
    <definedName name="wekir9701.xls" localSheetId="13" hidden="1">'[1]Eq. Mobilization'!#REF!</definedName>
    <definedName name="wekir9701.xls" localSheetId="14" hidden="1">'[1]Eq. Mobilization'!#REF!</definedName>
    <definedName name="wekir9701.xls" localSheetId="15" hidden="1">'[1]Eq. Mobilization'!#REF!</definedName>
    <definedName name="wekir9701.xls" localSheetId="16" hidden="1">'[1]Eq. Mobilization'!#REF!</definedName>
    <definedName name="wekir9701.xls" localSheetId="17" hidden="1">'[1]Eq. Mobilization'!#REF!</definedName>
    <definedName name="wekir9701.xls" localSheetId="18" hidden="1">'[1]Eq. Mobilization'!#REF!</definedName>
    <definedName name="wekir9701.xls" localSheetId="19" hidden="1">'[1]Eq. Mobilization'!#REF!</definedName>
    <definedName name="wekir9701.xls" localSheetId="20" hidden="1">'[1]Eq. Mobilization'!#REF!</definedName>
    <definedName name="wekir9701.xls" localSheetId="21" hidden="1">'[1]Eq. Mobilization'!#REF!</definedName>
    <definedName name="wekir9701.xls" localSheetId="22" hidden="1">#REF!</definedName>
    <definedName name="wekir9701.xls" hidden="1">'[1]Eq. Mobilization'!#REF!</definedName>
    <definedName name="X" localSheetId="2" hidden="1">'[2]Eq. Mobilization'!#REF!</definedName>
    <definedName name="X" localSheetId="1" hidden="1">'[2]Eq. Mobilization'!#REF!</definedName>
    <definedName name="X" localSheetId="3" hidden="1">'[2]Eq. Mobilization'!#REF!</definedName>
    <definedName name="X" localSheetId="5" hidden="1">'[2]Eq. Mobilization'!#REF!</definedName>
    <definedName name="X" localSheetId="6" hidden="1">'[2]Eq. Mobilization'!#REF!</definedName>
    <definedName name="X" localSheetId="7" hidden="1">'[2]Eq. Mobilization'!#REF!</definedName>
    <definedName name="X" localSheetId="8" hidden="1">'[2]Eq. Mobilization'!#REF!</definedName>
    <definedName name="X" localSheetId="9" hidden="1">'[2]Eq. Mobilization'!#REF!</definedName>
    <definedName name="X" localSheetId="10" hidden="1">'[2]Eq. Mobilization'!#REF!</definedName>
    <definedName name="X" localSheetId="11" hidden="1">'[2]Eq. Mobilization'!#REF!</definedName>
    <definedName name="X" localSheetId="12" hidden="1">'[2]Eq. Mobilization'!#REF!</definedName>
    <definedName name="X" localSheetId="13" hidden="1">'[2]Eq. Mobilization'!#REF!</definedName>
    <definedName name="X" localSheetId="14" hidden="1">'[2]Eq. Mobilization'!#REF!</definedName>
    <definedName name="X" localSheetId="15" hidden="1">'[2]Eq. Mobilization'!#REF!</definedName>
    <definedName name="X" localSheetId="16" hidden="1">'[2]Eq. Mobilization'!#REF!</definedName>
    <definedName name="X" localSheetId="17" hidden="1">'[2]Eq. Mobilization'!#REF!</definedName>
    <definedName name="X" localSheetId="18" hidden="1">'[2]Eq. Mobilization'!#REF!</definedName>
    <definedName name="X" localSheetId="19" hidden="1">'[2]Eq. Mobilization'!#REF!</definedName>
    <definedName name="X" localSheetId="20" hidden="1">'[2]Eq. Mobilization'!#REF!</definedName>
    <definedName name="X" localSheetId="21" hidden="1">'[2]Eq. Mobilization'!#REF!</definedName>
    <definedName name="X" localSheetId="22" hidden="1">#REF!</definedName>
    <definedName name="X" hidden="1">'[2]Eq. Mobilization'!#REF!</definedName>
    <definedName name="Z" localSheetId="2" hidden="1">'[2]Eq. Mobilization'!#REF!</definedName>
    <definedName name="Z" localSheetId="1" hidden="1">'[2]Eq. Mobilization'!#REF!</definedName>
    <definedName name="Z" localSheetId="3" hidden="1">'[2]Eq. Mobilization'!#REF!</definedName>
    <definedName name="Z" localSheetId="5" hidden="1">'[2]Eq. Mobilization'!#REF!</definedName>
    <definedName name="Z" localSheetId="6" hidden="1">'[2]Eq. Mobilization'!#REF!</definedName>
    <definedName name="Z" localSheetId="7" hidden="1">'[2]Eq. Mobilization'!#REF!</definedName>
    <definedName name="Z" localSheetId="8" hidden="1">'[2]Eq. Mobilization'!#REF!</definedName>
    <definedName name="Z" localSheetId="9" hidden="1">'[2]Eq. Mobilization'!#REF!</definedName>
    <definedName name="Z" localSheetId="10" hidden="1">'[2]Eq. Mobilization'!#REF!</definedName>
    <definedName name="Z" localSheetId="11" hidden="1">'[2]Eq. Mobilization'!#REF!</definedName>
    <definedName name="Z" localSheetId="12" hidden="1">'[2]Eq. Mobilization'!#REF!</definedName>
    <definedName name="Z" localSheetId="13" hidden="1">'[2]Eq. Mobilization'!#REF!</definedName>
    <definedName name="Z" localSheetId="14" hidden="1">'[2]Eq. Mobilization'!#REF!</definedName>
    <definedName name="Z" localSheetId="15" hidden="1">'[2]Eq. Mobilization'!#REF!</definedName>
    <definedName name="Z" localSheetId="16" hidden="1">'[2]Eq. Mobilization'!#REF!</definedName>
    <definedName name="Z" localSheetId="17" hidden="1">'[2]Eq. Mobilization'!#REF!</definedName>
    <definedName name="Z" localSheetId="18" hidden="1">'[2]Eq. Mobilization'!#REF!</definedName>
    <definedName name="Z" localSheetId="19" hidden="1">'[2]Eq. Mobilization'!#REF!</definedName>
    <definedName name="Z" localSheetId="20" hidden="1">'[2]Eq. Mobilization'!#REF!</definedName>
    <definedName name="Z" localSheetId="21" hidden="1">'[2]Eq. Mobilization'!#REF!</definedName>
    <definedName name="Z" localSheetId="22" hidden="1">#REF!</definedName>
    <definedName name="Z" hidden="1">'[2]Eq. Mobilization'!#REF!</definedName>
    <definedName name="ㄴㅇㄹㅇㄹ" localSheetId="2" hidden="1">'[2]Eq. Mobilization'!#REF!</definedName>
    <definedName name="ㄴㅇㄹㅇㄹ" localSheetId="1" hidden="1">'[2]Eq. Mobilization'!#REF!</definedName>
    <definedName name="ㄴㅇㄹㅇㄹ" localSheetId="0" hidden="1">'[2]Eq. Mobilization'!#REF!</definedName>
    <definedName name="ㄴㅇㄹㅇㄹ" localSheetId="3" hidden="1">'[2]Eq. Mobilization'!#REF!</definedName>
    <definedName name="ㄴㅇㄹㅇㄹ" localSheetId="5" hidden="1">'[2]Eq. Mobilization'!#REF!</definedName>
    <definedName name="ㄴㅇㄹㅇㄹ" localSheetId="6" hidden="1">'[2]Eq. Mobilization'!#REF!</definedName>
    <definedName name="ㄴㅇㄹㅇㄹ" localSheetId="7" hidden="1">'[2]Eq. Mobilization'!#REF!</definedName>
    <definedName name="ㄴㅇㄹㅇㄹ" localSheetId="8" hidden="1">'[2]Eq. Mobilization'!#REF!</definedName>
    <definedName name="ㄴㅇㄹㅇㄹ" localSheetId="9" hidden="1">'[2]Eq. Mobilization'!#REF!</definedName>
    <definedName name="ㄴㅇㄹㅇㄹ" localSheetId="10" hidden="1">'[2]Eq. Mobilization'!#REF!</definedName>
    <definedName name="ㄴㅇㄹㅇㄹ" localSheetId="11" hidden="1">'[2]Eq. Mobilization'!#REF!</definedName>
    <definedName name="ㄴㅇㄹㅇㄹ" localSheetId="12" hidden="1">'[2]Eq. Mobilization'!#REF!</definedName>
    <definedName name="ㄴㅇㄹㅇㄹ" localSheetId="13" hidden="1">'[2]Eq. Mobilization'!#REF!</definedName>
    <definedName name="ㄴㅇㄹㅇㄹ" localSheetId="14" hidden="1">'[2]Eq. Mobilization'!#REF!</definedName>
    <definedName name="ㄴㅇㄹㅇㄹ" localSheetId="15" hidden="1">'[2]Eq. Mobilization'!#REF!</definedName>
    <definedName name="ㄴㅇㄹㅇㄹ" localSheetId="16" hidden="1">'[2]Eq. Mobilization'!#REF!</definedName>
    <definedName name="ㄴㅇㄹㅇㄹ" localSheetId="17" hidden="1">'[2]Eq. Mobilization'!#REF!</definedName>
    <definedName name="ㄴㅇㄹㅇㄹ" localSheetId="18" hidden="1">'[2]Eq. Mobilization'!#REF!</definedName>
    <definedName name="ㄴㅇㄹㅇㄹ" localSheetId="19" hidden="1">'[2]Eq. Mobilization'!#REF!</definedName>
    <definedName name="ㄴㅇㄹㅇㄹ" localSheetId="20" hidden="1">'[2]Eq. Mobilization'!#REF!</definedName>
    <definedName name="ㄴㅇㄹㅇㄹ" localSheetId="21" hidden="1">'[2]Eq. Mobilization'!#REF!</definedName>
    <definedName name="ㄴㅇㄹㅇㄹ" localSheetId="22" hidden="1">#REF!</definedName>
    <definedName name="ㄴㅇㄹㅇㄹ" hidden="1">'[2]Eq. Mobilization'!#REF!</definedName>
    <definedName name="느" localSheetId="5" hidden="1">'[1]Eq. Mobilization'!#REF!</definedName>
    <definedName name="느" localSheetId="6" hidden="1">'[1]Eq. Mobilization'!#REF!</definedName>
    <definedName name="느" localSheetId="7" hidden="1">'[1]Eq. Mobilization'!#REF!</definedName>
    <definedName name="느" localSheetId="8" hidden="1">'[1]Eq. Mobilization'!#REF!</definedName>
    <definedName name="느" localSheetId="9" hidden="1">'[1]Eq. Mobilization'!#REF!</definedName>
    <definedName name="느" localSheetId="10" hidden="1">'[1]Eq. Mobilization'!#REF!</definedName>
    <definedName name="느" localSheetId="11" hidden="1">'[1]Eq. Mobilization'!#REF!</definedName>
    <definedName name="느" localSheetId="12" hidden="1">'[1]Eq. Mobilization'!#REF!</definedName>
    <definedName name="느" localSheetId="13" hidden="1">'[1]Eq. Mobilization'!#REF!</definedName>
    <definedName name="느" localSheetId="14" hidden="1">'[1]Eq. Mobilization'!#REF!</definedName>
    <definedName name="느" localSheetId="15" hidden="1">'[1]Eq. Mobilization'!#REF!</definedName>
    <definedName name="느" localSheetId="16" hidden="1">'[1]Eq. Mobilization'!#REF!</definedName>
    <definedName name="느" localSheetId="17" hidden="1">'[1]Eq. Mobilization'!#REF!</definedName>
    <definedName name="느" localSheetId="18" hidden="1">'[1]Eq. Mobilization'!#REF!</definedName>
    <definedName name="느" localSheetId="19" hidden="1">'[1]Eq. Mobilization'!#REF!</definedName>
    <definedName name="느" localSheetId="20" hidden="1">'[1]Eq. Mobilization'!#REF!</definedName>
    <definedName name="느" localSheetId="21" hidden="1">'[1]Eq. Mobilization'!#REF!</definedName>
    <definedName name="느" localSheetId="22" hidden="1">#REF!</definedName>
    <definedName name="느" hidden="1">'[1]Eq. Mobilization'!#REF!</definedName>
    <definedName name="ㅊㅌㅍㅊㅍㅊㅌㅍㅊㅌㅍㅊㅌㅍㅊㅌㅍㅊㅌㅍ" localSheetId="2" hidden="1">'[5]Eq. Mobilization'!#REF!</definedName>
    <definedName name="ㅊㅌㅍㅊㅍㅊㅌㅍㅊㅌㅍㅊㅌㅍㅊㅌㅍㅊㅌㅍ" localSheetId="1" hidden="1">'[5]Eq. Mobilization'!#REF!</definedName>
    <definedName name="ㅊㅌㅍㅊㅍㅊㅌㅍㅊㅌㅍㅊㅌㅍㅊㅌㅍㅊㅌㅍ" localSheetId="0" hidden="1">'[5]Eq. Mobilization'!#REF!</definedName>
    <definedName name="ㅊㅌㅍㅊㅍㅊㅌㅍㅊㅌㅍㅊㅌㅍㅊㅌㅍㅊㅌㅍ" localSheetId="3" hidden="1">'[5]Eq. Mobilization'!#REF!</definedName>
    <definedName name="ㅊㅌㅍㅊㅍㅊㅌㅍㅊㅌㅍㅊㅌㅍㅊㅌㅍㅊㅌㅍ" localSheetId="5" hidden="1">'[5]Eq. Mobilization'!#REF!</definedName>
    <definedName name="ㅊㅌㅍㅊㅍㅊㅌㅍㅊㅌㅍㅊㅌㅍㅊㅌㅍㅊㅌㅍ" localSheetId="6" hidden="1">'[5]Eq. Mobilization'!#REF!</definedName>
    <definedName name="ㅊㅌㅍㅊㅍㅊㅌㅍㅊㅌㅍㅊㅌㅍㅊㅌㅍㅊㅌㅍ" localSheetId="7" hidden="1">'[5]Eq. Mobilization'!#REF!</definedName>
    <definedName name="ㅊㅌㅍㅊㅍㅊㅌㅍㅊㅌㅍㅊㅌㅍㅊㅌㅍㅊㅌㅍ" localSheetId="8" hidden="1">'[5]Eq. Mobilization'!#REF!</definedName>
    <definedName name="ㅊㅌㅍㅊㅍㅊㅌㅍㅊㅌㅍㅊㅌㅍㅊㅌㅍㅊㅌㅍ" localSheetId="9" hidden="1">'[5]Eq. Mobilization'!#REF!</definedName>
    <definedName name="ㅊㅌㅍㅊㅍㅊㅌㅍㅊㅌㅍㅊㅌㅍㅊㅌㅍㅊㅌㅍ" localSheetId="10" hidden="1">'[5]Eq. Mobilization'!#REF!</definedName>
    <definedName name="ㅊㅌㅍㅊㅍㅊㅌㅍㅊㅌㅍㅊㅌㅍㅊㅌㅍㅊㅌㅍ" localSheetId="11" hidden="1">'[5]Eq. Mobilization'!#REF!</definedName>
    <definedName name="ㅊㅌㅍㅊㅍㅊㅌㅍㅊㅌㅍㅊㅌㅍㅊㅌㅍㅊㅌㅍ" localSheetId="12" hidden="1">'[5]Eq. Mobilization'!#REF!</definedName>
    <definedName name="ㅊㅌㅍㅊㅍㅊㅌㅍㅊㅌㅍㅊㅌㅍㅊㅌㅍㅊㅌㅍ" localSheetId="13" hidden="1">'[5]Eq. Mobilization'!#REF!</definedName>
    <definedName name="ㅊㅌㅍㅊㅍㅊㅌㅍㅊㅌㅍㅊㅌㅍㅊㅌㅍㅊㅌㅍ" localSheetId="14" hidden="1">'[5]Eq. Mobilization'!#REF!</definedName>
    <definedName name="ㅊㅌㅍㅊㅍㅊㅌㅍㅊㅌㅍㅊㅌㅍㅊㅌㅍㅊㅌㅍ" localSheetId="15" hidden="1">'[5]Eq. Mobilization'!#REF!</definedName>
    <definedName name="ㅊㅌㅍㅊㅍㅊㅌㅍㅊㅌㅍㅊㅌㅍㅊㅌㅍㅊㅌㅍ" localSheetId="16" hidden="1">'[5]Eq. Mobilization'!#REF!</definedName>
    <definedName name="ㅊㅌㅍㅊㅍㅊㅌㅍㅊㅌㅍㅊㅌㅍㅊㅌㅍㅊㅌㅍ" localSheetId="17" hidden="1">'[5]Eq. Mobilization'!#REF!</definedName>
    <definedName name="ㅊㅌㅍㅊㅍㅊㅌㅍㅊㅌㅍㅊㅌㅍㅊㅌㅍㅊㅌㅍ" localSheetId="18" hidden="1">'[5]Eq. Mobilization'!#REF!</definedName>
    <definedName name="ㅊㅌㅍㅊㅍㅊㅌㅍㅊㅌㅍㅊㅌㅍㅊㅌㅍㅊㅌㅍ" localSheetId="19" hidden="1">'[5]Eq. Mobilization'!#REF!</definedName>
    <definedName name="ㅊㅌㅍㅊㅍㅊㅌㅍㅊㅌㅍㅊㅌㅍㅊㅌㅍㅊㅌㅍ" localSheetId="20" hidden="1">'[5]Eq. Mobilization'!#REF!</definedName>
    <definedName name="ㅊㅌㅍㅊㅍㅊㅌㅍㅊㅌㅍㅊㅌㅍㅊㅌㅍㅊㅌㅍ" localSheetId="21" hidden="1">'[5]Eq. Mobilization'!#REF!</definedName>
    <definedName name="ㅊㅌㅍㅊㅍㅊㅌㅍㅊㅌㅍㅊㅌㅍㅊㅌㅍㅊㅌㅍ" localSheetId="22" hidden="1">#REF!</definedName>
    <definedName name="ㅊㅌㅍㅊㅍㅊㅌㅍㅊㅌㅍㅊㅌㅍㅊㅌㅍㅊㅌㅍ" hidden="1">'[5]Eq. Mobilization'!#REF!</definedName>
    <definedName name="ㅊㅌㅍㅊㅍㅌㅋㅊㅍㅌㅊㅍ" localSheetId="2" hidden="1">'[5]Eq. Mobilization'!#REF!</definedName>
    <definedName name="ㅊㅌㅍㅊㅍㅌㅋㅊㅍㅌㅊㅍ" localSheetId="1" hidden="1">'[5]Eq. Mobilization'!#REF!</definedName>
    <definedName name="ㅊㅌㅍㅊㅍㅌㅋㅊㅍㅌㅊㅍ" localSheetId="0" hidden="1">'[5]Eq. Mobilization'!#REF!</definedName>
    <definedName name="ㅊㅌㅍㅊㅍㅌㅋㅊㅍㅌㅊㅍ" localSheetId="3" hidden="1">'[5]Eq. Mobilization'!#REF!</definedName>
    <definedName name="ㅊㅌㅍㅊㅍㅌㅋㅊㅍㅌㅊㅍ" localSheetId="5" hidden="1">'[5]Eq. Mobilization'!#REF!</definedName>
    <definedName name="ㅊㅌㅍㅊㅍㅌㅋㅊㅍㅌㅊㅍ" localSheetId="6" hidden="1">'[5]Eq. Mobilization'!#REF!</definedName>
    <definedName name="ㅊㅌㅍㅊㅍㅌㅋㅊㅍㅌㅊㅍ" localSheetId="7" hidden="1">'[5]Eq. Mobilization'!#REF!</definedName>
    <definedName name="ㅊㅌㅍㅊㅍㅌㅋㅊㅍㅌㅊㅍ" localSheetId="8" hidden="1">'[5]Eq. Mobilization'!#REF!</definedName>
    <definedName name="ㅊㅌㅍㅊㅍㅌㅋㅊㅍㅌㅊㅍ" localSheetId="9" hidden="1">'[5]Eq. Mobilization'!#REF!</definedName>
    <definedName name="ㅊㅌㅍㅊㅍㅌㅋㅊㅍㅌㅊㅍ" localSheetId="10" hidden="1">'[5]Eq. Mobilization'!#REF!</definedName>
    <definedName name="ㅊㅌㅍㅊㅍㅌㅋㅊㅍㅌㅊㅍ" localSheetId="11" hidden="1">'[5]Eq. Mobilization'!#REF!</definedName>
    <definedName name="ㅊㅌㅍㅊㅍㅌㅋㅊㅍㅌㅊㅍ" localSheetId="12" hidden="1">'[5]Eq. Mobilization'!#REF!</definedName>
    <definedName name="ㅊㅌㅍㅊㅍㅌㅋㅊㅍㅌㅊㅍ" localSheetId="13" hidden="1">'[5]Eq. Mobilization'!#REF!</definedName>
    <definedName name="ㅊㅌㅍㅊㅍㅌㅋㅊㅍㅌㅊㅍ" localSheetId="14" hidden="1">'[5]Eq. Mobilization'!#REF!</definedName>
    <definedName name="ㅊㅌㅍㅊㅍㅌㅋㅊㅍㅌㅊㅍ" localSheetId="15" hidden="1">'[5]Eq. Mobilization'!#REF!</definedName>
    <definedName name="ㅊㅌㅍㅊㅍㅌㅋㅊㅍㅌㅊㅍ" localSheetId="16" hidden="1">'[5]Eq. Mobilization'!#REF!</definedName>
    <definedName name="ㅊㅌㅍㅊㅍㅌㅋㅊㅍㅌㅊㅍ" localSheetId="17" hidden="1">'[5]Eq. Mobilization'!#REF!</definedName>
    <definedName name="ㅊㅌㅍㅊㅍㅌㅋㅊㅍㅌㅊㅍ" localSheetId="18" hidden="1">'[5]Eq. Mobilization'!#REF!</definedName>
    <definedName name="ㅊㅌㅍㅊㅍㅌㅋㅊㅍㅌㅊㅍ" localSheetId="19" hidden="1">'[5]Eq. Mobilization'!#REF!</definedName>
    <definedName name="ㅊㅌㅍㅊㅍㅌㅋㅊㅍㅌㅊㅍ" localSheetId="20" hidden="1">'[5]Eq. Mobilization'!#REF!</definedName>
    <definedName name="ㅊㅌㅍㅊㅍㅌㅋㅊㅍㅌㅊㅍ" localSheetId="21" hidden="1">'[5]Eq. Mobilization'!#REF!</definedName>
    <definedName name="ㅊㅌㅍㅊㅍㅌㅋㅊㅍㅌㅊㅍ" localSheetId="22" hidden="1">#REF!</definedName>
    <definedName name="ㅊㅌㅍㅊㅍㅌㅋㅊㅍㅌㅊㅍ" hidden="1">'[5]Eq. Mobilization'!#REF!</definedName>
    <definedName name="ㅊㅌㅍㅋㅊㅍㅌㅊㅍㅌㅊㅍ" localSheetId="2" hidden="1">'[5]Eq. Mobilization'!#REF!</definedName>
    <definedName name="ㅊㅌㅍㅋㅊㅍㅌㅊㅍㅌㅊㅍ" localSheetId="1" hidden="1">'[5]Eq. Mobilization'!#REF!</definedName>
    <definedName name="ㅊㅌㅍㅋㅊㅍㅌㅊㅍㅌㅊㅍ" localSheetId="0" hidden="1">'[5]Eq. Mobilization'!#REF!</definedName>
    <definedName name="ㅊㅌㅍㅋㅊㅍㅌㅊㅍㅌㅊㅍ" localSheetId="3" hidden="1">'[5]Eq. Mobilization'!#REF!</definedName>
    <definedName name="ㅊㅌㅍㅋㅊㅍㅌㅊㅍㅌㅊㅍ" localSheetId="5" hidden="1">'[5]Eq. Mobilization'!#REF!</definedName>
    <definedName name="ㅊㅌㅍㅋㅊㅍㅌㅊㅍㅌㅊㅍ" localSheetId="6" hidden="1">'[5]Eq. Mobilization'!#REF!</definedName>
    <definedName name="ㅊㅌㅍㅋㅊㅍㅌㅊㅍㅌㅊㅍ" localSheetId="7" hidden="1">'[5]Eq. Mobilization'!#REF!</definedName>
    <definedName name="ㅊㅌㅍㅋㅊㅍㅌㅊㅍㅌㅊㅍ" localSheetId="8" hidden="1">'[5]Eq. Mobilization'!#REF!</definedName>
    <definedName name="ㅊㅌㅍㅋㅊㅍㅌㅊㅍㅌㅊㅍ" localSheetId="9" hidden="1">'[5]Eq. Mobilization'!#REF!</definedName>
    <definedName name="ㅊㅌㅍㅋㅊㅍㅌㅊㅍㅌㅊㅍ" localSheetId="10" hidden="1">'[5]Eq. Mobilization'!#REF!</definedName>
    <definedName name="ㅊㅌㅍㅋㅊㅍㅌㅊㅍㅌㅊㅍ" localSheetId="11" hidden="1">'[5]Eq. Mobilization'!#REF!</definedName>
    <definedName name="ㅊㅌㅍㅋㅊㅍㅌㅊㅍㅌㅊㅍ" localSheetId="12" hidden="1">'[5]Eq. Mobilization'!#REF!</definedName>
    <definedName name="ㅊㅌㅍㅋㅊㅍㅌㅊㅍㅌㅊㅍ" localSheetId="13" hidden="1">'[5]Eq. Mobilization'!#REF!</definedName>
    <definedName name="ㅊㅌㅍㅋㅊㅍㅌㅊㅍㅌㅊㅍ" localSheetId="14" hidden="1">'[5]Eq. Mobilization'!#REF!</definedName>
    <definedName name="ㅊㅌㅍㅋㅊㅍㅌㅊㅍㅌㅊㅍ" localSheetId="15" hidden="1">'[5]Eq. Mobilization'!#REF!</definedName>
    <definedName name="ㅊㅌㅍㅋㅊㅍㅌㅊㅍㅌㅊㅍ" localSheetId="16" hidden="1">'[5]Eq. Mobilization'!#REF!</definedName>
    <definedName name="ㅊㅌㅍㅋㅊㅍㅌㅊㅍㅌㅊㅍ" localSheetId="17" hidden="1">'[5]Eq. Mobilization'!#REF!</definedName>
    <definedName name="ㅊㅌㅍㅋㅊㅍㅌㅊㅍㅌㅊㅍ" localSheetId="18" hidden="1">'[5]Eq. Mobilization'!#REF!</definedName>
    <definedName name="ㅊㅌㅍㅋㅊㅍㅌㅊㅍㅌㅊㅍ" localSheetId="19" hidden="1">'[5]Eq. Mobilization'!#REF!</definedName>
    <definedName name="ㅊㅌㅍㅋㅊㅍㅌㅊㅍㅌㅊㅍ" localSheetId="20" hidden="1">'[5]Eq. Mobilization'!#REF!</definedName>
    <definedName name="ㅊㅌㅍㅋㅊㅍㅌㅊㅍㅌㅊㅍ" localSheetId="21" hidden="1">'[5]Eq. Mobilization'!#REF!</definedName>
    <definedName name="ㅊㅌㅍㅋㅊㅍㅌㅊㅍㅌㅊㅍ" localSheetId="22" hidden="1">#REF!</definedName>
    <definedName name="ㅊㅌㅍㅋㅊㅍㅌㅊㅍㅌㅊㅍ" hidden="1">'[5]Eq. Mobilization'!#REF!</definedName>
    <definedName name="ㅊㅌㅍㅌㅊㅍㅊㅌㅍㅌㅊㅍㅌㅊㅍ" localSheetId="2" hidden="1">'[5]Eq. Mobilization'!#REF!</definedName>
    <definedName name="ㅊㅌㅍㅌㅊㅍㅊㅌㅍㅌㅊㅍㅌㅊㅍ" localSheetId="1" hidden="1">'[5]Eq. Mobilization'!#REF!</definedName>
    <definedName name="ㅊㅌㅍㅌㅊㅍㅊㅌㅍㅌㅊㅍㅌㅊㅍ" localSheetId="0" hidden="1">'[5]Eq. Mobilization'!#REF!</definedName>
    <definedName name="ㅊㅌㅍㅌㅊㅍㅊㅌㅍㅌㅊㅍㅌㅊㅍ" localSheetId="3" hidden="1">'[5]Eq. Mobilization'!#REF!</definedName>
    <definedName name="ㅊㅌㅍㅌㅊㅍㅊㅌㅍㅌㅊㅍㅌㅊㅍ" localSheetId="5" hidden="1">'[5]Eq. Mobilization'!#REF!</definedName>
    <definedName name="ㅊㅌㅍㅌㅊㅍㅊㅌㅍㅌㅊㅍㅌㅊㅍ" localSheetId="6" hidden="1">'[5]Eq. Mobilization'!#REF!</definedName>
    <definedName name="ㅊㅌㅍㅌㅊㅍㅊㅌㅍㅌㅊㅍㅌㅊㅍ" localSheetId="7" hidden="1">'[5]Eq. Mobilization'!#REF!</definedName>
    <definedName name="ㅊㅌㅍㅌㅊㅍㅊㅌㅍㅌㅊㅍㅌㅊㅍ" localSheetId="8" hidden="1">'[5]Eq. Mobilization'!#REF!</definedName>
    <definedName name="ㅊㅌㅍㅌㅊㅍㅊㅌㅍㅌㅊㅍㅌㅊㅍ" localSheetId="9" hidden="1">'[5]Eq. Mobilization'!#REF!</definedName>
    <definedName name="ㅊㅌㅍㅌㅊㅍㅊㅌㅍㅌㅊㅍㅌㅊㅍ" localSheetId="10" hidden="1">'[5]Eq. Mobilization'!#REF!</definedName>
    <definedName name="ㅊㅌㅍㅌㅊㅍㅊㅌㅍㅌㅊㅍㅌㅊㅍ" localSheetId="11" hidden="1">'[5]Eq. Mobilization'!#REF!</definedName>
    <definedName name="ㅊㅌㅍㅌㅊㅍㅊㅌㅍㅌㅊㅍㅌㅊㅍ" localSheetId="12" hidden="1">'[5]Eq. Mobilization'!#REF!</definedName>
    <definedName name="ㅊㅌㅍㅌㅊㅍㅊㅌㅍㅌㅊㅍㅌㅊㅍ" localSheetId="13" hidden="1">'[5]Eq. Mobilization'!#REF!</definedName>
    <definedName name="ㅊㅌㅍㅌㅊㅍㅊㅌㅍㅌㅊㅍㅌㅊㅍ" localSheetId="14" hidden="1">'[5]Eq. Mobilization'!#REF!</definedName>
    <definedName name="ㅊㅌㅍㅌㅊㅍㅊㅌㅍㅌㅊㅍㅌㅊㅍ" localSheetId="15" hidden="1">'[5]Eq. Mobilization'!#REF!</definedName>
    <definedName name="ㅊㅌㅍㅌㅊㅍㅊㅌㅍㅌㅊㅍㅌㅊㅍ" localSheetId="16" hidden="1">'[5]Eq. Mobilization'!#REF!</definedName>
    <definedName name="ㅊㅌㅍㅌㅊㅍㅊㅌㅍㅌㅊㅍㅌㅊㅍ" localSheetId="17" hidden="1">'[5]Eq. Mobilization'!#REF!</definedName>
    <definedName name="ㅊㅌㅍㅌㅊㅍㅊㅌㅍㅌㅊㅍㅌㅊㅍ" localSheetId="18" hidden="1">'[5]Eq. Mobilization'!#REF!</definedName>
    <definedName name="ㅊㅌㅍㅌㅊㅍㅊㅌㅍㅌㅊㅍㅌㅊㅍ" localSheetId="19" hidden="1">'[5]Eq. Mobilization'!#REF!</definedName>
    <definedName name="ㅊㅌㅍㅌㅊㅍㅊㅌㅍㅌㅊㅍㅌㅊㅍ" localSheetId="20" hidden="1">'[5]Eq. Mobilization'!#REF!</definedName>
    <definedName name="ㅊㅌㅍㅌㅊㅍㅊㅌㅍㅌㅊㅍㅌㅊㅍ" localSheetId="21" hidden="1">'[5]Eq. Mobilization'!#REF!</definedName>
    <definedName name="ㅊㅌㅍㅌㅊㅍㅊㅌㅍㅌㅊㅍㅌㅊㅍ" localSheetId="22" hidden="1">#REF!</definedName>
    <definedName name="ㅊㅌㅍㅌㅊㅍㅊㅌㅍㅌㅊㅍㅌㅊㅍ" hidden="1">'[5]Eq. Mobilization'!#REF!</definedName>
    <definedName name="ㅋ" localSheetId="2" hidden="1">'[5]Eq. Mobilization'!#REF!</definedName>
    <definedName name="ㅋ" localSheetId="1" hidden="1">'[5]Eq. Mobilization'!#REF!</definedName>
    <definedName name="ㅋ" localSheetId="0" hidden="1">'[5]Eq. Mobilization'!#REF!</definedName>
    <definedName name="ㅋ" localSheetId="3" hidden="1">'[5]Eq. Mobilization'!#REF!</definedName>
    <definedName name="ㅋ" localSheetId="5" hidden="1">'[5]Eq. Mobilization'!#REF!</definedName>
    <definedName name="ㅋ" localSheetId="6" hidden="1">'[5]Eq. Mobilization'!#REF!</definedName>
    <definedName name="ㅋ" localSheetId="7" hidden="1">'[5]Eq. Mobilization'!#REF!</definedName>
    <definedName name="ㅋ" localSheetId="8" hidden="1">'[5]Eq. Mobilization'!#REF!</definedName>
    <definedName name="ㅋ" localSheetId="9" hidden="1">'[5]Eq. Mobilization'!#REF!</definedName>
    <definedName name="ㅋ" localSheetId="10" hidden="1">'[5]Eq. Mobilization'!#REF!</definedName>
    <definedName name="ㅋ" localSheetId="11" hidden="1">'[5]Eq. Mobilization'!#REF!</definedName>
    <definedName name="ㅋ" localSheetId="12" hidden="1">'[5]Eq. Mobilization'!#REF!</definedName>
    <definedName name="ㅋ" localSheetId="13" hidden="1">'[5]Eq. Mobilization'!#REF!</definedName>
    <definedName name="ㅋ" localSheetId="14" hidden="1">'[5]Eq. Mobilization'!#REF!</definedName>
    <definedName name="ㅋ" localSheetId="15" hidden="1">'[5]Eq. Mobilization'!#REF!</definedName>
    <definedName name="ㅋ" localSheetId="16" hidden="1">'[5]Eq. Mobilization'!#REF!</definedName>
    <definedName name="ㅋ" localSheetId="17" hidden="1">'[5]Eq. Mobilization'!#REF!</definedName>
    <definedName name="ㅋ" localSheetId="18" hidden="1">'[5]Eq. Mobilization'!#REF!</definedName>
    <definedName name="ㅋ" localSheetId="19" hidden="1">'[5]Eq. Mobilization'!#REF!</definedName>
    <definedName name="ㅋ" localSheetId="20" hidden="1">'[5]Eq. Mobilization'!#REF!</definedName>
    <definedName name="ㅋ" localSheetId="21" hidden="1">'[5]Eq. Mobilization'!#REF!</definedName>
    <definedName name="ㅋ" localSheetId="22" hidden="1">#REF!</definedName>
    <definedName name="ㅋ" hidden="1">'[5]Eq. Mobilization'!#REF!</definedName>
    <definedName name="ㅋㅋㅋㅋ" localSheetId="2" hidden="1">'[5]Eq. Mobilization'!#REF!</definedName>
    <definedName name="ㅋㅋㅋㅋ" localSheetId="1" hidden="1">'[5]Eq. Mobilization'!#REF!</definedName>
    <definedName name="ㅋㅋㅋㅋ" localSheetId="0" hidden="1">'[5]Eq. Mobilization'!#REF!</definedName>
    <definedName name="ㅋㅋㅋㅋ" localSheetId="3" hidden="1">'[5]Eq. Mobilization'!#REF!</definedName>
    <definedName name="ㅋㅋㅋㅋ" localSheetId="5" hidden="1">'[5]Eq. Mobilization'!#REF!</definedName>
    <definedName name="ㅋㅋㅋㅋ" localSheetId="6" hidden="1">'[5]Eq. Mobilization'!#REF!</definedName>
    <definedName name="ㅋㅋㅋㅋ" localSheetId="7" hidden="1">'[5]Eq. Mobilization'!#REF!</definedName>
    <definedName name="ㅋㅋㅋㅋ" localSheetId="8" hidden="1">'[5]Eq. Mobilization'!#REF!</definedName>
    <definedName name="ㅋㅋㅋㅋ" localSheetId="9" hidden="1">'[5]Eq. Mobilization'!#REF!</definedName>
    <definedName name="ㅋㅋㅋㅋ" localSheetId="10" hidden="1">'[5]Eq. Mobilization'!#REF!</definedName>
    <definedName name="ㅋㅋㅋㅋ" localSheetId="11" hidden="1">'[5]Eq. Mobilization'!#REF!</definedName>
    <definedName name="ㅋㅋㅋㅋ" localSheetId="12" hidden="1">'[5]Eq. Mobilization'!#REF!</definedName>
    <definedName name="ㅋㅋㅋㅋ" localSheetId="13" hidden="1">'[5]Eq. Mobilization'!#REF!</definedName>
    <definedName name="ㅋㅋㅋㅋ" localSheetId="14" hidden="1">'[5]Eq. Mobilization'!#REF!</definedName>
    <definedName name="ㅋㅋㅋㅋ" localSheetId="15" hidden="1">'[5]Eq. Mobilization'!#REF!</definedName>
    <definedName name="ㅋㅋㅋㅋ" localSheetId="16" hidden="1">'[5]Eq. Mobilization'!#REF!</definedName>
    <definedName name="ㅋㅋㅋㅋ" localSheetId="17" hidden="1">'[5]Eq. Mobilization'!#REF!</definedName>
    <definedName name="ㅋㅋㅋㅋ" localSheetId="18" hidden="1">'[5]Eq. Mobilization'!#REF!</definedName>
    <definedName name="ㅋㅋㅋㅋ" localSheetId="19" hidden="1">'[5]Eq. Mobilization'!#REF!</definedName>
    <definedName name="ㅋㅋㅋㅋ" localSheetId="20" hidden="1">'[5]Eq. Mobilization'!#REF!</definedName>
    <definedName name="ㅋㅋㅋㅋ" localSheetId="21" hidden="1">'[5]Eq. Mobilization'!#REF!</definedName>
    <definedName name="ㅋㅋㅋㅋ" localSheetId="22" hidden="1">#REF!</definedName>
    <definedName name="ㅋㅋㅋㅋ" hidden="1">'[5]Eq. Mobilization'!#REF!</definedName>
    <definedName name="ㅋㅋㅋㅋㅋㅋ" localSheetId="2" hidden="1">'[5]Eq. Mobilization'!#REF!</definedName>
    <definedName name="ㅋㅋㅋㅋㅋㅋ" localSheetId="1" hidden="1">'[5]Eq. Mobilization'!#REF!</definedName>
    <definedName name="ㅋㅋㅋㅋㅋㅋ" localSheetId="0" hidden="1">'[5]Eq. Mobilization'!#REF!</definedName>
    <definedName name="ㅋㅋㅋㅋㅋㅋ" localSheetId="3" hidden="1">'[5]Eq. Mobilization'!#REF!</definedName>
    <definedName name="ㅋㅋㅋㅋㅋㅋ" localSheetId="5" hidden="1">'[5]Eq. Mobilization'!#REF!</definedName>
    <definedName name="ㅋㅋㅋㅋㅋㅋ" localSheetId="6" hidden="1">'[5]Eq. Mobilization'!#REF!</definedName>
    <definedName name="ㅋㅋㅋㅋㅋㅋ" localSheetId="7" hidden="1">'[5]Eq. Mobilization'!#REF!</definedName>
    <definedName name="ㅋㅋㅋㅋㅋㅋ" localSheetId="8" hidden="1">'[5]Eq. Mobilization'!#REF!</definedName>
    <definedName name="ㅋㅋㅋㅋㅋㅋ" localSheetId="9" hidden="1">'[5]Eq. Mobilization'!#REF!</definedName>
    <definedName name="ㅋㅋㅋㅋㅋㅋ" localSheetId="10" hidden="1">'[5]Eq. Mobilization'!#REF!</definedName>
    <definedName name="ㅋㅋㅋㅋㅋㅋ" localSheetId="11" hidden="1">'[5]Eq. Mobilization'!#REF!</definedName>
    <definedName name="ㅋㅋㅋㅋㅋㅋ" localSheetId="12" hidden="1">'[5]Eq. Mobilization'!#REF!</definedName>
    <definedName name="ㅋㅋㅋㅋㅋㅋ" localSheetId="13" hidden="1">'[5]Eq. Mobilization'!#REF!</definedName>
    <definedName name="ㅋㅋㅋㅋㅋㅋ" localSheetId="14" hidden="1">'[5]Eq. Mobilization'!#REF!</definedName>
    <definedName name="ㅋㅋㅋㅋㅋㅋ" localSheetId="15" hidden="1">'[5]Eq. Mobilization'!#REF!</definedName>
    <definedName name="ㅋㅋㅋㅋㅋㅋ" localSheetId="16" hidden="1">'[5]Eq. Mobilization'!#REF!</definedName>
    <definedName name="ㅋㅋㅋㅋㅋㅋ" localSheetId="17" hidden="1">'[5]Eq. Mobilization'!#REF!</definedName>
    <definedName name="ㅋㅋㅋㅋㅋㅋ" localSheetId="18" hidden="1">'[5]Eq. Mobilization'!#REF!</definedName>
    <definedName name="ㅋㅋㅋㅋㅋㅋ" localSheetId="19" hidden="1">'[5]Eq. Mobilization'!#REF!</definedName>
    <definedName name="ㅋㅋㅋㅋㅋㅋ" localSheetId="20" hidden="1">'[5]Eq. Mobilization'!#REF!</definedName>
    <definedName name="ㅋㅋㅋㅋㅋㅋ" localSheetId="21" hidden="1">'[5]Eq. Mobilization'!#REF!</definedName>
    <definedName name="ㅋㅋㅋㅋㅋㅋ" localSheetId="22" hidden="1">#REF!</definedName>
    <definedName name="ㅋㅋㅋㅋㅋㅋ" hidden="1">'[5]Eq. Mobilization'!#REF!</definedName>
    <definedName name="ㅋㅋㅋㅋㅋㅋㅋㅋㅋ" localSheetId="2" hidden="1">'[5]Eq. Mobilization'!#REF!</definedName>
    <definedName name="ㅋㅋㅋㅋㅋㅋㅋㅋㅋ" localSheetId="1" hidden="1">'[5]Eq. Mobilization'!#REF!</definedName>
    <definedName name="ㅋㅋㅋㅋㅋㅋㅋㅋㅋ" localSheetId="0" hidden="1">'[5]Eq. Mobilization'!#REF!</definedName>
    <definedName name="ㅋㅋㅋㅋㅋㅋㅋㅋㅋ" localSheetId="3" hidden="1">'[5]Eq. Mobilization'!#REF!</definedName>
    <definedName name="ㅋㅋㅋㅋㅋㅋㅋㅋㅋ" localSheetId="5" hidden="1">'[5]Eq. Mobilization'!#REF!</definedName>
    <definedName name="ㅋㅋㅋㅋㅋㅋㅋㅋㅋ" localSheetId="6" hidden="1">'[5]Eq. Mobilization'!#REF!</definedName>
    <definedName name="ㅋㅋㅋㅋㅋㅋㅋㅋㅋ" localSheetId="7" hidden="1">'[5]Eq. Mobilization'!#REF!</definedName>
    <definedName name="ㅋㅋㅋㅋㅋㅋㅋㅋㅋ" localSheetId="8" hidden="1">'[5]Eq. Mobilization'!#REF!</definedName>
    <definedName name="ㅋㅋㅋㅋㅋㅋㅋㅋㅋ" localSheetId="9" hidden="1">'[5]Eq. Mobilization'!#REF!</definedName>
    <definedName name="ㅋㅋㅋㅋㅋㅋㅋㅋㅋ" localSheetId="10" hidden="1">'[5]Eq. Mobilization'!#REF!</definedName>
    <definedName name="ㅋㅋㅋㅋㅋㅋㅋㅋㅋ" localSheetId="11" hidden="1">'[5]Eq. Mobilization'!#REF!</definedName>
    <definedName name="ㅋㅋㅋㅋㅋㅋㅋㅋㅋ" localSheetId="12" hidden="1">'[5]Eq. Mobilization'!#REF!</definedName>
    <definedName name="ㅋㅋㅋㅋㅋㅋㅋㅋㅋ" localSheetId="13" hidden="1">'[5]Eq. Mobilization'!#REF!</definedName>
    <definedName name="ㅋㅋㅋㅋㅋㅋㅋㅋㅋ" localSheetId="14" hidden="1">'[5]Eq. Mobilization'!#REF!</definedName>
    <definedName name="ㅋㅋㅋㅋㅋㅋㅋㅋㅋ" localSheetId="15" hidden="1">'[5]Eq. Mobilization'!#REF!</definedName>
    <definedName name="ㅋㅋㅋㅋㅋㅋㅋㅋㅋ" localSheetId="16" hidden="1">'[5]Eq. Mobilization'!#REF!</definedName>
    <definedName name="ㅋㅋㅋㅋㅋㅋㅋㅋㅋ" localSheetId="17" hidden="1">'[5]Eq. Mobilization'!#REF!</definedName>
    <definedName name="ㅋㅋㅋㅋㅋㅋㅋㅋㅋ" localSheetId="18" hidden="1">'[5]Eq. Mobilization'!#REF!</definedName>
    <definedName name="ㅋㅋㅋㅋㅋㅋㅋㅋㅋ" localSheetId="19" hidden="1">'[5]Eq. Mobilization'!#REF!</definedName>
    <definedName name="ㅋㅋㅋㅋㅋㅋㅋㅋㅋ" localSheetId="20" hidden="1">'[5]Eq. Mobilization'!#REF!</definedName>
    <definedName name="ㅋㅋㅋㅋㅋㅋㅋㅋㅋ" localSheetId="21" hidden="1">'[5]Eq. Mobilization'!#REF!</definedName>
    <definedName name="ㅋㅋㅋㅋㅋㅋㅋㅋㅋ" localSheetId="22" hidden="1">#REF!</definedName>
    <definedName name="ㅋㅋㅋㅋㅋㅋㅋㅋㅋ" hidden="1">'[5]Eq. Mobilization'!#REF!</definedName>
    <definedName name="ㅌㅊㅍㅌㅊㅍㅌㅋㅊㅍㅌ" localSheetId="2" hidden="1">'[5]Eq. Mobilization'!#REF!</definedName>
    <definedName name="ㅌㅊㅍㅌㅊㅍㅌㅋㅊㅍㅌ" localSheetId="1" hidden="1">'[5]Eq. Mobilization'!#REF!</definedName>
    <definedName name="ㅌㅊㅍㅌㅊㅍㅌㅋㅊㅍㅌ" localSheetId="0" hidden="1">'[5]Eq. Mobilization'!#REF!</definedName>
    <definedName name="ㅌㅊㅍㅌㅊㅍㅌㅋㅊㅍㅌ" localSheetId="3" hidden="1">'[5]Eq. Mobilization'!#REF!</definedName>
    <definedName name="ㅌㅊㅍㅌㅊㅍㅌㅋㅊㅍㅌ" localSheetId="5" hidden="1">'[5]Eq. Mobilization'!#REF!</definedName>
    <definedName name="ㅌㅊㅍㅌㅊㅍㅌㅋㅊㅍㅌ" localSheetId="6" hidden="1">'[5]Eq. Mobilization'!#REF!</definedName>
    <definedName name="ㅌㅊㅍㅌㅊㅍㅌㅋㅊㅍㅌ" localSheetId="7" hidden="1">'[5]Eq. Mobilization'!#REF!</definedName>
    <definedName name="ㅌㅊㅍㅌㅊㅍㅌㅋㅊㅍㅌ" localSheetId="8" hidden="1">'[5]Eq. Mobilization'!#REF!</definedName>
    <definedName name="ㅌㅊㅍㅌㅊㅍㅌㅋㅊㅍㅌ" localSheetId="9" hidden="1">'[5]Eq. Mobilization'!#REF!</definedName>
    <definedName name="ㅌㅊㅍㅌㅊㅍㅌㅋㅊㅍㅌ" localSheetId="10" hidden="1">'[5]Eq. Mobilization'!#REF!</definedName>
    <definedName name="ㅌㅊㅍㅌㅊㅍㅌㅋㅊㅍㅌ" localSheetId="11" hidden="1">'[5]Eq. Mobilization'!#REF!</definedName>
    <definedName name="ㅌㅊㅍㅌㅊㅍㅌㅋㅊㅍㅌ" localSheetId="12" hidden="1">'[5]Eq. Mobilization'!#REF!</definedName>
    <definedName name="ㅌㅊㅍㅌㅊㅍㅌㅋㅊㅍㅌ" localSheetId="13" hidden="1">'[5]Eq. Mobilization'!#REF!</definedName>
    <definedName name="ㅌㅊㅍㅌㅊㅍㅌㅋㅊㅍㅌ" localSheetId="14" hidden="1">'[5]Eq. Mobilization'!#REF!</definedName>
    <definedName name="ㅌㅊㅍㅌㅊㅍㅌㅋㅊㅍㅌ" localSheetId="15" hidden="1">'[5]Eq. Mobilization'!#REF!</definedName>
    <definedName name="ㅌㅊㅍㅌㅊㅍㅌㅋㅊㅍㅌ" localSheetId="16" hidden="1">'[5]Eq. Mobilization'!#REF!</definedName>
    <definedName name="ㅌㅊㅍㅌㅊㅍㅌㅋㅊㅍㅌ" localSheetId="17" hidden="1">'[5]Eq. Mobilization'!#REF!</definedName>
    <definedName name="ㅌㅊㅍㅌㅊㅍㅌㅋㅊㅍㅌ" localSheetId="18" hidden="1">'[5]Eq. Mobilization'!#REF!</definedName>
    <definedName name="ㅌㅊㅍㅌㅊㅍㅌㅋㅊㅍㅌ" localSheetId="19" hidden="1">'[5]Eq. Mobilization'!#REF!</definedName>
    <definedName name="ㅌㅊㅍㅌㅊㅍㅌㅋㅊㅍㅌ" localSheetId="20" hidden="1">'[5]Eq. Mobilization'!#REF!</definedName>
    <definedName name="ㅌㅊㅍㅌㅊㅍㅌㅋㅊㅍㅌ" localSheetId="21" hidden="1">'[5]Eq. Mobilization'!#REF!</definedName>
    <definedName name="ㅌㅊㅍㅌㅊㅍㅌㅋㅊㅍㅌ" localSheetId="22" hidden="1">#REF!</definedName>
    <definedName name="ㅌㅊㅍㅌㅊㅍㅌㅋㅊㅍㅌ" hidden="1">'[5]Eq. Mobilization'!#REF!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 i="1" l="1"/>
  <c r="M140" i="2"/>
  <c r="M141" i="2"/>
  <c r="M142" i="2"/>
  <c r="M143" i="2"/>
  <c r="M144" i="2"/>
  <c r="M145" i="2"/>
  <c r="M139" i="2"/>
  <c r="G69" i="2"/>
  <c r="V69" i="2"/>
  <c r="X69" i="2"/>
  <c r="G70" i="2"/>
  <c r="G71" i="2"/>
  <c r="V71" i="2"/>
  <c r="X71" i="2"/>
  <c r="G72" i="2"/>
  <c r="V72" i="2"/>
  <c r="X72" i="2"/>
  <c r="G73" i="2"/>
  <c r="V73" i="2"/>
  <c r="X73" i="2"/>
  <c r="G74" i="2"/>
  <c r="V74" i="2"/>
  <c r="X74" i="2"/>
  <c r="G75" i="2"/>
  <c r="V75" i="2"/>
  <c r="X75" i="2"/>
  <c r="V70" i="2"/>
  <c r="X70" i="2"/>
  <c r="G117" i="2"/>
  <c r="V117" i="2"/>
  <c r="X117" i="2"/>
  <c r="C15" i="44"/>
  <c r="C15" i="43"/>
  <c r="C15" i="42"/>
  <c r="C15" i="41"/>
  <c r="C15" i="40"/>
  <c r="C15" i="39"/>
  <c r="C15" i="38"/>
  <c r="C15" i="37"/>
  <c r="C15" i="36"/>
  <c r="C15" i="35"/>
  <c r="C15" i="34"/>
  <c r="C15" i="47"/>
  <c r="C15" i="46"/>
  <c r="C15" i="45"/>
  <c r="C21" i="47"/>
  <c r="C14" i="47"/>
  <c r="A3" i="47"/>
  <c r="C21" i="46"/>
  <c r="C14" i="46"/>
  <c r="A3" i="46"/>
  <c r="C21" i="45"/>
  <c r="C14" i="45"/>
  <c r="A3" i="45"/>
  <c r="C21" i="44"/>
  <c r="C14" i="44"/>
  <c r="A3" i="44"/>
  <c r="P134" i="31"/>
  <c r="J117" i="2"/>
  <c r="G34" i="2"/>
  <c r="V34" i="2"/>
  <c r="X34" i="2"/>
  <c r="G35" i="2"/>
  <c r="V35" i="2"/>
  <c r="X35" i="2"/>
  <c r="G36" i="2"/>
  <c r="V36" i="2"/>
  <c r="X36" i="2"/>
  <c r="G37" i="2"/>
  <c r="V37" i="2"/>
  <c r="X37" i="2"/>
  <c r="G38" i="2"/>
  <c r="V38" i="2"/>
  <c r="X38" i="2"/>
  <c r="G39" i="2"/>
  <c r="V39" i="2"/>
  <c r="X39" i="2"/>
  <c r="G40" i="2"/>
  <c r="V40" i="2"/>
  <c r="X40" i="2"/>
  <c r="G41" i="2"/>
  <c r="V41" i="2"/>
  <c r="X41" i="2"/>
  <c r="G42" i="2"/>
  <c r="V42" i="2"/>
  <c r="X42" i="2"/>
  <c r="G43" i="2"/>
  <c r="V43" i="2"/>
  <c r="X43" i="2"/>
  <c r="G44" i="2"/>
  <c r="V44" i="2"/>
  <c r="X44" i="2"/>
  <c r="G45" i="2"/>
  <c r="V45" i="2"/>
  <c r="X45" i="2"/>
  <c r="G46" i="2"/>
  <c r="V46" i="2"/>
  <c r="X46" i="2"/>
  <c r="G47" i="2"/>
  <c r="V47" i="2"/>
  <c r="X47" i="2"/>
  <c r="G48" i="2"/>
  <c r="V48" i="2"/>
  <c r="X48" i="2"/>
  <c r="G49" i="2"/>
  <c r="V49" i="2"/>
  <c r="X49" i="2"/>
  <c r="G50" i="2"/>
  <c r="V50" i="2"/>
  <c r="X50" i="2"/>
  <c r="G51" i="2"/>
  <c r="V51" i="2"/>
  <c r="X51" i="2"/>
  <c r="G52" i="2"/>
  <c r="V52" i="2"/>
  <c r="X52" i="2"/>
  <c r="G53" i="2"/>
  <c r="V53" i="2"/>
  <c r="X53" i="2"/>
  <c r="G54" i="2"/>
  <c r="V54" i="2"/>
  <c r="X54" i="2"/>
  <c r="G55" i="2"/>
  <c r="V55" i="2"/>
  <c r="X55" i="2"/>
  <c r="G56" i="2"/>
  <c r="V56" i="2"/>
  <c r="X56" i="2"/>
  <c r="G57" i="2"/>
  <c r="V57" i="2"/>
  <c r="X57" i="2"/>
  <c r="G58" i="2"/>
  <c r="V58" i="2"/>
  <c r="X58" i="2"/>
  <c r="G59" i="2"/>
  <c r="V59" i="2"/>
  <c r="X59" i="2"/>
  <c r="G60" i="2"/>
  <c r="V60" i="2"/>
  <c r="X60" i="2"/>
  <c r="G61" i="2"/>
  <c r="V61" i="2"/>
  <c r="X61" i="2"/>
  <c r="G62" i="2"/>
  <c r="V62" i="2"/>
  <c r="X62" i="2"/>
  <c r="G63" i="2"/>
  <c r="V63" i="2"/>
  <c r="X63" i="2"/>
  <c r="G64" i="2"/>
  <c r="V64" i="2"/>
  <c r="X64" i="2"/>
  <c r="G65" i="2"/>
  <c r="V65" i="2"/>
  <c r="X65" i="2"/>
  <c r="G66" i="2"/>
  <c r="V66" i="2"/>
  <c r="X66" i="2"/>
  <c r="G67" i="2"/>
  <c r="V67" i="2"/>
  <c r="X67" i="2"/>
  <c r="G68" i="2"/>
  <c r="V68" i="2"/>
  <c r="X68" i="2"/>
  <c r="G76" i="2"/>
  <c r="V76" i="2"/>
  <c r="X76" i="2"/>
  <c r="G77" i="2"/>
  <c r="V77" i="2"/>
  <c r="X77" i="2"/>
  <c r="G115" i="2"/>
  <c r="V115" i="2"/>
  <c r="X115" i="2"/>
  <c r="G116" i="2"/>
  <c r="V116" i="2"/>
  <c r="X116" i="2"/>
  <c r="G118" i="2"/>
  <c r="V118" i="2"/>
  <c r="X118" i="2"/>
  <c r="G119" i="2"/>
  <c r="V119" i="2"/>
  <c r="X119" i="2"/>
  <c r="G127" i="2"/>
  <c r="V127" i="2"/>
  <c r="X127" i="2"/>
  <c r="G126" i="2"/>
  <c r="V126" i="2"/>
  <c r="X126" i="2"/>
  <c r="C94" i="31"/>
  <c r="P91" i="31"/>
  <c r="J76" i="2"/>
  <c r="P90" i="31"/>
  <c r="J75" i="2"/>
  <c r="K75" i="2"/>
  <c r="M75" i="2"/>
  <c r="P136" i="31"/>
  <c r="J119" i="2"/>
  <c r="P135" i="31"/>
  <c r="J118" i="2"/>
  <c r="P133" i="31"/>
  <c r="J116" i="2"/>
  <c r="P132" i="31"/>
  <c r="J115" i="2"/>
  <c r="K117" i="2"/>
  <c r="M117" i="2"/>
  <c r="K115" i="2"/>
  <c r="M115" i="2"/>
  <c r="K118" i="2"/>
  <c r="M118" i="2"/>
  <c r="K119" i="2"/>
  <c r="M119" i="2"/>
  <c r="K76" i="2"/>
  <c r="M76" i="2"/>
  <c r="K116" i="2"/>
  <c r="M116" i="2"/>
  <c r="I148" i="31"/>
  <c r="C146" i="31"/>
  <c r="C147" i="31"/>
  <c r="P147" i="31"/>
  <c r="J127" i="2"/>
  <c r="K127" i="2"/>
  <c r="M127" i="2"/>
  <c r="P146" i="31"/>
  <c r="J126" i="2"/>
  <c r="K126" i="2"/>
  <c r="M126" i="2"/>
  <c r="G30" i="2"/>
  <c r="V30" i="2"/>
  <c r="X30" i="2"/>
  <c r="G29" i="2"/>
  <c r="V29" i="2"/>
  <c r="X29" i="2"/>
  <c r="G28" i="2"/>
  <c r="V28" i="2"/>
  <c r="X28" i="2"/>
  <c r="G27" i="2"/>
  <c r="V27" i="2"/>
  <c r="X27" i="2"/>
  <c r="I18" i="30"/>
  <c r="C20" i="34"/>
  <c r="J18" i="30"/>
  <c r="E20" i="34"/>
  <c r="K18" i="30"/>
  <c r="G20" i="34"/>
  <c r="I19" i="30"/>
  <c r="C20" i="35"/>
  <c r="J19" i="30"/>
  <c r="E20" i="35"/>
  <c r="K19" i="30"/>
  <c r="G20" i="35"/>
  <c r="I20" i="30"/>
  <c r="C20" i="36"/>
  <c r="J20" i="30"/>
  <c r="E20" i="36"/>
  <c r="K20" i="30"/>
  <c r="G20" i="36"/>
  <c r="I21" i="30"/>
  <c r="C20" i="37"/>
  <c r="J21" i="30"/>
  <c r="E20" i="37"/>
  <c r="K21" i="30"/>
  <c r="G20" i="37"/>
  <c r="H22" i="30"/>
  <c r="H23" i="30"/>
  <c r="H24" i="30"/>
  <c r="H25" i="30"/>
  <c r="H26" i="30"/>
  <c r="H27" i="30"/>
  <c r="H28" i="30"/>
  <c r="H29" i="30"/>
  <c r="H30" i="30"/>
  <c r="H31" i="30"/>
  <c r="H21" i="30"/>
  <c r="H20" i="30"/>
  <c r="H19" i="30"/>
  <c r="H18" i="30"/>
  <c r="H17" i="30"/>
  <c r="H16" i="30"/>
  <c r="H15" i="30"/>
  <c r="C18" i="30"/>
  <c r="C17" i="34"/>
  <c r="C19" i="30"/>
  <c r="C17" i="35"/>
  <c r="C20" i="30"/>
  <c r="C17" i="36"/>
  <c r="C21" i="30"/>
  <c r="C17" i="37"/>
  <c r="I92" i="31"/>
  <c r="I35" i="31"/>
  <c r="O43" i="31"/>
  <c r="L21" i="30"/>
  <c r="K36" i="3"/>
  <c r="I43" i="31"/>
  <c r="F21" i="30"/>
  <c r="H36" i="3"/>
  <c r="P42" i="31"/>
  <c r="P43" i="31"/>
  <c r="Q43" i="31"/>
  <c r="N21" i="30"/>
  <c r="J36" i="3"/>
  <c r="O41" i="31"/>
  <c r="L20" i="30"/>
  <c r="K35" i="3"/>
  <c r="I41" i="31"/>
  <c r="F20" i="30"/>
  <c r="H35" i="3"/>
  <c r="P40" i="31"/>
  <c r="P41" i="31"/>
  <c r="Q41" i="31"/>
  <c r="K29" i="2"/>
  <c r="M29" i="2"/>
  <c r="O39" i="31"/>
  <c r="L19" i="30"/>
  <c r="K34" i="3"/>
  <c r="I39" i="31"/>
  <c r="F19" i="30"/>
  <c r="H34" i="3"/>
  <c r="P38" i="31"/>
  <c r="P39" i="31"/>
  <c r="Q39" i="31"/>
  <c r="K28" i="2"/>
  <c r="M28" i="2"/>
  <c r="O37" i="31"/>
  <c r="L18" i="30"/>
  <c r="K33" i="3"/>
  <c r="I37" i="31"/>
  <c r="F18" i="30"/>
  <c r="H33" i="3"/>
  <c r="P36" i="31"/>
  <c r="P37" i="31"/>
  <c r="Q37" i="31"/>
  <c r="K27" i="2"/>
  <c r="M27" i="2"/>
  <c r="I20" i="35"/>
  <c r="I20" i="36"/>
  <c r="C19" i="37"/>
  <c r="I20" i="34"/>
  <c r="I20" i="37"/>
  <c r="N20" i="30"/>
  <c r="J35" i="3"/>
  <c r="M20" i="30"/>
  <c r="I35" i="3"/>
  <c r="J29" i="2"/>
  <c r="M21" i="30"/>
  <c r="I36" i="3"/>
  <c r="N19" i="30"/>
  <c r="J34" i="3"/>
  <c r="M19" i="30"/>
  <c r="I34" i="3"/>
  <c r="M18" i="30"/>
  <c r="I33" i="3"/>
  <c r="N18" i="30"/>
  <c r="J33" i="3"/>
  <c r="J27" i="2"/>
  <c r="J30" i="2"/>
  <c r="K30" i="2"/>
  <c r="M30" i="2"/>
  <c r="J28" i="2"/>
  <c r="J15" i="30"/>
  <c r="K15" i="30"/>
  <c r="J16" i="30"/>
  <c r="K16" i="30"/>
  <c r="J17" i="30"/>
  <c r="K17" i="30"/>
  <c r="J22" i="30"/>
  <c r="E20" i="38"/>
  <c r="K22" i="30"/>
  <c r="G20" i="38"/>
  <c r="J23" i="30"/>
  <c r="E20" i="39"/>
  <c r="K23" i="30"/>
  <c r="G20" i="39"/>
  <c r="J24" i="30"/>
  <c r="E20" i="40"/>
  <c r="K24" i="30"/>
  <c r="G20" i="40"/>
  <c r="J25" i="30"/>
  <c r="E20" i="41"/>
  <c r="K25" i="30"/>
  <c r="G20" i="41"/>
  <c r="J26" i="30"/>
  <c r="E20" i="42"/>
  <c r="K26" i="30"/>
  <c r="G20" i="42"/>
  <c r="J27" i="30"/>
  <c r="E20" i="43"/>
  <c r="K27" i="30"/>
  <c r="G20" i="43"/>
  <c r="J28" i="30"/>
  <c r="E20" i="44"/>
  <c r="K28" i="30"/>
  <c r="G20" i="44"/>
  <c r="J29" i="30"/>
  <c r="E20" i="45"/>
  <c r="K29" i="30"/>
  <c r="G20" i="45"/>
  <c r="J30" i="30"/>
  <c r="E20" i="46"/>
  <c r="K30" i="30"/>
  <c r="G20" i="46"/>
  <c r="J31" i="30"/>
  <c r="E20" i="47"/>
  <c r="K31" i="30"/>
  <c r="G20" i="47"/>
  <c r="I31" i="30"/>
  <c r="C20" i="47"/>
  <c r="I30" i="30"/>
  <c r="C20" i="46"/>
  <c r="I29" i="30"/>
  <c r="C20" i="45"/>
  <c r="I28" i="30"/>
  <c r="C20" i="44"/>
  <c r="I27" i="30"/>
  <c r="C20" i="43"/>
  <c r="I26" i="30"/>
  <c r="C20" i="42"/>
  <c r="I25" i="30"/>
  <c r="C20" i="41"/>
  <c r="I24" i="30"/>
  <c r="C20" i="40"/>
  <c r="I23" i="30"/>
  <c r="C20" i="39"/>
  <c r="I22" i="30"/>
  <c r="C20" i="38"/>
  <c r="I17" i="30"/>
  <c r="I16" i="30"/>
  <c r="I15" i="30"/>
  <c r="I137" i="31"/>
  <c r="F26" i="30"/>
  <c r="H41" i="3"/>
  <c r="I144" i="31"/>
  <c r="F27" i="30"/>
  <c r="H42" i="3"/>
  <c r="I150" i="31"/>
  <c r="F29" i="30"/>
  <c r="H44" i="3"/>
  <c r="I153" i="31"/>
  <c r="F30" i="30"/>
  <c r="H45" i="3"/>
  <c r="I156" i="31"/>
  <c r="F31" i="30"/>
  <c r="H46" i="3"/>
  <c r="C18" i="35"/>
  <c r="C19" i="36"/>
  <c r="C19" i="35"/>
  <c r="C18" i="37"/>
  <c r="C19" i="34"/>
  <c r="C18" i="36"/>
  <c r="C18" i="34"/>
  <c r="G133" i="2"/>
  <c r="G132" i="2"/>
  <c r="V132" i="2"/>
  <c r="X132" i="2"/>
  <c r="G131" i="2"/>
  <c r="V131" i="2"/>
  <c r="X131" i="2"/>
  <c r="G130" i="2"/>
  <c r="V130" i="2"/>
  <c r="X130" i="2"/>
  <c r="G129" i="2"/>
  <c r="V129" i="2"/>
  <c r="X129" i="2"/>
  <c r="G128" i="2"/>
  <c r="V128" i="2"/>
  <c r="X128" i="2"/>
  <c r="G121" i="2"/>
  <c r="V121" i="2"/>
  <c r="X121" i="2"/>
  <c r="G122" i="2"/>
  <c r="V122" i="2"/>
  <c r="X122" i="2"/>
  <c r="G123" i="2"/>
  <c r="V123" i="2"/>
  <c r="X123" i="2"/>
  <c r="G124" i="2"/>
  <c r="V124" i="2"/>
  <c r="X124" i="2"/>
  <c r="G125" i="2"/>
  <c r="V125" i="2"/>
  <c r="X125" i="2"/>
  <c r="G120" i="2"/>
  <c r="V120" i="2"/>
  <c r="X120" i="2"/>
  <c r="G110" i="2"/>
  <c r="V110" i="2"/>
  <c r="X110" i="2"/>
  <c r="G111" i="2"/>
  <c r="V111" i="2"/>
  <c r="X111" i="2"/>
  <c r="G112" i="2"/>
  <c r="V112" i="2"/>
  <c r="X112" i="2"/>
  <c r="G113" i="2"/>
  <c r="V113" i="2"/>
  <c r="X113" i="2"/>
  <c r="G114" i="2"/>
  <c r="V114" i="2"/>
  <c r="X114" i="2"/>
  <c r="G81" i="2"/>
  <c r="V81" i="2"/>
  <c r="X81" i="2"/>
  <c r="G82" i="2"/>
  <c r="V82" i="2"/>
  <c r="X82" i="2"/>
  <c r="G83" i="2"/>
  <c r="V83" i="2"/>
  <c r="X83" i="2"/>
  <c r="G84" i="2"/>
  <c r="V84" i="2"/>
  <c r="X84" i="2"/>
  <c r="G85" i="2"/>
  <c r="V85" i="2"/>
  <c r="X85" i="2"/>
  <c r="G86" i="2"/>
  <c r="V86" i="2"/>
  <c r="X86" i="2"/>
  <c r="G87" i="2"/>
  <c r="V87" i="2"/>
  <c r="X87" i="2"/>
  <c r="G88" i="2"/>
  <c r="V88" i="2"/>
  <c r="X88" i="2"/>
  <c r="G89" i="2"/>
  <c r="V89" i="2"/>
  <c r="X89" i="2"/>
  <c r="G90" i="2"/>
  <c r="V90" i="2"/>
  <c r="X90" i="2"/>
  <c r="G91" i="2"/>
  <c r="V91" i="2"/>
  <c r="X91" i="2"/>
  <c r="G92" i="2"/>
  <c r="V92" i="2"/>
  <c r="X92" i="2"/>
  <c r="G93" i="2"/>
  <c r="V93" i="2"/>
  <c r="X93" i="2"/>
  <c r="G94" i="2"/>
  <c r="V94" i="2"/>
  <c r="X94" i="2"/>
  <c r="G95" i="2"/>
  <c r="V95" i="2"/>
  <c r="X95" i="2"/>
  <c r="G96" i="2"/>
  <c r="V96" i="2"/>
  <c r="X96" i="2"/>
  <c r="G97" i="2"/>
  <c r="V97" i="2"/>
  <c r="X97" i="2"/>
  <c r="G98" i="2"/>
  <c r="V98" i="2"/>
  <c r="X98" i="2"/>
  <c r="G99" i="2"/>
  <c r="V99" i="2"/>
  <c r="X99" i="2"/>
  <c r="G100" i="2"/>
  <c r="V100" i="2"/>
  <c r="X100" i="2"/>
  <c r="G101" i="2"/>
  <c r="V101" i="2"/>
  <c r="X101" i="2"/>
  <c r="G102" i="2"/>
  <c r="V102" i="2"/>
  <c r="X102" i="2"/>
  <c r="G103" i="2"/>
  <c r="V103" i="2"/>
  <c r="X103" i="2"/>
  <c r="G104" i="2"/>
  <c r="V104" i="2"/>
  <c r="X104" i="2"/>
  <c r="G105" i="2"/>
  <c r="V105" i="2"/>
  <c r="X105" i="2"/>
  <c r="G106" i="2"/>
  <c r="V106" i="2"/>
  <c r="X106" i="2"/>
  <c r="G107" i="2"/>
  <c r="V107" i="2"/>
  <c r="X107" i="2"/>
  <c r="G108" i="2"/>
  <c r="V108" i="2"/>
  <c r="X108" i="2"/>
  <c r="G109" i="2"/>
  <c r="V109" i="2"/>
  <c r="X109" i="2"/>
  <c r="G80" i="2"/>
  <c r="V80" i="2"/>
  <c r="X80" i="2"/>
  <c r="G78" i="2"/>
  <c r="V78" i="2"/>
  <c r="X78" i="2"/>
  <c r="G79" i="2"/>
  <c r="V79" i="2"/>
  <c r="X79" i="2"/>
  <c r="G33" i="2"/>
  <c r="V33" i="2"/>
  <c r="X33" i="2"/>
  <c r="G32" i="2"/>
  <c r="V32" i="2"/>
  <c r="X32" i="2"/>
  <c r="G31" i="2"/>
  <c r="V31" i="2"/>
  <c r="X31" i="2"/>
  <c r="G12" i="2"/>
  <c r="V12" i="2"/>
  <c r="X12" i="2"/>
  <c r="G13" i="2"/>
  <c r="V13" i="2"/>
  <c r="X13" i="2"/>
  <c r="G14" i="2"/>
  <c r="V14" i="2"/>
  <c r="X14" i="2"/>
  <c r="G15" i="2"/>
  <c r="V15" i="2"/>
  <c r="X15" i="2"/>
  <c r="G16" i="2"/>
  <c r="V16" i="2"/>
  <c r="X16" i="2"/>
  <c r="G17" i="2"/>
  <c r="V17" i="2"/>
  <c r="X17" i="2"/>
  <c r="G18" i="2"/>
  <c r="V18" i="2"/>
  <c r="X18" i="2"/>
  <c r="G19" i="2"/>
  <c r="V19" i="2"/>
  <c r="X19" i="2"/>
  <c r="G20" i="2"/>
  <c r="V20" i="2"/>
  <c r="X20" i="2"/>
  <c r="G21" i="2"/>
  <c r="V21" i="2"/>
  <c r="X21" i="2"/>
  <c r="G22" i="2"/>
  <c r="V22" i="2"/>
  <c r="X22" i="2"/>
  <c r="G23" i="2"/>
  <c r="V23" i="2"/>
  <c r="X23" i="2"/>
  <c r="G24" i="2"/>
  <c r="V24" i="2"/>
  <c r="X24" i="2"/>
  <c r="G25" i="2"/>
  <c r="V25" i="2"/>
  <c r="X25" i="2"/>
  <c r="G26" i="2"/>
  <c r="V26" i="2"/>
  <c r="X26" i="2"/>
  <c r="G11" i="2"/>
  <c r="V11" i="2"/>
  <c r="X11" i="2"/>
  <c r="G10" i="2"/>
  <c r="V10" i="2"/>
  <c r="X10" i="2"/>
  <c r="G9" i="2"/>
  <c r="V9" i="2"/>
  <c r="V133" i="2"/>
  <c r="X133" i="2"/>
  <c r="X9" i="2"/>
  <c r="C21" i="43"/>
  <c r="C14" i="43"/>
  <c r="A3" i="43"/>
  <c r="C21" i="42"/>
  <c r="C14" i="42"/>
  <c r="A3" i="42"/>
  <c r="C21" i="41"/>
  <c r="C14" i="41"/>
  <c r="A3" i="41"/>
  <c r="C21" i="40"/>
  <c r="C14" i="40"/>
  <c r="A3" i="40"/>
  <c r="C21" i="39"/>
  <c r="C14" i="39"/>
  <c r="A3" i="39"/>
  <c r="C21" i="38"/>
  <c r="C14" i="38"/>
  <c r="A3" i="38"/>
  <c r="C21" i="37"/>
  <c r="C14" i="37"/>
  <c r="A3" i="37"/>
  <c r="C21" i="36"/>
  <c r="C14" i="36"/>
  <c r="A3" i="36"/>
  <c r="C21" i="35"/>
  <c r="C14" i="35"/>
  <c r="A3" i="35"/>
  <c r="C21" i="34"/>
  <c r="C14" i="34"/>
  <c r="A3" i="34"/>
  <c r="C20" i="33"/>
  <c r="C15" i="33"/>
  <c r="C21" i="33"/>
  <c r="C14" i="33"/>
  <c r="A3" i="33"/>
  <c r="C15" i="32"/>
  <c r="C21" i="32"/>
  <c r="C14" i="32"/>
  <c r="A3" i="32"/>
  <c r="E22" i="13"/>
  <c r="E20" i="13"/>
  <c r="E21" i="13"/>
  <c r="D18" i="13"/>
  <c r="E18" i="13"/>
  <c r="E19" i="13"/>
  <c r="E16" i="13"/>
  <c r="E17" i="13"/>
  <c r="E13" i="13"/>
  <c r="E14" i="13"/>
  <c r="E15" i="13"/>
  <c r="E12" i="13"/>
  <c r="C12" i="13"/>
  <c r="C13" i="13"/>
  <c r="C14" i="13"/>
  <c r="C15" i="13"/>
  <c r="C16" i="13"/>
  <c r="C17" i="13"/>
  <c r="C18" i="13"/>
  <c r="C19" i="13"/>
  <c r="C20" i="13"/>
  <c r="C21" i="13"/>
  <c r="C22" i="13"/>
  <c r="E11" i="13"/>
  <c r="C11" i="13"/>
  <c r="E10" i="13"/>
  <c r="C10" i="13"/>
  <c r="C15" i="12"/>
  <c r="C31" i="30"/>
  <c r="C17" i="47"/>
  <c r="C30" i="30"/>
  <c r="C17" i="46"/>
  <c r="C29" i="30"/>
  <c r="C17" i="45"/>
  <c r="C28" i="30"/>
  <c r="C27" i="30"/>
  <c r="C17" i="43"/>
  <c r="C26" i="30"/>
  <c r="C17" i="42"/>
  <c r="C25" i="30"/>
  <c r="C17" i="41"/>
  <c r="C24" i="30"/>
  <c r="C23" i="30"/>
  <c r="C22" i="30"/>
  <c r="C17" i="38"/>
  <c r="C17" i="30"/>
  <c r="C17" i="33"/>
  <c r="C16" i="30"/>
  <c r="B11" i="13"/>
  <c r="C15" i="30"/>
  <c r="C17" i="12"/>
  <c r="D7" i="31"/>
  <c r="O156" i="31"/>
  <c r="L31" i="30"/>
  <c r="P155" i="31"/>
  <c r="J133" i="2"/>
  <c r="K133" i="2"/>
  <c r="M133" i="2"/>
  <c r="C155" i="31"/>
  <c r="P154" i="31"/>
  <c r="J132" i="2"/>
  <c r="K132" i="2"/>
  <c r="M132" i="2"/>
  <c r="O153" i="31"/>
  <c r="L30" i="30"/>
  <c r="K45" i="3"/>
  <c r="P152" i="31"/>
  <c r="J131" i="2"/>
  <c r="K131" i="2"/>
  <c r="M131" i="2"/>
  <c r="C152" i="31"/>
  <c r="P151" i="31"/>
  <c r="J130" i="2"/>
  <c r="K130" i="2"/>
  <c r="M130" i="2"/>
  <c r="O150" i="31"/>
  <c r="L29" i="30"/>
  <c r="K44" i="3"/>
  <c r="P149" i="31"/>
  <c r="O148" i="31"/>
  <c r="L28" i="30"/>
  <c r="K43" i="3"/>
  <c r="F28" i="30"/>
  <c r="H43" i="3"/>
  <c r="P145" i="31"/>
  <c r="P148" i="31"/>
  <c r="O144" i="31"/>
  <c r="L27" i="30"/>
  <c r="K42" i="3"/>
  <c r="P143" i="31"/>
  <c r="J125" i="2"/>
  <c r="K125" i="2"/>
  <c r="M125" i="2"/>
  <c r="P142" i="31"/>
  <c r="J124" i="2"/>
  <c r="K124" i="2"/>
  <c r="M124" i="2"/>
  <c r="P141" i="31"/>
  <c r="J123" i="2"/>
  <c r="K123" i="2"/>
  <c r="M123" i="2"/>
  <c r="P140" i="31"/>
  <c r="J122" i="2"/>
  <c r="K122" i="2"/>
  <c r="M122" i="2"/>
  <c r="P139" i="31"/>
  <c r="J121" i="2"/>
  <c r="K121" i="2"/>
  <c r="M121" i="2"/>
  <c r="C139" i="31"/>
  <c r="C140" i="31"/>
  <c r="C141" i="31"/>
  <c r="C142" i="31"/>
  <c r="C143" i="31"/>
  <c r="P138" i="31"/>
  <c r="J120" i="2"/>
  <c r="K120" i="2"/>
  <c r="M120" i="2"/>
  <c r="O137" i="31"/>
  <c r="L26" i="30"/>
  <c r="K41" i="3"/>
  <c r="P131" i="31"/>
  <c r="J114" i="2"/>
  <c r="K114" i="2"/>
  <c r="M114" i="2"/>
  <c r="P130" i="31"/>
  <c r="J113" i="2"/>
  <c r="K113" i="2"/>
  <c r="M113" i="2"/>
  <c r="P129" i="31"/>
  <c r="J112" i="2"/>
  <c r="K112" i="2"/>
  <c r="M112" i="2"/>
  <c r="P128" i="31"/>
  <c r="J111" i="2"/>
  <c r="K111" i="2"/>
  <c r="M111" i="2"/>
  <c r="P127" i="31"/>
  <c r="J110" i="2"/>
  <c r="K110" i="2"/>
  <c r="M110" i="2"/>
  <c r="P126" i="31"/>
  <c r="J109" i="2"/>
  <c r="K109" i="2"/>
  <c r="M109" i="2"/>
  <c r="P125" i="31"/>
  <c r="J108" i="2"/>
  <c r="K108" i="2"/>
  <c r="M108" i="2"/>
  <c r="P124" i="31"/>
  <c r="J107" i="2"/>
  <c r="K107" i="2"/>
  <c r="M107" i="2"/>
  <c r="P123" i="31"/>
  <c r="J106" i="2"/>
  <c r="K106" i="2"/>
  <c r="M106" i="2"/>
  <c r="P122" i="31"/>
  <c r="J105" i="2"/>
  <c r="K105" i="2"/>
  <c r="M105" i="2"/>
  <c r="P121" i="31"/>
  <c r="J104" i="2"/>
  <c r="K104" i="2"/>
  <c r="M104" i="2"/>
  <c r="P120" i="31"/>
  <c r="J103" i="2"/>
  <c r="K103" i="2"/>
  <c r="M103" i="2"/>
  <c r="P119" i="31"/>
  <c r="J102" i="2"/>
  <c r="K102" i="2"/>
  <c r="M102" i="2"/>
  <c r="P118" i="31"/>
  <c r="J101" i="2"/>
  <c r="K101" i="2"/>
  <c r="M101" i="2"/>
  <c r="P117" i="31"/>
  <c r="J100" i="2"/>
  <c r="K100" i="2"/>
  <c r="M100" i="2"/>
  <c r="P116" i="31"/>
  <c r="J99" i="2"/>
  <c r="K99" i="2"/>
  <c r="M99" i="2"/>
  <c r="P115" i="31"/>
  <c r="J98" i="2"/>
  <c r="K98" i="2"/>
  <c r="M98" i="2"/>
  <c r="P114" i="31"/>
  <c r="J97" i="2"/>
  <c r="K97" i="2"/>
  <c r="M97" i="2"/>
  <c r="P113" i="31"/>
  <c r="J96" i="2"/>
  <c r="K96" i="2"/>
  <c r="M96" i="2"/>
  <c r="P112" i="31"/>
  <c r="J95" i="2"/>
  <c r="K95" i="2"/>
  <c r="M95" i="2"/>
  <c r="P111" i="31"/>
  <c r="J94" i="2"/>
  <c r="K94" i="2"/>
  <c r="M94" i="2"/>
  <c r="P110" i="31"/>
  <c r="J93" i="2"/>
  <c r="K93" i="2"/>
  <c r="M93" i="2"/>
  <c r="P109" i="31"/>
  <c r="J92" i="2"/>
  <c r="K92" i="2"/>
  <c r="M92" i="2"/>
  <c r="P108" i="31"/>
  <c r="J91" i="2"/>
  <c r="K91" i="2"/>
  <c r="M91" i="2"/>
  <c r="P107" i="31"/>
  <c r="J90" i="2"/>
  <c r="K90" i="2"/>
  <c r="M90" i="2"/>
  <c r="P106" i="31"/>
  <c r="J89" i="2"/>
  <c r="K89" i="2"/>
  <c r="M89" i="2"/>
  <c r="P105" i="31"/>
  <c r="J88" i="2"/>
  <c r="K88" i="2"/>
  <c r="M88" i="2"/>
  <c r="P104" i="31"/>
  <c r="J87" i="2"/>
  <c r="K87" i="2"/>
  <c r="M87" i="2"/>
  <c r="P103" i="31"/>
  <c r="J86" i="2"/>
  <c r="K86" i="2"/>
  <c r="M86" i="2"/>
  <c r="P102" i="31"/>
  <c r="J85" i="2"/>
  <c r="K85" i="2"/>
  <c r="M85" i="2"/>
  <c r="P101" i="31"/>
  <c r="J84" i="2"/>
  <c r="K84" i="2"/>
  <c r="M84" i="2"/>
  <c r="P100" i="31"/>
  <c r="J83" i="2"/>
  <c r="K83" i="2"/>
  <c r="M83" i="2"/>
  <c r="P99" i="31"/>
  <c r="J82" i="2"/>
  <c r="K82" i="2"/>
  <c r="M82" i="2"/>
  <c r="P98" i="31"/>
  <c r="J81" i="2"/>
  <c r="K81" i="2"/>
  <c r="M81" i="2"/>
  <c r="C98" i="31"/>
  <c r="C99" i="31"/>
  <c r="C100" i="31"/>
  <c r="C101" i="31"/>
  <c r="C102" i="31"/>
  <c r="C103" i="31"/>
  <c r="C104" i="31"/>
  <c r="C105" i="31"/>
  <c r="C106" i="31"/>
  <c r="C107" i="31"/>
  <c r="C108" i="31"/>
  <c r="C109" i="31"/>
  <c r="C110" i="31"/>
  <c r="C111" i="31"/>
  <c r="C112" i="31"/>
  <c r="C113" i="31"/>
  <c r="C114" i="31"/>
  <c r="C115" i="31"/>
  <c r="P97" i="31"/>
  <c r="O96" i="31"/>
  <c r="L25" i="30"/>
  <c r="K40" i="3"/>
  <c r="I96" i="31"/>
  <c r="F25" i="30"/>
  <c r="H40" i="3"/>
  <c r="P95" i="31"/>
  <c r="J79" i="2"/>
  <c r="K79" i="2"/>
  <c r="M79" i="2"/>
  <c r="P94" i="31"/>
  <c r="J78" i="2"/>
  <c r="K78" i="2"/>
  <c r="M78" i="2"/>
  <c r="C95" i="31"/>
  <c r="P93" i="31"/>
  <c r="J77" i="2"/>
  <c r="K77" i="2"/>
  <c r="M77" i="2"/>
  <c r="O92" i="31"/>
  <c r="L24" i="30"/>
  <c r="K39" i="3"/>
  <c r="F24" i="30"/>
  <c r="H39" i="3"/>
  <c r="P89" i="31"/>
  <c r="J74" i="2"/>
  <c r="K74" i="2"/>
  <c r="M74" i="2"/>
  <c r="P88" i="31"/>
  <c r="J73" i="2"/>
  <c r="K73" i="2"/>
  <c r="M73" i="2"/>
  <c r="P87" i="31"/>
  <c r="J72" i="2"/>
  <c r="K72" i="2"/>
  <c r="M72" i="2"/>
  <c r="P86" i="31"/>
  <c r="J71" i="2"/>
  <c r="K71" i="2"/>
  <c r="M71" i="2"/>
  <c r="P85" i="31"/>
  <c r="J70" i="2"/>
  <c r="K70" i="2"/>
  <c r="M70" i="2"/>
  <c r="P84" i="31"/>
  <c r="J69" i="2"/>
  <c r="K69" i="2"/>
  <c r="M69" i="2"/>
  <c r="P83" i="31"/>
  <c r="J68" i="2"/>
  <c r="K68" i="2"/>
  <c r="M68" i="2"/>
  <c r="P82" i="31"/>
  <c r="J67" i="2"/>
  <c r="K67" i="2"/>
  <c r="M67" i="2"/>
  <c r="P81" i="31"/>
  <c r="J66" i="2"/>
  <c r="K66" i="2"/>
  <c r="M66" i="2"/>
  <c r="P80" i="31"/>
  <c r="J65" i="2"/>
  <c r="K65" i="2"/>
  <c r="M65" i="2"/>
  <c r="P79" i="31"/>
  <c r="J64" i="2"/>
  <c r="K64" i="2"/>
  <c r="M64" i="2"/>
  <c r="P78" i="31"/>
  <c r="J63" i="2"/>
  <c r="K63" i="2"/>
  <c r="M63" i="2"/>
  <c r="P77" i="31"/>
  <c r="J62" i="2"/>
  <c r="K62" i="2"/>
  <c r="M62" i="2"/>
  <c r="P76" i="31"/>
  <c r="J61" i="2"/>
  <c r="K61" i="2"/>
  <c r="M61" i="2"/>
  <c r="P75" i="31"/>
  <c r="J60" i="2"/>
  <c r="K60" i="2"/>
  <c r="M60" i="2"/>
  <c r="P74" i="31"/>
  <c r="J59" i="2"/>
  <c r="K59" i="2"/>
  <c r="M59" i="2"/>
  <c r="P73" i="31"/>
  <c r="J58" i="2"/>
  <c r="K58" i="2"/>
  <c r="M58" i="2"/>
  <c r="P72" i="31"/>
  <c r="J57" i="2"/>
  <c r="K57" i="2"/>
  <c r="M57" i="2"/>
  <c r="P71" i="31"/>
  <c r="J56" i="2"/>
  <c r="K56" i="2"/>
  <c r="M56" i="2"/>
  <c r="P70" i="31"/>
  <c r="J55" i="2"/>
  <c r="K55" i="2"/>
  <c r="M55" i="2"/>
  <c r="P69" i="31"/>
  <c r="J54" i="2"/>
  <c r="K54" i="2"/>
  <c r="M54" i="2"/>
  <c r="P68" i="31"/>
  <c r="J53" i="2"/>
  <c r="K53" i="2"/>
  <c r="M53" i="2"/>
  <c r="P67" i="31"/>
  <c r="J52" i="2"/>
  <c r="K52" i="2"/>
  <c r="M52" i="2"/>
  <c r="P66" i="31"/>
  <c r="J51" i="2"/>
  <c r="K51" i="2"/>
  <c r="M51" i="2"/>
  <c r="P65" i="31"/>
  <c r="J50" i="2"/>
  <c r="K50" i="2"/>
  <c r="M50" i="2"/>
  <c r="P64" i="31"/>
  <c r="J49" i="2"/>
  <c r="K49" i="2"/>
  <c r="M49" i="2"/>
  <c r="P63" i="31"/>
  <c r="J48" i="2"/>
  <c r="K48" i="2"/>
  <c r="M48" i="2"/>
  <c r="P62" i="31"/>
  <c r="J47" i="2"/>
  <c r="K47" i="2"/>
  <c r="M47" i="2"/>
  <c r="P61" i="31"/>
  <c r="J46" i="2"/>
  <c r="K46" i="2"/>
  <c r="M46" i="2"/>
  <c r="P60" i="31"/>
  <c r="J45" i="2"/>
  <c r="K45" i="2"/>
  <c r="M45" i="2"/>
  <c r="P59" i="31"/>
  <c r="J44" i="2"/>
  <c r="K44" i="2"/>
  <c r="M44" i="2"/>
  <c r="P58" i="31"/>
  <c r="J43" i="2"/>
  <c r="K43" i="2"/>
  <c r="M43" i="2"/>
  <c r="P57" i="31"/>
  <c r="J42" i="2"/>
  <c r="K42" i="2"/>
  <c r="M42" i="2"/>
  <c r="P56" i="31"/>
  <c r="J41" i="2"/>
  <c r="K41" i="2"/>
  <c r="M41" i="2"/>
  <c r="P55" i="31"/>
  <c r="J40" i="2"/>
  <c r="K40" i="2"/>
  <c r="M40" i="2"/>
  <c r="P54" i="31"/>
  <c r="J39" i="2"/>
  <c r="K39" i="2"/>
  <c r="M39" i="2"/>
  <c r="P53" i="31"/>
  <c r="J38" i="2"/>
  <c r="K38" i="2"/>
  <c r="M38" i="2"/>
  <c r="P52" i="31"/>
  <c r="J37" i="2"/>
  <c r="K37" i="2"/>
  <c r="M37" i="2"/>
  <c r="P51" i="31"/>
  <c r="J36" i="2"/>
  <c r="K36" i="2"/>
  <c r="M36" i="2"/>
  <c r="P50" i="31"/>
  <c r="J35" i="2"/>
  <c r="K35" i="2"/>
  <c r="M35" i="2"/>
  <c r="P49" i="31"/>
  <c r="J34" i="2"/>
  <c r="K34" i="2"/>
  <c r="M34" i="2"/>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P48" i="31"/>
  <c r="J33" i="2"/>
  <c r="K33" i="2"/>
  <c r="M33" i="2"/>
  <c r="O47" i="31"/>
  <c r="L23" i="30"/>
  <c r="K38" i="3"/>
  <c r="I47" i="31"/>
  <c r="F23" i="30"/>
  <c r="H38" i="3"/>
  <c r="P46" i="31"/>
  <c r="O45" i="31"/>
  <c r="L22" i="30"/>
  <c r="K37" i="3"/>
  <c r="I45" i="31"/>
  <c r="F22" i="30"/>
  <c r="H37" i="3"/>
  <c r="P44" i="31"/>
  <c r="O35" i="31"/>
  <c r="L17" i="30"/>
  <c r="K32" i="3"/>
  <c r="F17" i="30"/>
  <c r="H32" i="3"/>
  <c r="P34" i="31"/>
  <c r="J26" i="2"/>
  <c r="K26" i="2"/>
  <c r="M26" i="2"/>
  <c r="P33" i="31"/>
  <c r="J25" i="2"/>
  <c r="K25" i="2"/>
  <c r="M25" i="2"/>
  <c r="P32" i="31"/>
  <c r="J24" i="2"/>
  <c r="K24" i="2"/>
  <c r="M24" i="2"/>
  <c r="P31" i="31"/>
  <c r="J23" i="2"/>
  <c r="K23" i="2"/>
  <c r="M23" i="2"/>
  <c r="P30" i="31"/>
  <c r="J22" i="2"/>
  <c r="K22" i="2"/>
  <c r="M22" i="2"/>
  <c r="P29" i="31"/>
  <c r="J21" i="2"/>
  <c r="K21" i="2"/>
  <c r="M21" i="2"/>
  <c r="P28" i="31"/>
  <c r="J20" i="2"/>
  <c r="K20" i="2"/>
  <c r="M20" i="2"/>
  <c r="P27" i="31"/>
  <c r="J19" i="2"/>
  <c r="K19" i="2"/>
  <c r="M19" i="2"/>
  <c r="P26" i="31"/>
  <c r="J18" i="2"/>
  <c r="K18" i="2"/>
  <c r="M18" i="2"/>
  <c r="P25" i="31"/>
  <c r="J17" i="2"/>
  <c r="K17" i="2"/>
  <c r="M17" i="2"/>
  <c r="P24" i="31"/>
  <c r="J16" i="2"/>
  <c r="K16" i="2"/>
  <c r="M16" i="2"/>
  <c r="P23" i="31"/>
  <c r="J15" i="2"/>
  <c r="K15" i="2"/>
  <c r="M15" i="2"/>
  <c r="P22" i="31"/>
  <c r="J14" i="2"/>
  <c r="K14" i="2"/>
  <c r="M14" i="2"/>
  <c r="P21" i="31"/>
  <c r="J13" i="2"/>
  <c r="K13" i="2"/>
  <c r="M13" i="2"/>
  <c r="P20" i="31"/>
  <c r="J12" i="2"/>
  <c r="K12" i="2"/>
  <c r="M12" i="2"/>
  <c r="C20" i="31"/>
  <c r="C21" i="31"/>
  <c r="C22" i="31"/>
  <c r="C23" i="31"/>
  <c r="C24" i="31"/>
  <c r="C25" i="31"/>
  <c r="C26" i="31"/>
  <c r="C27" i="31"/>
  <c r="P19" i="31"/>
  <c r="J11" i="2"/>
  <c r="K11" i="2"/>
  <c r="M11" i="2"/>
  <c r="O18" i="31"/>
  <c r="L16" i="30"/>
  <c r="K31" i="3"/>
  <c r="I18" i="31"/>
  <c r="F16" i="30"/>
  <c r="H31" i="3"/>
  <c r="P17" i="31"/>
  <c r="O16" i="31"/>
  <c r="L15" i="30"/>
  <c r="K30" i="3"/>
  <c r="I16" i="31"/>
  <c r="F15" i="30"/>
  <c r="H30" i="3"/>
  <c r="P15" i="31"/>
  <c r="D5" i="30"/>
  <c r="D5" i="31"/>
  <c r="D22" i="13"/>
  <c r="D21" i="13"/>
  <c r="D20" i="13"/>
  <c r="D17" i="13"/>
  <c r="G20" i="33"/>
  <c r="E20" i="33"/>
  <c r="G20" i="32"/>
  <c r="E20" i="32"/>
  <c r="C20" i="32"/>
  <c r="G20" i="12"/>
  <c r="E20" i="12"/>
  <c r="C20" i="12"/>
  <c r="V134" i="2"/>
  <c r="T137" i="2"/>
  <c r="I20" i="42"/>
  <c r="I20" i="46"/>
  <c r="I20" i="44"/>
  <c r="B14" i="13"/>
  <c r="C17" i="39"/>
  <c r="J80" i="2"/>
  <c r="K80" i="2"/>
  <c r="M80" i="2"/>
  <c r="P137" i="31"/>
  <c r="B15" i="13"/>
  <c r="C17" i="40"/>
  <c r="I20" i="38"/>
  <c r="I20" i="40"/>
  <c r="I20" i="45"/>
  <c r="K46" i="3"/>
  <c r="I20" i="47"/>
  <c r="I20" i="41"/>
  <c r="I20" i="39"/>
  <c r="I20" i="43"/>
  <c r="B19" i="13"/>
  <c r="C17" i="44"/>
  <c r="O134" i="2"/>
  <c r="K30" i="1"/>
  <c r="C89" i="31"/>
  <c r="C91" i="31"/>
  <c r="C90" i="31"/>
  <c r="I30" i="1"/>
  <c r="D19" i="13"/>
  <c r="D14" i="13"/>
  <c r="I20" i="33"/>
  <c r="D13" i="13"/>
  <c r="D16" i="13"/>
  <c r="D11" i="13"/>
  <c r="C28" i="31"/>
  <c r="C29" i="31"/>
  <c r="C30" i="31"/>
  <c r="C31" i="31"/>
  <c r="C32" i="31"/>
  <c r="C33" i="31"/>
  <c r="C34" i="31"/>
  <c r="I20" i="32"/>
  <c r="P47" i="31"/>
  <c r="J32" i="2"/>
  <c r="I20" i="12"/>
  <c r="D12" i="13"/>
  <c r="D15" i="13"/>
  <c r="J128" i="2"/>
  <c r="K128" i="2"/>
  <c r="M128" i="2"/>
  <c r="D10" i="13"/>
  <c r="P45" i="31"/>
  <c r="J31" i="2"/>
  <c r="P150" i="31"/>
  <c r="J129" i="2"/>
  <c r="K129" i="2"/>
  <c r="M129" i="2"/>
  <c r="B12" i="13"/>
  <c r="B20" i="13"/>
  <c r="L32" i="30"/>
  <c r="P18" i="31"/>
  <c r="J10" i="2"/>
  <c r="P16" i="31"/>
  <c r="J9" i="2"/>
  <c r="P153" i="31"/>
  <c r="B10" i="13"/>
  <c r="B21" i="13"/>
  <c r="P144" i="31"/>
  <c r="B22" i="13"/>
  <c r="C17" i="32"/>
  <c r="C116" i="31"/>
  <c r="C117" i="31"/>
  <c r="C118" i="31"/>
  <c r="C119" i="31"/>
  <c r="C120" i="31"/>
  <c r="C121" i="31"/>
  <c r="C122" i="31"/>
  <c r="C123" i="31"/>
  <c r="C124" i="31"/>
  <c r="C125" i="31"/>
  <c r="C126" i="31"/>
  <c r="C127" i="31"/>
  <c r="C128" i="31"/>
  <c r="C129" i="31"/>
  <c r="C130" i="31"/>
  <c r="C131" i="31"/>
  <c r="C132" i="31"/>
  <c r="C133" i="31"/>
  <c r="B13" i="13"/>
  <c r="O157" i="31"/>
  <c r="P92" i="31"/>
  <c r="B18" i="13"/>
  <c r="P156" i="31"/>
  <c r="B17" i="13"/>
  <c r="P35" i="31"/>
  <c r="P96" i="31"/>
  <c r="B16" i="13"/>
  <c r="C135" i="31"/>
  <c r="C136" i="31"/>
  <c r="C134" i="31"/>
  <c r="Q16" i="31"/>
  <c r="K9" i="2"/>
  <c r="M9" i="2"/>
  <c r="P157" i="31"/>
  <c r="Q156" i="31"/>
  <c r="N31" i="30"/>
  <c r="M31" i="30"/>
  <c r="Q144" i="31"/>
  <c r="N27" i="30"/>
  <c r="J42" i="3"/>
  <c r="M27" i="30"/>
  <c r="I42" i="3"/>
  <c r="Q150" i="31"/>
  <c r="N29" i="30"/>
  <c r="J44" i="3"/>
  <c r="M29" i="30"/>
  <c r="I44" i="3"/>
  <c r="Q45" i="31"/>
  <c r="M22" i="30"/>
  <c r="I37" i="3"/>
  <c r="Q47" i="31"/>
  <c r="M23" i="30"/>
  <c r="I38" i="3"/>
  <c r="Q96" i="31"/>
  <c r="N25" i="30"/>
  <c r="J40" i="3"/>
  <c r="M25" i="30"/>
  <c r="I40" i="3"/>
  <c r="M15" i="30"/>
  <c r="I30" i="3"/>
  <c r="Q92" i="31"/>
  <c r="N24" i="30"/>
  <c r="J39" i="3"/>
  <c r="M24" i="30"/>
  <c r="I39" i="3"/>
  <c r="Q137" i="31"/>
  <c r="N26" i="30"/>
  <c r="J41" i="3"/>
  <c r="M26" i="30"/>
  <c r="I41" i="3"/>
  <c r="Q18" i="31"/>
  <c r="M16" i="30"/>
  <c r="I31" i="3"/>
  <c r="Q35" i="31"/>
  <c r="N17" i="30"/>
  <c r="J32" i="3"/>
  <c r="M17" i="30"/>
  <c r="I32" i="3"/>
  <c r="Q153" i="31"/>
  <c r="N30" i="30"/>
  <c r="J45" i="3"/>
  <c r="M30" i="30"/>
  <c r="I45" i="3"/>
  <c r="Q148" i="31"/>
  <c r="N28" i="30"/>
  <c r="J43" i="3"/>
  <c r="M28" i="30"/>
  <c r="I43" i="3"/>
  <c r="N34" i="1"/>
  <c r="N15" i="30"/>
  <c r="J30" i="3"/>
  <c r="C19" i="43"/>
  <c r="C19" i="41"/>
  <c r="J46" i="3"/>
  <c r="C19" i="47"/>
  <c r="I46" i="3"/>
  <c r="C18" i="47"/>
  <c r="C18" i="42"/>
  <c r="C19" i="44"/>
  <c r="C18" i="38"/>
  <c r="C18" i="46"/>
  <c r="C19" i="40"/>
  <c r="C18" i="45"/>
  <c r="C19" i="45"/>
  <c r="C18" i="39"/>
  <c r="C18" i="44"/>
  <c r="C19" i="42"/>
  <c r="C18" i="40"/>
  <c r="C19" i="46"/>
  <c r="C18" i="41"/>
  <c r="C18" i="43"/>
  <c r="N23" i="30"/>
  <c r="J38" i="3"/>
  <c r="K32" i="2"/>
  <c r="M32" i="2"/>
  <c r="N16" i="30"/>
  <c r="J31" i="3"/>
  <c r="K10" i="2"/>
  <c r="M10" i="2"/>
  <c r="N22" i="30"/>
  <c r="J37" i="3"/>
  <c r="K31" i="2"/>
  <c r="M31" i="2"/>
  <c r="C18" i="33"/>
  <c r="C18" i="12"/>
  <c r="M32" i="30"/>
  <c r="C19" i="33"/>
  <c r="Q157" i="31"/>
  <c r="C18" i="32"/>
  <c r="K38" i="1"/>
  <c r="C19" i="12"/>
  <c r="C19" i="32"/>
  <c r="C19" i="38"/>
  <c r="C19" i="39"/>
  <c r="N32" i="30"/>
  <c r="C21" i="12"/>
  <c r="B7" i="13"/>
  <c r="H15" i="1"/>
  <c r="H15" i="3"/>
  <c r="K48" i="3"/>
  <c r="C5" i="2"/>
  <c r="P5" i="2"/>
  <c r="H8" i="3"/>
  <c r="H6" i="3"/>
  <c r="D6" i="30"/>
  <c r="D6" i="31"/>
  <c r="C14" i="12"/>
  <c r="A3" i="12"/>
  <c r="I48" i="3"/>
  <c r="G9" i="3"/>
  <c r="B5" i="2"/>
  <c r="J48" i="3"/>
</calcChain>
</file>

<file path=xl/sharedStrings.xml><?xml version="1.0" encoding="utf-8"?>
<sst xmlns="http://schemas.openxmlformats.org/spreadsheetml/2006/main" count="3390" uniqueCount="501">
  <si>
    <t>PECC2 Innovation Hub, 45 Street No.2, Truong Tho Ward, Thu Duc City, HCMC, Vietnam
Tel: +84-28-2221 6468 | Fax: +84-28-2221 0408</t>
  </si>
  <si>
    <t>COMMERCIAL INVOICE</t>
    <phoneticPr fontId="0" type="noConversion"/>
  </si>
  <si>
    <t>SHIPPER:</t>
  </si>
  <si>
    <t>INVOICE NO. :</t>
    <phoneticPr fontId="0" type="noConversion"/>
  </si>
  <si>
    <t>DATE:</t>
  </si>
  <si>
    <t>CONTRACT NO.</t>
    <phoneticPr fontId="0" type="noConversion"/>
  </si>
  <si>
    <t>06/2025/HĐ-PVN/OM4-06</t>
  </si>
  <si>
    <t xml:space="preserve"> CONSIGNEE :</t>
    <phoneticPr fontId="0" type="noConversion"/>
  </si>
  <si>
    <t>SHIPPING MARK</t>
  </si>
  <si>
    <t>O MON IV THERMAL POWER PLANT</t>
  </si>
  <si>
    <t>NOTIFY PARTY :</t>
    <phoneticPr fontId="0" type="noConversion"/>
  </si>
  <si>
    <t xml:space="preserve">SHIPMENT NO. : </t>
  </si>
  <si>
    <t>TERM OF DELIVERY :</t>
  </si>
  <si>
    <t>VESSEL NAME :</t>
  </si>
  <si>
    <t>ETD :</t>
    <phoneticPr fontId="0" type="noConversion"/>
  </si>
  <si>
    <t>PORT OF LOADING :</t>
    <phoneticPr fontId="0" type="noConversion"/>
  </si>
  <si>
    <t>PORT OF DISCHARGE :</t>
    <phoneticPr fontId="0" type="noConversion"/>
  </si>
  <si>
    <t>BILL OF LADING/ AIRWAY BILL NO. :</t>
  </si>
  <si>
    <t>B/L DATE :</t>
  </si>
  <si>
    <t xml:space="preserve">FINAL DESTINATION : </t>
    <phoneticPr fontId="0" type="noConversion"/>
  </si>
  <si>
    <t>COMMODITY/DESCRIPTION OF GOODS</t>
    <phoneticPr fontId="0" type="noConversion"/>
  </si>
  <si>
    <t>UNIT</t>
    <phoneticPr fontId="0" type="noConversion"/>
  </si>
  <si>
    <t>QUANTITY</t>
    <phoneticPr fontId="0" type="noConversion"/>
  </si>
  <si>
    <t>UNIT PRICE
(USD)</t>
    <phoneticPr fontId="0" type="noConversion"/>
  </si>
  <si>
    <t>AMOUNT
(USD)</t>
    <phoneticPr fontId="0" type="noConversion"/>
  </si>
  <si>
    <t xml:space="preserve">Number of packages: </t>
  </si>
  <si>
    <t>PKGS</t>
  </si>
  <si>
    <t>TOTAL AMOUNT AT THIS SHIPMENT :</t>
  </si>
  <si>
    <t>Signed by</t>
    <phoneticPr fontId="0" type="noConversion"/>
  </si>
  <si>
    <t>SI.
No.</t>
    <phoneticPr fontId="0" type="noConversion"/>
  </si>
  <si>
    <t>Package No.</t>
    <phoneticPr fontId="0" type="noConversion"/>
  </si>
  <si>
    <t>POSITION IN PRICE SCHEDULE</t>
    <phoneticPr fontId="0" type="noConversion"/>
  </si>
  <si>
    <t>TOTAL AMOUNT AT THIS SHIPMENT</t>
  </si>
  <si>
    <t>PACKING LIST(1/2)</t>
    <phoneticPr fontId="0" type="noConversion"/>
  </si>
  <si>
    <t>P/L No.</t>
  </si>
  <si>
    <t>NET
WEIGHT
(KG)</t>
    <phoneticPr fontId="0" type="noConversion"/>
  </si>
  <si>
    <t>GROSS WEIGHT
(KG)</t>
    <phoneticPr fontId="0" type="noConversion"/>
  </si>
  <si>
    <t>MEASUREMENT
(CBM)</t>
    <phoneticPr fontId="0" type="noConversion"/>
  </si>
  <si>
    <t>TOTAL</t>
    <phoneticPr fontId="0" type="noConversion"/>
  </si>
  <si>
    <t>PACKING LIST(2/2)</t>
    <phoneticPr fontId="0" type="noConversion"/>
  </si>
  <si>
    <t xml:space="preserve">P/L No. </t>
    <phoneticPr fontId="0" type="noConversion"/>
  </si>
  <si>
    <t>Dated</t>
    <phoneticPr fontId="0" type="noConversion"/>
  </si>
  <si>
    <t>*  Storage Classification</t>
    <phoneticPr fontId="0" type="noConversion"/>
  </si>
  <si>
    <t>**  Plant/Equipment/Materials for</t>
    <phoneticPr fontId="0" type="noConversion"/>
  </si>
  <si>
    <t>Project</t>
    <phoneticPr fontId="0" type="noConversion"/>
  </si>
  <si>
    <t>"A"</t>
    <phoneticPr fontId="0" type="noConversion"/>
  </si>
  <si>
    <t>: Indoor with Air conditioning</t>
    <phoneticPr fontId="0" type="noConversion"/>
  </si>
  <si>
    <t>BOP</t>
    <phoneticPr fontId="0" type="noConversion"/>
  </si>
  <si>
    <t>"B"</t>
    <phoneticPr fontId="0" type="noConversion"/>
  </si>
  <si>
    <t>: Indoor without Air conditioning</t>
    <phoneticPr fontId="0" type="noConversion"/>
  </si>
  <si>
    <t>Unit 1</t>
    <phoneticPr fontId="0" type="noConversion"/>
  </si>
  <si>
    <t>B1</t>
    <phoneticPr fontId="0" type="noConversion"/>
  </si>
  <si>
    <t>T1</t>
    <phoneticPr fontId="0" type="noConversion"/>
  </si>
  <si>
    <t>G1</t>
    <phoneticPr fontId="0" type="noConversion"/>
  </si>
  <si>
    <t>P2</t>
  </si>
  <si>
    <t>"C"</t>
    <phoneticPr fontId="0" type="noConversion"/>
  </si>
  <si>
    <t>: Hazardous Material</t>
    <phoneticPr fontId="0" type="noConversion"/>
  </si>
  <si>
    <t>Unit 2</t>
    <phoneticPr fontId="0" type="noConversion"/>
  </si>
  <si>
    <t>B2</t>
    <phoneticPr fontId="0" type="noConversion"/>
  </si>
  <si>
    <t>T2</t>
    <phoneticPr fontId="0" type="noConversion"/>
  </si>
  <si>
    <t>G2</t>
    <phoneticPr fontId="0" type="noConversion"/>
  </si>
  <si>
    <t>P2</t>
    <phoneticPr fontId="0" type="noConversion"/>
  </si>
  <si>
    <t>"D"</t>
    <phoneticPr fontId="0" type="noConversion"/>
  </si>
  <si>
    <t>: Outdoor with waterproofing</t>
    <phoneticPr fontId="0" type="noConversion"/>
  </si>
  <si>
    <t>Common</t>
    <phoneticPr fontId="0" type="noConversion"/>
  </si>
  <si>
    <t>B0</t>
    <phoneticPr fontId="0" type="noConversion"/>
  </si>
  <si>
    <t>T0</t>
    <phoneticPr fontId="0" type="noConversion"/>
  </si>
  <si>
    <t>G0</t>
    <phoneticPr fontId="0" type="noConversion"/>
  </si>
  <si>
    <t>P0</t>
    <phoneticPr fontId="0" type="noConversion"/>
  </si>
  <si>
    <t>"E"</t>
    <phoneticPr fontId="0" type="noConversion"/>
  </si>
  <si>
    <t>: Outdoor without waterproofing</t>
    <phoneticPr fontId="0" type="noConversion"/>
  </si>
  <si>
    <t>Description of Goods</t>
    <phoneticPr fontId="0" type="noConversion"/>
  </si>
  <si>
    <t>Quantity</t>
    <phoneticPr fontId="0" type="noConversion"/>
  </si>
  <si>
    <t>Package Type</t>
    <phoneticPr fontId="0" type="noConversion"/>
  </si>
  <si>
    <t>Measurement</t>
    <phoneticPr fontId="0" type="noConversion"/>
  </si>
  <si>
    <t>Net Weight
(kg)</t>
    <phoneticPr fontId="0" type="noConversion"/>
  </si>
  <si>
    <t>Gross Weight
(kg)</t>
    <phoneticPr fontId="0" type="noConversion"/>
  </si>
  <si>
    <t>Hazardous Material</t>
    <phoneticPr fontId="0" type="noConversion"/>
  </si>
  <si>
    <t>Storage Classification
(*)</t>
    <phoneticPr fontId="0" type="noConversion"/>
  </si>
  <si>
    <t>Remark
(**)</t>
    <phoneticPr fontId="0" type="noConversion"/>
  </si>
  <si>
    <t>Nos</t>
    <phoneticPr fontId="0" type="noConversion"/>
  </si>
  <si>
    <t>Unit</t>
    <phoneticPr fontId="0" type="noConversion"/>
  </si>
  <si>
    <t>Length
(cm)</t>
    <phoneticPr fontId="0" type="noConversion"/>
  </si>
  <si>
    <t>Width
(cm)</t>
    <phoneticPr fontId="0" type="noConversion"/>
  </si>
  <si>
    <t>Height
(cm)</t>
    <phoneticPr fontId="0" type="noConversion"/>
  </si>
  <si>
    <t>Volume
(cbm)</t>
    <phoneticPr fontId="0" type="noConversion"/>
  </si>
  <si>
    <t>Grand Total</t>
    <phoneticPr fontId="0" type="noConversion"/>
  </si>
  <si>
    <t>DETAILED PACKING LIST</t>
    <phoneticPr fontId="0" type="noConversion"/>
  </si>
  <si>
    <t>PL No.</t>
    <phoneticPr fontId="0" type="noConversion"/>
  </si>
  <si>
    <t>Referenced DWG No.</t>
    <phoneticPr fontId="0" type="noConversion"/>
  </si>
  <si>
    <t>Manufacturer</t>
    <phoneticPr fontId="0" type="noConversion"/>
  </si>
  <si>
    <t>Tag No.</t>
    <phoneticPr fontId="0" type="noConversion"/>
  </si>
  <si>
    <t>Sub-Total</t>
    <phoneticPr fontId="0" type="noConversion"/>
  </si>
  <si>
    <t>Grand-Total</t>
    <phoneticPr fontId="0" type="noConversion"/>
  </si>
  <si>
    <t>SHIPPING MARK</t>
    <phoneticPr fontId="0" type="noConversion"/>
  </si>
  <si>
    <t xml:space="preserve">O MON IV THERMAL POWER PLANT </t>
  </si>
  <si>
    <t xml:space="preserve">                             SHIPPER  </t>
    <phoneticPr fontId="0" type="noConversion"/>
  </si>
  <si>
    <t>:</t>
  </si>
  <si>
    <t xml:space="preserve">                            ADDRESS</t>
    <phoneticPr fontId="0" type="noConversion"/>
  </si>
  <si>
    <t xml:space="preserve">                    NOTIFY PARTY</t>
    <phoneticPr fontId="0" type="noConversion"/>
  </si>
  <si>
    <t>:</t>
    <phoneticPr fontId="0" type="noConversion"/>
  </si>
  <si>
    <t xml:space="preserve">                   SHIPMENT NO.</t>
    <phoneticPr fontId="0" type="noConversion"/>
  </si>
  <si>
    <t>KG</t>
    <phoneticPr fontId="0" type="noConversion"/>
  </si>
  <si>
    <t>cm(L) X</t>
    <phoneticPr fontId="0" type="noConversion"/>
  </si>
  <si>
    <t>cm (W) X</t>
    <phoneticPr fontId="0" type="noConversion"/>
  </si>
  <si>
    <t>cm (H)</t>
    <phoneticPr fontId="0" type="noConversion"/>
  </si>
  <si>
    <t>CBM</t>
    <phoneticPr fontId="0" type="noConversion"/>
  </si>
  <si>
    <t xml:space="preserve">         COUNTRY OF ORIGIN</t>
    <phoneticPr fontId="0" type="noConversion"/>
  </si>
  <si>
    <t xml:space="preserve">                              QUALITY</t>
    <phoneticPr fontId="0" type="noConversion"/>
  </si>
  <si>
    <t>100% BRAND NEW</t>
    <phoneticPr fontId="0" type="noConversion"/>
  </si>
  <si>
    <t>QUALITY</t>
  </si>
  <si>
    <t>100% BRAND NEW</t>
  </si>
  <si>
    <r>
      <t xml:space="preserve">- In the B/L Form, </t>
    </r>
    <r>
      <rPr>
        <b/>
        <sz val="11"/>
        <color rgb="FFFF0000"/>
        <rFont val="돋움"/>
        <family val="3"/>
        <charset val="129"/>
      </rPr>
      <t>"Freight Prepaid"</t>
    </r>
    <r>
      <rPr>
        <sz val="11"/>
        <color rgb="FFFF0000"/>
        <rFont val="돋움"/>
        <family val="3"/>
        <charset val="129"/>
      </rPr>
      <t xml:space="preserve"> must be used according to the signed EPC regulations, "Freight payable" cannot be used as the form we are drafting.
- According to EPC, the Contractor is required to bear the risks and losses until handover, and must insure all goods during transportation, so remove the content of the complicated limitation regulations below in the B/L Form.</t>
    </r>
  </si>
  <si>
    <t xml:space="preserve">                  LOADING PORT
</t>
    <phoneticPr fontId="0" type="noConversion"/>
  </si>
  <si>
    <t>PECC2 Innovation Hub, 45 Street No.2, Truong Tho Ward, Thu Duc City, HCMC, Vietnam
Tel: +84-28-2221 6468 | Fax: +84-28-2221 0408</t>
    <phoneticPr fontId="34" type="noConversion"/>
  </si>
  <si>
    <t>06/2025/HĐ-PVN/OM4-06</t>
    <phoneticPr fontId="34" type="noConversion"/>
  </si>
  <si>
    <t xml:space="preserve">                        CONSIGNEE</t>
    <phoneticPr fontId="0" type="noConversion"/>
  </si>
  <si>
    <t xml:space="preserve">                   CONTRACT NO.</t>
    <phoneticPr fontId="0" type="noConversion"/>
  </si>
  <si>
    <t xml:space="preserve">EQUIPMENT DESCRIPTION </t>
    <phoneticPr fontId="0" type="noConversion"/>
  </si>
  <si>
    <t xml:space="preserve">                      NET WEIGHT
</t>
    <phoneticPr fontId="0" type="noConversion"/>
  </si>
  <si>
    <t xml:space="preserve">                 GROSS WEIGHT
</t>
    <phoneticPr fontId="0" type="noConversion"/>
  </si>
  <si>
    <t xml:space="preserve">                     PACKAGE NO.
            </t>
    <phoneticPr fontId="0" type="noConversion"/>
  </si>
  <si>
    <t xml:space="preserve">                       -	MEASUREMENT
</t>
    <phoneticPr fontId="0" type="noConversion"/>
  </si>
  <si>
    <t xml:space="preserve">    PORT OF DESTINATION
                       </t>
    <phoneticPr fontId="0" type="noConversion"/>
  </si>
  <si>
    <t xml:space="preserve">                     CONSIGNOR.
            </t>
    <phoneticPr fontId="0" type="noConversion"/>
  </si>
  <si>
    <t>PECC2 Innovation Hub, 45 Street No.2, Truong Tho Ward, 
Thu Duc City, HCMC, Vietnam
Tel: +84-28-2221 6468 | Fax: +84-28-2221 0408</t>
    <phoneticPr fontId="34" type="noConversion"/>
  </si>
  <si>
    <t>O MON IV THERMAL POWER PLANT</t>
    <phoneticPr fontId="34" type="noConversion"/>
  </si>
  <si>
    <t xml:space="preserve">DATE  : </t>
    <phoneticPr fontId="34" type="noConversion"/>
  </si>
  <si>
    <r>
      <t xml:space="preserve">Cty Doosan Enerbility Co.,Ltd HQ-Nha thau TH CV thuoc Goi thau so OM4-EPC-HHO-06 cho NMND O Mon IV 
</t>
    </r>
    <r>
      <rPr>
        <sz val="10"/>
        <rFont val="Arial"/>
        <family val="2"/>
      </rPr>
      <t>Thoi Loi Area, Phuoc Thoi Ward, Can Tho City, Vietnam
T : (+84) 367 566 167 F : (+84 243) 624 8485</t>
    </r>
    <phoneticPr fontId="34" type="noConversion"/>
  </si>
  <si>
    <t>Cty Doosan Enerbility Co.,Ltd HQ-Nha thau TH CV thuoc Goi thau so OM4-EPC-HHO-06 cho NMND O Mon IV 
Thoi Loi Area, Phuoc Thoi Ward, Can Tho City, Vietnam
T : (+84) 367 566 167 F : (+84 243) 624 8485</t>
  </si>
  <si>
    <r>
      <rPr>
        <b/>
        <sz val="10"/>
        <rFont val="Arial"/>
        <family val="2"/>
      </rPr>
      <t>Doosan Enerbility Co., Ltd.</t>
    </r>
    <r>
      <rPr>
        <sz val="9"/>
        <rFont val="Arial"/>
        <family val="2"/>
      </rPr>
      <t xml:space="preserve">
</t>
    </r>
    <r>
      <rPr>
        <sz val="10"/>
        <rFont val="Arial"/>
        <family val="2"/>
      </rPr>
      <t xml:space="preserve">22 DoosanVolvo-ro, Seongsan-gu, Chang-won-si, 
Gyeongsangnam-do 51711, Republic of Korea </t>
    </r>
    <phoneticPr fontId="34" type="noConversion"/>
  </si>
  <si>
    <r>
      <rPr>
        <b/>
        <sz val="10"/>
        <rFont val="Arial"/>
        <family val="2"/>
      </rPr>
      <t xml:space="preserve">Cty Doosan Enerbility Co.,Ltd HQ-Nha thau TH CV thuoc Goi thau so OM4-EPC-HHO-06 cho NMND O Mon IV </t>
    </r>
    <r>
      <rPr>
        <sz val="10"/>
        <rFont val="Arial"/>
        <family val="2"/>
      </rPr>
      <t xml:space="preserve">
Thoi Loi Area, Phươc Thoi Ward, Can Tho City, Vietnam
T : (+84) 367 566 167 F : (+84 243) 624 8485
</t>
    </r>
    <r>
      <rPr>
        <b/>
        <sz val="10"/>
        <rFont val="Arial"/>
        <family val="2"/>
      </rPr>
      <t xml:space="preserve">BRANCH OF KWANGJIN VIET NAM IN DUNG QUAT Co.,Ltd </t>
    </r>
    <r>
      <rPr>
        <sz val="10"/>
        <rFont val="Arial"/>
        <family val="2"/>
      </rPr>
      <t xml:space="preserve">
Dung Quat Economic Zone, Van Tuong Commune, Quang Ngai Province, Vietnam
T : (+84) 28 3825 6330 	 	 	 
Attn: Mr. Phuoc  / Email: phuoc@kjtc.co.kr </t>
    </r>
    <phoneticPr fontId="34" type="noConversion"/>
  </si>
  <si>
    <t>Address: O Mon Power Complex at Phuoc Thoi wards, Can Tho city</t>
  </si>
  <si>
    <t>PLANT/ EQUIPMENT AND MATERIALS FOR O MON IV THERMAL POWER PLANT
(Contract No. OM4-PO-DE-001)</t>
    <phoneticPr fontId="34" type="noConversion"/>
  </si>
  <si>
    <t>PLANT/ EQUIPMENT AND MATERIALS FOR 
O MON IV THERMAL POWER PLANT
(Contract No. OM4-PO-DE-001)</t>
    <phoneticPr fontId="34" type="noConversion"/>
  </si>
  <si>
    <t xml:space="preserve">Doosan Enerbility Co., Ltd.
</t>
    <phoneticPr fontId="34" type="noConversion"/>
  </si>
  <si>
    <t xml:space="preserve">22 DoosanVolvo-ro, Seongsan-gu, Chang-won-si, 
Gyeongsangnam-do 51711, Republic of Korea </t>
    <phoneticPr fontId="34" type="noConversion"/>
  </si>
  <si>
    <t>Cty Doosan Enerbility Co.,Ltd HQ-Nha thau TH CV thuoc Goi thau so OM4-EPC-HHO-06 cho NMND O Mon IV 
Thoi Loi Area, Phuoc Thoi Ward, Can Tho City, Vietnam
T : (+84) 367 566 167 F : (+84 243) 624 8485</t>
    <phoneticPr fontId="34" type="noConversion"/>
  </si>
  <si>
    <t xml:space="preserve">Cty Doosan Enerbility Co.,Ltd HQ-Nha thau TH CV thuoc Goi thau so OM4-EPC-HHO-06 cho NMND O Mon IV 
Thoi Loi Area, Phươc Thoi Ward, Can Tho City, Vietnam
T : (+84) 367 566 167 F : (+84 243) 624 8485
BRANCH OF KWANGJIN VIET NAM IN DUNG QUAT Co.,Ltd 
Dung Quat Economic Zone, Van Tuong Commune, Quang Ngai Province, Vietnam
T : (+84) 28 3825 6330 	 	 	 
Attn: Mr. Phuoc  / Email: phuoc@kjtc.co.kr </t>
    <phoneticPr fontId="34" type="noConversion"/>
  </si>
  <si>
    <t>Ho Chi Minh City Port, Vietnam</t>
  </si>
  <si>
    <t>COG Marked (Y/N)</t>
    <phoneticPr fontId="34" type="noConversion"/>
  </si>
  <si>
    <t>Sling Point Marked (Y/N)</t>
    <phoneticPr fontId="34" type="noConversion"/>
  </si>
  <si>
    <t>Handle with care Marked
(Y/N)</t>
    <phoneticPr fontId="34" type="noConversion"/>
  </si>
  <si>
    <t>Republic of Korea</t>
    <phoneticPr fontId="34" type="noConversion"/>
  </si>
  <si>
    <t>C/O of Goods</t>
    <phoneticPr fontId="0" type="noConversion"/>
  </si>
  <si>
    <t>Position in price schedule</t>
    <phoneticPr fontId="0" type="noConversion"/>
  </si>
  <si>
    <t>EA</t>
  </si>
  <si>
    <t>EA</t>
    <phoneticPr fontId="34" type="noConversion"/>
  </si>
  <si>
    <t>N</t>
    <phoneticPr fontId="34" type="noConversion"/>
  </si>
  <si>
    <t>D</t>
    <phoneticPr fontId="34" type="noConversion"/>
  </si>
  <si>
    <t>125mm (5")</t>
  </si>
  <si>
    <t>28mm (1")</t>
  </si>
  <si>
    <t>36mm (1-1/4")</t>
  </si>
  <si>
    <t>42mm (1-1/2")</t>
  </si>
  <si>
    <t>54mm (2")</t>
  </si>
  <si>
    <t>82mm (3")</t>
  </si>
  <si>
    <t>104mm (4")</t>
  </si>
  <si>
    <t>Y</t>
    <phoneticPr fontId="34" type="noConversion"/>
  </si>
  <si>
    <t xml:space="preserve">SHIPMENT NO. : </t>
    <phoneticPr fontId="34" type="noConversion"/>
  </si>
  <si>
    <t>1</t>
    <phoneticPr fontId="34" type="noConversion"/>
  </si>
  <si>
    <t>2</t>
  </si>
  <si>
    <t>3</t>
  </si>
  <si>
    <t>4</t>
  </si>
  <si>
    <t>5</t>
  </si>
  <si>
    <t>6</t>
  </si>
  <si>
    <t>7</t>
  </si>
  <si>
    <t>8</t>
  </si>
  <si>
    <t>9</t>
  </si>
  <si>
    <t>10</t>
  </si>
  <si>
    <t>11</t>
  </si>
  <si>
    <t>12</t>
  </si>
  <si>
    <t>13</t>
  </si>
  <si>
    <t>14</t>
  </si>
  <si>
    <t>15</t>
  </si>
  <si>
    <t>16</t>
  </si>
  <si>
    <t>17</t>
  </si>
  <si>
    <t>CONDUIT FITTINGS</t>
    <phoneticPr fontId="34" type="noConversion"/>
  </si>
  <si>
    <t>C/O of Goods</t>
  </si>
  <si>
    <t>Quantity</t>
  </si>
  <si>
    <t>Package Type</t>
  </si>
  <si>
    <t>UNIT PRICE
(USD)</t>
  </si>
  <si>
    <t>AMOUNT
(USD)</t>
  </si>
  <si>
    <t>Remark
(**)</t>
  </si>
  <si>
    <t>Nos</t>
  </si>
  <si>
    <t>Unit</t>
  </si>
  <si>
    <t>GROSS WEIGHT
(KG)</t>
    <phoneticPr fontId="34" type="noConversion"/>
  </si>
  <si>
    <t>NET 
WEIGHT
(KG)</t>
    <phoneticPr fontId="34" type="noConversion"/>
  </si>
  <si>
    <t>BOP</t>
  </si>
  <si>
    <t>Republic of Korea</t>
  </si>
  <si>
    <t>HRSG</t>
  </si>
  <si>
    <t>HRSG</t>
    <phoneticPr fontId="0" type="noConversion"/>
  </si>
  <si>
    <t>STG</t>
  </si>
  <si>
    <t>STG</t>
    <phoneticPr fontId="0" type="noConversion"/>
  </si>
  <si>
    <t>GTG</t>
  </si>
  <si>
    <t>GTG</t>
    <phoneticPr fontId="0" type="noConversion"/>
  </si>
  <si>
    <t>P0</t>
    <phoneticPr fontId="34" type="noConversion"/>
  </si>
  <si>
    <t>SAMSUNG E&amp;L</t>
  </si>
  <si>
    <t>SAMSUNG E&amp;L</t>
    <phoneticPr fontId="34" type="noConversion"/>
  </si>
  <si>
    <t>Technical Description</t>
    <phoneticPr fontId="34" type="noConversion"/>
  </si>
  <si>
    <t>Invoice no.</t>
    <phoneticPr fontId="34" type="noConversion"/>
  </si>
  <si>
    <t>№</t>
  </si>
  <si>
    <t>Package No.</t>
    <phoneticPr fontId="34" type="noConversion"/>
  </si>
  <si>
    <t>Description of Goods</t>
    <phoneticPr fontId="34" type="noConversion"/>
  </si>
  <si>
    <t>Quantity</t>
    <phoneticPr fontId="34" type="noConversion"/>
  </si>
  <si>
    <t>Photo</t>
    <phoneticPr fontId="34" type="noConversion"/>
  </si>
  <si>
    <t>Technical specifications</t>
    <phoneticPr fontId="34" type="noConversion"/>
  </si>
  <si>
    <t>Nos</t>
    <phoneticPr fontId="34" type="noConversion"/>
  </si>
  <si>
    <t>Unit</t>
    <phoneticPr fontId="34" type="noConversion"/>
  </si>
  <si>
    <t>Before packing</t>
    <phoneticPr fontId="34" type="noConversion"/>
  </si>
  <si>
    <t>After packing</t>
    <phoneticPr fontId="34" type="noConversion"/>
  </si>
  <si>
    <t>DESCRIPTION OF GOODS</t>
    <phoneticPr fontId="34" type="noConversion"/>
  </si>
  <si>
    <r>
      <t xml:space="preserve">PL(2_2) Sheet </t>
    </r>
    <r>
      <rPr>
        <sz val="18"/>
        <rFont val="돋움"/>
        <family val="3"/>
        <charset val="129"/>
      </rPr>
      <t>내</t>
    </r>
    <r>
      <rPr>
        <sz val="18"/>
        <rFont val="Calibri"/>
        <family val="2"/>
      </rPr>
      <t xml:space="preserve"> </t>
    </r>
    <r>
      <rPr>
        <sz val="18"/>
        <rFont val="돋움"/>
        <family val="3"/>
        <charset val="129"/>
      </rPr>
      <t>내용</t>
    </r>
    <r>
      <rPr>
        <sz val="18"/>
        <rFont val="Calibri"/>
        <family val="2"/>
      </rPr>
      <t xml:space="preserve"> </t>
    </r>
    <r>
      <rPr>
        <sz val="18"/>
        <rFont val="돋움"/>
        <family val="3"/>
        <charset val="129"/>
      </rPr>
      <t>반영</t>
    </r>
    <r>
      <rPr>
        <sz val="18"/>
        <rFont val="Calibri"/>
        <family val="2"/>
      </rPr>
      <t xml:space="preserve"> </t>
    </r>
    <r>
      <rPr>
        <sz val="18"/>
        <rFont val="돋움"/>
        <family val="3"/>
        <charset val="129"/>
      </rPr>
      <t>필요</t>
    </r>
    <phoneticPr fontId="34" type="noConversion"/>
  </si>
  <si>
    <t>1KG/CAN</t>
    <phoneticPr fontId="34" type="noConversion"/>
  </si>
  <si>
    <t>Jinho. Lee / Deputy Project Director</t>
  </si>
  <si>
    <t>Busan International Port, Korea</t>
  </si>
  <si>
    <t>T/T</t>
    <phoneticPr fontId="34" type="noConversion"/>
  </si>
  <si>
    <t>PAYMENT TERMS:</t>
    <phoneticPr fontId="34" type="noConversion"/>
  </si>
  <si>
    <t>Busan International Port, Korea</t>
    <phoneticPr fontId="34" type="noConversion"/>
  </si>
  <si>
    <r>
      <t>FOB (</t>
    </r>
    <r>
      <rPr>
        <b/>
        <sz val="10"/>
        <color rgb="FFFF0000"/>
        <rFont val="맑은 고딕"/>
        <family val="2"/>
        <charset val="129"/>
      </rPr>
      <t>물품가액)</t>
    </r>
    <phoneticPr fontId="34" type="noConversion"/>
  </si>
  <si>
    <t>Freight</t>
  </si>
  <si>
    <t>Insurance</t>
  </si>
  <si>
    <t>Ho Chi Minh City Port, Vietnam</t>
    <phoneticPr fontId="34" type="noConversion"/>
  </si>
  <si>
    <t>CIF, Ho Chi Minh City Port, Vietnam</t>
    <phoneticPr fontId="34" type="noConversion"/>
  </si>
  <si>
    <t xml:space="preserve"> P0 </t>
  </si>
  <si>
    <t>PS 1.1, Ⅴ, 11</t>
  </si>
  <si>
    <t>Conduit &amp; Accessories included I&amp;C Conduit 
(Steel Conduit)</t>
    <phoneticPr fontId="34" type="noConversion"/>
  </si>
  <si>
    <t>OM4-DE-IS-0009</t>
    <phoneticPr fontId="34" type="noConversion"/>
  </si>
  <si>
    <t>OM4-DE-IS-0009-001</t>
    <phoneticPr fontId="34" type="noConversion"/>
  </si>
  <si>
    <t>OM4-DE-IS-0009-002</t>
    <phoneticPr fontId="34" type="noConversion"/>
  </si>
  <si>
    <t>OM4-DE-IS-0009-003</t>
  </si>
  <si>
    <t xml:space="preserve">HDG STEEL Conduit </t>
    <phoneticPr fontId="34" type="noConversion"/>
  </si>
  <si>
    <t>CONDUIT FITTINGS (Normal Bend)</t>
    <phoneticPr fontId="34" type="noConversion"/>
  </si>
  <si>
    <t>Flexible Conduit</t>
    <phoneticPr fontId="34" type="noConversion"/>
  </si>
  <si>
    <t>Post Base single Channel</t>
    <phoneticPr fontId="34" type="noConversion"/>
  </si>
  <si>
    <t>Unistrut Channel Single</t>
    <phoneticPr fontId="34" type="noConversion"/>
  </si>
  <si>
    <t xml:space="preserve">C- Channel </t>
    <phoneticPr fontId="34" type="noConversion"/>
  </si>
  <si>
    <t>Wooden</t>
    <phoneticPr fontId="34" type="noConversion"/>
  </si>
  <si>
    <t>3</t>
    <phoneticPr fontId="34" type="noConversion"/>
  </si>
  <si>
    <t>36mm (1-1/4")</t>
    <phoneticPr fontId="34" type="noConversion"/>
  </si>
  <si>
    <t>42mm (1-1/2")</t>
    <phoneticPr fontId="34" type="noConversion"/>
  </si>
  <si>
    <t>54mm (2")</t>
    <phoneticPr fontId="34" type="noConversion"/>
  </si>
  <si>
    <t>HI PVC to Steel Conduit Adaptor</t>
    <phoneticPr fontId="34" type="noConversion"/>
  </si>
  <si>
    <t>18</t>
  </si>
  <si>
    <t>19</t>
  </si>
  <si>
    <t>125mm (5") X 600Radius</t>
  </si>
  <si>
    <t xml:space="preserve">Condulet ("LT" Type) </t>
    <phoneticPr fontId="34" type="noConversion"/>
  </si>
  <si>
    <t>23</t>
  </si>
  <si>
    <t>24</t>
  </si>
  <si>
    <t>25</t>
  </si>
  <si>
    <t>26</t>
  </si>
  <si>
    <t>27</t>
  </si>
  <si>
    <t>28</t>
  </si>
  <si>
    <t>Flexible Conduit Connector (Male Type)</t>
    <phoneticPr fontId="34" type="noConversion"/>
  </si>
  <si>
    <t>29</t>
  </si>
  <si>
    <t>30</t>
  </si>
  <si>
    <t>31</t>
  </si>
  <si>
    <t>32</t>
  </si>
  <si>
    <t>33</t>
  </si>
  <si>
    <t>34</t>
  </si>
  <si>
    <t>Flexible Conduit Connector (Female Type)</t>
    <phoneticPr fontId="34" type="noConversion"/>
  </si>
  <si>
    <t>35</t>
  </si>
  <si>
    <t>36</t>
  </si>
  <si>
    <t>37</t>
  </si>
  <si>
    <t>38</t>
  </si>
  <si>
    <t>39</t>
  </si>
  <si>
    <t>40</t>
  </si>
  <si>
    <t xml:space="preserve">Union Coupling (Male Type) </t>
    <phoneticPr fontId="34" type="noConversion"/>
  </si>
  <si>
    <t>41</t>
  </si>
  <si>
    <t>42</t>
  </si>
  <si>
    <t>43</t>
  </si>
  <si>
    <t>44</t>
  </si>
  <si>
    <t>45</t>
  </si>
  <si>
    <t>Nipple(EXPLOSION TYPE, NPT to PF)</t>
  </si>
  <si>
    <t>46</t>
  </si>
  <si>
    <t>47</t>
  </si>
  <si>
    <t>48</t>
  </si>
  <si>
    <t>49</t>
  </si>
  <si>
    <t>50</t>
  </si>
  <si>
    <t>REDUCER(ADAPTER TYPE)</t>
    <phoneticPr fontId="34" type="noConversion"/>
  </si>
  <si>
    <t>36mm Male - 28mm Female</t>
  </si>
  <si>
    <t>51</t>
  </si>
  <si>
    <t>52</t>
  </si>
  <si>
    <t>42mm Male - 28mm Female</t>
  </si>
  <si>
    <t>53</t>
  </si>
  <si>
    <t>54mm Male - 28mm Female</t>
  </si>
  <si>
    <t>54</t>
  </si>
  <si>
    <t>54mm Male - 42mm Female</t>
  </si>
  <si>
    <t>55</t>
  </si>
  <si>
    <t>28mm Male - 42mm Female</t>
    <phoneticPr fontId="34" type="noConversion"/>
  </si>
  <si>
    <t>56</t>
  </si>
  <si>
    <t>36mm Male - 28mm Female</t>
    <phoneticPr fontId="34" type="noConversion"/>
  </si>
  <si>
    <t>57</t>
  </si>
  <si>
    <t>42mm Male - 36mm Female</t>
    <phoneticPr fontId="34" type="noConversion"/>
  </si>
  <si>
    <t>58</t>
  </si>
  <si>
    <t>Lock Nut</t>
    <phoneticPr fontId="34" type="noConversion"/>
  </si>
  <si>
    <t>59</t>
  </si>
  <si>
    <t>60</t>
  </si>
  <si>
    <t>61</t>
  </si>
  <si>
    <t>62</t>
  </si>
  <si>
    <t>63</t>
  </si>
  <si>
    <t>64</t>
  </si>
  <si>
    <t>Flexible Conduit (Water proof type)</t>
  </si>
  <si>
    <t>M</t>
  </si>
  <si>
    <t>66</t>
  </si>
  <si>
    <t>67</t>
  </si>
  <si>
    <t>68</t>
  </si>
  <si>
    <t>69</t>
  </si>
  <si>
    <t>70</t>
  </si>
  <si>
    <t>FLEXIBLE FITTING</t>
  </si>
  <si>
    <t>28mm (1") X 500L</t>
  </si>
  <si>
    <t>72</t>
  </si>
  <si>
    <t>36mm (1-1/4") X 500</t>
  </si>
  <si>
    <t>73</t>
  </si>
  <si>
    <t>42mm (1-1/2") X 500L</t>
  </si>
  <si>
    <t>74</t>
  </si>
  <si>
    <t>54mm (2") X 500L</t>
  </si>
  <si>
    <t>75</t>
  </si>
  <si>
    <t>70mm (2-1/2") X 500L</t>
  </si>
  <si>
    <t>76</t>
  </si>
  <si>
    <t>SEALING FITTING(Vertical type)</t>
  </si>
  <si>
    <t>77</t>
  </si>
  <si>
    <t xml:space="preserve">36mm (1-1/4")  </t>
  </si>
  <si>
    <t>78</t>
  </si>
  <si>
    <t>79</t>
  </si>
  <si>
    <t>80</t>
  </si>
  <si>
    <t>SEALING FITTING(Horizontal type)</t>
  </si>
  <si>
    <t>81</t>
  </si>
  <si>
    <t>82</t>
  </si>
  <si>
    <t>83</t>
  </si>
  <si>
    <t>84</t>
  </si>
  <si>
    <t>PIPE CLAMP With Bolt/Nut/Washer</t>
  </si>
  <si>
    <t>85</t>
  </si>
  <si>
    <t>86</t>
  </si>
  <si>
    <t>87</t>
  </si>
  <si>
    <t>88</t>
  </si>
  <si>
    <t>89</t>
  </si>
  <si>
    <t>91</t>
  </si>
  <si>
    <t>Pipe saddle</t>
    <phoneticPr fontId="34" type="noConversion"/>
  </si>
  <si>
    <t>92</t>
  </si>
  <si>
    <t>93</t>
  </si>
  <si>
    <t>94</t>
  </si>
  <si>
    <t>95</t>
  </si>
  <si>
    <t>Insulation Bushing W/Earthing</t>
    <phoneticPr fontId="34" type="noConversion"/>
  </si>
  <si>
    <t>96</t>
  </si>
  <si>
    <t>97</t>
  </si>
  <si>
    <t>98</t>
  </si>
  <si>
    <t>99</t>
  </si>
  <si>
    <t>100</t>
  </si>
  <si>
    <t>101</t>
  </si>
  <si>
    <t>Set Anchor</t>
  </si>
  <si>
    <t xml:space="preserve">3/8"(M10)*75L </t>
  </si>
  <si>
    <t>102</t>
  </si>
  <si>
    <t>Strong Anchor</t>
  </si>
  <si>
    <t xml:space="preserve">3/8"(M10)*40L </t>
  </si>
  <si>
    <t>103</t>
  </si>
  <si>
    <t>Hex Head Bolt Nut SW PW</t>
  </si>
  <si>
    <t>M10*30L</t>
  </si>
  <si>
    <t>104</t>
  </si>
  <si>
    <t>Rod coupling M10, SUS304</t>
  </si>
  <si>
    <t>M10(3/8")</t>
  </si>
  <si>
    <t>105</t>
  </si>
  <si>
    <t>Spring Nut</t>
  </si>
  <si>
    <t>106</t>
  </si>
  <si>
    <t>107</t>
  </si>
  <si>
    <t>Channel Cap</t>
  </si>
  <si>
    <t>108</t>
  </si>
  <si>
    <t>M10, SUS 304</t>
  </si>
  <si>
    <t>200 x 200 x 150 x 2.3T</t>
  </si>
  <si>
    <t>110</t>
  </si>
  <si>
    <t>300 x 300 x 150 x 2.3T</t>
  </si>
  <si>
    <t>111</t>
  </si>
  <si>
    <t>400 x 400 x 400 x 2.3T</t>
  </si>
  <si>
    <t>500 x 500 x 600 x 2.3T</t>
  </si>
  <si>
    <t>113</t>
  </si>
  <si>
    <t>700 x 500 x 500 x 2.3T</t>
  </si>
  <si>
    <t>114</t>
  </si>
  <si>
    <t>1000 x 1000 x 600 x 3T</t>
  </si>
  <si>
    <t>115</t>
  </si>
  <si>
    <t>3-Hole Angle Connector</t>
  </si>
  <si>
    <t xml:space="preserve">3/8"x 6T </t>
  </si>
  <si>
    <t>116</t>
  </si>
  <si>
    <t>4-Hole Tee Connetor</t>
  </si>
  <si>
    <t>Post Base single Channel,</t>
    <phoneticPr fontId="34" type="noConversion"/>
  </si>
  <si>
    <t xml:space="preserve"> 6T</t>
  </si>
  <si>
    <t>40x40x2.3Tx3000mmL</t>
  </si>
  <si>
    <t>Uni-Struct Insert channel</t>
    <phoneticPr fontId="34" type="noConversion"/>
  </si>
  <si>
    <t>40 x40 x2.5tx 3000mm</t>
  </si>
  <si>
    <t>Threaded rod</t>
    <phoneticPr fontId="34" type="noConversion"/>
  </si>
  <si>
    <t>M10(3/8")*3000L</t>
  </si>
  <si>
    <t>100x50x50x7.5T, 3.33m</t>
  </si>
  <si>
    <t>50*50*6T, 3.33m</t>
  </si>
  <si>
    <t>OM4-DE-IS-0009-003</t>
    <phoneticPr fontId="34" type="noConversion"/>
  </si>
  <si>
    <t>OM4-DE-IS-0009-004</t>
    <phoneticPr fontId="34" type="noConversion"/>
  </si>
  <si>
    <t>OM4-DE-IS-0009-005</t>
    <phoneticPr fontId="34" type="noConversion"/>
  </si>
  <si>
    <t>OM4-DE-IS-0009-006</t>
    <phoneticPr fontId="34" type="noConversion"/>
  </si>
  <si>
    <t>OM4-DE-IS-0009-007</t>
    <phoneticPr fontId="34" type="noConversion"/>
  </si>
  <si>
    <t>OM4-DE-IS-0009-008</t>
    <phoneticPr fontId="34" type="noConversion"/>
  </si>
  <si>
    <t>OM4-DE-IS-0009-009</t>
    <phoneticPr fontId="34" type="noConversion"/>
  </si>
  <si>
    <t>OM4-DE-IS-0009-010</t>
    <phoneticPr fontId="34" type="noConversion"/>
  </si>
  <si>
    <t>OM4-DE-IS-0009-011</t>
    <phoneticPr fontId="34" type="noConversion"/>
  </si>
  <si>
    <t>OM4-DE-IS-0009-012</t>
    <phoneticPr fontId="34" type="noConversion"/>
  </si>
  <si>
    <t>OM4-DE-IS-0009-013</t>
    <phoneticPr fontId="34" type="noConversion"/>
  </si>
  <si>
    <t>M</t>
    <phoneticPr fontId="34" type="noConversion"/>
  </si>
  <si>
    <t>HI PVC to Steel Conduit Adaptor</t>
  </si>
  <si>
    <t xml:space="preserve">Condulet ("LT" Type) </t>
  </si>
  <si>
    <t>Flexible Conduit Connector (Male Type)</t>
  </si>
  <si>
    <t>Flexible Conduit Connector (Female Type)</t>
  </si>
  <si>
    <t xml:space="preserve">Union Coupling (Male Type) </t>
  </si>
  <si>
    <t>REDUCER(ADAPTER TYPE)</t>
  </si>
  <si>
    <t>Lock Nut</t>
  </si>
  <si>
    <t>Pipe saddle</t>
  </si>
  <si>
    <t>Insulation Bushing W/Earthing</t>
  </si>
  <si>
    <t>Post Base single Channel,</t>
  </si>
  <si>
    <t>Unistrut Channel Single</t>
  </si>
  <si>
    <t>Uni-Struct Insert channel</t>
  </si>
  <si>
    <t>Threaded rod</t>
  </si>
  <si>
    <t xml:space="preserve">C- Channel </t>
  </si>
  <si>
    <t>20</t>
  </si>
  <si>
    <t>21</t>
  </si>
  <si>
    <t>22</t>
  </si>
  <si>
    <t>65</t>
  </si>
  <si>
    <t>71</t>
  </si>
  <si>
    <t>90</t>
  </si>
  <si>
    <t>109</t>
  </si>
  <si>
    <t>117</t>
  </si>
  <si>
    <t>119</t>
  </si>
  <si>
    <t>120</t>
  </si>
  <si>
    <t>1KG/CAN</t>
  </si>
  <si>
    <t>28mm Male - 42mm Female</t>
  </si>
  <si>
    <t>42mm Male - 36mm Female</t>
  </si>
  <si>
    <t>82mm (3") X 600Radius</t>
    <phoneticPr fontId="34" type="noConversion"/>
  </si>
  <si>
    <t>104mm (4") X 600Radius</t>
    <phoneticPr fontId="34" type="noConversion"/>
  </si>
  <si>
    <t>OM4-DE-IS-0009-006</t>
  </si>
  <si>
    <t>OM4-DE-IS-0009-007</t>
  </si>
  <si>
    <t>25</t>
    <phoneticPr fontId="34" type="noConversion"/>
  </si>
  <si>
    <t>OM4-DE-IS-0009-014</t>
    <phoneticPr fontId="34" type="noConversion"/>
  </si>
  <si>
    <t>OM4-DE-IS-0009-015</t>
    <phoneticPr fontId="34" type="noConversion"/>
  </si>
  <si>
    <t>OM4-DE-IS-0009-016</t>
    <phoneticPr fontId="34" type="noConversion"/>
  </si>
  <si>
    <t>OM4-DE-IS-0009-017</t>
    <phoneticPr fontId="34" type="noConversion"/>
  </si>
  <si>
    <t>P0</t>
  </si>
  <si>
    <t>123</t>
  </si>
  <si>
    <t>OM4-DE-IS-0009-004</t>
  </si>
  <si>
    <t>OM4-DE-IS-0009-005</t>
  </si>
  <si>
    <t xml:space="preserve"> </t>
    <phoneticPr fontId="34" type="noConversion"/>
  </si>
  <si>
    <t>Sealant(wather Proof)</t>
  </si>
  <si>
    <t>69</t>
    <phoneticPr fontId="34" type="noConversion"/>
  </si>
  <si>
    <t>72</t>
    <phoneticPr fontId="34" type="noConversion"/>
  </si>
  <si>
    <t xml:space="preserve">Normal Bend for Steel Conduit </t>
  </si>
  <si>
    <t>41 x 41</t>
    <phoneticPr fontId="34" type="noConversion"/>
  </si>
  <si>
    <t>SET</t>
    <phoneticPr fontId="34" type="noConversion"/>
  </si>
  <si>
    <t>Screw pin anchor (PIN)</t>
    <phoneticPr fontId="34" type="noConversion"/>
  </si>
  <si>
    <t>Screw pin anchor (NUT)</t>
    <phoneticPr fontId="34" type="noConversion"/>
  </si>
  <si>
    <t>Coupling for Steel Conduit</t>
  </si>
  <si>
    <t>112</t>
    <phoneticPr fontId="34" type="noConversion"/>
  </si>
  <si>
    <t>118</t>
    <phoneticPr fontId="34" type="noConversion"/>
  </si>
  <si>
    <t>122</t>
    <phoneticPr fontId="34" type="noConversion"/>
  </si>
  <si>
    <t>124</t>
    <phoneticPr fontId="34" type="noConversion"/>
  </si>
  <si>
    <t>125</t>
  </si>
  <si>
    <t xml:space="preserve">Normal Bend for Steel Conduit </t>
    <phoneticPr fontId="34" type="noConversion"/>
  </si>
  <si>
    <t>Coupling for Steel Conduit</t>
    <phoneticPr fontId="34" type="noConversion"/>
  </si>
  <si>
    <t>GROSS WEIGHT
(KG)</t>
  </si>
  <si>
    <t>HDG STEEL Conduit</t>
    <phoneticPr fontId="34" type="noConversion"/>
  </si>
  <si>
    <t>SEALING COMPOUND Plaster FOR SEALING FITTING</t>
    <phoneticPr fontId="34" type="noConversion"/>
  </si>
  <si>
    <t>133x90x6T</t>
  </si>
  <si>
    <t>41 (W) x 136(L) x 89 (H) mm</t>
  </si>
  <si>
    <t>50 (W) x 90 (L) x 56 (H) mm</t>
  </si>
  <si>
    <t>HMM MIRACLE 0020S  </t>
  </si>
  <si>
    <t>HS CODE</t>
    <phoneticPr fontId="34" type="noConversion"/>
  </si>
  <si>
    <t>7306.30-2090</t>
  </si>
  <si>
    <t>7307.92-9000</t>
  </si>
  <si>
    <t>7307.19-0000</t>
  </si>
  <si>
    <t>7907.00-2020</t>
  </si>
  <si>
    <t>2520.20-9000</t>
  </si>
  <si>
    <t>7318.16-0000</t>
  </si>
  <si>
    <t>8307.10-0000</t>
  </si>
  <si>
    <t>7326.90-9000</t>
  </si>
  <si>
    <t>7907.00-9090</t>
  </si>
  <si>
    <t>7318.15-2000</t>
  </si>
  <si>
    <t>3926.90-9000</t>
  </si>
  <si>
    <t>3506.10-9000</t>
  </si>
  <si>
    <t>7308.90-9000</t>
  </si>
  <si>
    <t>7308.90-9000</t>
    <phoneticPr fontId="34" type="noConversion"/>
  </si>
  <si>
    <t>7318.19-0000</t>
  </si>
  <si>
    <r>
      <rPr>
        <sz val="10"/>
        <rFont val="Calibri"/>
        <family val="3"/>
      </rPr>
      <t>L</t>
    </r>
    <r>
      <rPr>
        <sz val="10"/>
        <rFont val="Calibri"/>
        <family val="2"/>
      </rPr>
      <t>-ANGLE</t>
    </r>
    <phoneticPr fontId="34" type="noConversion"/>
  </si>
  <si>
    <t>PULL BOX with C-COVER</t>
    <phoneticPr fontId="3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</si>
</sst>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64" formatCode="_-* #,##0.00_-;\-* #,##0.00_-;_-* &quot;-&quot;_-;_-@_-"/>
    <numFmt numFmtId="165" formatCode="_-* #,##0.000_-;\-* #,##0.000_-;_-* &quot;-&quot;???_-;_-@_-"/>
    <numFmt numFmtId="166" formatCode="#,##0.000_);[Red]\(#,##0.000\)"/>
    <numFmt numFmtId="167" formatCode="_-* #,##0.0_-;\-* #,##0.0_-;_-* &quot;-&quot;_-;_-@_-"/>
    <numFmt numFmtId="168" formatCode="0.00_);[Red]\(0.00\)"/>
    <numFmt numFmtId="169" formatCode="&quot;#&quot;\ 00"/>
    <numFmt numFmtId="170" formatCode="&quot;#&quot;00"/>
    <numFmt numFmtId="171" formatCode="0_);[Red]\(0\)"/>
    <numFmt numFmtId="172" formatCode="0.000_);[Red]\(0.000\)"/>
    <numFmt numFmtId="173" formatCode="_(* #,##0_);_(* \(#,##0\);_(* &quot;-&quot;??_);_(@_)"/>
    <numFmt numFmtId="174" formatCode="#,##0_ "/>
    <numFmt numFmtId="175" formatCode="#,##0.00_ ;[Red]\-#,##0.00\ "/>
    <numFmt numFmtId="176" formatCode="#,##0.00_ "/>
  </numFmts>
  <fonts count="61">
    <font>
      <sz val="11"/>
      <name val="돋움"/>
      <family val="3"/>
      <charset val="129"/>
    </font>
    <font>
      <sz val="11"/>
      <name val="돋움"/>
      <family val="3"/>
      <charset val="129"/>
    </font>
    <font>
      <sz val="10"/>
      <name val="Arial"/>
      <family val="2"/>
    </font>
    <font>
      <b/>
      <sz val="10"/>
      <name val="Arial"/>
      <family val="2"/>
    </font>
    <font>
      <b/>
      <sz val="16"/>
      <name val="Arial"/>
      <family val="2"/>
    </font>
    <font>
      <sz val="12"/>
      <name val="바탕체"/>
      <family val="1"/>
      <charset val="129"/>
    </font>
    <font>
      <sz val="10"/>
      <color indexed="12"/>
      <name val="Arial"/>
      <family val="2"/>
    </font>
    <font>
      <b/>
      <sz val="12.1"/>
      <color rgb="FF1F497D"/>
      <name val="Arial"/>
      <family val="2"/>
    </font>
    <font>
      <sz val="10"/>
      <color rgb="FF0000FF"/>
      <name val="Arial"/>
      <family val="2"/>
    </font>
    <font>
      <strike/>
      <sz val="10"/>
      <color rgb="FF0000FF"/>
      <name val="Arial"/>
      <family val="2"/>
    </font>
    <font>
      <b/>
      <u/>
      <sz val="16"/>
      <name val="Arial"/>
      <family val="2"/>
    </font>
    <font>
      <b/>
      <sz val="10"/>
      <color rgb="FF0000FF"/>
      <name val="Arial"/>
      <family val="2"/>
    </font>
    <font>
      <sz val="10"/>
      <name val="Calibri"/>
      <family val="2"/>
    </font>
    <font>
      <sz val="10"/>
      <color rgb="FFFF0000"/>
      <name val="Calibri"/>
      <family val="2"/>
    </font>
    <font>
      <b/>
      <sz val="10"/>
      <name val="Calibri"/>
      <family val="2"/>
    </font>
    <font>
      <sz val="10"/>
      <color rgb="FFFF0000"/>
      <name val="Arial"/>
      <family val="2"/>
    </font>
    <font>
      <b/>
      <sz val="12"/>
      <name val="Arial"/>
      <family val="2"/>
    </font>
    <font>
      <sz val="11"/>
      <name val="Arial"/>
      <family val="2"/>
    </font>
    <font>
      <sz val="9"/>
      <name val="Arial"/>
      <family val="2"/>
    </font>
    <font>
      <b/>
      <sz val="16"/>
      <name val="Calibri"/>
      <family val="2"/>
    </font>
    <font>
      <sz val="11"/>
      <name val="Arial"/>
      <family val="3"/>
      <charset val="129"/>
      <scheme val="minor"/>
    </font>
    <font>
      <sz val="11"/>
      <name val="Calibri"/>
      <family val="2"/>
    </font>
    <font>
      <sz val="10"/>
      <name val="Arial"/>
      <family val="2"/>
      <scheme val="minor"/>
    </font>
    <font>
      <sz val="10"/>
      <name val="Arial"/>
      <family val="3"/>
      <charset val="129"/>
      <scheme val="minor"/>
    </font>
    <font>
      <b/>
      <sz val="10"/>
      <name val="Arial"/>
      <family val="2"/>
      <scheme val="minor"/>
    </font>
    <font>
      <sz val="11"/>
      <color indexed="8"/>
      <name val="맑은 고딕"/>
      <family val="3"/>
      <charset val="129"/>
    </font>
    <font>
      <sz val="10"/>
      <name val="돋움"/>
      <family val="3"/>
      <charset val="129"/>
    </font>
    <font>
      <b/>
      <u/>
      <sz val="36"/>
      <name val="Calibri"/>
      <family val="2"/>
    </font>
    <font>
      <sz val="18"/>
      <name val="Calibri"/>
      <family val="2"/>
    </font>
    <font>
      <b/>
      <sz val="20"/>
      <name val="Calibri"/>
      <family val="2"/>
    </font>
    <font>
      <b/>
      <sz val="18"/>
      <name val="Calibri"/>
      <family val="2"/>
    </font>
    <font>
      <sz val="10"/>
      <name val="굴림"/>
      <family val="3"/>
      <charset val="129"/>
    </font>
    <font>
      <sz val="11"/>
      <color rgb="FFFF0000"/>
      <name val="돋움"/>
      <family val="3"/>
      <charset val="129"/>
    </font>
    <font>
      <b/>
      <sz val="11"/>
      <color rgb="FFFF0000"/>
      <name val="돋움"/>
      <family val="3"/>
      <charset val="129"/>
    </font>
    <font>
      <sz val="8"/>
      <name val="돋움"/>
      <family val="3"/>
      <charset val="129"/>
    </font>
    <font>
      <sz val="8"/>
      <name val="Arial"/>
      <family val="2"/>
    </font>
    <font>
      <i/>
      <sz val="20"/>
      <color rgb="FFFF0000"/>
      <name val="Calibri"/>
      <family val="2"/>
    </font>
    <font>
      <i/>
      <sz val="20"/>
      <name val="돋움"/>
      <family val="3"/>
      <charset val="129"/>
    </font>
    <font>
      <sz val="9"/>
      <name val="돋움"/>
      <family val="3"/>
      <charset val="129"/>
    </font>
    <font>
      <sz val="10"/>
      <color rgb="FF0000FF"/>
      <name val="Calibri"/>
      <family val="2"/>
    </font>
    <font>
      <b/>
      <sz val="10"/>
      <name val="돋움"/>
      <family val="3"/>
      <charset val="129"/>
    </font>
    <font>
      <b/>
      <sz val="14"/>
      <name val="Arial"/>
      <family val="2"/>
    </font>
    <font>
      <sz val="9"/>
      <name val="Calibri"/>
      <family val="2"/>
    </font>
    <font>
      <u/>
      <sz val="11"/>
      <color theme="10"/>
      <name val="돋움"/>
      <family val="3"/>
      <charset val="129"/>
    </font>
    <font>
      <u/>
      <sz val="10"/>
      <name val="Calibri"/>
      <family val="2"/>
    </font>
    <font>
      <b/>
      <sz val="14"/>
      <name val="Calibri"/>
      <family val="2"/>
    </font>
    <font>
      <b/>
      <i/>
      <sz val="14"/>
      <name val="Calibri"/>
      <family val="2"/>
    </font>
    <font>
      <sz val="13"/>
      <name val="Calibri"/>
      <family val="2"/>
    </font>
    <font>
      <i/>
      <sz val="13"/>
      <name val="Calibri"/>
      <family val="2"/>
    </font>
    <font>
      <sz val="11"/>
      <name val="굴림체"/>
      <family val="3"/>
      <charset val="129"/>
    </font>
    <font>
      <sz val="13"/>
      <color rgb="FF0000CC"/>
      <name val="Calibri"/>
      <family val="2"/>
    </font>
    <font>
      <i/>
      <sz val="13"/>
      <color rgb="FF0000CC"/>
      <name val="Calibri"/>
      <family val="2"/>
    </font>
    <font>
      <sz val="14"/>
      <name val="Calibri"/>
      <family val="2"/>
    </font>
    <font>
      <sz val="1"/>
      <color indexed="8"/>
      <name val="Courier"/>
      <family val="3"/>
    </font>
    <font>
      <b/>
      <sz val="9"/>
      <name val="Calibri"/>
      <family val="2"/>
    </font>
    <font>
      <b/>
      <i/>
      <sz val="9"/>
      <name val="Calibri"/>
      <family val="2"/>
    </font>
    <font>
      <sz val="18"/>
      <name val="돋움"/>
      <family val="3"/>
      <charset val="129"/>
    </font>
    <font>
      <b/>
      <sz val="10"/>
      <color rgb="FFFF0000"/>
      <name val="Arial"/>
      <family val="2"/>
    </font>
    <font>
      <sz val="20"/>
      <name val="Calibri"/>
      <family val="2"/>
    </font>
    <font>
      <b/>
      <sz val="10"/>
      <color rgb="FFFF0000"/>
      <name val="맑은 고딕"/>
      <family val="2"/>
      <charset val="129"/>
    </font>
    <font>
      <sz val="10"/>
      <name val="Calibri"/>
      <family val="3"/>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14">
    <xf numFmtId="0" fontId="0" fillId="0" borderId="0">
      <alignment vertical="center"/>
    </xf>
    <xf numFmtId="41" fontId="1" fillId="0" borderId="0" applyFont="0" applyFill="0" applyBorder="0" applyAlignment="0" applyProtection="0">
      <alignment vertical="center"/>
    </xf>
    <xf numFmtId="0" fontId="1" fillId="0" borderId="0">
      <alignment vertical="center"/>
    </xf>
    <xf numFmtId="37" fontId="5" fillId="0" borderId="0"/>
    <xf numFmtId="0" fontId="25" fillId="0" borderId="0">
      <alignment vertical="center"/>
    </xf>
    <xf numFmtId="41" fontId="1" fillId="0" borderId="0" applyFont="0" applyFill="0" applyBorder="0" applyAlignment="0" applyProtection="0"/>
    <xf numFmtId="0" fontId="1" fillId="0" borderId="0">
      <alignment vertical="center"/>
    </xf>
    <xf numFmtId="0" fontId="31" fillId="0" borderId="0">
      <alignment vertical="center"/>
    </xf>
    <xf numFmtId="0" fontId="1" fillId="0" borderId="0">
      <alignment vertical="center"/>
    </xf>
    <xf numFmtId="0" fontId="43" fillId="0" borderId="0" applyNumberFormat="0" applyFill="0" applyBorder="0" applyAlignment="0" applyProtection="0">
      <alignment vertical="center"/>
    </xf>
    <xf numFmtId="0" fontId="49" fillId="0" borderId="0"/>
    <xf numFmtId="4" fontId="53" fillId="0" borderId="0">
      <protection locked="0"/>
    </xf>
    <xf numFmtId="41" fontId="1" fillId="0" borderId="0" applyFont="0" applyFill="0" applyBorder="0" applyAlignment="0" applyProtection="0">
      <alignment vertical="center"/>
    </xf>
    <xf numFmtId="41" fontId="1" fillId="0" borderId="0" applyFont="0" applyFill="0" applyBorder="0" applyAlignment="0" applyProtection="0"/>
  </cellStyleXfs>
  <cellXfs count="546">
    <xf numFmtId="0" fontId="0" fillId="0" borderId="0" xfId="0">
      <alignment vertical="center"/>
    </xf>
    <xf numFmtId="0" fontId="2" fillId="0" borderId="1" xfId="0" applyFont="1" applyBorder="1">
      <alignment vertical="center"/>
    </xf>
    <xf numFmtId="0" fontId="2" fillId="0" borderId="2" xfId="0" applyFont="1" applyBorder="1">
      <alignment vertical="center"/>
    </xf>
    <xf numFmtId="41" fontId="2" fillId="0" borderId="2" xfId="0" applyNumberFormat="1" applyFont="1" applyBorder="1" applyAlignment="1">
      <alignment horizontal="center" vertical="center"/>
    </xf>
    <xf numFmtId="41" fontId="2" fillId="0" borderId="2" xfId="0" applyNumberFormat="1" applyFont="1" applyBorder="1" applyAlignment="1">
      <alignment horizontal="left" vertical="center"/>
    </xf>
    <xf numFmtId="41" fontId="2" fillId="0" borderId="3" xfId="1" applyFont="1" applyFill="1" applyBorder="1" applyAlignment="1">
      <alignment horizontal="center" vertical="center"/>
    </xf>
    <xf numFmtId="41" fontId="2" fillId="0" borderId="0" xfId="0" applyNumberFormat="1" applyFont="1" applyAlignment="1">
      <alignment horizontal="center" vertical="center"/>
    </xf>
    <xf numFmtId="0" fontId="2" fillId="0" borderId="0" xfId="0" applyFont="1">
      <alignment vertical="center"/>
    </xf>
    <xf numFmtId="0" fontId="2" fillId="0" borderId="4" xfId="0" applyFont="1" applyBorder="1">
      <alignment vertical="center"/>
    </xf>
    <xf numFmtId="41" fontId="2" fillId="0" borderId="5" xfId="1" applyFont="1" applyFill="1" applyBorder="1" applyAlignment="1">
      <alignment horizontal="center" vertical="center"/>
    </xf>
    <xf numFmtId="0" fontId="3" fillId="0" borderId="4" xfId="2" applyFont="1" applyBorder="1">
      <alignment vertical="center"/>
    </xf>
    <xf numFmtId="41" fontId="2" fillId="0" borderId="0" xfId="3" applyNumberFormat="1" applyFont="1" applyAlignment="1">
      <alignment horizontal="fill" vertical="center"/>
    </xf>
    <xf numFmtId="37" fontId="6" fillId="0" borderId="0" xfId="3" applyFont="1" applyAlignment="1">
      <alignment vertical="center"/>
    </xf>
    <xf numFmtId="37" fontId="2" fillId="0" borderId="0" xfId="3" applyFont="1" applyAlignment="1">
      <alignment vertical="center"/>
    </xf>
    <xf numFmtId="37" fontId="3" fillId="0" borderId="9" xfId="3" applyFont="1" applyBorder="1" applyAlignment="1">
      <alignment vertical="center"/>
    </xf>
    <xf numFmtId="37" fontId="2" fillId="0" borderId="10" xfId="3" applyFont="1" applyBorder="1" applyAlignment="1">
      <alignment vertical="center"/>
    </xf>
    <xf numFmtId="37" fontId="2" fillId="0" borderId="10" xfId="3" applyFont="1" applyBorder="1" applyAlignment="1">
      <alignment horizontal="center" vertical="center"/>
    </xf>
    <xf numFmtId="37" fontId="2" fillId="0" borderId="11" xfId="3" applyFont="1" applyBorder="1" applyAlignment="1">
      <alignment horizontal="center" vertical="center"/>
    </xf>
    <xf numFmtId="37" fontId="3" fillId="0" borderId="12" xfId="3" applyFont="1" applyBorder="1" applyAlignment="1">
      <alignment vertical="center"/>
    </xf>
    <xf numFmtId="37" fontId="2" fillId="0" borderId="10" xfId="3" applyFont="1" applyBorder="1" applyAlignment="1">
      <alignment horizontal="left" vertical="center"/>
    </xf>
    <xf numFmtId="37" fontId="2" fillId="0" borderId="13" xfId="3" applyFont="1" applyBorder="1" applyAlignment="1">
      <alignment vertical="center"/>
    </xf>
    <xf numFmtId="37" fontId="2" fillId="0" borderId="0" xfId="3" applyFont="1" applyAlignment="1">
      <alignment horizontal="center" vertical="center"/>
    </xf>
    <xf numFmtId="0" fontId="7" fillId="0" borderId="0" xfId="0" applyFont="1">
      <alignment vertical="center"/>
    </xf>
    <xf numFmtId="37" fontId="8" fillId="0" borderId="4" xfId="3" applyFont="1" applyBorder="1" applyAlignment="1">
      <alignment vertical="center"/>
    </xf>
    <xf numFmtId="37" fontId="3" fillId="0" borderId="15" xfId="3" applyFont="1" applyBorder="1" applyAlignment="1">
      <alignment vertical="center"/>
    </xf>
    <xf numFmtId="37" fontId="2" fillId="0" borderId="7" xfId="3" applyFont="1" applyBorder="1" applyAlignment="1">
      <alignment horizontal="left" vertical="center"/>
    </xf>
    <xf numFmtId="15" fontId="2" fillId="0" borderId="7" xfId="0" applyNumberFormat="1" applyFont="1" applyBorder="1" applyAlignment="1">
      <alignment horizontal="left" vertical="center"/>
    </xf>
    <xf numFmtId="37" fontId="2" fillId="0" borderId="8" xfId="3" applyFont="1" applyBorder="1" applyAlignment="1">
      <alignment vertical="center"/>
    </xf>
    <xf numFmtId="0" fontId="3" fillId="0" borderId="0" xfId="0" applyFont="1">
      <alignment vertical="center"/>
    </xf>
    <xf numFmtId="0" fontId="3" fillId="0" borderId="12" xfId="0" applyFont="1" applyBorder="1">
      <alignment vertical="center"/>
    </xf>
    <xf numFmtId="0" fontId="2" fillId="0" borderId="10" xfId="0" applyFont="1" applyBorder="1">
      <alignment vertical="center"/>
    </xf>
    <xf numFmtId="0" fontId="2" fillId="0" borderId="13" xfId="0" applyFont="1" applyBorder="1">
      <alignment vertical="center"/>
    </xf>
    <xf numFmtId="37" fontId="2" fillId="0" borderId="7" xfId="3" applyFont="1" applyBorder="1" applyAlignment="1">
      <alignment vertical="center"/>
    </xf>
    <xf numFmtId="0" fontId="3" fillId="0" borderId="9" xfId="0" applyFont="1" applyBorder="1">
      <alignment vertical="center"/>
    </xf>
    <xf numFmtId="0" fontId="2" fillId="0" borderId="11" xfId="0" applyFont="1" applyBorder="1">
      <alignment vertical="center"/>
    </xf>
    <xf numFmtId="0" fontId="2" fillId="0" borderId="6" xfId="0" applyFont="1" applyBorder="1">
      <alignment vertical="center"/>
    </xf>
    <xf numFmtId="0" fontId="3" fillId="0" borderId="4" xfId="0" applyFont="1" applyBorder="1">
      <alignment vertical="center"/>
    </xf>
    <xf numFmtId="0" fontId="2" fillId="0" borderId="19" xfId="0" applyFont="1" applyBorder="1" applyAlignment="1">
      <alignment horizontal="left" vertical="center"/>
    </xf>
    <xf numFmtId="0" fontId="8" fillId="0" borderId="19" xfId="0" applyFont="1" applyBorder="1" applyAlignment="1">
      <alignment horizontal="left" vertical="center"/>
    </xf>
    <xf numFmtId="0" fontId="2" fillId="0" borderId="0" xfId="0" applyFont="1" applyAlignment="1">
      <alignment horizontal="left" vertical="center"/>
    </xf>
    <xf numFmtId="0" fontId="3" fillId="0" borderId="11" xfId="0" applyFont="1" applyBorder="1">
      <alignment vertical="center"/>
    </xf>
    <xf numFmtId="15" fontId="2" fillId="0" borderId="7" xfId="3" applyNumberFormat="1" applyFont="1" applyBorder="1" applyAlignment="1">
      <alignment horizontal="left" vertical="center"/>
    </xf>
    <xf numFmtId="41" fontId="2" fillId="0" borderId="19" xfId="0" applyNumberFormat="1" applyFont="1" applyBorder="1" applyAlignment="1">
      <alignment horizontal="center" vertical="center"/>
    </xf>
    <xf numFmtId="0" fontId="2" fillId="0" borderId="12" xfId="0" applyFont="1" applyBorder="1" applyAlignment="1">
      <alignment horizontal="left" vertical="center"/>
    </xf>
    <xf numFmtId="41" fontId="2" fillId="0" borderId="10" xfId="0" applyNumberFormat="1" applyFont="1" applyBorder="1" applyAlignment="1">
      <alignment horizontal="center" vertical="center"/>
    </xf>
    <xf numFmtId="41" fontId="2" fillId="0" borderId="10" xfId="0" applyNumberFormat="1" applyFont="1" applyBorder="1" applyAlignment="1">
      <alignment horizontal="left" vertical="center"/>
    </xf>
    <xf numFmtId="41" fontId="2" fillId="0" borderId="13" xfId="1" applyFont="1" applyFill="1" applyBorder="1" applyAlignment="1">
      <alignment horizontal="center" vertical="center"/>
    </xf>
    <xf numFmtId="0" fontId="2" fillId="0" borderId="15" xfId="0" applyFont="1" applyBorder="1" applyAlignment="1">
      <alignment horizontal="left" vertical="center"/>
    </xf>
    <xf numFmtId="41" fontId="2" fillId="0" borderId="7" xfId="0" applyNumberFormat="1" applyFont="1" applyBorder="1" applyAlignment="1">
      <alignment horizontal="center" vertical="center"/>
    </xf>
    <xf numFmtId="41" fontId="2" fillId="0" borderId="8" xfId="1" applyFont="1" applyFill="1" applyBorder="1" applyAlignment="1">
      <alignment horizontal="center" vertical="center"/>
    </xf>
    <xf numFmtId="41" fontId="3" fillId="0" borderId="21" xfId="0" applyNumberFormat="1" applyFont="1" applyBorder="1" applyAlignment="1">
      <alignment horizontal="center" vertical="center"/>
    </xf>
    <xf numFmtId="41" fontId="3" fillId="0" borderId="21" xfId="0" applyNumberFormat="1" applyFont="1" applyBorder="1" applyAlignment="1">
      <alignment horizontal="center" vertical="center" wrapText="1"/>
    </xf>
    <xf numFmtId="41" fontId="3" fillId="0" borderId="22" xfId="0" applyNumberFormat="1" applyFont="1" applyBorder="1" applyAlignment="1">
      <alignment horizontal="center" vertical="center" wrapText="1"/>
    </xf>
    <xf numFmtId="41" fontId="2" fillId="0" borderId="23" xfId="0" applyNumberFormat="1" applyFont="1" applyBorder="1" applyAlignment="1">
      <alignment horizontal="center" vertical="center"/>
    </xf>
    <xf numFmtId="164" fontId="2" fillId="0" borderId="24" xfId="1" applyNumberFormat="1" applyFont="1" applyFill="1" applyBorder="1" applyAlignment="1">
      <alignment horizontal="center" vertical="center"/>
    </xf>
    <xf numFmtId="41" fontId="2" fillId="0" borderId="14" xfId="0" applyNumberFormat="1" applyFont="1" applyBorder="1" applyAlignment="1">
      <alignment horizontal="center" vertical="center"/>
    </xf>
    <xf numFmtId="41" fontId="2" fillId="0" borderId="24" xfId="0" applyNumberFormat="1" applyFont="1" applyBorder="1" applyAlignment="1">
      <alignment horizontal="center" vertical="center"/>
    </xf>
    <xf numFmtId="0" fontId="3" fillId="0" borderId="6" xfId="0" applyFont="1" applyBorder="1">
      <alignment vertical="center"/>
    </xf>
    <xf numFmtId="0" fontId="2" fillId="0" borderId="7" xfId="0" applyFont="1" applyBorder="1">
      <alignment vertical="center"/>
    </xf>
    <xf numFmtId="41" fontId="2" fillId="0" borderId="20" xfId="0" applyNumberFormat="1" applyFont="1" applyBorder="1" applyAlignment="1">
      <alignment horizontal="center" vertical="center"/>
    </xf>
    <xf numFmtId="41" fontId="2" fillId="0" borderId="21" xfId="0" applyNumberFormat="1" applyFont="1" applyBorder="1" applyAlignment="1">
      <alignment horizontal="center" vertical="center"/>
    </xf>
    <xf numFmtId="41" fontId="2" fillId="0" borderId="22" xfId="0" applyNumberFormat="1" applyFont="1" applyBorder="1" applyAlignment="1">
      <alignment horizontal="center" vertical="center"/>
    </xf>
    <xf numFmtId="41" fontId="3" fillId="0" borderId="10" xfId="0" applyNumberFormat="1" applyFont="1" applyBorder="1" applyAlignment="1">
      <alignment horizontal="left" vertical="center"/>
    </xf>
    <xf numFmtId="164" fontId="2" fillId="0" borderId="13" xfId="1" applyNumberFormat="1" applyFont="1" applyFill="1" applyBorder="1" applyAlignment="1">
      <alignment horizontal="left" vertical="center"/>
    </xf>
    <xf numFmtId="41" fontId="2" fillId="0" borderId="7" xfId="0" applyNumberFormat="1" applyFont="1" applyBorder="1" applyAlignment="1">
      <alignment horizontal="left" vertical="center"/>
    </xf>
    <xf numFmtId="41" fontId="2" fillId="0" borderId="8" xfId="1" applyFont="1" applyFill="1" applyBorder="1" applyAlignment="1">
      <alignment horizontal="left" vertical="center"/>
    </xf>
    <xf numFmtId="0" fontId="2" fillId="0" borderId="0" xfId="0" applyFont="1" applyAlignment="1">
      <alignment horizontal="center" vertical="center"/>
    </xf>
    <xf numFmtId="0" fontId="8" fillId="0" borderId="16" xfId="0" applyFont="1" applyBorder="1">
      <alignment vertical="center"/>
    </xf>
    <xf numFmtId="0" fontId="2" fillId="0" borderId="17" xfId="0" applyFont="1" applyBorder="1">
      <alignment vertical="center"/>
    </xf>
    <xf numFmtId="41" fontId="2" fillId="0" borderId="17" xfId="0" applyNumberFormat="1" applyFont="1" applyBorder="1" applyAlignment="1">
      <alignment horizontal="center" vertical="center"/>
    </xf>
    <xf numFmtId="41" fontId="2" fillId="0" borderId="17" xfId="0" applyNumberFormat="1" applyFont="1" applyBorder="1" applyAlignment="1">
      <alignment horizontal="left" vertical="center"/>
    </xf>
    <xf numFmtId="41" fontId="2" fillId="0" borderId="18" xfId="1" applyFont="1" applyFill="1" applyBorder="1" applyAlignment="1">
      <alignment horizontal="center" vertical="center"/>
    </xf>
    <xf numFmtId="41" fontId="2" fillId="0" borderId="0" xfId="1" applyFont="1" applyFill="1" applyAlignment="1">
      <alignment horizontal="center" vertical="center"/>
    </xf>
    <xf numFmtId="0" fontId="12" fillId="0" borderId="0" xfId="0" applyFont="1">
      <alignment vertical="center"/>
    </xf>
    <xf numFmtId="37" fontId="12" fillId="0" borderId="0" xfId="0" applyNumberFormat="1" applyFont="1" applyAlignment="1">
      <alignment horizontal="left" vertical="center" indent="1"/>
    </xf>
    <xf numFmtId="0" fontId="12" fillId="0" borderId="0" xfId="0" applyFont="1" applyAlignment="1">
      <alignment horizontal="left" vertical="center" indent="1"/>
    </xf>
    <xf numFmtId="37" fontId="12" fillId="0" borderId="0" xfId="0" applyNumberFormat="1" applyFont="1">
      <alignment vertical="center"/>
    </xf>
    <xf numFmtId="37" fontId="12" fillId="0" borderId="0" xfId="0" applyNumberFormat="1" applyFont="1" applyAlignment="1">
      <alignment horizontal="center" vertical="center"/>
    </xf>
    <xf numFmtId="0" fontId="12" fillId="0" borderId="0" xfId="0" applyFont="1" applyAlignment="1">
      <alignment horizontal="center" vertical="center"/>
    </xf>
    <xf numFmtId="43" fontId="12" fillId="0" borderId="0" xfId="0" applyNumberFormat="1" applyFont="1">
      <alignment vertical="center"/>
    </xf>
    <xf numFmtId="0" fontId="12" fillId="0" borderId="7" xfId="0" applyFont="1" applyBorder="1">
      <alignment vertical="center"/>
    </xf>
    <xf numFmtId="0" fontId="12" fillId="0" borderId="12" xfId="0" applyFont="1" applyBorder="1">
      <alignment vertical="center"/>
    </xf>
    <xf numFmtId="0" fontId="12" fillId="0" borderId="11" xfId="0" applyFont="1" applyBorder="1">
      <alignment vertical="center"/>
    </xf>
    <xf numFmtId="0" fontId="12" fillId="0" borderId="10" xfId="0" applyFont="1" applyBorder="1">
      <alignment vertical="center"/>
    </xf>
    <xf numFmtId="41" fontId="12" fillId="0" borderId="10" xfId="0" applyNumberFormat="1" applyFont="1" applyBorder="1" applyAlignment="1">
      <alignment horizontal="left" vertical="center"/>
    </xf>
    <xf numFmtId="41" fontId="13" fillId="0" borderId="10" xfId="0" applyNumberFormat="1" applyFont="1" applyBorder="1" applyAlignment="1">
      <alignment horizontal="left" vertical="center"/>
    </xf>
    <xf numFmtId="41" fontId="14" fillId="0" borderId="10" xfId="0" applyNumberFormat="1" applyFont="1" applyBorder="1" applyAlignment="1">
      <alignment horizontal="left" vertical="center"/>
    </xf>
    <xf numFmtId="0" fontId="12" fillId="0" borderId="10" xfId="0" applyFont="1" applyBorder="1" applyAlignment="1">
      <alignment horizontal="center" vertical="center"/>
    </xf>
    <xf numFmtId="164" fontId="12" fillId="0" borderId="14" xfId="0" applyNumberFormat="1" applyFont="1" applyBorder="1">
      <alignment vertical="center"/>
    </xf>
    <xf numFmtId="0" fontId="12" fillId="0" borderId="15" xfId="0" applyFont="1" applyBorder="1">
      <alignment vertical="center"/>
    </xf>
    <xf numFmtId="0" fontId="12" fillId="0" borderId="20" xfId="0" applyFont="1" applyBorder="1">
      <alignment vertical="center"/>
    </xf>
    <xf numFmtId="41" fontId="12" fillId="0" borderId="7" xfId="0" applyNumberFormat="1" applyFont="1" applyBorder="1" applyAlignment="1">
      <alignment horizontal="left" vertical="center"/>
    </xf>
    <xf numFmtId="41" fontId="13" fillId="0" borderId="7" xfId="0" applyNumberFormat="1" applyFont="1" applyBorder="1" applyAlignment="1">
      <alignment horizontal="left" vertical="center"/>
    </xf>
    <xf numFmtId="0" fontId="12" fillId="0" borderId="7" xfId="0" applyFont="1" applyBorder="1" applyAlignment="1">
      <alignment horizontal="center" vertical="center"/>
    </xf>
    <xf numFmtId="165" fontId="2" fillId="0" borderId="0" xfId="0" applyNumberFormat="1" applyFont="1" applyAlignment="1">
      <alignment horizontal="center" vertical="center"/>
    </xf>
    <xf numFmtId="166" fontId="2" fillId="0" borderId="0" xfId="0" applyNumberFormat="1" applyFont="1" applyAlignment="1">
      <alignment horizontal="center" vertical="center"/>
    </xf>
    <xf numFmtId="41" fontId="2" fillId="0" borderId="0" xfId="3" applyNumberFormat="1" applyFont="1" applyAlignment="1">
      <alignment vertical="center"/>
    </xf>
    <xf numFmtId="165" fontId="2" fillId="0" borderId="0" xfId="3" applyNumberFormat="1" applyFont="1" applyAlignment="1">
      <alignment vertical="center"/>
    </xf>
    <xf numFmtId="37" fontId="3" fillId="0" borderId="4" xfId="3" applyFont="1" applyBorder="1" applyAlignment="1">
      <alignment vertical="center"/>
    </xf>
    <xf numFmtId="0" fontId="15" fillId="0" borderId="5" xfId="0" applyFont="1" applyBorder="1">
      <alignment vertical="center"/>
    </xf>
    <xf numFmtId="0" fontId="9" fillId="0" borderId="19" xfId="0" applyFont="1" applyBorder="1" applyAlignment="1">
      <alignment horizontal="left" vertical="center"/>
    </xf>
    <xf numFmtId="41" fontId="3" fillId="0" borderId="26" xfId="0" applyNumberFormat="1" applyFont="1" applyBorder="1" applyAlignment="1">
      <alignment horizontal="center" vertical="center"/>
    </xf>
    <xf numFmtId="41" fontId="3" fillId="0" borderId="26" xfId="0" applyNumberFormat="1" applyFont="1" applyBorder="1" applyAlignment="1">
      <alignment horizontal="center" vertical="center" wrapText="1"/>
    </xf>
    <xf numFmtId="41" fontId="3" fillId="0" borderId="29" xfId="0" applyNumberFormat="1" applyFont="1" applyBorder="1" applyAlignment="1">
      <alignment horizontal="center" vertical="center" wrapText="1"/>
    </xf>
    <xf numFmtId="41" fontId="3" fillId="0" borderId="0" xfId="0" applyNumberFormat="1" applyFont="1" applyAlignment="1">
      <alignment horizontal="center" vertical="center"/>
    </xf>
    <xf numFmtId="165" fontId="3" fillId="0" borderId="0" xfId="0" applyNumberFormat="1" applyFont="1" applyAlignment="1">
      <alignment horizontal="center" vertical="center"/>
    </xf>
    <xf numFmtId="0" fontId="3" fillId="0" borderId="0" xfId="0" applyFont="1" applyAlignment="1">
      <alignment horizontal="center" vertical="center"/>
    </xf>
    <xf numFmtId="166" fontId="3" fillId="0" borderId="0" xfId="0" applyNumberFormat="1" applyFont="1" applyAlignment="1">
      <alignment horizontal="center" vertical="center"/>
    </xf>
    <xf numFmtId="167" fontId="2" fillId="0" borderId="23" xfId="0" applyNumberFormat="1" applyFont="1" applyBorder="1" applyAlignment="1">
      <alignment horizontal="center" vertical="center"/>
    </xf>
    <xf numFmtId="164" fontId="2" fillId="0" borderId="24" xfId="0" applyNumberFormat="1" applyFont="1" applyBorder="1" applyAlignment="1">
      <alignment horizontal="center" vertical="center"/>
    </xf>
    <xf numFmtId="41" fontId="15" fillId="0" borderId="23" xfId="0" applyNumberFormat="1" applyFont="1" applyBorder="1" applyAlignment="1">
      <alignment horizontal="center" vertical="center"/>
    </xf>
    <xf numFmtId="0" fontId="3" fillId="0" borderId="27" xfId="0" applyFont="1" applyBorder="1">
      <alignment vertical="center"/>
    </xf>
    <xf numFmtId="0" fontId="3" fillId="0" borderId="28" xfId="0" applyFont="1" applyBorder="1">
      <alignment vertical="center"/>
    </xf>
    <xf numFmtId="0" fontId="2" fillId="0" borderId="4" xfId="2" applyFont="1" applyBorder="1">
      <alignment vertical="center"/>
    </xf>
    <xf numFmtId="0" fontId="8" fillId="0" borderId="4" xfId="0" applyFont="1" applyBorder="1">
      <alignment vertical="center"/>
    </xf>
    <xf numFmtId="0" fontId="2" fillId="0" borderId="16" xfId="0" applyFont="1" applyBorder="1">
      <alignment vertical="center"/>
    </xf>
    <xf numFmtId="0" fontId="17" fillId="0" borderId="0" xfId="0" applyFont="1">
      <alignment vertical="center"/>
    </xf>
    <xf numFmtId="41" fontId="2" fillId="0" borderId="0" xfId="1" applyFont="1" applyFill="1" applyBorder="1" applyAlignment="1">
      <alignment horizontal="center" vertical="center"/>
    </xf>
    <xf numFmtId="0" fontId="4" fillId="0" borderId="32" xfId="0" applyFont="1" applyBorder="1" applyAlignment="1">
      <alignment horizontal="center" vertical="center"/>
    </xf>
    <xf numFmtId="0" fontId="3" fillId="0" borderId="0" xfId="0" applyFont="1" applyAlignment="1">
      <alignment horizontal="left" vertical="center"/>
    </xf>
    <xf numFmtId="37" fontId="2" fillId="0" borderId="0" xfId="0" applyNumberFormat="1" applyFont="1" applyAlignment="1">
      <alignment horizontal="left" vertical="center"/>
    </xf>
    <xf numFmtId="0" fontId="2" fillId="0" borderId="0" xfId="0" applyFont="1" applyAlignment="1">
      <alignment horizontal="right" vertical="center"/>
    </xf>
    <xf numFmtId="15" fontId="2" fillId="0" borderId="0" xfId="0" quotePrefix="1" applyNumberFormat="1" applyFont="1" applyAlignment="1">
      <alignment horizontal="left" vertical="center"/>
    </xf>
    <xf numFmtId="0" fontId="2" fillId="0" borderId="0" xfId="0" applyFont="1" applyAlignment="1">
      <alignment horizontal="left" vertical="center" indent="1"/>
    </xf>
    <xf numFmtId="0" fontId="2" fillId="0" borderId="26" xfId="0" applyFont="1" applyBorder="1" applyAlignment="1">
      <alignment horizontal="left" vertical="center"/>
    </xf>
    <xf numFmtId="0" fontId="2" fillId="0" borderId="26" xfId="0" applyFont="1" applyBorder="1" applyAlignment="1">
      <alignment horizontal="center" vertical="center"/>
    </xf>
    <xf numFmtId="0" fontId="3" fillId="0" borderId="26" xfId="0" applyFont="1" applyBorder="1" applyAlignment="1">
      <alignment horizontal="center" vertical="center"/>
    </xf>
    <xf numFmtId="0" fontId="3" fillId="0" borderId="26" xfId="0" applyFont="1" applyBorder="1" applyAlignment="1">
      <alignment horizontal="center" vertical="center" wrapText="1"/>
    </xf>
    <xf numFmtId="0" fontId="2" fillId="0" borderId="25" xfId="0" applyFont="1" applyBorder="1" applyAlignment="1">
      <alignment horizontal="center" vertical="center"/>
    </xf>
    <xf numFmtId="0" fontId="18" fillId="0" borderId="26" xfId="0" applyFont="1" applyBorder="1" applyAlignment="1">
      <alignment horizontal="center" vertical="center" wrapText="1"/>
    </xf>
    <xf numFmtId="167" fontId="2" fillId="0" borderId="26" xfId="1" applyNumberFormat="1" applyFont="1" applyFill="1" applyBorder="1" applyAlignment="1">
      <alignment horizontal="center" vertical="center" wrapText="1"/>
    </xf>
    <xf numFmtId="0" fontId="2" fillId="0" borderId="26" xfId="0" applyFont="1" applyBorder="1" applyAlignment="1">
      <alignment horizontal="center" vertical="center" wrapText="1"/>
    </xf>
    <xf numFmtId="41" fontId="2" fillId="0" borderId="0" xfId="1" applyFont="1" applyFill="1" applyAlignment="1">
      <alignment vertical="center"/>
    </xf>
    <xf numFmtId="0" fontId="2" fillId="0" borderId="0" xfId="0" applyFont="1" applyAlignment="1">
      <alignment vertical="center" wrapText="1"/>
    </xf>
    <xf numFmtId="0" fontId="2" fillId="0" borderId="0" xfId="1" applyNumberFormat="1" applyFont="1" applyFill="1" applyAlignment="1">
      <alignment vertical="center"/>
    </xf>
    <xf numFmtId="41" fontId="2" fillId="0" borderId="0" xfId="1" applyFont="1" applyAlignment="1">
      <alignment vertical="center"/>
    </xf>
    <xf numFmtId="0" fontId="2" fillId="0" borderId="0" xfId="1" applyNumberFormat="1" applyFont="1" applyAlignment="1">
      <alignment vertical="center"/>
    </xf>
    <xf numFmtId="0" fontId="20" fillId="0" borderId="0" xfId="0" applyFont="1">
      <alignment vertical="center"/>
    </xf>
    <xf numFmtId="0" fontId="21" fillId="0" borderId="0" xfId="0" applyFont="1" applyAlignment="1">
      <alignment horizontal="center" vertical="center"/>
    </xf>
    <xf numFmtId="0" fontId="21" fillId="0" borderId="0" xfId="0" applyFont="1">
      <alignment vertical="center"/>
    </xf>
    <xf numFmtId="41" fontId="12" fillId="0" borderId="0" xfId="0" applyNumberFormat="1" applyFont="1" applyAlignment="1">
      <alignment horizontal="center" vertical="center"/>
    </xf>
    <xf numFmtId="41" fontId="22" fillId="0" borderId="0" xfId="0" applyNumberFormat="1" applyFont="1" applyAlignment="1">
      <alignment horizontal="left" vertical="center"/>
    </xf>
    <xf numFmtId="41" fontId="12" fillId="0" borderId="0" xfId="1" applyFont="1" applyFill="1" applyBorder="1" applyAlignment="1">
      <alignment horizontal="center" vertical="center"/>
    </xf>
    <xf numFmtId="0" fontId="19" fillId="0" borderId="32" xfId="0" applyFont="1" applyBorder="1" applyAlignment="1">
      <alignment horizontal="center" vertical="center"/>
    </xf>
    <xf numFmtId="0" fontId="14" fillId="0" borderId="0" xfId="0" applyFont="1" applyAlignment="1">
      <alignment horizontal="left" vertical="center"/>
    </xf>
    <xf numFmtId="37" fontId="12" fillId="0" borderId="0" xfId="0" applyNumberFormat="1" applyFont="1" applyAlignment="1">
      <alignment horizontal="left" vertical="center"/>
    </xf>
    <xf numFmtId="168" fontId="12" fillId="0" borderId="0" xfId="0" applyNumberFormat="1" applyFont="1" applyAlignment="1">
      <alignment horizontal="center" vertical="center"/>
    </xf>
    <xf numFmtId="0" fontId="12" fillId="0" borderId="0" xfId="0" applyFont="1" applyAlignment="1">
      <alignment horizontal="right" vertical="center"/>
    </xf>
    <xf numFmtId="0" fontId="23" fillId="0" borderId="0" xfId="0" applyFont="1">
      <alignment vertical="center"/>
    </xf>
    <xf numFmtId="0" fontId="12" fillId="0" borderId="0" xfId="0" applyFont="1" applyAlignment="1">
      <alignment horizontal="left" vertical="center"/>
    </xf>
    <xf numFmtId="168" fontId="12" fillId="0" borderId="0" xfId="0" applyNumberFormat="1" applyFont="1" applyAlignment="1">
      <alignment horizontal="left" vertical="center"/>
    </xf>
    <xf numFmtId="168" fontId="12" fillId="0" borderId="26" xfId="0" applyNumberFormat="1" applyFont="1" applyBorder="1" applyAlignment="1">
      <alignment horizontal="left" vertical="center"/>
    </xf>
    <xf numFmtId="168" fontId="12" fillId="0" borderId="26" xfId="0" applyNumberFormat="1" applyFont="1" applyBorder="1" applyAlignment="1">
      <alignment horizontal="center" vertical="center"/>
    </xf>
    <xf numFmtId="0" fontId="24" fillId="0" borderId="0" xfId="0" applyFont="1">
      <alignment vertical="center"/>
    </xf>
    <xf numFmtId="0" fontId="14" fillId="0" borderId="0" xfId="0" applyFont="1" applyAlignment="1">
      <alignment horizontal="center" vertical="center"/>
    </xf>
    <xf numFmtId="0" fontId="14" fillId="0" borderId="0" xfId="0" applyFont="1">
      <alignment vertical="center"/>
    </xf>
    <xf numFmtId="0" fontId="14" fillId="0" borderId="26" xfId="0" applyFont="1" applyBorder="1" applyAlignment="1">
      <alignment horizontal="center" vertical="center"/>
    </xf>
    <xf numFmtId="0" fontId="14" fillId="0" borderId="26" xfId="0" applyFont="1" applyBorder="1" applyAlignment="1">
      <alignment horizontal="center" vertical="center" wrapText="1"/>
    </xf>
    <xf numFmtId="168" fontId="14" fillId="0" borderId="26" xfId="0" applyNumberFormat="1" applyFont="1" applyBorder="1" applyAlignment="1">
      <alignment horizontal="center" vertical="center" wrapText="1"/>
    </xf>
    <xf numFmtId="41" fontId="12" fillId="0" borderId="0" xfId="1" applyFont="1" applyAlignment="1">
      <alignment vertical="center"/>
    </xf>
    <xf numFmtId="168" fontId="12" fillId="0" borderId="0" xfId="0" applyNumberFormat="1" applyFont="1">
      <alignment vertical="center"/>
    </xf>
    <xf numFmtId="0" fontId="12" fillId="0" borderId="0" xfId="1" applyNumberFormat="1" applyFont="1" applyFill="1" applyAlignment="1">
      <alignment vertical="center"/>
    </xf>
    <xf numFmtId="0" fontId="28" fillId="0" borderId="0" xfId="6" applyFont="1">
      <alignment vertical="center"/>
    </xf>
    <xf numFmtId="0" fontId="28" fillId="0" borderId="0" xfId="6" applyFont="1" applyAlignment="1">
      <alignment horizontal="center" vertical="center"/>
    </xf>
    <xf numFmtId="0" fontId="30" fillId="0" borderId="10" xfId="6" applyFont="1" applyBorder="1" applyAlignment="1">
      <alignment horizontal="center" vertical="top" wrapText="1"/>
    </xf>
    <xf numFmtId="0" fontId="28" fillId="0" borderId="0" xfId="6" applyFont="1" applyAlignment="1">
      <alignment horizontal="left" vertical="center" indent="2"/>
    </xf>
    <xf numFmtId="0" fontId="30" fillId="0" borderId="0" xfId="6" applyFont="1" applyAlignment="1">
      <alignment horizontal="center" vertical="top" wrapText="1"/>
    </xf>
    <xf numFmtId="0" fontId="30" fillId="0" borderId="0" xfId="6" applyFont="1" applyAlignment="1">
      <alignment horizontal="center" vertical="top"/>
    </xf>
    <xf numFmtId="170" fontId="28" fillId="0" borderId="0" xfId="6" applyNumberFormat="1" applyFont="1" applyAlignment="1">
      <alignment horizontal="left" vertical="center" indent="2"/>
    </xf>
    <xf numFmtId="41" fontId="28" fillId="0" borderId="0" xfId="1" applyFont="1" applyFill="1" applyBorder="1" applyAlignment="1">
      <alignment horizontal="left" vertical="top"/>
    </xf>
    <xf numFmtId="41" fontId="28" fillId="0" borderId="0" xfId="1" applyFont="1" applyFill="1" applyBorder="1" applyAlignment="1">
      <alignment vertical="top"/>
    </xf>
    <xf numFmtId="164" fontId="28" fillId="0" borderId="0" xfId="1" applyNumberFormat="1" applyFont="1" applyFill="1" applyBorder="1" applyAlignment="1">
      <alignment vertical="top"/>
    </xf>
    <xf numFmtId="49" fontId="28" fillId="0" borderId="14" xfId="6" applyNumberFormat="1" applyFont="1" applyBorder="1" applyAlignment="1">
      <alignment horizontal="left" vertical="top"/>
    </xf>
    <xf numFmtId="0" fontId="28" fillId="0" borderId="0" xfId="1" applyNumberFormat="1" applyFont="1" applyFill="1" applyBorder="1" applyAlignment="1">
      <alignment vertical="top"/>
    </xf>
    <xf numFmtId="0" fontId="30" fillId="0" borderId="7" xfId="6" applyFont="1" applyBorder="1" applyAlignment="1">
      <alignment horizontal="center" vertical="top" wrapText="1"/>
    </xf>
    <xf numFmtId="0" fontId="28" fillId="0" borderId="7" xfId="7" applyFont="1" applyBorder="1" applyAlignment="1">
      <alignment vertical="top" wrapText="1"/>
    </xf>
    <xf numFmtId="0" fontId="28" fillId="0" borderId="20" xfId="7" applyFont="1" applyBorder="1" applyAlignment="1">
      <alignment vertical="top" wrapText="1"/>
    </xf>
    <xf numFmtId="0" fontId="15" fillId="0" borderId="19" xfId="0" applyFont="1" applyBorder="1" applyAlignment="1">
      <alignment horizontal="left" vertical="center"/>
    </xf>
    <xf numFmtId="0" fontId="32" fillId="0" borderId="0" xfId="0" quotePrefix="1" applyFont="1" applyAlignment="1">
      <alignment vertical="center" wrapText="1"/>
    </xf>
    <xf numFmtId="0" fontId="28" fillId="0" borderId="25" xfId="6" applyFont="1" applyBorder="1" applyAlignment="1">
      <alignment horizontal="right" vertical="top" wrapText="1" indent="1"/>
    </xf>
    <xf numFmtId="0" fontId="28" fillId="0" borderId="23" xfId="6" applyFont="1" applyBorder="1" applyAlignment="1">
      <alignment horizontal="right" vertical="top" wrapText="1" indent="1"/>
    </xf>
    <xf numFmtId="0" fontId="28" fillId="0" borderId="23" xfId="6" applyFont="1" applyBorder="1" applyAlignment="1">
      <alignment horizontal="right" vertical="top" indent="1"/>
    </xf>
    <xf numFmtId="0" fontId="28" fillId="0" borderId="21" xfId="6" applyFont="1" applyBorder="1" applyAlignment="1">
      <alignment horizontal="right" vertical="top" wrapText="1" indent="1"/>
    </xf>
    <xf numFmtId="0" fontId="2" fillId="0" borderId="0" xfId="0" applyFont="1" applyBorder="1">
      <alignment vertical="center"/>
    </xf>
    <xf numFmtId="41" fontId="2" fillId="0" borderId="0" xfId="0" applyNumberFormat="1" applyFont="1" applyBorder="1" applyAlignment="1">
      <alignment horizontal="center" vertical="center"/>
    </xf>
    <xf numFmtId="41" fontId="2" fillId="0" borderId="0" xfId="0" applyNumberFormat="1" applyFont="1" applyBorder="1" applyAlignment="1">
      <alignment horizontal="left" vertical="center"/>
    </xf>
    <xf numFmtId="0" fontId="0" fillId="0" borderId="0" xfId="0" applyBorder="1" applyAlignment="1">
      <alignment horizontal="left" vertical="center" wrapText="1"/>
    </xf>
    <xf numFmtId="0" fontId="35" fillId="0" borderId="0" xfId="0" applyFont="1" applyBorder="1" applyAlignment="1">
      <alignment horizontal="left" vertical="top" wrapText="1"/>
    </xf>
    <xf numFmtId="0" fontId="3" fillId="0" borderId="0" xfId="0" applyFont="1" applyBorder="1">
      <alignment vertical="center"/>
    </xf>
    <xf numFmtId="0" fontId="8" fillId="0" borderId="0" xfId="0" applyFont="1" applyBorder="1">
      <alignment vertical="center"/>
    </xf>
    <xf numFmtId="0" fontId="8" fillId="0" borderId="0" xfId="0" applyFont="1" applyBorder="1" applyAlignment="1">
      <alignment vertical="center" wrapText="1"/>
    </xf>
    <xf numFmtId="0" fontId="2" fillId="0" borderId="0" xfId="0" applyFont="1" applyBorder="1" applyAlignment="1">
      <alignment horizontal="center" vertical="center"/>
    </xf>
    <xf numFmtId="41" fontId="2" fillId="0" borderId="18" xfId="0" applyNumberFormat="1" applyFont="1" applyBorder="1" applyAlignment="1">
      <alignment horizontal="left" vertical="center"/>
    </xf>
    <xf numFmtId="14" fontId="8" fillId="0" borderId="7" xfId="3" applyNumberFormat="1" applyFont="1" applyBorder="1" applyAlignment="1">
      <alignment vertical="center"/>
    </xf>
    <xf numFmtId="14" fontId="39" fillId="0" borderId="0" xfId="0" applyNumberFormat="1" applyFont="1">
      <alignment vertical="center"/>
    </xf>
    <xf numFmtId="14" fontId="2" fillId="0" borderId="0" xfId="0" quotePrefix="1" applyNumberFormat="1" applyFont="1" applyAlignment="1">
      <alignment horizontal="left" vertical="center"/>
    </xf>
    <xf numFmtId="14" fontId="12" fillId="0" borderId="0" xfId="0" quotePrefix="1" applyNumberFormat="1" applyFont="1" applyAlignment="1">
      <alignment horizontal="left" vertical="center"/>
    </xf>
    <xf numFmtId="15" fontId="12" fillId="0" borderId="0" xfId="0" applyNumberFormat="1" applyFont="1" applyAlignment="1">
      <alignment horizontal="left" vertical="center"/>
    </xf>
    <xf numFmtId="0" fontId="2" fillId="0" borderId="0" xfId="0" applyFont="1" applyBorder="1" applyAlignment="1">
      <alignment horizontal="left" vertical="center" wrapText="1"/>
    </xf>
    <xf numFmtId="0" fontId="2" fillId="0" borderId="0" xfId="0" quotePrefix="1" applyFont="1" applyBorder="1">
      <alignment vertical="center"/>
    </xf>
    <xf numFmtId="0" fontId="2" fillId="0" borderId="17" xfId="0" quotePrefix="1" applyFont="1" applyBorder="1">
      <alignment vertical="center"/>
    </xf>
    <xf numFmtId="0" fontId="12" fillId="0" borderId="26" xfId="0" quotePrefix="1" applyFont="1" applyBorder="1" applyAlignment="1">
      <alignment horizontal="center" vertical="center"/>
    </xf>
    <xf numFmtId="41" fontId="14" fillId="0" borderId="26" xfId="1" applyFont="1" applyBorder="1" applyAlignment="1">
      <alignment horizontal="center" vertical="center"/>
    </xf>
    <xf numFmtId="41" fontId="12" fillId="0" borderId="0" xfId="1" applyFont="1">
      <alignment vertical="center"/>
    </xf>
    <xf numFmtId="41" fontId="12" fillId="0" borderId="0" xfId="1" applyFont="1" applyAlignment="1">
      <alignment horizontal="left" vertical="center"/>
    </xf>
    <xf numFmtId="41" fontId="12" fillId="0" borderId="0" xfId="1" applyFont="1" applyAlignment="1">
      <alignment horizontal="center" vertical="center"/>
    </xf>
    <xf numFmtId="41" fontId="12" fillId="0" borderId="0" xfId="1" applyFont="1" applyAlignment="1">
      <alignment vertical="center" wrapText="1"/>
    </xf>
    <xf numFmtId="164" fontId="12" fillId="0" borderId="26" xfId="1" applyNumberFormat="1" applyFont="1" applyBorder="1" applyAlignment="1">
      <alignment horizontal="center" vertical="center"/>
    </xf>
    <xf numFmtId="2" fontId="14" fillId="0" borderId="0" xfId="0" applyNumberFormat="1" applyFont="1" applyAlignment="1">
      <alignment horizontal="center" vertical="center"/>
    </xf>
    <xf numFmtId="0" fontId="2" fillId="0" borderId="26" xfId="0" quotePrefix="1" applyFont="1" applyBorder="1" applyAlignment="1">
      <alignment horizontal="center" vertical="center"/>
    </xf>
    <xf numFmtId="41" fontId="2" fillId="0" borderId="26" xfId="0" applyNumberFormat="1" applyFont="1" applyBorder="1" applyAlignment="1">
      <alignment horizontal="center" vertical="center"/>
    </xf>
    <xf numFmtId="0" fontId="8" fillId="0" borderId="5" xfId="0" applyFont="1" applyBorder="1" applyAlignment="1">
      <alignment vertical="center" wrapText="1"/>
    </xf>
    <xf numFmtId="0" fontId="42" fillId="0" borderId="0" xfId="0" applyFont="1">
      <alignment vertical="center"/>
    </xf>
    <xf numFmtId="0" fontId="42" fillId="0" borderId="0" xfId="0" applyFont="1" applyAlignment="1">
      <alignment vertical="center" wrapText="1"/>
    </xf>
    <xf numFmtId="171" fontId="42" fillId="0" borderId="0" xfId="1" applyNumberFormat="1" applyFont="1">
      <alignment vertical="center"/>
    </xf>
    <xf numFmtId="0" fontId="42" fillId="0" borderId="0" xfId="0" applyFont="1" applyAlignment="1">
      <alignment horizontal="center" vertical="center"/>
    </xf>
    <xf numFmtId="0" fontId="44" fillId="0" borderId="0" xfId="9" applyFont="1">
      <alignment vertical="center"/>
    </xf>
    <xf numFmtId="0" fontId="12" fillId="0" borderId="0" xfId="0" applyFont="1" applyAlignment="1">
      <alignment vertical="center" wrapText="1"/>
    </xf>
    <xf numFmtId="0" fontId="45" fillId="0" borderId="0" xfId="0" applyFont="1">
      <alignment vertical="center"/>
    </xf>
    <xf numFmtId="0" fontId="21" fillId="0" borderId="0" xfId="0" applyFont="1" applyAlignment="1">
      <alignment vertical="center" wrapText="1"/>
    </xf>
    <xf numFmtId="172" fontId="42" fillId="0" borderId="0" xfId="0" applyNumberFormat="1" applyFont="1" applyAlignment="1">
      <alignment horizontal="left" vertical="center"/>
    </xf>
    <xf numFmtId="0" fontId="47" fillId="0" borderId="0" xfId="0" applyFont="1" applyAlignment="1">
      <alignment vertical="center" wrapText="1"/>
    </xf>
    <xf numFmtId="0" fontId="47" fillId="0" borderId="0" xfId="0" applyFont="1">
      <alignment vertical="center"/>
    </xf>
    <xf numFmtId="172" fontId="47" fillId="0" borderId="21" xfId="0" applyNumberFormat="1" applyFont="1" applyBorder="1" applyAlignment="1">
      <alignment horizontal="center" vertical="center" wrapText="1"/>
    </xf>
    <xf numFmtId="0" fontId="48" fillId="0" borderId="44" xfId="0" applyFont="1" applyBorder="1" applyAlignment="1">
      <alignment horizontal="center" vertical="center"/>
    </xf>
    <xf numFmtId="40" fontId="48" fillId="2" borderId="30" xfId="1" applyNumberFormat="1" applyFont="1" applyFill="1" applyBorder="1" applyAlignment="1">
      <alignment horizontal="center" vertical="center"/>
    </xf>
    <xf numFmtId="4" fontId="47" fillId="2" borderId="29" xfId="0" applyNumberFormat="1" applyFont="1" applyFill="1" applyBorder="1" applyAlignment="1">
      <alignment horizontal="center" vertical="center"/>
    </xf>
    <xf numFmtId="0" fontId="50" fillId="0" borderId="0" xfId="0" applyFont="1" applyAlignment="1">
      <alignment vertical="center" wrapText="1"/>
    </xf>
    <xf numFmtId="0" fontId="51" fillId="0" borderId="0" xfId="0" applyFont="1" applyAlignment="1">
      <alignment vertical="center" wrapText="1"/>
    </xf>
    <xf numFmtId="0" fontId="51" fillId="0" borderId="0" xfId="0" applyFont="1">
      <alignment vertical="center"/>
    </xf>
    <xf numFmtId="40" fontId="52" fillId="2" borderId="30" xfId="1" applyNumberFormat="1" applyFont="1" applyFill="1" applyBorder="1" applyAlignment="1">
      <alignment horizontal="center" vertical="center"/>
    </xf>
    <xf numFmtId="40" fontId="52" fillId="2" borderId="12" xfId="1" applyNumberFormat="1" applyFont="1" applyFill="1" applyBorder="1" applyAlignment="1">
      <alignment horizontal="center" vertical="center"/>
    </xf>
    <xf numFmtId="0" fontId="42" fillId="0" borderId="0" xfId="0" applyFont="1" applyAlignment="1">
      <alignment horizontal="left" vertical="center"/>
    </xf>
    <xf numFmtId="171" fontId="42" fillId="0" borderId="0" xfId="1" applyNumberFormat="1" applyFont="1" applyFill="1" applyBorder="1" applyAlignment="1">
      <alignment horizontal="left" vertical="center"/>
    </xf>
    <xf numFmtId="173" fontId="42" fillId="0" borderId="0" xfId="11" applyNumberFormat="1" applyFont="1" applyAlignment="1">
      <alignment horizontal="center" vertical="center"/>
      <protection locked="0"/>
    </xf>
    <xf numFmtId="40" fontId="52" fillId="2" borderId="2" xfId="1" applyNumberFormat="1" applyFont="1" applyFill="1" applyBorder="1" applyAlignment="1">
      <alignment horizontal="center" vertical="center"/>
    </xf>
    <xf numFmtId="172" fontId="42" fillId="2" borderId="0" xfId="0" applyNumberFormat="1" applyFont="1" applyFill="1" applyAlignment="1">
      <alignment horizontal="left" vertical="center"/>
    </xf>
    <xf numFmtId="174" fontId="42" fillId="0" borderId="0" xfId="0" applyNumberFormat="1" applyFont="1" applyAlignment="1">
      <alignment horizontal="left" vertical="center"/>
    </xf>
    <xf numFmtId="0" fontId="42" fillId="0" borderId="0" xfId="0" applyFont="1" applyAlignment="1">
      <alignment horizontal="left" vertical="center" wrapText="1"/>
    </xf>
    <xf numFmtId="171" fontId="42" fillId="0" borderId="0" xfId="1" applyNumberFormat="1" applyFont="1" applyFill="1" applyBorder="1" applyAlignment="1">
      <alignment horizontal="center" vertical="center"/>
    </xf>
    <xf numFmtId="172" fontId="42" fillId="0" borderId="0" xfId="0" applyNumberFormat="1" applyFont="1" applyAlignment="1">
      <alignment horizontal="center" vertical="center"/>
    </xf>
    <xf numFmtId="174" fontId="42" fillId="0" borderId="0" xfId="0" applyNumberFormat="1" applyFont="1" applyAlignment="1">
      <alignment horizontal="center" vertical="center"/>
    </xf>
    <xf numFmtId="171" fontId="42" fillId="0" borderId="0" xfId="1" applyNumberFormat="1" applyFont="1" applyBorder="1" applyAlignment="1">
      <alignment horizontal="center" vertical="center"/>
    </xf>
    <xf numFmtId="172" fontId="55" fillId="0" borderId="0" xfId="0" applyNumberFormat="1" applyFont="1" applyAlignment="1">
      <alignment horizontal="center" vertical="center"/>
    </xf>
    <xf numFmtId="171" fontId="12" fillId="0" borderId="0" xfId="1" applyNumberFormat="1" applyFont="1" applyBorder="1">
      <alignment vertical="center"/>
    </xf>
    <xf numFmtId="172" fontId="12" fillId="0" borderId="0" xfId="0" applyNumberFormat="1" applyFont="1">
      <alignment vertical="center"/>
    </xf>
    <xf numFmtId="171" fontId="12" fillId="0" borderId="0" xfId="1" applyNumberFormat="1" applyFont="1">
      <alignment vertical="center"/>
    </xf>
    <xf numFmtId="0" fontId="12" fillId="0" borderId="31" xfId="0" applyFont="1" applyBorder="1" applyAlignment="1">
      <alignment horizontal="center" vertical="center"/>
    </xf>
    <xf numFmtId="41" fontId="12" fillId="0" borderId="26" xfId="1" applyFont="1" applyBorder="1" applyAlignment="1">
      <alignment horizontal="center" vertical="center"/>
    </xf>
    <xf numFmtId="0" fontId="12" fillId="0" borderId="26" xfId="0" applyFont="1" applyBorder="1" applyAlignment="1">
      <alignment horizontal="center" vertical="center" wrapText="1"/>
    </xf>
    <xf numFmtId="168" fontId="12" fillId="0" borderId="26" xfId="0" applyNumberFormat="1" applyFont="1" applyBorder="1" applyAlignment="1">
      <alignment horizontal="center" vertical="center" wrapText="1"/>
    </xf>
    <xf numFmtId="164" fontId="12" fillId="0" borderId="21" xfId="1" applyNumberFormat="1" applyFont="1" applyBorder="1" applyAlignment="1">
      <alignment horizontal="center" vertical="center" wrapText="1"/>
    </xf>
    <xf numFmtId="41" fontId="12" fillId="3" borderId="26" xfId="1" applyFont="1" applyFill="1" applyBorder="1" applyAlignment="1">
      <alignment horizontal="center" vertical="center"/>
    </xf>
    <xf numFmtId="0" fontId="12" fillId="3" borderId="26" xfId="0" applyFont="1" applyFill="1" applyBorder="1" applyAlignment="1">
      <alignment horizontal="center" vertical="center"/>
    </xf>
    <xf numFmtId="0" fontId="12" fillId="3" borderId="21" xfId="0" applyFont="1" applyFill="1" applyBorder="1" applyAlignment="1">
      <alignment horizontal="center" vertical="center" wrapText="1"/>
    </xf>
    <xf numFmtId="0" fontId="12" fillId="3" borderId="26" xfId="0" applyFont="1" applyFill="1" applyBorder="1" applyAlignment="1">
      <alignment horizontal="center" vertical="center" wrapText="1"/>
    </xf>
    <xf numFmtId="168" fontId="12" fillId="3" borderId="26" xfId="0" applyNumberFormat="1" applyFont="1" applyFill="1" applyBorder="1" applyAlignment="1">
      <alignment horizontal="center" vertical="center" wrapText="1"/>
    </xf>
    <xf numFmtId="164" fontId="12" fillId="3" borderId="21" xfId="1" applyNumberFormat="1" applyFont="1" applyFill="1" applyBorder="1" applyAlignment="1">
      <alignment horizontal="center" vertical="center" wrapText="1"/>
    </xf>
    <xf numFmtId="0" fontId="12" fillId="3" borderId="15" xfId="0" applyFont="1" applyFill="1" applyBorder="1" applyAlignment="1">
      <alignment horizontal="center" vertical="center"/>
    </xf>
    <xf numFmtId="0" fontId="2" fillId="2" borderId="20" xfId="0" applyFont="1" applyFill="1" applyBorder="1" applyAlignment="1">
      <alignment vertical="center" wrapText="1"/>
    </xf>
    <xf numFmtId="0" fontId="2" fillId="2" borderId="15" xfId="0" applyFont="1" applyFill="1" applyBorder="1">
      <alignment vertical="center"/>
    </xf>
    <xf numFmtId="0" fontId="12" fillId="0" borderId="30" xfId="0" quotePrefix="1" applyFont="1" applyBorder="1" applyAlignment="1">
      <alignment horizontal="center" vertical="center"/>
    </xf>
    <xf numFmtId="0" fontId="28" fillId="2" borderId="0" xfId="6" applyFont="1" applyFill="1" applyAlignment="1">
      <alignment horizontal="left" vertical="top" wrapText="1"/>
    </xf>
    <xf numFmtId="0" fontId="28" fillId="2" borderId="14" xfId="6" applyFont="1" applyFill="1" applyBorder="1" applyAlignment="1">
      <alignment horizontal="left" vertical="top" wrapText="1"/>
    </xf>
    <xf numFmtId="0" fontId="11" fillId="0" borderId="4" xfId="0" applyFont="1" applyBorder="1" applyAlignment="1">
      <alignment vertical="center"/>
    </xf>
    <xf numFmtId="0" fontId="11" fillId="0" borderId="0" xfId="0" applyFont="1" applyBorder="1" applyAlignment="1">
      <alignment vertical="center"/>
    </xf>
    <xf numFmtId="0" fontId="11" fillId="0" borderId="14" xfId="0" applyFont="1" applyBorder="1" applyAlignment="1">
      <alignment vertical="center"/>
    </xf>
    <xf numFmtId="0" fontId="28" fillId="2" borderId="23" xfId="6" applyFont="1" applyFill="1" applyBorder="1" applyAlignment="1">
      <alignment horizontal="right" vertical="top" wrapText="1" indent="1"/>
    </xf>
    <xf numFmtId="0" fontId="30" fillId="2" borderId="0" xfId="6" applyFont="1" applyFill="1" applyAlignment="1">
      <alignment horizontal="center" vertical="top" wrapText="1"/>
    </xf>
    <xf numFmtId="0" fontId="12" fillId="2" borderId="26" xfId="0" applyFont="1" applyFill="1" applyBorder="1" applyAlignment="1">
      <alignment horizontal="center" vertical="center" wrapText="1"/>
    </xf>
    <xf numFmtId="0" fontId="12" fillId="2" borderId="21" xfId="0" applyFont="1" applyFill="1" applyBorder="1" applyAlignment="1">
      <alignment horizontal="center" vertical="center"/>
    </xf>
    <xf numFmtId="164" fontId="12" fillId="2" borderId="26" xfId="1" applyNumberFormat="1" applyFont="1" applyFill="1" applyBorder="1" applyAlignment="1">
      <alignment horizontal="center" vertical="center"/>
    </xf>
    <xf numFmtId="0" fontId="8" fillId="2" borderId="0" xfId="0" applyFont="1" applyFill="1" applyBorder="1">
      <alignment vertical="center"/>
    </xf>
    <xf numFmtId="0" fontId="9" fillId="2" borderId="0" xfId="0" applyFont="1" applyFill="1" applyBorder="1">
      <alignment vertical="center"/>
    </xf>
    <xf numFmtId="0" fontId="9" fillId="2" borderId="14" xfId="0" applyFont="1" applyFill="1" applyBorder="1">
      <alignment vertical="center"/>
    </xf>
    <xf numFmtId="0" fontId="8" fillId="2" borderId="19" xfId="0" applyFont="1" applyFill="1" applyBorder="1" applyAlignment="1">
      <alignment horizontal="left" vertical="center"/>
    </xf>
    <xf numFmtId="0" fontId="8" fillId="2" borderId="5" xfId="0" applyFont="1" applyFill="1" applyBorder="1" applyAlignment="1">
      <alignment vertical="center" wrapText="1"/>
    </xf>
    <xf numFmtId="0" fontId="2" fillId="2" borderId="4" xfId="0" applyFont="1" applyFill="1" applyBorder="1">
      <alignment vertical="center"/>
    </xf>
    <xf numFmtId="41" fontId="2" fillId="2" borderId="0" xfId="0" applyNumberFormat="1" applyFont="1" applyFill="1" applyAlignment="1">
      <alignment horizontal="center" vertical="center"/>
    </xf>
    <xf numFmtId="0" fontId="2" fillId="2" borderId="0" xfId="0" applyFont="1" applyFill="1">
      <alignment vertical="center"/>
    </xf>
    <xf numFmtId="41" fontId="2" fillId="2" borderId="19" xfId="0" applyNumberFormat="1" applyFont="1" applyFill="1" applyBorder="1" applyAlignment="1">
      <alignment horizontal="center" vertical="center"/>
    </xf>
    <xf numFmtId="0" fontId="2" fillId="2" borderId="19" xfId="0" applyFont="1" applyFill="1" applyBorder="1" applyAlignment="1">
      <alignment horizontal="left" vertical="center"/>
    </xf>
    <xf numFmtId="0" fontId="3" fillId="2" borderId="4" xfId="0" applyFont="1" applyFill="1" applyBorder="1">
      <alignment vertical="center"/>
    </xf>
    <xf numFmtId="0" fontId="2" fillId="2" borderId="0" xfId="0" applyFont="1" applyFill="1" applyBorder="1">
      <alignment vertical="center"/>
    </xf>
    <xf numFmtId="41" fontId="2" fillId="2" borderId="14" xfId="0" applyNumberFormat="1" applyFont="1" applyFill="1" applyBorder="1" applyAlignment="1">
      <alignment horizontal="center" vertical="center"/>
    </xf>
    <xf numFmtId="41" fontId="2" fillId="2" borderId="23" xfId="0" applyNumberFormat="1" applyFont="1" applyFill="1" applyBorder="1" applyAlignment="1">
      <alignment horizontal="center" vertical="center"/>
    </xf>
    <xf numFmtId="41" fontId="2" fillId="2" borderId="24" xfId="0" applyNumberFormat="1" applyFont="1" applyFill="1" applyBorder="1" applyAlignment="1">
      <alignment horizontal="center" vertical="center"/>
    </xf>
    <xf numFmtId="165" fontId="2" fillId="2" borderId="0" xfId="0" applyNumberFormat="1" applyFont="1" applyFill="1" applyAlignment="1">
      <alignment horizontal="center" vertical="center"/>
    </xf>
    <xf numFmtId="0" fontId="2" fillId="2" borderId="0" xfId="0" applyFont="1" applyFill="1" applyAlignment="1">
      <alignment horizontal="center" vertical="center"/>
    </xf>
    <xf numFmtId="166" fontId="2" fillId="2" borderId="0" xfId="0" applyNumberFormat="1" applyFont="1" applyFill="1" applyAlignment="1">
      <alignment horizontal="center" vertical="center"/>
    </xf>
    <xf numFmtId="0" fontId="2" fillId="2" borderId="0" xfId="0" applyFont="1" applyFill="1" applyBorder="1" applyAlignment="1">
      <alignment vertical="center" wrapText="1"/>
    </xf>
    <xf numFmtId="0" fontId="12" fillId="2" borderId="26" xfId="0" applyFont="1" applyFill="1" applyBorder="1" applyAlignment="1">
      <alignment horizontal="center" vertical="center"/>
    </xf>
    <xf numFmtId="164" fontId="2" fillId="0" borderId="21" xfId="1" applyNumberFormat="1" applyFont="1" applyBorder="1" applyAlignment="1">
      <alignment horizontal="center" vertical="center"/>
    </xf>
    <xf numFmtId="164" fontId="2" fillId="0" borderId="24" xfId="1" applyNumberFormat="1" applyFont="1" applyBorder="1" applyAlignment="1">
      <alignment horizontal="center" vertical="center"/>
    </xf>
    <xf numFmtId="164" fontId="2" fillId="0" borderId="22" xfId="1" applyNumberFormat="1" applyFont="1" applyBorder="1" applyAlignment="1">
      <alignment horizontal="center" vertical="center"/>
    </xf>
    <xf numFmtId="164" fontId="3" fillId="0" borderId="26" xfId="1" applyNumberFormat="1" applyFont="1" applyBorder="1" applyAlignment="1">
      <alignment horizontal="center" vertical="center"/>
    </xf>
    <xf numFmtId="164" fontId="3" fillId="0" borderId="29" xfId="1" applyNumberFormat="1" applyFont="1" applyBorder="1" applyAlignment="1">
      <alignment horizontal="center" vertical="center"/>
    </xf>
    <xf numFmtId="0" fontId="2" fillId="2" borderId="26" xfId="0" applyFont="1" applyFill="1" applyBorder="1" applyAlignment="1">
      <alignment horizontal="center" vertical="center"/>
    </xf>
    <xf numFmtId="0" fontId="2" fillId="2" borderId="26" xfId="0" applyFont="1" applyFill="1" applyBorder="1" applyAlignment="1">
      <alignment horizontal="center" vertical="center" wrapText="1"/>
    </xf>
    <xf numFmtId="0" fontId="12" fillId="2" borderId="15" xfId="0" applyFont="1" applyFill="1" applyBorder="1" applyAlignment="1">
      <alignment horizontal="center" vertical="center" wrapText="1"/>
    </xf>
    <xf numFmtId="37" fontId="36" fillId="2" borderId="0" xfId="6" applyNumberFormat="1" applyFont="1" applyFill="1" applyAlignment="1">
      <alignment vertical="top" wrapText="1"/>
    </xf>
    <xf numFmtId="0" fontId="37" fillId="2" borderId="0" xfId="0" applyFont="1" applyFill="1" applyAlignment="1">
      <alignment vertical="top" wrapText="1"/>
    </xf>
    <xf numFmtId="0" fontId="37" fillId="2" borderId="14" xfId="0" applyFont="1" applyFill="1" applyBorder="1" applyAlignment="1">
      <alignment vertical="top" wrapText="1"/>
    </xf>
    <xf numFmtId="0" fontId="28" fillId="2" borderId="0" xfId="6" applyFont="1" applyFill="1" applyAlignment="1">
      <alignment horizontal="left" vertical="center" indent="2"/>
    </xf>
    <xf numFmtId="0" fontId="30" fillId="2" borderId="0" xfId="6" applyFont="1" applyFill="1" applyAlignment="1">
      <alignment horizontal="center" vertical="top"/>
    </xf>
    <xf numFmtId="169" fontId="28" fillId="2" borderId="0" xfId="6" applyNumberFormat="1" applyFont="1" applyFill="1" applyAlignment="1">
      <alignment horizontal="left" vertical="top"/>
    </xf>
    <xf numFmtId="170" fontId="28" fillId="2" borderId="0" xfId="6" applyNumberFormat="1" applyFont="1" applyFill="1" applyAlignment="1">
      <alignment horizontal="left" vertical="center" indent="2"/>
    </xf>
    <xf numFmtId="167" fontId="28" fillId="2" borderId="0" xfId="1" applyNumberFormat="1" applyFont="1" applyFill="1" applyBorder="1" applyAlignment="1">
      <alignment vertical="top"/>
    </xf>
    <xf numFmtId="41" fontId="28" fillId="2" borderId="0" xfId="1" applyFont="1" applyFill="1" applyBorder="1" applyAlignment="1">
      <alignment horizontal="left" vertical="top"/>
    </xf>
    <xf numFmtId="41" fontId="28" fillId="2" borderId="0" xfId="1" applyFont="1" applyFill="1" applyBorder="1" applyAlignment="1">
      <alignment vertical="top"/>
    </xf>
    <xf numFmtId="0" fontId="28" fillId="2" borderId="14" xfId="6" applyFont="1" applyFill="1" applyBorder="1" applyAlignment="1">
      <alignment vertical="top"/>
    </xf>
    <xf numFmtId="0" fontId="28" fillId="2" borderId="0" xfId="6" applyFont="1" applyFill="1" applyAlignment="1">
      <alignment horizontal="left" vertical="top"/>
    </xf>
    <xf numFmtId="171" fontId="28" fillId="2" borderId="14" xfId="6" applyNumberFormat="1" applyFont="1" applyFill="1" applyBorder="1" applyAlignment="1">
      <alignment vertical="top"/>
    </xf>
    <xf numFmtId="49" fontId="28" fillId="2" borderId="0" xfId="1" applyNumberFormat="1" applyFont="1" applyFill="1" applyBorder="1" applyAlignment="1">
      <alignment horizontal="left" vertical="top"/>
    </xf>
    <xf numFmtId="164" fontId="28" fillId="2" borderId="0" xfId="1" applyNumberFormat="1" applyFont="1" applyFill="1" applyBorder="1" applyAlignment="1">
      <alignment vertical="top"/>
    </xf>
    <xf numFmtId="49" fontId="28" fillId="2" borderId="14" xfId="6" applyNumberFormat="1" applyFont="1" applyFill="1" applyBorder="1" applyAlignment="1">
      <alignment horizontal="left" vertical="top"/>
    </xf>
    <xf numFmtId="41" fontId="8" fillId="2" borderId="5" xfId="0" applyNumberFormat="1" applyFont="1" applyFill="1" applyBorder="1" applyAlignment="1">
      <alignment vertical="center" wrapText="1"/>
    </xf>
    <xf numFmtId="43" fontId="57" fillId="0" borderId="0" xfId="0" applyNumberFormat="1" applyFont="1">
      <alignment vertical="center"/>
    </xf>
    <xf numFmtId="0" fontId="28" fillId="2" borderId="0" xfId="1" applyNumberFormat="1" applyFont="1" applyFill="1" applyBorder="1" applyAlignment="1">
      <alignment vertical="top"/>
    </xf>
    <xf numFmtId="2" fontId="2" fillId="0" borderId="26" xfId="0" applyNumberFormat="1" applyFont="1" applyBorder="1" applyAlignment="1">
      <alignment horizontal="center" vertical="center" wrapText="1"/>
    </xf>
    <xf numFmtId="37" fontId="46" fillId="2" borderId="0" xfId="0" applyNumberFormat="1" applyFont="1" applyFill="1">
      <alignment vertical="center"/>
    </xf>
    <xf numFmtId="0" fontId="21" fillId="2" borderId="0" xfId="0" applyFont="1" applyFill="1" applyAlignment="1">
      <alignment vertical="center" wrapText="1"/>
    </xf>
    <xf numFmtId="171" fontId="21" fillId="2" borderId="0" xfId="1" applyNumberFormat="1" applyFont="1" applyFill="1">
      <alignment vertical="center"/>
    </xf>
    <xf numFmtId="0" fontId="21" fillId="2" borderId="0" xfId="0" applyFont="1" applyFill="1" applyAlignment="1">
      <alignment horizontal="center" vertical="center"/>
    </xf>
    <xf numFmtId="171" fontId="47" fillId="2" borderId="21" xfId="1" applyNumberFormat="1" applyFont="1" applyFill="1" applyBorder="1" applyAlignment="1">
      <alignment horizontal="center" vertical="center" wrapText="1"/>
    </xf>
    <xf numFmtId="0" fontId="47" fillId="2" borderId="21" xfId="0" applyFont="1" applyFill="1" applyBorder="1" applyAlignment="1">
      <alignment horizontal="center" vertical="center" wrapText="1"/>
    </xf>
    <xf numFmtId="0" fontId="47" fillId="2" borderId="26" xfId="10" applyFont="1" applyFill="1" applyBorder="1" applyAlignment="1">
      <alignment horizontal="center" vertical="center"/>
    </xf>
    <xf numFmtId="0" fontId="47" fillId="2" borderId="26" xfId="0" applyFont="1" applyFill="1" applyBorder="1" applyAlignment="1">
      <alignment horizontal="center" vertical="center" wrapText="1"/>
    </xf>
    <xf numFmtId="41" fontId="47" fillId="2" borderId="26" xfId="1" applyFont="1" applyFill="1" applyBorder="1" applyAlignment="1">
      <alignment horizontal="center" vertical="center"/>
    </xf>
    <xf numFmtId="0" fontId="47" fillId="2" borderId="26" xfId="0" applyFont="1" applyFill="1" applyBorder="1" applyAlignment="1">
      <alignment horizontal="center" vertical="center"/>
    </xf>
    <xf numFmtId="0" fontId="12" fillId="0" borderId="0" xfId="0" applyFont="1">
      <alignment vertical="center"/>
    </xf>
    <xf numFmtId="164" fontId="12" fillId="0" borderId="14" xfId="0" applyNumberFormat="1" applyFont="1" applyBorder="1">
      <alignment vertical="center"/>
    </xf>
    <xf numFmtId="0" fontId="12" fillId="0" borderId="21" xfId="0" applyFont="1" applyBorder="1" applyAlignment="1">
      <alignment horizontal="center" vertical="center" wrapText="1"/>
    </xf>
    <xf numFmtId="0" fontId="12" fillId="0" borderId="21" xfId="0" applyFont="1" applyBorder="1" applyAlignment="1">
      <alignment horizontal="center" vertical="center"/>
    </xf>
    <xf numFmtId="0" fontId="12" fillId="0" borderId="15" xfId="0" applyFont="1" applyBorder="1" applyAlignment="1">
      <alignment horizontal="center" vertical="center"/>
    </xf>
    <xf numFmtId="0" fontId="12" fillId="0" borderId="26" xfId="0" applyFont="1" applyBorder="1" applyAlignment="1">
      <alignment horizontal="center" vertical="center"/>
    </xf>
    <xf numFmtId="0" fontId="19" fillId="0" borderId="0" xfId="0" applyFont="1" applyAlignment="1">
      <alignment horizontal="center" vertical="center"/>
    </xf>
    <xf numFmtId="0" fontId="28" fillId="2" borderId="0" xfId="6" applyFont="1" applyFill="1" applyAlignment="1">
      <alignment horizontal="left" vertical="top" wrapText="1"/>
    </xf>
    <xf numFmtId="0" fontId="28" fillId="2" borderId="14" xfId="6" applyFont="1" applyFill="1" applyBorder="1" applyAlignment="1">
      <alignment horizontal="left" vertical="top" wrapText="1"/>
    </xf>
    <xf numFmtId="0" fontId="4" fillId="0" borderId="0" xfId="0" applyFont="1">
      <alignment vertical="center"/>
    </xf>
    <xf numFmtId="41" fontId="2" fillId="0" borderId="0" xfId="0" applyNumberFormat="1" applyFont="1" applyAlignment="1">
      <alignment horizontal="left" vertical="center"/>
    </xf>
    <xf numFmtId="0" fontId="4" fillId="0" borderId="0" xfId="0" applyFont="1" applyAlignment="1">
      <alignment horizontal="center" vertical="center"/>
    </xf>
    <xf numFmtId="0" fontId="12" fillId="0" borderId="20" xfId="0" applyFont="1" applyBorder="1" applyAlignment="1">
      <alignment horizontal="center" vertical="center"/>
    </xf>
    <xf numFmtId="0" fontId="12" fillId="0" borderId="21" xfId="0" quotePrefix="1" applyFont="1" applyBorder="1" applyAlignment="1">
      <alignment horizontal="center" vertical="center"/>
    </xf>
    <xf numFmtId="0" fontId="12" fillId="0" borderId="15" xfId="0" applyFont="1" applyBorder="1" applyAlignment="1">
      <alignment horizontal="left" vertical="center"/>
    </xf>
    <xf numFmtId="0" fontId="12" fillId="0" borderId="30" xfId="0" applyFont="1" applyBorder="1" applyAlignment="1">
      <alignment horizontal="left" vertical="center"/>
    </xf>
    <xf numFmtId="0" fontId="12" fillId="2" borderId="28" xfId="0" applyFont="1" applyFill="1" applyBorder="1" applyAlignment="1">
      <alignment horizontal="center" vertical="center" wrapText="1"/>
    </xf>
    <xf numFmtId="41" fontId="12" fillId="2" borderId="26" xfId="0" quotePrefix="1" applyNumberFormat="1" applyFont="1" applyFill="1" applyBorder="1" applyAlignment="1">
      <alignment horizontal="center" vertical="center"/>
    </xf>
    <xf numFmtId="0" fontId="12" fillId="2" borderId="26" xfId="0" quotePrefix="1" applyFont="1" applyFill="1" applyBorder="1" applyAlignment="1">
      <alignment horizontal="center" vertical="center"/>
    </xf>
    <xf numFmtId="175" fontId="12" fillId="2" borderId="26" xfId="1" applyNumberFormat="1" applyFont="1" applyFill="1" applyBorder="1" applyAlignment="1">
      <alignment horizontal="center" vertical="center"/>
    </xf>
    <xf numFmtId="0" fontId="12" fillId="0" borderId="21" xfId="0" applyFont="1" applyBorder="1" applyAlignment="1">
      <alignment horizontal="center" vertical="center" wrapText="1"/>
    </xf>
    <xf numFmtId="0" fontId="12" fillId="0" borderId="15" xfId="0" applyFont="1" applyBorder="1" applyAlignment="1">
      <alignment horizontal="center" vertical="center"/>
    </xf>
    <xf numFmtId="0" fontId="12" fillId="0" borderId="21" xfId="0" applyFont="1" applyBorder="1" applyAlignment="1">
      <alignment horizontal="center" vertical="center"/>
    </xf>
    <xf numFmtId="0" fontId="12" fillId="0" borderId="26" xfId="0" applyFont="1" applyBorder="1" applyAlignment="1">
      <alignment horizontal="center" vertical="center"/>
    </xf>
    <xf numFmtId="0" fontId="12" fillId="0" borderId="21" xfId="0" applyFont="1" applyBorder="1" applyAlignment="1">
      <alignment horizontal="center" vertical="center"/>
    </xf>
    <xf numFmtId="0" fontId="12" fillId="0" borderId="21" xfId="0" applyFont="1" applyBorder="1" applyAlignment="1">
      <alignment horizontal="center" vertical="center" wrapText="1"/>
    </xf>
    <xf numFmtId="0" fontId="12" fillId="0" borderId="21" xfId="0" applyFont="1" applyBorder="1" applyAlignment="1">
      <alignment horizontal="center" vertical="center"/>
    </xf>
    <xf numFmtId="0" fontId="12" fillId="0" borderId="15" xfId="0" applyFont="1" applyBorder="1" applyAlignment="1">
      <alignment horizontal="center" vertical="center"/>
    </xf>
    <xf numFmtId="0" fontId="12" fillId="0" borderId="20" xfId="0" applyFont="1" applyBorder="1" applyAlignment="1">
      <alignment horizontal="center" vertical="center"/>
    </xf>
    <xf numFmtId="0" fontId="12" fillId="0" borderId="26" xfId="0" applyFont="1" applyBorder="1" applyAlignment="1">
      <alignment horizontal="center" vertical="center"/>
    </xf>
    <xf numFmtId="0" fontId="12" fillId="0" borderId="21" xfId="0" applyFont="1" applyBorder="1" applyAlignment="1">
      <alignment horizontal="center" vertical="center" wrapText="1"/>
    </xf>
    <xf numFmtId="0" fontId="12" fillId="0" borderId="15" xfId="0" applyFont="1" applyBorder="1" applyAlignment="1">
      <alignment horizontal="center" vertical="center"/>
    </xf>
    <xf numFmtId="0" fontId="12" fillId="0" borderId="21" xfId="0" applyFont="1" applyBorder="1" applyAlignment="1">
      <alignment horizontal="center" vertical="center"/>
    </xf>
    <xf numFmtId="0" fontId="12" fillId="0" borderId="26" xfId="0" applyFont="1" applyBorder="1" applyAlignment="1">
      <alignment horizontal="center" vertical="center"/>
    </xf>
    <xf numFmtId="0" fontId="28" fillId="2" borderId="0" xfId="6" applyFont="1" applyFill="1" applyAlignment="1">
      <alignment horizontal="left" vertical="top" wrapText="1"/>
    </xf>
    <xf numFmtId="0" fontId="28" fillId="2" borderId="14" xfId="6" applyFont="1" applyFill="1" applyBorder="1" applyAlignment="1">
      <alignment horizontal="left" vertical="top" wrapText="1"/>
    </xf>
    <xf numFmtId="0" fontId="28" fillId="0" borderId="7" xfId="7" applyFont="1" applyBorder="1" applyAlignment="1">
      <alignment horizontal="left" vertical="top"/>
    </xf>
    <xf numFmtId="0" fontId="12" fillId="0" borderId="25" xfId="0" applyFont="1" applyBorder="1" applyAlignment="1">
      <alignment horizontal="center" vertical="center" wrapText="1"/>
    </xf>
    <xf numFmtId="0" fontId="12" fillId="0" borderId="21" xfId="0" applyFont="1" applyBorder="1" applyAlignment="1">
      <alignment horizontal="center" vertical="center" wrapText="1"/>
    </xf>
    <xf numFmtId="0" fontId="0" fillId="0" borderId="0" xfId="0" applyAlignment="1">
      <alignment horizontal="center" vertical="center"/>
    </xf>
    <xf numFmtId="14" fontId="8" fillId="2" borderId="7" xfId="3" applyNumberFormat="1" applyFont="1" applyFill="1" applyBorder="1" applyAlignment="1">
      <alignment vertical="center"/>
    </xf>
    <xf numFmtId="41" fontId="2" fillId="2" borderId="23" xfId="0" applyNumberFormat="1" applyFont="1" applyFill="1" applyBorder="1" applyAlignment="1">
      <alignment horizontal="center" vertical="center" wrapText="1"/>
    </xf>
    <xf numFmtId="164" fontId="2" fillId="2" borderId="24" xfId="1" applyNumberFormat="1" applyFont="1" applyFill="1" applyBorder="1" applyAlignment="1">
      <alignment horizontal="center" vertical="center"/>
    </xf>
    <xf numFmtId="4" fontId="12" fillId="0" borderId="0" xfId="0" applyNumberFormat="1" applyFont="1" applyAlignment="1">
      <alignment horizontal="center" vertical="center"/>
    </xf>
    <xf numFmtId="176" fontId="12" fillId="0" borderId="0" xfId="0" applyNumberFormat="1" applyFont="1" applyAlignment="1">
      <alignment horizontal="center" vertical="center"/>
    </xf>
    <xf numFmtId="175" fontId="12" fillId="0" borderId="0" xfId="0" applyNumberFormat="1" applyFont="1" applyAlignment="1">
      <alignment horizontal="center" vertical="center"/>
    </xf>
    <xf numFmtId="175" fontId="12" fillId="3" borderId="26" xfId="1" applyNumberFormat="1" applyFont="1" applyFill="1" applyBorder="1" applyAlignment="1">
      <alignment horizontal="center" vertical="center"/>
    </xf>
    <xf numFmtId="164" fontId="12" fillId="0" borderId="0" xfId="1" applyNumberFormat="1" applyFont="1">
      <alignment vertical="center"/>
    </xf>
    <xf numFmtId="164" fontId="2" fillId="2" borderId="23" xfId="1" applyNumberFormat="1" applyFont="1" applyFill="1" applyBorder="1" applyAlignment="1">
      <alignment horizontal="center" vertical="center"/>
    </xf>
    <xf numFmtId="164" fontId="2" fillId="2" borderId="19" xfId="1" applyNumberFormat="1" applyFont="1" applyFill="1" applyBorder="1" applyAlignment="1">
      <alignment horizontal="center" vertical="center"/>
    </xf>
    <xf numFmtId="164" fontId="13" fillId="0" borderId="0" xfId="1" applyNumberFormat="1" applyFont="1">
      <alignment vertical="center"/>
    </xf>
    <xf numFmtId="0" fontId="12" fillId="2" borderId="28" xfId="0" applyFont="1" applyFill="1" applyBorder="1" applyAlignment="1">
      <alignment horizontal="left" vertical="center" wrapText="1"/>
    </xf>
    <xf numFmtId="0" fontId="12" fillId="2" borderId="0" xfId="0" applyFont="1" applyFill="1" applyAlignment="1">
      <alignment horizontal="left" vertical="center"/>
    </xf>
    <xf numFmtId="0" fontId="14" fillId="2" borderId="0" xfId="0" applyFont="1" applyFill="1" applyAlignment="1">
      <alignment horizontal="left" vertical="center"/>
    </xf>
    <xf numFmtId="164" fontId="2" fillId="0" borderId="0" xfId="1" applyNumberFormat="1" applyFont="1">
      <alignment vertical="center"/>
    </xf>
    <xf numFmtId="164" fontId="2" fillId="2" borderId="0" xfId="1" applyNumberFormat="1" applyFont="1" applyFill="1">
      <alignment vertical="center"/>
    </xf>
    <xf numFmtId="164" fontId="2" fillId="0" borderId="26" xfId="1" applyNumberFormat="1" applyFont="1" applyBorder="1" applyAlignment="1">
      <alignment horizontal="center" vertical="center" wrapText="1"/>
    </xf>
    <xf numFmtId="0" fontId="60" fillId="2" borderId="28" xfId="0" applyFont="1" applyFill="1" applyBorder="1" applyAlignment="1">
      <alignment horizontal="center" vertical="center" wrapText="1"/>
    </xf>
    <xf numFmtId="0" fontId="60" fillId="0" borderId="15" xfId="0" applyFont="1" applyBorder="1" applyAlignment="1">
      <alignment horizontal="left" vertical="center"/>
    </xf>
    <xf numFmtId="15" fontId="12" fillId="0" borderId="0" xfId="0" applyNumberFormat="1" applyFont="1" applyAlignment="1">
      <alignment horizontal="center" vertical="center"/>
    </xf>
    <xf numFmtId="0" fontId="0" fillId="0" borderId="0" xfId="0" applyAlignment="1">
      <alignment horizontal="center" vertical="center"/>
    </xf>
    <xf numFmtId="0" fontId="12" fillId="0" borderId="25"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5" xfId="0" applyFont="1" applyBorder="1" applyAlignment="1">
      <alignment horizontal="center" vertical="center"/>
    </xf>
    <xf numFmtId="0" fontId="12" fillId="0" borderId="21" xfId="0" applyFont="1" applyBorder="1" applyAlignment="1">
      <alignment horizontal="center" vertical="center"/>
    </xf>
    <xf numFmtId="0" fontId="12" fillId="0" borderId="12" xfId="0" applyFont="1" applyBorder="1" applyAlignment="1">
      <alignment horizontal="center" vertical="center"/>
    </xf>
    <xf numFmtId="0" fontId="12" fillId="0" borderId="11" xfId="0" applyFont="1" applyBorder="1" applyAlignment="1">
      <alignment horizontal="center" vertical="center"/>
    </xf>
    <xf numFmtId="0" fontId="12" fillId="0" borderId="15" xfId="0" applyFont="1" applyBorder="1" applyAlignment="1">
      <alignment horizontal="center" vertical="center"/>
    </xf>
    <xf numFmtId="0" fontId="12" fillId="0" borderId="20" xfId="0" applyFont="1" applyBorder="1" applyAlignment="1">
      <alignment horizontal="center" vertical="center"/>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35" fillId="0" borderId="0" xfId="0" applyFont="1" applyBorder="1" applyAlignment="1">
      <alignment horizontal="left" vertical="center" wrapText="1"/>
    </xf>
    <xf numFmtId="0" fontId="0" fillId="0" borderId="0" xfId="0" applyBorder="1" applyAlignment="1">
      <alignment horizontal="left" vertical="center" wrapText="1"/>
    </xf>
    <xf numFmtId="0" fontId="0" fillId="0" borderId="5" xfId="0" applyBorder="1" applyAlignment="1">
      <alignment horizontal="left" vertical="center" wrapText="1"/>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10" fillId="0" borderId="12" xfId="0" applyFont="1" applyBorder="1" applyAlignment="1">
      <alignment horizontal="center" vertical="center"/>
    </xf>
    <xf numFmtId="0" fontId="10" fillId="0" borderId="10" xfId="0" applyFont="1" applyBorder="1" applyAlignment="1">
      <alignment horizontal="center" vertical="center"/>
    </xf>
    <xf numFmtId="0" fontId="10" fillId="0" borderId="13" xfId="0" applyFont="1" applyBorder="1" applyAlignment="1">
      <alignment horizontal="center" vertical="center"/>
    </xf>
    <xf numFmtId="0" fontId="18" fillId="0" borderId="0" xfId="2" applyFont="1" applyBorder="1" applyAlignment="1">
      <alignment vertical="top" wrapText="1"/>
    </xf>
    <xf numFmtId="0" fontId="38" fillId="0" borderId="0" xfId="0" applyFont="1" applyBorder="1" applyAlignment="1">
      <alignment vertical="top"/>
    </xf>
    <xf numFmtId="0" fontId="38" fillId="0" borderId="14" xfId="0" applyFont="1" applyBorder="1" applyAlignment="1">
      <alignment vertical="top"/>
    </xf>
    <xf numFmtId="0" fontId="38" fillId="0" borderId="7" xfId="0" applyFont="1" applyBorder="1" applyAlignment="1">
      <alignment vertical="top"/>
    </xf>
    <xf numFmtId="0" fontId="38" fillId="0" borderId="20" xfId="0" applyFont="1" applyBorder="1" applyAlignment="1">
      <alignment vertical="top"/>
    </xf>
    <xf numFmtId="41" fontId="41" fillId="0" borderId="1" xfId="0" applyNumberFormat="1" applyFont="1" applyBorder="1" applyAlignment="1">
      <alignment horizontal="center" vertical="center"/>
    </xf>
    <xf numFmtId="41" fontId="41" fillId="0" borderId="2" xfId="0" applyNumberFormat="1" applyFont="1" applyBorder="1" applyAlignment="1">
      <alignment horizontal="center" vertical="center"/>
    </xf>
    <xf numFmtId="41" fontId="41" fillId="0" borderId="3" xfId="0" applyNumberFormat="1" applyFont="1" applyBorder="1" applyAlignment="1">
      <alignment horizontal="center" vertical="center"/>
    </xf>
    <xf numFmtId="41" fontId="41" fillId="0" borderId="4" xfId="0" applyNumberFormat="1" applyFont="1" applyBorder="1" applyAlignment="1">
      <alignment horizontal="center" vertical="center"/>
    </xf>
    <xf numFmtId="41" fontId="41" fillId="0" borderId="0" xfId="0" applyNumberFormat="1" applyFont="1" applyBorder="1" applyAlignment="1">
      <alignment horizontal="center" vertical="center"/>
    </xf>
    <xf numFmtId="41" fontId="41" fillId="0" borderId="5" xfId="0" applyNumberFormat="1" applyFont="1" applyBorder="1" applyAlignment="1">
      <alignment horizontal="center" vertical="center"/>
    </xf>
    <xf numFmtId="41" fontId="41" fillId="0" borderId="16" xfId="0" applyNumberFormat="1" applyFont="1" applyBorder="1" applyAlignment="1">
      <alignment horizontal="center" vertical="center"/>
    </xf>
    <xf numFmtId="41" fontId="41" fillId="0" borderId="17" xfId="0" applyNumberFormat="1" applyFont="1" applyBorder="1" applyAlignment="1">
      <alignment horizontal="center" vertical="center"/>
    </xf>
    <xf numFmtId="41" fontId="41" fillId="0" borderId="18" xfId="0" applyNumberFormat="1" applyFont="1" applyBorder="1" applyAlignment="1">
      <alignment horizontal="center" vertical="center"/>
    </xf>
    <xf numFmtId="0" fontId="2" fillId="0" borderId="0" xfId="0" applyFont="1" applyBorder="1" applyAlignment="1">
      <alignment horizontal="left" vertical="center"/>
    </xf>
    <xf numFmtId="0" fontId="2" fillId="0" borderId="5" xfId="0" applyFont="1" applyBorder="1" applyAlignment="1">
      <alignment horizontal="left" vertical="center"/>
    </xf>
    <xf numFmtId="37" fontId="8" fillId="2" borderId="0" xfId="0" applyNumberFormat="1" applyFont="1" applyFill="1" applyBorder="1" applyAlignment="1">
      <alignment horizontal="left" vertical="center" wrapText="1"/>
    </xf>
    <xf numFmtId="0" fontId="8" fillId="2" borderId="0" xfId="0" applyFont="1" applyFill="1" applyBorder="1" applyAlignment="1">
      <alignment horizontal="left" vertical="center" wrapText="1"/>
    </xf>
    <xf numFmtId="0" fontId="8" fillId="2" borderId="5" xfId="0" applyFont="1" applyFill="1" applyBorder="1" applyAlignment="1">
      <alignment horizontal="left" vertical="center" wrapText="1"/>
    </xf>
    <xf numFmtId="41" fontId="8" fillId="2" borderId="0" xfId="0" applyNumberFormat="1" applyFont="1" applyFill="1" applyBorder="1" applyAlignment="1">
      <alignment horizontal="left" vertical="center" wrapText="1"/>
    </xf>
    <xf numFmtId="41" fontId="8" fillId="2" borderId="5" xfId="0" applyNumberFormat="1" applyFont="1" applyFill="1" applyBorder="1" applyAlignment="1">
      <alignment horizontal="left" vertical="center" wrapText="1"/>
    </xf>
    <xf numFmtId="0" fontId="3" fillId="0" borderId="0" xfId="0" applyFont="1" applyBorder="1" applyAlignment="1">
      <alignment vertical="top" wrapText="1"/>
    </xf>
    <xf numFmtId="0" fontId="3" fillId="0" borderId="5" xfId="0" applyFont="1" applyBorder="1" applyAlignment="1">
      <alignmen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2" fillId="2" borderId="0" xfId="0" applyFont="1" applyFill="1" applyAlignment="1">
      <alignment vertical="top" wrapText="1"/>
    </xf>
    <xf numFmtId="0" fontId="26" fillId="2" borderId="0" xfId="0" applyFont="1" applyFill="1" applyAlignment="1">
      <alignment vertical="top"/>
    </xf>
    <xf numFmtId="0" fontId="26" fillId="2" borderId="14" xfId="0" applyFont="1" applyFill="1" applyBorder="1" applyAlignment="1">
      <alignment vertical="top"/>
    </xf>
    <xf numFmtId="0" fontId="26" fillId="2" borderId="7" xfId="0" applyFont="1" applyFill="1" applyBorder="1" applyAlignment="1">
      <alignment vertical="top"/>
    </xf>
    <xf numFmtId="0" fontId="26" fillId="2" borderId="20" xfId="0" applyFont="1" applyFill="1" applyBorder="1" applyAlignment="1">
      <alignment vertical="top"/>
    </xf>
    <xf numFmtId="41" fontId="2" fillId="2" borderId="10" xfId="0" applyNumberFormat="1" applyFont="1" applyFill="1" applyBorder="1" applyAlignment="1">
      <alignment horizontal="center" vertical="center"/>
    </xf>
    <xf numFmtId="41" fontId="2" fillId="0" borderId="0" xfId="0" applyNumberFormat="1" applyFont="1" applyBorder="1" applyAlignment="1">
      <alignment horizontal="left" vertical="center" wrapText="1"/>
    </xf>
    <xf numFmtId="41" fontId="2" fillId="0" borderId="5" xfId="0" applyNumberFormat="1" applyFont="1" applyBorder="1" applyAlignment="1">
      <alignment horizontal="left" vertical="center" wrapText="1"/>
    </xf>
    <xf numFmtId="14" fontId="2" fillId="2" borderId="7" xfId="3" applyNumberFormat="1" applyFont="1" applyFill="1" applyBorder="1" applyAlignment="1">
      <alignment horizontal="left" vertical="center"/>
    </xf>
    <xf numFmtId="14" fontId="2" fillId="2" borderId="20" xfId="3" applyNumberFormat="1" applyFont="1" applyFill="1" applyBorder="1" applyAlignment="1">
      <alignment horizontal="left" vertical="center"/>
    </xf>
    <xf numFmtId="0" fontId="3" fillId="0" borderId="10" xfId="0" applyFont="1" applyBorder="1" applyAlignment="1">
      <alignment horizontal="center" vertical="center"/>
    </xf>
    <xf numFmtId="0" fontId="3" fillId="0" borderId="7" xfId="0" applyFont="1" applyBorder="1" applyAlignment="1">
      <alignment horizontal="center" vertical="center"/>
    </xf>
    <xf numFmtId="15" fontId="2" fillId="2" borderId="7" xfId="3" applyNumberFormat="1" applyFont="1" applyFill="1" applyBorder="1" applyAlignment="1">
      <alignment horizontal="left" vertical="center"/>
    </xf>
    <xf numFmtId="15" fontId="2" fillId="2" borderId="20" xfId="3" applyNumberFormat="1" applyFont="1" applyFill="1" applyBorder="1" applyAlignment="1">
      <alignment horizontal="left" vertical="center"/>
    </xf>
    <xf numFmtId="0" fontId="2" fillId="0" borderId="7" xfId="0" applyFont="1" applyBorder="1" applyAlignment="1">
      <alignment horizontal="left" vertical="center" wrapText="1"/>
    </xf>
    <xf numFmtId="0" fontId="2" fillId="0" borderId="20" xfId="0" applyFont="1" applyBorder="1" applyAlignment="1">
      <alignment horizontal="left" vertical="center" wrapText="1"/>
    </xf>
    <xf numFmtId="0" fontId="3" fillId="0" borderId="6" xfId="0" applyFont="1" applyBorder="1" applyAlignment="1">
      <alignment horizontal="center" vertical="center"/>
    </xf>
    <xf numFmtId="0" fontId="3" fillId="0" borderId="20" xfId="0" applyFont="1" applyBorder="1" applyAlignment="1">
      <alignment horizontal="center" vertical="center"/>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11" fillId="2" borderId="0"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34" fillId="0" borderId="0" xfId="0" applyFont="1" applyBorder="1" applyAlignment="1">
      <alignment horizontal="left" vertical="center" wrapText="1"/>
    </xf>
    <xf numFmtId="0" fontId="35" fillId="0" borderId="0" xfId="0" applyFont="1" applyBorder="1" applyAlignment="1">
      <alignment horizontal="left" vertical="center" wrapText="1" indent="3"/>
    </xf>
    <xf numFmtId="0" fontId="0" fillId="0" borderId="0" xfId="0" applyBorder="1" applyAlignment="1">
      <alignment horizontal="left" vertical="center" wrapText="1" indent="3"/>
    </xf>
    <xf numFmtId="0" fontId="0" fillId="0" borderId="5" xfId="0" applyBorder="1" applyAlignment="1">
      <alignment horizontal="left" vertical="center" wrapText="1" indent="3"/>
    </xf>
    <xf numFmtId="41" fontId="3" fillId="0" borderId="30" xfId="0" applyNumberFormat="1" applyFont="1" applyBorder="1" applyAlignment="1">
      <alignment horizontal="center" vertical="center"/>
    </xf>
    <xf numFmtId="41" fontId="3" fillId="0" borderId="31" xfId="0" applyNumberFormat="1" applyFont="1" applyBorder="1" applyAlignment="1">
      <alignment horizontal="center" vertical="center"/>
    </xf>
    <xf numFmtId="41" fontId="8" fillId="0" borderId="0" xfId="0" applyNumberFormat="1" applyFont="1" applyBorder="1" applyAlignment="1">
      <alignment horizontal="left" vertical="center" wrapText="1"/>
    </xf>
    <xf numFmtId="41" fontId="8" fillId="0" borderId="5" xfId="0" applyNumberFormat="1" applyFont="1" applyBorder="1" applyAlignment="1">
      <alignment horizontal="left" vertical="center" wrapText="1"/>
    </xf>
    <xf numFmtId="41" fontId="15" fillId="0" borderId="0" xfId="0" applyNumberFormat="1" applyFont="1" applyBorder="1" applyAlignment="1">
      <alignment horizontal="left" vertical="center" wrapText="1"/>
    </xf>
    <xf numFmtId="41" fontId="15" fillId="0" borderId="5" xfId="0" applyNumberFormat="1" applyFont="1" applyBorder="1" applyAlignment="1">
      <alignment horizontal="left" vertical="center" wrapText="1"/>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16" fillId="2" borderId="10"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9" fillId="0" borderId="0" xfId="0" applyFont="1" applyBorder="1">
      <alignment vertical="center"/>
    </xf>
    <xf numFmtId="0" fontId="9" fillId="0" borderId="5" xfId="0" applyFont="1" applyBorder="1">
      <alignment vertical="center"/>
    </xf>
    <xf numFmtId="41" fontId="8" fillId="2" borderId="0" xfId="0" applyNumberFormat="1" applyFont="1" applyFill="1" applyBorder="1" applyAlignment="1">
      <alignment horizontal="center" vertical="center" wrapText="1"/>
    </xf>
    <xf numFmtId="0" fontId="11" fillId="0" borderId="0" xfId="0" applyFont="1" applyBorder="1" applyAlignment="1">
      <alignment horizontal="center" vertical="center" wrapText="1"/>
    </xf>
    <xf numFmtId="0" fontId="11" fillId="0" borderId="14" xfId="0" applyFont="1" applyBorder="1" applyAlignment="1">
      <alignment horizontal="center" vertical="center" wrapText="1"/>
    </xf>
    <xf numFmtId="0" fontId="3" fillId="2" borderId="0" xfId="0" applyFont="1" applyFill="1" applyAlignment="1">
      <alignment vertical="top" wrapText="1"/>
    </xf>
    <xf numFmtId="0" fontId="40" fillId="2" borderId="0" xfId="0" applyFont="1" applyFill="1" applyAlignment="1">
      <alignment vertical="top"/>
    </xf>
    <xf numFmtId="0" fontId="40" fillId="2" borderId="5" xfId="0" applyFont="1" applyFill="1" applyBorder="1" applyAlignment="1">
      <alignment vertical="top"/>
    </xf>
    <xf numFmtId="0" fontId="40" fillId="2" borderId="7" xfId="0" applyFont="1" applyFill="1" applyBorder="1" applyAlignment="1">
      <alignment vertical="top"/>
    </xf>
    <xf numFmtId="0" fontId="40" fillId="2" borderId="8" xfId="0" applyFont="1" applyFill="1" applyBorder="1" applyAlignment="1">
      <alignment vertical="top"/>
    </xf>
    <xf numFmtId="0" fontId="18" fillId="2" borderId="0" xfId="2" applyFont="1" applyFill="1" applyAlignment="1">
      <alignment vertical="top" wrapText="1"/>
    </xf>
    <xf numFmtId="0" fontId="38" fillId="2" borderId="0" xfId="0" applyFont="1" applyFill="1" applyAlignment="1">
      <alignment vertical="top"/>
    </xf>
    <xf numFmtId="0" fontId="38" fillId="2" borderId="14" xfId="0" applyFont="1" applyFill="1" applyBorder="1" applyAlignment="1">
      <alignment vertical="top"/>
    </xf>
    <xf numFmtId="0" fontId="38" fillId="2" borderId="7" xfId="0" applyFont="1" applyFill="1" applyBorder="1" applyAlignment="1">
      <alignment vertical="top"/>
    </xf>
    <xf numFmtId="0" fontId="38" fillId="2" borderId="20" xfId="0" applyFont="1" applyFill="1" applyBorder="1" applyAlignment="1">
      <alignment vertical="top"/>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25" xfId="0" applyFont="1" applyBorder="1" applyAlignment="1">
      <alignment horizontal="center" vertical="center" wrapText="1"/>
    </xf>
    <xf numFmtId="0" fontId="3" fillId="0" borderId="21" xfId="0" applyFont="1" applyBorder="1" applyAlignment="1">
      <alignment horizontal="center" vertical="center" wrapText="1"/>
    </xf>
    <xf numFmtId="0" fontId="3" fillId="2" borderId="25"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2" fillId="0" borderId="0" xfId="0" applyFont="1" applyAlignment="1">
      <alignment horizontal="left" vertical="center" wrapText="1"/>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3" fillId="0" borderId="25" xfId="0" applyFont="1" applyBorder="1" applyAlignment="1">
      <alignment horizontal="center" vertical="center"/>
    </xf>
    <xf numFmtId="0" fontId="3" fillId="0" borderId="21" xfId="0" applyFont="1" applyBorder="1" applyAlignment="1">
      <alignment horizontal="center" vertical="center"/>
    </xf>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12" fillId="0" borderId="26" xfId="0" applyFont="1" applyBorder="1" applyAlignment="1">
      <alignment horizontal="center" vertical="center"/>
    </xf>
    <xf numFmtId="0" fontId="12" fillId="3" borderId="30" xfId="4" applyFont="1" applyFill="1" applyBorder="1" applyAlignment="1">
      <alignment horizontal="center" vertical="center"/>
    </xf>
    <xf numFmtId="0" fontId="12" fillId="3" borderId="28" xfId="4" applyFont="1" applyFill="1" applyBorder="1" applyAlignment="1">
      <alignment horizontal="center" vertical="center"/>
    </xf>
    <xf numFmtId="0" fontId="12" fillId="3" borderId="31" xfId="4" applyFont="1" applyFill="1" applyBorder="1" applyAlignment="1">
      <alignment horizontal="center" vertical="center"/>
    </xf>
    <xf numFmtId="0" fontId="14" fillId="0" borderId="12" xfId="0" applyFont="1" applyBorder="1" applyAlignment="1">
      <alignment horizontal="center" vertical="center"/>
    </xf>
    <xf numFmtId="0" fontId="14" fillId="0" borderId="15" xfId="0" applyFont="1" applyBorder="1" applyAlignment="1">
      <alignment horizontal="center" vertical="center"/>
    </xf>
    <xf numFmtId="0" fontId="14" fillId="0" borderId="25" xfId="0" applyFont="1" applyBorder="1" applyAlignment="1">
      <alignment horizontal="center" vertical="center" wrapText="1"/>
    </xf>
    <xf numFmtId="0" fontId="14" fillId="0" borderId="21" xfId="0" applyFont="1" applyBorder="1" applyAlignment="1">
      <alignment horizontal="center" vertical="center" wrapText="1"/>
    </xf>
    <xf numFmtId="0" fontId="19" fillId="0" borderId="0" xfId="0" applyFont="1" applyAlignment="1">
      <alignment horizontal="center" vertical="center"/>
    </xf>
    <xf numFmtId="0" fontId="12" fillId="0" borderId="0" xfId="0" applyFont="1" applyAlignment="1">
      <alignment horizontal="left" vertical="center" wrapText="1"/>
    </xf>
    <xf numFmtId="0" fontId="19" fillId="0" borderId="33" xfId="0" applyFont="1" applyBorder="1" applyAlignment="1">
      <alignment horizontal="center" vertical="center"/>
    </xf>
    <xf numFmtId="0" fontId="19" fillId="0" borderId="34" xfId="0" applyFont="1" applyBorder="1" applyAlignment="1">
      <alignment horizontal="center" vertical="center"/>
    </xf>
    <xf numFmtId="0" fontId="19" fillId="0" borderId="35" xfId="0" applyFont="1" applyBorder="1" applyAlignment="1">
      <alignment horizontal="center" vertical="center"/>
    </xf>
    <xf numFmtId="0" fontId="14" fillId="0" borderId="21" xfId="0" applyFont="1" applyBorder="1" applyAlignment="1">
      <alignment horizontal="center" vertical="center"/>
    </xf>
    <xf numFmtId="0" fontId="14" fillId="0" borderId="25" xfId="0" applyFont="1" applyBorder="1" applyAlignment="1">
      <alignment horizontal="center" vertical="center"/>
    </xf>
    <xf numFmtId="0" fontId="14" fillId="0" borderId="10" xfId="0" applyFont="1" applyBorder="1" applyAlignment="1">
      <alignment horizontal="center" vertical="center"/>
    </xf>
    <xf numFmtId="0" fontId="14" fillId="0" borderId="7"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28" xfId="0" applyFont="1" applyBorder="1" applyAlignment="1">
      <alignment horizontal="center" vertical="center"/>
    </xf>
    <xf numFmtId="0" fontId="28" fillId="2" borderId="0" xfId="6" applyFont="1" applyFill="1" applyAlignment="1">
      <alignment horizontal="left" vertical="top" wrapText="1"/>
    </xf>
    <xf numFmtId="0" fontId="28" fillId="2" borderId="14" xfId="6" applyFont="1" applyFill="1" applyBorder="1" applyAlignment="1">
      <alignment horizontal="left" vertical="top" wrapText="1"/>
    </xf>
    <xf numFmtId="0" fontId="28" fillId="0" borderId="0" xfId="6" applyFont="1" applyAlignment="1">
      <alignment horizontal="left" vertical="top" wrapText="1"/>
    </xf>
    <xf numFmtId="0" fontId="28" fillId="0" borderId="14" xfId="6" applyFont="1" applyBorder="1" applyAlignment="1">
      <alignment horizontal="left" vertical="top" wrapText="1"/>
    </xf>
    <xf numFmtId="0" fontId="27" fillId="0" borderId="17" xfId="6" applyFont="1" applyBorder="1" applyAlignment="1">
      <alignment horizontal="center" vertical="center"/>
    </xf>
    <xf numFmtId="0" fontId="29" fillId="0" borderId="1" xfId="6" applyFont="1" applyBorder="1" applyAlignment="1">
      <alignment horizontal="center" vertical="center" wrapText="1"/>
    </xf>
    <xf numFmtId="0" fontId="29" fillId="0" borderId="2" xfId="6" applyFont="1" applyBorder="1" applyAlignment="1">
      <alignment horizontal="center" vertical="center" wrapText="1"/>
    </xf>
    <xf numFmtId="0" fontId="29" fillId="0" borderId="3" xfId="6" applyFont="1" applyBorder="1" applyAlignment="1">
      <alignment horizontal="center" vertical="center" wrapText="1"/>
    </xf>
    <xf numFmtId="0" fontId="29" fillId="0" borderId="6" xfId="6" applyFont="1" applyBorder="1" applyAlignment="1">
      <alignment horizontal="center" vertical="center" wrapText="1"/>
    </xf>
    <xf numFmtId="0" fontId="29" fillId="0" borderId="7" xfId="6" applyFont="1" applyBorder="1" applyAlignment="1">
      <alignment horizontal="center" vertical="center" wrapText="1"/>
    </xf>
    <xf numFmtId="0" fontId="29" fillId="0" borderId="8" xfId="6" applyFont="1" applyBorder="1" applyAlignment="1">
      <alignment horizontal="center" vertical="center" wrapText="1"/>
    </xf>
    <xf numFmtId="0" fontId="28" fillId="2" borderId="10" xfId="6" applyFont="1" applyFill="1" applyBorder="1" applyAlignment="1">
      <alignment horizontal="left" vertical="top" wrapText="1"/>
    </xf>
    <xf numFmtId="0" fontId="28" fillId="2" borderId="10" xfId="6" applyFont="1" applyFill="1" applyBorder="1" applyAlignment="1">
      <alignment horizontal="left" vertical="top"/>
    </xf>
    <xf numFmtId="0" fontId="28" fillId="2" borderId="11" xfId="6" applyFont="1" applyFill="1" applyBorder="1" applyAlignment="1">
      <alignment horizontal="left" vertical="top"/>
    </xf>
    <xf numFmtId="37" fontId="58" fillId="2" borderId="0" xfId="6" applyNumberFormat="1" applyFont="1" applyFill="1" applyAlignment="1">
      <alignment horizontal="left" vertical="top" wrapText="1"/>
    </xf>
    <xf numFmtId="0" fontId="54" fillId="0" borderId="0" xfId="0" applyFont="1" applyAlignment="1">
      <alignment horizontal="center" vertical="center"/>
    </xf>
    <xf numFmtId="0" fontId="47" fillId="0" borderId="36" xfId="0" applyFont="1" applyBorder="1" applyAlignment="1">
      <alignment horizontal="center" vertical="center"/>
    </xf>
    <xf numFmtId="0" fontId="47" fillId="0" borderId="43" xfId="0" applyFont="1" applyBorder="1" applyAlignment="1">
      <alignment horizontal="center" vertical="center"/>
    </xf>
    <xf numFmtId="0" fontId="47" fillId="2" borderId="37" xfId="0" applyFont="1" applyFill="1" applyBorder="1" applyAlignment="1">
      <alignment horizontal="center" vertical="center" wrapText="1"/>
    </xf>
    <xf numFmtId="0" fontId="47" fillId="2" borderId="21" xfId="0" applyFont="1" applyFill="1" applyBorder="1" applyAlignment="1">
      <alignment horizontal="center" vertical="center" wrapText="1"/>
    </xf>
    <xf numFmtId="41" fontId="47" fillId="2" borderId="38" xfId="1" applyFont="1" applyFill="1" applyBorder="1" applyAlignment="1">
      <alignment horizontal="center" vertical="center" wrapText="1"/>
    </xf>
    <xf numFmtId="41" fontId="47" fillId="2" borderId="39" xfId="1" applyFont="1" applyFill="1" applyBorder="1" applyAlignment="1">
      <alignment horizontal="center" vertical="center" wrapText="1"/>
    </xf>
    <xf numFmtId="172" fontId="47" fillId="0" borderId="40" xfId="0" applyNumberFormat="1" applyFont="1" applyBorder="1" applyAlignment="1">
      <alignment horizontal="center" vertical="center" wrapText="1"/>
    </xf>
    <xf numFmtId="172" fontId="47" fillId="0" borderId="41" xfId="0" applyNumberFormat="1" applyFont="1" applyBorder="1" applyAlignment="1">
      <alignment horizontal="center" vertical="center" wrapText="1"/>
    </xf>
    <xf numFmtId="0" fontId="47" fillId="0" borderId="42" xfId="0" applyFont="1" applyBorder="1" applyAlignment="1">
      <alignment horizontal="center" vertical="center" wrapText="1"/>
    </xf>
    <xf numFmtId="0" fontId="47" fillId="0" borderId="22" xfId="0" applyFont="1" applyBorder="1" applyAlignment="1">
      <alignment horizontal="center" vertical="center" wrapText="1"/>
    </xf>
  </cellXfs>
  <cellStyles count="14">
    <cellStyle name="Bình thường" xfId="0" builtinId="0"/>
    <cellStyle name="Comma" xfId="11" xr:uid="{00000000-0005-0000-0000-000000000000}"/>
    <cellStyle name="Dấu phẩy [0]" xfId="1" builtinId="6"/>
    <cellStyle name="Normal 3" xfId="8" xr:uid="{00000000-0005-0000-0000-000001000000}"/>
    <cellStyle name="Siêu kết nối" xfId="9" builtinId="8"/>
    <cellStyle name="쉼표 [0] 2" xfId="12" xr:uid="{00000000-0005-0000-0000-000003000000}"/>
    <cellStyle name="쉼표 [0] 6" xfId="5" xr:uid="{00000000-0005-0000-0000-000004000000}"/>
    <cellStyle name="쉼표 [0] 6 2" xfId="13" xr:uid="{00000000-0005-0000-0000-000005000000}"/>
    <cellStyle name="표준 6" xfId="4" xr:uid="{00000000-0005-0000-0000-000007000000}"/>
    <cellStyle name="표준_080407 3항차 final packing List(r3)통합" xfId="10" xr:uid="{00000000-0005-0000-0000-000008000000}"/>
    <cellStyle name="표준_Cirebon Grating Pk'g list(서흥)_080910_final" xfId="6" xr:uid="{00000000-0005-0000-0000-000009000000}"/>
    <cellStyle name="표준_PACKINGLIST (철골_1항차)" xfId="7" xr:uid="{00000000-0005-0000-0000-00000A000000}"/>
    <cellStyle name="표준_STG-PKL" xfId="3" xr:uid="{00000000-0005-0000-0000-00000C000000}"/>
    <cellStyle name="標準_Proforma PL cirebon 2" xfId="2" xr:uid="{00000000-0005-0000-0000-00000B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1503826</xdr:colOff>
      <xdr:row>1</xdr:row>
      <xdr:rowOff>282734</xdr:rowOff>
    </xdr:to>
    <xdr:pic>
      <xdr:nvPicPr>
        <xdr:cNvPr id="2" name="그림 2">
          <a:extLst>
            <a:ext uri="{FF2B5EF4-FFF2-40B4-BE49-F238E27FC236}">
              <a16:creationId xmlns:a16="http://schemas.microsoft.com/office/drawing/2014/main" id="{B095F0C7-C74E-47A0-80EC-894CB76603B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352425" y="120174"/>
          <a:ext cx="1503826" cy="276860"/>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19</xdr:col>
      <xdr:colOff>46353</xdr:colOff>
      <xdr:row>1</xdr:row>
      <xdr:rowOff>71120</xdr:rowOff>
    </xdr:from>
    <xdr:to>
      <xdr:col>20</xdr:col>
      <xdr:colOff>475315</xdr:colOff>
      <xdr:row>2</xdr:row>
      <xdr:rowOff>36512</xdr:rowOff>
    </xdr:to>
    <xdr:pic>
      <xdr:nvPicPr>
        <xdr:cNvPr id="3" name="Picture 2">
          <a:extLst>
            <a:ext uri="{FF2B5EF4-FFF2-40B4-BE49-F238E27FC236}">
              <a16:creationId xmlns:a16="http://schemas.microsoft.com/office/drawing/2014/main" id="{621F4E70-2077-4C05-964A-ACA37C7DBE77}"/>
            </a:ext>
          </a:extLst>
        </xdr:cNvPr>
        <xdr:cNvPicPr>
          <a:picLocks noChangeAspect="1"/>
        </xdr:cNvPicPr>
      </xdr:nvPicPr>
      <xdr:blipFill>
        <a:blip xmlns:r="http://schemas.openxmlformats.org/officeDocument/2006/relationships" r:embed="rId2"/>
        <a:stretch>
          <a:fillRect/>
        </a:stretch>
      </xdr:blipFill>
      <xdr:spPr>
        <a:xfrm>
          <a:off x="15850233" y="183515"/>
          <a:ext cx="950932" cy="2911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181769</xdr:rowOff>
    </xdr:from>
    <xdr:to>
      <xdr:col>1</xdr:col>
      <xdr:colOff>1431436</xdr:colOff>
      <xdr:row>1</xdr:row>
      <xdr:rowOff>170022</xdr:rowOff>
    </xdr:to>
    <xdr:pic>
      <xdr:nvPicPr>
        <xdr:cNvPr id="2" name="그림 2">
          <a:extLst>
            <a:ext uri="{FF2B5EF4-FFF2-40B4-BE49-F238E27FC236}">
              <a16:creationId xmlns:a16="http://schemas.microsoft.com/office/drawing/2014/main" id="{27CA2308-17CA-4D43-B181-58F345A242B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57150" y="181769"/>
          <a:ext cx="1510811" cy="272733"/>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327023</xdr:colOff>
      <xdr:row>0</xdr:row>
      <xdr:rowOff>247650</xdr:rowOff>
    </xdr:from>
    <xdr:to>
      <xdr:col>10</xdr:col>
      <xdr:colOff>650189</xdr:colOff>
      <xdr:row>2</xdr:row>
      <xdr:rowOff>20955</xdr:rowOff>
    </xdr:to>
    <xdr:pic>
      <xdr:nvPicPr>
        <xdr:cNvPr id="3" name="Picture 2">
          <a:extLst>
            <a:ext uri="{FF2B5EF4-FFF2-40B4-BE49-F238E27FC236}">
              <a16:creationId xmlns:a16="http://schemas.microsoft.com/office/drawing/2014/main" id="{C95DA5F6-69D3-43AF-BC51-61335CF238DA}"/>
            </a:ext>
          </a:extLst>
        </xdr:cNvPr>
        <xdr:cNvPicPr>
          <a:picLocks noChangeAspect="1"/>
        </xdr:cNvPicPr>
      </xdr:nvPicPr>
      <xdr:blipFill>
        <a:blip xmlns:r="http://schemas.openxmlformats.org/officeDocument/2006/relationships" r:embed="rId2"/>
        <a:stretch>
          <a:fillRect/>
        </a:stretch>
      </xdr:blipFill>
      <xdr:spPr>
        <a:xfrm>
          <a:off x="6979283" y="247650"/>
          <a:ext cx="1008966" cy="332740"/>
        </a:xfrm>
        <a:prstGeom prst="rect">
          <a:avLst/>
        </a:prstGeom>
      </xdr:spPr>
    </xdr:pic>
    <xdr:clientData/>
  </xdr:twoCellAnchor>
  <xdr:twoCellAnchor editAs="oneCell">
    <xdr:from>
      <xdr:col>7</xdr:col>
      <xdr:colOff>91440</xdr:colOff>
      <xdr:row>39</xdr:row>
      <xdr:rowOff>60960</xdr:rowOff>
    </xdr:from>
    <xdr:to>
      <xdr:col>9</xdr:col>
      <xdr:colOff>517177</xdr:colOff>
      <xdr:row>44</xdr:row>
      <xdr:rowOff>132290</xdr:rowOff>
    </xdr:to>
    <xdr:pic>
      <xdr:nvPicPr>
        <xdr:cNvPr id="4" name="그림 3">
          <a:extLst>
            <a:ext uri="{FF2B5EF4-FFF2-40B4-BE49-F238E27FC236}">
              <a16:creationId xmlns:a16="http://schemas.microsoft.com/office/drawing/2014/main" id="{446F3F29-7BF5-4174-BFBC-8A176CA661CB}"/>
            </a:ext>
          </a:extLst>
        </xdr:cNvPr>
        <xdr:cNvPicPr>
          <a:picLocks noChangeAspect="1"/>
        </xdr:cNvPicPr>
      </xdr:nvPicPr>
      <xdr:blipFill>
        <a:blip xmlns:r="http://schemas.openxmlformats.org/officeDocument/2006/relationships" r:embed="rId3"/>
        <a:stretch>
          <a:fillRect/>
        </a:stretch>
      </xdr:blipFill>
      <xdr:spPr>
        <a:xfrm>
          <a:off x="5623560" y="11193780"/>
          <a:ext cx="1846867" cy="9609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402</xdr:colOff>
      <xdr:row>0</xdr:row>
      <xdr:rowOff>108912</xdr:rowOff>
    </xdr:from>
    <xdr:to>
      <xdr:col>9</xdr:col>
      <xdr:colOff>455532</xdr:colOff>
      <xdr:row>3</xdr:row>
      <xdr:rowOff>57150</xdr:rowOff>
    </xdr:to>
    <xdr:sp macro="" textlink="">
      <xdr:nvSpPr>
        <xdr:cNvPr id="2" name="TextBox 1">
          <a:extLst>
            <a:ext uri="{FF2B5EF4-FFF2-40B4-BE49-F238E27FC236}">
              <a16:creationId xmlns:a16="http://schemas.microsoft.com/office/drawing/2014/main" id="{F8AEE470-DCE2-4D18-881B-F891B5EF8496}"/>
            </a:ext>
          </a:extLst>
        </xdr:cNvPr>
        <xdr:cNvSpPr txBox="1"/>
      </xdr:nvSpPr>
      <xdr:spPr>
        <a:xfrm>
          <a:off x="2415942" y="108912"/>
          <a:ext cx="5141430" cy="47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600" b="1" u="sng"/>
            <a:t>BREAK DOWN of COMMERCIAL INVOICE</a:t>
          </a:r>
          <a:endParaRPr lang="ko-KR" altLang="en-US" sz="1600" b="1" u="sng"/>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76200</xdr:colOff>
      <xdr:row>0</xdr:row>
      <xdr:rowOff>118269</xdr:rowOff>
    </xdr:from>
    <xdr:to>
      <xdr:col>1</xdr:col>
      <xdr:colOff>1431436</xdr:colOff>
      <xdr:row>1</xdr:row>
      <xdr:rowOff>134144</xdr:rowOff>
    </xdr:to>
    <xdr:pic>
      <xdr:nvPicPr>
        <xdr:cNvPr id="2" name="그림 2">
          <a:extLst>
            <a:ext uri="{FF2B5EF4-FFF2-40B4-BE49-F238E27FC236}">
              <a16:creationId xmlns:a16="http://schemas.microsoft.com/office/drawing/2014/main" id="{EE735AB2-DA11-45E9-BFF6-D446C78AB9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76200" y="118269"/>
          <a:ext cx="1486874" cy="281609"/>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651563</xdr:colOff>
      <xdr:row>0</xdr:row>
      <xdr:rowOff>187187</xdr:rowOff>
    </xdr:from>
    <xdr:to>
      <xdr:col>10</xdr:col>
      <xdr:colOff>821113</xdr:colOff>
      <xdr:row>1</xdr:row>
      <xdr:rowOff>210999</xdr:rowOff>
    </xdr:to>
    <xdr:pic>
      <xdr:nvPicPr>
        <xdr:cNvPr id="3" name="Picture 2">
          <a:extLst>
            <a:ext uri="{FF2B5EF4-FFF2-40B4-BE49-F238E27FC236}">
              <a16:creationId xmlns:a16="http://schemas.microsoft.com/office/drawing/2014/main" id="{A341C86E-6CD9-43A1-80BE-F58BD5375AD8}"/>
            </a:ext>
          </a:extLst>
        </xdr:cNvPr>
        <xdr:cNvPicPr>
          <a:picLocks noChangeAspect="1"/>
        </xdr:cNvPicPr>
      </xdr:nvPicPr>
      <xdr:blipFill>
        <a:blip xmlns:r="http://schemas.openxmlformats.org/officeDocument/2006/relationships" r:embed="rId2"/>
        <a:stretch>
          <a:fillRect/>
        </a:stretch>
      </xdr:blipFill>
      <xdr:spPr>
        <a:xfrm>
          <a:off x="8576363" y="187187"/>
          <a:ext cx="994415" cy="290512"/>
        </a:xfrm>
        <a:prstGeom prst="rect">
          <a:avLst/>
        </a:prstGeom>
      </xdr:spPr>
    </xdr:pic>
    <xdr:clientData/>
  </xdr:twoCellAnchor>
  <xdr:twoCellAnchor editAs="oneCell">
    <xdr:from>
      <xdr:col>7</xdr:col>
      <xdr:colOff>76200</xdr:colOff>
      <xdr:row>50</xdr:row>
      <xdr:rowOff>7620</xdr:rowOff>
    </xdr:from>
    <xdr:to>
      <xdr:col>9</xdr:col>
      <xdr:colOff>307627</xdr:colOff>
      <xdr:row>55</xdr:row>
      <xdr:rowOff>96095</xdr:rowOff>
    </xdr:to>
    <xdr:pic>
      <xdr:nvPicPr>
        <xdr:cNvPr id="4" name="그림 3">
          <a:extLst>
            <a:ext uri="{FF2B5EF4-FFF2-40B4-BE49-F238E27FC236}">
              <a16:creationId xmlns:a16="http://schemas.microsoft.com/office/drawing/2014/main" id="{2423DBB0-6848-42FE-A640-2117E182D749}"/>
            </a:ext>
          </a:extLst>
        </xdr:cNvPr>
        <xdr:cNvPicPr>
          <a:picLocks noChangeAspect="1"/>
        </xdr:cNvPicPr>
      </xdr:nvPicPr>
      <xdr:blipFill>
        <a:blip xmlns:r="http://schemas.openxmlformats.org/officeDocument/2006/relationships" r:embed="rId3"/>
        <a:stretch>
          <a:fillRect/>
        </a:stretch>
      </xdr:blipFill>
      <xdr:spPr>
        <a:xfrm>
          <a:off x="5463540" y="11971020"/>
          <a:ext cx="1846867" cy="9609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1503191</xdr:colOff>
      <xdr:row>1</xdr:row>
      <xdr:rowOff>283369</xdr:rowOff>
    </xdr:to>
    <xdr:pic>
      <xdr:nvPicPr>
        <xdr:cNvPr id="2" name="그림 2">
          <a:extLst>
            <a:ext uri="{FF2B5EF4-FFF2-40B4-BE49-F238E27FC236}">
              <a16:creationId xmlns:a16="http://schemas.microsoft.com/office/drawing/2014/main" id="{F3127DDA-FCA4-42D3-BA78-3FEBF5BA06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352425" y="120174"/>
          <a:ext cx="1503191" cy="27749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18</xdr:col>
      <xdr:colOff>33800</xdr:colOff>
      <xdr:row>1</xdr:row>
      <xdr:rowOff>26894</xdr:rowOff>
    </xdr:from>
    <xdr:to>
      <xdr:col>19</xdr:col>
      <xdr:colOff>244584</xdr:colOff>
      <xdr:row>2</xdr:row>
      <xdr:rowOff>3558</xdr:rowOff>
    </xdr:to>
    <xdr:pic>
      <xdr:nvPicPr>
        <xdr:cNvPr id="3" name="Picture 2">
          <a:extLst>
            <a:ext uri="{FF2B5EF4-FFF2-40B4-BE49-F238E27FC236}">
              <a16:creationId xmlns:a16="http://schemas.microsoft.com/office/drawing/2014/main" id="{F1A6FEDD-062B-482C-85F4-4B21D41673CB}"/>
            </a:ext>
          </a:extLst>
        </xdr:cNvPr>
        <xdr:cNvPicPr>
          <a:picLocks noChangeAspect="1"/>
        </xdr:cNvPicPr>
      </xdr:nvPicPr>
      <xdr:blipFill>
        <a:blip xmlns:r="http://schemas.openxmlformats.org/officeDocument/2006/relationships" r:embed="rId2"/>
        <a:stretch>
          <a:fillRect/>
        </a:stretch>
      </xdr:blipFill>
      <xdr:spPr>
        <a:xfrm>
          <a:off x="14014595" y="139289"/>
          <a:ext cx="946114" cy="30241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52</xdr:row>
      <xdr:rowOff>0</xdr:rowOff>
    </xdr:from>
    <xdr:to>
      <xdr:col>5</xdr:col>
      <xdr:colOff>0</xdr:colOff>
      <xdr:row>52</xdr:row>
      <xdr:rowOff>0</xdr:rowOff>
    </xdr:to>
    <xdr:sp macro="" textlink="">
      <xdr:nvSpPr>
        <xdr:cNvPr id="2" name="Text Box 3">
          <a:extLst>
            <a:ext uri="{FF2B5EF4-FFF2-40B4-BE49-F238E27FC236}">
              <a16:creationId xmlns:a16="http://schemas.microsoft.com/office/drawing/2014/main" id="{174A1CA9-C052-4A72-BA92-5F52C3A8B05C}"/>
            </a:ext>
          </a:extLst>
        </xdr:cNvPr>
        <xdr:cNvSpPr txBox="1">
          <a:spLocks noChangeArrowheads="1"/>
        </xdr:cNvSpPr>
      </xdr:nvSpPr>
      <xdr:spPr bwMode="auto">
        <a:xfrm>
          <a:off x="3048000" y="313105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52</xdr:row>
      <xdr:rowOff>0</xdr:rowOff>
    </xdr:from>
    <xdr:to>
      <xdr:col>5</xdr:col>
      <xdr:colOff>0</xdr:colOff>
      <xdr:row>52</xdr:row>
      <xdr:rowOff>0</xdr:rowOff>
    </xdr:to>
    <xdr:sp macro="" textlink="">
      <xdr:nvSpPr>
        <xdr:cNvPr id="3" name="Text Box 4">
          <a:extLst>
            <a:ext uri="{FF2B5EF4-FFF2-40B4-BE49-F238E27FC236}">
              <a16:creationId xmlns:a16="http://schemas.microsoft.com/office/drawing/2014/main" id="{42CF3817-54AB-46A2-960D-BD8CEB377AD4}"/>
            </a:ext>
          </a:extLst>
        </xdr:cNvPr>
        <xdr:cNvSpPr txBox="1">
          <a:spLocks noChangeArrowheads="1"/>
        </xdr:cNvSpPr>
      </xdr:nvSpPr>
      <xdr:spPr bwMode="auto">
        <a:xfrm>
          <a:off x="3048000" y="313105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52</xdr:row>
      <xdr:rowOff>0</xdr:rowOff>
    </xdr:from>
    <xdr:to>
      <xdr:col>5</xdr:col>
      <xdr:colOff>0</xdr:colOff>
      <xdr:row>52</xdr:row>
      <xdr:rowOff>0</xdr:rowOff>
    </xdr:to>
    <xdr:sp macro="" textlink="">
      <xdr:nvSpPr>
        <xdr:cNvPr id="4" name="Text Box 5">
          <a:extLst>
            <a:ext uri="{FF2B5EF4-FFF2-40B4-BE49-F238E27FC236}">
              <a16:creationId xmlns:a16="http://schemas.microsoft.com/office/drawing/2014/main" id="{593BFF94-DD68-42F0-AAD7-42B7D46FE8A5}"/>
            </a:ext>
          </a:extLst>
        </xdr:cNvPr>
        <xdr:cNvSpPr txBox="1">
          <a:spLocks noChangeArrowheads="1"/>
        </xdr:cNvSpPr>
      </xdr:nvSpPr>
      <xdr:spPr bwMode="auto">
        <a:xfrm>
          <a:off x="3048000" y="313105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30</xdr:row>
      <xdr:rowOff>0</xdr:rowOff>
    </xdr:from>
    <xdr:to>
      <xdr:col>5</xdr:col>
      <xdr:colOff>0</xdr:colOff>
      <xdr:row>30</xdr:row>
      <xdr:rowOff>0</xdr:rowOff>
    </xdr:to>
    <xdr:sp macro="" textlink="">
      <xdr:nvSpPr>
        <xdr:cNvPr id="5" name="Text Box 6">
          <a:extLst>
            <a:ext uri="{FF2B5EF4-FFF2-40B4-BE49-F238E27FC236}">
              <a16:creationId xmlns:a16="http://schemas.microsoft.com/office/drawing/2014/main" id="{2B077CD0-E5FD-4516-B1F3-5005C7409AEE}"/>
            </a:ext>
          </a:extLst>
        </xdr:cNvPr>
        <xdr:cNvSpPr txBox="1">
          <a:spLocks noChangeArrowheads="1"/>
        </xdr:cNvSpPr>
      </xdr:nvSpPr>
      <xdr:spPr bwMode="auto">
        <a:xfrm>
          <a:off x="3048000" y="274243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oneCellAnchor>
    <xdr:from>
      <xdr:col>0</xdr:col>
      <xdr:colOff>0</xdr:colOff>
      <xdr:row>0</xdr:row>
      <xdr:rowOff>0</xdr:rowOff>
    </xdr:from>
    <xdr:ext cx="1472453" cy="504265"/>
    <xdr:pic>
      <xdr:nvPicPr>
        <xdr:cNvPr id="6" name="그림 6">
          <a:extLst>
            <a:ext uri="{FF2B5EF4-FFF2-40B4-BE49-F238E27FC236}">
              <a16:creationId xmlns:a16="http://schemas.microsoft.com/office/drawing/2014/main" id="{4F858FDC-69C0-47FB-84A5-F0BC56724B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472453" cy="504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296061</xdr:colOff>
      <xdr:row>42</xdr:row>
      <xdr:rowOff>105795</xdr:rowOff>
    </xdr:to>
    <xdr:pic>
      <xdr:nvPicPr>
        <xdr:cNvPr id="2" name="Picture 1">
          <a:extLst>
            <a:ext uri="{FF2B5EF4-FFF2-40B4-BE49-F238E27FC236}">
              <a16:creationId xmlns:a16="http://schemas.microsoft.com/office/drawing/2014/main" id="{5B384E68-F239-7CF8-8E0C-4636EAD95363}"/>
            </a:ext>
          </a:extLst>
        </xdr:cNvPr>
        <xdr:cNvPicPr>
          <a:picLocks noChangeAspect="1"/>
        </xdr:cNvPicPr>
      </xdr:nvPicPr>
      <xdr:blipFill>
        <a:blip xmlns:r="http://schemas.openxmlformats.org/officeDocument/2006/relationships" r:embed="rId1"/>
        <a:stretch>
          <a:fillRect/>
        </a:stretch>
      </xdr:blipFill>
      <xdr:spPr>
        <a:xfrm>
          <a:off x="0" y="0"/>
          <a:ext cx="5630061" cy="730669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69850</xdr:rowOff>
    </xdr:from>
    <xdr:to>
      <xdr:col>7</xdr:col>
      <xdr:colOff>101600</xdr:colOff>
      <xdr:row>39</xdr:row>
      <xdr:rowOff>5108</xdr:rowOff>
    </xdr:to>
    <xdr:pic>
      <xdr:nvPicPr>
        <xdr:cNvPr id="3" name="그림 2">
          <a:extLst>
            <a:ext uri="{FF2B5EF4-FFF2-40B4-BE49-F238E27FC236}">
              <a16:creationId xmlns:a16="http://schemas.microsoft.com/office/drawing/2014/main" id="{CC591DF6-CC67-2F33-F4D5-8B2D32DAD8F3}"/>
            </a:ext>
          </a:extLst>
        </xdr:cNvPr>
        <xdr:cNvPicPr>
          <a:picLocks noChangeAspect="1"/>
        </xdr:cNvPicPr>
      </xdr:nvPicPr>
      <xdr:blipFill>
        <a:blip xmlns:r="http://schemas.openxmlformats.org/officeDocument/2006/relationships" r:embed="rId1"/>
        <a:stretch>
          <a:fillRect/>
        </a:stretch>
      </xdr:blipFill>
      <xdr:spPr>
        <a:xfrm>
          <a:off x="0" y="247650"/>
          <a:ext cx="4724400" cy="669165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277008</xdr:colOff>
      <xdr:row>38</xdr:row>
      <xdr:rowOff>86745</xdr:rowOff>
    </xdr:to>
    <xdr:pic>
      <xdr:nvPicPr>
        <xdr:cNvPr id="2" name="Picture 1">
          <a:extLst>
            <a:ext uri="{FF2B5EF4-FFF2-40B4-BE49-F238E27FC236}">
              <a16:creationId xmlns:a16="http://schemas.microsoft.com/office/drawing/2014/main" id="{FAF6769A-280A-914F-EDCC-3763FC93F948}"/>
            </a:ext>
          </a:extLst>
        </xdr:cNvPr>
        <xdr:cNvPicPr>
          <a:picLocks noChangeAspect="1"/>
        </xdr:cNvPicPr>
      </xdr:nvPicPr>
      <xdr:blipFill>
        <a:blip xmlns:r="http://schemas.openxmlformats.org/officeDocument/2006/relationships" r:embed="rId1"/>
        <a:stretch>
          <a:fillRect/>
        </a:stretch>
      </xdr:blipFill>
      <xdr:spPr>
        <a:xfrm>
          <a:off x="0" y="0"/>
          <a:ext cx="5611008" cy="730669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177800</xdr:colOff>
      <xdr:row>0</xdr:row>
      <xdr:rowOff>0</xdr:rowOff>
    </xdr:from>
    <xdr:to>
      <xdr:col>9</xdr:col>
      <xdr:colOff>514350</xdr:colOff>
      <xdr:row>49</xdr:row>
      <xdr:rowOff>70080</xdr:rowOff>
    </xdr:to>
    <xdr:pic>
      <xdr:nvPicPr>
        <xdr:cNvPr id="6" name="그림 5">
          <a:extLst>
            <a:ext uri="{FF2B5EF4-FFF2-40B4-BE49-F238E27FC236}">
              <a16:creationId xmlns:a16="http://schemas.microsoft.com/office/drawing/2014/main" id="{7CF006AE-F715-0CFA-8C16-7FB6CAE2FA8A}"/>
            </a:ext>
          </a:extLst>
        </xdr:cNvPr>
        <xdr:cNvPicPr>
          <a:picLocks noChangeAspect="1"/>
        </xdr:cNvPicPr>
      </xdr:nvPicPr>
      <xdr:blipFill>
        <a:blip xmlns:r="http://schemas.openxmlformats.org/officeDocument/2006/relationships" r:embed="rId1"/>
        <a:stretch>
          <a:fillRect/>
        </a:stretch>
      </xdr:blipFill>
      <xdr:spPr>
        <a:xfrm>
          <a:off x="177800" y="0"/>
          <a:ext cx="6280150" cy="89092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1204;&#50689;&#44428;/C/WIN98/TEMP/REPORT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724;&#51008;&#49892;/&#49345;&#48120;&#51452;&#51076;&#45784;/WIN98/TEMP/REPORT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0724;&#51008;&#49892;/&#49345;&#48120;&#51452;&#51076;&#45784;/temp/WIN98/TEMP/REPORT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0689;&#49689;/D/share/loss&#44228;&#49328;-TAWEELAH-msf-jan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35.daum.net/WIN98/TEMP/REPORT0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80C4F2C1/OM4_Payment%20Form%2004,%2005%20-%20Commercial%20invoice%20and%20Packing%20list,%20rev%202507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
      <sheetName val="TTL"/>
      <sheetName val="성광벤드"/>
      <sheetName val="REPORT07"/>
      <sheetName val="GRP PIPING"/>
      <sheetName val="Sheet1"/>
      <sheetName val="현장지지물물량"/>
      <sheetName val="#REF"/>
      <sheetName val="견적기준"/>
      <sheetName val="P-LIST"/>
      <sheetName val="물가자료"/>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Summary"/>
      <sheetName val="BM"/>
      <sheetName val="B101"/>
      <sheetName val="카메라"/>
      <sheetName val="COA-17"/>
      <sheetName val="C-18"/>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내역서"/>
      <sheetName val="노임단가"/>
      <sheetName val="품셈표"/>
      <sheetName val="추가예산"/>
      <sheetName val="자바라1"/>
      <sheetName val="해외 연수비용 계산-삭제"/>
      <sheetName val="Wind Load(3.1) (2)"/>
      <sheetName val="Wind Load(3.2)"/>
      <sheetName val="Wind Load(3.4)"/>
      <sheetName val="Ord"/>
      <sheetName val="Key Data"/>
      <sheetName val="INPUT"/>
      <sheetName val="2.2 띠장의 설계"/>
      <sheetName val="Assembly_list"/>
      <sheetName val="간접비 총괄표"/>
      <sheetName val="ﾀｰﾋﾞﾝ"/>
      <sheetName val="Setup"/>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GRP_PIPING"/>
      <sheetName val="BM_"/>
      <sheetName val="DWG_LIST"/>
      <sheetName val="자격_땡겨오기"/>
      <sheetName val="5_소재"/>
      <sheetName val="表二"/>
      <sheetName val="EQUIPOS"/>
      <sheetName val="石炭性状"/>
      <sheetName val="증감내역서"/>
      <sheetName val="表三(首站)"/>
      <sheetName val="代码表"/>
      <sheetName val="Z- GENERAL PRICE SUMMARY"/>
      <sheetName val="WITHOUT C&amp;I PROFIT (3)"/>
      <sheetName val="목표세부명세"/>
      <sheetName val="Rate Analysis"/>
      <sheetName val="Earthwork"/>
      <sheetName val="2020 회원명부"/>
      <sheetName val="대비표"/>
      <sheetName val="산근"/>
      <sheetName val="집계표(OPTION)"/>
      <sheetName val="DRUM"/>
      <sheetName val="Cash2"/>
      <sheetName val="Z"/>
      <sheetName val="w't_table"/>
      <sheetName val="kich_thuoc"/>
      <sheetName val="임율_Data"/>
      <sheetName val="해외_연수비용_계산-삭제"/>
      <sheetName val="Wind_Load(3_1)_(2)"/>
      <sheetName val="Wind_Load(3_2)"/>
      <sheetName val="Wind_Load(3_4)"/>
      <sheetName val="Key_Data"/>
      <sheetName val="MTO REV.2(ARMOR)"/>
      <sheetName val="PR-PO LIST"/>
      <sheetName val="회사9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견적기준"/>
      <sheetName val="CI "/>
      <sheetName val="CI"/>
      <sheetName val=""/>
      <sheetName val="TTL"/>
      <sheetName val="성광벤드"/>
      <sheetName val="REPORT07"/>
      <sheetName val="GRP PIPING"/>
      <sheetName val="Sheet1"/>
      <sheetName val="P-LIST"/>
      <sheetName val="물가자료"/>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현장지지물물량"/>
      <sheetName val="#REF"/>
      <sheetName val="Summary"/>
      <sheetName val="BM"/>
      <sheetName val="B101"/>
      <sheetName val="카메라"/>
      <sheetName val="COA-17"/>
      <sheetName val="C-18"/>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kich thuoc"/>
      <sheetName val="DTHH"/>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산근터빈"/>
      <sheetName val="2.대외공문"/>
      <sheetName val="XZLC004_PART2"/>
      <sheetName val="XZLC003_PART1"/>
      <sheetName val="수량산출"/>
      <sheetName val="burner-spare"/>
      <sheetName val="일위대가표(DE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P-LIST"/>
      <sheetName val="물가자료"/>
      <sheetName val="B101"/>
      <sheetName val="카메라"/>
      <sheetName val="COA-17"/>
      <sheetName val="C-18"/>
      <sheetName val=""/>
      <sheetName val="TTL"/>
      <sheetName val="성광벤드"/>
      <sheetName val="REPORT07"/>
      <sheetName val="GRP PIPING"/>
      <sheetName val="Sheet1"/>
      <sheetName val="견적기준"/>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현장지지물물량"/>
      <sheetName val="#REF"/>
      <sheetName val="Summary"/>
      <sheetName val="BM"/>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보일러"/>
      <sheetName val="Renc.Prod"/>
      <sheetName val="Tabel Kode"/>
      <sheetName val="PLN Ags"/>
      <sheetName val="PLN Apr"/>
      <sheetName val="Biaya Tot PLN TDL 2003"/>
      <sheetName val="PLN Des"/>
      <sheetName val="PLN Feb"/>
      <sheetName val="PLN Jan"/>
      <sheetName val="PLN Jul"/>
      <sheetName val="PLN Jun"/>
      <sheetName val="PLN Mar"/>
      <sheetName val="PLN Mei"/>
      <sheetName val="PLN Nov"/>
      <sheetName val="PLN Okt"/>
      <sheetName val="PLN Sep"/>
      <sheetName val="Renc.Semen Keluar prod kantong"/>
      <sheetName val="kich thuoc"/>
      <sheetName val="DTH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lar bundle"/>
      <sheetName val="steam table"/>
      <sheetName val="loss계산-TAWEELAH-msf-jan6"/>
      <sheetName val="DJ1"/>
      <sheetName val="정부노임단가"/>
      <sheetName val="fitting"/>
      <sheetName val="환율표"/>
      <sheetName val="Evap-기타"/>
      <sheetName val="P-LIST"/>
      <sheetName val="대비"/>
      <sheetName val="BID"/>
      <sheetName val="Testing"/>
      <sheetName val="eq_data"/>
      <sheetName val="BLR 1"/>
      <sheetName val="GEN"/>
      <sheetName val="GAS"/>
      <sheetName val="DEAE"/>
      <sheetName val="BLR2"/>
      <sheetName val="BLR3"/>
      <sheetName val="BLR4"/>
      <sheetName val="BLR5"/>
      <sheetName val="DEM"/>
      <sheetName val="SAM"/>
      <sheetName val="CHEM"/>
      <sheetName val="COP"/>
      <sheetName val="八幡"/>
      <sheetName val="GM 000"/>
      <sheetName val="csdim"/>
      <sheetName val="cdsload"/>
      <sheetName val="chsload"/>
      <sheetName val="CLAMP"/>
      <sheetName val="cvsload"/>
      <sheetName val="pipe"/>
      <sheetName val="Cash2"/>
      <sheetName val="Z"/>
      <sheetName val="BSD _2_"/>
      <sheetName val="BSD (2)"/>
      <sheetName val="환산표"/>
      <sheetName val="MOTOR"/>
      <sheetName val="95신규호표"/>
      <sheetName val="BM"/>
      <sheetName val="CBL_OD"/>
      <sheetName val="MOB-MAN1"/>
      <sheetName val="giathanh1"/>
      <sheetName val="6-2차"/>
      <sheetName val="Code 02"/>
      <sheetName val="Code 03"/>
      <sheetName val="Code 04"/>
      <sheetName val="Code 05"/>
      <sheetName val="Code 06"/>
      <sheetName val="Code 07"/>
      <sheetName val="Code 09"/>
      <sheetName val="Code03"/>
      <sheetName val="Summary"/>
      <sheetName val="5-Digit"/>
      <sheetName val="MixBed"/>
      <sheetName val="CondPol"/>
      <sheetName val="Inputs"/>
      <sheetName val="BD"/>
      <sheetName val="당초"/>
      <sheetName val="LAB"/>
      <sheetName val="노임단가"/>
      <sheetName val="공사계획서"/>
      <sheetName val="품셈표"/>
      <sheetName val="H-shape"/>
      <sheetName val="Dieuchinh"/>
      <sheetName val="gvl"/>
      <sheetName val="IBASE"/>
      <sheetName val="예산M12A"/>
      <sheetName val="JOINT1"/>
      <sheetName val="XL4Poppy"/>
      <sheetName val="현장지지물물량"/>
      <sheetName val="INSULTABLE"/>
      <sheetName val="ex-shell"/>
      <sheetName val="001"/>
      <sheetName val="TTL"/>
      <sheetName val="입력값"/>
      <sheetName val="NEWDRAW"/>
      <sheetName val="내역"/>
      <sheetName val="Sheet3 (2)"/>
      <sheetName val="circular_bundle1"/>
      <sheetName val="steam_table1"/>
      <sheetName val="circular_bundle"/>
      <sheetName val="steam_table"/>
      <sheetName val="ADL DATA"/>
      <sheetName val="FIRE FIGHTING"/>
      <sheetName val="Wind Load(3.1) (2)"/>
      <sheetName val="Wind Load(3.2)"/>
      <sheetName val="Wind Load(3.4)"/>
      <sheetName val="REDUCER"/>
      <sheetName val="Data"/>
      <sheetName val="BM "/>
      <sheetName val="DWG LIST"/>
      <sheetName val="#REF"/>
      <sheetName val="PNT-QUOT-#3"/>
      <sheetName val="COAT&amp;WRAP-QIOT-#3"/>
      <sheetName val="CAT_5"/>
      <sheetName val="COA-17"/>
      <sheetName val="C-18"/>
      <sheetName val="list"/>
      <sheetName val="Break Down Price"/>
      <sheetName val="1100"/>
      <sheetName val="Mech CIF"/>
      <sheetName val="환율-LIBOR"/>
      <sheetName val="JOB特定"/>
      <sheetName val="VL"/>
      <sheetName val="산근"/>
      <sheetName val="PBS"/>
      <sheetName val="LGBOM1절_CheckList"/>
      <sheetName val="카메라"/>
      <sheetName val="보일러"/>
      <sheetName val="ITEM-LIST"/>
      <sheetName val="Eq. Mobilization"/>
      <sheetName val="Proposal"/>
      <sheetName val="적용환율"/>
      <sheetName val="circular_bundle4"/>
      <sheetName val="steam_table4"/>
      <sheetName val="BLR_12"/>
      <sheetName val="GM_0002"/>
      <sheetName val="BSD__2_2"/>
      <sheetName val="BSD_(2)2"/>
      <sheetName val="Code_022"/>
      <sheetName val="Code_032"/>
      <sheetName val="Code_042"/>
      <sheetName val="Code_052"/>
      <sheetName val="Code_062"/>
      <sheetName val="Code_072"/>
      <sheetName val="Code_092"/>
      <sheetName val="Sheet3_(2)2"/>
      <sheetName val="ADL_DATA2"/>
      <sheetName val="FIRE_FIGHTING2"/>
      <sheetName val="BM_2"/>
      <sheetName val="DWG_LIST2"/>
      <sheetName val="Wind_Load(3_1)_(2)2"/>
      <sheetName val="Wind_Load(3_2)2"/>
      <sheetName val="Wind_Load(3_4)2"/>
      <sheetName val="Break_Down_Price2"/>
      <sheetName val="circular_bundle2"/>
      <sheetName val="steam_table2"/>
      <sheetName val="BLR_1"/>
      <sheetName val="GM_000"/>
      <sheetName val="BSD__2_"/>
      <sheetName val="BSD_(2)"/>
      <sheetName val="Code_02"/>
      <sheetName val="Code_03"/>
      <sheetName val="Code_04"/>
      <sheetName val="Code_05"/>
      <sheetName val="Code_06"/>
      <sheetName val="Code_07"/>
      <sheetName val="Code_09"/>
      <sheetName val="Sheet3_(2)"/>
      <sheetName val="ADL_DATA"/>
      <sheetName val="FIRE_FIGHTING"/>
      <sheetName val="BM_"/>
      <sheetName val="DWG_LIST"/>
      <sheetName val="Wind_Load(3_1)_(2)"/>
      <sheetName val="Wind_Load(3_2)"/>
      <sheetName val="Wind_Load(3_4)"/>
      <sheetName val="Break_Down_Price"/>
      <sheetName val="circular_bundle3"/>
      <sheetName val="steam_table3"/>
      <sheetName val="BLR_11"/>
      <sheetName val="GM_0001"/>
      <sheetName val="BSD__2_1"/>
      <sheetName val="BSD_(2)1"/>
      <sheetName val="Code_021"/>
      <sheetName val="Code_031"/>
      <sheetName val="Code_041"/>
      <sheetName val="Code_051"/>
      <sheetName val="Code_061"/>
      <sheetName val="Code_071"/>
      <sheetName val="Code_091"/>
      <sheetName val="Sheet3_(2)1"/>
      <sheetName val="ADL_DATA1"/>
      <sheetName val="FIRE_FIGHTING1"/>
      <sheetName val="BM_1"/>
      <sheetName val="DWG_LIST1"/>
      <sheetName val="Wind_Load(3_1)_(2)1"/>
      <sheetName val="Wind_Load(3_2)1"/>
      <sheetName val="Wind_Load(3_4)1"/>
      <sheetName val="Break_Down_Price1"/>
      <sheetName val="circular_bundle6"/>
      <sheetName val="steam_table6"/>
      <sheetName val="BLR_14"/>
      <sheetName val="GM_0004"/>
      <sheetName val="BSD__2_4"/>
      <sheetName val="BSD_(2)4"/>
      <sheetName val="Code_024"/>
      <sheetName val="Code_034"/>
      <sheetName val="Code_044"/>
      <sheetName val="Code_054"/>
      <sheetName val="Code_064"/>
      <sheetName val="Code_074"/>
      <sheetName val="Code_094"/>
      <sheetName val="Sheet3_(2)4"/>
      <sheetName val="ADL_DATA4"/>
      <sheetName val="FIRE_FIGHTING4"/>
      <sheetName val="BM_4"/>
      <sheetName val="DWG_LIST4"/>
      <sheetName val="Wind_Load(3_1)_(2)4"/>
      <sheetName val="Wind_Load(3_2)4"/>
      <sheetName val="Wind_Load(3_4)4"/>
      <sheetName val="Break_Down_Price4"/>
      <sheetName val="circular_bundle5"/>
      <sheetName val="steam_table5"/>
      <sheetName val="BLR_13"/>
      <sheetName val="GM_0003"/>
      <sheetName val="BSD__2_3"/>
      <sheetName val="BSD_(2)3"/>
      <sheetName val="Code_023"/>
      <sheetName val="Code_033"/>
      <sheetName val="Code_043"/>
      <sheetName val="Code_053"/>
      <sheetName val="Code_063"/>
      <sheetName val="Code_073"/>
      <sheetName val="Code_093"/>
      <sheetName val="Sheet3_(2)3"/>
      <sheetName val="ADL_DATA3"/>
      <sheetName val="FIRE_FIGHTING3"/>
      <sheetName val="BM_3"/>
      <sheetName val="DWG_LIST3"/>
      <sheetName val="Wind_Load(3_1)_(2)3"/>
      <sheetName val="Wind_Load(3_2)3"/>
      <sheetName val="Wind_Load(3_4)3"/>
      <sheetName val="Break_Down_Price3"/>
      <sheetName val="w't table"/>
      <sheetName val="갑지"/>
      <sheetName val="Erection"/>
      <sheetName val="Sheet2"/>
      <sheetName val="circular_bundle7"/>
      <sheetName val="steam_table7"/>
      <sheetName val="BLR_15"/>
      <sheetName val="GM_0005"/>
      <sheetName val="BSD__2_5"/>
      <sheetName val="BSD_(2)5"/>
      <sheetName val="Code_025"/>
      <sheetName val="Code_035"/>
      <sheetName val="Code_045"/>
      <sheetName val="Code_055"/>
      <sheetName val="Code_065"/>
      <sheetName val="Code_075"/>
      <sheetName val="Code_095"/>
      <sheetName val="Sheet3_(2)5"/>
      <sheetName val="ADL_DATA5"/>
      <sheetName val="FIRE_FIGHTING5"/>
      <sheetName val="Wind_Load(3_1)_(2)5"/>
      <sheetName val="Wind_Load(3_2)5"/>
      <sheetName val="Wind_Load(3_4)5"/>
      <sheetName val="BM_5"/>
      <sheetName val="DWG_LIST5"/>
      <sheetName val="Break_Down_Price5"/>
      <sheetName val="Mech_CIF"/>
      <sheetName val="Eq__Mobilization"/>
      <sheetName val="w't_table"/>
      <sheetName val="circular_bundle8"/>
      <sheetName val="steam_table8"/>
      <sheetName val="BLR_16"/>
      <sheetName val="GM_0006"/>
      <sheetName val="BSD__2_6"/>
      <sheetName val="BSD_(2)6"/>
      <sheetName val="Code_026"/>
      <sheetName val="Code_036"/>
      <sheetName val="Code_046"/>
      <sheetName val="Code_056"/>
      <sheetName val="Code_066"/>
      <sheetName val="Code_076"/>
      <sheetName val="Code_096"/>
      <sheetName val="Sheet3_(2)6"/>
      <sheetName val="ADL_DATA6"/>
      <sheetName val="FIRE_FIGHTING6"/>
      <sheetName val="Wind_Load(3_1)_(2)6"/>
      <sheetName val="Wind_Load(3_2)6"/>
      <sheetName val="Wind_Load(3_4)6"/>
      <sheetName val="BM_6"/>
      <sheetName val="DWG_LIST6"/>
      <sheetName val="Break_Down_Price6"/>
      <sheetName val="Mech_CIF1"/>
      <sheetName val="Eq__Mobilization1"/>
      <sheetName val="w't_table1"/>
      <sheetName val="circular_bundle9"/>
      <sheetName val="steam_table9"/>
      <sheetName val="BLR_17"/>
      <sheetName val="GM_0007"/>
      <sheetName val="BSD__2_7"/>
      <sheetName val="BSD_(2)7"/>
      <sheetName val="Code_027"/>
      <sheetName val="Code_037"/>
      <sheetName val="Code_047"/>
      <sheetName val="Code_057"/>
      <sheetName val="Code_067"/>
      <sheetName val="Code_077"/>
      <sheetName val="Code_097"/>
      <sheetName val="Sheet3_(2)7"/>
      <sheetName val="Wind_Load(3_1)_(2)7"/>
      <sheetName val="Wind_Load(3_2)7"/>
      <sheetName val="Wind_Load(3_4)7"/>
      <sheetName val="ADL_DATA7"/>
      <sheetName val="FIRE_FIGHTING7"/>
      <sheetName val="BM_7"/>
      <sheetName val="DWG_LIST7"/>
      <sheetName val="Break_Down_Price7"/>
      <sheetName val="Mech_CIF2"/>
      <sheetName val="Eq__Mobilization2"/>
      <sheetName val="w't_table2"/>
      <sheetName val="circular_bundle10"/>
      <sheetName val="steam_table10"/>
      <sheetName val="BLR_18"/>
      <sheetName val="GM_0008"/>
      <sheetName val="BSD__2_8"/>
      <sheetName val="BSD_(2)8"/>
      <sheetName val="Code_028"/>
      <sheetName val="Code_038"/>
      <sheetName val="Code_048"/>
      <sheetName val="Code_058"/>
      <sheetName val="Code_068"/>
      <sheetName val="Code_078"/>
      <sheetName val="Code_098"/>
      <sheetName val="Sheet3_(2)8"/>
      <sheetName val="Wind_Load(3_1)_(2)8"/>
      <sheetName val="Wind_Load(3_2)8"/>
      <sheetName val="Wind_Load(3_4)8"/>
      <sheetName val="ADL_DATA8"/>
      <sheetName val="FIRE_FIGHTING8"/>
      <sheetName val="BM_8"/>
      <sheetName val="DWG_LIST8"/>
      <sheetName val="Break_Down_Price8"/>
      <sheetName val="Mech_CIF3"/>
      <sheetName val="Eq__Mobilization3"/>
      <sheetName val="w't_table3"/>
      <sheetName val="Labor"/>
      <sheetName val="WT-LIST"/>
      <sheetName val="labor1"/>
      <sheetName val="index"/>
      <sheetName val="22-Plant"/>
      <sheetName val="Supervision List"/>
      <sheetName val="기계내역서"/>
      <sheetName val="사진"/>
      <sheetName val="ancillary"/>
      <sheetName val="DATA LISTS"/>
      <sheetName val="BQ"/>
      <sheetName val="Sheet1"/>
      <sheetName val="PLAN_FEB97"/>
      <sheetName val="차액보증"/>
      <sheetName val="3D-HOR"/>
      <sheetName val="3D-PEN"/>
      <sheetName val="ELE3D"/>
      <sheetName val="ELE DATA"/>
      <sheetName val="ELEMENT BM"/>
      <sheetName val="TubePR"/>
      <sheetName val="UPPER-CP(표지)"/>
      <sheetName val="UPPER-CP(상세)"/>
      <sheetName val="LOWER-CP(표지)"/>
      <sheetName val="LOWER-CP(상세)"/>
      <sheetName val="PENDANT-CP(표지)"/>
      <sheetName val="PENDANT-CP(상세)"/>
      <sheetName val="hotwell_sizing"/>
      <sheetName val="Tubesheet Th'k"/>
      <sheetName val="ESTI."/>
      <sheetName val="DI-ESTI"/>
      <sheetName val="설산1.나"/>
      <sheetName val="본사S"/>
      <sheetName val="PumpSpec"/>
      <sheetName val="co-no.2"/>
      <sheetName val="h-013211-2"/>
      <sheetName val="Table"/>
      <sheetName val="산근터빈"/>
    </sheetNames>
    <sheetDataSet>
      <sheetData sheetId="0" refreshError="1"/>
      <sheetData sheetId="1" refreshError="1">
        <row r="5">
          <cell r="N5">
            <v>20</v>
          </cell>
          <cell r="O5">
            <v>2454.3000000000002</v>
          </cell>
          <cell r="P5">
            <v>21</v>
          </cell>
          <cell r="Q5">
            <v>2452</v>
          </cell>
        </row>
        <row r="6">
          <cell r="N6">
            <v>21</v>
          </cell>
          <cell r="O6">
            <v>2452</v>
          </cell>
          <cell r="P6">
            <v>22</v>
          </cell>
          <cell r="Q6">
            <v>2449.6</v>
          </cell>
        </row>
        <row r="7">
          <cell r="N7">
            <v>22</v>
          </cell>
          <cell r="O7">
            <v>2449.6</v>
          </cell>
          <cell r="P7">
            <v>23</v>
          </cell>
          <cell r="Q7">
            <v>2447.1999999999998</v>
          </cell>
        </row>
        <row r="8">
          <cell r="N8">
            <v>23</v>
          </cell>
          <cell r="O8">
            <v>2447.1999999999998</v>
          </cell>
          <cell r="P8">
            <v>24</v>
          </cell>
          <cell r="Q8">
            <v>2444.9</v>
          </cell>
        </row>
        <row r="9">
          <cell r="N9">
            <v>24</v>
          </cell>
          <cell r="O9">
            <v>2444.9</v>
          </cell>
          <cell r="P9">
            <v>25</v>
          </cell>
          <cell r="Q9">
            <v>2442.5</v>
          </cell>
        </row>
        <row r="10">
          <cell r="N10">
            <v>25</v>
          </cell>
          <cell r="O10">
            <v>2442.5</v>
          </cell>
          <cell r="P10">
            <v>26</v>
          </cell>
          <cell r="Q10">
            <v>2440.1999999999998</v>
          </cell>
        </row>
        <row r="11">
          <cell r="N11">
            <v>26</v>
          </cell>
          <cell r="O11">
            <v>2440.1999999999998</v>
          </cell>
          <cell r="P11">
            <v>27</v>
          </cell>
          <cell r="Q11">
            <v>2437.8000000000002</v>
          </cell>
        </row>
        <row r="12">
          <cell r="N12">
            <v>27</v>
          </cell>
          <cell r="O12">
            <v>2437.8000000000002</v>
          </cell>
          <cell r="P12">
            <v>28</v>
          </cell>
          <cell r="Q12">
            <v>2435.4</v>
          </cell>
        </row>
        <row r="13">
          <cell r="N13">
            <v>28</v>
          </cell>
          <cell r="O13">
            <v>2435.4</v>
          </cell>
          <cell r="P13">
            <v>29</v>
          </cell>
          <cell r="Q13">
            <v>2433.1</v>
          </cell>
        </row>
        <row r="14">
          <cell r="N14">
            <v>29</v>
          </cell>
          <cell r="O14">
            <v>2433.1</v>
          </cell>
          <cell r="P14">
            <v>30</v>
          </cell>
          <cell r="Q14">
            <v>2430.6999999999998</v>
          </cell>
        </row>
        <row r="15">
          <cell r="N15">
            <v>30</v>
          </cell>
          <cell r="O15">
            <v>2430.6999999999998</v>
          </cell>
          <cell r="P15">
            <v>31</v>
          </cell>
          <cell r="Q15">
            <v>2428.3000000000002</v>
          </cell>
        </row>
        <row r="16">
          <cell r="N16">
            <v>31</v>
          </cell>
          <cell r="O16">
            <v>2428.3000000000002</v>
          </cell>
          <cell r="P16">
            <v>32</v>
          </cell>
          <cell r="Q16">
            <v>2425.9</v>
          </cell>
        </row>
        <row r="17">
          <cell r="N17">
            <v>32</v>
          </cell>
          <cell r="O17">
            <v>2425.9</v>
          </cell>
          <cell r="P17">
            <v>33</v>
          </cell>
          <cell r="Q17">
            <v>2423.6</v>
          </cell>
        </row>
        <row r="18">
          <cell r="N18">
            <v>33</v>
          </cell>
          <cell r="O18">
            <v>2423.6</v>
          </cell>
          <cell r="P18">
            <v>34</v>
          </cell>
          <cell r="Q18">
            <v>2421.1999999999998</v>
          </cell>
        </row>
        <row r="19">
          <cell r="N19">
            <v>34</v>
          </cell>
          <cell r="O19">
            <v>2421.1999999999998</v>
          </cell>
          <cell r="P19">
            <v>35</v>
          </cell>
          <cell r="Q19">
            <v>2418.8000000000002</v>
          </cell>
        </row>
        <row r="20">
          <cell r="N20">
            <v>35</v>
          </cell>
          <cell r="O20">
            <v>2418.8000000000002</v>
          </cell>
          <cell r="P20">
            <v>36</v>
          </cell>
          <cell r="Q20">
            <v>2416.4</v>
          </cell>
        </row>
        <row r="21">
          <cell r="N21">
            <v>36</v>
          </cell>
          <cell r="O21">
            <v>2416.4</v>
          </cell>
          <cell r="P21">
            <v>37</v>
          </cell>
          <cell r="Q21">
            <v>2414.1</v>
          </cell>
        </row>
        <row r="22">
          <cell r="N22">
            <v>37</v>
          </cell>
          <cell r="O22">
            <v>2414.1</v>
          </cell>
          <cell r="P22">
            <v>38</v>
          </cell>
          <cell r="Q22">
            <v>2411.6999999999998</v>
          </cell>
        </row>
        <row r="23">
          <cell r="N23">
            <v>38</v>
          </cell>
          <cell r="O23">
            <v>2411.6999999999998</v>
          </cell>
          <cell r="P23">
            <v>39</v>
          </cell>
          <cell r="Q23">
            <v>2409.3000000000002</v>
          </cell>
        </row>
        <row r="24">
          <cell r="N24">
            <v>39</v>
          </cell>
          <cell r="O24">
            <v>2409.3000000000002</v>
          </cell>
          <cell r="P24">
            <v>40</v>
          </cell>
          <cell r="Q24">
            <v>2406.9</v>
          </cell>
        </row>
        <row r="25">
          <cell r="N25">
            <v>40</v>
          </cell>
          <cell r="O25">
            <v>2406.9</v>
          </cell>
          <cell r="P25">
            <v>41</v>
          </cell>
          <cell r="Q25">
            <v>2404.5</v>
          </cell>
        </row>
        <row r="26">
          <cell r="N26">
            <v>41</v>
          </cell>
          <cell r="O26">
            <v>2404.5</v>
          </cell>
          <cell r="P26">
            <v>42</v>
          </cell>
          <cell r="Q26">
            <v>2402.1</v>
          </cell>
        </row>
        <row r="27">
          <cell r="N27">
            <v>42</v>
          </cell>
          <cell r="O27">
            <v>2402.1</v>
          </cell>
          <cell r="P27">
            <v>43</v>
          </cell>
          <cell r="Q27">
            <v>2399.6999999999998</v>
          </cell>
        </row>
        <row r="28">
          <cell r="N28">
            <v>43</v>
          </cell>
          <cell r="O28">
            <v>2399.6999999999998</v>
          </cell>
          <cell r="P28">
            <v>44</v>
          </cell>
          <cell r="Q28">
            <v>2397.3000000000002</v>
          </cell>
        </row>
        <row r="29">
          <cell r="N29">
            <v>44</v>
          </cell>
          <cell r="O29">
            <v>2397.3000000000002</v>
          </cell>
          <cell r="P29">
            <v>45</v>
          </cell>
          <cell r="Q29">
            <v>2394.9</v>
          </cell>
        </row>
        <row r="30">
          <cell r="N30">
            <v>45</v>
          </cell>
          <cell r="O30">
            <v>2394.9</v>
          </cell>
          <cell r="P30">
            <v>46</v>
          </cell>
          <cell r="Q30">
            <v>2392.5</v>
          </cell>
        </row>
        <row r="31">
          <cell r="N31">
            <v>46</v>
          </cell>
          <cell r="O31">
            <v>2392.5</v>
          </cell>
          <cell r="P31">
            <v>47</v>
          </cell>
          <cell r="Q31">
            <v>2390.1</v>
          </cell>
        </row>
        <row r="32">
          <cell r="N32">
            <v>47</v>
          </cell>
          <cell r="O32">
            <v>2390.1</v>
          </cell>
          <cell r="P32">
            <v>48</v>
          </cell>
          <cell r="Q32">
            <v>2387.6999999999998</v>
          </cell>
        </row>
        <row r="33">
          <cell r="N33">
            <v>48</v>
          </cell>
          <cell r="O33">
            <v>2387.6999999999998</v>
          </cell>
          <cell r="P33">
            <v>49</v>
          </cell>
          <cell r="Q33">
            <v>2385.3000000000002</v>
          </cell>
        </row>
        <row r="34">
          <cell r="N34">
            <v>49</v>
          </cell>
          <cell r="O34">
            <v>2385.3000000000002</v>
          </cell>
          <cell r="P34">
            <v>50</v>
          </cell>
          <cell r="Q34">
            <v>2382.9</v>
          </cell>
        </row>
        <row r="35">
          <cell r="N35">
            <v>50</v>
          </cell>
          <cell r="O35">
            <v>2382.9</v>
          </cell>
          <cell r="P35">
            <v>51</v>
          </cell>
          <cell r="Q35">
            <v>2380.5</v>
          </cell>
        </row>
        <row r="36">
          <cell r="N36">
            <v>51</v>
          </cell>
          <cell r="O36">
            <v>2380.5</v>
          </cell>
          <cell r="P36">
            <v>52</v>
          </cell>
          <cell r="Q36">
            <v>2378.1</v>
          </cell>
        </row>
        <row r="37">
          <cell r="N37">
            <v>52</v>
          </cell>
          <cell r="O37">
            <v>2378.1</v>
          </cell>
          <cell r="P37">
            <v>53</v>
          </cell>
          <cell r="Q37">
            <v>2375.6999999999998</v>
          </cell>
        </row>
        <row r="38">
          <cell r="N38">
            <v>53</v>
          </cell>
          <cell r="O38">
            <v>2375.6999999999998</v>
          </cell>
          <cell r="P38">
            <v>54</v>
          </cell>
          <cell r="Q38">
            <v>2373.1999999999998</v>
          </cell>
        </row>
        <row r="39">
          <cell r="N39">
            <v>54</v>
          </cell>
          <cell r="O39">
            <v>2373.1999999999998</v>
          </cell>
          <cell r="P39">
            <v>55</v>
          </cell>
          <cell r="Q39">
            <v>2370.8000000000002</v>
          </cell>
        </row>
        <row r="40">
          <cell r="N40">
            <v>55</v>
          </cell>
          <cell r="O40">
            <v>2370.8000000000002</v>
          </cell>
          <cell r="P40">
            <v>56</v>
          </cell>
          <cell r="Q40">
            <v>2368.4</v>
          </cell>
        </row>
        <row r="41">
          <cell r="N41">
            <v>56</v>
          </cell>
          <cell r="O41">
            <v>2368.4</v>
          </cell>
          <cell r="P41">
            <v>57</v>
          </cell>
          <cell r="Q41">
            <v>2365.9</v>
          </cell>
        </row>
        <row r="42">
          <cell r="N42">
            <v>57</v>
          </cell>
          <cell r="O42">
            <v>2365.9</v>
          </cell>
          <cell r="P42">
            <v>58</v>
          </cell>
          <cell r="Q42">
            <v>2363.5</v>
          </cell>
        </row>
        <row r="43">
          <cell r="N43">
            <v>58</v>
          </cell>
          <cell r="O43">
            <v>2363.5</v>
          </cell>
          <cell r="P43">
            <v>59</v>
          </cell>
          <cell r="Q43">
            <v>2361.1</v>
          </cell>
        </row>
        <row r="44">
          <cell r="N44">
            <v>59</v>
          </cell>
          <cell r="O44">
            <v>2361.1</v>
          </cell>
          <cell r="P44">
            <v>60</v>
          </cell>
          <cell r="Q44">
            <v>2358.6</v>
          </cell>
        </row>
        <row r="45">
          <cell r="N45">
            <v>60</v>
          </cell>
          <cell r="O45">
            <v>2358.6</v>
          </cell>
          <cell r="P45">
            <v>61</v>
          </cell>
          <cell r="Q45">
            <v>2356.1999999999998</v>
          </cell>
        </row>
        <row r="46">
          <cell r="N46">
            <v>61</v>
          </cell>
          <cell r="O46">
            <v>2356.1999999999998</v>
          </cell>
          <cell r="P46">
            <v>62</v>
          </cell>
          <cell r="Q46">
            <v>2353.6999999999998</v>
          </cell>
        </row>
        <row r="47">
          <cell r="N47">
            <v>62</v>
          </cell>
          <cell r="O47">
            <v>2353.6999999999998</v>
          </cell>
          <cell r="P47">
            <v>63</v>
          </cell>
          <cell r="Q47">
            <v>2351.3000000000002</v>
          </cell>
        </row>
        <row r="48">
          <cell r="N48">
            <v>63</v>
          </cell>
          <cell r="O48">
            <v>2351.3000000000002</v>
          </cell>
          <cell r="P48">
            <v>64</v>
          </cell>
          <cell r="Q48">
            <v>2348.8000000000002</v>
          </cell>
        </row>
        <row r="49">
          <cell r="N49">
            <v>64</v>
          </cell>
          <cell r="O49">
            <v>2348.8000000000002</v>
          </cell>
          <cell r="P49">
            <v>65</v>
          </cell>
          <cell r="Q49">
            <v>2346.3000000000002</v>
          </cell>
        </row>
        <row r="50">
          <cell r="N50">
            <v>65</v>
          </cell>
          <cell r="O50">
            <v>2346.3000000000002</v>
          </cell>
          <cell r="P50">
            <v>66</v>
          </cell>
          <cell r="Q50">
            <v>2343.9</v>
          </cell>
        </row>
        <row r="51">
          <cell r="N51">
            <v>66</v>
          </cell>
          <cell r="O51">
            <v>2343.9</v>
          </cell>
          <cell r="P51">
            <v>67</v>
          </cell>
          <cell r="Q51">
            <v>2341.4</v>
          </cell>
        </row>
        <row r="52">
          <cell r="N52">
            <v>67</v>
          </cell>
          <cell r="O52">
            <v>2341.4</v>
          </cell>
          <cell r="P52">
            <v>68</v>
          </cell>
          <cell r="Q52">
            <v>2338.9</v>
          </cell>
        </row>
        <row r="53">
          <cell r="N53">
            <v>68</v>
          </cell>
          <cell r="O53">
            <v>2338.9</v>
          </cell>
          <cell r="P53">
            <v>69</v>
          </cell>
          <cell r="Q53">
            <v>2336.4</v>
          </cell>
        </row>
        <row r="54">
          <cell r="N54">
            <v>69</v>
          </cell>
          <cell r="O54">
            <v>2336.4</v>
          </cell>
          <cell r="P54">
            <v>70</v>
          </cell>
          <cell r="Q54">
            <v>2334</v>
          </cell>
        </row>
        <row r="55">
          <cell r="N55">
            <v>70</v>
          </cell>
          <cell r="O55">
            <v>2334</v>
          </cell>
          <cell r="P55">
            <v>71</v>
          </cell>
          <cell r="Q55">
            <v>2331.5</v>
          </cell>
        </row>
        <row r="56">
          <cell r="N56">
            <v>71</v>
          </cell>
          <cell r="O56">
            <v>2331.5</v>
          </cell>
          <cell r="P56">
            <v>72</v>
          </cell>
          <cell r="Q56">
            <v>2329</v>
          </cell>
        </row>
        <row r="57">
          <cell r="N57">
            <v>72</v>
          </cell>
          <cell r="O57">
            <v>2329</v>
          </cell>
          <cell r="P57">
            <v>73</v>
          </cell>
          <cell r="Q57">
            <v>2326.5</v>
          </cell>
        </row>
        <row r="58">
          <cell r="N58">
            <v>73</v>
          </cell>
          <cell r="O58">
            <v>2326.5</v>
          </cell>
          <cell r="P58">
            <v>74</v>
          </cell>
          <cell r="Q58">
            <v>2324</v>
          </cell>
        </row>
        <row r="59">
          <cell r="N59">
            <v>74</v>
          </cell>
          <cell r="O59">
            <v>2324</v>
          </cell>
          <cell r="P59">
            <v>75</v>
          </cell>
          <cell r="Q59">
            <v>2321.5</v>
          </cell>
        </row>
        <row r="60">
          <cell r="N60">
            <v>75</v>
          </cell>
          <cell r="O60">
            <v>2321.5</v>
          </cell>
          <cell r="P60">
            <v>76</v>
          </cell>
          <cell r="Q60">
            <v>2318.9</v>
          </cell>
        </row>
        <row r="61">
          <cell r="N61">
            <v>76</v>
          </cell>
          <cell r="O61">
            <v>2318.9</v>
          </cell>
          <cell r="P61">
            <v>77</v>
          </cell>
          <cell r="Q61">
            <v>2316.4</v>
          </cell>
        </row>
        <row r="62">
          <cell r="N62">
            <v>77</v>
          </cell>
          <cell r="O62">
            <v>2316.4</v>
          </cell>
          <cell r="P62">
            <v>78</v>
          </cell>
          <cell r="Q62">
            <v>2313.9</v>
          </cell>
        </row>
        <row r="63">
          <cell r="N63">
            <v>78</v>
          </cell>
          <cell r="O63">
            <v>2313.9</v>
          </cell>
          <cell r="P63">
            <v>79</v>
          </cell>
          <cell r="Q63">
            <v>2311.4</v>
          </cell>
        </row>
        <row r="64">
          <cell r="N64">
            <v>79</v>
          </cell>
          <cell r="O64">
            <v>2311.4</v>
          </cell>
          <cell r="P64">
            <v>80</v>
          </cell>
          <cell r="Q64">
            <v>2308.8000000000002</v>
          </cell>
        </row>
        <row r="65">
          <cell r="N65">
            <v>80</v>
          </cell>
          <cell r="O65">
            <v>2308.8000000000002</v>
          </cell>
          <cell r="P65">
            <v>81</v>
          </cell>
          <cell r="Q65">
            <v>2306.3000000000002</v>
          </cell>
        </row>
        <row r="66">
          <cell r="N66">
            <v>81</v>
          </cell>
          <cell r="O66">
            <v>2306.3000000000002</v>
          </cell>
          <cell r="P66">
            <v>82</v>
          </cell>
          <cell r="Q66">
            <v>2303.8000000000002</v>
          </cell>
        </row>
        <row r="67">
          <cell r="N67">
            <v>82</v>
          </cell>
          <cell r="O67">
            <v>2303.8000000000002</v>
          </cell>
          <cell r="P67">
            <v>83</v>
          </cell>
          <cell r="Q67">
            <v>2301.1999999999998</v>
          </cell>
        </row>
        <row r="68">
          <cell r="N68">
            <v>83</v>
          </cell>
          <cell r="O68">
            <v>2301.1999999999998</v>
          </cell>
          <cell r="P68">
            <v>84</v>
          </cell>
          <cell r="Q68">
            <v>2298.6999999999998</v>
          </cell>
        </row>
        <row r="69">
          <cell r="N69">
            <v>84</v>
          </cell>
          <cell r="O69">
            <v>2298.6999999999998</v>
          </cell>
          <cell r="P69">
            <v>85</v>
          </cell>
          <cell r="Q69">
            <v>2296.5</v>
          </cell>
        </row>
        <row r="70">
          <cell r="N70">
            <v>85</v>
          </cell>
          <cell r="O70">
            <v>2296.5</v>
          </cell>
          <cell r="P70">
            <v>86</v>
          </cell>
          <cell r="Q70">
            <v>2293.1</v>
          </cell>
        </row>
        <row r="71">
          <cell r="N71">
            <v>86</v>
          </cell>
          <cell r="O71">
            <v>2293.1</v>
          </cell>
          <cell r="P71">
            <v>87</v>
          </cell>
          <cell r="Q71">
            <v>2290.9</v>
          </cell>
        </row>
        <row r="72">
          <cell r="N72">
            <v>87</v>
          </cell>
          <cell r="O72">
            <v>2290.9</v>
          </cell>
          <cell r="P72">
            <v>88</v>
          </cell>
          <cell r="Q72">
            <v>2288.4</v>
          </cell>
        </row>
        <row r="73">
          <cell r="N73">
            <v>88</v>
          </cell>
          <cell r="O73">
            <v>2288.4</v>
          </cell>
          <cell r="P73">
            <v>89</v>
          </cell>
          <cell r="Q73">
            <v>2285.8000000000002</v>
          </cell>
        </row>
        <row r="74">
          <cell r="N74">
            <v>89</v>
          </cell>
          <cell r="O74">
            <v>2285.8000000000002</v>
          </cell>
          <cell r="P74">
            <v>90</v>
          </cell>
          <cell r="Q74">
            <v>2283.1999999999998</v>
          </cell>
        </row>
        <row r="75">
          <cell r="N75">
            <v>90</v>
          </cell>
          <cell r="O75">
            <v>2283.1999999999998</v>
          </cell>
          <cell r="P75">
            <v>91</v>
          </cell>
          <cell r="Q75">
            <v>2280.6</v>
          </cell>
        </row>
        <row r="76">
          <cell r="N76">
            <v>91</v>
          </cell>
          <cell r="O76">
            <v>2280.6</v>
          </cell>
          <cell r="P76">
            <v>92</v>
          </cell>
          <cell r="Q76">
            <v>2278</v>
          </cell>
        </row>
        <row r="77">
          <cell r="N77">
            <v>92</v>
          </cell>
          <cell r="O77">
            <v>2278</v>
          </cell>
          <cell r="P77">
            <v>93</v>
          </cell>
          <cell r="Q77">
            <v>2275.4</v>
          </cell>
        </row>
        <row r="78">
          <cell r="N78">
            <v>93</v>
          </cell>
          <cell r="O78">
            <v>2275.4</v>
          </cell>
          <cell r="P78">
            <v>94</v>
          </cell>
          <cell r="Q78">
            <v>2272.8000000000002</v>
          </cell>
        </row>
        <row r="79">
          <cell r="N79">
            <v>94</v>
          </cell>
          <cell r="O79">
            <v>2272.8000000000002</v>
          </cell>
          <cell r="P79">
            <v>95</v>
          </cell>
          <cell r="Q79">
            <v>2270.1999999999998</v>
          </cell>
        </row>
        <row r="80">
          <cell r="N80">
            <v>95</v>
          </cell>
          <cell r="O80">
            <v>2270.1999999999998</v>
          </cell>
          <cell r="P80">
            <v>96</v>
          </cell>
          <cell r="Q80">
            <v>2267.5</v>
          </cell>
        </row>
        <row r="81">
          <cell r="N81">
            <v>96</v>
          </cell>
          <cell r="O81">
            <v>2267.5</v>
          </cell>
          <cell r="P81">
            <v>97</v>
          </cell>
          <cell r="Q81">
            <v>2264.9</v>
          </cell>
        </row>
        <row r="82">
          <cell r="N82">
            <v>97</v>
          </cell>
          <cell r="O82">
            <v>2264.9</v>
          </cell>
          <cell r="P82">
            <v>98</v>
          </cell>
          <cell r="Q82">
            <v>2262.1999999999998</v>
          </cell>
        </row>
        <row r="83">
          <cell r="N83">
            <v>98</v>
          </cell>
          <cell r="O83">
            <v>2262.1999999999998</v>
          </cell>
          <cell r="P83">
            <v>99</v>
          </cell>
          <cell r="Q83">
            <v>2259.6</v>
          </cell>
        </row>
        <row r="84">
          <cell r="N84">
            <v>99</v>
          </cell>
          <cell r="O84">
            <v>2259.6</v>
          </cell>
          <cell r="P84">
            <v>100</v>
          </cell>
          <cell r="Q84">
            <v>2256.9</v>
          </cell>
        </row>
        <row r="85">
          <cell r="N85">
            <v>100</v>
          </cell>
          <cell r="O85">
            <v>2256.9</v>
          </cell>
          <cell r="P85">
            <v>101</v>
          </cell>
          <cell r="Q85">
            <v>2254.3000000000002</v>
          </cell>
        </row>
        <row r="86">
          <cell r="N86">
            <v>101</v>
          </cell>
          <cell r="O86">
            <v>2254.3000000000002</v>
          </cell>
          <cell r="P86">
            <v>102</v>
          </cell>
          <cell r="Q86">
            <v>2251.6</v>
          </cell>
        </row>
        <row r="87">
          <cell r="N87">
            <v>102</v>
          </cell>
          <cell r="O87">
            <v>2251.6</v>
          </cell>
          <cell r="P87">
            <v>103</v>
          </cell>
          <cell r="Q87">
            <v>2248.9</v>
          </cell>
        </row>
        <row r="88">
          <cell r="N88">
            <v>103</v>
          </cell>
          <cell r="O88">
            <v>2248.9</v>
          </cell>
          <cell r="P88">
            <v>104</v>
          </cell>
          <cell r="Q88">
            <v>2246.3000000000002</v>
          </cell>
        </row>
        <row r="89">
          <cell r="N89">
            <v>104</v>
          </cell>
          <cell r="O89">
            <v>2246.3000000000002</v>
          </cell>
          <cell r="P89">
            <v>105</v>
          </cell>
          <cell r="Q89">
            <v>2243.6</v>
          </cell>
        </row>
        <row r="90">
          <cell r="N90">
            <v>105</v>
          </cell>
          <cell r="O90">
            <v>2243.6</v>
          </cell>
          <cell r="P90">
            <v>106</v>
          </cell>
          <cell r="Q90">
            <v>2240.9</v>
          </cell>
        </row>
        <row r="91">
          <cell r="N91">
            <v>106</v>
          </cell>
          <cell r="O91">
            <v>2240.9</v>
          </cell>
          <cell r="P91">
            <v>107</v>
          </cell>
          <cell r="Q91">
            <v>2238.1999999999998</v>
          </cell>
        </row>
        <row r="92">
          <cell r="N92">
            <v>107</v>
          </cell>
          <cell r="O92">
            <v>2238.1999999999998</v>
          </cell>
          <cell r="P92">
            <v>108</v>
          </cell>
          <cell r="Q92">
            <v>2235.4</v>
          </cell>
        </row>
        <row r="93">
          <cell r="N93">
            <v>108</v>
          </cell>
          <cell r="O93">
            <v>2235.4</v>
          </cell>
          <cell r="P93">
            <v>109</v>
          </cell>
          <cell r="Q93">
            <v>2232.6999999999998</v>
          </cell>
        </row>
        <row r="94">
          <cell r="N94">
            <v>109</v>
          </cell>
          <cell r="O94">
            <v>2232.6999999999998</v>
          </cell>
          <cell r="P94">
            <v>110</v>
          </cell>
          <cell r="Q94">
            <v>2230</v>
          </cell>
        </row>
        <row r="95">
          <cell r="N95">
            <v>110</v>
          </cell>
          <cell r="O95">
            <v>2230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5">
          <cell r="N5">
            <v>20</v>
          </cell>
        </row>
      </sheetData>
      <sheetData sheetId="116">
        <row r="5">
          <cell r="N5">
            <v>20</v>
          </cell>
        </row>
      </sheetData>
      <sheetData sheetId="117">
        <row r="5">
          <cell r="N5">
            <v>20</v>
          </cell>
        </row>
      </sheetData>
      <sheetData sheetId="118">
        <row r="5">
          <cell r="N5">
            <v>20</v>
          </cell>
        </row>
      </sheetData>
      <sheetData sheetId="119">
        <row r="5">
          <cell r="N5">
            <v>20</v>
          </cell>
        </row>
      </sheetData>
      <sheetData sheetId="120">
        <row r="5">
          <cell r="N5">
            <v>20</v>
          </cell>
        </row>
      </sheetData>
      <sheetData sheetId="121">
        <row r="5">
          <cell r="N5">
            <v>20</v>
          </cell>
        </row>
      </sheetData>
      <sheetData sheetId="122">
        <row r="5">
          <cell r="N5">
            <v>20</v>
          </cell>
        </row>
      </sheetData>
      <sheetData sheetId="123">
        <row r="5">
          <cell r="N5">
            <v>20</v>
          </cell>
        </row>
      </sheetData>
      <sheetData sheetId="124">
        <row r="5">
          <cell r="N5">
            <v>20</v>
          </cell>
        </row>
      </sheetData>
      <sheetData sheetId="125">
        <row r="5">
          <cell r="N5">
            <v>20</v>
          </cell>
        </row>
      </sheetData>
      <sheetData sheetId="126">
        <row r="5">
          <cell r="N5">
            <v>20</v>
          </cell>
        </row>
      </sheetData>
      <sheetData sheetId="127">
        <row r="5">
          <cell r="N5">
            <v>20</v>
          </cell>
        </row>
      </sheetData>
      <sheetData sheetId="128">
        <row r="5">
          <cell r="N5">
            <v>20</v>
          </cell>
        </row>
      </sheetData>
      <sheetData sheetId="129">
        <row r="5">
          <cell r="N5">
            <v>20</v>
          </cell>
        </row>
      </sheetData>
      <sheetData sheetId="130">
        <row r="5">
          <cell r="N5">
            <v>20</v>
          </cell>
        </row>
      </sheetData>
      <sheetData sheetId="131">
        <row r="5">
          <cell r="N5">
            <v>20</v>
          </cell>
        </row>
      </sheetData>
      <sheetData sheetId="132">
        <row r="5">
          <cell r="N5">
            <v>20</v>
          </cell>
        </row>
      </sheetData>
      <sheetData sheetId="133">
        <row r="5">
          <cell r="N5">
            <v>20</v>
          </cell>
        </row>
      </sheetData>
      <sheetData sheetId="134">
        <row r="5">
          <cell r="N5">
            <v>20</v>
          </cell>
        </row>
      </sheetData>
      <sheetData sheetId="135">
        <row r="5">
          <cell r="N5">
            <v>20</v>
          </cell>
        </row>
      </sheetData>
      <sheetData sheetId="136">
        <row r="5">
          <cell r="N5">
            <v>20</v>
          </cell>
        </row>
      </sheetData>
      <sheetData sheetId="137">
        <row r="5">
          <cell r="N5">
            <v>20</v>
          </cell>
        </row>
      </sheetData>
      <sheetData sheetId="138">
        <row r="5">
          <cell r="N5">
            <v>20</v>
          </cell>
        </row>
      </sheetData>
      <sheetData sheetId="139">
        <row r="5">
          <cell r="N5">
            <v>20</v>
          </cell>
        </row>
      </sheetData>
      <sheetData sheetId="140">
        <row r="5">
          <cell r="N5">
            <v>20</v>
          </cell>
        </row>
      </sheetData>
      <sheetData sheetId="141">
        <row r="5">
          <cell r="N5">
            <v>20</v>
          </cell>
        </row>
      </sheetData>
      <sheetData sheetId="142">
        <row r="5">
          <cell r="N5">
            <v>20</v>
          </cell>
        </row>
      </sheetData>
      <sheetData sheetId="143">
        <row r="5">
          <cell r="N5">
            <v>20</v>
          </cell>
        </row>
      </sheetData>
      <sheetData sheetId="144">
        <row r="5">
          <cell r="N5">
            <v>20</v>
          </cell>
        </row>
      </sheetData>
      <sheetData sheetId="145">
        <row r="5">
          <cell r="N5">
            <v>20</v>
          </cell>
        </row>
      </sheetData>
      <sheetData sheetId="146">
        <row r="5">
          <cell r="N5">
            <v>20</v>
          </cell>
        </row>
      </sheetData>
      <sheetData sheetId="147">
        <row r="5">
          <cell r="N5">
            <v>20</v>
          </cell>
        </row>
      </sheetData>
      <sheetData sheetId="148">
        <row r="5">
          <cell r="N5">
            <v>20</v>
          </cell>
        </row>
      </sheetData>
      <sheetData sheetId="149">
        <row r="5">
          <cell r="N5">
            <v>20</v>
          </cell>
        </row>
      </sheetData>
      <sheetData sheetId="150">
        <row r="5">
          <cell r="N5">
            <v>20</v>
          </cell>
        </row>
      </sheetData>
      <sheetData sheetId="151">
        <row r="5">
          <cell r="N5">
            <v>20</v>
          </cell>
        </row>
      </sheetData>
      <sheetData sheetId="152">
        <row r="5">
          <cell r="N5">
            <v>20</v>
          </cell>
        </row>
      </sheetData>
      <sheetData sheetId="153">
        <row r="5">
          <cell r="N5">
            <v>20</v>
          </cell>
        </row>
      </sheetData>
      <sheetData sheetId="154">
        <row r="5">
          <cell r="N5">
            <v>20</v>
          </cell>
        </row>
      </sheetData>
      <sheetData sheetId="155">
        <row r="5">
          <cell r="N5">
            <v>20</v>
          </cell>
        </row>
      </sheetData>
      <sheetData sheetId="156">
        <row r="5">
          <cell r="N5">
            <v>20</v>
          </cell>
        </row>
      </sheetData>
      <sheetData sheetId="157">
        <row r="5">
          <cell r="N5">
            <v>20</v>
          </cell>
        </row>
      </sheetData>
      <sheetData sheetId="158">
        <row r="5">
          <cell r="N5">
            <v>20</v>
          </cell>
        </row>
      </sheetData>
      <sheetData sheetId="159">
        <row r="5">
          <cell r="N5">
            <v>20</v>
          </cell>
        </row>
      </sheetData>
      <sheetData sheetId="160">
        <row r="5">
          <cell r="N5">
            <v>20</v>
          </cell>
        </row>
      </sheetData>
      <sheetData sheetId="161">
        <row r="5">
          <cell r="N5">
            <v>20</v>
          </cell>
        </row>
      </sheetData>
      <sheetData sheetId="162">
        <row r="5">
          <cell r="N5">
            <v>20</v>
          </cell>
        </row>
      </sheetData>
      <sheetData sheetId="163">
        <row r="5">
          <cell r="N5">
            <v>20</v>
          </cell>
        </row>
      </sheetData>
      <sheetData sheetId="164">
        <row r="5">
          <cell r="N5">
            <v>20</v>
          </cell>
        </row>
      </sheetData>
      <sheetData sheetId="165">
        <row r="5">
          <cell r="N5">
            <v>20</v>
          </cell>
        </row>
      </sheetData>
      <sheetData sheetId="166">
        <row r="5">
          <cell r="N5">
            <v>20</v>
          </cell>
        </row>
      </sheetData>
      <sheetData sheetId="167">
        <row r="5">
          <cell r="N5">
            <v>20</v>
          </cell>
        </row>
      </sheetData>
      <sheetData sheetId="168">
        <row r="5">
          <cell r="N5">
            <v>20</v>
          </cell>
        </row>
      </sheetData>
      <sheetData sheetId="169">
        <row r="5">
          <cell r="N5">
            <v>20</v>
          </cell>
        </row>
      </sheetData>
      <sheetData sheetId="170">
        <row r="5">
          <cell r="N5">
            <v>20</v>
          </cell>
        </row>
      </sheetData>
      <sheetData sheetId="171">
        <row r="5">
          <cell r="N5">
            <v>20</v>
          </cell>
        </row>
      </sheetData>
      <sheetData sheetId="172">
        <row r="5">
          <cell r="N5">
            <v>20</v>
          </cell>
        </row>
      </sheetData>
      <sheetData sheetId="173">
        <row r="5">
          <cell r="N5">
            <v>20</v>
          </cell>
        </row>
      </sheetData>
      <sheetData sheetId="174">
        <row r="5">
          <cell r="N5">
            <v>20</v>
          </cell>
        </row>
      </sheetData>
      <sheetData sheetId="175">
        <row r="5">
          <cell r="N5">
            <v>20</v>
          </cell>
        </row>
      </sheetData>
      <sheetData sheetId="176">
        <row r="5">
          <cell r="N5">
            <v>20</v>
          </cell>
        </row>
      </sheetData>
      <sheetData sheetId="177">
        <row r="5">
          <cell r="N5">
            <v>20</v>
          </cell>
        </row>
      </sheetData>
      <sheetData sheetId="178">
        <row r="5">
          <cell r="N5">
            <v>20</v>
          </cell>
        </row>
      </sheetData>
      <sheetData sheetId="179">
        <row r="5">
          <cell r="N5">
            <v>20</v>
          </cell>
        </row>
      </sheetData>
      <sheetData sheetId="180">
        <row r="5">
          <cell r="N5">
            <v>20</v>
          </cell>
        </row>
      </sheetData>
      <sheetData sheetId="181">
        <row r="5">
          <cell r="N5">
            <v>20</v>
          </cell>
        </row>
      </sheetData>
      <sheetData sheetId="182">
        <row r="5">
          <cell r="N5">
            <v>20</v>
          </cell>
        </row>
      </sheetData>
      <sheetData sheetId="183">
        <row r="5">
          <cell r="N5">
            <v>20</v>
          </cell>
        </row>
      </sheetData>
      <sheetData sheetId="184">
        <row r="5">
          <cell r="N5">
            <v>20</v>
          </cell>
        </row>
      </sheetData>
      <sheetData sheetId="185">
        <row r="5">
          <cell r="N5">
            <v>20</v>
          </cell>
        </row>
      </sheetData>
      <sheetData sheetId="186">
        <row r="5">
          <cell r="N5">
            <v>20</v>
          </cell>
        </row>
      </sheetData>
      <sheetData sheetId="187">
        <row r="5">
          <cell r="N5">
            <v>20</v>
          </cell>
        </row>
      </sheetData>
      <sheetData sheetId="188">
        <row r="5">
          <cell r="N5">
            <v>20</v>
          </cell>
        </row>
      </sheetData>
      <sheetData sheetId="189">
        <row r="5">
          <cell r="N5">
            <v>20</v>
          </cell>
        </row>
      </sheetData>
      <sheetData sheetId="190">
        <row r="5">
          <cell r="N5">
            <v>20</v>
          </cell>
        </row>
      </sheetData>
      <sheetData sheetId="191">
        <row r="5">
          <cell r="N5">
            <v>20</v>
          </cell>
        </row>
      </sheetData>
      <sheetData sheetId="192">
        <row r="5">
          <cell r="N5">
            <v>20</v>
          </cell>
        </row>
      </sheetData>
      <sheetData sheetId="193">
        <row r="5">
          <cell r="N5">
            <v>20</v>
          </cell>
        </row>
      </sheetData>
      <sheetData sheetId="194">
        <row r="5">
          <cell r="N5">
            <v>20</v>
          </cell>
        </row>
      </sheetData>
      <sheetData sheetId="195">
        <row r="5">
          <cell r="N5">
            <v>20</v>
          </cell>
        </row>
      </sheetData>
      <sheetData sheetId="196">
        <row r="5">
          <cell r="N5">
            <v>20</v>
          </cell>
        </row>
      </sheetData>
      <sheetData sheetId="197">
        <row r="5">
          <cell r="N5">
            <v>20</v>
          </cell>
        </row>
      </sheetData>
      <sheetData sheetId="198">
        <row r="5">
          <cell r="N5">
            <v>20</v>
          </cell>
        </row>
      </sheetData>
      <sheetData sheetId="199">
        <row r="5">
          <cell r="N5">
            <v>20</v>
          </cell>
        </row>
      </sheetData>
      <sheetData sheetId="200">
        <row r="5">
          <cell r="N5">
            <v>20</v>
          </cell>
        </row>
      </sheetData>
      <sheetData sheetId="201">
        <row r="5">
          <cell r="N5">
            <v>20</v>
          </cell>
        </row>
      </sheetData>
      <sheetData sheetId="202">
        <row r="5">
          <cell r="N5">
            <v>20</v>
          </cell>
        </row>
      </sheetData>
      <sheetData sheetId="203">
        <row r="5">
          <cell r="N5">
            <v>20</v>
          </cell>
        </row>
      </sheetData>
      <sheetData sheetId="204">
        <row r="5">
          <cell r="N5">
            <v>20</v>
          </cell>
        </row>
      </sheetData>
      <sheetData sheetId="205">
        <row r="5">
          <cell r="N5">
            <v>20</v>
          </cell>
        </row>
      </sheetData>
      <sheetData sheetId="206">
        <row r="5">
          <cell r="N5">
            <v>20</v>
          </cell>
        </row>
      </sheetData>
      <sheetData sheetId="207">
        <row r="5">
          <cell r="N5">
            <v>20</v>
          </cell>
        </row>
      </sheetData>
      <sheetData sheetId="208">
        <row r="5">
          <cell r="N5">
            <v>20</v>
          </cell>
        </row>
      </sheetData>
      <sheetData sheetId="209">
        <row r="5">
          <cell r="N5">
            <v>20</v>
          </cell>
        </row>
      </sheetData>
      <sheetData sheetId="210">
        <row r="5">
          <cell r="N5">
            <v>20</v>
          </cell>
        </row>
      </sheetData>
      <sheetData sheetId="211">
        <row r="5">
          <cell r="N5">
            <v>20</v>
          </cell>
        </row>
      </sheetData>
      <sheetData sheetId="212">
        <row r="5">
          <cell r="N5">
            <v>20</v>
          </cell>
        </row>
      </sheetData>
      <sheetData sheetId="213">
        <row r="5">
          <cell r="N5">
            <v>20</v>
          </cell>
        </row>
      </sheetData>
      <sheetData sheetId="214">
        <row r="5">
          <cell r="N5">
            <v>20</v>
          </cell>
        </row>
      </sheetData>
      <sheetData sheetId="215">
        <row r="5">
          <cell r="N5">
            <v>20</v>
          </cell>
        </row>
      </sheetData>
      <sheetData sheetId="216">
        <row r="5">
          <cell r="N5">
            <v>20</v>
          </cell>
        </row>
      </sheetData>
      <sheetData sheetId="217">
        <row r="5">
          <cell r="N5">
            <v>20</v>
          </cell>
        </row>
      </sheetData>
      <sheetData sheetId="218">
        <row r="5">
          <cell r="N5">
            <v>20</v>
          </cell>
        </row>
      </sheetData>
      <sheetData sheetId="219">
        <row r="5">
          <cell r="N5">
            <v>20</v>
          </cell>
        </row>
      </sheetData>
      <sheetData sheetId="220">
        <row r="5">
          <cell r="N5">
            <v>20</v>
          </cell>
        </row>
      </sheetData>
      <sheetData sheetId="221">
        <row r="5">
          <cell r="N5">
            <v>20</v>
          </cell>
        </row>
      </sheetData>
      <sheetData sheetId="222" refreshError="1"/>
      <sheetData sheetId="223" refreshError="1"/>
      <sheetData sheetId="224" refreshError="1"/>
      <sheetData sheetId="225" refreshError="1"/>
      <sheetData sheetId="226" refreshError="1"/>
      <sheetData sheetId="227" refreshError="1"/>
      <sheetData sheetId="228" refreshError="1"/>
      <sheetData sheetId="229">
        <row r="5">
          <cell r="N5">
            <v>20</v>
          </cell>
        </row>
      </sheetData>
      <sheetData sheetId="230">
        <row r="5">
          <cell r="N5">
            <v>20</v>
          </cell>
        </row>
      </sheetData>
      <sheetData sheetId="231">
        <row r="5">
          <cell r="N5">
            <v>20</v>
          </cell>
        </row>
      </sheetData>
      <sheetData sheetId="232">
        <row r="5">
          <cell r="N5">
            <v>20</v>
          </cell>
        </row>
      </sheetData>
      <sheetData sheetId="233">
        <row r="5">
          <cell r="N5">
            <v>20</v>
          </cell>
        </row>
      </sheetData>
      <sheetData sheetId="234">
        <row r="5">
          <cell r="N5">
            <v>20</v>
          </cell>
        </row>
      </sheetData>
      <sheetData sheetId="235">
        <row r="5">
          <cell r="N5">
            <v>20</v>
          </cell>
        </row>
      </sheetData>
      <sheetData sheetId="236">
        <row r="5">
          <cell r="N5">
            <v>20</v>
          </cell>
        </row>
      </sheetData>
      <sheetData sheetId="237">
        <row r="5">
          <cell r="N5">
            <v>20</v>
          </cell>
        </row>
      </sheetData>
      <sheetData sheetId="238">
        <row r="5">
          <cell r="N5">
            <v>20</v>
          </cell>
        </row>
      </sheetData>
      <sheetData sheetId="239">
        <row r="5">
          <cell r="N5">
            <v>20</v>
          </cell>
        </row>
      </sheetData>
      <sheetData sheetId="240">
        <row r="5">
          <cell r="N5">
            <v>20</v>
          </cell>
        </row>
      </sheetData>
      <sheetData sheetId="241">
        <row r="5">
          <cell r="N5">
            <v>20</v>
          </cell>
        </row>
      </sheetData>
      <sheetData sheetId="242">
        <row r="5">
          <cell r="N5">
            <v>20</v>
          </cell>
        </row>
      </sheetData>
      <sheetData sheetId="243">
        <row r="5">
          <cell r="N5">
            <v>20</v>
          </cell>
        </row>
      </sheetData>
      <sheetData sheetId="244">
        <row r="5">
          <cell r="N5">
            <v>20</v>
          </cell>
        </row>
      </sheetData>
      <sheetData sheetId="245">
        <row r="5">
          <cell r="N5">
            <v>20</v>
          </cell>
        </row>
      </sheetData>
      <sheetData sheetId="246">
        <row r="5">
          <cell r="N5">
            <v>20</v>
          </cell>
        </row>
      </sheetData>
      <sheetData sheetId="247">
        <row r="5">
          <cell r="N5">
            <v>20</v>
          </cell>
        </row>
      </sheetData>
      <sheetData sheetId="248">
        <row r="5">
          <cell r="N5">
            <v>20</v>
          </cell>
        </row>
      </sheetData>
      <sheetData sheetId="249">
        <row r="5">
          <cell r="N5">
            <v>20</v>
          </cell>
        </row>
      </sheetData>
      <sheetData sheetId="250">
        <row r="5">
          <cell r="N5">
            <v>20</v>
          </cell>
        </row>
      </sheetData>
      <sheetData sheetId="251">
        <row r="5">
          <cell r="N5">
            <v>20</v>
          </cell>
        </row>
      </sheetData>
      <sheetData sheetId="252">
        <row r="5">
          <cell r="N5">
            <v>20</v>
          </cell>
        </row>
      </sheetData>
      <sheetData sheetId="253">
        <row r="5">
          <cell r="N5">
            <v>20</v>
          </cell>
        </row>
      </sheetData>
      <sheetData sheetId="254">
        <row r="5">
          <cell r="N5">
            <v>20</v>
          </cell>
        </row>
      </sheetData>
      <sheetData sheetId="255">
        <row r="5">
          <cell r="N5">
            <v>20</v>
          </cell>
        </row>
      </sheetData>
      <sheetData sheetId="256">
        <row r="5">
          <cell r="N5">
            <v>20</v>
          </cell>
        </row>
      </sheetData>
      <sheetData sheetId="257">
        <row r="5">
          <cell r="N5">
            <v>20</v>
          </cell>
        </row>
      </sheetData>
      <sheetData sheetId="258">
        <row r="5">
          <cell r="N5">
            <v>20</v>
          </cell>
        </row>
      </sheetData>
      <sheetData sheetId="259">
        <row r="5">
          <cell r="N5">
            <v>20</v>
          </cell>
        </row>
      </sheetData>
      <sheetData sheetId="260">
        <row r="5">
          <cell r="N5">
            <v>20</v>
          </cell>
        </row>
      </sheetData>
      <sheetData sheetId="261">
        <row r="5">
          <cell r="N5">
            <v>20</v>
          </cell>
        </row>
      </sheetData>
      <sheetData sheetId="262">
        <row r="5">
          <cell r="N5">
            <v>20</v>
          </cell>
        </row>
      </sheetData>
      <sheetData sheetId="263">
        <row r="5">
          <cell r="N5">
            <v>20</v>
          </cell>
        </row>
      </sheetData>
      <sheetData sheetId="264">
        <row r="5">
          <cell r="N5">
            <v>20</v>
          </cell>
        </row>
      </sheetData>
      <sheetData sheetId="265">
        <row r="5">
          <cell r="N5">
            <v>20</v>
          </cell>
        </row>
      </sheetData>
      <sheetData sheetId="266">
        <row r="5">
          <cell r="N5">
            <v>20</v>
          </cell>
        </row>
      </sheetData>
      <sheetData sheetId="267">
        <row r="5">
          <cell r="N5">
            <v>20</v>
          </cell>
        </row>
      </sheetData>
      <sheetData sheetId="268">
        <row r="5">
          <cell r="N5">
            <v>20</v>
          </cell>
        </row>
      </sheetData>
      <sheetData sheetId="269">
        <row r="5">
          <cell r="N5">
            <v>20</v>
          </cell>
        </row>
      </sheetData>
      <sheetData sheetId="270">
        <row r="5">
          <cell r="N5">
            <v>20</v>
          </cell>
        </row>
      </sheetData>
      <sheetData sheetId="271">
        <row r="5">
          <cell r="N5">
            <v>20</v>
          </cell>
        </row>
      </sheetData>
      <sheetData sheetId="272">
        <row r="5">
          <cell r="N5">
            <v>20</v>
          </cell>
        </row>
      </sheetData>
      <sheetData sheetId="273">
        <row r="5">
          <cell r="N5">
            <v>20</v>
          </cell>
        </row>
      </sheetData>
      <sheetData sheetId="274">
        <row r="5">
          <cell r="N5">
            <v>20</v>
          </cell>
        </row>
      </sheetData>
      <sheetData sheetId="275">
        <row r="5">
          <cell r="N5">
            <v>20</v>
          </cell>
        </row>
      </sheetData>
      <sheetData sheetId="276">
        <row r="5">
          <cell r="N5">
            <v>20</v>
          </cell>
        </row>
      </sheetData>
      <sheetData sheetId="277">
        <row r="5">
          <cell r="N5">
            <v>20</v>
          </cell>
        </row>
      </sheetData>
      <sheetData sheetId="278">
        <row r="5">
          <cell r="N5">
            <v>20</v>
          </cell>
        </row>
      </sheetData>
      <sheetData sheetId="279">
        <row r="5">
          <cell r="N5">
            <v>20</v>
          </cell>
        </row>
      </sheetData>
      <sheetData sheetId="280">
        <row r="5">
          <cell r="N5">
            <v>20</v>
          </cell>
        </row>
      </sheetData>
      <sheetData sheetId="281">
        <row r="5">
          <cell r="N5">
            <v>20</v>
          </cell>
        </row>
      </sheetData>
      <sheetData sheetId="282">
        <row r="5">
          <cell r="N5">
            <v>20</v>
          </cell>
        </row>
      </sheetData>
      <sheetData sheetId="283"/>
      <sheetData sheetId="284">
        <row r="5">
          <cell r="N5">
            <v>20</v>
          </cell>
        </row>
      </sheetData>
      <sheetData sheetId="285">
        <row r="5">
          <cell r="N5">
            <v>20</v>
          </cell>
        </row>
      </sheetData>
      <sheetData sheetId="286">
        <row r="5">
          <cell r="N5">
            <v>20</v>
          </cell>
        </row>
      </sheetData>
      <sheetData sheetId="287"/>
      <sheetData sheetId="288">
        <row r="5">
          <cell r="N5">
            <v>20</v>
          </cell>
        </row>
      </sheetData>
      <sheetData sheetId="289">
        <row r="5">
          <cell r="N5">
            <v>20</v>
          </cell>
        </row>
      </sheetData>
      <sheetData sheetId="290">
        <row r="5">
          <cell r="N5">
            <v>20</v>
          </cell>
        </row>
      </sheetData>
      <sheetData sheetId="291"/>
      <sheetData sheetId="292">
        <row r="5">
          <cell r="N5">
            <v>20</v>
          </cell>
        </row>
      </sheetData>
      <sheetData sheetId="293"/>
      <sheetData sheetId="294"/>
      <sheetData sheetId="295"/>
      <sheetData sheetId="296">
        <row r="5">
          <cell r="N5">
            <v>20</v>
          </cell>
        </row>
      </sheetData>
      <sheetData sheetId="297"/>
      <sheetData sheetId="298"/>
      <sheetData sheetId="299"/>
      <sheetData sheetId="300">
        <row r="5">
          <cell r="N5">
            <v>20</v>
          </cell>
        </row>
      </sheetData>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ow r="5">
          <cell r="N5">
            <v>20</v>
          </cell>
        </row>
      </sheetData>
      <sheetData sheetId="326">
        <row r="5">
          <cell r="N5">
            <v>20</v>
          </cell>
        </row>
      </sheetData>
      <sheetData sheetId="327">
        <row r="5">
          <cell r="N5">
            <v>20</v>
          </cell>
        </row>
      </sheetData>
      <sheetData sheetId="328">
        <row r="5">
          <cell r="N5">
            <v>20</v>
          </cell>
        </row>
      </sheetData>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ow r="14">
          <cell r="EK14" t="str">
            <v>SP-01-1</v>
          </cell>
        </row>
      </sheetData>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일위대가"/>
      <sheetName val="전열면적"/>
      <sheetName val="SEPARATOR"/>
      <sheetName val="2000년1차"/>
      <sheetName val="M-EQPT-Z"/>
      <sheetName val="REPORT07"/>
      <sheetName val="단가집"/>
      <sheetName val="BM "/>
      <sheetName val="DWG LIST"/>
      <sheetName val="자격 땡겨오기"/>
      <sheetName val="VAE264_VALVES"/>
      <sheetName val="5.소재"/>
      <sheetName val="소화실적"/>
      <sheetName val="현장지지물물량"/>
      <sheetName val="sheet1"/>
      <sheetName val="당초"/>
      <sheetName val="실행예산SHEET도장재검토"/>
      <sheetName val="MOB-MAN1"/>
      <sheetName val="예제"/>
      <sheetName val="기준표"/>
      <sheetName val="규격"/>
      <sheetName val="노점수분"/>
      <sheetName val="견적기준"/>
      <sheetName val="자재사용현황"/>
      <sheetName val="w't table"/>
      <sheetName val="INDEX"/>
      <sheetName val="DI-ESTI"/>
      <sheetName val="NYS"/>
      <sheetName val="KH-Q1,Q2,01"/>
      <sheetName val="CAT_5"/>
      <sheetName val="#REF"/>
      <sheetName val=""/>
      <sheetName val="TTL"/>
      <sheetName val="성광벤드"/>
      <sheetName val="GRP PIPING"/>
      <sheetName val="P-LIST"/>
      <sheetName val="물가자료"/>
      <sheetName val="WE'T"/>
      <sheetName val="REDUCER"/>
      <sheetName val="Summary"/>
      <sheetName val="BM"/>
      <sheetName val="B101"/>
      <sheetName val="카메라"/>
      <sheetName val="COA-17"/>
      <sheetName val="C-18"/>
      <sheetName val="임율 Data"/>
      <sheetName val="kich thuoc"/>
      <sheetName val="DTHH"/>
      <sheetName val="REV 4"/>
      <sheetName val="COL"/>
      <sheetName val="Sheet5"/>
      <sheetName val="BEND LOSS"/>
      <sheetName val="FM"/>
      <sheetName val="내역서"/>
      <sheetName val="노임단가"/>
      <sheetName val="품셈표"/>
      <sheetName val="추가예산"/>
      <sheetName val="간접비 총괄표"/>
      <sheetName val="ﾀｰﾋﾞﾝ"/>
      <sheetName val="Setup"/>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BM_"/>
      <sheetName val="DWG_LIST"/>
      <sheetName val="자격_땡겨오기"/>
      <sheetName val="5_소재"/>
      <sheetName val="w't_table"/>
      <sheetName val="임율_Data"/>
      <sheetName val="GRP_PIPING"/>
      <sheetName val="REV_4"/>
      <sheetName val="BEND_LOSS"/>
      <sheetName val="SPARE PART"/>
      <sheetName val="연환"/>
      <sheetName val="부서코드표"/>
      <sheetName val="WXY"/>
      <sheetName val="입찰안"/>
      <sheetName val="CAUDIT"/>
      <sheetName val="골재산출"/>
      <sheetName val="http___www35_daum_net_WIN98_T_2"/>
      <sheetName val="Lists"/>
      <sheetName val="CI "/>
      <sheetName val="CI"/>
      <sheetName val="골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sheetName val="Break Down CI"/>
      <sheetName val="PL(1_2)"/>
      <sheetName val="PL(2_2)"/>
      <sheetName val="Detailed PL"/>
      <sheetName val="SHIPPING MARK"/>
      <sheetName val="SHIPPING MARK1"/>
      <sheetName val="SHIPPING MARK2"/>
    </sheetNames>
    <sheetDataSet>
      <sheetData sheetId="0" refreshError="1">
        <row r="8">
          <cell r="G8" t="str">
            <v>DATE:</v>
          </cell>
        </row>
        <row r="9">
          <cell r="G9" t="str">
            <v>SHIPPING MARK</v>
          </cell>
        </row>
        <row r="26">
          <cell r="B26" t="str">
            <v>Address: O Mon Power Complex at Phuoc Thoi wards, O Mon district, Can Tho city</v>
          </cell>
        </row>
        <row r="28">
          <cell r="B28" t="str">
            <v>PLANT/ EQUIPMENT AND MATERIALS FOR O MON IV THERMAL</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B1:AN157"/>
  <sheetViews>
    <sheetView showGridLines="0" tabSelected="1" view="pageBreakPreview" zoomScale="80" zoomScaleNormal="100" zoomScaleSheetLayoutView="80" workbookViewId="0">
      <selection activeCell="B4" sqref="B4:U4"/>
    </sheetView>
  </sheetViews>
  <sheetFormatPr defaultColWidth="8.76953125" defaultRowHeight="18" customHeight="1"/>
  <cols>
    <col min="1" max="1" width="1.05078125" style="139" customWidth="1"/>
    <col min="2" max="2" width="3.625" style="78" customWidth="1"/>
    <col min="3" max="3" width="21.1640625" style="149" customWidth="1"/>
    <col min="4" max="4" width="35.66796875" style="204" customWidth="1"/>
    <col min="5" max="5" width="21.75" style="159" customWidth="1"/>
    <col min="6" max="6" width="14.265625" style="78" customWidth="1"/>
    <col min="7" max="7" width="21.75" style="159" customWidth="1"/>
    <col min="8" max="8" width="9.703125" style="330" customWidth="1"/>
    <col min="9" max="9" width="7.015625" style="206" customWidth="1"/>
    <col min="10" max="10" width="5.26171875" style="330" customWidth="1"/>
    <col min="11" max="11" width="7.6015625" style="330" customWidth="1"/>
    <col min="12" max="14" width="6.3125" style="330" customWidth="1"/>
    <col min="15" max="15" width="7.25" style="160" customWidth="1"/>
    <col min="16" max="17" width="9.703125" style="330" customWidth="1"/>
    <col min="18" max="18" width="8.53515625" style="330" customWidth="1"/>
    <col min="19" max="19" width="10.0546875" style="78" customWidth="1"/>
    <col min="20" max="20" width="6.8984375" style="78" customWidth="1"/>
    <col min="21" max="21" width="6.6640625" style="161" customWidth="1"/>
    <col min="22" max="22" width="1.05078125" style="137" customWidth="1"/>
    <col min="23" max="27" width="8.76953125" style="138" customWidth="1"/>
    <col min="28" max="28" width="7.3671875" style="138" bestFit="1" customWidth="1"/>
    <col min="29" max="29" width="8.76953125" style="138" customWidth="1"/>
    <col min="30" max="35" width="8.76953125" style="139" customWidth="1"/>
    <col min="36" max="40" width="8.76953125" style="138"/>
    <col min="41" max="16384" width="8.76953125" style="139"/>
  </cols>
  <sheetData>
    <row r="1" spans="2:40" ht="9" customHeight="1">
      <c r="B1" s="508"/>
      <c r="C1" s="508"/>
      <c r="D1" s="508"/>
      <c r="E1" s="508"/>
      <c r="F1" s="508"/>
      <c r="G1" s="508"/>
      <c r="H1" s="508"/>
      <c r="I1" s="508"/>
      <c r="J1" s="508"/>
      <c r="K1" s="508"/>
      <c r="L1" s="508"/>
      <c r="M1" s="508"/>
      <c r="N1" s="508"/>
      <c r="O1" s="508"/>
      <c r="P1" s="508"/>
      <c r="Q1" s="508"/>
      <c r="R1" s="508"/>
      <c r="S1" s="508"/>
      <c r="T1" s="508"/>
      <c r="U1" s="508"/>
    </row>
    <row r="2" spans="2:40" ht="26.1" customHeight="1">
      <c r="B2" s="336"/>
      <c r="C2" s="330"/>
      <c r="D2" s="149"/>
      <c r="E2" s="330"/>
      <c r="F2" s="139"/>
      <c r="G2" s="330"/>
      <c r="I2" s="203"/>
      <c r="J2" s="140"/>
      <c r="K2" s="140"/>
      <c r="L2" s="140"/>
      <c r="M2" s="141"/>
      <c r="N2" s="142"/>
      <c r="O2" s="336"/>
      <c r="P2" s="336"/>
      <c r="Q2" s="336"/>
      <c r="R2" s="336"/>
      <c r="S2" s="336"/>
      <c r="T2" s="139"/>
      <c r="U2" s="139"/>
      <c r="V2" s="139"/>
      <c r="W2" s="139"/>
      <c r="X2" s="139"/>
      <c r="Y2" s="139"/>
      <c r="Z2" s="139"/>
      <c r="AA2" s="139"/>
      <c r="AB2" s="139"/>
      <c r="AC2" s="139"/>
      <c r="AJ2" s="139"/>
      <c r="AK2" s="139"/>
      <c r="AL2" s="139"/>
      <c r="AM2" s="139"/>
      <c r="AN2" s="139"/>
    </row>
    <row r="3" spans="2:40" ht="27.6" customHeight="1" thickBot="1">
      <c r="B3" s="336"/>
      <c r="C3" s="509" t="s">
        <v>0</v>
      </c>
      <c r="D3" s="509"/>
      <c r="E3" s="509"/>
      <c r="F3" s="509"/>
      <c r="G3" s="509"/>
      <c r="H3" s="509"/>
      <c r="I3" s="509"/>
      <c r="J3" s="509"/>
      <c r="K3" s="509"/>
      <c r="L3" s="140"/>
      <c r="M3" s="141"/>
      <c r="N3" s="142"/>
      <c r="O3" s="143"/>
      <c r="P3" s="336"/>
      <c r="Q3" s="336"/>
      <c r="R3" s="336"/>
      <c r="S3" s="336"/>
      <c r="T3" s="139"/>
      <c r="U3" s="139"/>
      <c r="V3" s="139"/>
      <c r="W3" s="139"/>
      <c r="X3" s="139"/>
      <c r="Y3" s="139"/>
      <c r="Z3" s="139"/>
      <c r="AA3" s="139"/>
      <c r="AB3" s="139"/>
      <c r="AC3" s="139"/>
      <c r="AJ3" s="139"/>
      <c r="AK3" s="139"/>
      <c r="AL3" s="139"/>
      <c r="AM3" s="139"/>
      <c r="AN3" s="139"/>
    </row>
    <row r="4" spans="2:40" ht="33.75" customHeight="1" thickTop="1" thickBot="1">
      <c r="B4" s="510" t="s">
        <v>87</v>
      </c>
      <c r="C4" s="511"/>
      <c r="D4" s="511"/>
      <c r="E4" s="511"/>
      <c r="F4" s="511"/>
      <c r="G4" s="511"/>
      <c r="H4" s="511"/>
      <c r="I4" s="511"/>
      <c r="J4" s="511"/>
      <c r="K4" s="511"/>
      <c r="L4" s="511"/>
      <c r="M4" s="511"/>
      <c r="N4" s="511"/>
      <c r="O4" s="511"/>
      <c r="P4" s="511"/>
      <c r="Q4" s="511"/>
      <c r="R4" s="511"/>
      <c r="S4" s="511"/>
      <c r="T4" s="511"/>
      <c r="U4" s="512"/>
    </row>
    <row r="5" spans="2:40" s="330" customFormat="1" ht="17.25" customHeight="1" thickTop="1">
      <c r="B5" s="78"/>
      <c r="C5" s="144" t="s">
        <v>88</v>
      </c>
      <c r="D5" s="145" t="str">
        <f>'PL(2_2)'!D5</f>
        <v>OM4-DE-IS-0009</v>
      </c>
      <c r="F5" s="147"/>
      <c r="H5" s="78"/>
      <c r="I5" s="204"/>
      <c r="J5" s="78"/>
      <c r="K5" s="78"/>
      <c r="L5" s="78"/>
      <c r="M5" s="78"/>
      <c r="N5" s="78"/>
      <c r="O5" s="146"/>
      <c r="P5" s="78"/>
      <c r="Q5" s="78"/>
      <c r="R5" s="78"/>
      <c r="S5" s="147"/>
      <c r="T5" s="78"/>
      <c r="U5" s="78"/>
      <c r="V5" s="148"/>
      <c r="AJ5" s="78"/>
      <c r="AK5" s="78"/>
      <c r="AL5" s="78"/>
      <c r="AM5" s="78"/>
      <c r="AN5" s="78"/>
    </row>
    <row r="6" spans="2:40" s="330" customFormat="1" ht="17.25" customHeight="1">
      <c r="B6" s="78"/>
      <c r="C6" s="144" t="s">
        <v>41</v>
      </c>
      <c r="D6" s="196">
        <f>'PL(2_2)'!D6</f>
        <v>46177</v>
      </c>
      <c r="F6" s="78"/>
      <c r="H6" s="78"/>
      <c r="I6" s="205"/>
      <c r="J6" s="149" t="s">
        <v>42</v>
      </c>
      <c r="K6" s="78"/>
      <c r="L6" s="78"/>
      <c r="M6" s="78"/>
      <c r="N6" s="78"/>
      <c r="O6" s="150" t="s">
        <v>43</v>
      </c>
      <c r="P6" s="78"/>
      <c r="Q6" s="78"/>
      <c r="R6" s="78"/>
      <c r="S6" s="78"/>
      <c r="T6" s="78"/>
      <c r="U6" s="78"/>
      <c r="V6" s="148"/>
      <c r="AJ6" s="78"/>
      <c r="AK6" s="78"/>
      <c r="AL6" s="78"/>
      <c r="AM6" s="78"/>
      <c r="AN6" s="78"/>
    </row>
    <row r="7" spans="2:40" s="330" customFormat="1" ht="17.25" customHeight="1">
      <c r="B7" s="78"/>
      <c r="C7" s="144" t="s">
        <v>44</v>
      </c>
      <c r="D7" s="197" t="str">
        <f>'PL(2_2)'!D7</f>
        <v>O MON IV THERMAL POWER PLANT</v>
      </c>
      <c r="F7" s="78"/>
      <c r="H7" s="78"/>
      <c r="I7" s="205"/>
      <c r="J7" s="75" t="s">
        <v>45</v>
      </c>
      <c r="K7" s="149" t="s">
        <v>46</v>
      </c>
      <c r="L7" s="78"/>
      <c r="M7" s="78"/>
      <c r="N7" s="78"/>
      <c r="O7" s="151"/>
      <c r="P7" s="335" t="s">
        <v>190</v>
      </c>
      <c r="Q7" s="335" t="s">
        <v>192</v>
      </c>
      <c r="R7" s="335" t="s">
        <v>194</v>
      </c>
      <c r="S7" s="335" t="s">
        <v>47</v>
      </c>
      <c r="T7" s="78"/>
      <c r="U7" s="78"/>
      <c r="V7" s="148"/>
      <c r="W7" s="78"/>
      <c r="X7" s="78"/>
      <c r="Y7" s="78"/>
      <c r="Z7" s="78"/>
      <c r="AA7" s="78"/>
      <c r="AB7" s="78"/>
      <c r="AC7" s="78"/>
      <c r="AJ7" s="78"/>
      <c r="AK7" s="78"/>
      <c r="AL7" s="78"/>
      <c r="AM7" s="78"/>
      <c r="AN7" s="78"/>
    </row>
    <row r="8" spans="2:40" s="330" customFormat="1" ht="17.25" customHeight="1">
      <c r="B8" s="78"/>
      <c r="C8" s="144" t="s">
        <v>89</v>
      </c>
      <c r="D8" s="382"/>
      <c r="F8" s="78"/>
      <c r="H8" s="78"/>
      <c r="I8" s="205"/>
      <c r="J8" s="75" t="s">
        <v>48</v>
      </c>
      <c r="K8" s="149" t="s">
        <v>49</v>
      </c>
      <c r="L8" s="78"/>
      <c r="M8" s="78"/>
      <c r="N8" s="78"/>
      <c r="O8" s="152" t="s">
        <v>50</v>
      </c>
      <c r="P8" s="335" t="s">
        <v>51</v>
      </c>
      <c r="Q8" s="335" t="s">
        <v>52</v>
      </c>
      <c r="R8" s="335" t="s">
        <v>53</v>
      </c>
      <c r="S8" s="335" t="s">
        <v>54</v>
      </c>
      <c r="T8" s="78"/>
      <c r="U8" s="78"/>
      <c r="V8" s="148"/>
      <c r="W8" s="78"/>
      <c r="X8" s="78"/>
      <c r="Y8" s="78"/>
      <c r="Z8" s="78"/>
      <c r="AA8" s="78"/>
      <c r="AB8" s="78"/>
      <c r="AC8" s="78"/>
      <c r="AJ8" s="78"/>
      <c r="AK8" s="78"/>
      <c r="AL8" s="78"/>
      <c r="AM8" s="78"/>
      <c r="AN8" s="78"/>
    </row>
    <row r="9" spans="2:40" s="330" customFormat="1" ht="17.25" customHeight="1">
      <c r="B9" s="78"/>
      <c r="D9" s="382"/>
      <c r="E9" s="144"/>
      <c r="F9" s="78"/>
      <c r="G9" s="144"/>
      <c r="H9" s="78"/>
      <c r="I9" s="205"/>
      <c r="J9" s="75" t="s">
        <v>55</v>
      </c>
      <c r="K9" s="149" t="s">
        <v>56</v>
      </c>
      <c r="L9" s="78"/>
      <c r="M9" s="78"/>
      <c r="N9" s="78"/>
      <c r="O9" s="152" t="s">
        <v>57</v>
      </c>
      <c r="P9" s="335" t="s">
        <v>58</v>
      </c>
      <c r="Q9" s="335" t="s">
        <v>59</v>
      </c>
      <c r="R9" s="335" t="s">
        <v>60</v>
      </c>
      <c r="S9" s="335" t="s">
        <v>61</v>
      </c>
      <c r="T9" s="78"/>
      <c r="U9" s="78"/>
      <c r="V9" s="148"/>
      <c r="W9" s="78"/>
      <c r="X9" s="78"/>
      <c r="Y9" s="78"/>
      <c r="Z9" s="78"/>
      <c r="AA9" s="78"/>
      <c r="AB9" s="78"/>
      <c r="AC9" s="78"/>
      <c r="AJ9" s="78"/>
      <c r="AK9" s="78"/>
      <c r="AL9" s="78"/>
      <c r="AM9" s="78"/>
      <c r="AN9" s="78"/>
    </row>
    <row r="10" spans="2:40" s="330" customFormat="1" ht="17.25" customHeight="1">
      <c r="B10" s="78"/>
      <c r="C10" s="144"/>
      <c r="D10" s="383"/>
      <c r="E10" s="144"/>
      <c r="F10" s="78"/>
      <c r="G10" s="144"/>
      <c r="H10" s="78"/>
      <c r="I10" s="205"/>
      <c r="J10" s="75" t="s">
        <v>62</v>
      </c>
      <c r="K10" s="149" t="s">
        <v>63</v>
      </c>
      <c r="L10" s="78"/>
      <c r="M10" s="78"/>
      <c r="N10" s="78"/>
      <c r="O10" s="152" t="s">
        <v>64</v>
      </c>
      <c r="P10" s="335" t="s">
        <v>65</v>
      </c>
      <c r="Q10" s="335" t="s">
        <v>66</v>
      </c>
      <c r="R10" s="335" t="s">
        <v>67</v>
      </c>
      <c r="S10" s="291" t="s">
        <v>68</v>
      </c>
      <c r="T10" s="78"/>
      <c r="U10" s="78"/>
      <c r="V10" s="148"/>
      <c r="W10" s="78"/>
      <c r="X10" s="78"/>
      <c r="Y10" s="78"/>
      <c r="Z10" s="78"/>
      <c r="AA10" s="78"/>
      <c r="AB10" s="78"/>
      <c r="AC10" s="78"/>
      <c r="AJ10" s="78"/>
      <c r="AK10" s="78"/>
      <c r="AL10" s="78"/>
      <c r="AM10" s="78"/>
      <c r="AN10" s="78"/>
    </row>
    <row r="11" spans="2:40" s="330" customFormat="1" ht="17.25" customHeight="1">
      <c r="B11" s="78"/>
      <c r="C11" s="144"/>
      <c r="D11" s="383"/>
      <c r="E11" s="144"/>
      <c r="F11" s="78"/>
      <c r="G11" s="144"/>
      <c r="H11" s="78"/>
      <c r="I11" s="205"/>
      <c r="J11" s="75" t="s">
        <v>69</v>
      </c>
      <c r="K11" s="149" t="s">
        <v>70</v>
      </c>
      <c r="L11" s="78"/>
      <c r="M11" s="78"/>
      <c r="N11" s="78"/>
      <c r="O11" s="146"/>
      <c r="P11" s="78"/>
      <c r="Q11" s="78"/>
      <c r="R11" s="78"/>
      <c r="S11" s="78"/>
      <c r="T11" s="78"/>
      <c r="U11" s="78"/>
      <c r="V11" s="148"/>
      <c r="W11" s="78"/>
      <c r="X11" s="78"/>
      <c r="Y11" s="78"/>
      <c r="Z11" s="78"/>
      <c r="AA11" s="78"/>
      <c r="AB11" s="78"/>
      <c r="AC11" s="78"/>
      <c r="AJ11" s="78"/>
      <c r="AK11" s="78"/>
      <c r="AL11" s="78"/>
      <c r="AM11" s="78"/>
      <c r="AN11" s="78"/>
    </row>
    <row r="12" spans="2:40" s="330" customFormat="1" ht="17.25" customHeight="1">
      <c r="B12" s="78"/>
      <c r="C12" s="144"/>
      <c r="D12" s="149"/>
      <c r="E12" s="78"/>
      <c r="F12" s="78"/>
      <c r="G12" s="78"/>
      <c r="H12" s="78"/>
      <c r="I12" s="205"/>
      <c r="J12" s="78"/>
      <c r="K12" s="78"/>
      <c r="L12" s="78"/>
      <c r="M12" s="78"/>
      <c r="N12" s="78"/>
      <c r="O12" s="146"/>
      <c r="P12" s="78"/>
      <c r="Q12" s="78"/>
      <c r="R12" s="78"/>
      <c r="S12" s="78"/>
      <c r="T12" s="78"/>
      <c r="U12" s="78"/>
      <c r="V12" s="148"/>
      <c r="W12" s="78"/>
      <c r="X12" s="78"/>
      <c r="Y12" s="78"/>
      <c r="Z12" s="78"/>
      <c r="AA12" s="78"/>
      <c r="AB12" s="78"/>
      <c r="AC12" s="78"/>
      <c r="AJ12" s="78"/>
      <c r="AK12" s="78"/>
      <c r="AL12" s="78"/>
      <c r="AM12" s="78"/>
      <c r="AN12" s="78"/>
    </row>
    <row r="13" spans="2:40" s="155" customFormat="1" ht="20.25" customHeight="1">
      <c r="B13" s="506" t="s">
        <v>29</v>
      </c>
      <c r="C13" s="514" t="s">
        <v>30</v>
      </c>
      <c r="D13" s="504" t="s">
        <v>71</v>
      </c>
      <c r="E13" s="515"/>
      <c r="F13" s="506" t="s">
        <v>90</v>
      </c>
      <c r="G13" s="514" t="s">
        <v>144</v>
      </c>
      <c r="H13" s="506" t="s">
        <v>145</v>
      </c>
      <c r="I13" s="517" t="s">
        <v>72</v>
      </c>
      <c r="J13" s="518"/>
      <c r="K13" s="506" t="s">
        <v>73</v>
      </c>
      <c r="L13" s="517" t="s">
        <v>74</v>
      </c>
      <c r="M13" s="519"/>
      <c r="N13" s="519"/>
      <c r="O13" s="518"/>
      <c r="P13" s="506" t="s">
        <v>75</v>
      </c>
      <c r="Q13" s="506" t="s">
        <v>76</v>
      </c>
      <c r="R13" s="506" t="s">
        <v>77</v>
      </c>
      <c r="S13" s="506" t="s">
        <v>78</v>
      </c>
      <c r="T13" s="504" t="s">
        <v>91</v>
      </c>
      <c r="U13" s="506" t="s">
        <v>79</v>
      </c>
      <c r="V13" s="153"/>
      <c r="W13" s="154"/>
      <c r="X13" s="154"/>
      <c r="Y13" s="154"/>
      <c r="Z13" s="154"/>
      <c r="AA13" s="154"/>
      <c r="AB13" s="154"/>
      <c r="AC13" s="154"/>
      <c r="AJ13" s="154"/>
      <c r="AK13" s="154"/>
      <c r="AL13" s="154"/>
      <c r="AM13" s="154"/>
      <c r="AN13" s="154"/>
    </row>
    <row r="14" spans="2:40" s="155" customFormat="1" ht="28.5" customHeight="1">
      <c r="B14" s="513"/>
      <c r="C14" s="513"/>
      <c r="D14" s="505"/>
      <c r="E14" s="516"/>
      <c r="F14" s="507"/>
      <c r="G14" s="513"/>
      <c r="H14" s="507"/>
      <c r="I14" s="202" t="s">
        <v>80</v>
      </c>
      <c r="J14" s="156" t="s">
        <v>81</v>
      </c>
      <c r="K14" s="507"/>
      <c r="L14" s="157" t="s">
        <v>82</v>
      </c>
      <c r="M14" s="157" t="s">
        <v>83</v>
      </c>
      <c r="N14" s="157" t="s">
        <v>84</v>
      </c>
      <c r="O14" s="158" t="s">
        <v>85</v>
      </c>
      <c r="P14" s="507"/>
      <c r="Q14" s="507"/>
      <c r="R14" s="507"/>
      <c r="S14" s="507"/>
      <c r="T14" s="505"/>
      <c r="U14" s="507"/>
      <c r="W14" s="154"/>
      <c r="X14" s="154"/>
      <c r="Y14" s="154"/>
      <c r="Z14" s="154"/>
      <c r="AA14" s="154"/>
      <c r="AB14" s="154"/>
      <c r="AC14" s="154"/>
      <c r="AJ14" s="154"/>
      <c r="AK14" s="154"/>
      <c r="AL14" s="154"/>
      <c r="AM14" s="154"/>
      <c r="AN14" s="154"/>
    </row>
    <row r="15" spans="2:40" s="155" customFormat="1" ht="28.5" customHeight="1">
      <c r="B15" s="333">
        <v>1</v>
      </c>
      <c r="C15" s="333" t="s">
        <v>227</v>
      </c>
      <c r="D15" s="344" t="s">
        <v>461</v>
      </c>
      <c r="E15" s="93" t="s">
        <v>150</v>
      </c>
      <c r="F15" s="299" t="s">
        <v>197</v>
      </c>
      <c r="G15" s="270" t="s">
        <v>188</v>
      </c>
      <c r="H15" s="332"/>
      <c r="I15" s="248">
        <v>32</v>
      </c>
      <c r="J15" s="335" t="s">
        <v>147</v>
      </c>
      <c r="K15" s="332"/>
      <c r="L15" s="249"/>
      <c r="M15" s="249"/>
      <c r="N15" s="249"/>
      <c r="O15" s="250"/>
      <c r="P15" s="251">
        <f>W15*I15</f>
        <v>1920</v>
      </c>
      <c r="Q15" s="251"/>
      <c r="R15" s="332"/>
      <c r="S15" s="332"/>
      <c r="T15" s="334"/>
      <c r="U15" s="332"/>
      <c r="W15" s="208">
        <v>60</v>
      </c>
      <c r="X15" s="154"/>
      <c r="Y15" s="154"/>
      <c r="Z15" s="154"/>
      <c r="AA15" s="154"/>
      <c r="AB15" s="154"/>
      <c r="AC15" s="154"/>
      <c r="AJ15" s="154"/>
      <c r="AK15" s="154"/>
      <c r="AL15" s="154"/>
      <c r="AM15" s="154"/>
      <c r="AN15" s="154"/>
    </row>
    <row r="16" spans="2:40" s="155" customFormat="1" ht="28.5" customHeight="1">
      <c r="B16" s="501" t="s">
        <v>92</v>
      </c>
      <c r="C16" s="502"/>
      <c r="D16" s="502"/>
      <c r="E16" s="502"/>
      <c r="F16" s="502"/>
      <c r="G16" s="502"/>
      <c r="H16" s="503"/>
      <c r="I16" s="252">
        <f>SUM(I15)</f>
        <v>32</v>
      </c>
      <c r="J16" s="253"/>
      <c r="K16" s="254" t="s">
        <v>236</v>
      </c>
      <c r="L16" s="255">
        <v>350</v>
      </c>
      <c r="M16" s="255">
        <v>120</v>
      </c>
      <c r="N16" s="255">
        <v>160</v>
      </c>
      <c r="O16" s="256">
        <f>(L16*M16*N16)/10^6</f>
        <v>6.72</v>
      </c>
      <c r="P16" s="257">
        <f>P15</f>
        <v>1920</v>
      </c>
      <c r="Q16" s="257">
        <f>P16+300</f>
        <v>2220</v>
      </c>
      <c r="R16" s="254" t="s">
        <v>148</v>
      </c>
      <c r="S16" s="254" t="s">
        <v>149</v>
      </c>
      <c r="T16" s="258"/>
      <c r="U16" s="254" t="s">
        <v>195</v>
      </c>
      <c r="W16" s="208"/>
      <c r="X16" s="154"/>
      <c r="Y16" s="154"/>
      <c r="Z16" s="154"/>
      <c r="AA16" s="154"/>
      <c r="AB16" s="154"/>
      <c r="AC16" s="154"/>
      <c r="AJ16" s="154"/>
      <c r="AK16" s="154"/>
      <c r="AL16" s="154"/>
      <c r="AM16" s="154"/>
      <c r="AN16" s="154"/>
    </row>
    <row r="17" spans="2:40" s="155" customFormat="1" ht="28.5" customHeight="1">
      <c r="B17" s="333">
        <v>2</v>
      </c>
      <c r="C17" s="333" t="s">
        <v>228</v>
      </c>
      <c r="D17" s="344" t="s">
        <v>461</v>
      </c>
      <c r="E17" s="93" t="s">
        <v>150</v>
      </c>
      <c r="F17" s="299" t="s">
        <v>197</v>
      </c>
      <c r="G17" s="270" t="s">
        <v>188</v>
      </c>
      <c r="H17" s="332"/>
      <c r="I17" s="248">
        <v>28</v>
      </c>
      <c r="J17" s="335" t="s">
        <v>147</v>
      </c>
      <c r="K17" s="332"/>
      <c r="L17" s="249"/>
      <c r="M17" s="249"/>
      <c r="N17" s="249"/>
      <c r="O17" s="250"/>
      <c r="P17" s="251">
        <f>W17*I17</f>
        <v>1680</v>
      </c>
      <c r="Q17" s="251"/>
      <c r="R17" s="332"/>
      <c r="S17" s="332"/>
      <c r="T17" s="334"/>
      <c r="U17" s="332"/>
      <c r="W17" s="208">
        <v>60</v>
      </c>
      <c r="X17" s="154"/>
      <c r="Y17" s="154"/>
      <c r="Z17" s="154"/>
      <c r="AA17" s="154"/>
      <c r="AB17" s="154"/>
      <c r="AC17" s="154"/>
      <c r="AJ17" s="154"/>
      <c r="AK17" s="154"/>
      <c r="AL17" s="154"/>
      <c r="AM17" s="154"/>
      <c r="AN17" s="154"/>
    </row>
    <row r="18" spans="2:40" s="155" customFormat="1" ht="28.5" customHeight="1">
      <c r="B18" s="501" t="s">
        <v>92</v>
      </c>
      <c r="C18" s="502"/>
      <c r="D18" s="502"/>
      <c r="E18" s="502"/>
      <c r="F18" s="502"/>
      <c r="G18" s="502"/>
      <c r="H18" s="503"/>
      <c r="I18" s="252">
        <f>SUM(I17)</f>
        <v>28</v>
      </c>
      <c r="J18" s="253"/>
      <c r="K18" s="254" t="s">
        <v>236</v>
      </c>
      <c r="L18" s="255">
        <v>350</v>
      </c>
      <c r="M18" s="255">
        <v>120</v>
      </c>
      <c r="N18" s="255">
        <v>130</v>
      </c>
      <c r="O18" s="256">
        <f>(L18*M18*N18)/10^6</f>
        <v>5.46</v>
      </c>
      <c r="P18" s="257">
        <f>P17</f>
        <v>1680</v>
      </c>
      <c r="Q18" s="257">
        <f>P18+300</f>
        <v>1980</v>
      </c>
      <c r="R18" s="254" t="s">
        <v>148</v>
      </c>
      <c r="S18" s="254" t="s">
        <v>149</v>
      </c>
      <c r="T18" s="258"/>
      <c r="U18" s="254" t="s">
        <v>195</v>
      </c>
      <c r="W18" s="208"/>
      <c r="X18" s="154"/>
      <c r="Y18" s="154"/>
      <c r="Z18" s="154"/>
      <c r="AA18" s="154"/>
      <c r="AB18" s="154"/>
      <c r="AC18" s="154"/>
      <c r="AJ18" s="154"/>
      <c r="AK18" s="154"/>
      <c r="AL18" s="154"/>
      <c r="AM18" s="154"/>
      <c r="AN18" s="154"/>
    </row>
    <row r="19" spans="2:40" s="155" customFormat="1" ht="28.5" customHeight="1">
      <c r="B19" s="201" t="s">
        <v>237</v>
      </c>
      <c r="C19" s="335" t="s">
        <v>391</v>
      </c>
      <c r="D19" s="345" t="s">
        <v>447</v>
      </c>
      <c r="E19" s="247" t="s">
        <v>238</v>
      </c>
      <c r="F19" s="269" t="s">
        <v>197</v>
      </c>
      <c r="G19" s="291" t="s">
        <v>188</v>
      </c>
      <c r="H19" s="249"/>
      <c r="I19" s="248">
        <v>250</v>
      </c>
      <c r="J19" s="335" t="s">
        <v>147</v>
      </c>
      <c r="K19" s="332"/>
      <c r="L19" s="249"/>
      <c r="M19" s="249"/>
      <c r="N19" s="249"/>
      <c r="O19" s="250"/>
      <c r="P19" s="251">
        <f>W19*I19</f>
        <v>322.5</v>
      </c>
      <c r="Q19" s="251"/>
      <c r="R19" s="332"/>
      <c r="S19" s="332"/>
      <c r="T19" s="334"/>
      <c r="U19" s="332"/>
      <c r="W19" s="208">
        <v>1.29</v>
      </c>
      <c r="X19" s="154"/>
      <c r="Y19" s="154"/>
      <c r="Z19" s="154"/>
      <c r="AA19" s="154"/>
      <c r="AB19" s="154"/>
      <c r="AC19" s="154"/>
      <c r="AJ19" s="154"/>
      <c r="AK19" s="154"/>
      <c r="AL19" s="154"/>
      <c r="AM19" s="154"/>
      <c r="AN19" s="154"/>
    </row>
    <row r="20" spans="2:40" s="155" customFormat="1" ht="28.5" customHeight="1">
      <c r="B20" s="201" t="s">
        <v>162</v>
      </c>
      <c r="C20" s="333" t="str">
        <f>C19</f>
        <v>OM4-DE-IS-0009-003</v>
      </c>
      <c r="D20" s="345" t="s">
        <v>447</v>
      </c>
      <c r="E20" s="342" t="s">
        <v>239</v>
      </c>
      <c r="F20" s="269" t="s">
        <v>197</v>
      </c>
      <c r="G20" s="291" t="s">
        <v>188</v>
      </c>
      <c r="H20" s="332"/>
      <c r="I20" s="248">
        <v>100</v>
      </c>
      <c r="J20" s="335" t="s">
        <v>147</v>
      </c>
      <c r="K20" s="332"/>
      <c r="L20" s="249"/>
      <c r="M20" s="249"/>
      <c r="N20" s="249"/>
      <c r="O20" s="250"/>
      <c r="P20" s="251">
        <f t="shared" ref="P20:P34" si="0">W20*I20</f>
        <v>187</v>
      </c>
      <c r="Q20" s="251"/>
      <c r="R20" s="332"/>
      <c r="S20" s="332"/>
      <c r="T20" s="334"/>
      <c r="U20" s="332"/>
      <c r="W20" s="208">
        <v>1.87</v>
      </c>
      <c r="X20" s="154"/>
      <c r="Y20" s="154"/>
      <c r="Z20" s="154"/>
      <c r="AA20" s="154"/>
      <c r="AB20" s="154"/>
      <c r="AC20" s="154"/>
      <c r="AJ20" s="154"/>
      <c r="AK20" s="154"/>
      <c r="AL20" s="154"/>
      <c r="AM20" s="154"/>
      <c r="AN20" s="154"/>
    </row>
    <row r="21" spans="2:40" s="155" customFormat="1" ht="28.5" customHeight="1">
      <c r="B21" s="201" t="s">
        <v>163</v>
      </c>
      <c r="C21" s="333" t="str">
        <f t="shared" ref="C21:C27" si="1">C20</f>
        <v>OM4-DE-IS-0009-003</v>
      </c>
      <c r="D21" s="345" t="s">
        <v>447</v>
      </c>
      <c r="E21" s="342" t="s">
        <v>240</v>
      </c>
      <c r="F21" s="269" t="s">
        <v>197</v>
      </c>
      <c r="G21" s="291" t="s">
        <v>188</v>
      </c>
      <c r="H21" s="332"/>
      <c r="I21" s="248">
        <v>60</v>
      </c>
      <c r="J21" s="335" t="s">
        <v>147</v>
      </c>
      <c r="K21" s="332"/>
      <c r="L21" s="249"/>
      <c r="M21" s="249"/>
      <c r="N21" s="249"/>
      <c r="O21" s="250"/>
      <c r="P21" s="251">
        <f t="shared" si="0"/>
        <v>175.8</v>
      </c>
      <c r="Q21" s="251"/>
      <c r="R21" s="332"/>
      <c r="S21" s="332"/>
      <c r="T21" s="334"/>
      <c r="U21" s="332"/>
      <c r="W21" s="208">
        <v>2.93</v>
      </c>
      <c r="X21" s="154"/>
      <c r="Y21" s="154"/>
      <c r="Z21" s="154"/>
      <c r="AA21" s="154"/>
      <c r="AB21" s="154"/>
      <c r="AC21" s="154"/>
      <c r="AJ21" s="154"/>
      <c r="AK21" s="154"/>
      <c r="AL21" s="154"/>
      <c r="AM21" s="154"/>
      <c r="AN21" s="154"/>
    </row>
    <row r="22" spans="2:40" s="155" customFormat="1" ht="28.5" customHeight="1">
      <c r="B22" s="201" t="s">
        <v>164</v>
      </c>
      <c r="C22" s="333" t="str">
        <f t="shared" si="1"/>
        <v>OM4-DE-IS-0009-003</v>
      </c>
      <c r="D22" s="344" t="s">
        <v>452</v>
      </c>
      <c r="E22" s="342" t="s">
        <v>151</v>
      </c>
      <c r="F22" s="269" t="s">
        <v>197</v>
      </c>
      <c r="G22" s="291" t="s">
        <v>188</v>
      </c>
      <c r="H22" s="332"/>
      <c r="I22" s="248">
        <v>180</v>
      </c>
      <c r="J22" s="335" t="s">
        <v>147</v>
      </c>
      <c r="K22" s="332"/>
      <c r="L22" s="249"/>
      <c r="M22" s="249"/>
      <c r="N22" s="249"/>
      <c r="O22" s="250"/>
      <c r="P22" s="251">
        <f t="shared" si="0"/>
        <v>21.599999999999998</v>
      </c>
      <c r="Q22" s="251"/>
      <c r="R22" s="332"/>
      <c r="S22" s="332"/>
      <c r="T22" s="334"/>
      <c r="U22" s="332"/>
      <c r="W22" s="208">
        <v>0.12</v>
      </c>
      <c r="X22" s="154"/>
      <c r="Y22" s="154"/>
      <c r="Z22" s="154"/>
      <c r="AA22" s="154"/>
      <c r="AB22" s="154"/>
      <c r="AC22" s="154"/>
      <c r="AJ22" s="154"/>
      <c r="AK22" s="154"/>
      <c r="AL22" s="154"/>
      <c r="AM22" s="154"/>
      <c r="AN22" s="154"/>
    </row>
    <row r="23" spans="2:40" s="155" customFormat="1" ht="28.5" customHeight="1">
      <c r="B23" s="201" t="s">
        <v>165</v>
      </c>
      <c r="C23" s="333" t="str">
        <f t="shared" si="1"/>
        <v>OM4-DE-IS-0009-003</v>
      </c>
      <c r="D23" s="344" t="s">
        <v>452</v>
      </c>
      <c r="E23" s="342" t="s">
        <v>152</v>
      </c>
      <c r="F23" s="269" t="s">
        <v>197</v>
      </c>
      <c r="G23" s="291" t="s">
        <v>188</v>
      </c>
      <c r="H23" s="332"/>
      <c r="I23" s="248">
        <v>60</v>
      </c>
      <c r="J23" s="335" t="s">
        <v>147</v>
      </c>
      <c r="K23" s="332"/>
      <c r="L23" s="249"/>
      <c r="M23" s="249"/>
      <c r="N23" s="249"/>
      <c r="O23" s="250"/>
      <c r="P23" s="251">
        <f t="shared" si="0"/>
        <v>11.4</v>
      </c>
      <c r="Q23" s="251"/>
      <c r="R23" s="332"/>
      <c r="S23" s="332"/>
      <c r="T23" s="334"/>
      <c r="U23" s="332"/>
      <c r="W23" s="208">
        <v>0.19</v>
      </c>
      <c r="X23" s="154"/>
      <c r="Y23" s="154"/>
      <c r="Z23" s="154"/>
      <c r="AA23" s="154"/>
      <c r="AB23" s="154"/>
      <c r="AC23" s="154"/>
      <c r="AJ23" s="154"/>
      <c r="AK23" s="154"/>
      <c r="AL23" s="154"/>
      <c r="AM23" s="154"/>
      <c r="AN23" s="154"/>
    </row>
    <row r="24" spans="2:40" s="155" customFormat="1" ht="28.5" customHeight="1">
      <c r="B24" s="201" t="s">
        <v>166</v>
      </c>
      <c r="C24" s="333" t="str">
        <f t="shared" si="1"/>
        <v>OM4-DE-IS-0009-003</v>
      </c>
      <c r="D24" s="344" t="s">
        <v>452</v>
      </c>
      <c r="E24" s="342" t="s">
        <v>153</v>
      </c>
      <c r="F24" s="269" t="s">
        <v>197</v>
      </c>
      <c r="G24" s="291" t="s">
        <v>188</v>
      </c>
      <c r="H24" s="332"/>
      <c r="I24" s="248">
        <v>30</v>
      </c>
      <c r="J24" s="335" t="s">
        <v>147</v>
      </c>
      <c r="K24" s="332"/>
      <c r="L24" s="249"/>
      <c r="M24" s="249"/>
      <c r="N24" s="249"/>
      <c r="O24" s="250"/>
      <c r="P24" s="251">
        <f t="shared" si="0"/>
        <v>6.6</v>
      </c>
      <c r="Q24" s="251"/>
      <c r="R24" s="332"/>
      <c r="S24" s="332"/>
      <c r="T24" s="334"/>
      <c r="U24" s="332"/>
      <c r="W24" s="208">
        <v>0.22</v>
      </c>
      <c r="X24" s="154"/>
      <c r="Y24" s="154"/>
      <c r="Z24" s="154"/>
      <c r="AA24" s="154"/>
      <c r="AB24" s="154"/>
      <c r="AC24" s="154"/>
      <c r="AJ24" s="154"/>
      <c r="AK24" s="154"/>
      <c r="AL24" s="154"/>
      <c r="AM24" s="154"/>
      <c r="AN24" s="154"/>
    </row>
    <row r="25" spans="2:40" s="155" customFormat="1" ht="28.5" customHeight="1">
      <c r="B25" s="201" t="s">
        <v>167</v>
      </c>
      <c r="C25" s="333" t="str">
        <f t="shared" si="1"/>
        <v>OM4-DE-IS-0009-003</v>
      </c>
      <c r="D25" s="344" t="s">
        <v>452</v>
      </c>
      <c r="E25" s="342" t="s">
        <v>154</v>
      </c>
      <c r="F25" s="269" t="s">
        <v>197</v>
      </c>
      <c r="G25" s="291" t="s">
        <v>188</v>
      </c>
      <c r="H25" s="332"/>
      <c r="I25" s="248">
        <v>30</v>
      </c>
      <c r="J25" s="335" t="s">
        <v>147</v>
      </c>
      <c r="K25" s="332"/>
      <c r="L25" s="249"/>
      <c r="M25" s="249"/>
      <c r="N25" s="249"/>
      <c r="O25" s="250"/>
      <c r="P25" s="251">
        <f t="shared" si="0"/>
        <v>9.9</v>
      </c>
      <c r="Q25" s="251"/>
      <c r="R25" s="332"/>
      <c r="S25" s="332"/>
      <c r="T25" s="334"/>
      <c r="U25" s="332"/>
      <c r="W25" s="208">
        <v>0.33</v>
      </c>
      <c r="X25" s="154"/>
      <c r="Y25" s="154"/>
      <c r="Z25" s="154"/>
      <c r="AA25" s="154"/>
      <c r="AB25" s="154"/>
      <c r="AC25" s="154"/>
      <c r="AJ25" s="154"/>
      <c r="AK25" s="154"/>
      <c r="AL25" s="154"/>
      <c r="AM25" s="154"/>
      <c r="AN25" s="154"/>
    </row>
    <row r="26" spans="2:40" s="155" customFormat="1" ht="28.5" customHeight="1">
      <c r="B26" s="201" t="s">
        <v>168</v>
      </c>
      <c r="C26" s="333" t="str">
        <f>C25</f>
        <v>OM4-DE-IS-0009-003</v>
      </c>
      <c r="D26" s="344" t="s">
        <v>452</v>
      </c>
      <c r="E26" s="342" t="s">
        <v>155</v>
      </c>
      <c r="F26" s="269" t="s">
        <v>197</v>
      </c>
      <c r="G26" s="291" t="s">
        <v>188</v>
      </c>
      <c r="H26" s="332"/>
      <c r="I26" s="248">
        <v>40</v>
      </c>
      <c r="J26" s="335" t="s">
        <v>147</v>
      </c>
      <c r="K26" s="332"/>
      <c r="L26" s="249"/>
      <c r="M26" s="249"/>
      <c r="N26" s="249"/>
      <c r="O26" s="250"/>
      <c r="P26" s="251">
        <f t="shared" si="0"/>
        <v>39.200000000000003</v>
      </c>
      <c r="Q26" s="251"/>
      <c r="R26" s="332"/>
      <c r="S26" s="332"/>
      <c r="T26" s="334"/>
      <c r="U26" s="332"/>
      <c r="W26" s="208">
        <v>0.98</v>
      </c>
      <c r="X26" s="154"/>
      <c r="Y26" s="154"/>
      <c r="Z26" s="154"/>
      <c r="AA26" s="154"/>
      <c r="AB26" s="154"/>
      <c r="AC26" s="154"/>
      <c r="AJ26" s="154"/>
      <c r="AK26" s="154"/>
      <c r="AL26" s="154"/>
      <c r="AM26" s="154"/>
      <c r="AN26" s="154"/>
    </row>
    <row r="27" spans="2:40" s="155" customFormat="1" ht="28.5" customHeight="1">
      <c r="B27" s="201" t="s">
        <v>169</v>
      </c>
      <c r="C27" s="333" t="str">
        <f t="shared" si="1"/>
        <v>OM4-DE-IS-0009-003</v>
      </c>
      <c r="D27" s="344" t="s">
        <v>452</v>
      </c>
      <c r="E27" s="342" t="s">
        <v>156</v>
      </c>
      <c r="F27" s="269" t="s">
        <v>197</v>
      </c>
      <c r="G27" s="291" t="s">
        <v>188</v>
      </c>
      <c r="H27" s="332"/>
      <c r="I27" s="248">
        <v>40</v>
      </c>
      <c r="J27" s="335" t="s">
        <v>147</v>
      </c>
      <c r="K27" s="332"/>
      <c r="L27" s="249"/>
      <c r="M27" s="249"/>
      <c r="N27" s="249"/>
      <c r="O27" s="250"/>
      <c r="P27" s="251">
        <f t="shared" si="0"/>
        <v>50</v>
      </c>
      <c r="Q27" s="251"/>
      <c r="R27" s="332"/>
      <c r="S27" s="332"/>
      <c r="T27" s="334"/>
      <c r="U27" s="332"/>
      <c r="W27" s="208">
        <v>1.25</v>
      </c>
      <c r="X27" s="154"/>
      <c r="Y27" s="154"/>
      <c r="Z27" s="154"/>
      <c r="AA27" s="154"/>
      <c r="AB27" s="154"/>
      <c r="AC27" s="154"/>
      <c r="AJ27" s="154"/>
      <c r="AK27" s="154"/>
      <c r="AL27" s="154"/>
      <c r="AM27" s="154"/>
      <c r="AN27" s="154"/>
    </row>
    <row r="28" spans="2:40" s="155" customFormat="1" ht="28.5" customHeight="1">
      <c r="B28" s="201" t="s">
        <v>170</v>
      </c>
      <c r="C28" s="333" t="str">
        <f>C27</f>
        <v>OM4-DE-IS-0009-003</v>
      </c>
      <c r="D28" s="344" t="s">
        <v>241</v>
      </c>
      <c r="E28" s="342" t="s">
        <v>151</v>
      </c>
      <c r="F28" s="269" t="s">
        <v>197</v>
      </c>
      <c r="G28" s="291" t="s">
        <v>188</v>
      </c>
      <c r="H28" s="332"/>
      <c r="I28" s="248">
        <v>80</v>
      </c>
      <c r="J28" s="335" t="s">
        <v>147</v>
      </c>
      <c r="K28" s="332"/>
      <c r="L28" s="249"/>
      <c r="M28" s="249"/>
      <c r="N28" s="249"/>
      <c r="O28" s="250"/>
      <c r="P28" s="251">
        <f t="shared" si="0"/>
        <v>9.6</v>
      </c>
      <c r="Q28" s="251"/>
      <c r="R28" s="332"/>
      <c r="S28" s="332"/>
      <c r="T28" s="334"/>
      <c r="U28" s="332"/>
      <c r="W28" s="208">
        <v>0.12</v>
      </c>
      <c r="X28" s="154"/>
      <c r="Y28" s="154"/>
      <c r="Z28" s="154"/>
      <c r="AA28" s="154"/>
      <c r="AB28" s="154"/>
      <c r="AC28" s="154"/>
      <c r="AJ28" s="154"/>
      <c r="AK28" s="154"/>
      <c r="AL28" s="154"/>
      <c r="AM28" s="154"/>
      <c r="AN28" s="154"/>
    </row>
    <row r="29" spans="2:40" s="155" customFormat="1" ht="28.5" customHeight="1">
      <c r="B29" s="201" t="s">
        <v>171</v>
      </c>
      <c r="C29" s="333" t="str">
        <f t="shared" ref="C29:C34" si="2">C28</f>
        <v>OM4-DE-IS-0009-003</v>
      </c>
      <c r="D29" s="344" t="s">
        <v>241</v>
      </c>
      <c r="E29" s="342" t="s">
        <v>152</v>
      </c>
      <c r="F29" s="269" t="s">
        <v>197</v>
      </c>
      <c r="G29" s="291" t="s">
        <v>188</v>
      </c>
      <c r="H29" s="332"/>
      <c r="I29" s="248">
        <v>50</v>
      </c>
      <c r="J29" s="335" t="s">
        <v>147</v>
      </c>
      <c r="K29" s="332"/>
      <c r="L29" s="249"/>
      <c r="M29" s="249"/>
      <c r="N29" s="249"/>
      <c r="O29" s="250"/>
      <c r="P29" s="251">
        <f t="shared" si="0"/>
        <v>9.5</v>
      </c>
      <c r="Q29" s="251"/>
      <c r="R29" s="332"/>
      <c r="S29" s="332"/>
      <c r="T29" s="334"/>
      <c r="U29" s="332"/>
      <c r="W29" s="208">
        <v>0.19</v>
      </c>
      <c r="X29" s="154"/>
      <c r="Y29" s="154"/>
      <c r="Z29" s="154"/>
      <c r="AA29" s="154"/>
      <c r="AB29" s="154"/>
      <c r="AC29" s="154"/>
      <c r="AJ29" s="154"/>
      <c r="AK29" s="154"/>
      <c r="AL29" s="154"/>
      <c r="AM29" s="154"/>
      <c r="AN29" s="154"/>
    </row>
    <row r="30" spans="2:40" s="155" customFormat="1" ht="28.5" customHeight="1">
      <c r="B30" s="201" t="s">
        <v>172</v>
      </c>
      <c r="C30" s="333" t="str">
        <f t="shared" si="2"/>
        <v>OM4-DE-IS-0009-003</v>
      </c>
      <c r="D30" s="344" t="s">
        <v>241</v>
      </c>
      <c r="E30" s="342" t="s">
        <v>153</v>
      </c>
      <c r="F30" s="269" t="s">
        <v>197</v>
      </c>
      <c r="G30" s="291" t="s">
        <v>188</v>
      </c>
      <c r="H30" s="332"/>
      <c r="I30" s="248">
        <v>30</v>
      </c>
      <c r="J30" s="335" t="s">
        <v>147</v>
      </c>
      <c r="K30" s="332"/>
      <c r="L30" s="249"/>
      <c r="M30" s="249"/>
      <c r="N30" s="249"/>
      <c r="O30" s="250"/>
      <c r="P30" s="251">
        <f t="shared" si="0"/>
        <v>6.6</v>
      </c>
      <c r="Q30" s="251"/>
      <c r="R30" s="332"/>
      <c r="S30" s="332"/>
      <c r="T30" s="334"/>
      <c r="U30" s="332"/>
      <c r="W30" s="208">
        <v>0.22</v>
      </c>
      <c r="X30" s="154"/>
      <c r="Y30" s="154"/>
      <c r="Z30" s="154"/>
      <c r="AA30" s="154"/>
      <c r="AB30" s="154"/>
      <c r="AC30" s="154"/>
      <c r="AJ30" s="154"/>
      <c r="AK30" s="154"/>
      <c r="AL30" s="154"/>
      <c r="AM30" s="154"/>
      <c r="AN30" s="154"/>
    </row>
    <row r="31" spans="2:40" s="155" customFormat="1" ht="28.5" customHeight="1">
      <c r="B31" s="201" t="s">
        <v>173</v>
      </c>
      <c r="C31" s="333" t="str">
        <f t="shared" si="2"/>
        <v>OM4-DE-IS-0009-003</v>
      </c>
      <c r="D31" s="344" t="s">
        <v>241</v>
      </c>
      <c r="E31" s="342" t="s">
        <v>154</v>
      </c>
      <c r="F31" s="269" t="s">
        <v>197</v>
      </c>
      <c r="G31" s="291" t="s">
        <v>188</v>
      </c>
      <c r="H31" s="332"/>
      <c r="I31" s="248">
        <v>10</v>
      </c>
      <c r="J31" s="335" t="s">
        <v>147</v>
      </c>
      <c r="K31" s="332"/>
      <c r="L31" s="249"/>
      <c r="M31" s="249"/>
      <c r="N31" s="249"/>
      <c r="O31" s="250"/>
      <c r="P31" s="251">
        <f t="shared" si="0"/>
        <v>3.3000000000000003</v>
      </c>
      <c r="Q31" s="251"/>
      <c r="R31" s="332"/>
      <c r="S31" s="332"/>
      <c r="T31" s="334"/>
      <c r="U31" s="332"/>
      <c r="W31" s="208">
        <v>0.33</v>
      </c>
      <c r="X31" s="154"/>
      <c r="Y31" s="154"/>
      <c r="Z31" s="154"/>
      <c r="AA31" s="154"/>
      <c r="AB31" s="154"/>
      <c r="AC31" s="154"/>
      <c r="AJ31" s="154"/>
      <c r="AK31" s="154"/>
      <c r="AL31" s="154"/>
      <c r="AM31" s="154"/>
      <c r="AN31" s="154"/>
    </row>
    <row r="32" spans="2:40" s="155" customFormat="1" ht="28.5" customHeight="1">
      <c r="B32" s="201" t="s">
        <v>174</v>
      </c>
      <c r="C32" s="333" t="str">
        <f t="shared" si="2"/>
        <v>OM4-DE-IS-0009-003</v>
      </c>
      <c r="D32" s="344" t="s">
        <v>241</v>
      </c>
      <c r="E32" s="342" t="s">
        <v>155</v>
      </c>
      <c r="F32" s="269" t="s">
        <v>197</v>
      </c>
      <c r="G32" s="291" t="s">
        <v>188</v>
      </c>
      <c r="H32" s="332"/>
      <c r="I32" s="248">
        <v>20</v>
      </c>
      <c r="J32" s="335" t="s">
        <v>147</v>
      </c>
      <c r="K32" s="332"/>
      <c r="L32" s="249"/>
      <c r="M32" s="249"/>
      <c r="N32" s="249"/>
      <c r="O32" s="250"/>
      <c r="P32" s="251">
        <f t="shared" si="0"/>
        <v>19.600000000000001</v>
      </c>
      <c r="Q32" s="251"/>
      <c r="R32" s="332"/>
      <c r="S32" s="332"/>
      <c r="T32" s="334"/>
      <c r="U32" s="332"/>
      <c r="W32" s="208">
        <v>0.98</v>
      </c>
      <c r="X32" s="154"/>
      <c r="Y32" s="154"/>
      <c r="Z32" s="154"/>
      <c r="AA32" s="154"/>
      <c r="AB32" s="154"/>
      <c r="AC32" s="154"/>
      <c r="AJ32" s="154"/>
      <c r="AK32" s="154"/>
      <c r="AL32" s="154"/>
      <c r="AM32" s="154"/>
      <c r="AN32" s="154"/>
    </row>
    <row r="33" spans="2:40" s="155" customFormat="1" ht="28.5" customHeight="1">
      <c r="B33" s="201" t="s">
        <v>175</v>
      </c>
      <c r="C33" s="333" t="str">
        <f t="shared" si="2"/>
        <v>OM4-DE-IS-0009-003</v>
      </c>
      <c r="D33" s="344" t="s">
        <v>241</v>
      </c>
      <c r="E33" s="342" t="s">
        <v>156</v>
      </c>
      <c r="F33" s="269" t="s">
        <v>197</v>
      </c>
      <c r="G33" s="291" t="s">
        <v>188</v>
      </c>
      <c r="H33" s="332"/>
      <c r="I33" s="248">
        <v>40</v>
      </c>
      <c r="J33" s="335" t="s">
        <v>147</v>
      </c>
      <c r="K33" s="332"/>
      <c r="L33" s="249"/>
      <c r="M33" s="249"/>
      <c r="N33" s="249"/>
      <c r="O33" s="250"/>
      <c r="P33" s="251">
        <f t="shared" si="0"/>
        <v>50</v>
      </c>
      <c r="Q33" s="251"/>
      <c r="R33" s="332"/>
      <c r="S33" s="332"/>
      <c r="T33" s="334"/>
      <c r="U33" s="332"/>
      <c r="W33" s="208">
        <v>1.25</v>
      </c>
      <c r="X33" s="154"/>
      <c r="Y33" s="154"/>
      <c r="Z33" s="154"/>
      <c r="AA33" s="154"/>
      <c r="AB33" s="154"/>
      <c r="AC33" s="154"/>
      <c r="AJ33" s="154"/>
      <c r="AK33" s="154"/>
      <c r="AL33" s="154"/>
      <c r="AM33" s="154"/>
      <c r="AN33" s="154"/>
    </row>
    <row r="34" spans="2:40" s="155" customFormat="1" ht="28.5" customHeight="1">
      <c r="B34" s="201" t="s">
        <v>242</v>
      </c>
      <c r="C34" s="333" t="str">
        <f t="shared" si="2"/>
        <v>OM4-DE-IS-0009-003</v>
      </c>
      <c r="D34" s="344" t="s">
        <v>241</v>
      </c>
      <c r="E34" s="342" t="s">
        <v>150</v>
      </c>
      <c r="F34" s="269" t="s">
        <v>197</v>
      </c>
      <c r="G34" s="291" t="s">
        <v>188</v>
      </c>
      <c r="H34" s="332"/>
      <c r="I34" s="248">
        <v>40</v>
      </c>
      <c r="J34" s="335" t="s">
        <v>147</v>
      </c>
      <c r="K34" s="332"/>
      <c r="L34" s="249"/>
      <c r="M34" s="249"/>
      <c r="N34" s="249"/>
      <c r="O34" s="250"/>
      <c r="P34" s="251">
        <f t="shared" si="0"/>
        <v>120</v>
      </c>
      <c r="Q34" s="251"/>
      <c r="R34" s="332"/>
      <c r="S34" s="332"/>
      <c r="T34" s="334"/>
      <c r="U34" s="332"/>
      <c r="W34" s="208">
        <v>3</v>
      </c>
      <c r="X34" s="154"/>
      <c r="Y34" s="154"/>
      <c r="Z34" s="154"/>
      <c r="AA34" s="154"/>
      <c r="AB34" s="154"/>
      <c r="AC34" s="154"/>
      <c r="AJ34" s="154"/>
      <c r="AK34" s="154"/>
      <c r="AL34" s="154"/>
      <c r="AM34" s="154"/>
      <c r="AN34" s="154"/>
    </row>
    <row r="35" spans="2:40" s="155" customFormat="1" ht="28.5" customHeight="1">
      <c r="B35" s="501" t="s">
        <v>92</v>
      </c>
      <c r="C35" s="502"/>
      <c r="D35" s="502"/>
      <c r="E35" s="502"/>
      <c r="F35" s="502"/>
      <c r="G35" s="502"/>
      <c r="H35" s="503"/>
      <c r="I35" s="252">
        <f>SUM(I19:I34)</f>
        <v>1060</v>
      </c>
      <c r="J35" s="253"/>
      <c r="K35" s="254" t="s">
        <v>236</v>
      </c>
      <c r="L35" s="255">
        <v>250</v>
      </c>
      <c r="M35" s="255">
        <v>150</v>
      </c>
      <c r="N35" s="255">
        <v>100</v>
      </c>
      <c r="O35" s="256">
        <f>(L35*M35*N35)/10^6</f>
        <v>3.75</v>
      </c>
      <c r="P35" s="257">
        <f>SUM(P19:P34)</f>
        <v>1042.5999999999999</v>
      </c>
      <c r="Q35" s="257">
        <f>P35+300</f>
        <v>1342.6</v>
      </c>
      <c r="R35" s="254" t="s">
        <v>148</v>
      </c>
      <c r="S35" s="254" t="s">
        <v>149</v>
      </c>
      <c r="T35" s="258"/>
      <c r="U35" s="254" t="s">
        <v>195</v>
      </c>
      <c r="W35" s="208"/>
      <c r="X35" s="154"/>
      <c r="Y35" s="154"/>
      <c r="Z35" s="154"/>
      <c r="AA35" s="154"/>
      <c r="AB35" s="154"/>
      <c r="AC35" s="154"/>
      <c r="AJ35" s="154"/>
      <c r="AK35" s="154"/>
      <c r="AL35" s="154"/>
      <c r="AM35" s="154"/>
      <c r="AN35" s="154"/>
    </row>
    <row r="36" spans="2:40" s="155" customFormat="1" ht="28.5" customHeight="1">
      <c r="B36" s="352">
        <v>19</v>
      </c>
      <c r="C36" s="352" t="s">
        <v>392</v>
      </c>
      <c r="D36" s="345" t="s">
        <v>447</v>
      </c>
      <c r="E36" s="247" t="s">
        <v>430</v>
      </c>
      <c r="F36" s="299" t="s">
        <v>197</v>
      </c>
      <c r="G36" s="270" t="s">
        <v>188</v>
      </c>
      <c r="H36" s="350"/>
      <c r="I36" s="248">
        <v>75</v>
      </c>
      <c r="J36" s="353" t="s">
        <v>147</v>
      </c>
      <c r="K36" s="350"/>
      <c r="L36" s="249"/>
      <c r="M36" s="249"/>
      <c r="N36" s="249"/>
      <c r="O36" s="250"/>
      <c r="P36" s="251">
        <f>W36*I36</f>
        <v>1162.5</v>
      </c>
      <c r="Q36" s="251"/>
      <c r="R36" s="350"/>
      <c r="S36" s="350"/>
      <c r="T36" s="351"/>
      <c r="U36" s="350"/>
      <c r="W36" s="208">
        <v>15.5</v>
      </c>
      <c r="X36" s="154"/>
      <c r="Y36" s="154"/>
      <c r="Z36" s="154"/>
      <c r="AA36" s="154"/>
      <c r="AB36" s="154"/>
      <c r="AC36" s="154"/>
      <c r="AJ36" s="154"/>
      <c r="AK36" s="154"/>
      <c r="AL36" s="154"/>
      <c r="AM36" s="154"/>
      <c r="AN36" s="154"/>
    </row>
    <row r="37" spans="2:40" s="155" customFormat="1" ht="28.5" customHeight="1">
      <c r="B37" s="501" t="s">
        <v>92</v>
      </c>
      <c r="C37" s="502"/>
      <c r="D37" s="502"/>
      <c r="E37" s="502"/>
      <c r="F37" s="502"/>
      <c r="G37" s="502"/>
      <c r="H37" s="503"/>
      <c r="I37" s="252">
        <f>SUM(I36)</f>
        <v>75</v>
      </c>
      <c r="J37" s="253"/>
      <c r="K37" s="254" t="s">
        <v>236</v>
      </c>
      <c r="L37" s="255">
        <v>240</v>
      </c>
      <c r="M37" s="255">
        <v>150</v>
      </c>
      <c r="N37" s="255">
        <v>90</v>
      </c>
      <c r="O37" s="256">
        <f>(L37*M37*N37)/10^6</f>
        <v>3.24</v>
      </c>
      <c r="P37" s="257">
        <f>P36</f>
        <v>1162.5</v>
      </c>
      <c r="Q37" s="257">
        <f>P37+300</f>
        <v>1462.5</v>
      </c>
      <c r="R37" s="254" t="s">
        <v>148</v>
      </c>
      <c r="S37" s="254" t="s">
        <v>149</v>
      </c>
      <c r="T37" s="258"/>
      <c r="U37" s="254" t="s">
        <v>195</v>
      </c>
      <c r="W37" s="208"/>
      <c r="X37" s="154"/>
      <c r="Y37" s="154"/>
      <c r="Z37" s="154"/>
      <c r="AA37" s="154"/>
      <c r="AB37" s="154"/>
      <c r="AC37" s="154"/>
      <c r="AJ37" s="154"/>
      <c r="AK37" s="154"/>
      <c r="AL37" s="154"/>
      <c r="AM37" s="154"/>
      <c r="AN37" s="154"/>
    </row>
    <row r="38" spans="2:40" s="155" customFormat="1" ht="28.5" customHeight="1">
      <c r="B38" s="352">
        <v>20</v>
      </c>
      <c r="C38" s="352" t="s">
        <v>393</v>
      </c>
      <c r="D38" s="345" t="s">
        <v>447</v>
      </c>
      <c r="E38" s="247" t="s">
        <v>430</v>
      </c>
      <c r="F38" s="299" t="s">
        <v>197</v>
      </c>
      <c r="G38" s="270" t="s">
        <v>188</v>
      </c>
      <c r="H38" s="350"/>
      <c r="I38" s="248">
        <v>75</v>
      </c>
      <c r="J38" s="353" t="s">
        <v>147</v>
      </c>
      <c r="K38" s="350"/>
      <c r="L38" s="249"/>
      <c r="M38" s="249"/>
      <c r="N38" s="249"/>
      <c r="O38" s="250"/>
      <c r="P38" s="251">
        <f>W38*I38</f>
        <v>1162.5</v>
      </c>
      <c r="Q38" s="251"/>
      <c r="R38" s="350"/>
      <c r="S38" s="350"/>
      <c r="T38" s="351"/>
      <c r="U38" s="350"/>
      <c r="W38" s="208">
        <v>15.5</v>
      </c>
      <c r="X38" s="154"/>
      <c r="Y38" s="154"/>
      <c r="Z38" s="154"/>
      <c r="AA38" s="154"/>
      <c r="AB38" s="154"/>
      <c r="AC38" s="154"/>
      <c r="AJ38" s="154"/>
      <c r="AK38" s="154"/>
      <c r="AL38" s="154"/>
      <c r="AM38" s="154"/>
      <c r="AN38" s="154"/>
    </row>
    <row r="39" spans="2:40" s="155" customFormat="1" ht="28.5" customHeight="1">
      <c r="B39" s="501" t="s">
        <v>92</v>
      </c>
      <c r="C39" s="502"/>
      <c r="D39" s="502"/>
      <c r="E39" s="502"/>
      <c r="F39" s="502"/>
      <c r="G39" s="502"/>
      <c r="H39" s="503"/>
      <c r="I39" s="252">
        <f>SUM(I38)</f>
        <v>75</v>
      </c>
      <c r="J39" s="253"/>
      <c r="K39" s="254" t="s">
        <v>236</v>
      </c>
      <c r="L39" s="255">
        <v>240</v>
      </c>
      <c r="M39" s="255">
        <v>150</v>
      </c>
      <c r="N39" s="255">
        <v>90</v>
      </c>
      <c r="O39" s="256">
        <f>(L39*M39*N39)/10^6</f>
        <v>3.24</v>
      </c>
      <c r="P39" s="257">
        <f>P38</f>
        <v>1162.5</v>
      </c>
      <c r="Q39" s="257">
        <f>P39+300</f>
        <v>1462.5</v>
      </c>
      <c r="R39" s="254" t="s">
        <v>148</v>
      </c>
      <c r="S39" s="254" t="s">
        <v>149</v>
      </c>
      <c r="T39" s="258"/>
      <c r="U39" s="254" t="s">
        <v>195</v>
      </c>
      <c r="W39" s="208"/>
      <c r="X39" s="154"/>
      <c r="Y39" s="154"/>
      <c r="Z39" s="154"/>
      <c r="AA39" s="154"/>
      <c r="AB39" s="154"/>
      <c r="AC39" s="154"/>
      <c r="AJ39" s="154"/>
      <c r="AK39" s="154"/>
      <c r="AL39" s="154"/>
      <c r="AM39" s="154"/>
      <c r="AN39" s="154"/>
    </row>
    <row r="40" spans="2:40" s="155" customFormat="1" ht="28.5" customHeight="1">
      <c r="B40" s="352">
        <v>21</v>
      </c>
      <c r="C40" s="352" t="s">
        <v>394</v>
      </c>
      <c r="D40" s="345" t="s">
        <v>447</v>
      </c>
      <c r="E40" s="247" t="s">
        <v>431</v>
      </c>
      <c r="F40" s="299" t="s">
        <v>197</v>
      </c>
      <c r="G40" s="270" t="s">
        <v>188</v>
      </c>
      <c r="H40" s="350"/>
      <c r="I40" s="248">
        <v>50</v>
      </c>
      <c r="J40" s="353" t="s">
        <v>147</v>
      </c>
      <c r="K40" s="350"/>
      <c r="L40" s="249"/>
      <c r="M40" s="249"/>
      <c r="N40" s="249"/>
      <c r="O40" s="250"/>
      <c r="P40" s="251">
        <f>W40*I40</f>
        <v>1102.5</v>
      </c>
      <c r="Q40" s="251"/>
      <c r="R40" s="350"/>
      <c r="S40" s="350"/>
      <c r="T40" s="351"/>
      <c r="U40" s="350"/>
      <c r="W40" s="208">
        <v>22.05</v>
      </c>
      <c r="X40" s="154"/>
      <c r="Y40" s="154"/>
      <c r="Z40" s="154"/>
      <c r="AA40" s="154"/>
      <c r="AB40" s="154"/>
      <c r="AC40" s="154"/>
      <c r="AJ40" s="154"/>
      <c r="AK40" s="154"/>
      <c r="AL40" s="154"/>
      <c r="AM40" s="154"/>
      <c r="AN40" s="154"/>
    </row>
    <row r="41" spans="2:40" s="155" customFormat="1" ht="28.5" customHeight="1">
      <c r="B41" s="501" t="s">
        <v>92</v>
      </c>
      <c r="C41" s="502"/>
      <c r="D41" s="502"/>
      <c r="E41" s="502"/>
      <c r="F41" s="502"/>
      <c r="G41" s="502"/>
      <c r="H41" s="503"/>
      <c r="I41" s="252">
        <f>SUM(I40)</f>
        <v>50</v>
      </c>
      <c r="J41" s="253"/>
      <c r="K41" s="254" t="s">
        <v>236</v>
      </c>
      <c r="L41" s="255">
        <v>200</v>
      </c>
      <c r="M41" s="255">
        <v>150</v>
      </c>
      <c r="N41" s="255">
        <v>120</v>
      </c>
      <c r="O41" s="256">
        <f>(L41*M41*N41)/10^6</f>
        <v>3.6</v>
      </c>
      <c r="P41" s="257">
        <f>P40</f>
        <v>1102.5</v>
      </c>
      <c r="Q41" s="257">
        <f>P41+300</f>
        <v>1402.5</v>
      </c>
      <c r="R41" s="254" t="s">
        <v>148</v>
      </c>
      <c r="S41" s="254" t="s">
        <v>149</v>
      </c>
      <c r="T41" s="258"/>
      <c r="U41" s="254" t="s">
        <v>195</v>
      </c>
      <c r="W41" s="208"/>
      <c r="X41" s="154"/>
      <c r="Y41" s="154"/>
      <c r="Z41" s="154"/>
      <c r="AA41" s="154"/>
      <c r="AB41" s="154"/>
      <c r="AC41" s="154"/>
      <c r="AJ41" s="154"/>
      <c r="AK41" s="154"/>
      <c r="AL41" s="154"/>
      <c r="AM41" s="154"/>
      <c r="AN41" s="154"/>
    </row>
    <row r="42" spans="2:40" s="155" customFormat="1" ht="28.5" customHeight="1">
      <c r="B42" s="352">
        <v>22</v>
      </c>
      <c r="C42" s="352" t="s">
        <v>395</v>
      </c>
      <c r="D42" s="345" t="s">
        <v>447</v>
      </c>
      <c r="E42" s="247" t="s">
        <v>431</v>
      </c>
      <c r="F42" s="299" t="s">
        <v>197</v>
      </c>
      <c r="G42" s="270" t="s">
        <v>188</v>
      </c>
      <c r="H42" s="350"/>
      <c r="I42" s="248">
        <v>50</v>
      </c>
      <c r="J42" s="353" t="s">
        <v>147</v>
      </c>
      <c r="K42" s="350"/>
      <c r="L42" s="249"/>
      <c r="M42" s="249"/>
      <c r="N42" s="249"/>
      <c r="O42" s="250"/>
      <c r="P42" s="251">
        <f>W42*I42</f>
        <v>1102.5</v>
      </c>
      <c r="Q42" s="251"/>
      <c r="R42" s="350"/>
      <c r="S42" s="350"/>
      <c r="T42" s="351"/>
      <c r="U42" s="350"/>
      <c r="W42" s="208">
        <v>22.05</v>
      </c>
      <c r="X42" s="154"/>
      <c r="Y42" s="154"/>
      <c r="Z42" s="154"/>
      <c r="AA42" s="154"/>
      <c r="AB42" s="154"/>
      <c r="AC42" s="154"/>
      <c r="AJ42" s="154"/>
      <c r="AK42" s="154"/>
      <c r="AL42" s="154"/>
      <c r="AM42" s="154"/>
      <c r="AN42" s="154"/>
    </row>
    <row r="43" spans="2:40" s="155" customFormat="1" ht="28.5" customHeight="1">
      <c r="B43" s="501" t="s">
        <v>92</v>
      </c>
      <c r="C43" s="502"/>
      <c r="D43" s="502"/>
      <c r="E43" s="502"/>
      <c r="F43" s="502"/>
      <c r="G43" s="502"/>
      <c r="H43" s="503"/>
      <c r="I43" s="252">
        <f>SUM(I42)</f>
        <v>50</v>
      </c>
      <c r="J43" s="253"/>
      <c r="K43" s="254" t="s">
        <v>236</v>
      </c>
      <c r="L43" s="255">
        <v>200</v>
      </c>
      <c r="M43" s="255">
        <v>150</v>
      </c>
      <c r="N43" s="255">
        <v>120</v>
      </c>
      <c r="O43" s="256">
        <f>(L43*M43*N43)/10^6</f>
        <v>3.6</v>
      </c>
      <c r="P43" s="257">
        <f>P42</f>
        <v>1102.5</v>
      </c>
      <c r="Q43" s="257">
        <f>P43+300</f>
        <v>1402.5</v>
      </c>
      <c r="R43" s="254" t="s">
        <v>148</v>
      </c>
      <c r="S43" s="254" t="s">
        <v>149</v>
      </c>
      <c r="T43" s="258"/>
      <c r="U43" s="254" t="s">
        <v>195</v>
      </c>
      <c r="W43" s="208"/>
      <c r="X43" s="154"/>
      <c r="Y43" s="154"/>
      <c r="Z43" s="154"/>
      <c r="AA43" s="154"/>
      <c r="AB43" s="154"/>
      <c r="AC43" s="154"/>
      <c r="AJ43" s="154"/>
      <c r="AK43" s="154"/>
      <c r="AL43" s="154"/>
      <c r="AM43" s="154"/>
      <c r="AN43" s="154"/>
    </row>
    <row r="44" spans="2:40" s="155" customFormat="1" ht="28.5" customHeight="1">
      <c r="B44" s="333">
        <v>23</v>
      </c>
      <c r="C44" s="333" t="s">
        <v>396</v>
      </c>
      <c r="D44" s="345" t="s">
        <v>447</v>
      </c>
      <c r="E44" s="247" t="s">
        <v>244</v>
      </c>
      <c r="F44" s="299" t="s">
        <v>197</v>
      </c>
      <c r="G44" s="270" t="s">
        <v>188</v>
      </c>
      <c r="H44" s="332"/>
      <c r="I44" s="248">
        <v>50</v>
      </c>
      <c r="J44" s="335" t="s">
        <v>147</v>
      </c>
      <c r="K44" s="332"/>
      <c r="L44" s="249"/>
      <c r="M44" s="249"/>
      <c r="N44" s="249"/>
      <c r="O44" s="250"/>
      <c r="P44" s="251">
        <f>W44*I44</f>
        <v>1500</v>
      </c>
      <c r="Q44" s="251"/>
      <c r="R44" s="332"/>
      <c r="S44" s="332"/>
      <c r="T44" s="334"/>
      <c r="U44" s="332"/>
      <c r="W44" s="208">
        <v>30</v>
      </c>
      <c r="X44" s="154"/>
      <c r="Y44" s="154"/>
      <c r="Z44" s="154"/>
      <c r="AA44" s="154"/>
      <c r="AB44" s="154"/>
      <c r="AC44" s="154"/>
      <c r="AJ44" s="154"/>
      <c r="AK44" s="154"/>
      <c r="AL44" s="154"/>
      <c r="AM44" s="154"/>
      <c r="AN44" s="154"/>
    </row>
    <row r="45" spans="2:40" s="155" customFormat="1" ht="28.5" customHeight="1">
      <c r="B45" s="501" t="s">
        <v>92</v>
      </c>
      <c r="C45" s="502"/>
      <c r="D45" s="502"/>
      <c r="E45" s="502"/>
      <c r="F45" s="502"/>
      <c r="G45" s="502"/>
      <c r="H45" s="503"/>
      <c r="I45" s="252">
        <f>SUM(I44)</f>
        <v>50</v>
      </c>
      <c r="J45" s="253"/>
      <c r="K45" s="254" t="s">
        <v>236</v>
      </c>
      <c r="L45" s="255">
        <v>250</v>
      </c>
      <c r="M45" s="255">
        <v>150</v>
      </c>
      <c r="N45" s="255">
        <v>115</v>
      </c>
      <c r="O45" s="256">
        <f>(L45*M45*N45)/10^6</f>
        <v>4.3125</v>
      </c>
      <c r="P45" s="257">
        <f>P44</f>
        <v>1500</v>
      </c>
      <c r="Q45" s="257">
        <f>P45+300</f>
        <v>1800</v>
      </c>
      <c r="R45" s="254" t="s">
        <v>148</v>
      </c>
      <c r="S45" s="254" t="s">
        <v>149</v>
      </c>
      <c r="T45" s="258"/>
      <c r="U45" s="254" t="s">
        <v>195</v>
      </c>
      <c r="W45" s="208"/>
      <c r="X45" s="154"/>
      <c r="Y45" s="154"/>
      <c r="Z45" s="154"/>
      <c r="AA45" s="154"/>
      <c r="AB45" s="154"/>
      <c r="AC45" s="154"/>
      <c r="AJ45" s="154"/>
      <c r="AK45" s="154"/>
      <c r="AL45" s="154"/>
      <c r="AM45" s="154"/>
      <c r="AN45" s="154"/>
    </row>
    <row r="46" spans="2:40" s="155" customFormat="1" ht="28.5" customHeight="1">
      <c r="B46" s="333">
        <v>24</v>
      </c>
      <c r="C46" s="333" t="s">
        <v>397</v>
      </c>
      <c r="D46" s="345" t="s">
        <v>447</v>
      </c>
      <c r="E46" s="247" t="s">
        <v>244</v>
      </c>
      <c r="F46" s="299" t="s">
        <v>197</v>
      </c>
      <c r="G46" s="270" t="s">
        <v>188</v>
      </c>
      <c r="H46" s="332"/>
      <c r="I46" s="248">
        <v>50</v>
      </c>
      <c r="J46" s="335" t="s">
        <v>147</v>
      </c>
      <c r="K46" s="332"/>
      <c r="L46" s="249"/>
      <c r="M46" s="249"/>
      <c r="N46" s="249"/>
      <c r="O46" s="250"/>
      <c r="P46" s="251">
        <f>W46*I46</f>
        <v>1500</v>
      </c>
      <c r="Q46" s="251"/>
      <c r="R46" s="332"/>
      <c r="S46" s="332"/>
      <c r="T46" s="334"/>
      <c r="U46" s="332"/>
      <c r="W46" s="208">
        <v>30</v>
      </c>
      <c r="X46" s="154"/>
      <c r="Y46" s="154"/>
      <c r="Z46" s="154"/>
      <c r="AA46" s="154"/>
      <c r="AB46" s="154"/>
      <c r="AC46" s="154"/>
      <c r="AJ46" s="154"/>
      <c r="AK46" s="154"/>
      <c r="AL46" s="154"/>
      <c r="AM46" s="154"/>
      <c r="AN46" s="154"/>
    </row>
    <row r="47" spans="2:40" s="155" customFormat="1" ht="28.5" customHeight="1">
      <c r="B47" s="501" t="s">
        <v>92</v>
      </c>
      <c r="C47" s="502"/>
      <c r="D47" s="502"/>
      <c r="E47" s="502"/>
      <c r="F47" s="502"/>
      <c r="G47" s="502"/>
      <c r="H47" s="503"/>
      <c r="I47" s="252">
        <f>SUM(I46)</f>
        <v>50</v>
      </c>
      <c r="J47" s="253"/>
      <c r="K47" s="254" t="s">
        <v>236</v>
      </c>
      <c r="L47" s="255">
        <v>250</v>
      </c>
      <c r="M47" s="255">
        <v>150</v>
      </c>
      <c r="N47" s="255">
        <v>115</v>
      </c>
      <c r="O47" s="256">
        <f>(L47*M47*N47)/10^6</f>
        <v>4.3125</v>
      </c>
      <c r="P47" s="257">
        <f>P46</f>
        <v>1500</v>
      </c>
      <c r="Q47" s="257">
        <f>P47+300</f>
        <v>1800</v>
      </c>
      <c r="R47" s="254" t="s">
        <v>148</v>
      </c>
      <c r="S47" s="254" t="s">
        <v>149</v>
      </c>
      <c r="T47" s="258"/>
      <c r="U47" s="254" t="s">
        <v>195</v>
      </c>
      <c r="W47" s="208"/>
      <c r="X47" s="154"/>
      <c r="Y47" s="154"/>
      <c r="Z47" s="154"/>
      <c r="AA47" s="154"/>
      <c r="AB47" s="154"/>
      <c r="AC47" s="154"/>
      <c r="AJ47" s="154"/>
      <c r="AK47" s="154"/>
      <c r="AL47" s="154"/>
      <c r="AM47" s="154"/>
      <c r="AN47" s="154"/>
    </row>
    <row r="48" spans="2:40" s="155" customFormat="1" ht="28.5" customHeight="1">
      <c r="B48" s="201" t="s">
        <v>434</v>
      </c>
      <c r="C48" s="335" t="s">
        <v>398</v>
      </c>
      <c r="D48" s="345" t="s">
        <v>245</v>
      </c>
      <c r="E48" s="247" t="s">
        <v>151</v>
      </c>
      <c r="F48" s="269" t="s">
        <v>197</v>
      </c>
      <c r="G48" s="291" t="s">
        <v>188</v>
      </c>
      <c r="H48" s="249"/>
      <c r="I48" s="248">
        <v>30</v>
      </c>
      <c r="J48" s="335" t="s">
        <v>147</v>
      </c>
      <c r="K48" s="332"/>
      <c r="L48" s="249"/>
      <c r="M48" s="249"/>
      <c r="N48" s="249"/>
      <c r="O48" s="250"/>
      <c r="P48" s="251">
        <f>W48*I48</f>
        <v>45</v>
      </c>
      <c r="Q48" s="251"/>
      <c r="R48" s="332"/>
      <c r="S48" s="332"/>
      <c r="T48" s="334"/>
      <c r="U48" s="332"/>
      <c r="W48" s="208">
        <v>1.5</v>
      </c>
      <c r="X48" s="154"/>
      <c r="Y48" s="154"/>
      <c r="Z48" s="154"/>
      <c r="AA48" s="154"/>
      <c r="AB48" s="154"/>
      <c r="AC48" s="154"/>
      <c r="AJ48" s="154"/>
      <c r="AK48" s="154"/>
      <c r="AL48" s="154"/>
      <c r="AM48" s="154"/>
      <c r="AN48" s="154"/>
    </row>
    <row r="49" spans="2:40" s="155" customFormat="1" ht="28.5" customHeight="1">
      <c r="B49" s="201" t="s">
        <v>249</v>
      </c>
      <c r="C49" s="333" t="str">
        <f>C48</f>
        <v>OM4-DE-IS-0009-010</v>
      </c>
      <c r="D49" s="345" t="s">
        <v>245</v>
      </c>
      <c r="E49" s="342" t="s">
        <v>152</v>
      </c>
      <c r="F49" s="269" t="s">
        <v>197</v>
      </c>
      <c r="G49" s="291" t="s">
        <v>188</v>
      </c>
      <c r="H49" s="249"/>
      <c r="I49" s="248">
        <v>30</v>
      </c>
      <c r="J49" s="335" t="s">
        <v>147</v>
      </c>
      <c r="K49" s="332"/>
      <c r="L49" s="249"/>
      <c r="M49" s="249"/>
      <c r="N49" s="249"/>
      <c r="O49" s="250"/>
      <c r="P49" s="251">
        <f t="shared" ref="P49:P89" si="3">W49*I49</f>
        <v>54</v>
      </c>
      <c r="Q49" s="251"/>
      <c r="R49" s="332"/>
      <c r="S49" s="332"/>
      <c r="T49" s="334"/>
      <c r="U49" s="332"/>
      <c r="W49" s="208">
        <v>1.8</v>
      </c>
      <c r="X49" s="154"/>
      <c r="Y49" s="154"/>
      <c r="Z49" s="154"/>
      <c r="AA49" s="154"/>
      <c r="AB49" s="154"/>
      <c r="AC49" s="154"/>
      <c r="AJ49" s="154"/>
      <c r="AK49" s="154"/>
      <c r="AL49" s="154"/>
      <c r="AM49" s="154"/>
      <c r="AN49" s="154"/>
    </row>
    <row r="50" spans="2:40" s="155" customFormat="1" ht="28.5" customHeight="1">
      <c r="B50" s="201" t="s">
        <v>250</v>
      </c>
      <c r="C50" s="333" t="str">
        <f t="shared" ref="C50:C89" si="4">C49</f>
        <v>OM4-DE-IS-0009-010</v>
      </c>
      <c r="D50" s="345" t="s">
        <v>245</v>
      </c>
      <c r="E50" s="342" t="s">
        <v>153</v>
      </c>
      <c r="F50" s="269" t="s">
        <v>197</v>
      </c>
      <c r="G50" s="291" t="s">
        <v>188</v>
      </c>
      <c r="H50" s="249"/>
      <c r="I50" s="248">
        <v>10</v>
      </c>
      <c r="J50" s="335" t="s">
        <v>147</v>
      </c>
      <c r="K50" s="332"/>
      <c r="L50" s="249"/>
      <c r="M50" s="249"/>
      <c r="N50" s="249"/>
      <c r="O50" s="250"/>
      <c r="P50" s="251">
        <f t="shared" si="3"/>
        <v>25</v>
      </c>
      <c r="Q50" s="251"/>
      <c r="R50" s="332"/>
      <c r="S50" s="332"/>
      <c r="T50" s="334"/>
      <c r="U50" s="332"/>
      <c r="W50" s="208">
        <v>2.5</v>
      </c>
      <c r="X50" s="154"/>
      <c r="Y50" s="154"/>
      <c r="Z50" s="154"/>
      <c r="AA50" s="154"/>
      <c r="AB50" s="154"/>
      <c r="AC50" s="154"/>
      <c r="AJ50" s="154"/>
      <c r="AK50" s="154"/>
      <c r="AL50" s="154"/>
      <c r="AM50" s="154"/>
      <c r="AN50" s="154"/>
    </row>
    <row r="51" spans="2:40" s="155" customFormat="1" ht="28.5" customHeight="1">
      <c r="B51" s="201" t="s">
        <v>251</v>
      </c>
      <c r="C51" s="333" t="str">
        <f t="shared" si="4"/>
        <v>OM4-DE-IS-0009-010</v>
      </c>
      <c r="D51" s="345" t="s">
        <v>245</v>
      </c>
      <c r="E51" s="342" t="s">
        <v>154</v>
      </c>
      <c r="F51" s="269" t="s">
        <v>197</v>
      </c>
      <c r="G51" s="291" t="s">
        <v>188</v>
      </c>
      <c r="H51" s="249"/>
      <c r="I51" s="248">
        <v>15</v>
      </c>
      <c r="J51" s="335" t="s">
        <v>147</v>
      </c>
      <c r="K51" s="332"/>
      <c r="L51" s="249"/>
      <c r="M51" s="249"/>
      <c r="N51" s="249"/>
      <c r="O51" s="250"/>
      <c r="P51" s="251">
        <f t="shared" si="3"/>
        <v>52.5</v>
      </c>
      <c r="Q51" s="251"/>
      <c r="R51" s="332"/>
      <c r="S51" s="332"/>
      <c r="T51" s="334"/>
      <c r="U51" s="332"/>
      <c r="W51" s="208">
        <v>3.5</v>
      </c>
      <c r="X51" s="154"/>
      <c r="Y51" s="154"/>
      <c r="Z51" s="154"/>
      <c r="AA51" s="154"/>
      <c r="AB51" s="154"/>
      <c r="AC51" s="154"/>
      <c r="AJ51" s="154"/>
      <c r="AK51" s="154"/>
      <c r="AL51" s="154"/>
      <c r="AM51" s="154"/>
      <c r="AN51" s="154"/>
    </row>
    <row r="52" spans="2:40" s="155" customFormat="1" ht="28.5" customHeight="1">
      <c r="B52" s="201" t="s">
        <v>253</v>
      </c>
      <c r="C52" s="333" t="str">
        <f>C51</f>
        <v>OM4-DE-IS-0009-010</v>
      </c>
      <c r="D52" s="345" t="s">
        <v>245</v>
      </c>
      <c r="E52" s="342" t="s">
        <v>155</v>
      </c>
      <c r="F52" s="269" t="s">
        <v>197</v>
      </c>
      <c r="G52" s="291" t="s">
        <v>188</v>
      </c>
      <c r="H52" s="249"/>
      <c r="I52" s="248">
        <v>15</v>
      </c>
      <c r="J52" s="335" t="s">
        <v>147</v>
      </c>
      <c r="K52" s="332"/>
      <c r="L52" s="249"/>
      <c r="M52" s="249"/>
      <c r="N52" s="249"/>
      <c r="O52" s="250"/>
      <c r="P52" s="251">
        <f t="shared" si="3"/>
        <v>99</v>
      </c>
      <c r="Q52" s="251"/>
      <c r="R52" s="332"/>
      <c r="S52" s="332"/>
      <c r="T52" s="334"/>
      <c r="U52" s="332"/>
      <c r="W52" s="208">
        <v>6.6</v>
      </c>
      <c r="X52" s="154"/>
      <c r="Y52" s="154"/>
      <c r="Z52" s="154"/>
      <c r="AA52" s="154"/>
      <c r="AB52" s="154"/>
      <c r="AC52" s="154"/>
      <c r="AJ52" s="154"/>
      <c r="AK52" s="154"/>
      <c r="AL52" s="154"/>
      <c r="AM52" s="154"/>
      <c r="AN52" s="154"/>
    </row>
    <row r="53" spans="2:40" s="155" customFormat="1" ht="28.5" customHeight="1">
      <c r="B53" s="201" t="s">
        <v>254</v>
      </c>
      <c r="C53" s="333" t="str">
        <f t="shared" si="4"/>
        <v>OM4-DE-IS-0009-010</v>
      </c>
      <c r="D53" s="345" t="s">
        <v>245</v>
      </c>
      <c r="E53" s="342" t="s">
        <v>156</v>
      </c>
      <c r="F53" s="269" t="s">
        <v>197</v>
      </c>
      <c r="G53" s="291" t="s">
        <v>188</v>
      </c>
      <c r="H53" s="249"/>
      <c r="I53" s="248">
        <v>10</v>
      </c>
      <c r="J53" s="335" t="s">
        <v>147</v>
      </c>
      <c r="K53" s="332"/>
      <c r="L53" s="249"/>
      <c r="M53" s="249"/>
      <c r="N53" s="249"/>
      <c r="O53" s="250"/>
      <c r="P53" s="251">
        <f t="shared" si="3"/>
        <v>98</v>
      </c>
      <c r="Q53" s="251"/>
      <c r="R53" s="332"/>
      <c r="S53" s="332"/>
      <c r="T53" s="334"/>
      <c r="U53" s="332"/>
      <c r="W53" s="208">
        <v>9.8000000000000007</v>
      </c>
      <c r="X53" s="154"/>
      <c r="Y53" s="154"/>
      <c r="Z53" s="154"/>
      <c r="AA53" s="154"/>
      <c r="AB53" s="154"/>
      <c r="AC53" s="154"/>
      <c r="AJ53" s="154"/>
      <c r="AK53" s="154"/>
      <c r="AL53" s="154"/>
      <c r="AM53" s="154"/>
      <c r="AN53" s="154"/>
    </row>
    <row r="54" spans="2:40" s="155" customFormat="1" ht="28.5" customHeight="1">
      <c r="B54" s="201" t="s">
        <v>255</v>
      </c>
      <c r="C54" s="333" t="str">
        <f t="shared" si="4"/>
        <v>OM4-DE-IS-0009-010</v>
      </c>
      <c r="D54" s="344" t="s">
        <v>252</v>
      </c>
      <c r="E54" s="342" t="s">
        <v>151</v>
      </c>
      <c r="F54" s="269" t="s">
        <v>197</v>
      </c>
      <c r="G54" s="291" t="s">
        <v>188</v>
      </c>
      <c r="H54" s="249"/>
      <c r="I54" s="248">
        <v>420</v>
      </c>
      <c r="J54" s="335" t="s">
        <v>147</v>
      </c>
      <c r="K54" s="332"/>
      <c r="L54" s="249"/>
      <c r="M54" s="249"/>
      <c r="N54" s="249"/>
      <c r="O54" s="250"/>
      <c r="P54" s="251">
        <f t="shared" si="3"/>
        <v>42</v>
      </c>
      <c r="Q54" s="251"/>
      <c r="R54" s="332"/>
      <c r="S54" s="332"/>
      <c r="T54" s="334"/>
      <c r="U54" s="332"/>
      <c r="W54" s="208">
        <v>0.1</v>
      </c>
      <c r="X54" s="154"/>
      <c r="Y54" s="154"/>
      <c r="Z54" s="154"/>
      <c r="AA54" s="154"/>
      <c r="AB54" s="154"/>
      <c r="AC54" s="154"/>
      <c r="AJ54" s="154"/>
      <c r="AK54" s="154"/>
      <c r="AL54" s="154"/>
      <c r="AM54" s="154"/>
      <c r="AN54" s="154"/>
    </row>
    <row r="55" spans="2:40" s="155" customFormat="1" ht="28.5" customHeight="1">
      <c r="B55" s="201" t="s">
        <v>256</v>
      </c>
      <c r="C55" s="333" t="str">
        <f t="shared" si="4"/>
        <v>OM4-DE-IS-0009-010</v>
      </c>
      <c r="D55" s="344" t="s">
        <v>252</v>
      </c>
      <c r="E55" s="342" t="s">
        <v>152</v>
      </c>
      <c r="F55" s="269" t="s">
        <v>197</v>
      </c>
      <c r="G55" s="291" t="s">
        <v>188</v>
      </c>
      <c r="H55" s="249"/>
      <c r="I55" s="248">
        <v>150</v>
      </c>
      <c r="J55" s="335" t="s">
        <v>147</v>
      </c>
      <c r="K55" s="332"/>
      <c r="L55" s="249"/>
      <c r="M55" s="249"/>
      <c r="N55" s="249"/>
      <c r="O55" s="250"/>
      <c r="P55" s="251">
        <f t="shared" si="3"/>
        <v>22.5</v>
      </c>
      <c r="Q55" s="251"/>
      <c r="R55" s="332"/>
      <c r="S55" s="332"/>
      <c r="T55" s="334"/>
      <c r="U55" s="332"/>
      <c r="W55" s="208">
        <v>0.15</v>
      </c>
      <c r="X55" s="154"/>
      <c r="Y55" s="154"/>
      <c r="Z55" s="154"/>
      <c r="AA55" s="154"/>
      <c r="AB55" s="154"/>
      <c r="AC55" s="154"/>
      <c r="AJ55" s="154"/>
      <c r="AK55" s="154"/>
      <c r="AL55" s="154"/>
      <c r="AM55" s="154"/>
      <c r="AN55" s="154"/>
    </row>
    <row r="56" spans="2:40" s="155" customFormat="1" ht="28.5" customHeight="1">
      <c r="B56" s="201" t="s">
        <v>257</v>
      </c>
      <c r="C56" s="333" t="str">
        <f t="shared" si="4"/>
        <v>OM4-DE-IS-0009-010</v>
      </c>
      <c r="D56" s="344" t="s">
        <v>252</v>
      </c>
      <c r="E56" s="342" t="s">
        <v>153</v>
      </c>
      <c r="F56" s="269" t="s">
        <v>197</v>
      </c>
      <c r="G56" s="291" t="s">
        <v>188</v>
      </c>
      <c r="H56" s="249"/>
      <c r="I56" s="248">
        <v>50</v>
      </c>
      <c r="J56" s="335" t="s">
        <v>147</v>
      </c>
      <c r="K56" s="332"/>
      <c r="L56" s="249"/>
      <c r="M56" s="249"/>
      <c r="N56" s="249"/>
      <c r="O56" s="250"/>
      <c r="P56" s="251">
        <f t="shared" si="3"/>
        <v>9</v>
      </c>
      <c r="Q56" s="251"/>
      <c r="R56" s="332"/>
      <c r="S56" s="332"/>
      <c r="T56" s="334"/>
      <c r="U56" s="332"/>
      <c r="W56" s="208">
        <v>0.18</v>
      </c>
      <c r="X56" s="154"/>
      <c r="Y56" s="154"/>
      <c r="Z56" s="154"/>
      <c r="AA56" s="154"/>
      <c r="AB56" s="154"/>
      <c r="AC56" s="154"/>
      <c r="AJ56" s="154"/>
      <c r="AK56" s="154"/>
      <c r="AL56" s="154"/>
      <c r="AM56" s="154"/>
      <c r="AN56" s="154"/>
    </row>
    <row r="57" spans="2:40" s="155" customFormat="1" ht="28.5" customHeight="1">
      <c r="B57" s="201" t="s">
        <v>258</v>
      </c>
      <c r="C57" s="333" t="str">
        <f t="shared" si="4"/>
        <v>OM4-DE-IS-0009-010</v>
      </c>
      <c r="D57" s="344" t="s">
        <v>252</v>
      </c>
      <c r="E57" s="342" t="s">
        <v>154</v>
      </c>
      <c r="F57" s="269" t="s">
        <v>197</v>
      </c>
      <c r="G57" s="291" t="s">
        <v>188</v>
      </c>
      <c r="H57" s="249"/>
      <c r="I57" s="248">
        <v>30</v>
      </c>
      <c r="J57" s="335" t="s">
        <v>147</v>
      </c>
      <c r="K57" s="332"/>
      <c r="L57" s="249"/>
      <c r="M57" s="249"/>
      <c r="N57" s="249"/>
      <c r="O57" s="250"/>
      <c r="P57" s="251">
        <f t="shared" si="3"/>
        <v>8.1000000000000014</v>
      </c>
      <c r="Q57" s="251"/>
      <c r="R57" s="332"/>
      <c r="S57" s="332"/>
      <c r="T57" s="334"/>
      <c r="U57" s="332"/>
      <c r="W57" s="208">
        <v>0.27</v>
      </c>
      <c r="X57" s="154"/>
      <c r="Y57" s="154"/>
      <c r="Z57" s="154"/>
      <c r="AA57" s="154"/>
      <c r="AB57" s="154"/>
      <c r="AC57" s="154"/>
      <c r="AJ57" s="154"/>
      <c r="AK57" s="154"/>
      <c r="AL57" s="154"/>
      <c r="AM57" s="154"/>
      <c r="AN57" s="154"/>
    </row>
    <row r="58" spans="2:40" s="155" customFormat="1" ht="28.5" customHeight="1">
      <c r="B58" s="201" t="s">
        <v>260</v>
      </c>
      <c r="C58" s="333" t="str">
        <f t="shared" si="4"/>
        <v>OM4-DE-IS-0009-010</v>
      </c>
      <c r="D58" s="344" t="s">
        <v>252</v>
      </c>
      <c r="E58" s="342" t="s">
        <v>155</v>
      </c>
      <c r="F58" s="269" t="s">
        <v>197</v>
      </c>
      <c r="G58" s="291" t="s">
        <v>188</v>
      </c>
      <c r="H58" s="249"/>
      <c r="I58" s="248">
        <v>80</v>
      </c>
      <c r="J58" s="335" t="s">
        <v>147</v>
      </c>
      <c r="K58" s="332"/>
      <c r="L58" s="249"/>
      <c r="M58" s="249"/>
      <c r="N58" s="249"/>
      <c r="O58" s="250"/>
      <c r="P58" s="251">
        <f t="shared" si="3"/>
        <v>64</v>
      </c>
      <c r="Q58" s="251"/>
      <c r="R58" s="332"/>
      <c r="S58" s="332"/>
      <c r="T58" s="334"/>
      <c r="U58" s="332"/>
      <c r="W58" s="208">
        <v>0.8</v>
      </c>
      <c r="X58" s="154"/>
      <c r="Y58" s="154"/>
      <c r="Z58" s="154"/>
      <c r="AA58" s="154"/>
      <c r="AB58" s="154"/>
      <c r="AC58" s="154"/>
      <c r="AJ58" s="154"/>
      <c r="AK58" s="154"/>
      <c r="AL58" s="154"/>
      <c r="AM58" s="154"/>
      <c r="AN58" s="154"/>
    </row>
    <row r="59" spans="2:40" s="155" customFormat="1" ht="28.5" customHeight="1">
      <c r="B59" s="201" t="s">
        <v>261</v>
      </c>
      <c r="C59" s="333" t="str">
        <f t="shared" si="4"/>
        <v>OM4-DE-IS-0009-010</v>
      </c>
      <c r="D59" s="344" t="s">
        <v>252</v>
      </c>
      <c r="E59" s="342" t="s">
        <v>156</v>
      </c>
      <c r="F59" s="269" t="s">
        <v>197</v>
      </c>
      <c r="G59" s="291" t="s">
        <v>188</v>
      </c>
      <c r="H59" s="249"/>
      <c r="I59" s="248">
        <v>50</v>
      </c>
      <c r="J59" s="335" t="s">
        <v>147</v>
      </c>
      <c r="K59" s="332"/>
      <c r="L59" s="249"/>
      <c r="M59" s="249"/>
      <c r="N59" s="249"/>
      <c r="O59" s="250"/>
      <c r="P59" s="251">
        <f t="shared" si="3"/>
        <v>70</v>
      </c>
      <c r="Q59" s="251"/>
      <c r="R59" s="332"/>
      <c r="S59" s="332"/>
      <c r="T59" s="334"/>
      <c r="U59" s="332"/>
      <c r="W59" s="208">
        <v>1.4</v>
      </c>
      <c r="X59" s="154"/>
      <c r="Y59" s="154"/>
      <c r="Z59" s="154"/>
      <c r="AA59" s="154"/>
      <c r="AB59" s="154"/>
      <c r="AC59" s="154"/>
      <c r="AJ59" s="154"/>
      <c r="AK59" s="154"/>
      <c r="AL59" s="154"/>
      <c r="AM59" s="154"/>
      <c r="AN59" s="154"/>
    </row>
    <row r="60" spans="2:40" s="155" customFormat="1" ht="28.5" customHeight="1">
      <c r="B60" s="201" t="s">
        <v>262</v>
      </c>
      <c r="C60" s="333" t="str">
        <f t="shared" si="4"/>
        <v>OM4-DE-IS-0009-010</v>
      </c>
      <c r="D60" s="344" t="s">
        <v>259</v>
      </c>
      <c r="E60" s="342" t="s">
        <v>151</v>
      </c>
      <c r="F60" s="269" t="s">
        <v>197</v>
      </c>
      <c r="G60" s="291" t="s">
        <v>188</v>
      </c>
      <c r="H60" s="249"/>
      <c r="I60" s="248">
        <v>420</v>
      </c>
      <c r="J60" s="335" t="s">
        <v>147</v>
      </c>
      <c r="K60" s="332"/>
      <c r="L60" s="249"/>
      <c r="M60" s="249"/>
      <c r="N60" s="249"/>
      <c r="O60" s="250"/>
      <c r="P60" s="251">
        <f t="shared" si="3"/>
        <v>42</v>
      </c>
      <c r="Q60" s="251"/>
      <c r="R60" s="332"/>
      <c r="S60" s="332"/>
      <c r="T60" s="334"/>
      <c r="U60" s="332"/>
      <c r="W60" s="208">
        <v>0.1</v>
      </c>
      <c r="X60" s="154"/>
      <c r="Y60" s="154"/>
      <c r="Z60" s="154"/>
      <c r="AA60" s="154"/>
      <c r="AB60" s="154"/>
      <c r="AC60" s="154"/>
      <c r="AJ60" s="154"/>
      <c r="AK60" s="154"/>
      <c r="AL60" s="154"/>
      <c r="AM60" s="154"/>
      <c r="AN60" s="154"/>
    </row>
    <row r="61" spans="2:40" s="155" customFormat="1" ht="28.5" customHeight="1">
      <c r="B61" s="201" t="s">
        <v>263</v>
      </c>
      <c r="C61" s="333" t="str">
        <f t="shared" si="4"/>
        <v>OM4-DE-IS-0009-010</v>
      </c>
      <c r="D61" s="344" t="s">
        <v>259</v>
      </c>
      <c r="E61" s="342" t="s">
        <v>152</v>
      </c>
      <c r="F61" s="269" t="s">
        <v>197</v>
      </c>
      <c r="G61" s="291" t="s">
        <v>188</v>
      </c>
      <c r="H61" s="249"/>
      <c r="I61" s="248">
        <v>150</v>
      </c>
      <c r="J61" s="335" t="s">
        <v>147</v>
      </c>
      <c r="K61" s="332"/>
      <c r="L61" s="249"/>
      <c r="M61" s="249"/>
      <c r="N61" s="249"/>
      <c r="O61" s="250"/>
      <c r="P61" s="251">
        <f t="shared" si="3"/>
        <v>22.5</v>
      </c>
      <c r="Q61" s="251"/>
      <c r="R61" s="332"/>
      <c r="S61" s="332"/>
      <c r="T61" s="334"/>
      <c r="U61" s="332"/>
      <c r="W61" s="208">
        <v>0.15</v>
      </c>
      <c r="X61" s="154"/>
      <c r="Y61" s="154"/>
      <c r="Z61" s="154"/>
      <c r="AA61" s="154"/>
      <c r="AB61" s="154"/>
      <c r="AC61" s="154"/>
      <c r="AJ61" s="154"/>
      <c r="AK61" s="154"/>
      <c r="AL61" s="154"/>
      <c r="AM61" s="154"/>
      <c r="AN61" s="154"/>
    </row>
    <row r="62" spans="2:40" s="155" customFormat="1" ht="28.5" customHeight="1">
      <c r="B62" s="201" t="s">
        <v>264</v>
      </c>
      <c r="C62" s="333" t="str">
        <f t="shared" si="4"/>
        <v>OM4-DE-IS-0009-010</v>
      </c>
      <c r="D62" s="344" t="s">
        <v>259</v>
      </c>
      <c r="E62" s="342" t="s">
        <v>153</v>
      </c>
      <c r="F62" s="269" t="s">
        <v>197</v>
      </c>
      <c r="G62" s="291" t="s">
        <v>188</v>
      </c>
      <c r="H62" s="249"/>
      <c r="I62" s="248">
        <v>50</v>
      </c>
      <c r="J62" s="335" t="s">
        <v>147</v>
      </c>
      <c r="K62" s="332"/>
      <c r="L62" s="249"/>
      <c r="M62" s="249"/>
      <c r="N62" s="249"/>
      <c r="O62" s="250"/>
      <c r="P62" s="251">
        <f t="shared" si="3"/>
        <v>9</v>
      </c>
      <c r="Q62" s="251"/>
      <c r="R62" s="332"/>
      <c r="S62" s="332"/>
      <c r="T62" s="334"/>
      <c r="U62" s="332"/>
      <c r="W62" s="208">
        <v>0.18</v>
      </c>
      <c r="X62" s="154"/>
      <c r="Y62" s="154"/>
      <c r="Z62" s="154"/>
      <c r="AA62" s="154"/>
      <c r="AB62" s="154"/>
      <c r="AC62" s="154"/>
      <c r="AJ62" s="154"/>
      <c r="AK62" s="154"/>
      <c r="AL62" s="154"/>
      <c r="AM62" s="154"/>
      <c r="AN62" s="154"/>
    </row>
    <row r="63" spans="2:40" s="155" customFormat="1" ht="28.5" customHeight="1">
      <c r="B63" s="201" t="s">
        <v>265</v>
      </c>
      <c r="C63" s="333" t="str">
        <f t="shared" si="4"/>
        <v>OM4-DE-IS-0009-010</v>
      </c>
      <c r="D63" s="344" t="s">
        <v>259</v>
      </c>
      <c r="E63" s="342" t="s">
        <v>154</v>
      </c>
      <c r="F63" s="269" t="s">
        <v>197</v>
      </c>
      <c r="G63" s="291" t="s">
        <v>188</v>
      </c>
      <c r="H63" s="249"/>
      <c r="I63" s="248">
        <v>30</v>
      </c>
      <c r="J63" s="335" t="s">
        <v>147</v>
      </c>
      <c r="K63" s="332"/>
      <c r="L63" s="249"/>
      <c r="M63" s="249"/>
      <c r="N63" s="249"/>
      <c r="O63" s="250"/>
      <c r="P63" s="251">
        <f t="shared" si="3"/>
        <v>8.1000000000000014</v>
      </c>
      <c r="Q63" s="251"/>
      <c r="R63" s="332"/>
      <c r="S63" s="332"/>
      <c r="T63" s="334"/>
      <c r="U63" s="332"/>
      <c r="W63" s="208">
        <v>0.27</v>
      </c>
      <c r="X63" s="154"/>
      <c r="Y63" s="154"/>
      <c r="Z63" s="154"/>
      <c r="AA63" s="154"/>
      <c r="AB63" s="154"/>
      <c r="AC63" s="154"/>
      <c r="AJ63" s="154"/>
      <c r="AK63" s="154"/>
      <c r="AL63" s="154"/>
      <c r="AM63" s="154"/>
      <c r="AN63" s="154"/>
    </row>
    <row r="64" spans="2:40" s="155" customFormat="1" ht="28.5" customHeight="1">
      <c r="B64" s="201" t="s">
        <v>267</v>
      </c>
      <c r="C64" s="333" t="str">
        <f t="shared" si="4"/>
        <v>OM4-DE-IS-0009-010</v>
      </c>
      <c r="D64" s="344" t="s">
        <v>259</v>
      </c>
      <c r="E64" s="342" t="s">
        <v>155</v>
      </c>
      <c r="F64" s="269" t="s">
        <v>197</v>
      </c>
      <c r="G64" s="291" t="s">
        <v>188</v>
      </c>
      <c r="H64" s="249"/>
      <c r="I64" s="248">
        <v>80</v>
      </c>
      <c r="J64" s="335" t="s">
        <v>147</v>
      </c>
      <c r="K64" s="332"/>
      <c r="L64" s="249"/>
      <c r="M64" s="249"/>
      <c r="N64" s="249"/>
      <c r="O64" s="250"/>
      <c r="P64" s="251">
        <f t="shared" si="3"/>
        <v>64</v>
      </c>
      <c r="Q64" s="251"/>
      <c r="R64" s="332"/>
      <c r="S64" s="332"/>
      <c r="T64" s="334"/>
      <c r="U64" s="332"/>
      <c r="W64" s="208">
        <v>0.8</v>
      </c>
      <c r="X64" s="154"/>
      <c r="Y64" s="154"/>
      <c r="Z64" s="154"/>
      <c r="AA64" s="154"/>
      <c r="AB64" s="154"/>
      <c r="AC64" s="154"/>
      <c r="AJ64" s="154"/>
      <c r="AK64" s="154"/>
      <c r="AL64" s="154"/>
      <c r="AM64" s="154"/>
      <c r="AN64" s="154"/>
    </row>
    <row r="65" spans="2:40" s="155" customFormat="1" ht="28.5" customHeight="1">
      <c r="B65" s="201" t="s">
        <v>268</v>
      </c>
      <c r="C65" s="333" t="str">
        <f t="shared" si="4"/>
        <v>OM4-DE-IS-0009-010</v>
      </c>
      <c r="D65" s="344" t="s">
        <v>259</v>
      </c>
      <c r="E65" s="342" t="s">
        <v>156</v>
      </c>
      <c r="F65" s="269" t="s">
        <v>197</v>
      </c>
      <c r="G65" s="291" t="s">
        <v>188</v>
      </c>
      <c r="H65" s="249"/>
      <c r="I65" s="248">
        <v>50</v>
      </c>
      <c r="J65" s="335" t="s">
        <v>147</v>
      </c>
      <c r="K65" s="332"/>
      <c r="L65" s="249"/>
      <c r="M65" s="249"/>
      <c r="N65" s="249"/>
      <c r="O65" s="250"/>
      <c r="P65" s="251">
        <f t="shared" si="3"/>
        <v>70</v>
      </c>
      <c r="Q65" s="251"/>
      <c r="R65" s="332"/>
      <c r="S65" s="332"/>
      <c r="T65" s="334"/>
      <c r="U65" s="332"/>
      <c r="W65" s="208">
        <v>1.4</v>
      </c>
      <c r="X65" s="154"/>
      <c r="Y65" s="154"/>
      <c r="Z65" s="154"/>
      <c r="AA65" s="154"/>
      <c r="AB65" s="154"/>
      <c r="AC65" s="154"/>
      <c r="AJ65" s="154"/>
      <c r="AK65" s="154"/>
      <c r="AL65" s="154"/>
      <c r="AM65" s="154"/>
      <c r="AN65" s="154"/>
    </row>
    <row r="66" spans="2:40" s="155" customFormat="1" ht="28.5" customHeight="1">
      <c r="B66" s="201" t="s">
        <v>269</v>
      </c>
      <c r="C66" s="333" t="str">
        <f t="shared" si="4"/>
        <v>OM4-DE-IS-0009-010</v>
      </c>
      <c r="D66" s="344" t="s">
        <v>266</v>
      </c>
      <c r="E66" s="342" t="s">
        <v>151</v>
      </c>
      <c r="F66" s="269" t="s">
        <v>197</v>
      </c>
      <c r="G66" s="291" t="s">
        <v>188</v>
      </c>
      <c r="H66" s="249"/>
      <c r="I66" s="248">
        <v>30</v>
      </c>
      <c r="J66" s="335" t="s">
        <v>147</v>
      </c>
      <c r="K66" s="332"/>
      <c r="L66" s="249"/>
      <c r="M66" s="249"/>
      <c r="N66" s="249"/>
      <c r="O66" s="250"/>
      <c r="P66" s="251">
        <f t="shared" si="3"/>
        <v>11.1</v>
      </c>
      <c r="Q66" s="251"/>
      <c r="R66" s="332"/>
      <c r="S66" s="332"/>
      <c r="T66" s="334"/>
      <c r="U66" s="332"/>
      <c r="W66" s="208">
        <v>0.37</v>
      </c>
      <c r="X66" s="154"/>
      <c r="Y66" s="154"/>
      <c r="Z66" s="154"/>
      <c r="AA66" s="154"/>
      <c r="AB66" s="154"/>
      <c r="AC66" s="154"/>
      <c r="AJ66" s="154"/>
      <c r="AK66" s="154"/>
      <c r="AL66" s="154"/>
      <c r="AM66" s="154"/>
      <c r="AN66" s="154"/>
    </row>
    <row r="67" spans="2:40" s="155" customFormat="1" ht="28.5" customHeight="1">
      <c r="B67" s="201" t="s">
        <v>270</v>
      </c>
      <c r="C67" s="333" t="str">
        <f t="shared" si="4"/>
        <v>OM4-DE-IS-0009-010</v>
      </c>
      <c r="D67" s="344" t="s">
        <v>266</v>
      </c>
      <c r="E67" s="342" t="s">
        <v>152</v>
      </c>
      <c r="F67" s="269" t="s">
        <v>197</v>
      </c>
      <c r="G67" s="291" t="s">
        <v>188</v>
      </c>
      <c r="H67" s="249"/>
      <c r="I67" s="248">
        <v>30</v>
      </c>
      <c r="J67" s="335" t="s">
        <v>147</v>
      </c>
      <c r="K67" s="332"/>
      <c r="L67" s="249"/>
      <c r="M67" s="249"/>
      <c r="N67" s="249"/>
      <c r="O67" s="250"/>
      <c r="P67" s="251">
        <f t="shared" si="3"/>
        <v>19.5</v>
      </c>
      <c r="Q67" s="251"/>
      <c r="R67" s="332"/>
      <c r="S67" s="332"/>
      <c r="T67" s="334"/>
      <c r="U67" s="332"/>
      <c r="W67" s="208">
        <v>0.65</v>
      </c>
      <c r="X67" s="154"/>
      <c r="Y67" s="154"/>
      <c r="Z67" s="154"/>
      <c r="AA67" s="154"/>
      <c r="AB67" s="154"/>
      <c r="AC67" s="154"/>
      <c r="AJ67" s="154"/>
      <c r="AK67" s="154"/>
      <c r="AL67" s="154"/>
      <c r="AM67" s="154"/>
      <c r="AN67" s="154"/>
    </row>
    <row r="68" spans="2:40" s="155" customFormat="1" ht="28.5" customHeight="1">
      <c r="B68" s="201" t="s">
        <v>271</v>
      </c>
      <c r="C68" s="333" t="str">
        <f t="shared" si="4"/>
        <v>OM4-DE-IS-0009-010</v>
      </c>
      <c r="D68" s="344" t="s">
        <v>266</v>
      </c>
      <c r="E68" s="342" t="s">
        <v>153</v>
      </c>
      <c r="F68" s="269" t="s">
        <v>197</v>
      </c>
      <c r="G68" s="291" t="s">
        <v>188</v>
      </c>
      <c r="H68" s="249"/>
      <c r="I68" s="248">
        <v>10</v>
      </c>
      <c r="J68" s="335" t="s">
        <v>147</v>
      </c>
      <c r="K68" s="332"/>
      <c r="L68" s="249"/>
      <c r="M68" s="249"/>
      <c r="N68" s="249"/>
      <c r="O68" s="250"/>
      <c r="P68" s="251">
        <f t="shared" si="3"/>
        <v>8.4</v>
      </c>
      <c r="Q68" s="251"/>
      <c r="R68" s="332"/>
      <c r="S68" s="332"/>
      <c r="T68" s="334"/>
      <c r="U68" s="332"/>
      <c r="W68" s="208">
        <v>0.84</v>
      </c>
      <c r="X68" s="154"/>
      <c r="Y68" s="154"/>
      <c r="Z68" s="154"/>
      <c r="AA68" s="154"/>
      <c r="AB68" s="154"/>
      <c r="AC68" s="154"/>
      <c r="AJ68" s="154"/>
      <c r="AK68" s="154"/>
      <c r="AL68" s="154"/>
      <c r="AM68" s="154"/>
      <c r="AN68" s="154"/>
    </row>
    <row r="69" spans="2:40" s="155" customFormat="1" ht="28.5" customHeight="1">
      <c r="B69" s="201" t="s">
        <v>273</v>
      </c>
      <c r="C69" s="333" t="str">
        <f t="shared" si="4"/>
        <v>OM4-DE-IS-0009-010</v>
      </c>
      <c r="D69" s="344" t="s">
        <v>266</v>
      </c>
      <c r="E69" s="342" t="s">
        <v>154</v>
      </c>
      <c r="F69" s="269" t="s">
        <v>197</v>
      </c>
      <c r="G69" s="291" t="s">
        <v>188</v>
      </c>
      <c r="H69" s="249"/>
      <c r="I69" s="248">
        <v>10</v>
      </c>
      <c r="J69" s="335" t="s">
        <v>147</v>
      </c>
      <c r="K69" s="332"/>
      <c r="L69" s="249"/>
      <c r="M69" s="249"/>
      <c r="N69" s="249"/>
      <c r="O69" s="250"/>
      <c r="P69" s="251">
        <f t="shared" si="3"/>
        <v>10</v>
      </c>
      <c r="Q69" s="251"/>
      <c r="R69" s="332"/>
      <c r="S69" s="332"/>
      <c r="T69" s="334"/>
      <c r="U69" s="332"/>
      <c r="W69" s="208">
        <v>1</v>
      </c>
      <c r="X69" s="154"/>
      <c r="Y69" s="154"/>
      <c r="Z69" s="154"/>
      <c r="AA69" s="154"/>
      <c r="AB69" s="154"/>
      <c r="AC69" s="154"/>
      <c r="AJ69" s="154"/>
      <c r="AK69" s="154"/>
      <c r="AL69" s="154"/>
      <c r="AM69" s="154"/>
      <c r="AN69" s="154"/>
    </row>
    <row r="70" spans="2:40" s="155" customFormat="1" ht="28.5" customHeight="1">
      <c r="B70" s="201" t="s">
        <v>274</v>
      </c>
      <c r="C70" s="333" t="str">
        <f t="shared" si="4"/>
        <v>OM4-DE-IS-0009-010</v>
      </c>
      <c r="D70" s="344" t="s">
        <v>266</v>
      </c>
      <c r="E70" s="342" t="s">
        <v>155</v>
      </c>
      <c r="F70" s="269" t="s">
        <v>197</v>
      </c>
      <c r="G70" s="291" t="s">
        <v>188</v>
      </c>
      <c r="H70" s="249"/>
      <c r="I70" s="248">
        <v>10</v>
      </c>
      <c r="J70" s="335" t="s">
        <v>147</v>
      </c>
      <c r="K70" s="332"/>
      <c r="L70" s="249"/>
      <c r="M70" s="249"/>
      <c r="N70" s="249"/>
      <c r="O70" s="250"/>
      <c r="P70" s="251">
        <f t="shared" si="3"/>
        <v>19.3</v>
      </c>
      <c r="Q70" s="251"/>
      <c r="R70" s="332"/>
      <c r="S70" s="332"/>
      <c r="T70" s="334"/>
      <c r="U70" s="332"/>
      <c r="W70" s="208">
        <v>1.93</v>
      </c>
      <c r="X70" s="154"/>
      <c r="Y70" s="154"/>
      <c r="Z70" s="154"/>
      <c r="AA70" s="154"/>
      <c r="AB70" s="154"/>
      <c r="AC70" s="154"/>
      <c r="AJ70" s="154"/>
      <c r="AK70" s="154"/>
      <c r="AL70" s="154"/>
      <c r="AM70" s="154"/>
      <c r="AN70" s="154"/>
    </row>
    <row r="71" spans="2:40" s="155" customFormat="1" ht="28.5" customHeight="1">
      <c r="B71" s="201" t="s">
        <v>275</v>
      </c>
      <c r="C71" s="333" t="str">
        <f t="shared" si="4"/>
        <v>OM4-DE-IS-0009-010</v>
      </c>
      <c r="D71" s="344" t="s">
        <v>272</v>
      </c>
      <c r="E71" s="342" t="s">
        <v>151</v>
      </c>
      <c r="F71" s="269" t="s">
        <v>197</v>
      </c>
      <c r="G71" s="291" t="s">
        <v>188</v>
      </c>
      <c r="H71" s="249"/>
      <c r="I71" s="248">
        <v>10</v>
      </c>
      <c r="J71" s="335" t="s">
        <v>147</v>
      </c>
      <c r="K71" s="332"/>
      <c r="L71" s="249"/>
      <c r="M71" s="249"/>
      <c r="N71" s="249"/>
      <c r="O71" s="250"/>
      <c r="P71" s="251">
        <f t="shared" si="3"/>
        <v>1.2</v>
      </c>
      <c r="Q71" s="251"/>
      <c r="R71" s="332"/>
      <c r="S71" s="332"/>
      <c r="T71" s="334"/>
      <c r="U71" s="332"/>
      <c r="W71" s="208">
        <v>0.12</v>
      </c>
      <c r="X71" s="154"/>
      <c r="Y71" s="154"/>
      <c r="Z71" s="154"/>
      <c r="AA71" s="154"/>
      <c r="AB71" s="154"/>
      <c r="AC71" s="154"/>
      <c r="AJ71" s="154"/>
      <c r="AK71" s="154"/>
      <c r="AL71" s="154"/>
      <c r="AM71" s="154"/>
      <c r="AN71" s="154"/>
    </row>
    <row r="72" spans="2:40" s="155" customFormat="1" ht="28.5" customHeight="1">
      <c r="B72" s="201" t="s">
        <v>276</v>
      </c>
      <c r="C72" s="333" t="str">
        <f t="shared" si="4"/>
        <v>OM4-DE-IS-0009-010</v>
      </c>
      <c r="D72" s="344" t="s">
        <v>272</v>
      </c>
      <c r="E72" s="342" t="s">
        <v>152</v>
      </c>
      <c r="F72" s="269" t="s">
        <v>197</v>
      </c>
      <c r="G72" s="291" t="s">
        <v>188</v>
      </c>
      <c r="H72" s="249"/>
      <c r="I72" s="248">
        <v>5</v>
      </c>
      <c r="J72" s="335" t="s">
        <v>147</v>
      </c>
      <c r="K72" s="332"/>
      <c r="L72" s="249"/>
      <c r="M72" s="249"/>
      <c r="N72" s="249"/>
      <c r="O72" s="250"/>
      <c r="P72" s="251">
        <f t="shared" si="3"/>
        <v>0.95</v>
      </c>
      <c r="Q72" s="251"/>
      <c r="R72" s="332"/>
      <c r="S72" s="332"/>
      <c r="T72" s="334"/>
      <c r="U72" s="332"/>
      <c r="W72" s="208">
        <v>0.19</v>
      </c>
      <c r="X72" s="154"/>
      <c r="Y72" s="154"/>
      <c r="Z72" s="154"/>
      <c r="AA72" s="154"/>
      <c r="AB72" s="154"/>
      <c r="AC72" s="154"/>
      <c r="AJ72" s="154"/>
      <c r="AK72" s="154"/>
      <c r="AL72" s="154"/>
      <c r="AM72" s="154"/>
      <c r="AN72" s="154"/>
    </row>
    <row r="73" spans="2:40" s="155" customFormat="1" ht="28.5" customHeight="1">
      <c r="B73" s="201" t="s">
        <v>277</v>
      </c>
      <c r="C73" s="333" t="str">
        <f t="shared" si="4"/>
        <v>OM4-DE-IS-0009-010</v>
      </c>
      <c r="D73" s="344" t="s">
        <v>272</v>
      </c>
      <c r="E73" s="342" t="s">
        <v>153</v>
      </c>
      <c r="F73" s="269" t="s">
        <v>197</v>
      </c>
      <c r="G73" s="291" t="s">
        <v>188</v>
      </c>
      <c r="H73" s="249"/>
      <c r="I73" s="248">
        <v>5</v>
      </c>
      <c r="J73" s="335" t="s">
        <v>147</v>
      </c>
      <c r="K73" s="332"/>
      <c r="L73" s="249"/>
      <c r="M73" s="249"/>
      <c r="N73" s="249"/>
      <c r="O73" s="250"/>
      <c r="P73" s="251">
        <f t="shared" si="3"/>
        <v>1.1000000000000001</v>
      </c>
      <c r="Q73" s="251"/>
      <c r="R73" s="332"/>
      <c r="S73" s="332"/>
      <c r="T73" s="334"/>
      <c r="U73" s="332"/>
      <c r="W73" s="208">
        <v>0.22</v>
      </c>
      <c r="X73" s="154"/>
      <c r="Y73" s="154"/>
      <c r="Z73" s="154"/>
      <c r="AA73" s="154"/>
      <c r="AB73" s="154"/>
      <c r="AC73" s="154"/>
      <c r="AJ73" s="154"/>
      <c r="AK73" s="154"/>
      <c r="AL73" s="154"/>
      <c r="AM73" s="154"/>
      <c r="AN73" s="154"/>
    </row>
    <row r="74" spans="2:40" s="155" customFormat="1" ht="28.5" customHeight="1">
      <c r="B74" s="201" t="s">
        <v>280</v>
      </c>
      <c r="C74" s="333" t="str">
        <f t="shared" si="4"/>
        <v>OM4-DE-IS-0009-010</v>
      </c>
      <c r="D74" s="344" t="s">
        <v>272</v>
      </c>
      <c r="E74" s="342" t="s">
        <v>154</v>
      </c>
      <c r="F74" s="269" t="s">
        <v>197</v>
      </c>
      <c r="G74" s="291" t="s">
        <v>188</v>
      </c>
      <c r="H74" s="249"/>
      <c r="I74" s="248">
        <v>5</v>
      </c>
      <c r="J74" s="335" t="s">
        <v>147</v>
      </c>
      <c r="K74" s="332"/>
      <c r="L74" s="249"/>
      <c r="M74" s="249"/>
      <c r="N74" s="249"/>
      <c r="O74" s="250"/>
      <c r="P74" s="251">
        <f t="shared" si="3"/>
        <v>1.6500000000000001</v>
      </c>
      <c r="Q74" s="251"/>
      <c r="R74" s="332"/>
      <c r="S74" s="332"/>
      <c r="T74" s="334"/>
      <c r="U74" s="332"/>
      <c r="W74" s="208">
        <v>0.33</v>
      </c>
      <c r="X74" s="154"/>
      <c r="Y74" s="154"/>
      <c r="Z74" s="154"/>
      <c r="AA74" s="154"/>
      <c r="AB74" s="154"/>
      <c r="AC74" s="154"/>
      <c r="AJ74" s="154"/>
      <c r="AK74" s="154"/>
      <c r="AL74" s="154"/>
      <c r="AM74" s="154"/>
      <c r="AN74" s="154"/>
    </row>
    <row r="75" spans="2:40" s="155" customFormat="1" ht="28.5" customHeight="1">
      <c r="B75" s="201" t="s">
        <v>281</v>
      </c>
      <c r="C75" s="333" t="str">
        <f t="shared" si="4"/>
        <v>OM4-DE-IS-0009-010</v>
      </c>
      <c r="D75" s="381" t="s">
        <v>462</v>
      </c>
      <c r="E75" s="342" t="s">
        <v>212</v>
      </c>
      <c r="F75" s="269" t="s">
        <v>197</v>
      </c>
      <c r="G75" s="291" t="s">
        <v>188</v>
      </c>
      <c r="H75" s="249"/>
      <c r="I75" s="248">
        <v>50</v>
      </c>
      <c r="J75" s="335" t="s">
        <v>147</v>
      </c>
      <c r="K75" s="332"/>
      <c r="L75" s="249"/>
      <c r="M75" s="249"/>
      <c r="N75" s="249"/>
      <c r="O75" s="250"/>
      <c r="P75" s="251">
        <f t="shared" si="3"/>
        <v>50</v>
      </c>
      <c r="Q75" s="251"/>
      <c r="R75" s="332"/>
      <c r="S75" s="332"/>
      <c r="T75" s="334"/>
      <c r="U75" s="332"/>
      <c r="W75" s="208">
        <v>1</v>
      </c>
      <c r="X75" s="154"/>
      <c r="Y75" s="154"/>
      <c r="Z75" s="154"/>
      <c r="AA75" s="154"/>
      <c r="AB75" s="154"/>
      <c r="AC75" s="154"/>
      <c r="AJ75" s="154"/>
      <c r="AK75" s="154"/>
      <c r="AL75" s="154"/>
      <c r="AM75" s="154"/>
      <c r="AN75" s="154"/>
    </row>
    <row r="76" spans="2:40" s="155" customFormat="1" ht="28.5" customHeight="1">
      <c r="B76" s="201" t="s">
        <v>283</v>
      </c>
      <c r="C76" s="333" t="str">
        <f t="shared" si="4"/>
        <v>OM4-DE-IS-0009-010</v>
      </c>
      <c r="D76" s="344" t="s">
        <v>278</v>
      </c>
      <c r="E76" s="342" t="s">
        <v>279</v>
      </c>
      <c r="F76" s="269" t="s">
        <v>197</v>
      </c>
      <c r="G76" s="291" t="s">
        <v>188</v>
      </c>
      <c r="H76" s="249"/>
      <c r="I76" s="248">
        <v>30</v>
      </c>
      <c r="J76" s="335" t="s">
        <v>147</v>
      </c>
      <c r="K76" s="332"/>
      <c r="L76" s="249"/>
      <c r="M76" s="249"/>
      <c r="N76" s="249"/>
      <c r="O76" s="250"/>
      <c r="P76" s="251">
        <f t="shared" si="3"/>
        <v>5.7</v>
      </c>
      <c r="Q76" s="251"/>
      <c r="R76" s="332"/>
      <c r="S76" s="332"/>
      <c r="T76" s="334"/>
      <c r="U76" s="332"/>
      <c r="W76" s="208">
        <v>0.19</v>
      </c>
      <c r="X76" s="154"/>
      <c r="Y76" s="154"/>
      <c r="Z76" s="154"/>
      <c r="AA76" s="154"/>
      <c r="AB76" s="154"/>
      <c r="AC76" s="154"/>
      <c r="AJ76" s="154"/>
      <c r="AK76" s="154"/>
      <c r="AL76" s="154"/>
      <c r="AM76" s="154"/>
      <c r="AN76" s="154"/>
    </row>
    <row r="77" spans="2:40" s="155" customFormat="1" ht="28.5" customHeight="1">
      <c r="B77" s="201" t="s">
        <v>285</v>
      </c>
      <c r="C77" s="333" t="str">
        <f t="shared" si="4"/>
        <v>OM4-DE-IS-0009-010</v>
      </c>
      <c r="D77" s="344" t="s">
        <v>278</v>
      </c>
      <c r="E77" s="342" t="s">
        <v>279</v>
      </c>
      <c r="F77" s="269" t="s">
        <v>197</v>
      </c>
      <c r="G77" s="291" t="s">
        <v>188</v>
      </c>
      <c r="H77" s="249"/>
      <c r="I77" s="248">
        <v>30</v>
      </c>
      <c r="J77" s="335" t="s">
        <v>147</v>
      </c>
      <c r="K77" s="332"/>
      <c r="L77" s="249"/>
      <c r="M77" s="249"/>
      <c r="N77" s="249"/>
      <c r="O77" s="250"/>
      <c r="P77" s="251">
        <f t="shared" si="3"/>
        <v>5.7</v>
      </c>
      <c r="Q77" s="251"/>
      <c r="R77" s="332"/>
      <c r="S77" s="332"/>
      <c r="T77" s="334"/>
      <c r="U77" s="332"/>
      <c r="W77" s="208">
        <v>0.19</v>
      </c>
      <c r="X77" s="154"/>
      <c r="Y77" s="154"/>
      <c r="Z77" s="154"/>
      <c r="AA77" s="154"/>
      <c r="AB77" s="154"/>
      <c r="AC77" s="154"/>
      <c r="AJ77" s="154"/>
      <c r="AK77" s="154"/>
      <c r="AL77" s="154"/>
      <c r="AM77" s="154"/>
      <c r="AN77" s="154"/>
    </row>
    <row r="78" spans="2:40" s="155" customFormat="1" ht="28.5" customHeight="1">
      <c r="B78" s="201" t="s">
        <v>287</v>
      </c>
      <c r="C78" s="333" t="str">
        <f t="shared" si="4"/>
        <v>OM4-DE-IS-0009-010</v>
      </c>
      <c r="D78" s="344" t="s">
        <v>278</v>
      </c>
      <c r="E78" s="342" t="s">
        <v>282</v>
      </c>
      <c r="F78" s="269" t="s">
        <v>197</v>
      </c>
      <c r="G78" s="291" t="s">
        <v>188</v>
      </c>
      <c r="H78" s="249"/>
      <c r="I78" s="248">
        <v>30</v>
      </c>
      <c r="J78" s="335" t="s">
        <v>147</v>
      </c>
      <c r="K78" s="332"/>
      <c r="L78" s="249"/>
      <c r="M78" s="249"/>
      <c r="N78" s="249"/>
      <c r="O78" s="250"/>
      <c r="P78" s="251">
        <f t="shared" si="3"/>
        <v>6.6</v>
      </c>
      <c r="Q78" s="251"/>
      <c r="R78" s="332"/>
      <c r="S78" s="332"/>
      <c r="T78" s="334"/>
      <c r="U78" s="332"/>
      <c r="W78" s="208">
        <v>0.22</v>
      </c>
      <c r="X78" s="154"/>
      <c r="Y78" s="154"/>
      <c r="Z78" s="154"/>
      <c r="AA78" s="154"/>
      <c r="AB78" s="154"/>
      <c r="AC78" s="154"/>
      <c r="AJ78" s="154"/>
      <c r="AK78" s="154"/>
      <c r="AL78" s="154"/>
      <c r="AM78" s="154"/>
      <c r="AN78" s="154"/>
    </row>
    <row r="79" spans="2:40" s="155" customFormat="1" ht="28.5" customHeight="1">
      <c r="B79" s="201" t="s">
        <v>289</v>
      </c>
      <c r="C79" s="333" t="str">
        <f t="shared" si="4"/>
        <v>OM4-DE-IS-0009-010</v>
      </c>
      <c r="D79" s="344" t="s">
        <v>278</v>
      </c>
      <c r="E79" s="342" t="s">
        <v>284</v>
      </c>
      <c r="F79" s="269" t="s">
        <v>197</v>
      </c>
      <c r="G79" s="291" t="s">
        <v>188</v>
      </c>
      <c r="H79" s="249"/>
      <c r="I79" s="248">
        <v>30</v>
      </c>
      <c r="J79" s="335" t="s">
        <v>147</v>
      </c>
      <c r="K79" s="332"/>
      <c r="L79" s="249"/>
      <c r="M79" s="249"/>
      <c r="N79" s="249"/>
      <c r="O79" s="250"/>
      <c r="P79" s="251">
        <f t="shared" si="3"/>
        <v>9.9</v>
      </c>
      <c r="Q79" s="251"/>
      <c r="R79" s="332"/>
      <c r="S79" s="332"/>
      <c r="T79" s="334"/>
      <c r="U79" s="332"/>
      <c r="W79" s="208">
        <v>0.33</v>
      </c>
      <c r="X79" s="154"/>
      <c r="Y79" s="154"/>
      <c r="Z79" s="154"/>
      <c r="AA79" s="154"/>
      <c r="AB79" s="154"/>
      <c r="AC79" s="154"/>
      <c r="AJ79" s="154"/>
      <c r="AK79" s="154"/>
      <c r="AL79" s="154"/>
      <c r="AM79" s="154"/>
      <c r="AN79" s="154"/>
    </row>
    <row r="80" spans="2:40" s="155" customFormat="1" ht="28.5" customHeight="1">
      <c r="B80" s="201" t="s">
        <v>291</v>
      </c>
      <c r="C80" s="333" t="str">
        <f t="shared" si="4"/>
        <v>OM4-DE-IS-0009-010</v>
      </c>
      <c r="D80" s="344" t="s">
        <v>278</v>
      </c>
      <c r="E80" s="342" t="s">
        <v>286</v>
      </c>
      <c r="F80" s="269" t="s">
        <v>197</v>
      </c>
      <c r="G80" s="291" t="s">
        <v>188</v>
      </c>
      <c r="H80" s="249"/>
      <c r="I80" s="248">
        <v>30</v>
      </c>
      <c r="J80" s="335" t="s">
        <v>147</v>
      </c>
      <c r="K80" s="332"/>
      <c r="L80" s="249"/>
      <c r="M80" s="249"/>
      <c r="N80" s="249"/>
      <c r="O80" s="250"/>
      <c r="P80" s="251">
        <f t="shared" si="3"/>
        <v>9.9</v>
      </c>
      <c r="Q80" s="251"/>
      <c r="R80" s="332"/>
      <c r="S80" s="332"/>
      <c r="T80" s="334"/>
      <c r="U80" s="332"/>
      <c r="W80" s="208">
        <v>0.33</v>
      </c>
      <c r="X80" s="154"/>
      <c r="Y80" s="154"/>
      <c r="Z80" s="154"/>
      <c r="AA80" s="154"/>
      <c r="AB80" s="154"/>
      <c r="AC80" s="154"/>
      <c r="AJ80" s="154"/>
      <c r="AK80" s="154"/>
      <c r="AL80" s="154"/>
      <c r="AM80" s="154"/>
      <c r="AN80" s="154"/>
    </row>
    <row r="81" spans="2:40" s="155" customFormat="1" ht="28.5" customHeight="1">
      <c r="B81" s="201" t="s">
        <v>293</v>
      </c>
      <c r="C81" s="333" t="str">
        <f t="shared" si="4"/>
        <v>OM4-DE-IS-0009-010</v>
      </c>
      <c r="D81" s="344" t="s">
        <v>278</v>
      </c>
      <c r="E81" s="342" t="s">
        <v>288</v>
      </c>
      <c r="F81" s="269" t="s">
        <v>197</v>
      </c>
      <c r="G81" s="291" t="s">
        <v>188</v>
      </c>
      <c r="H81" s="249"/>
      <c r="I81" s="248">
        <v>30</v>
      </c>
      <c r="J81" s="335" t="s">
        <v>147</v>
      </c>
      <c r="K81" s="332"/>
      <c r="L81" s="249"/>
      <c r="M81" s="249"/>
      <c r="N81" s="249"/>
      <c r="O81" s="250"/>
      <c r="P81" s="251">
        <f t="shared" si="3"/>
        <v>6.6</v>
      </c>
      <c r="Q81" s="251"/>
      <c r="R81" s="332"/>
      <c r="S81" s="332"/>
      <c r="T81" s="334"/>
      <c r="U81" s="332"/>
      <c r="W81" s="208">
        <v>0.22</v>
      </c>
      <c r="X81" s="154"/>
      <c r="Y81" s="154"/>
      <c r="Z81" s="154"/>
      <c r="AA81" s="154"/>
      <c r="AB81" s="154"/>
      <c r="AC81" s="154"/>
      <c r="AJ81" s="154"/>
      <c r="AK81" s="154"/>
      <c r="AL81" s="154"/>
      <c r="AM81" s="154"/>
      <c r="AN81" s="154"/>
    </row>
    <row r="82" spans="2:40" s="155" customFormat="1" ht="28.5" customHeight="1">
      <c r="B82" s="201" t="s">
        <v>295</v>
      </c>
      <c r="C82" s="333" t="str">
        <f t="shared" si="4"/>
        <v>OM4-DE-IS-0009-010</v>
      </c>
      <c r="D82" s="344" t="s">
        <v>278</v>
      </c>
      <c r="E82" s="342" t="s">
        <v>290</v>
      </c>
      <c r="F82" s="269" t="s">
        <v>197</v>
      </c>
      <c r="G82" s="291" t="s">
        <v>188</v>
      </c>
      <c r="H82" s="249"/>
      <c r="I82" s="248">
        <v>30</v>
      </c>
      <c r="J82" s="335" t="s">
        <v>147</v>
      </c>
      <c r="K82" s="332"/>
      <c r="L82" s="249"/>
      <c r="M82" s="249"/>
      <c r="N82" s="249"/>
      <c r="O82" s="250"/>
      <c r="P82" s="251">
        <f t="shared" si="3"/>
        <v>5.7</v>
      </c>
      <c r="Q82" s="251"/>
      <c r="R82" s="332"/>
      <c r="S82" s="332"/>
      <c r="T82" s="334"/>
      <c r="U82" s="332"/>
      <c r="W82" s="208">
        <v>0.19</v>
      </c>
      <c r="X82" s="154"/>
      <c r="Y82" s="154"/>
      <c r="Z82" s="154"/>
      <c r="AA82" s="154"/>
      <c r="AB82" s="154"/>
      <c r="AC82" s="154"/>
      <c r="AJ82" s="154"/>
      <c r="AK82" s="154"/>
      <c r="AL82" s="154"/>
      <c r="AM82" s="154"/>
      <c r="AN82" s="154"/>
    </row>
    <row r="83" spans="2:40" s="155" customFormat="1" ht="28.5" customHeight="1">
      <c r="B83" s="201" t="s">
        <v>296</v>
      </c>
      <c r="C83" s="333" t="str">
        <f t="shared" si="4"/>
        <v>OM4-DE-IS-0009-010</v>
      </c>
      <c r="D83" s="344" t="s">
        <v>278</v>
      </c>
      <c r="E83" s="342" t="s">
        <v>292</v>
      </c>
      <c r="F83" s="269" t="s">
        <v>197</v>
      </c>
      <c r="G83" s="291" t="s">
        <v>188</v>
      </c>
      <c r="H83" s="249"/>
      <c r="I83" s="248">
        <v>30</v>
      </c>
      <c r="J83" s="335" t="s">
        <v>147</v>
      </c>
      <c r="K83" s="332"/>
      <c r="L83" s="249"/>
      <c r="M83" s="249"/>
      <c r="N83" s="249"/>
      <c r="O83" s="250"/>
      <c r="P83" s="251">
        <f t="shared" si="3"/>
        <v>6.6</v>
      </c>
      <c r="Q83" s="251"/>
      <c r="R83" s="332"/>
      <c r="S83" s="332"/>
      <c r="T83" s="334"/>
      <c r="U83" s="332"/>
      <c r="W83" s="208">
        <v>0.22</v>
      </c>
      <c r="X83" s="154"/>
      <c r="Y83" s="154"/>
      <c r="Z83" s="154"/>
      <c r="AA83" s="154"/>
      <c r="AB83" s="154"/>
      <c r="AC83" s="154"/>
      <c r="AJ83" s="154"/>
      <c r="AK83" s="154"/>
      <c r="AL83" s="154"/>
      <c r="AM83" s="154"/>
      <c r="AN83" s="154"/>
    </row>
    <row r="84" spans="2:40" s="155" customFormat="1" ht="28.5" customHeight="1">
      <c r="B84" s="201" t="s">
        <v>297</v>
      </c>
      <c r="C84" s="333" t="str">
        <f t="shared" si="4"/>
        <v>OM4-DE-IS-0009-010</v>
      </c>
      <c r="D84" s="344" t="s">
        <v>294</v>
      </c>
      <c r="E84" s="342" t="s">
        <v>151</v>
      </c>
      <c r="F84" s="269" t="s">
        <v>197</v>
      </c>
      <c r="G84" s="291" t="s">
        <v>188</v>
      </c>
      <c r="H84" s="249"/>
      <c r="I84" s="248">
        <v>800</v>
      </c>
      <c r="J84" s="335" t="s">
        <v>147</v>
      </c>
      <c r="K84" s="332"/>
      <c r="L84" s="249"/>
      <c r="M84" s="249"/>
      <c r="N84" s="249"/>
      <c r="O84" s="250"/>
      <c r="P84" s="251">
        <f t="shared" si="3"/>
        <v>16</v>
      </c>
      <c r="Q84" s="251"/>
      <c r="R84" s="332"/>
      <c r="S84" s="332"/>
      <c r="T84" s="334"/>
      <c r="U84" s="332"/>
      <c r="W84" s="208">
        <v>0.02</v>
      </c>
      <c r="X84" s="154"/>
      <c r="Y84" s="154"/>
      <c r="Z84" s="154"/>
      <c r="AA84" s="154"/>
      <c r="AB84" s="154"/>
      <c r="AC84" s="154"/>
      <c r="AJ84" s="154"/>
      <c r="AK84" s="154"/>
      <c r="AL84" s="154"/>
      <c r="AM84" s="154"/>
      <c r="AN84" s="154"/>
    </row>
    <row r="85" spans="2:40" s="155" customFormat="1" ht="28.5" customHeight="1">
      <c r="B85" s="201" t="s">
        <v>298</v>
      </c>
      <c r="C85" s="333" t="str">
        <f t="shared" si="4"/>
        <v>OM4-DE-IS-0009-010</v>
      </c>
      <c r="D85" s="344" t="s">
        <v>294</v>
      </c>
      <c r="E85" s="342" t="s">
        <v>152</v>
      </c>
      <c r="F85" s="269" t="s">
        <v>197</v>
      </c>
      <c r="G85" s="291" t="s">
        <v>188</v>
      </c>
      <c r="H85" s="249"/>
      <c r="I85" s="248">
        <v>200</v>
      </c>
      <c r="J85" s="335" t="s">
        <v>147</v>
      </c>
      <c r="K85" s="332"/>
      <c r="L85" s="249"/>
      <c r="M85" s="249"/>
      <c r="N85" s="249"/>
      <c r="O85" s="250"/>
      <c r="P85" s="251">
        <f t="shared" si="3"/>
        <v>4</v>
      </c>
      <c r="Q85" s="251"/>
      <c r="R85" s="332"/>
      <c r="S85" s="332"/>
      <c r="T85" s="334"/>
      <c r="U85" s="332"/>
      <c r="W85" s="208">
        <v>0.02</v>
      </c>
      <c r="X85" s="154"/>
      <c r="Y85" s="154"/>
      <c r="Z85" s="154"/>
      <c r="AA85" s="154"/>
      <c r="AB85" s="154"/>
      <c r="AC85" s="154"/>
      <c r="AJ85" s="154"/>
      <c r="AK85" s="154"/>
      <c r="AL85" s="154"/>
      <c r="AM85" s="154"/>
      <c r="AN85" s="154"/>
    </row>
    <row r="86" spans="2:40" s="155" customFormat="1" ht="28.5" customHeight="1">
      <c r="B86" s="201" t="s">
        <v>299</v>
      </c>
      <c r="C86" s="333" t="str">
        <f t="shared" si="4"/>
        <v>OM4-DE-IS-0009-010</v>
      </c>
      <c r="D86" s="344" t="s">
        <v>294</v>
      </c>
      <c r="E86" s="342" t="s">
        <v>153</v>
      </c>
      <c r="F86" s="269" t="s">
        <v>197</v>
      </c>
      <c r="G86" s="291" t="s">
        <v>188</v>
      </c>
      <c r="H86" s="249"/>
      <c r="I86" s="248">
        <v>100</v>
      </c>
      <c r="J86" s="335" t="s">
        <v>147</v>
      </c>
      <c r="K86" s="332"/>
      <c r="L86" s="249"/>
      <c r="M86" s="249"/>
      <c r="N86" s="249"/>
      <c r="O86" s="250"/>
      <c r="P86" s="251">
        <f t="shared" si="3"/>
        <v>3</v>
      </c>
      <c r="Q86" s="251"/>
      <c r="R86" s="332"/>
      <c r="S86" s="332"/>
      <c r="T86" s="334"/>
      <c r="U86" s="332"/>
      <c r="W86" s="208">
        <v>0.03</v>
      </c>
      <c r="X86" s="154"/>
      <c r="Y86" s="154"/>
      <c r="Z86" s="154"/>
      <c r="AA86" s="154"/>
      <c r="AB86" s="154"/>
      <c r="AC86" s="154"/>
      <c r="AJ86" s="154"/>
      <c r="AK86" s="154"/>
      <c r="AL86" s="154"/>
      <c r="AM86" s="154"/>
      <c r="AN86" s="154"/>
    </row>
    <row r="87" spans="2:40" s="155" customFormat="1" ht="28.5" customHeight="1">
      <c r="B87" s="201" t="s">
        <v>300</v>
      </c>
      <c r="C87" s="333" t="str">
        <f t="shared" si="4"/>
        <v>OM4-DE-IS-0009-010</v>
      </c>
      <c r="D87" s="344" t="s">
        <v>294</v>
      </c>
      <c r="E87" s="342" t="s">
        <v>154</v>
      </c>
      <c r="F87" s="269" t="s">
        <v>197</v>
      </c>
      <c r="G87" s="291" t="s">
        <v>188</v>
      </c>
      <c r="H87" s="249"/>
      <c r="I87" s="248">
        <v>50</v>
      </c>
      <c r="J87" s="335" t="s">
        <v>147</v>
      </c>
      <c r="K87" s="332"/>
      <c r="L87" s="249"/>
      <c r="M87" s="249"/>
      <c r="N87" s="249"/>
      <c r="O87" s="250"/>
      <c r="P87" s="251">
        <f t="shared" si="3"/>
        <v>2</v>
      </c>
      <c r="Q87" s="251"/>
      <c r="R87" s="332"/>
      <c r="S87" s="332"/>
      <c r="T87" s="334"/>
      <c r="U87" s="332"/>
      <c r="W87" s="208">
        <v>0.04</v>
      </c>
      <c r="X87" s="154"/>
      <c r="Y87" s="154"/>
      <c r="Z87" s="154"/>
      <c r="AA87" s="154"/>
      <c r="AB87" s="154"/>
      <c r="AC87" s="154"/>
      <c r="AJ87" s="154"/>
      <c r="AK87" s="154"/>
      <c r="AL87" s="154"/>
      <c r="AM87" s="154"/>
      <c r="AN87" s="154"/>
    </row>
    <row r="88" spans="2:40" s="155" customFormat="1" ht="28.5" customHeight="1">
      <c r="B88" s="201" t="s">
        <v>420</v>
      </c>
      <c r="C88" s="333" t="str">
        <f t="shared" si="4"/>
        <v>OM4-DE-IS-0009-010</v>
      </c>
      <c r="D88" s="344" t="s">
        <v>294</v>
      </c>
      <c r="E88" s="342" t="s">
        <v>155</v>
      </c>
      <c r="F88" s="269" t="s">
        <v>197</v>
      </c>
      <c r="G88" s="291" t="s">
        <v>188</v>
      </c>
      <c r="H88" s="249"/>
      <c r="I88" s="248">
        <v>160</v>
      </c>
      <c r="J88" s="335" t="s">
        <v>147</v>
      </c>
      <c r="K88" s="332"/>
      <c r="L88" s="249"/>
      <c r="M88" s="249"/>
      <c r="N88" s="249"/>
      <c r="O88" s="250"/>
      <c r="P88" s="251">
        <f t="shared" si="3"/>
        <v>12.8</v>
      </c>
      <c r="Q88" s="251"/>
      <c r="R88" s="332"/>
      <c r="S88" s="332"/>
      <c r="T88" s="334"/>
      <c r="U88" s="332"/>
      <c r="W88" s="208">
        <v>0.08</v>
      </c>
      <c r="X88" s="154"/>
      <c r="Y88" s="154"/>
      <c r="Z88" s="154"/>
      <c r="AA88" s="154"/>
      <c r="AB88" s="154"/>
      <c r="AC88" s="154"/>
      <c r="AJ88" s="154"/>
      <c r="AK88" s="154"/>
      <c r="AL88" s="154"/>
      <c r="AM88" s="154"/>
      <c r="AN88" s="154"/>
    </row>
    <row r="89" spans="2:40" s="155" customFormat="1" ht="28.5" customHeight="1">
      <c r="B89" s="201" t="s">
        <v>303</v>
      </c>
      <c r="C89" s="333" t="str">
        <f t="shared" si="4"/>
        <v>OM4-DE-IS-0009-010</v>
      </c>
      <c r="D89" s="344" t="s">
        <v>294</v>
      </c>
      <c r="E89" s="342" t="s">
        <v>156</v>
      </c>
      <c r="F89" s="269" t="s">
        <v>197</v>
      </c>
      <c r="G89" s="291" t="s">
        <v>188</v>
      </c>
      <c r="H89" s="249"/>
      <c r="I89" s="248">
        <v>100</v>
      </c>
      <c r="J89" s="335" t="s">
        <v>147</v>
      </c>
      <c r="K89" s="332"/>
      <c r="L89" s="249"/>
      <c r="M89" s="249"/>
      <c r="N89" s="249"/>
      <c r="O89" s="250"/>
      <c r="P89" s="251">
        <f t="shared" si="3"/>
        <v>12</v>
      </c>
      <c r="Q89" s="251"/>
      <c r="R89" s="332"/>
      <c r="S89" s="332"/>
      <c r="T89" s="334"/>
      <c r="U89" s="332"/>
      <c r="W89" s="208">
        <v>0.12</v>
      </c>
      <c r="X89" s="154"/>
      <c r="Y89" s="154"/>
      <c r="Z89" s="154"/>
      <c r="AA89" s="154"/>
      <c r="AB89" s="154"/>
      <c r="AC89" s="154"/>
      <c r="AJ89" s="154"/>
      <c r="AK89" s="154"/>
      <c r="AL89" s="154"/>
      <c r="AM89" s="154"/>
      <c r="AN89" s="154"/>
    </row>
    <row r="90" spans="2:40" s="155" customFormat="1" ht="28.5" customHeight="1">
      <c r="B90" s="201" t="s">
        <v>304</v>
      </c>
      <c r="C90" s="356" t="str">
        <f>C88</f>
        <v>OM4-DE-IS-0009-010</v>
      </c>
      <c r="D90" s="344" t="s">
        <v>294</v>
      </c>
      <c r="E90" s="358" t="s">
        <v>150</v>
      </c>
      <c r="F90" s="269" t="s">
        <v>197</v>
      </c>
      <c r="G90" s="291" t="s">
        <v>188</v>
      </c>
      <c r="H90" s="249"/>
      <c r="I90" s="248">
        <v>120</v>
      </c>
      <c r="J90" s="359" t="s">
        <v>147</v>
      </c>
      <c r="K90" s="355"/>
      <c r="L90" s="249"/>
      <c r="M90" s="249"/>
      <c r="N90" s="249"/>
      <c r="O90" s="250"/>
      <c r="P90" s="251">
        <f t="shared" ref="P90:P91" si="5">W90*I90</f>
        <v>96</v>
      </c>
      <c r="Q90" s="251"/>
      <c r="R90" s="355"/>
      <c r="S90" s="355"/>
      <c r="T90" s="357"/>
      <c r="U90" s="355"/>
      <c r="W90" s="208">
        <v>0.8</v>
      </c>
      <c r="X90" s="154"/>
      <c r="Y90" s="154"/>
      <c r="Z90" s="154"/>
      <c r="AA90" s="154"/>
      <c r="AB90" s="154"/>
      <c r="AC90" s="154"/>
      <c r="AJ90" s="154"/>
      <c r="AK90" s="154"/>
      <c r="AL90" s="154"/>
      <c r="AM90" s="154"/>
      <c r="AN90" s="154"/>
    </row>
    <row r="91" spans="2:40" s="155" customFormat="1" ht="28.5" customHeight="1">
      <c r="B91" s="201" t="s">
        <v>305</v>
      </c>
      <c r="C91" s="333" t="str">
        <f>C89</f>
        <v>OM4-DE-IS-0009-010</v>
      </c>
      <c r="D91" s="345" t="s">
        <v>301</v>
      </c>
      <c r="E91" s="93" t="s">
        <v>152</v>
      </c>
      <c r="F91" s="299" t="s">
        <v>197</v>
      </c>
      <c r="G91" s="270" t="s">
        <v>188</v>
      </c>
      <c r="H91" s="355"/>
      <c r="I91" s="248">
        <v>330</v>
      </c>
      <c r="J91" s="359" t="s">
        <v>302</v>
      </c>
      <c r="K91" s="355"/>
      <c r="L91" s="249"/>
      <c r="M91" s="249"/>
      <c r="N91" s="249"/>
      <c r="O91" s="250"/>
      <c r="P91" s="251">
        <f t="shared" si="5"/>
        <v>320.09999999999997</v>
      </c>
      <c r="Q91" s="251"/>
      <c r="R91" s="355"/>
      <c r="S91" s="355"/>
      <c r="T91" s="357"/>
      <c r="U91" s="355"/>
      <c r="W91" s="208">
        <v>0.97</v>
      </c>
      <c r="X91" s="154"/>
      <c r="Y91" s="154"/>
      <c r="Z91" s="154"/>
      <c r="AA91" s="154"/>
      <c r="AB91" s="154"/>
      <c r="AC91" s="154"/>
      <c r="AJ91" s="154"/>
      <c r="AK91" s="154"/>
      <c r="AL91" s="154"/>
      <c r="AM91" s="154"/>
      <c r="AN91" s="154"/>
    </row>
    <row r="92" spans="2:40" s="155" customFormat="1" ht="28.5" customHeight="1">
      <c r="B92" s="501" t="s">
        <v>92</v>
      </c>
      <c r="C92" s="502"/>
      <c r="D92" s="502"/>
      <c r="E92" s="502"/>
      <c r="F92" s="502"/>
      <c r="G92" s="502"/>
      <c r="H92" s="503"/>
      <c r="I92" s="252">
        <f>SUM(I48:I91)</f>
        <v>3935</v>
      </c>
      <c r="J92" s="253"/>
      <c r="K92" s="254" t="s">
        <v>236</v>
      </c>
      <c r="L92" s="255">
        <v>200</v>
      </c>
      <c r="M92" s="255">
        <v>200</v>
      </c>
      <c r="N92" s="255">
        <v>140</v>
      </c>
      <c r="O92" s="256">
        <f>(L92*M92*N92)/10^6</f>
        <v>5.6</v>
      </c>
      <c r="P92" s="257">
        <f>SUM(P48:P91)</f>
        <v>1450.5</v>
      </c>
      <c r="Q92" s="257">
        <f>P92+300</f>
        <v>1750.5</v>
      </c>
      <c r="R92" s="254" t="s">
        <v>148</v>
      </c>
      <c r="S92" s="254" t="s">
        <v>149</v>
      </c>
      <c r="T92" s="258"/>
      <c r="U92" s="254" t="s">
        <v>195</v>
      </c>
      <c r="W92" s="208"/>
      <c r="X92" s="154"/>
      <c r="Y92" s="154"/>
      <c r="Z92" s="154"/>
      <c r="AA92" s="154"/>
      <c r="AB92" s="154"/>
      <c r="AC92" s="154"/>
      <c r="AJ92" s="154"/>
      <c r="AK92" s="154"/>
      <c r="AL92" s="154"/>
      <c r="AM92" s="154"/>
      <c r="AN92" s="154"/>
    </row>
    <row r="93" spans="2:40" s="155" customFormat="1" ht="28.5" customHeight="1">
      <c r="B93" s="343" t="s">
        <v>445</v>
      </c>
      <c r="C93" s="333" t="s">
        <v>399</v>
      </c>
      <c r="D93" s="345" t="s">
        <v>301</v>
      </c>
      <c r="E93" s="247" t="s">
        <v>151</v>
      </c>
      <c r="F93" s="299" t="s">
        <v>197</v>
      </c>
      <c r="G93" s="270" t="s">
        <v>188</v>
      </c>
      <c r="H93" s="332"/>
      <c r="I93" s="248">
        <v>1000</v>
      </c>
      <c r="J93" s="335" t="s">
        <v>302</v>
      </c>
      <c r="K93" s="332"/>
      <c r="L93" s="249"/>
      <c r="M93" s="249"/>
      <c r="N93" s="249"/>
      <c r="O93" s="250"/>
      <c r="P93" s="251">
        <f>W93*I93</f>
        <v>700</v>
      </c>
      <c r="Q93" s="251"/>
      <c r="R93" s="332"/>
      <c r="S93" s="332"/>
      <c r="T93" s="334"/>
      <c r="U93" s="332"/>
      <c r="W93" s="208">
        <v>0.7</v>
      </c>
      <c r="X93" s="154"/>
      <c r="Y93" s="154"/>
      <c r="Z93" s="154"/>
      <c r="AA93" s="154"/>
      <c r="AB93" s="154"/>
      <c r="AC93" s="154"/>
      <c r="AJ93" s="154"/>
      <c r="AK93" s="154"/>
      <c r="AL93" s="154"/>
      <c r="AM93" s="154"/>
      <c r="AN93" s="154"/>
    </row>
    <row r="94" spans="2:40" s="155" customFormat="1" ht="28.5" customHeight="1">
      <c r="B94" s="343" t="s">
        <v>307</v>
      </c>
      <c r="C94" s="333" t="str">
        <f>C93</f>
        <v>OM4-DE-IS-0009-011</v>
      </c>
      <c r="D94" s="345" t="s">
        <v>301</v>
      </c>
      <c r="E94" s="93" t="s">
        <v>155</v>
      </c>
      <c r="F94" s="299" t="s">
        <v>197</v>
      </c>
      <c r="G94" s="270" t="s">
        <v>188</v>
      </c>
      <c r="H94" s="332"/>
      <c r="I94" s="248">
        <v>200</v>
      </c>
      <c r="J94" s="335" t="s">
        <v>302</v>
      </c>
      <c r="K94" s="332"/>
      <c r="L94" s="249"/>
      <c r="M94" s="249"/>
      <c r="N94" s="249"/>
      <c r="O94" s="250"/>
      <c r="P94" s="251">
        <f t="shared" ref="P94:P95" si="6">W94*I94</f>
        <v>600</v>
      </c>
      <c r="Q94" s="251"/>
      <c r="R94" s="332"/>
      <c r="S94" s="332"/>
      <c r="T94" s="334"/>
      <c r="U94" s="332"/>
      <c r="W94" s="208">
        <v>3</v>
      </c>
      <c r="X94" s="154"/>
      <c r="Y94" s="154"/>
      <c r="Z94" s="154"/>
      <c r="AA94" s="154"/>
      <c r="AB94" s="154"/>
      <c r="AC94" s="154"/>
      <c r="AJ94" s="154"/>
      <c r="AK94" s="154"/>
      <c r="AL94" s="154"/>
      <c r="AM94" s="154"/>
      <c r="AN94" s="154"/>
    </row>
    <row r="95" spans="2:40" s="155" customFormat="1" ht="28.5" customHeight="1">
      <c r="B95" s="343" t="s">
        <v>421</v>
      </c>
      <c r="C95" s="333" t="str">
        <f t="shared" ref="C95" si="7">C94</f>
        <v>OM4-DE-IS-0009-011</v>
      </c>
      <c r="D95" s="345" t="s">
        <v>301</v>
      </c>
      <c r="E95" s="93" t="s">
        <v>156</v>
      </c>
      <c r="F95" s="299" t="s">
        <v>197</v>
      </c>
      <c r="G95" s="270" t="s">
        <v>188</v>
      </c>
      <c r="H95" s="332"/>
      <c r="I95" s="248">
        <v>120</v>
      </c>
      <c r="J95" s="335" t="s">
        <v>302</v>
      </c>
      <c r="K95" s="332"/>
      <c r="L95" s="249"/>
      <c r="M95" s="249"/>
      <c r="N95" s="249"/>
      <c r="O95" s="250"/>
      <c r="P95" s="251">
        <f t="shared" si="6"/>
        <v>540</v>
      </c>
      <c r="Q95" s="251"/>
      <c r="R95" s="332"/>
      <c r="S95" s="332"/>
      <c r="T95" s="334"/>
      <c r="U95" s="332"/>
      <c r="W95" s="208">
        <v>4.5</v>
      </c>
      <c r="X95" s="154"/>
      <c r="Y95" s="154"/>
      <c r="Z95" s="154"/>
      <c r="AA95" s="154"/>
      <c r="AB95" s="154"/>
      <c r="AC95" s="154"/>
      <c r="AJ95" s="154"/>
      <c r="AK95" s="154"/>
      <c r="AL95" s="154"/>
      <c r="AM95" s="154"/>
      <c r="AN95" s="154"/>
    </row>
    <row r="96" spans="2:40" s="155" customFormat="1" ht="28.5" customHeight="1">
      <c r="B96" s="501" t="s">
        <v>92</v>
      </c>
      <c r="C96" s="502"/>
      <c r="D96" s="502"/>
      <c r="E96" s="502"/>
      <c r="F96" s="502"/>
      <c r="G96" s="502"/>
      <c r="H96" s="503"/>
      <c r="I96" s="252">
        <f>SUM(I93:I95)</f>
        <v>1320</v>
      </c>
      <c r="J96" s="253"/>
      <c r="K96" s="254" t="s">
        <v>236</v>
      </c>
      <c r="L96" s="255">
        <v>420</v>
      </c>
      <c r="M96" s="255">
        <v>220</v>
      </c>
      <c r="N96" s="255">
        <v>190</v>
      </c>
      <c r="O96" s="256">
        <f>(L96*M96*N96)/10^6</f>
        <v>17.556000000000001</v>
      </c>
      <c r="P96" s="257">
        <f>SUM(P93:P95)</f>
        <v>1840</v>
      </c>
      <c r="Q96" s="257">
        <f>P96+300</f>
        <v>2140</v>
      </c>
      <c r="R96" s="254" t="s">
        <v>148</v>
      </c>
      <c r="S96" s="254" t="s">
        <v>149</v>
      </c>
      <c r="T96" s="258"/>
      <c r="U96" s="254" t="s">
        <v>195</v>
      </c>
      <c r="W96" s="208"/>
      <c r="X96" s="154"/>
      <c r="Y96" s="154"/>
      <c r="Z96" s="154"/>
      <c r="AA96" s="154"/>
      <c r="AB96" s="154"/>
      <c r="AC96" s="154"/>
      <c r="AJ96" s="154"/>
      <c r="AK96" s="154"/>
      <c r="AL96" s="154"/>
      <c r="AM96" s="154"/>
      <c r="AN96" s="154"/>
    </row>
    <row r="97" spans="2:40" s="155" customFormat="1" ht="28.5" customHeight="1">
      <c r="B97" s="343" t="s">
        <v>446</v>
      </c>
      <c r="C97" s="333" t="s">
        <v>400</v>
      </c>
      <c r="D97" s="344" t="s">
        <v>308</v>
      </c>
      <c r="E97" s="93" t="s">
        <v>309</v>
      </c>
      <c r="F97" s="299" t="s">
        <v>197</v>
      </c>
      <c r="G97" s="270" t="s">
        <v>188</v>
      </c>
      <c r="H97" s="332"/>
      <c r="I97" s="248">
        <v>5</v>
      </c>
      <c r="J97" s="335" t="s">
        <v>146</v>
      </c>
      <c r="K97" s="332"/>
      <c r="L97" s="249"/>
      <c r="M97" s="249"/>
      <c r="N97" s="249"/>
      <c r="O97" s="250"/>
      <c r="P97" s="251">
        <f t="shared" ref="P97:P152" si="8">W97*I97</f>
        <v>6</v>
      </c>
      <c r="Q97" s="251"/>
      <c r="R97" s="332"/>
      <c r="S97" s="332"/>
      <c r="T97" s="334"/>
      <c r="U97" s="332"/>
      <c r="W97" s="208">
        <v>1.2</v>
      </c>
      <c r="X97" s="154"/>
      <c r="Y97" s="154"/>
      <c r="Z97" s="154"/>
      <c r="AA97" s="154"/>
      <c r="AB97" s="154"/>
      <c r="AC97" s="154"/>
      <c r="AJ97" s="154"/>
      <c r="AK97" s="154"/>
      <c r="AL97" s="154"/>
      <c r="AM97" s="154"/>
      <c r="AN97" s="154"/>
    </row>
    <row r="98" spans="2:40" s="155" customFormat="1" ht="28.5" customHeight="1">
      <c r="B98" s="343" t="s">
        <v>312</v>
      </c>
      <c r="C98" s="333" t="str">
        <f>C97</f>
        <v>OM4-DE-IS-0009-012</v>
      </c>
      <c r="D98" s="344" t="s">
        <v>308</v>
      </c>
      <c r="E98" s="93" t="s">
        <v>311</v>
      </c>
      <c r="F98" s="299" t="s">
        <v>197</v>
      </c>
      <c r="G98" s="270" t="s">
        <v>188</v>
      </c>
      <c r="H98" s="332"/>
      <c r="I98" s="248">
        <v>5</v>
      </c>
      <c r="J98" s="335" t="s">
        <v>146</v>
      </c>
      <c r="K98" s="332"/>
      <c r="L98" s="249"/>
      <c r="M98" s="249"/>
      <c r="N98" s="249"/>
      <c r="O98" s="250"/>
      <c r="P98" s="251">
        <f t="shared" si="8"/>
        <v>10</v>
      </c>
      <c r="Q98" s="251"/>
      <c r="R98" s="332"/>
      <c r="S98" s="332"/>
      <c r="T98" s="334"/>
      <c r="U98" s="332"/>
      <c r="W98" s="208">
        <v>2</v>
      </c>
      <c r="X98" s="154"/>
      <c r="Y98" s="154"/>
      <c r="Z98" s="154"/>
      <c r="AA98" s="154"/>
      <c r="AB98" s="154"/>
      <c r="AC98" s="154"/>
      <c r="AJ98" s="154"/>
      <c r="AK98" s="154"/>
      <c r="AL98" s="154"/>
      <c r="AM98" s="154"/>
      <c r="AN98" s="154"/>
    </row>
    <row r="99" spans="2:40" s="155" customFormat="1" ht="28.5" customHeight="1">
      <c r="B99" s="343" t="s">
        <v>314</v>
      </c>
      <c r="C99" s="333" t="str">
        <f t="shared" ref="C99:C131" si="9">C98</f>
        <v>OM4-DE-IS-0009-012</v>
      </c>
      <c r="D99" s="344" t="s">
        <v>308</v>
      </c>
      <c r="E99" s="93" t="s">
        <v>313</v>
      </c>
      <c r="F99" s="299" t="s">
        <v>197</v>
      </c>
      <c r="G99" s="270" t="s">
        <v>188</v>
      </c>
      <c r="H99" s="332"/>
      <c r="I99" s="248">
        <v>5</v>
      </c>
      <c r="J99" s="335" t="s">
        <v>146</v>
      </c>
      <c r="K99" s="332"/>
      <c r="L99" s="249"/>
      <c r="M99" s="249"/>
      <c r="N99" s="249"/>
      <c r="O99" s="250"/>
      <c r="P99" s="251">
        <f t="shared" si="8"/>
        <v>10</v>
      </c>
      <c r="Q99" s="251"/>
      <c r="R99" s="332"/>
      <c r="S99" s="332"/>
      <c r="T99" s="334"/>
      <c r="U99" s="332"/>
      <c r="W99" s="208">
        <v>2</v>
      </c>
      <c r="X99" s="154"/>
      <c r="Y99" s="154"/>
      <c r="Z99" s="154"/>
      <c r="AA99" s="154"/>
      <c r="AB99" s="154"/>
      <c r="AC99" s="154"/>
      <c r="AJ99" s="154"/>
      <c r="AK99" s="154"/>
      <c r="AL99" s="154"/>
      <c r="AM99" s="154"/>
      <c r="AN99" s="154"/>
    </row>
    <row r="100" spans="2:40" s="155" customFormat="1" ht="28.5" customHeight="1">
      <c r="B100" s="343" t="s">
        <v>316</v>
      </c>
      <c r="C100" s="333" t="str">
        <f t="shared" si="9"/>
        <v>OM4-DE-IS-0009-012</v>
      </c>
      <c r="D100" s="344" t="s">
        <v>308</v>
      </c>
      <c r="E100" s="93" t="s">
        <v>315</v>
      </c>
      <c r="F100" s="299" t="s">
        <v>197</v>
      </c>
      <c r="G100" s="270" t="s">
        <v>188</v>
      </c>
      <c r="H100" s="332"/>
      <c r="I100" s="248">
        <v>5</v>
      </c>
      <c r="J100" s="335" t="s">
        <v>146</v>
      </c>
      <c r="K100" s="332"/>
      <c r="L100" s="249"/>
      <c r="M100" s="249"/>
      <c r="N100" s="249"/>
      <c r="O100" s="250"/>
      <c r="P100" s="251">
        <f t="shared" si="8"/>
        <v>15</v>
      </c>
      <c r="Q100" s="251"/>
      <c r="R100" s="332"/>
      <c r="S100" s="332"/>
      <c r="T100" s="334"/>
      <c r="U100" s="332"/>
      <c r="W100" s="208">
        <v>3</v>
      </c>
      <c r="X100" s="154"/>
      <c r="Y100" s="154"/>
      <c r="Z100" s="154"/>
      <c r="AA100" s="154"/>
      <c r="AB100" s="154"/>
      <c r="AC100" s="154"/>
      <c r="AJ100" s="154"/>
      <c r="AK100" s="154"/>
      <c r="AL100" s="154"/>
      <c r="AM100" s="154"/>
      <c r="AN100" s="154"/>
    </row>
    <row r="101" spans="2:40" s="155" customFormat="1" ht="28.5" customHeight="1">
      <c r="B101" s="343" t="s">
        <v>318</v>
      </c>
      <c r="C101" s="333" t="str">
        <f t="shared" si="9"/>
        <v>OM4-DE-IS-0009-012</v>
      </c>
      <c r="D101" s="344" t="s">
        <v>308</v>
      </c>
      <c r="E101" s="93" t="s">
        <v>317</v>
      </c>
      <c r="F101" s="299" t="s">
        <v>197</v>
      </c>
      <c r="G101" s="270" t="s">
        <v>188</v>
      </c>
      <c r="H101" s="332"/>
      <c r="I101" s="248">
        <v>5</v>
      </c>
      <c r="J101" s="335" t="s">
        <v>146</v>
      </c>
      <c r="K101" s="332"/>
      <c r="L101" s="249"/>
      <c r="M101" s="249"/>
      <c r="N101" s="249"/>
      <c r="O101" s="250"/>
      <c r="P101" s="251">
        <f t="shared" si="8"/>
        <v>20</v>
      </c>
      <c r="Q101" s="251"/>
      <c r="R101" s="332"/>
      <c r="S101" s="332"/>
      <c r="T101" s="334"/>
      <c r="U101" s="332"/>
      <c r="W101" s="208">
        <v>4</v>
      </c>
      <c r="X101" s="154"/>
      <c r="Y101" s="154"/>
      <c r="Z101" s="154"/>
      <c r="AA101" s="154"/>
      <c r="AB101" s="154"/>
      <c r="AC101" s="154"/>
      <c r="AJ101" s="154"/>
      <c r="AK101" s="154"/>
      <c r="AL101" s="154"/>
      <c r="AM101" s="154"/>
      <c r="AN101" s="154"/>
    </row>
    <row r="102" spans="2:40" s="155" customFormat="1" ht="28.5" customHeight="1">
      <c r="B102" s="343" t="s">
        <v>320</v>
      </c>
      <c r="C102" s="333" t="str">
        <f t="shared" si="9"/>
        <v>OM4-DE-IS-0009-012</v>
      </c>
      <c r="D102" s="344" t="s">
        <v>319</v>
      </c>
      <c r="E102" s="93" t="s">
        <v>151</v>
      </c>
      <c r="F102" s="299" t="s">
        <v>197</v>
      </c>
      <c r="G102" s="270" t="s">
        <v>188</v>
      </c>
      <c r="H102" s="332"/>
      <c r="I102" s="248">
        <v>5</v>
      </c>
      <c r="J102" s="335" t="s">
        <v>146</v>
      </c>
      <c r="K102" s="332"/>
      <c r="L102" s="249"/>
      <c r="M102" s="249"/>
      <c r="N102" s="249"/>
      <c r="O102" s="250"/>
      <c r="P102" s="251">
        <f t="shared" si="8"/>
        <v>4</v>
      </c>
      <c r="Q102" s="251"/>
      <c r="R102" s="332"/>
      <c r="S102" s="332"/>
      <c r="T102" s="334"/>
      <c r="U102" s="332"/>
      <c r="W102" s="208">
        <v>0.8</v>
      </c>
      <c r="X102" s="154"/>
      <c r="Y102" s="154"/>
      <c r="Z102" s="154"/>
      <c r="AA102" s="154"/>
      <c r="AB102" s="154"/>
      <c r="AC102" s="154"/>
      <c r="AJ102" s="154"/>
      <c r="AK102" s="154"/>
      <c r="AL102" s="154"/>
      <c r="AM102" s="154"/>
      <c r="AN102" s="154"/>
    </row>
    <row r="103" spans="2:40" s="155" customFormat="1" ht="28.5" customHeight="1">
      <c r="B103" s="343" t="s">
        <v>322</v>
      </c>
      <c r="C103" s="333" t="str">
        <f t="shared" si="9"/>
        <v>OM4-DE-IS-0009-012</v>
      </c>
      <c r="D103" s="344" t="s">
        <v>319</v>
      </c>
      <c r="E103" s="93" t="s">
        <v>321</v>
      </c>
      <c r="F103" s="299" t="s">
        <v>197</v>
      </c>
      <c r="G103" s="270" t="s">
        <v>188</v>
      </c>
      <c r="H103" s="332"/>
      <c r="I103" s="248">
        <v>5</v>
      </c>
      <c r="J103" s="335" t="s">
        <v>146</v>
      </c>
      <c r="K103" s="332"/>
      <c r="L103" s="249"/>
      <c r="M103" s="249"/>
      <c r="N103" s="249"/>
      <c r="O103" s="250"/>
      <c r="P103" s="251">
        <f t="shared" si="8"/>
        <v>6.5</v>
      </c>
      <c r="Q103" s="251"/>
      <c r="R103" s="332"/>
      <c r="S103" s="332"/>
      <c r="T103" s="334"/>
      <c r="U103" s="332"/>
      <c r="W103" s="208">
        <v>1.3</v>
      </c>
      <c r="X103" s="154"/>
      <c r="Y103" s="154"/>
      <c r="Z103" s="154"/>
      <c r="AA103" s="154"/>
      <c r="AB103" s="154"/>
      <c r="AC103" s="154"/>
      <c r="AJ103" s="154"/>
      <c r="AK103" s="154"/>
      <c r="AL103" s="154"/>
      <c r="AM103" s="154"/>
      <c r="AN103" s="154"/>
    </row>
    <row r="104" spans="2:40" s="155" customFormat="1" ht="28.5" customHeight="1">
      <c r="B104" s="343" t="s">
        <v>323</v>
      </c>
      <c r="C104" s="333" t="str">
        <f t="shared" si="9"/>
        <v>OM4-DE-IS-0009-012</v>
      </c>
      <c r="D104" s="344" t="s">
        <v>319</v>
      </c>
      <c r="E104" s="93" t="s">
        <v>153</v>
      </c>
      <c r="F104" s="299" t="s">
        <v>197</v>
      </c>
      <c r="G104" s="270" t="s">
        <v>188</v>
      </c>
      <c r="H104" s="332"/>
      <c r="I104" s="248">
        <v>5</v>
      </c>
      <c r="J104" s="335" t="s">
        <v>146</v>
      </c>
      <c r="K104" s="332"/>
      <c r="L104" s="249"/>
      <c r="M104" s="249"/>
      <c r="N104" s="249"/>
      <c r="O104" s="250"/>
      <c r="P104" s="251">
        <f t="shared" si="8"/>
        <v>9</v>
      </c>
      <c r="Q104" s="251"/>
      <c r="R104" s="332"/>
      <c r="S104" s="332"/>
      <c r="T104" s="334"/>
      <c r="U104" s="332"/>
      <c r="W104" s="208">
        <v>1.8</v>
      </c>
      <c r="X104" s="154"/>
      <c r="Y104" s="154"/>
      <c r="Z104" s="154"/>
      <c r="AA104" s="154"/>
      <c r="AB104" s="154"/>
      <c r="AC104" s="154"/>
      <c r="AJ104" s="154"/>
      <c r="AK104" s="154"/>
      <c r="AL104" s="154"/>
      <c r="AM104" s="154"/>
      <c r="AN104" s="154"/>
    </row>
    <row r="105" spans="2:40" s="155" customFormat="1" ht="28.5" customHeight="1">
      <c r="B105" s="343" t="s">
        <v>324</v>
      </c>
      <c r="C105" s="333" t="str">
        <f t="shared" si="9"/>
        <v>OM4-DE-IS-0009-012</v>
      </c>
      <c r="D105" s="344" t="s">
        <v>319</v>
      </c>
      <c r="E105" s="93" t="s">
        <v>154</v>
      </c>
      <c r="F105" s="299" t="s">
        <v>197</v>
      </c>
      <c r="G105" s="270" t="s">
        <v>188</v>
      </c>
      <c r="H105" s="332"/>
      <c r="I105" s="248">
        <v>5</v>
      </c>
      <c r="J105" s="335" t="s">
        <v>146</v>
      </c>
      <c r="K105" s="332"/>
      <c r="L105" s="249"/>
      <c r="M105" s="249"/>
      <c r="N105" s="249"/>
      <c r="O105" s="250"/>
      <c r="P105" s="251">
        <f t="shared" si="8"/>
        <v>14</v>
      </c>
      <c r="Q105" s="251"/>
      <c r="R105" s="332"/>
      <c r="S105" s="332"/>
      <c r="T105" s="334"/>
      <c r="U105" s="332"/>
      <c r="W105" s="208">
        <v>2.8</v>
      </c>
      <c r="X105" s="154"/>
      <c r="Y105" s="154"/>
      <c r="Z105" s="154"/>
      <c r="AA105" s="154"/>
      <c r="AB105" s="154"/>
      <c r="AC105" s="154"/>
      <c r="AJ105" s="154"/>
      <c r="AK105" s="154"/>
      <c r="AL105" s="154"/>
      <c r="AM105" s="154"/>
      <c r="AN105" s="154"/>
    </row>
    <row r="106" spans="2:40" s="155" customFormat="1" ht="28.5" customHeight="1">
      <c r="B106" s="343" t="s">
        <v>326</v>
      </c>
      <c r="C106" s="333" t="str">
        <f t="shared" si="9"/>
        <v>OM4-DE-IS-0009-012</v>
      </c>
      <c r="D106" s="344" t="s">
        <v>325</v>
      </c>
      <c r="E106" s="93" t="s">
        <v>151</v>
      </c>
      <c r="F106" s="299" t="s">
        <v>197</v>
      </c>
      <c r="G106" s="270" t="s">
        <v>188</v>
      </c>
      <c r="H106" s="332"/>
      <c r="I106" s="248">
        <v>5</v>
      </c>
      <c r="J106" s="335" t="s">
        <v>146</v>
      </c>
      <c r="K106" s="332"/>
      <c r="L106" s="249"/>
      <c r="M106" s="249"/>
      <c r="N106" s="249"/>
      <c r="O106" s="250"/>
      <c r="P106" s="251">
        <f t="shared" si="8"/>
        <v>4.5</v>
      </c>
      <c r="Q106" s="251"/>
      <c r="R106" s="332"/>
      <c r="S106" s="332"/>
      <c r="T106" s="334"/>
      <c r="U106" s="332"/>
      <c r="W106" s="208">
        <v>0.9</v>
      </c>
      <c r="X106" s="154"/>
      <c r="Y106" s="154"/>
      <c r="Z106" s="154"/>
      <c r="AA106" s="154"/>
      <c r="AB106" s="154"/>
      <c r="AC106" s="154"/>
      <c r="AJ106" s="154"/>
      <c r="AK106" s="154"/>
      <c r="AL106" s="154"/>
      <c r="AM106" s="154"/>
      <c r="AN106" s="154"/>
    </row>
    <row r="107" spans="2:40" s="155" customFormat="1" ht="28.5" customHeight="1">
      <c r="B107" s="343" t="s">
        <v>327</v>
      </c>
      <c r="C107" s="333" t="str">
        <f t="shared" si="9"/>
        <v>OM4-DE-IS-0009-012</v>
      </c>
      <c r="D107" s="344" t="s">
        <v>325</v>
      </c>
      <c r="E107" s="93" t="s">
        <v>321</v>
      </c>
      <c r="F107" s="299" t="s">
        <v>197</v>
      </c>
      <c r="G107" s="270" t="s">
        <v>188</v>
      </c>
      <c r="H107" s="332"/>
      <c r="I107" s="248">
        <v>5</v>
      </c>
      <c r="J107" s="335" t="s">
        <v>146</v>
      </c>
      <c r="K107" s="332"/>
      <c r="L107" s="249"/>
      <c r="M107" s="249"/>
      <c r="N107" s="249"/>
      <c r="O107" s="250"/>
      <c r="P107" s="251">
        <f t="shared" si="8"/>
        <v>6.5</v>
      </c>
      <c r="Q107" s="251"/>
      <c r="R107" s="332"/>
      <c r="S107" s="332"/>
      <c r="T107" s="334"/>
      <c r="U107" s="332"/>
      <c r="W107" s="208">
        <v>1.3</v>
      </c>
      <c r="X107" s="154"/>
      <c r="Y107" s="154"/>
      <c r="Z107" s="154"/>
      <c r="AA107" s="154"/>
      <c r="AB107" s="154"/>
      <c r="AC107" s="154"/>
      <c r="AJ107" s="154"/>
      <c r="AK107" s="154"/>
      <c r="AL107" s="154"/>
      <c r="AM107" s="154"/>
      <c r="AN107" s="154"/>
    </row>
    <row r="108" spans="2:40" s="155" customFormat="1" ht="28.5" customHeight="1">
      <c r="B108" s="343" t="s">
        <v>328</v>
      </c>
      <c r="C108" s="333" t="str">
        <f t="shared" si="9"/>
        <v>OM4-DE-IS-0009-012</v>
      </c>
      <c r="D108" s="344" t="s">
        <v>325</v>
      </c>
      <c r="E108" s="93" t="s">
        <v>153</v>
      </c>
      <c r="F108" s="299" t="s">
        <v>197</v>
      </c>
      <c r="G108" s="270" t="s">
        <v>188</v>
      </c>
      <c r="H108" s="332"/>
      <c r="I108" s="248">
        <v>5</v>
      </c>
      <c r="J108" s="335" t="s">
        <v>146</v>
      </c>
      <c r="K108" s="332"/>
      <c r="L108" s="249"/>
      <c r="M108" s="249"/>
      <c r="N108" s="249"/>
      <c r="O108" s="250"/>
      <c r="P108" s="251">
        <f t="shared" si="8"/>
        <v>9.75</v>
      </c>
      <c r="Q108" s="251"/>
      <c r="R108" s="332"/>
      <c r="S108" s="332"/>
      <c r="T108" s="334"/>
      <c r="U108" s="332"/>
      <c r="W108" s="208">
        <v>1.95</v>
      </c>
      <c r="X108" s="154"/>
      <c r="Y108" s="154"/>
      <c r="Z108" s="154"/>
      <c r="AA108" s="154"/>
      <c r="AB108" s="154"/>
      <c r="AC108" s="154"/>
      <c r="AJ108" s="154"/>
      <c r="AK108" s="154"/>
      <c r="AL108" s="154"/>
      <c r="AM108" s="154"/>
      <c r="AN108" s="154"/>
    </row>
    <row r="109" spans="2:40" s="155" customFormat="1" ht="28.5" customHeight="1">
      <c r="B109" s="343" t="s">
        <v>329</v>
      </c>
      <c r="C109" s="333" t="str">
        <f t="shared" si="9"/>
        <v>OM4-DE-IS-0009-012</v>
      </c>
      <c r="D109" s="344" t="s">
        <v>325</v>
      </c>
      <c r="E109" s="93" t="s">
        <v>154</v>
      </c>
      <c r="F109" s="299" t="s">
        <v>197</v>
      </c>
      <c r="G109" s="270" t="s">
        <v>188</v>
      </c>
      <c r="H109" s="332"/>
      <c r="I109" s="248">
        <v>5</v>
      </c>
      <c r="J109" s="335" t="s">
        <v>146</v>
      </c>
      <c r="K109" s="332"/>
      <c r="L109" s="249"/>
      <c r="M109" s="249"/>
      <c r="N109" s="249"/>
      <c r="O109" s="250"/>
      <c r="P109" s="251">
        <f t="shared" si="8"/>
        <v>13</v>
      </c>
      <c r="Q109" s="251"/>
      <c r="R109" s="332"/>
      <c r="S109" s="332"/>
      <c r="T109" s="334"/>
      <c r="U109" s="332"/>
      <c r="W109" s="208">
        <v>2.6</v>
      </c>
      <c r="X109" s="154"/>
      <c r="Y109" s="154"/>
      <c r="Z109" s="154"/>
      <c r="AA109" s="154"/>
      <c r="AB109" s="154"/>
      <c r="AC109" s="154"/>
      <c r="AJ109" s="154"/>
      <c r="AK109" s="154"/>
      <c r="AL109" s="154"/>
      <c r="AM109" s="154"/>
      <c r="AN109" s="154"/>
    </row>
    <row r="110" spans="2:40" s="155" customFormat="1" ht="28.5" customHeight="1">
      <c r="B110" s="343" t="s">
        <v>331</v>
      </c>
      <c r="C110" s="333" t="str">
        <f t="shared" si="9"/>
        <v>OM4-DE-IS-0009-012</v>
      </c>
      <c r="D110" s="344" t="s">
        <v>330</v>
      </c>
      <c r="E110" s="93" t="s">
        <v>151</v>
      </c>
      <c r="F110" s="299" t="s">
        <v>197</v>
      </c>
      <c r="G110" s="270" t="s">
        <v>188</v>
      </c>
      <c r="H110" s="332"/>
      <c r="I110" s="248">
        <v>2100</v>
      </c>
      <c r="J110" s="335" t="s">
        <v>449</v>
      </c>
      <c r="K110" s="332"/>
      <c r="L110" s="249"/>
      <c r="M110" s="249"/>
      <c r="N110" s="249"/>
      <c r="O110" s="250"/>
      <c r="P110" s="251">
        <f t="shared" si="8"/>
        <v>149.1</v>
      </c>
      <c r="Q110" s="251"/>
      <c r="R110" s="332"/>
      <c r="S110" s="332"/>
      <c r="T110" s="334"/>
      <c r="U110" s="332"/>
      <c r="W110" s="208">
        <v>7.0999999999999994E-2</v>
      </c>
      <c r="X110" s="154"/>
      <c r="Y110" s="154"/>
      <c r="Z110" s="154"/>
      <c r="AA110" s="154"/>
      <c r="AB110" s="154"/>
      <c r="AC110" s="154"/>
      <c r="AJ110" s="154"/>
      <c r="AK110" s="154"/>
      <c r="AL110" s="154"/>
      <c r="AM110" s="154"/>
      <c r="AN110" s="154"/>
    </row>
    <row r="111" spans="2:40" s="155" customFormat="1" ht="28.5" customHeight="1">
      <c r="B111" s="343" t="s">
        <v>332</v>
      </c>
      <c r="C111" s="333" t="str">
        <f t="shared" si="9"/>
        <v>OM4-DE-IS-0009-012</v>
      </c>
      <c r="D111" s="344" t="s">
        <v>330</v>
      </c>
      <c r="E111" s="93" t="s">
        <v>152</v>
      </c>
      <c r="F111" s="299" t="s">
        <v>197</v>
      </c>
      <c r="G111" s="270" t="s">
        <v>188</v>
      </c>
      <c r="H111" s="332"/>
      <c r="I111" s="248">
        <v>1000</v>
      </c>
      <c r="J111" s="363" t="s">
        <v>449</v>
      </c>
      <c r="K111" s="332"/>
      <c r="L111" s="249"/>
      <c r="M111" s="249"/>
      <c r="N111" s="249"/>
      <c r="O111" s="250"/>
      <c r="P111" s="251">
        <f t="shared" si="8"/>
        <v>91</v>
      </c>
      <c r="Q111" s="251"/>
      <c r="R111" s="332"/>
      <c r="S111" s="332"/>
      <c r="T111" s="334"/>
      <c r="U111" s="332"/>
      <c r="W111" s="208">
        <v>9.0999999999999998E-2</v>
      </c>
      <c r="X111" s="154"/>
      <c r="Y111" s="154"/>
      <c r="Z111" s="154"/>
      <c r="AA111" s="154"/>
      <c r="AB111" s="154"/>
      <c r="AC111" s="154"/>
      <c r="AJ111" s="154"/>
      <c r="AK111" s="154"/>
      <c r="AL111" s="154"/>
      <c r="AM111" s="154"/>
      <c r="AN111" s="154"/>
    </row>
    <row r="112" spans="2:40" s="155" customFormat="1" ht="28.5" customHeight="1">
      <c r="B112" s="343" t="s">
        <v>333</v>
      </c>
      <c r="C112" s="333" t="str">
        <f t="shared" si="9"/>
        <v>OM4-DE-IS-0009-012</v>
      </c>
      <c r="D112" s="344" t="s">
        <v>330</v>
      </c>
      <c r="E112" s="93" t="s">
        <v>153</v>
      </c>
      <c r="F112" s="299" t="s">
        <v>197</v>
      </c>
      <c r="G112" s="270" t="s">
        <v>188</v>
      </c>
      <c r="H112" s="332"/>
      <c r="I112" s="248">
        <v>850</v>
      </c>
      <c r="J112" s="363" t="s">
        <v>449</v>
      </c>
      <c r="K112" s="332"/>
      <c r="L112" s="249"/>
      <c r="M112" s="249"/>
      <c r="N112" s="249"/>
      <c r="O112" s="250"/>
      <c r="P112" s="251">
        <f t="shared" si="8"/>
        <v>77.349999999999994</v>
      </c>
      <c r="Q112" s="251"/>
      <c r="R112" s="332"/>
      <c r="S112" s="332"/>
      <c r="T112" s="334"/>
      <c r="U112" s="332"/>
      <c r="W112" s="208">
        <v>9.0999999999999998E-2</v>
      </c>
      <c r="X112" s="154"/>
      <c r="Y112" s="154"/>
      <c r="Z112" s="154"/>
      <c r="AA112" s="154"/>
      <c r="AB112" s="154"/>
      <c r="AC112" s="154"/>
      <c r="AJ112" s="154"/>
      <c r="AK112" s="154"/>
      <c r="AL112" s="154"/>
      <c r="AM112" s="154"/>
      <c r="AN112" s="154"/>
    </row>
    <row r="113" spans="2:40" s="155" customFormat="1" ht="28.5" customHeight="1">
      <c r="B113" s="343" t="s">
        <v>334</v>
      </c>
      <c r="C113" s="333" t="str">
        <f t="shared" si="9"/>
        <v>OM4-DE-IS-0009-012</v>
      </c>
      <c r="D113" s="344" t="s">
        <v>330</v>
      </c>
      <c r="E113" s="93" t="s">
        <v>154</v>
      </c>
      <c r="F113" s="299" t="s">
        <v>197</v>
      </c>
      <c r="G113" s="270" t="s">
        <v>188</v>
      </c>
      <c r="H113" s="332"/>
      <c r="I113" s="248">
        <v>500</v>
      </c>
      <c r="J113" s="363" t="s">
        <v>449</v>
      </c>
      <c r="K113" s="332"/>
      <c r="L113" s="249"/>
      <c r="M113" s="249"/>
      <c r="N113" s="249"/>
      <c r="O113" s="250"/>
      <c r="P113" s="251">
        <f t="shared" si="8"/>
        <v>55.5</v>
      </c>
      <c r="Q113" s="251"/>
      <c r="R113" s="332"/>
      <c r="S113" s="332"/>
      <c r="T113" s="334"/>
      <c r="U113" s="332"/>
      <c r="W113" s="208">
        <v>0.111</v>
      </c>
      <c r="X113" s="154"/>
      <c r="Y113" s="154"/>
      <c r="Z113" s="154"/>
      <c r="AA113" s="154"/>
      <c r="AB113" s="154"/>
      <c r="AC113" s="154"/>
      <c r="AJ113" s="154"/>
      <c r="AK113" s="154"/>
      <c r="AL113" s="154"/>
      <c r="AM113" s="154"/>
      <c r="AN113" s="154"/>
    </row>
    <row r="114" spans="2:40" s="155" customFormat="1" ht="28.5" customHeight="1">
      <c r="B114" s="343" t="s">
        <v>335</v>
      </c>
      <c r="C114" s="333" t="str">
        <f t="shared" si="9"/>
        <v>OM4-DE-IS-0009-012</v>
      </c>
      <c r="D114" s="344" t="s">
        <v>330</v>
      </c>
      <c r="E114" s="93" t="s">
        <v>155</v>
      </c>
      <c r="F114" s="299" t="s">
        <v>197</v>
      </c>
      <c r="G114" s="270" t="s">
        <v>188</v>
      </c>
      <c r="H114" s="332"/>
      <c r="I114" s="248">
        <v>400</v>
      </c>
      <c r="J114" s="363" t="s">
        <v>449</v>
      </c>
      <c r="K114" s="332"/>
      <c r="L114" s="249"/>
      <c r="M114" s="249"/>
      <c r="N114" s="249"/>
      <c r="O114" s="250"/>
      <c r="P114" s="251">
        <f t="shared" si="8"/>
        <v>64.400000000000006</v>
      </c>
      <c r="Q114" s="251"/>
      <c r="R114" s="332"/>
      <c r="S114" s="332"/>
      <c r="T114" s="334"/>
      <c r="U114" s="332"/>
      <c r="W114" s="208">
        <v>0.161</v>
      </c>
      <c r="X114" s="154"/>
      <c r="Y114" s="154"/>
      <c r="Z114" s="154"/>
      <c r="AA114" s="154"/>
      <c r="AB114" s="154"/>
      <c r="AC114" s="154"/>
      <c r="AJ114" s="154"/>
      <c r="AK114" s="154"/>
      <c r="AL114" s="154"/>
      <c r="AM114" s="154"/>
      <c r="AN114" s="154"/>
    </row>
    <row r="115" spans="2:40" s="155" customFormat="1" ht="28.5" customHeight="1">
      <c r="B115" s="343" t="s">
        <v>422</v>
      </c>
      <c r="C115" s="333" t="str">
        <f t="shared" si="9"/>
        <v>OM4-DE-IS-0009-012</v>
      </c>
      <c r="D115" s="344" t="s">
        <v>330</v>
      </c>
      <c r="E115" s="93" t="s">
        <v>156</v>
      </c>
      <c r="F115" s="299" t="s">
        <v>197</v>
      </c>
      <c r="G115" s="270" t="s">
        <v>188</v>
      </c>
      <c r="H115" s="332"/>
      <c r="I115" s="248">
        <v>400</v>
      </c>
      <c r="J115" s="363" t="s">
        <v>449</v>
      </c>
      <c r="K115" s="332"/>
      <c r="L115" s="249"/>
      <c r="M115" s="249"/>
      <c r="N115" s="249"/>
      <c r="O115" s="250"/>
      <c r="P115" s="251">
        <f t="shared" si="8"/>
        <v>84.399999999999991</v>
      </c>
      <c r="Q115" s="251"/>
      <c r="R115" s="332"/>
      <c r="S115" s="332"/>
      <c r="T115" s="334"/>
      <c r="U115" s="332"/>
      <c r="W115" s="208">
        <v>0.21099999999999999</v>
      </c>
      <c r="X115" s="154"/>
      <c r="Y115" s="154"/>
      <c r="Z115" s="154"/>
      <c r="AA115" s="154"/>
      <c r="AB115" s="154"/>
      <c r="AC115" s="154"/>
      <c r="AJ115" s="154"/>
      <c r="AK115" s="154"/>
      <c r="AL115" s="154"/>
      <c r="AM115" s="154"/>
      <c r="AN115" s="154"/>
    </row>
    <row r="116" spans="2:40" s="155" customFormat="1" ht="28.5" customHeight="1">
      <c r="B116" s="343" t="s">
        <v>336</v>
      </c>
      <c r="C116" s="333" t="str">
        <f>C115</f>
        <v>OM4-DE-IS-0009-012</v>
      </c>
      <c r="D116" s="344" t="s">
        <v>337</v>
      </c>
      <c r="E116" s="93" t="s">
        <v>151</v>
      </c>
      <c r="F116" s="299" t="s">
        <v>197</v>
      </c>
      <c r="G116" s="270" t="s">
        <v>188</v>
      </c>
      <c r="H116" s="332"/>
      <c r="I116" s="248">
        <v>50</v>
      </c>
      <c r="J116" s="335" t="s">
        <v>146</v>
      </c>
      <c r="K116" s="332"/>
      <c r="L116" s="249"/>
      <c r="M116" s="249"/>
      <c r="N116" s="249"/>
      <c r="O116" s="250"/>
      <c r="P116" s="251">
        <f t="shared" si="8"/>
        <v>3</v>
      </c>
      <c r="Q116" s="251"/>
      <c r="R116" s="332"/>
      <c r="S116" s="332"/>
      <c r="T116" s="334"/>
      <c r="U116" s="332"/>
      <c r="W116" s="208">
        <v>0.06</v>
      </c>
      <c r="X116" s="154"/>
      <c r="Y116" s="154"/>
      <c r="Z116" s="154"/>
      <c r="AA116" s="154"/>
      <c r="AB116" s="154"/>
      <c r="AC116" s="154"/>
      <c r="AJ116" s="154"/>
      <c r="AK116" s="154"/>
      <c r="AL116" s="154"/>
      <c r="AM116" s="154"/>
      <c r="AN116" s="154"/>
    </row>
    <row r="117" spans="2:40" s="155" customFormat="1" ht="28.5" customHeight="1">
      <c r="B117" s="343" t="s">
        <v>338</v>
      </c>
      <c r="C117" s="333" t="str">
        <f t="shared" si="9"/>
        <v>OM4-DE-IS-0009-012</v>
      </c>
      <c r="D117" s="344" t="s">
        <v>337</v>
      </c>
      <c r="E117" s="93" t="s">
        <v>152</v>
      </c>
      <c r="F117" s="299" t="s">
        <v>197</v>
      </c>
      <c r="G117" s="270" t="s">
        <v>188</v>
      </c>
      <c r="H117" s="332"/>
      <c r="I117" s="248">
        <v>50</v>
      </c>
      <c r="J117" s="335" t="s">
        <v>146</v>
      </c>
      <c r="K117" s="332"/>
      <c r="L117" s="249"/>
      <c r="M117" s="249"/>
      <c r="N117" s="249"/>
      <c r="O117" s="250"/>
      <c r="P117" s="251">
        <f t="shared" si="8"/>
        <v>4</v>
      </c>
      <c r="Q117" s="251"/>
      <c r="R117" s="332"/>
      <c r="S117" s="332"/>
      <c r="T117" s="334"/>
      <c r="U117" s="332"/>
      <c r="W117" s="208">
        <v>0.08</v>
      </c>
      <c r="X117" s="154"/>
      <c r="Y117" s="154"/>
      <c r="Z117" s="154"/>
      <c r="AA117" s="154"/>
      <c r="AB117" s="154"/>
      <c r="AC117" s="154"/>
      <c r="AJ117" s="154"/>
      <c r="AK117" s="154"/>
      <c r="AL117" s="154"/>
      <c r="AM117" s="154"/>
      <c r="AN117" s="154"/>
    </row>
    <row r="118" spans="2:40" s="155" customFormat="1" ht="28.5" customHeight="1">
      <c r="B118" s="343" t="s">
        <v>339</v>
      </c>
      <c r="C118" s="333" t="str">
        <f t="shared" si="9"/>
        <v>OM4-DE-IS-0009-012</v>
      </c>
      <c r="D118" s="344" t="s">
        <v>337</v>
      </c>
      <c r="E118" s="93" t="s">
        <v>153</v>
      </c>
      <c r="F118" s="299" t="s">
        <v>197</v>
      </c>
      <c r="G118" s="270" t="s">
        <v>188</v>
      </c>
      <c r="H118" s="332"/>
      <c r="I118" s="248">
        <v>50</v>
      </c>
      <c r="J118" s="335" t="s">
        <v>146</v>
      </c>
      <c r="K118" s="332"/>
      <c r="L118" s="249"/>
      <c r="M118" s="249"/>
      <c r="N118" s="249"/>
      <c r="O118" s="250"/>
      <c r="P118" s="251">
        <f t="shared" si="8"/>
        <v>4</v>
      </c>
      <c r="Q118" s="251"/>
      <c r="R118" s="332"/>
      <c r="S118" s="332"/>
      <c r="T118" s="334"/>
      <c r="U118" s="332"/>
      <c r="W118" s="208">
        <v>0.08</v>
      </c>
      <c r="X118" s="154"/>
      <c r="Y118" s="154"/>
      <c r="Z118" s="154"/>
      <c r="AA118" s="154"/>
      <c r="AB118" s="154"/>
      <c r="AC118" s="154"/>
      <c r="AJ118" s="154"/>
      <c r="AK118" s="154"/>
      <c r="AL118" s="154"/>
      <c r="AM118" s="154"/>
      <c r="AN118" s="154"/>
    </row>
    <row r="119" spans="2:40" s="155" customFormat="1" ht="28.5" customHeight="1">
      <c r="B119" s="343" t="s">
        <v>340</v>
      </c>
      <c r="C119" s="333" t="str">
        <f t="shared" si="9"/>
        <v>OM4-DE-IS-0009-012</v>
      </c>
      <c r="D119" s="344" t="s">
        <v>337</v>
      </c>
      <c r="E119" s="93" t="s">
        <v>154</v>
      </c>
      <c r="F119" s="299" t="s">
        <v>197</v>
      </c>
      <c r="G119" s="270" t="s">
        <v>188</v>
      </c>
      <c r="H119" s="332"/>
      <c r="I119" s="248">
        <v>50</v>
      </c>
      <c r="J119" s="335" t="s">
        <v>146</v>
      </c>
      <c r="K119" s="332"/>
      <c r="L119" s="249"/>
      <c r="M119" s="249"/>
      <c r="N119" s="249"/>
      <c r="O119" s="250"/>
      <c r="P119" s="251">
        <f t="shared" si="8"/>
        <v>5</v>
      </c>
      <c r="Q119" s="251"/>
      <c r="R119" s="332"/>
      <c r="S119" s="332"/>
      <c r="T119" s="334"/>
      <c r="U119" s="332"/>
      <c r="W119" s="208">
        <v>0.1</v>
      </c>
      <c r="X119" s="154"/>
      <c r="Y119" s="154"/>
      <c r="Z119" s="154"/>
      <c r="AA119" s="154"/>
      <c r="AB119" s="154"/>
      <c r="AC119" s="154"/>
      <c r="AJ119" s="154"/>
      <c r="AK119" s="154"/>
      <c r="AL119" s="154"/>
      <c r="AM119" s="154"/>
      <c r="AN119" s="154"/>
    </row>
    <row r="120" spans="2:40" s="155" customFormat="1" ht="28.5" customHeight="1">
      <c r="B120" s="343" t="s">
        <v>341</v>
      </c>
      <c r="C120" s="333" t="str">
        <f t="shared" si="9"/>
        <v>OM4-DE-IS-0009-012</v>
      </c>
      <c r="D120" s="344" t="s">
        <v>342</v>
      </c>
      <c r="E120" s="93" t="s">
        <v>151</v>
      </c>
      <c r="F120" s="299" t="s">
        <v>197</v>
      </c>
      <c r="G120" s="270" t="s">
        <v>188</v>
      </c>
      <c r="H120" s="332"/>
      <c r="I120" s="248">
        <v>500</v>
      </c>
      <c r="J120" s="335" t="s">
        <v>146</v>
      </c>
      <c r="K120" s="332"/>
      <c r="L120" s="249"/>
      <c r="M120" s="249"/>
      <c r="N120" s="249"/>
      <c r="O120" s="250"/>
      <c r="P120" s="251">
        <f t="shared" si="8"/>
        <v>15</v>
      </c>
      <c r="Q120" s="251"/>
      <c r="R120" s="332"/>
      <c r="S120" s="332"/>
      <c r="T120" s="334"/>
      <c r="U120" s="332"/>
      <c r="W120" s="208">
        <v>0.03</v>
      </c>
      <c r="X120" s="154"/>
      <c r="Y120" s="154"/>
      <c r="Z120" s="154"/>
      <c r="AA120" s="154"/>
      <c r="AB120" s="154"/>
      <c r="AC120" s="154"/>
      <c r="AJ120" s="154"/>
      <c r="AK120" s="154"/>
      <c r="AL120" s="154"/>
      <c r="AM120" s="154"/>
      <c r="AN120" s="154"/>
    </row>
    <row r="121" spans="2:40" s="155" customFormat="1" ht="28.5" customHeight="1">
      <c r="B121" s="343" t="s">
        <v>343</v>
      </c>
      <c r="C121" s="333" t="str">
        <f t="shared" si="9"/>
        <v>OM4-DE-IS-0009-012</v>
      </c>
      <c r="D121" s="344" t="s">
        <v>342</v>
      </c>
      <c r="E121" s="93" t="s">
        <v>152</v>
      </c>
      <c r="F121" s="299" t="s">
        <v>197</v>
      </c>
      <c r="G121" s="270" t="s">
        <v>188</v>
      </c>
      <c r="H121" s="332"/>
      <c r="I121" s="248">
        <v>150</v>
      </c>
      <c r="J121" s="335" t="s">
        <v>146</v>
      </c>
      <c r="K121" s="332"/>
      <c r="L121" s="249"/>
      <c r="M121" s="249"/>
      <c r="N121" s="249"/>
      <c r="O121" s="250"/>
      <c r="P121" s="251">
        <f t="shared" si="8"/>
        <v>6</v>
      </c>
      <c r="Q121" s="251"/>
      <c r="R121" s="332"/>
      <c r="S121" s="332"/>
      <c r="T121" s="334"/>
      <c r="U121" s="332"/>
      <c r="W121" s="208">
        <v>0.04</v>
      </c>
      <c r="X121" s="154"/>
      <c r="Y121" s="154"/>
      <c r="Z121" s="154"/>
      <c r="AA121" s="154"/>
      <c r="AB121" s="154"/>
      <c r="AC121" s="154"/>
      <c r="AJ121" s="154"/>
      <c r="AK121" s="154"/>
      <c r="AL121" s="154"/>
      <c r="AM121" s="154"/>
      <c r="AN121" s="154"/>
    </row>
    <row r="122" spans="2:40" s="155" customFormat="1" ht="28.5" customHeight="1">
      <c r="B122" s="343" t="s">
        <v>344</v>
      </c>
      <c r="C122" s="333" t="str">
        <f t="shared" si="9"/>
        <v>OM4-DE-IS-0009-012</v>
      </c>
      <c r="D122" s="344" t="s">
        <v>342</v>
      </c>
      <c r="E122" s="93" t="s">
        <v>153</v>
      </c>
      <c r="F122" s="299" t="s">
        <v>197</v>
      </c>
      <c r="G122" s="270" t="s">
        <v>188</v>
      </c>
      <c r="H122" s="332"/>
      <c r="I122" s="248">
        <v>50</v>
      </c>
      <c r="J122" s="335" t="s">
        <v>146</v>
      </c>
      <c r="K122" s="332"/>
      <c r="L122" s="249"/>
      <c r="M122" s="249"/>
      <c r="N122" s="249"/>
      <c r="O122" s="250"/>
      <c r="P122" s="251">
        <f t="shared" si="8"/>
        <v>2.5</v>
      </c>
      <c r="Q122" s="251"/>
      <c r="R122" s="332"/>
      <c r="S122" s="332"/>
      <c r="T122" s="334"/>
      <c r="U122" s="332"/>
      <c r="W122" s="208">
        <v>0.05</v>
      </c>
      <c r="X122" s="154"/>
      <c r="Y122" s="154"/>
      <c r="Z122" s="154"/>
      <c r="AA122" s="154"/>
      <c r="AB122" s="154"/>
      <c r="AC122" s="154"/>
      <c r="AJ122" s="154"/>
      <c r="AK122" s="154"/>
      <c r="AL122" s="154"/>
      <c r="AM122" s="154"/>
      <c r="AN122" s="154"/>
    </row>
    <row r="123" spans="2:40" s="155" customFormat="1" ht="28.5" customHeight="1">
      <c r="B123" s="343" t="s">
        <v>345</v>
      </c>
      <c r="C123" s="333" t="str">
        <f t="shared" si="9"/>
        <v>OM4-DE-IS-0009-012</v>
      </c>
      <c r="D123" s="344" t="s">
        <v>342</v>
      </c>
      <c r="E123" s="93" t="s">
        <v>154</v>
      </c>
      <c r="F123" s="299" t="s">
        <v>197</v>
      </c>
      <c r="G123" s="270" t="s">
        <v>188</v>
      </c>
      <c r="H123" s="332"/>
      <c r="I123" s="248">
        <v>30</v>
      </c>
      <c r="J123" s="335" t="s">
        <v>146</v>
      </c>
      <c r="K123" s="332"/>
      <c r="L123" s="249"/>
      <c r="M123" s="249"/>
      <c r="N123" s="249"/>
      <c r="O123" s="250"/>
      <c r="P123" s="251">
        <f t="shared" si="8"/>
        <v>2.6999999999999997</v>
      </c>
      <c r="Q123" s="251"/>
      <c r="R123" s="332"/>
      <c r="S123" s="332"/>
      <c r="T123" s="334"/>
      <c r="U123" s="332"/>
      <c r="W123" s="208">
        <v>0.09</v>
      </c>
      <c r="X123" s="154"/>
      <c r="Y123" s="154"/>
      <c r="Z123" s="154"/>
      <c r="AA123" s="154"/>
      <c r="AB123" s="154"/>
      <c r="AC123" s="154"/>
      <c r="AJ123" s="154"/>
      <c r="AK123" s="154"/>
      <c r="AL123" s="154"/>
      <c r="AM123" s="154"/>
      <c r="AN123" s="154"/>
    </row>
    <row r="124" spans="2:40" s="155" customFormat="1" ht="28.5" customHeight="1">
      <c r="B124" s="343" t="s">
        <v>346</v>
      </c>
      <c r="C124" s="333" t="str">
        <f t="shared" si="9"/>
        <v>OM4-DE-IS-0009-012</v>
      </c>
      <c r="D124" s="344" t="s">
        <v>342</v>
      </c>
      <c r="E124" s="93" t="s">
        <v>155</v>
      </c>
      <c r="F124" s="299" t="s">
        <v>197</v>
      </c>
      <c r="G124" s="270" t="s">
        <v>188</v>
      </c>
      <c r="H124" s="332"/>
      <c r="I124" s="248">
        <v>80</v>
      </c>
      <c r="J124" s="335" t="s">
        <v>146</v>
      </c>
      <c r="K124" s="332"/>
      <c r="L124" s="249"/>
      <c r="M124" s="249"/>
      <c r="N124" s="249"/>
      <c r="O124" s="250"/>
      <c r="P124" s="251">
        <f t="shared" si="8"/>
        <v>16.8</v>
      </c>
      <c r="Q124" s="251"/>
      <c r="R124" s="332"/>
      <c r="S124" s="332"/>
      <c r="T124" s="334"/>
      <c r="U124" s="332"/>
      <c r="W124" s="208">
        <v>0.21</v>
      </c>
      <c r="X124" s="154"/>
      <c r="Y124" s="154"/>
      <c r="Z124" s="154"/>
      <c r="AA124" s="154"/>
      <c r="AB124" s="154"/>
      <c r="AC124" s="154"/>
      <c r="AJ124" s="154"/>
      <c r="AK124" s="154"/>
      <c r="AL124" s="154"/>
      <c r="AM124" s="154"/>
      <c r="AN124" s="154"/>
    </row>
    <row r="125" spans="2:40" s="155" customFormat="1" ht="28.5" customHeight="1">
      <c r="B125" s="343" t="s">
        <v>347</v>
      </c>
      <c r="C125" s="333" t="str">
        <f t="shared" si="9"/>
        <v>OM4-DE-IS-0009-012</v>
      </c>
      <c r="D125" s="344" t="s">
        <v>342</v>
      </c>
      <c r="E125" s="93" t="s">
        <v>156</v>
      </c>
      <c r="F125" s="299" t="s">
        <v>197</v>
      </c>
      <c r="G125" s="270" t="s">
        <v>188</v>
      </c>
      <c r="H125" s="332"/>
      <c r="I125" s="248">
        <v>50</v>
      </c>
      <c r="J125" s="335" t="s">
        <v>146</v>
      </c>
      <c r="K125" s="332"/>
      <c r="L125" s="249"/>
      <c r="M125" s="249"/>
      <c r="N125" s="249"/>
      <c r="O125" s="250"/>
      <c r="P125" s="251">
        <f t="shared" si="8"/>
        <v>23.5</v>
      </c>
      <c r="Q125" s="251"/>
      <c r="R125" s="332"/>
      <c r="S125" s="332"/>
      <c r="T125" s="334"/>
      <c r="U125" s="332"/>
      <c r="W125" s="208">
        <v>0.47</v>
      </c>
      <c r="X125" s="154"/>
      <c r="Y125" s="154"/>
      <c r="Z125" s="154"/>
      <c r="AA125" s="154"/>
      <c r="AB125" s="154"/>
      <c r="AC125" s="154"/>
      <c r="AJ125" s="154"/>
      <c r="AK125" s="154"/>
      <c r="AL125" s="154"/>
      <c r="AM125" s="154"/>
      <c r="AN125" s="154"/>
    </row>
    <row r="126" spans="2:40" s="155" customFormat="1" ht="28.5" customHeight="1">
      <c r="B126" s="343" t="s">
        <v>348</v>
      </c>
      <c r="C126" s="333" t="str">
        <f t="shared" si="9"/>
        <v>OM4-DE-IS-0009-012</v>
      </c>
      <c r="D126" s="344" t="s">
        <v>349</v>
      </c>
      <c r="E126" s="93" t="s">
        <v>350</v>
      </c>
      <c r="F126" s="299" t="s">
        <v>197</v>
      </c>
      <c r="G126" s="270" t="s">
        <v>188</v>
      </c>
      <c r="H126" s="332"/>
      <c r="I126" s="248">
        <v>5000</v>
      </c>
      <c r="J126" s="335" t="s">
        <v>146</v>
      </c>
      <c r="K126" s="332"/>
      <c r="L126" s="249"/>
      <c r="M126" s="249"/>
      <c r="N126" s="249"/>
      <c r="O126" s="250"/>
      <c r="P126" s="251">
        <f t="shared" si="8"/>
        <v>500</v>
      </c>
      <c r="Q126" s="251"/>
      <c r="R126" s="332"/>
      <c r="S126" s="332"/>
      <c r="T126" s="334"/>
      <c r="U126" s="332"/>
      <c r="W126" s="208">
        <v>0.1</v>
      </c>
      <c r="X126" s="154"/>
      <c r="Y126" s="154"/>
      <c r="Z126" s="154"/>
      <c r="AA126" s="154"/>
      <c r="AB126" s="154"/>
      <c r="AC126" s="154"/>
      <c r="AJ126" s="154"/>
      <c r="AK126" s="154"/>
      <c r="AL126" s="154"/>
      <c r="AM126" s="154"/>
      <c r="AN126" s="154"/>
    </row>
    <row r="127" spans="2:40" s="155" customFormat="1" ht="28.5" customHeight="1">
      <c r="B127" s="343" t="s">
        <v>351</v>
      </c>
      <c r="C127" s="333" t="str">
        <f t="shared" si="9"/>
        <v>OM4-DE-IS-0009-012</v>
      </c>
      <c r="D127" s="344" t="s">
        <v>352</v>
      </c>
      <c r="E127" s="93" t="s">
        <v>353</v>
      </c>
      <c r="F127" s="299" t="s">
        <v>197</v>
      </c>
      <c r="G127" s="270" t="s">
        <v>188</v>
      </c>
      <c r="H127" s="332"/>
      <c r="I127" s="248">
        <v>700</v>
      </c>
      <c r="J127" s="335" t="s">
        <v>146</v>
      </c>
      <c r="K127" s="332"/>
      <c r="L127" s="249"/>
      <c r="M127" s="249"/>
      <c r="N127" s="249"/>
      <c r="O127" s="250"/>
      <c r="P127" s="251">
        <f t="shared" si="8"/>
        <v>70</v>
      </c>
      <c r="Q127" s="251"/>
      <c r="R127" s="332"/>
      <c r="S127" s="332"/>
      <c r="T127" s="334"/>
      <c r="U127" s="332"/>
      <c r="W127" s="208">
        <v>0.1</v>
      </c>
      <c r="X127" s="154"/>
      <c r="Y127" s="154"/>
      <c r="Z127" s="154"/>
      <c r="AA127" s="154"/>
      <c r="AB127" s="154"/>
      <c r="AC127" s="154"/>
      <c r="AJ127" s="154"/>
      <c r="AK127" s="154"/>
      <c r="AL127" s="154"/>
      <c r="AM127" s="154"/>
      <c r="AN127" s="154"/>
    </row>
    <row r="128" spans="2:40" s="155" customFormat="1" ht="28.5" customHeight="1">
      <c r="B128" s="343" t="s">
        <v>354</v>
      </c>
      <c r="C128" s="333" t="str">
        <f t="shared" si="9"/>
        <v>OM4-DE-IS-0009-012</v>
      </c>
      <c r="D128" s="344" t="s">
        <v>355</v>
      </c>
      <c r="E128" s="93" t="s">
        <v>356</v>
      </c>
      <c r="F128" s="299" t="s">
        <v>197</v>
      </c>
      <c r="G128" s="270" t="s">
        <v>188</v>
      </c>
      <c r="H128" s="332"/>
      <c r="I128" s="248">
        <v>2500</v>
      </c>
      <c r="J128" s="335" t="s">
        <v>449</v>
      </c>
      <c r="K128" s="332"/>
      <c r="L128" s="249"/>
      <c r="M128" s="249"/>
      <c r="N128" s="249"/>
      <c r="O128" s="250"/>
      <c r="P128" s="251">
        <f t="shared" si="8"/>
        <v>250</v>
      </c>
      <c r="Q128" s="251"/>
      <c r="R128" s="332"/>
      <c r="S128" s="332"/>
      <c r="T128" s="334"/>
      <c r="U128" s="332"/>
      <c r="W128" s="208">
        <v>0.1</v>
      </c>
      <c r="X128" s="154"/>
      <c r="Y128" s="154"/>
      <c r="Z128" s="154"/>
      <c r="AA128" s="154"/>
      <c r="AB128" s="154"/>
      <c r="AC128" s="154"/>
      <c r="AJ128" s="154"/>
      <c r="AK128" s="154"/>
      <c r="AL128" s="154"/>
      <c r="AM128" s="154"/>
      <c r="AN128" s="154"/>
    </row>
    <row r="129" spans="2:40" s="155" customFormat="1" ht="28.5" customHeight="1">
      <c r="B129" s="343" t="s">
        <v>357</v>
      </c>
      <c r="C129" s="333" t="str">
        <f t="shared" si="9"/>
        <v>OM4-DE-IS-0009-012</v>
      </c>
      <c r="D129" s="344" t="s">
        <v>358</v>
      </c>
      <c r="E129" s="93" t="s">
        <v>359</v>
      </c>
      <c r="F129" s="299" t="s">
        <v>197</v>
      </c>
      <c r="G129" s="270" t="s">
        <v>188</v>
      </c>
      <c r="H129" s="332"/>
      <c r="I129" s="248">
        <v>100</v>
      </c>
      <c r="J129" s="335" t="s">
        <v>146</v>
      </c>
      <c r="K129" s="332"/>
      <c r="L129" s="249"/>
      <c r="M129" s="249"/>
      <c r="N129" s="249"/>
      <c r="O129" s="250"/>
      <c r="P129" s="251">
        <f t="shared" si="8"/>
        <v>10</v>
      </c>
      <c r="Q129" s="251"/>
      <c r="R129" s="332"/>
      <c r="S129" s="332"/>
      <c r="T129" s="334"/>
      <c r="U129" s="332"/>
      <c r="W129" s="208">
        <v>0.1</v>
      </c>
      <c r="X129" s="154"/>
      <c r="Y129" s="154"/>
      <c r="Z129" s="154"/>
      <c r="AA129" s="154"/>
      <c r="AB129" s="154"/>
      <c r="AC129" s="154"/>
      <c r="AJ129" s="154"/>
      <c r="AK129" s="154"/>
      <c r="AL129" s="154"/>
      <c r="AM129" s="154"/>
      <c r="AN129" s="154"/>
    </row>
    <row r="130" spans="2:40" s="155" customFormat="1" ht="28.5" customHeight="1">
      <c r="B130" s="343" t="s">
        <v>360</v>
      </c>
      <c r="C130" s="333" t="str">
        <f t="shared" si="9"/>
        <v>OM4-DE-IS-0009-012</v>
      </c>
      <c r="D130" s="344" t="s">
        <v>361</v>
      </c>
      <c r="E130" s="93" t="s">
        <v>359</v>
      </c>
      <c r="F130" s="299" t="s">
        <v>197</v>
      </c>
      <c r="G130" s="270" t="s">
        <v>188</v>
      </c>
      <c r="H130" s="332"/>
      <c r="I130" s="248">
        <v>2500</v>
      </c>
      <c r="J130" s="335" t="s">
        <v>146</v>
      </c>
      <c r="K130" s="332"/>
      <c r="L130" s="249"/>
      <c r="M130" s="249"/>
      <c r="N130" s="249"/>
      <c r="O130" s="250"/>
      <c r="P130" s="251">
        <f t="shared" si="8"/>
        <v>250</v>
      </c>
      <c r="Q130" s="251"/>
      <c r="R130" s="332"/>
      <c r="S130" s="332"/>
      <c r="T130" s="334"/>
      <c r="U130" s="332"/>
      <c r="W130" s="208">
        <v>0.1</v>
      </c>
      <c r="X130" s="154"/>
      <c r="Y130" s="154"/>
      <c r="Z130" s="154"/>
      <c r="AA130" s="154"/>
      <c r="AB130" s="154"/>
      <c r="AC130" s="154"/>
      <c r="AJ130" s="154"/>
      <c r="AK130" s="154"/>
      <c r="AL130" s="154"/>
      <c r="AM130" s="154"/>
      <c r="AN130" s="154"/>
    </row>
    <row r="131" spans="2:40" s="155" customFormat="1" ht="28.5" customHeight="1">
      <c r="B131" s="343" t="s">
        <v>362</v>
      </c>
      <c r="C131" s="354" t="str">
        <f t="shared" si="9"/>
        <v>OM4-DE-IS-0009-012</v>
      </c>
      <c r="D131" s="344" t="s">
        <v>364</v>
      </c>
      <c r="E131" s="93" t="s">
        <v>448</v>
      </c>
      <c r="F131" s="299" t="s">
        <v>197</v>
      </c>
      <c r="G131" s="270" t="s">
        <v>188</v>
      </c>
      <c r="H131" s="332"/>
      <c r="I131" s="248">
        <v>700</v>
      </c>
      <c r="J131" s="335" t="s">
        <v>146</v>
      </c>
      <c r="K131" s="332"/>
      <c r="L131" s="249"/>
      <c r="M131" s="249"/>
      <c r="N131" s="249"/>
      <c r="O131" s="250"/>
      <c r="P131" s="251">
        <f t="shared" si="8"/>
        <v>14</v>
      </c>
      <c r="Q131" s="251"/>
      <c r="R131" s="332"/>
      <c r="S131" s="332"/>
      <c r="T131" s="334"/>
      <c r="U131" s="332"/>
      <c r="W131" s="208">
        <v>0.02</v>
      </c>
      <c r="X131" s="154"/>
      <c r="Y131" s="154"/>
      <c r="Z131" s="154"/>
      <c r="AA131" s="154"/>
      <c r="AB131" s="154"/>
      <c r="AC131" s="154"/>
      <c r="AJ131" s="154"/>
      <c r="AK131" s="154"/>
      <c r="AL131" s="154"/>
      <c r="AM131" s="154"/>
      <c r="AN131" s="154"/>
    </row>
    <row r="132" spans="2:40" s="155" customFormat="1" ht="28.5" customHeight="1">
      <c r="B132" s="343" t="s">
        <v>363</v>
      </c>
      <c r="C132" s="356" t="str">
        <f>C131</f>
        <v>OM4-DE-IS-0009-012</v>
      </c>
      <c r="D132" s="344" t="s">
        <v>444</v>
      </c>
      <c r="E132" s="93"/>
      <c r="F132" s="299" t="s">
        <v>197</v>
      </c>
      <c r="G132" s="270" t="s">
        <v>188</v>
      </c>
      <c r="H132" s="355"/>
      <c r="I132" s="248">
        <v>300</v>
      </c>
      <c r="J132" s="359" t="s">
        <v>146</v>
      </c>
      <c r="K132" s="355"/>
      <c r="L132" s="249"/>
      <c r="M132" s="249"/>
      <c r="N132" s="249"/>
      <c r="O132" s="250"/>
      <c r="P132" s="251">
        <f t="shared" si="8"/>
        <v>90</v>
      </c>
      <c r="Q132" s="251"/>
      <c r="R132" s="355"/>
      <c r="S132" s="355"/>
      <c r="T132" s="357"/>
      <c r="U132" s="355"/>
      <c r="W132" s="208">
        <v>0.3</v>
      </c>
      <c r="X132" s="154"/>
      <c r="Y132" s="154"/>
      <c r="Z132" s="154"/>
      <c r="AA132" s="154"/>
      <c r="AB132" s="154"/>
      <c r="AC132" s="154"/>
      <c r="AJ132" s="154"/>
      <c r="AK132" s="154"/>
      <c r="AL132" s="154"/>
      <c r="AM132" s="154"/>
      <c r="AN132" s="154"/>
    </row>
    <row r="133" spans="2:40" s="155" customFormat="1" ht="28.5" customHeight="1">
      <c r="B133" s="343" t="s">
        <v>365</v>
      </c>
      <c r="C133" s="356" t="str">
        <f t="shared" ref="C133:C136" si="10">C132</f>
        <v>OM4-DE-IS-0009-012</v>
      </c>
      <c r="D133" s="344" t="s">
        <v>450</v>
      </c>
      <c r="E133" s="93" t="s">
        <v>366</v>
      </c>
      <c r="F133" s="299" t="s">
        <v>197</v>
      </c>
      <c r="G133" s="270" t="s">
        <v>188</v>
      </c>
      <c r="H133" s="355"/>
      <c r="I133" s="248">
        <v>2000</v>
      </c>
      <c r="J133" s="359" t="s">
        <v>146</v>
      </c>
      <c r="K133" s="355"/>
      <c r="L133" s="249"/>
      <c r="M133" s="249"/>
      <c r="N133" s="249"/>
      <c r="O133" s="250"/>
      <c r="P133" s="251">
        <f t="shared" ref="P133:P136" si="11">W133*I133</f>
        <v>200</v>
      </c>
      <c r="Q133" s="251"/>
      <c r="R133" s="355"/>
      <c r="S133" s="355"/>
      <c r="T133" s="357"/>
      <c r="U133" s="355"/>
      <c r="W133" s="208">
        <v>0.1</v>
      </c>
      <c r="X133" s="154"/>
      <c r="Y133" s="154"/>
      <c r="Z133" s="154"/>
      <c r="AA133" s="154"/>
      <c r="AB133" s="154"/>
      <c r="AC133" s="154"/>
      <c r="AJ133" s="154"/>
      <c r="AK133" s="154"/>
      <c r="AL133" s="154"/>
      <c r="AM133" s="154"/>
      <c r="AN133" s="154"/>
    </row>
    <row r="134" spans="2:40" s="155" customFormat="1" ht="28.5" customHeight="1">
      <c r="B134" s="343" t="s">
        <v>423</v>
      </c>
      <c r="C134" s="362" t="str">
        <f t="shared" si="10"/>
        <v>OM4-DE-IS-0009-012</v>
      </c>
      <c r="D134" s="344" t="s">
        <v>451</v>
      </c>
      <c r="E134" s="93" t="s">
        <v>366</v>
      </c>
      <c r="F134" s="299" t="s">
        <v>197</v>
      </c>
      <c r="G134" s="270" t="s">
        <v>188</v>
      </c>
      <c r="H134" s="360"/>
      <c r="I134" s="248">
        <v>2000</v>
      </c>
      <c r="J134" s="363" t="s">
        <v>146</v>
      </c>
      <c r="K134" s="360"/>
      <c r="L134" s="249"/>
      <c r="M134" s="249"/>
      <c r="N134" s="249"/>
      <c r="O134" s="250"/>
      <c r="P134" s="251">
        <f t="shared" si="11"/>
        <v>200</v>
      </c>
      <c r="Q134" s="251"/>
      <c r="R134" s="360"/>
      <c r="S134" s="360"/>
      <c r="T134" s="361"/>
      <c r="U134" s="360"/>
      <c r="W134" s="208">
        <v>0.1</v>
      </c>
      <c r="X134" s="154"/>
      <c r="Y134" s="154"/>
      <c r="Z134" s="154"/>
      <c r="AA134" s="154"/>
      <c r="AB134" s="154"/>
      <c r="AC134" s="154"/>
      <c r="AJ134" s="154"/>
      <c r="AK134" s="154"/>
      <c r="AL134" s="154"/>
      <c r="AM134" s="154"/>
      <c r="AN134" s="154"/>
    </row>
    <row r="135" spans="2:40" s="155" customFormat="1" ht="28.5" customHeight="1">
      <c r="B135" s="343" t="s">
        <v>368</v>
      </c>
      <c r="C135" s="356" t="str">
        <f>C133</f>
        <v>OM4-DE-IS-0009-012</v>
      </c>
      <c r="D135" s="345" t="s">
        <v>301</v>
      </c>
      <c r="E135" s="93" t="s">
        <v>153</v>
      </c>
      <c r="F135" s="299" t="s">
        <v>197</v>
      </c>
      <c r="G135" s="270" t="s">
        <v>188</v>
      </c>
      <c r="H135" s="355"/>
      <c r="I135" s="248">
        <v>120</v>
      </c>
      <c r="J135" s="359" t="s">
        <v>302</v>
      </c>
      <c r="K135" s="355"/>
      <c r="L135" s="249"/>
      <c r="M135" s="249"/>
      <c r="N135" s="249"/>
      <c r="O135" s="250"/>
      <c r="P135" s="251">
        <f t="shared" si="11"/>
        <v>162</v>
      </c>
      <c r="Q135" s="251"/>
      <c r="R135" s="355"/>
      <c r="S135" s="355"/>
      <c r="T135" s="357"/>
      <c r="U135" s="355"/>
      <c r="W135" s="208">
        <v>1.35</v>
      </c>
      <c r="X135" s="154"/>
      <c r="Y135" s="154"/>
      <c r="Z135" s="154"/>
      <c r="AA135" s="154"/>
      <c r="AB135" s="154"/>
      <c r="AC135" s="154"/>
      <c r="AJ135" s="154"/>
      <c r="AK135" s="154"/>
      <c r="AL135" s="154"/>
      <c r="AM135" s="154"/>
      <c r="AN135" s="154"/>
    </row>
    <row r="136" spans="2:40" s="155" customFormat="1" ht="28.5" customHeight="1">
      <c r="B136" s="343" t="s">
        <v>370</v>
      </c>
      <c r="C136" s="356" t="str">
        <f t="shared" si="10"/>
        <v>OM4-DE-IS-0009-012</v>
      </c>
      <c r="D136" s="345" t="s">
        <v>301</v>
      </c>
      <c r="E136" s="93" t="s">
        <v>154</v>
      </c>
      <c r="F136" s="299" t="s">
        <v>197</v>
      </c>
      <c r="G136" s="270" t="s">
        <v>188</v>
      </c>
      <c r="H136" s="355"/>
      <c r="I136" s="248">
        <v>80</v>
      </c>
      <c r="J136" s="359" t="s">
        <v>302</v>
      </c>
      <c r="K136" s="355"/>
      <c r="L136" s="249"/>
      <c r="M136" s="249"/>
      <c r="N136" s="249"/>
      <c r="O136" s="250"/>
      <c r="P136" s="251">
        <f t="shared" si="11"/>
        <v>132</v>
      </c>
      <c r="Q136" s="251"/>
      <c r="R136" s="355"/>
      <c r="S136" s="355"/>
      <c r="T136" s="357"/>
      <c r="U136" s="355"/>
      <c r="W136" s="208">
        <v>1.65</v>
      </c>
      <c r="X136" s="154"/>
      <c r="Y136" s="154"/>
      <c r="Z136" s="154"/>
      <c r="AA136" s="154"/>
      <c r="AB136" s="154"/>
      <c r="AC136" s="154"/>
      <c r="AJ136" s="154"/>
      <c r="AK136" s="154"/>
      <c r="AL136" s="154"/>
      <c r="AM136" s="154"/>
      <c r="AN136" s="154"/>
    </row>
    <row r="137" spans="2:40" s="155" customFormat="1" ht="28.5" customHeight="1">
      <c r="B137" s="501" t="s">
        <v>92</v>
      </c>
      <c r="C137" s="502"/>
      <c r="D137" s="502"/>
      <c r="E137" s="502"/>
      <c r="F137" s="502"/>
      <c r="G137" s="502"/>
      <c r="H137" s="503"/>
      <c r="I137" s="252">
        <f>SUM(I97:I136)</f>
        <v>22375</v>
      </c>
      <c r="J137" s="253"/>
      <c r="K137" s="254" t="s">
        <v>236</v>
      </c>
      <c r="L137" s="255">
        <v>200</v>
      </c>
      <c r="M137" s="255">
        <v>200</v>
      </c>
      <c r="N137" s="255">
        <v>120</v>
      </c>
      <c r="O137" s="256">
        <f>(L137*M137*N137)/10^6</f>
        <v>4.8</v>
      </c>
      <c r="P137" s="257">
        <f>SUM(P97:P136)</f>
        <v>2610.5</v>
      </c>
      <c r="Q137" s="257">
        <f>P137+300</f>
        <v>2910.5</v>
      </c>
      <c r="R137" s="254" t="s">
        <v>148</v>
      </c>
      <c r="S137" s="254" t="s">
        <v>149</v>
      </c>
      <c r="T137" s="258"/>
      <c r="U137" s="254" t="s">
        <v>195</v>
      </c>
      <c r="W137" s="208"/>
      <c r="X137" s="154"/>
      <c r="Y137" s="154"/>
      <c r="Z137" s="154"/>
      <c r="AA137" s="154"/>
      <c r="AB137" s="154"/>
      <c r="AC137" s="154"/>
      <c r="AJ137" s="154"/>
      <c r="AK137" s="154"/>
      <c r="AL137" s="154"/>
      <c r="AM137" s="154"/>
      <c r="AN137" s="154"/>
    </row>
    <row r="138" spans="2:40" s="155" customFormat="1" ht="28.5" customHeight="1">
      <c r="B138" s="343" t="s">
        <v>453</v>
      </c>
      <c r="C138" s="333" t="s">
        <v>401</v>
      </c>
      <c r="D138" s="344" t="s">
        <v>484</v>
      </c>
      <c r="E138" s="93" t="s">
        <v>367</v>
      </c>
      <c r="F138" s="299" t="s">
        <v>197</v>
      </c>
      <c r="G138" s="270" t="s">
        <v>188</v>
      </c>
      <c r="H138" s="332"/>
      <c r="I138" s="248">
        <v>30</v>
      </c>
      <c r="J138" s="335" t="s">
        <v>146</v>
      </c>
      <c r="K138" s="332"/>
      <c r="L138" s="249"/>
      <c r="M138" s="249"/>
      <c r="N138" s="249"/>
      <c r="O138" s="250"/>
      <c r="P138" s="251">
        <f t="shared" si="8"/>
        <v>122.99999999999999</v>
      </c>
      <c r="Q138" s="251"/>
      <c r="R138" s="332"/>
      <c r="S138" s="332"/>
      <c r="T138" s="334"/>
      <c r="U138" s="332"/>
      <c r="W138" s="208">
        <v>4.0999999999999996</v>
      </c>
      <c r="X138" s="154"/>
      <c r="Y138" s="154"/>
      <c r="Z138" s="154"/>
      <c r="AA138" s="154"/>
      <c r="AB138" s="154"/>
      <c r="AC138" s="154"/>
      <c r="AJ138" s="154"/>
      <c r="AK138" s="154"/>
      <c r="AL138" s="154"/>
      <c r="AM138" s="154"/>
      <c r="AN138" s="154"/>
    </row>
    <row r="139" spans="2:40" s="155" customFormat="1" ht="28.5" customHeight="1">
      <c r="B139" s="343" t="s">
        <v>373</v>
      </c>
      <c r="C139" s="333" t="str">
        <f>C138</f>
        <v>OM4-DE-IS-0009-013</v>
      </c>
      <c r="D139" s="344" t="s">
        <v>484</v>
      </c>
      <c r="E139" s="93" t="s">
        <v>369</v>
      </c>
      <c r="F139" s="299" t="s">
        <v>197</v>
      </c>
      <c r="G139" s="270" t="s">
        <v>188</v>
      </c>
      <c r="H139" s="332"/>
      <c r="I139" s="248">
        <v>20</v>
      </c>
      <c r="J139" s="335" t="s">
        <v>146</v>
      </c>
      <c r="K139" s="332"/>
      <c r="L139" s="249"/>
      <c r="M139" s="249"/>
      <c r="N139" s="249"/>
      <c r="O139" s="250"/>
      <c r="P139" s="251">
        <f t="shared" si="8"/>
        <v>146.80000000000001</v>
      </c>
      <c r="Q139" s="251"/>
      <c r="R139" s="332"/>
      <c r="S139" s="332"/>
      <c r="T139" s="334"/>
      <c r="U139" s="332"/>
      <c r="W139" s="208">
        <v>7.34</v>
      </c>
      <c r="X139" s="154"/>
      <c r="Y139" s="154"/>
      <c r="Z139" s="154"/>
      <c r="AA139" s="154"/>
      <c r="AB139" s="154"/>
      <c r="AC139" s="154"/>
      <c r="AJ139" s="154"/>
      <c r="AK139" s="154"/>
      <c r="AL139" s="154"/>
      <c r="AM139" s="154"/>
      <c r="AN139" s="154"/>
    </row>
    <row r="140" spans="2:40" s="155" customFormat="1" ht="28.5" customHeight="1">
      <c r="B140" s="343" t="s">
        <v>375</v>
      </c>
      <c r="C140" s="333" t="str">
        <f t="shared" ref="C140:C143" si="12">C139</f>
        <v>OM4-DE-IS-0009-013</v>
      </c>
      <c r="D140" s="344" t="s">
        <v>484</v>
      </c>
      <c r="E140" s="93" t="s">
        <v>371</v>
      </c>
      <c r="F140" s="299" t="s">
        <v>197</v>
      </c>
      <c r="G140" s="270" t="s">
        <v>188</v>
      </c>
      <c r="H140" s="332"/>
      <c r="I140" s="248">
        <v>10</v>
      </c>
      <c r="J140" s="335" t="s">
        <v>146</v>
      </c>
      <c r="K140" s="332"/>
      <c r="L140" s="249"/>
      <c r="M140" s="249"/>
      <c r="N140" s="249"/>
      <c r="O140" s="250"/>
      <c r="P140" s="251">
        <f t="shared" si="8"/>
        <v>182.8</v>
      </c>
      <c r="Q140" s="251"/>
      <c r="R140" s="332"/>
      <c r="S140" s="332"/>
      <c r="T140" s="334"/>
      <c r="U140" s="332"/>
      <c r="W140" s="208">
        <v>18.28</v>
      </c>
      <c r="X140" s="154"/>
      <c r="Y140" s="154"/>
      <c r="Z140" s="154"/>
      <c r="AA140" s="154"/>
      <c r="AB140" s="154"/>
      <c r="AC140" s="154"/>
      <c r="AJ140" s="154"/>
      <c r="AK140" s="154"/>
      <c r="AL140" s="154"/>
      <c r="AM140" s="154"/>
      <c r="AN140" s="154"/>
    </row>
    <row r="141" spans="2:40" s="155" customFormat="1" ht="28.5" customHeight="1">
      <c r="B141" s="343" t="s">
        <v>377</v>
      </c>
      <c r="C141" s="333" t="str">
        <f t="shared" si="12"/>
        <v>OM4-DE-IS-0009-013</v>
      </c>
      <c r="D141" s="344" t="s">
        <v>484</v>
      </c>
      <c r="E141" s="93" t="s">
        <v>372</v>
      </c>
      <c r="F141" s="299" t="s">
        <v>197</v>
      </c>
      <c r="G141" s="270" t="s">
        <v>188</v>
      </c>
      <c r="H141" s="332"/>
      <c r="I141" s="248">
        <v>10</v>
      </c>
      <c r="J141" s="335" t="s">
        <v>146</v>
      </c>
      <c r="K141" s="332"/>
      <c r="L141" s="249"/>
      <c r="M141" s="249"/>
      <c r="N141" s="249"/>
      <c r="O141" s="250"/>
      <c r="P141" s="251">
        <f t="shared" si="8"/>
        <v>323</v>
      </c>
      <c r="Q141" s="251"/>
      <c r="R141" s="332"/>
      <c r="S141" s="332"/>
      <c r="T141" s="334"/>
      <c r="U141" s="332"/>
      <c r="W141" s="208">
        <v>32.299999999999997</v>
      </c>
      <c r="X141" s="154"/>
      <c r="Y141" s="154"/>
      <c r="Z141" s="154"/>
      <c r="AA141" s="154"/>
      <c r="AB141" s="154"/>
      <c r="AC141" s="154"/>
      <c r="AJ141" s="154"/>
      <c r="AK141" s="154"/>
      <c r="AL141" s="154"/>
      <c r="AM141" s="154"/>
      <c r="AN141" s="154"/>
    </row>
    <row r="142" spans="2:40" s="155" customFormat="1" ht="28.5" customHeight="1">
      <c r="B142" s="343" t="s">
        <v>380</v>
      </c>
      <c r="C142" s="333" t="str">
        <f t="shared" si="12"/>
        <v>OM4-DE-IS-0009-013</v>
      </c>
      <c r="D142" s="344" t="s">
        <v>484</v>
      </c>
      <c r="E142" s="93" t="s">
        <v>374</v>
      </c>
      <c r="F142" s="299" t="s">
        <v>197</v>
      </c>
      <c r="G142" s="270" t="s">
        <v>188</v>
      </c>
      <c r="H142" s="332"/>
      <c r="I142" s="248">
        <v>5</v>
      </c>
      <c r="J142" s="335" t="s">
        <v>146</v>
      </c>
      <c r="K142" s="332"/>
      <c r="L142" s="249"/>
      <c r="M142" s="249"/>
      <c r="N142" s="249"/>
      <c r="O142" s="250"/>
      <c r="P142" s="251">
        <f t="shared" si="8"/>
        <v>181.45</v>
      </c>
      <c r="Q142" s="251"/>
      <c r="R142" s="332"/>
      <c r="S142" s="332"/>
      <c r="T142" s="334"/>
      <c r="U142" s="332"/>
      <c r="W142" s="208">
        <v>36.29</v>
      </c>
      <c r="X142" s="154"/>
      <c r="Y142" s="154"/>
      <c r="Z142" s="154"/>
      <c r="AA142" s="154"/>
      <c r="AB142" s="154"/>
      <c r="AC142" s="154"/>
      <c r="AJ142" s="154"/>
      <c r="AK142" s="154"/>
      <c r="AL142" s="154"/>
      <c r="AM142" s="154"/>
      <c r="AN142" s="154"/>
    </row>
    <row r="143" spans="2:40" s="155" customFormat="1" ht="28.5" customHeight="1">
      <c r="B143" s="343" t="s">
        <v>424</v>
      </c>
      <c r="C143" s="333" t="str">
        <f t="shared" si="12"/>
        <v>OM4-DE-IS-0009-013</v>
      </c>
      <c r="D143" s="344" t="s">
        <v>484</v>
      </c>
      <c r="E143" s="93" t="s">
        <v>376</v>
      </c>
      <c r="F143" s="299" t="s">
        <v>197</v>
      </c>
      <c r="G143" s="270" t="s">
        <v>188</v>
      </c>
      <c r="H143" s="332"/>
      <c r="I143" s="248">
        <v>5</v>
      </c>
      <c r="J143" s="335" t="s">
        <v>146</v>
      </c>
      <c r="K143" s="332"/>
      <c r="L143" s="249"/>
      <c r="M143" s="249"/>
      <c r="N143" s="249"/>
      <c r="O143" s="250"/>
      <c r="P143" s="251">
        <f t="shared" si="8"/>
        <v>537</v>
      </c>
      <c r="Q143" s="251"/>
      <c r="R143" s="332"/>
      <c r="S143" s="332"/>
      <c r="T143" s="334"/>
      <c r="U143" s="332"/>
      <c r="W143" s="208">
        <v>107.4</v>
      </c>
      <c r="X143" s="154"/>
      <c r="Y143" s="154"/>
      <c r="Z143" s="154"/>
      <c r="AA143" s="154"/>
      <c r="AB143" s="154"/>
      <c r="AC143" s="154"/>
      <c r="AJ143" s="154"/>
      <c r="AK143" s="154"/>
      <c r="AL143" s="154"/>
      <c r="AM143" s="154"/>
      <c r="AN143" s="154"/>
    </row>
    <row r="144" spans="2:40" s="155" customFormat="1" ht="28.5" customHeight="1">
      <c r="B144" s="501" t="s">
        <v>92</v>
      </c>
      <c r="C144" s="502"/>
      <c r="D144" s="502"/>
      <c r="E144" s="502"/>
      <c r="F144" s="502"/>
      <c r="G144" s="502"/>
      <c r="H144" s="503"/>
      <c r="I144" s="252">
        <f>SUM(I138:I143)</f>
        <v>80</v>
      </c>
      <c r="J144" s="253"/>
      <c r="K144" s="254" t="s">
        <v>236</v>
      </c>
      <c r="L144" s="255">
        <v>320</v>
      </c>
      <c r="M144" s="255">
        <v>220</v>
      </c>
      <c r="N144" s="255">
        <v>160</v>
      </c>
      <c r="O144" s="256">
        <f>(L144*M144*N144)/10^6</f>
        <v>11.263999999999999</v>
      </c>
      <c r="P144" s="257">
        <f>SUM(P138:P143)</f>
        <v>1494.05</v>
      </c>
      <c r="Q144" s="257">
        <f>P144+300</f>
        <v>1794.05</v>
      </c>
      <c r="R144" s="254" t="s">
        <v>148</v>
      </c>
      <c r="S144" s="254" t="s">
        <v>149</v>
      </c>
      <c r="T144" s="258"/>
      <c r="U144" s="254" t="s">
        <v>195</v>
      </c>
      <c r="W144" s="208"/>
      <c r="X144" s="154"/>
      <c r="Y144" s="154"/>
      <c r="Z144" s="154"/>
      <c r="AA144" s="154"/>
      <c r="AB144" s="154"/>
      <c r="AC144" s="154"/>
      <c r="AJ144" s="154"/>
      <c r="AK144" s="154"/>
      <c r="AL144" s="154"/>
      <c r="AM144" s="154"/>
      <c r="AN144" s="154"/>
    </row>
    <row r="145" spans="2:40" s="155" customFormat="1" ht="28.5" customHeight="1">
      <c r="B145" s="343" t="s">
        <v>454</v>
      </c>
      <c r="C145" s="333" t="s">
        <v>435</v>
      </c>
      <c r="D145" s="344" t="s">
        <v>382</v>
      </c>
      <c r="E145" s="93" t="s">
        <v>383</v>
      </c>
      <c r="F145" s="299" t="s">
        <v>197</v>
      </c>
      <c r="G145" s="270" t="s">
        <v>188</v>
      </c>
      <c r="H145" s="332"/>
      <c r="I145" s="248">
        <v>700</v>
      </c>
      <c r="J145" s="335" t="s">
        <v>146</v>
      </c>
      <c r="K145" s="332"/>
      <c r="L145" s="249"/>
      <c r="M145" s="249"/>
      <c r="N145" s="249"/>
      <c r="O145" s="250"/>
      <c r="P145" s="251">
        <f t="shared" si="8"/>
        <v>1036</v>
      </c>
      <c r="Q145" s="251"/>
      <c r="R145" s="332"/>
      <c r="S145" s="332"/>
      <c r="T145" s="334"/>
      <c r="U145" s="332"/>
      <c r="W145" s="208">
        <v>1.48</v>
      </c>
      <c r="X145" s="154"/>
      <c r="Y145" s="154"/>
      <c r="Z145" s="154"/>
      <c r="AA145" s="154"/>
      <c r="AB145" s="154"/>
      <c r="AC145" s="154"/>
      <c r="AJ145" s="154"/>
      <c r="AK145" s="154"/>
      <c r="AL145" s="154"/>
      <c r="AM145" s="154"/>
      <c r="AN145" s="154"/>
    </row>
    <row r="146" spans="2:40" s="155" customFormat="1" ht="28.5" customHeight="1">
      <c r="B146" s="343" t="s">
        <v>425</v>
      </c>
      <c r="C146" s="93" t="str">
        <f>C145</f>
        <v>OM4-DE-IS-0009-014</v>
      </c>
      <c r="D146" s="344" t="s">
        <v>378</v>
      </c>
      <c r="E146" s="93" t="s">
        <v>379</v>
      </c>
      <c r="F146" s="299" t="s">
        <v>197</v>
      </c>
      <c r="G146" s="270" t="s">
        <v>188</v>
      </c>
      <c r="H146" s="355"/>
      <c r="I146" s="248">
        <v>600</v>
      </c>
      <c r="J146" s="359" t="s">
        <v>146</v>
      </c>
      <c r="K146" s="355"/>
      <c r="L146" s="249"/>
      <c r="M146" s="249"/>
      <c r="N146" s="249"/>
      <c r="O146" s="250"/>
      <c r="P146" s="251">
        <f t="shared" ref="P146:P147" si="13">W146*I146</f>
        <v>204.00000000000003</v>
      </c>
      <c r="Q146" s="251"/>
      <c r="R146" s="355"/>
      <c r="S146" s="355"/>
      <c r="T146" s="357"/>
      <c r="U146" s="355"/>
      <c r="W146" s="208">
        <v>0.34</v>
      </c>
      <c r="X146" s="154"/>
      <c r="Y146" s="154"/>
      <c r="Z146" s="154"/>
      <c r="AA146" s="154"/>
      <c r="AB146" s="154"/>
      <c r="AC146" s="154"/>
      <c r="AJ146" s="154"/>
      <c r="AK146" s="154"/>
      <c r="AL146" s="154"/>
      <c r="AM146" s="154"/>
      <c r="AN146" s="154"/>
    </row>
    <row r="147" spans="2:40" s="155" customFormat="1" ht="28.5" customHeight="1">
      <c r="B147" s="343" t="s">
        <v>426</v>
      </c>
      <c r="C147" s="93" t="str">
        <f>C146</f>
        <v>OM4-DE-IS-0009-014</v>
      </c>
      <c r="D147" s="344" t="s">
        <v>381</v>
      </c>
      <c r="E147" s="93"/>
      <c r="F147" s="299" t="s">
        <v>197</v>
      </c>
      <c r="G147" s="270" t="s">
        <v>188</v>
      </c>
      <c r="H147" s="355"/>
      <c r="I147" s="248">
        <v>500</v>
      </c>
      <c r="J147" s="359" t="s">
        <v>146</v>
      </c>
      <c r="K147" s="355"/>
      <c r="L147" s="249"/>
      <c r="M147" s="249"/>
      <c r="N147" s="249"/>
      <c r="O147" s="250"/>
      <c r="P147" s="251">
        <f t="shared" si="13"/>
        <v>290</v>
      </c>
      <c r="Q147" s="251"/>
      <c r="R147" s="355"/>
      <c r="S147" s="355"/>
      <c r="T147" s="357"/>
      <c r="U147" s="355"/>
      <c r="W147" s="208">
        <v>0.57999999999999996</v>
      </c>
      <c r="X147" s="154"/>
      <c r="Y147" s="154"/>
      <c r="Z147" s="154"/>
      <c r="AA147" s="154"/>
      <c r="AB147" s="154"/>
      <c r="AC147" s="154"/>
      <c r="AJ147" s="154"/>
      <c r="AK147" s="154"/>
      <c r="AL147" s="154"/>
      <c r="AM147" s="154"/>
      <c r="AN147" s="154"/>
    </row>
    <row r="148" spans="2:40" s="155" customFormat="1" ht="28.5" customHeight="1">
      <c r="B148" s="501" t="s">
        <v>92</v>
      </c>
      <c r="C148" s="502"/>
      <c r="D148" s="502"/>
      <c r="E148" s="502"/>
      <c r="F148" s="502"/>
      <c r="G148" s="502"/>
      <c r="H148" s="503"/>
      <c r="I148" s="252">
        <f>SUM(I145:I147)</f>
        <v>1800</v>
      </c>
      <c r="J148" s="253"/>
      <c r="K148" s="254" t="s">
        <v>236</v>
      </c>
      <c r="L148" s="255">
        <v>140</v>
      </c>
      <c r="M148" s="255">
        <v>140</v>
      </c>
      <c r="N148" s="255">
        <v>130</v>
      </c>
      <c r="O148" s="256">
        <f>(L148*M148*N148)/10^6</f>
        <v>2.548</v>
      </c>
      <c r="P148" s="257">
        <f>SUM(P145:P147)</f>
        <v>1530</v>
      </c>
      <c r="Q148" s="257">
        <f>P148+300</f>
        <v>1830</v>
      </c>
      <c r="R148" s="254" t="s">
        <v>148</v>
      </c>
      <c r="S148" s="254" t="s">
        <v>149</v>
      </c>
      <c r="T148" s="258"/>
      <c r="U148" s="254" t="s">
        <v>195</v>
      </c>
      <c r="W148" s="208"/>
      <c r="X148" s="154"/>
      <c r="Y148" s="154"/>
      <c r="Z148" s="154"/>
      <c r="AA148" s="154"/>
      <c r="AB148" s="154"/>
      <c r="AC148" s="154"/>
      <c r="AJ148" s="154"/>
      <c r="AK148" s="154"/>
      <c r="AL148" s="154"/>
      <c r="AM148" s="154"/>
      <c r="AN148" s="154"/>
    </row>
    <row r="149" spans="2:40" s="155" customFormat="1" ht="28.5" customHeight="1">
      <c r="B149" s="333">
        <v>121</v>
      </c>
      <c r="C149" s="333" t="s">
        <v>436</v>
      </c>
      <c r="D149" s="344" t="s">
        <v>234</v>
      </c>
      <c r="E149" s="93" t="s">
        <v>384</v>
      </c>
      <c r="F149" s="299" t="s">
        <v>197</v>
      </c>
      <c r="G149" s="270" t="s">
        <v>188</v>
      </c>
      <c r="H149" s="332"/>
      <c r="I149" s="248">
        <v>500</v>
      </c>
      <c r="J149" s="335" t="s">
        <v>146</v>
      </c>
      <c r="K149" s="332"/>
      <c r="L149" s="249"/>
      <c r="M149" s="249"/>
      <c r="N149" s="249"/>
      <c r="O149" s="250"/>
      <c r="P149" s="251">
        <f t="shared" si="8"/>
        <v>3450</v>
      </c>
      <c r="Q149" s="251"/>
      <c r="R149" s="332"/>
      <c r="S149" s="332"/>
      <c r="T149" s="334"/>
      <c r="U149" s="332"/>
      <c r="W149" s="208">
        <v>6.9</v>
      </c>
      <c r="X149" s="154"/>
      <c r="Y149" s="154"/>
      <c r="Z149" s="154"/>
      <c r="AA149" s="154"/>
      <c r="AB149" s="154"/>
      <c r="AC149" s="154"/>
      <c r="AJ149" s="154"/>
      <c r="AK149" s="154"/>
      <c r="AL149" s="154"/>
      <c r="AM149" s="154"/>
      <c r="AN149" s="154"/>
    </row>
    <row r="150" spans="2:40" s="155" customFormat="1" ht="28.5" customHeight="1">
      <c r="B150" s="501" t="s">
        <v>92</v>
      </c>
      <c r="C150" s="502"/>
      <c r="D150" s="502"/>
      <c r="E150" s="502"/>
      <c r="F150" s="502"/>
      <c r="G150" s="502"/>
      <c r="H150" s="503"/>
      <c r="I150" s="252">
        <f>SUM(I149:I149)</f>
        <v>500</v>
      </c>
      <c r="J150" s="253"/>
      <c r="K150" s="254" t="s">
        <v>236</v>
      </c>
      <c r="L150" s="255">
        <v>320</v>
      </c>
      <c r="M150" s="255">
        <v>120</v>
      </c>
      <c r="N150" s="255">
        <v>125</v>
      </c>
      <c r="O150" s="256">
        <f>(L150*M150*N150)/10^6</f>
        <v>4.8</v>
      </c>
      <c r="P150" s="257">
        <f>SUM(P149:P149)</f>
        <v>3450</v>
      </c>
      <c r="Q150" s="257">
        <f>P150+300</f>
        <v>3750</v>
      </c>
      <c r="R150" s="254" t="s">
        <v>148</v>
      </c>
      <c r="S150" s="254" t="s">
        <v>149</v>
      </c>
      <c r="T150" s="258"/>
      <c r="U150" s="254" t="s">
        <v>195</v>
      </c>
      <c r="W150" s="208"/>
      <c r="X150" s="154"/>
      <c r="Y150" s="154"/>
      <c r="Z150" s="154"/>
      <c r="AA150" s="154"/>
      <c r="AB150" s="154"/>
      <c r="AC150" s="154"/>
      <c r="AJ150" s="154"/>
      <c r="AK150" s="154"/>
      <c r="AL150" s="154"/>
      <c r="AM150" s="154"/>
      <c r="AN150" s="154"/>
    </row>
    <row r="151" spans="2:40" s="155" customFormat="1" ht="28.5" customHeight="1">
      <c r="B151" s="343" t="s">
        <v>455</v>
      </c>
      <c r="C151" s="333" t="s">
        <v>437</v>
      </c>
      <c r="D151" s="344" t="s">
        <v>385</v>
      </c>
      <c r="E151" s="93" t="s">
        <v>386</v>
      </c>
      <c r="F151" s="299" t="s">
        <v>197</v>
      </c>
      <c r="G151" s="270" t="s">
        <v>188</v>
      </c>
      <c r="H151" s="332"/>
      <c r="I151" s="248">
        <v>50</v>
      </c>
      <c r="J151" s="335" t="s">
        <v>146</v>
      </c>
      <c r="K151" s="332"/>
      <c r="L151" s="249"/>
      <c r="M151" s="249"/>
      <c r="N151" s="249"/>
      <c r="O151" s="250"/>
      <c r="P151" s="251">
        <f t="shared" si="8"/>
        <v>400</v>
      </c>
      <c r="Q151" s="251"/>
      <c r="R151" s="332"/>
      <c r="S151" s="332"/>
      <c r="T151" s="334"/>
      <c r="U151" s="332"/>
      <c r="W151" s="208">
        <v>8</v>
      </c>
      <c r="X151" s="154"/>
      <c r="Y151" s="154"/>
      <c r="Z151" s="154"/>
      <c r="AA151" s="154"/>
      <c r="AB151" s="154"/>
      <c r="AC151" s="154"/>
      <c r="AJ151" s="154"/>
      <c r="AK151" s="154"/>
      <c r="AL151" s="154"/>
      <c r="AM151" s="154"/>
      <c r="AN151" s="154"/>
    </row>
    <row r="152" spans="2:40" s="155" customFormat="1" ht="28.5" customHeight="1">
      <c r="B152" s="343" t="s">
        <v>440</v>
      </c>
      <c r="C152" s="333" t="str">
        <f>C151</f>
        <v>OM4-DE-IS-0009-016</v>
      </c>
      <c r="D152" s="344" t="s">
        <v>387</v>
      </c>
      <c r="E152" s="93" t="s">
        <v>388</v>
      </c>
      <c r="F152" s="299" t="s">
        <v>197</v>
      </c>
      <c r="G152" s="270" t="s">
        <v>188</v>
      </c>
      <c r="H152" s="332"/>
      <c r="I152" s="248">
        <v>100</v>
      </c>
      <c r="J152" s="335" t="s">
        <v>146</v>
      </c>
      <c r="K152" s="332"/>
      <c r="L152" s="249"/>
      <c r="M152" s="249"/>
      <c r="N152" s="249"/>
      <c r="O152" s="250"/>
      <c r="P152" s="251">
        <f t="shared" si="8"/>
        <v>200</v>
      </c>
      <c r="Q152" s="251"/>
      <c r="R152" s="332"/>
      <c r="S152" s="332"/>
      <c r="T152" s="334"/>
      <c r="U152" s="332"/>
      <c r="W152" s="208">
        <v>2</v>
      </c>
      <c r="X152" s="154"/>
      <c r="Y152" s="154"/>
      <c r="Z152" s="154"/>
      <c r="AA152" s="154"/>
      <c r="AB152" s="154"/>
      <c r="AC152" s="154"/>
      <c r="AJ152" s="154"/>
      <c r="AK152" s="154"/>
      <c r="AL152" s="154"/>
      <c r="AM152" s="154"/>
      <c r="AN152" s="154"/>
    </row>
    <row r="153" spans="2:40" s="155" customFormat="1" ht="28.5" customHeight="1">
      <c r="B153" s="501" t="s">
        <v>92</v>
      </c>
      <c r="C153" s="502"/>
      <c r="D153" s="502"/>
      <c r="E153" s="502"/>
      <c r="F153" s="502"/>
      <c r="G153" s="502"/>
      <c r="H153" s="503"/>
      <c r="I153" s="252">
        <f>SUM(I151:I152)</f>
        <v>150</v>
      </c>
      <c r="J153" s="253"/>
      <c r="K153" s="254" t="s">
        <v>236</v>
      </c>
      <c r="L153" s="255">
        <v>320</v>
      </c>
      <c r="M153" s="255">
        <v>120</v>
      </c>
      <c r="N153" s="255">
        <v>70</v>
      </c>
      <c r="O153" s="256">
        <f>(L153*M153*N153)/10^6</f>
        <v>2.6880000000000002</v>
      </c>
      <c r="P153" s="257">
        <f>SUM(P151:P152)</f>
        <v>600</v>
      </c>
      <c r="Q153" s="257">
        <f>P153+300</f>
        <v>900</v>
      </c>
      <c r="R153" s="254" t="s">
        <v>148</v>
      </c>
      <c r="S153" s="254" t="s">
        <v>149</v>
      </c>
      <c r="T153" s="258"/>
      <c r="U153" s="254" t="s">
        <v>195</v>
      </c>
      <c r="W153" s="208"/>
      <c r="X153" s="154"/>
      <c r="Y153" s="154"/>
      <c r="Z153" s="154"/>
      <c r="AA153" s="154"/>
      <c r="AB153" s="154"/>
      <c r="AC153" s="154"/>
      <c r="AJ153" s="154"/>
      <c r="AK153" s="154"/>
      <c r="AL153" s="154"/>
      <c r="AM153" s="154"/>
      <c r="AN153" s="154"/>
    </row>
    <row r="154" spans="2:40" s="155" customFormat="1" ht="28.5" customHeight="1">
      <c r="B154" s="343" t="s">
        <v>456</v>
      </c>
      <c r="C154" s="333" t="s">
        <v>438</v>
      </c>
      <c r="D154" s="344" t="s">
        <v>235</v>
      </c>
      <c r="E154" s="93" t="s">
        <v>389</v>
      </c>
      <c r="F154" s="299" t="s">
        <v>197</v>
      </c>
      <c r="G154" s="270" t="s">
        <v>188</v>
      </c>
      <c r="H154" s="332"/>
      <c r="I154" s="248">
        <v>102</v>
      </c>
      <c r="J154" s="335" t="s">
        <v>146</v>
      </c>
      <c r="K154" s="332"/>
      <c r="L154" s="249"/>
      <c r="M154" s="249"/>
      <c r="N154" s="249"/>
      <c r="O154" s="250"/>
      <c r="P154" s="251">
        <f t="shared" ref="P154:P155" si="14">W154*I154</f>
        <v>3179.34</v>
      </c>
      <c r="Q154" s="251"/>
      <c r="R154" s="332"/>
      <c r="S154" s="332"/>
      <c r="T154" s="334"/>
      <c r="U154" s="332"/>
      <c r="W154" s="208">
        <v>31.17</v>
      </c>
      <c r="X154" s="154"/>
      <c r="Y154" s="154"/>
      <c r="Z154" s="154"/>
      <c r="AA154" s="154"/>
      <c r="AB154" s="154"/>
      <c r="AC154" s="154"/>
      <c r="AJ154" s="154"/>
      <c r="AK154" s="154"/>
      <c r="AL154" s="154"/>
      <c r="AM154" s="154"/>
      <c r="AN154" s="154"/>
    </row>
    <row r="155" spans="2:40" s="155" customFormat="1" ht="28.5" customHeight="1">
      <c r="B155" s="343" t="s">
        <v>457</v>
      </c>
      <c r="C155" s="333" t="str">
        <f>C154</f>
        <v>OM4-DE-IS-0009-017</v>
      </c>
      <c r="D155" s="388" t="s">
        <v>483</v>
      </c>
      <c r="E155" s="93" t="s">
        <v>390</v>
      </c>
      <c r="F155" s="299" t="s">
        <v>197</v>
      </c>
      <c r="G155" s="270" t="s">
        <v>188</v>
      </c>
      <c r="H155" s="332"/>
      <c r="I155" s="248">
        <v>51</v>
      </c>
      <c r="J155" s="335" t="s">
        <v>146</v>
      </c>
      <c r="K155" s="332"/>
      <c r="L155" s="249"/>
      <c r="M155" s="249"/>
      <c r="N155" s="249"/>
      <c r="O155" s="250"/>
      <c r="P155" s="251">
        <f t="shared" si="14"/>
        <v>752.25</v>
      </c>
      <c r="Q155" s="251"/>
      <c r="R155" s="332"/>
      <c r="S155" s="332"/>
      <c r="T155" s="334"/>
      <c r="U155" s="332"/>
      <c r="W155" s="208">
        <v>14.75</v>
      </c>
      <c r="X155" s="154"/>
      <c r="Y155" s="154"/>
      <c r="Z155" s="154"/>
      <c r="AA155" s="154"/>
      <c r="AB155" s="154"/>
      <c r="AC155" s="154"/>
      <c r="AJ155" s="154"/>
      <c r="AK155" s="154"/>
      <c r="AL155" s="154"/>
      <c r="AM155" s="154"/>
      <c r="AN155" s="154"/>
    </row>
    <row r="156" spans="2:40" s="155" customFormat="1" ht="28.5" customHeight="1">
      <c r="B156" s="501" t="s">
        <v>92</v>
      </c>
      <c r="C156" s="502"/>
      <c r="D156" s="502"/>
      <c r="E156" s="502"/>
      <c r="F156" s="502"/>
      <c r="G156" s="502"/>
      <c r="H156" s="503"/>
      <c r="I156" s="252">
        <f>SUM(I154:I155)</f>
        <v>153</v>
      </c>
      <c r="J156" s="253"/>
      <c r="K156" s="254" t="s">
        <v>236</v>
      </c>
      <c r="L156" s="255">
        <v>360</v>
      </c>
      <c r="M156" s="255">
        <v>120</v>
      </c>
      <c r="N156" s="255">
        <v>110</v>
      </c>
      <c r="O156" s="256">
        <f>(L156*M156*N156)/10^6</f>
        <v>4.7519999999999998</v>
      </c>
      <c r="P156" s="257">
        <f>SUM(P154:P155)</f>
        <v>3931.59</v>
      </c>
      <c r="Q156" s="257">
        <f>P156+300</f>
        <v>4231.59</v>
      </c>
      <c r="R156" s="254" t="s">
        <v>148</v>
      </c>
      <c r="S156" s="254" t="s">
        <v>149</v>
      </c>
      <c r="T156" s="258"/>
      <c r="U156" s="254" t="s">
        <v>195</v>
      </c>
      <c r="W156" s="208"/>
      <c r="X156" s="154"/>
      <c r="Y156" s="154"/>
      <c r="Z156" s="154"/>
      <c r="AA156" s="154"/>
      <c r="AB156" s="154"/>
      <c r="AC156" s="154"/>
      <c r="AJ156" s="154"/>
      <c r="AK156" s="154"/>
      <c r="AL156" s="154"/>
      <c r="AM156" s="154"/>
      <c r="AN156" s="154"/>
    </row>
    <row r="157" spans="2:40" s="330" customFormat="1" ht="32.25" customHeight="1">
      <c r="B157" s="500" t="s">
        <v>93</v>
      </c>
      <c r="C157" s="500"/>
      <c r="D157" s="500"/>
      <c r="E157" s="500"/>
      <c r="F157" s="500"/>
      <c r="G157" s="500"/>
      <c r="H157" s="500"/>
      <c r="I157" s="500"/>
      <c r="J157" s="500"/>
      <c r="K157" s="335"/>
      <c r="L157" s="335"/>
      <c r="M157" s="335"/>
      <c r="N157" s="335"/>
      <c r="O157" s="207">
        <f>SUM(O15:O156)</f>
        <v>92.242999999999995</v>
      </c>
      <c r="P157" s="207">
        <f>SUM(P16,P18,P35,P37,P39,P41,P43,P45,P47,P92,P96,P137,P144,P148,P150,P153,P156,)</f>
        <v>29079.239999999998</v>
      </c>
      <c r="Q157" s="207">
        <f>SUM(Q15:Q156)</f>
        <v>34179.24</v>
      </c>
      <c r="R157" s="335"/>
      <c r="S157" s="335"/>
      <c r="T157" s="335"/>
      <c r="U157" s="335"/>
      <c r="V157" s="148"/>
      <c r="W157" s="78"/>
      <c r="X157" s="78"/>
      <c r="Y157" s="78"/>
      <c r="Z157" s="78"/>
      <c r="AA157" s="78"/>
      <c r="AB157" s="78"/>
      <c r="AC157" s="78"/>
      <c r="AJ157" s="78"/>
      <c r="AK157" s="78"/>
      <c r="AL157" s="78"/>
      <c r="AM157" s="78"/>
      <c r="AN157" s="78"/>
    </row>
  </sheetData>
  <autoFilter ref="B14:AN157" xr:uid="{00000000-0001-0000-0400-000000000000}">
    <filterColumn colId="2" showButton="0"/>
  </autoFilter>
  <mergeCells count="36">
    <mergeCell ref="B96:H96"/>
    <mergeCell ref="B1:U1"/>
    <mergeCell ref="C3:K3"/>
    <mergeCell ref="B4:U4"/>
    <mergeCell ref="B13:B14"/>
    <mergeCell ref="C13:C14"/>
    <mergeCell ref="D13:E14"/>
    <mergeCell ref="F13:F14"/>
    <mergeCell ref="G13:G14"/>
    <mergeCell ref="H13:H14"/>
    <mergeCell ref="I13:J13"/>
    <mergeCell ref="B45:H45"/>
    <mergeCell ref="K13:K14"/>
    <mergeCell ref="L13:O13"/>
    <mergeCell ref="B37:H37"/>
    <mergeCell ref="B39:H39"/>
    <mergeCell ref="T13:T14"/>
    <mergeCell ref="U13:U14"/>
    <mergeCell ref="B16:H16"/>
    <mergeCell ref="B47:H47"/>
    <mergeCell ref="B92:H92"/>
    <mergeCell ref="B41:H41"/>
    <mergeCell ref="B43:H43"/>
    <mergeCell ref="B18:H18"/>
    <mergeCell ref="B35:H35"/>
    <mergeCell ref="R13:R14"/>
    <mergeCell ref="S13:S14"/>
    <mergeCell ref="P13:P14"/>
    <mergeCell ref="Q13:Q14"/>
    <mergeCell ref="B157:J157"/>
    <mergeCell ref="B137:H137"/>
    <mergeCell ref="B144:H144"/>
    <mergeCell ref="B150:H150"/>
    <mergeCell ref="B153:H153"/>
    <mergeCell ref="B156:H156"/>
    <mergeCell ref="B148:H148"/>
  </mergeCells>
  <phoneticPr fontId="34" type="noConversion"/>
  <printOptions horizontalCentered="1"/>
  <pageMargins left="0.23622047244094491" right="0.23622047244094491" top="0.47244094488188981" bottom="0.51181102362204722" header="0.31496062992125984" footer="0.31496062992125984"/>
  <pageSetup paperSize="9" scale="38" fitToHeight="0" orientation="portrait" r:id="rId1"/>
  <headerFooter alignWithMargins="0">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Q47"/>
  <sheetViews>
    <sheetView showGridLines="0" view="pageBreakPreview" zoomScaleNormal="100" zoomScaleSheetLayoutView="100" workbookViewId="0">
      <selection activeCell="A4" sqref="A4:K4"/>
    </sheetView>
  </sheetViews>
  <sheetFormatPr defaultColWidth="9.5859375" defaultRowHeight="17.25" customHeight="1"/>
  <cols>
    <col min="1" max="1" width="1.63671875" style="7" customWidth="1"/>
    <col min="2" max="2" width="27.24609375" style="7" customWidth="1"/>
    <col min="3" max="3" width="1.75390625" style="7" customWidth="1"/>
    <col min="4" max="4" width="6.3125" style="7" customWidth="1"/>
    <col min="5" max="5" width="4.32421875" style="7" customWidth="1"/>
    <col min="6" max="6" width="13.5625" style="7" customWidth="1"/>
    <col min="7" max="7" width="17.65625" style="6" customWidth="1"/>
    <col min="8" max="8" width="9.5859375" style="6" customWidth="1"/>
    <col min="9" max="10" width="9.00390625" style="6" customWidth="1"/>
    <col min="11" max="11" width="10.875" style="72" customWidth="1"/>
    <col min="12" max="12" width="7.71484375" style="6" customWidth="1"/>
    <col min="13" max="16384" width="9.5859375" style="7"/>
  </cols>
  <sheetData>
    <row r="1" spans="1:14" ht="22.15" customHeight="1">
      <c r="A1" s="1"/>
      <c r="B1" s="2"/>
      <c r="C1" s="2"/>
      <c r="D1" s="2"/>
      <c r="E1" s="2"/>
      <c r="F1" s="2"/>
      <c r="G1" s="3"/>
      <c r="H1" s="3"/>
      <c r="I1" s="3"/>
      <c r="J1" s="4"/>
      <c r="K1" s="5"/>
    </row>
    <row r="2" spans="1:14" ht="22.15" customHeight="1">
      <c r="A2" s="8"/>
      <c r="B2" s="183"/>
      <c r="C2" s="183"/>
      <c r="D2" s="183"/>
      <c r="E2" s="183"/>
      <c r="F2" s="183"/>
      <c r="G2" s="184"/>
      <c r="H2" s="184"/>
      <c r="I2" s="184"/>
      <c r="J2" s="185"/>
      <c r="K2" s="9"/>
    </row>
    <row r="3" spans="1:14" ht="37.5" customHeight="1">
      <c r="A3" s="10"/>
      <c r="B3" s="401" t="s">
        <v>114</v>
      </c>
      <c r="C3" s="402"/>
      <c r="D3" s="402"/>
      <c r="E3" s="402"/>
      <c r="F3" s="186"/>
      <c r="G3" s="187"/>
      <c r="H3" s="401"/>
      <c r="I3" s="402"/>
      <c r="J3" s="402"/>
      <c r="K3" s="403"/>
    </row>
    <row r="4" spans="1:14" s="13" customFormat="1" ht="24.75" customHeight="1">
      <c r="A4" s="404" t="s">
        <v>1</v>
      </c>
      <c r="B4" s="405"/>
      <c r="C4" s="405"/>
      <c r="D4" s="405"/>
      <c r="E4" s="405"/>
      <c r="F4" s="405"/>
      <c r="G4" s="405"/>
      <c r="H4" s="405"/>
      <c r="I4" s="405"/>
      <c r="J4" s="405"/>
      <c r="K4" s="406"/>
      <c r="L4" s="11"/>
      <c r="M4" s="12"/>
      <c r="N4" s="12"/>
    </row>
    <row r="5" spans="1:14" s="13" customFormat="1" ht="16.149999999999999" customHeight="1">
      <c r="A5" s="14" t="s">
        <v>2</v>
      </c>
      <c r="B5" s="15"/>
      <c r="C5" s="15"/>
      <c r="D5" s="15"/>
      <c r="E5" s="16"/>
      <c r="F5" s="17"/>
      <c r="G5" s="18" t="s">
        <v>3</v>
      </c>
      <c r="H5" s="19" t="s">
        <v>226</v>
      </c>
      <c r="I5" s="19"/>
      <c r="J5" s="19"/>
      <c r="K5" s="20"/>
      <c r="L5" s="21"/>
      <c r="M5" s="22"/>
      <c r="N5" s="12"/>
    </row>
    <row r="6" spans="1:14" s="13" customFormat="1" ht="12.75">
      <c r="A6" s="23"/>
      <c r="B6" s="410" t="s">
        <v>130</v>
      </c>
      <c r="C6" s="411"/>
      <c r="D6" s="411"/>
      <c r="E6" s="411"/>
      <c r="F6" s="412"/>
      <c r="G6" s="24" t="s">
        <v>4</v>
      </c>
      <c r="H6" s="370">
        <v>46177</v>
      </c>
      <c r="I6" s="25"/>
      <c r="J6" s="26"/>
      <c r="K6" s="27"/>
      <c r="L6" s="21"/>
      <c r="M6" s="12"/>
      <c r="N6" s="12"/>
    </row>
    <row r="7" spans="1:14" ht="15.4" customHeight="1">
      <c r="A7" s="8"/>
      <c r="B7" s="411"/>
      <c r="C7" s="411"/>
      <c r="D7" s="411"/>
      <c r="E7" s="411"/>
      <c r="F7" s="412"/>
      <c r="G7" s="29" t="s">
        <v>5</v>
      </c>
      <c r="H7" s="30" t="s">
        <v>115</v>
      </c>
      <c r="I7" s="30"/>
      <c r="J7" s="30"/>
      <c r="K7" s="31"/>
    </row>
    <row r="8" spans="1:14" ht="16.5" customHeight="1">
      <c r="A8" s="8"/>
      <c r="B8" s="413"/>
      <c r="C8" s="413"/>
      <c r="D8" s="413"/>
      <c r="E8" s="413"/>
      <c r="F8" s="414"/>
      <c r="G8" s="24" t="s">
        <v>4</v>
      </c>
      <c r="H8" s="193">
        <v>45814</v>
      </c>
      <c r="I8" s="32"/>
      <c r="J8" s="32"/>
      <c r="K8" s="27"/>
    </row>
    <row r="9" spans="1:14" ht="21" thickBot="1">
      <c r="A9" s="33" t="s">
        <v>7</v>
      </c>
      <c r="B9" s="30"/>
      <c r="C9" s="30"/>
      <c r="D9" s="30"/>
      <c r="E9" s="30"/>
      <c r="F9" s="34"/>
      <c r="G9" s="407" t="s">
        <v>8</v>
      </c>
      <c r="H9" s="408"/>
      <c r="I9" s="408"/>
      <c r="J9" s="408"/>
      <c r="K9" s="409"/>
    </row>
    <row r="10" spans="1:14" ht="14.1" customHeight="1">
      <c r="A10" s="8"/>
      <c r="B10" s="431" t="s">
        <v>129</v>
      </c>
      <c r="C10" s="431"/>
      <c r="D10" s="431"/>
      <c r="E10" s="431"/>
      <c r="F10" s="432"/>
      <c r="G10" s="415" t="s">
        <v>126</v>
      </c>
      <c r="H10" s="416"/>
      <c r="I10" s="416"/>
      <c r="J10" s="416"/>
      <c r="K10" s="417"/>
    </row>
    <row r="11" spans="1:14" ht="14.1" customHeight="1">
      <c r="A11" s="8"/>
      <c r="B11" s="431"/>
      <c r="C11" s="431"/>
      <c r="D11" s="431"/>
      <c r="E11" s="431"/>
      <c r="F11" s="432"/>
      <c r="G11" s="418"/>
      <c r="H11" s="419"/>
      <c r="I11" s="419"/>
      <c r="J11" s="419"/>
      <c r="K11" s="420"/>
    </row>
    <row r="12" spans="1:14" ht="28.15" customHeight="1" thickBot="1">
      <c r="A12" s="35"/>
      <c r="B12" s="433"/>
      <c r="C12" s="433"/>
      <c r="D12" s="433"/>
      <c r="E12" s="433"/>
      <c r="F12" s="434"/>
      <c r="G12" s="421"/>
      <c r="H12" s="422"/>
      <c r="I12" s="422"/>
      <c r="J12" s="422"/>
      <c r="K12" s="423"/>
    </row>
    <row r="13" spans="1:14" ht="14.1" customHeight="1">
      <c r="A13" s="36" t="s">
        <v>10</v>
      </c>
      <c r="B13" s="188"/>
      <c r="C13" s="183"/>
      <c r="D13" s="183"/>
      <c r="E13" s="183"/>
      <c r="F13" s="183"/>
      <c r="G13" s="37"/>
      <c r="H13" s="183"/>
      <c r="I13" s="183"/>
      <c r="J13" s="185"/>
      <c r="K13" s="9"/>
    </row>
    <row r="14" spans="1:14" ht="14.1" customHeight="1">
      <c r="A14" s="8"/>
      <c r="B14" s="435" t="s">
        <v>131</v>
      </c>
      <c r="C14" s="436"/>
      <c r="D14" s="436"/>
      <c r="E14" s="436"/>
      <c r="F14" s="437"/>
      <c r="G14" s="38"/>
      <c r="H14" s="424"/>
      <c r="I14" s="424"/>
      <c r="J14" s="424"/>
      <c r="K14" s="425"/>
    </row>
    <row r="15" spans="1:14" s="279" customFormat="1" ht="14.1" customHeight="1">
      <c r="A15" s="277"/>
      <c r="B15" s="436"/>
      <c r="C15" s="436"/>
      <c r="D15" s="436"/>
      <c r="E15" s="436"/>
      <c r="F15" s="437"/>
      <c r="G15" s="275" t="s">
        <v>11</v>
      </c>
      <c r="H15" s="426" t="str">
        <f>H5</f>
        <v>OM4-DE-IS-0009</v>
      </c>
      <c r="I15" s="427"/>
      <c r="J15" s="427"/>
      <c r="K15" s="428"/>
      <c r="L15" s="278"/>
    </row>
    <row r="16" spans="1:14" ht="9" customHeight="1">
      <c r="A16" s="8"/>
      <c r="B16" s="436"/>
      <c r="C16" s="436"/>
      <c r="D16" s="436"/>
      <c r="E16" s="436"/>
      <c r="F16" s="437"/>
      <c r="G16" s="38"/>
      <c r="H16" s="427"/>
      <c r="I16" s="427"/>
      <c r="J16" s="427"/>
      <c r="K16" s="428"/>
    </row>
    <row r="17" spans="1:15" ht="100.15" customHeight="1">
      <c r="A17" s="8"/>
      <c r="B17" s="438"/>
      <c r="C17" s="438"/>
      <c r="D17" s="438"/>
      <c r="E17" s="438"/>
      <c r="F17" s="439"/>
      <c r="G17" s="275" t="s">
        <v>12</v>
      </c>
      <c r="H17" s="429" t="s">
        <v>222</v>
      </c>
      <c r="I17" s="429"/>
      <c r="J17" s="429"/>
      <c r="K17" s="430"/>
    </row>
    <row r="18" spans="1:15" ht="18.600000000000001" customHeight="1">
      <c r="A18" s="33" t="s">
        <v>13</v>
      </c>
      <c r="B18" s="40"/>
      <c r="C18" s="29" t="s">
        <v>14</v>
      </c>
      <c r="D18" s="30"/>
      <c r="E18" s="30"/>
      <c r="F18" s="34"/>
      <c r="G18" s="37"/>
      <c r="H18" s="441"/>
      <c r="I18" s="441"/>
      <c r="J18" s="441"/>
      <c r="K18" s="442"/>
    </row>
    <row r="19" spans="1:15" s="6" customFormat="1" ht="11.65" customHeight="1">
      <c r="A19" s="35"/>
      <c r="B19" s="259" t="s">
        <v>466</v>
      </c>
      <c r="C19" s="260"/>
      <c r="D19" s="443">
        <v>46208</v>
      </c>
      <c r="E19" s="443"/>
      <c r="F19" s="444"/>
      <c r="G19" s="37" t="s">
        <v>110</v>
      </c>
      <c r="H19" s="441" t="s">
        <v>111</v>
      </c>
      <c r="I19" s="441"/>
      <c r="J19" s="441"/>
      <c r="K19" s="442"/>
      <c r="M19" s="7"/>
      <c r="N19" s="7"/>
      <c r="O19" s="7"/>
    </row>
    <row r="20" spans="1:15" s="6" customFormat="1" ht="18.600000000000001" customHeight="1">
      <c r="A20" s="33" t="s">
        <v>15</v>
      </c>
      <c r="B20" s="30"/>
      <c r="C20" s="29" t="s">
        <v>16</v>
      </c>
      <c r="D20" s="30"/>
      <c r="E20" s="30"/>
      <c r="F20" s="34"/>
      <c r="G20" s="281" t="s">
        <v>216</v>
      </c>
      <c r="H20" s="429" t="s">
        <v>215</v>
      </c>
      <c r="I20" s="429"/>
      <c r="J20" s="429"/>
      <c r="K20" s="430"/>
      <c r="M20" s="7"/>
      <c r="N20" s="7"/>
      <c r="O20" s="7"/>
    </row>
    <row r="21" spans="1:15" s="6" customFormat="1" ht="13.15" customHeight="1">
      <c r="A21" s="277"/>
      <c r="B21" s="283" t="s">
        <v>217</v>
      </c>
      <c r="C21" s="280"/>
      <c r="D21" s="272" t="s">
        <v>221</v>
      </c>
      <c r="E21" s="273"/>
      <c r="F21" s="274"/>
      <c r="G21" s="281"/>
      <c r="H21" s="185"/>
      <c r="I21" s="184"/>
      <c r="J21" s="184"/>
      <c r="K21" s="9"/>
      <c r="M21" s="7"/>
      <c r="N21" s="7"/>
      <c r="O21" s="7"/>
    </row>
    <row r="22" spans="1:15" s="6" customFormat="1" ht="18.600000000000001" customHeight="1">
      <c r="A22" s="33" t="s">
        <v>17</v>
      </c>
      <c r="B22" s="40"/>
      <c r="C22" s="29" t="s">
        <v>18</v>
      </c>
      <c r="D22" s="30"/>
      <c r="E22" s="30"/>
      <c r="F22" s="34"/>
      <c r="G22" s="37"/>
      <c r="H22" s="185"/>
      <c r="I22" s="184"/>
      <c r="J22" s="184"/>
      <c r="K22" s="9"/>
      <c r="M22" s="7"/>
      <c r="N22" s="7"/>
      <c r="O22" s="7"/>
    </row>
    <row r="23" spans="1:15" s="6" customFormat="1" ht="13.9" customHeight="1">
      <c r="A23" s="35"/>
      <c r="B23" s="259"/>
      <c r="C23" s="260"/>
      <c r="D23" s="447"/>
      <c r="E23" s="447"/>
      <c r="F23" s="448"/>
      <c r="G23" s="37"/>
      <c r="H23" s="184"/>
      <c r="I23" s="184"/>
      <c r="J23" s="184"/>
      <c r="K23" s="9"/>
      <c r="M23" s="7"/>
      <c r="N23" s="7"/>
      <c r="O23" s="7"/>
    </row>
    <row r="24" spans="1:15" s="6" customFormat="1" ht="19.149999999999999" customHeight="1">
      <c r="A24" s="33" t="s">
        <v>19</v>
      </c>
      <c r="B24" s="30"/>
      <c r="C24" s="30"/>
      <c r="D24" s="30"/>
      <c r="E24" s="30"/>
      <c r="F24" s="30"/>
      <c r="G24" s="43"/>
      <c r="H24" s="44"/>
      <c r="I24" s="45"/>
      <c r="J24" s="44"/>
      <c r="K24" s="46"/>
      <c r="M24" s="7"/>
      <c r="N24" s="7"/>
      <c r="O24" s="7"/>
    </row>
    <row r="25" spans="1:15" s="6" customFormat="1" ht="12.75">
      <c r="A25" s="8"/>
      <c r="B25" s="188" t="s">
        <v>9</v>
      </c>
      <c r="C25" s="183"/>
      <c r="D25" s="183"/>
      <c r="E25" s="183"/>
      <c r="F25" s="183"/>
      <c r="G25" s="37"/>
      <c r="H25" s="184"/>
      <c r="I25" s="184"/>
      <c r="J25" s="184"/>
      <c r="K25" s="9"/>
      <c r="M25" s="7"/>
      <c r="N25" s="7"/>
      <c r="O25" s="7"/>
    </row>
    <row r="26" spans="1:15" s="6" customFormat="1" ht="19.149999999999999" customHeight="1">
      <c r="A26" s="35"/>
      <c r="B26" s="449" t="s">
        <v>132</v>
      </c>
      <c r="C26" s="449"/>
      <c r="D26" s="449"/>
      <c r="E26" s="449"/>
      <c r="F26" s="450"/>
      <c r="G26" s="47"/>
      <c r="H26" s="48"/>
      <c r="I26" s="48"/>
      <c r="J26" s="48"/>
      <c r="K26" s="49"/>
      <c r="M26" s="7"/>
      <c r="N26" s="7"/>
      <c r="O26" s="7"/>
    </row>
    <row r="27" spans="1:15" ht="45" customHeight="1">
      <c r="A27" s="451" t="s">
        <v>20</v>
      </c>
      <c r="B27" s="446"/>
      <c r="C27" s="446"/>
      <c r="D27" s="446"/>
      <c r="E27" s="446"/>
      <c r="F27" s="446"/>
      <c r="G27" s="452"/>
      <c r="H27" s="50" t="s">
        <v>21</v>
      </c>
      <c r="I27" s="50" t="s">
        <v>22</v>
      </c>
      <c r="J27" s="51" t="s">
        <v>23</v>
      </c>
      <c r="K27" s="52" t="s">
        <v>24</v>
      </c>
    </row>
    <row r="28" spans="1:15" ht="36" customHeight="1">
      <c r="A28" s="36"/>
      <c r="B28" s="453" t="s">
        <v>133</v>
      </c>
      <c r="C28" s="453"/>
      <c r="D28" s="453"/>
      <c r="E28" s="453"/>
      <c r="F28" s="453"/>
      <c r="G28" s="454"/>
      <c r="H28" s="53"/>
      <c r="I28" s="53"/>
      <c r="J28" s="53"/>
      <c r="K28" s="54"/>
    </row>
    <row r="29" spans="1:15" ht="12.6" customHeight="1">
      <c r="A29" s="36"/>
      <c r="B29" s="188"/>
      <c r="C29" s="183"/>
      <c r="D29" s="183"/>
      <c r="E29" s="183"/>
      <c r="F29" s="183"/>
      <c r="G29" s="55"/>
      <c r="H29" s="53"/>
      <c r="I29" s="53"/>
      <c r="J29" s="53"/>
      <c r="K29" s="56"/>
    </row>
    <row r="30" spans="1:15" ht="15" customHeight="1">
      <c r="A30" s="264"/>
      <c r="B30" s="455" t="s">
        <v>225</v>
      </c>
      <c r="C30" s="455"/>
      <c r="D30" s="455"/>
      <c r="E30" s="455"/>
      <c r="F30" s="455"/>
      <c r="G30" s="456"/>
      <c r="H30" s="285" t="s">
        <v>147</v>
      </c>
      <c r="I30" s="371">
        <f>SUM('Packing List (1_2)'!H30:H46)</f>
        <v>31783</v>
      </c>
      <c r="J30" s="285">
        <f>ROUND(K30/I30,2)</f>
        <v>3.89</v>
      </c>
      <c r="K30" s="372">
        <f>'Break Down CI'!O134</f>
        <v>123745.58000000002</v>
      </c>
      <c r="M30" s="317" t="s">
        <v>218</v>
      </c>
    </row>
    <row r="31" spans="1:15" ht="15" customHeight="1">
      <c r="A31" s="264"/>
      <c r="B31" s="455"/>
      <c r="C31" s="455"/>
      <c r="D31" s="455"/>
      <c r="E31" s="455"/>
      <c r="F31" s="455"/>
      <c r="G31" s="456"/>
      <c r="H31" s="53"/>
      <c r="I31" s="53" t="s">
        <v>443</v>
      </c>
      <c r="J31" s="53"/>
      <c r="K31" s="293"/>
    </row>
    <row r="32" spans="1:15" ht="15" customHeight="1">
      <c r="A32" s="264"/>
      <c r="B32" s="265"/>
      <c r="C32" s="265"/>
      <c r="D32" s="183"/>
      <c r="E32" s="265"/>
      <c r="F32" s="265"/>
      <c r="G32" s="266"/>
      <c r="H32" s="53"/>
      <c r="I32" s="53"/>
      <c r="J32" s="53"/>
      <c r="K32" s="293"/>
    </row>
    <row r="33" spans="1:17" s="279" customFormat="1" ht="46.9" customHeight="1">
      <c r="A33" s="282"/>
      <c r="B33" s="283" t="s">
        <v>25</v>
      </c>
      <c r="C33" s="283"/>
      <c r="D33" s="283">
        <v>17</v>
      </c>
      <c r="E33" s="283" t="s">
        <v>26</v>
      </c>
      <c r="F33" s="283"/>
      <c r="G33" s="284"/>
      <c r="H33" s="285"/>
      <c r="I33" s="285"/>
      <c r="J33" s="285"/>
      <c r="K33" s="286"/>
      <c r="L33" s="278"/>
      <c r="M33" s="7" t="s">
        <v>219</v>
      </c>
      <c r="N33" s="384">
        <v>5108</v>
      </c>
      <c r="P33" s="7"/>
      <c r="Q33" s="7"/>
    </row>
    <row r="34" spans="1:17" ht="18" customHeight="1">
      <c r="A34" s="36"/>
      <c r="B34" s="183"/>
      <c r="C34" s="183"/>
      <c r="D34" s="183"/>
      <c r="E34" s="183"/>
      <c r="F34" s="183"/>
      <c r="G34" s="55"/>
      <c r="H34" s="53"/>
      <c r="I34" s="53"/>
      <c r="J34" s="53"/>
      <c r="K34" s="56"/>
      <c r="M34" s="7" t="s">
        <v>220</v>
      </c>
      <c r="N34" s="385">
        <f>K30*110%*0.1045%</f>
        <v>142.24554421000002</v>
      </c>
    </row>
    <row r="35" spans="1:17" ht="18" customHeight="1">
      <c r="A35" s="36"/>
      <c r="B35" s="183"/>
      <c r="C35" s="183"/>
      <c r="D35" s="183"/>
      <c r="E35" s="183"/>
      <c r="F35" s="183"/>
      <c r="G35" s="55"/>
      <c r="H35" s="53"/>
      <c r="I35" s="53"/>
      <c r="J35" s="53"/>
      <c r="K35" s="56"/>
    </row>
    <row r="36" spans="1:17" ht="18" customHeight="1">
      <c r="A36" s="36"/>
      <c r="B36" s="183"/>
      <c r="C36" s="183"/>
      <c r="D36" s="183"/>
      <c r="E36" s="183"/>
      <c r="F36" s="183"/>
      <c r="G36" s="55"/>
      <c r="H36" s="53"/>
      <c r="I36" s="53"/>
      <c r="J36" s="53"/>
      <c r="K36" s="56"/>
    </row>
    <row r="37" spans="1:17" ht="18" customHeight="1">
      <c r="A37" s="57"/>
      <c r="B37" s="58"/>
      <c r="C37" s="58"/>
      <c r="D37" s="58"/>
      <c r="E37" s="58"/>
      <c r="F37" s="58"/>
      <c r="G37" s="59"/>
      <c r="H37" s="60"/>
      <c r="I37" s="60"/>
      <c r="J37" s="60"/>
      <c r="K37" s="61"/>
    </row>
    <row r="38" spans="1:17" ht="14.1" customHeight="1">
      <c r="A38" s="33"/>
      <c r="B38" s="445" t="s">
        <v>27</v>
      </c>
      <c r="C38" s="445"/>
      <c r="D38" s="445"/>
      <c r="E38" s="445"/>
      <c r="F38" s="445"/>
      <c r="G38" s="445"/>
      <c r="H38" s="62"/>
      <c r="I38" s="45"/>
      <c r="J38" s="45"/>
      <c r="K38" s="63">
        <f>SUM(K30:K33)</f>
        <v>123745.58000000002</v>
      </c>
    </row>
    <row r="39" spans="1:17" ht="14.1" customHeight="1">
      <c r="A39" s="57"/>
      <c r="B39" s="446"/>
      <c r="C39" s="446"/>
      <c r="D39" s="446"/>
      <c r="E39" s="446"/>
      <c r="F39" s="446"/>
      <c r="G39" s="446"/>
      <c r="H39" s="64"/>
      <c r="I39" s="64"/>
      <c r="J39" s="64"/>
      <c r="K39" s="65"/>
    </row>
    <row r="40" spans="1:17" ht="14.1" customHeight="1">
      <c r="A40" s="36"/>
      <c r="B40" s="183"/>
      <c r="C40" s="183"/>
      <c r="D40" s="183"/>
      <c r="E40" s="183"/>
      <c r="F40" s="183"/>
      <c r="G40" s="184"/>
      <c r="H40" s="184"/>
      <c r="I40" s="184"/>
      <c r="J40" s="184"/>
      <c r="K40" s="9"/>
    </row>
    <row r="41" spans="1:17" ht="14.1" customHeight="1">
      <c r="A41" s="36"/>
      <c r="B41" s="183"/>
      <c r="C41" s="183"/>
      <c r="D41" s="183"/>
      <c r="E41" s="183"/>
      <c r="F41" s="183"/>
      <c r="G41" s="184"/>
      <c r="H41" s="184"/>
      <c r="I41" s="184"/>
      <c r="J41" s="184"/>
      <c r="K41" s="9"/>
    </row>
    <row r="42" spans="1:17" ht="14.1" customHeight="1">
      <c r="A42" s="8"/>
      <c r="B42" s="183"/>
      <c r="C42" s="183"/>
      <c r="D42" s="183"/>
      <c r="E42" s="183"/>
      <c r="F42" s="183"/>
      <c r="G42" s="184"/>
      <c r="H42" s="184"/>
      <c r="I42" s="184"/>
      <c r="J42" s="184"/>
      <c r="K42" s="9"/>
    </row>
    <row r="43" spans="1:17" ht="14.1" customHeight="1">
      <c r="A43" s="8"/>
      <c r="B43" s="183"/>
      <c r="C43" s="183"/>
      <c r="D43" s="183"/>
      <c r="E43" s="183"/>
      <c r="F43" s="183"/>
      <c r="G43" s="184"/>
      <c r="H43" s="184"/>
      <c r="I43" s="184"/>
      <c r="J43" s="184"/>
      <c r="K43" s="9"/>
    </row>
    <row r="44" spans="1:17" ht="14.1" customHeight="1">
      <c r="A44" s="8"/>
      <c r="B44" s="183"/>
      <c r="C44" s="183"/>
      <c r="D44" s="183"/>
      <c r="E44" s="183"/>
      <c r="F44" s="183"/>
      <c r="G44" s="184"/>
      <c r="H44" s="184"/>
      <c r="I44" s="184"/>
      <c r="J44" s="184"/>
      <c r="K44" s="9"/>
    </row>
    <row r="45" spans="1:17" ht="14.1" customHeight="1">
      <c r="A45" s="8"/>
      <c r="B45" s="183"/>
      <c r="C45" s="183"/>
      <c r="D45" s="183"/>
      <c r="E45" s="183"/>
      <c r="F45" s="183"/>
      <c r="G45" s="191" t="s">
        <v>28</v>
      </c>
      <c r="H45" s="48"/>
      <c r="I45" s="48"/>
      <c r="J45" s="48"/>
      <c r="K45" s="9"/>
    </row>
    <row r="46" spans="1:17" ht="14.1" customHeight="1">
      <c r="A46" s="8"/>
      <c r="B46" s="183"/>
      <c r="C46" s="183"/>
      <c r="D46" s="183"/>
      <c r="E46" s="183"/>
      <c r="F46" s="183"/>
      <c r="G46" s="184"/>
      <c r="H46" s="440" t="s">
        <v>213</v>
      </c>
      <c r="I46" s="440"/>
      <c r="J46" s="440"/>
      <c r="K46" s="9"/>
    </row>
    <row r="47" spans="1:17" ht="14.1" customHeight="1" thickBot="1">
      <c r="A47" s="115"/>
      <c r="B47" s="68"/>
      <c r="C47" s="68"/>
      <c r="D47" s="68"/>
      <c r="E47" s="68"/>
      <c r="F47" s="68"/>
      <c r="G47" s="69"/>
      <c r="H47" s="70"/>
      <c r="I47" s="70"/>
      <c r="J47" s="70"/>
      <c r="K47" s="192"/>
    </row>
  </sheetData>
  <sheetProtection selectLockedCells="1" selectUnlockedCells="1"/>
  <mergeCells count="22">
    <mergeCell ref="H46:J46"/>
    <mergeCell ref="H18:K18"/>
    <mergeCell ref="D19:F19"/>
    <mergeCell ref="H19:K19"/>
    <mergeCell ref="B38:G39"/>
    <mergeCell ref="H20:K20"/>
    <mergeCell ref="D23:F23"/>
    <mergeCell ref="B26:F26"/>
    <mergeCell ref="A27:G27"/>
    <mergeCell ref="B28:G28"/>
    <mergeCell ref="B30:G31"/>
    <mergeCell ref="G10:K12"/>
    <mergeCell ref="H14:K14"/>
    <mergeCell ref="H15:K16"/>
    <mergeCell ref="H17:K17"/>
    <mergeCell ref="B10:F12"/>
    <mergeCell ref="B14:F17"/>
    <mergeCell ref="B3:E3"/>
    <mergeCell ref="H3:K3"/>
    <mergeCell ref="A4:K4"/>
    <mergeCell ref="G9:K9"/>
    <mergeCell ref="B6:F8"/>
  </mergeCells>
  <phoneticPr fontId="34" type="noConversion"/>
  <printOptions horizontalCentered="1" verticalCentered="1"/>
  <pageMargins left="0.49" right="0.53" top="0.41" bottom="0.57999999999999996" header="0.31496062992125984" footer="0.31496062992125984"/>
  <pageSetup paperSize="9" scale="72" fitToHeight="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5:AB145"/>
  <sheetViews>
    <sheetView showGridLines="0" view="pageBreakPreview" topLeftCell="B84" zoomScaleNormal="100" zoomScaleSheetLayoutView="100" workbookViewId="0">
      <selection activeCell="C121" sqref="C121:C125"/>
    </sheetView>
  </sheetViews>
  <sheetFormatPr defaultColWidth="8.76953125" defaultRowHeight="14.25"/>
  <cols>
    <col min="1" max="1" width="8.76953125" style="73"/>
    <col min="2" max="2" width="16.72265625" style="73" bestFit="1" customWidth="1"/>
    <col min="3" max="3" width="40.2265625" style="73" customWidth="1"/>
    <col min="4" max="4" width="21.1640625" style="330" bestFit="1" customWidth="1"/>
    <col min="5" max="5" width="20.11328125" style="73" customWidth="1"/>
    <col min="6" max="6" width="11.34375" style="73" customWidth="1"/>
    <col min="7" max="7" width="8.06640625" style="73" bestFit="1" customWidth="1"/>
    <col min="8" max="8" width="8.41796875" style="73" bestFit="1" customWidth="1"/>
    <col min="9" max="9" width="9.703125" style="73" customWidth="1"/>
    <col min="10" max="10" width="8.06640625" style="78" customWidth="1"/>
    <col min="11" max="11" width="8.06640625" style="78" hidden="1" customWidth="1"/>
    <col min="12" max="12" width="8.88671875" style="78" customWidth="1"/>
    <col min="13" max="13" width="8.06640625" style="78" hidden="1" customWidth="1"/>
    <col min="14" max="14" width="9.23828125" style="73" customWidth="1"/>
    <col min="15" max="15" width="11.92578125" style="73" bestFit="1" customWidth="1"/>
    <col min="16" max="16" width="10.171875" style="73" bestFit="1" customWidth="1"/>
    <col min="17" max="17" width="8.76953125" style="73"/>
    <col min="18" max="18" width="10.40625" style="73" hidden="1" customWidth="1"/>
    <col min="19" max="21" width="8.76953125" style="73" hidden="1" customWidth="1"/>
    <col min="22" max="22" width="11.34375" style="73" hidden="1" customWidth="1"/>
    <col min="23" max="25" width="8.76953125" style="73" hidden="1" customWidth="1"/>
    <col min="26" max="26" width="8.76953125" style="73" customWidth="1"/>
    <col min="27" max="27" width="8.76953125" style="73"/>
    <col min="28" max="28" width="9.9375" style="73" bestFit="1" customWidth="1"/>
    <col min="29" max="16384" width="8.76953125" style="73"/>
  </cols>
  <sheetData>
    <row r="5" spans="1:26">
      <c r="B5" s="74" t="str">
        <f>'Commercial Invoice'!G5</f>
        <v>INVOICE NO. :</v>
      </c>
      <c r="C5" s="74" t="str">
        <f>'Commercial Invoice'!H5</f>
        <v>OM4-DE-IS-0009</v>
      </c>
      <c r="D5" s="74"/>
      <c r="E5" s="74"/>
      <c r="F5" s="75"/>
      <c r="G5" s="74"/>
      <c r="H5" s="74"/>
      <c r="I5" s="74"/>
      <c r="J5" s="389"/>
      <c r="K5" s="390"/>
      <c r="L5" s="369"/>
      <c r="M5" s="369"/>
      <c r="N5" s="76" t="s">
        <v>127</v>
      </c>
      <c r="O5" s="76"/>
      <c r="P5" s="194">
        <f>'Commercial Invoice'!H6</f>
        <v>46177</v>
      </c>
    </row>
    <row r="6" spans="1:26">
      <c r="B6" s="77"/>
      <c r="C6" s="77"/>
      <c r="D6" s="77"/>
      <c r="E6" s="77"/>
    </row>
    <row r="7" spans="1:26" ht="47.25" customHeight="1">
      <c r="A7" s="391" t="s">
        <v>29</v>
      </c>
      <c r="B7" s="393" t="s">
        <v>30</v>
      </c>
      <c r="C7" s="395" t="s">
        <v>20</v>
      </c>
      <c r="D7" s="396"/>
      <c r="E7" s="393" t="s">
        <v>177</v>
      </c>
      <c r="F7" s="391" t="s">
        <v>31</v>
      </c>
      <c r="G7" s="399" t="s">
        <v>178</v>
      </c>
      <c r="H7" s="400"/>
      <c r="I7" s="391" t="s">
        <v>179</v>
      </c>
      <c r="J7" s="391" t="s">
        <v>186</v>
      </c>
      <c r="K7" s="391" t="s">
        <v>185</v>
      </c>
      <c r="L7" s="391" t="s">
        <v>460</v>
      </c>
      <c r="M7" s="367"/>
      <c r="N7" s="391" t="s">
        <v>180</v>
      </c>
      <c r="O7" s="391" t="s">
        <v>181</v>
      </c>
      <c r="P7" s="395" t="s">
        <v>182</v>
      </c>
    </row>
    <row r="8" spans="1:26" ht="14.45" customHeight="1">
      <c r="A8" s="392"/>
      <c r="B8" s="394"/>
      <c r="C8" s="397"/>
      <c r="D8" s="398"/>
      <c r="E8" s="394"/>
      <c r="F8" s="392"/>
      <c r="G8" s="201" t="s">
        <v>183</v>
      </c>
      <c r="H8" s="201" t="s">
        <v>184</v>
      </c>
      <c r="I8" s="392"/>
      <c r="J8" s="392"/>
      <c r="K8" s="392"/>
      <c r="L8" s="392"/>
      <c r="M8" s="368"/>
      <c r="N8" s="392"/>
      <c r="O8" s="392"/>
      <c r="P8" s="397"/>
      <c r="Z8" s="330" t="s">
        <v>467</v>
      </c>
    </row>
    <row r="9" spans="1:26" ht="14.45" customHeight="1">
      <c r="A9" s="261" t="s">
        <v>159</v>
      </c>
      <c r="B9" s="291" t="s">
        <v>227</v>
      </c>
      <c r="C9" s="346" t="s">
        <v>461</v>
      </c>
      <c r="D9" s="346" t="s">
        <v>150</v>
      </c>
      <c r="E9" s="269" t="s">
        <v>188</v>
      </c>
      <c r="F9" s="291" t="s">
        <v>224</v>
      </c>
      <c r="G9" s="347">
        <f>'Detailed PL'!I15</f>
        <v>32</v>
      </c>
      <c r="H9" s="348" t="s">
        <v>146</v>
      </c>
      <c r="I9" s="348" t="s">
        <v>236</v>
      </c>
      <c r="J9" s="349">
        <f>'Detailed PL'!P15</f>
        <v>1920</v>
      </c>
      <c r="K9" s="349">
        <f>'Detailed PL'!Q16</f>
        <v>2220</v>
      </c>
      <c r="L9" s="376">
        <v>2220</v>
      </c>
      <c r="M9" s="349">
        <f>K9-L9</f>
        <v>0</v>
      </c>
      <c r="N9" s="271">
        <v>213.69</v>
      </c>
      <c r="O9" s="271">
        <v>6838.08</v>
      </c>
      <c r="P9" s="271" t="s">
        <v>223</v>
      </c>
      <c r="R9" s="377">
        <v>6837.69</v>
      </c>
      <c r="T9" s="73">
        <v>213.69</v>
      </c>
      <c r="V9" s="79">
        <f>T9*G9</f>
        <v>6838.08</v>
      </c>
      <c r="X9" s="79">
        <f>R9-V9</f>
        <v>-0.39000000000032742</v>
      </c>
      <c r="Z9" s="330" t="s">
        <v>468</v>
      </c>
    </row>
    <row r="10" spans="1:26" ht="14.45" customHeight="1">
      <c r="A10" s="261" t="s">
        <v>160</v>
      </c>
      <c r="B10" s="291" t="s">
        <v>228</v>
      </c>
      <c r="C10" s="346" t="s">
        <v>461</v>
      </c>
      <c r="D10" s="346" t="s">
        <v>150</v>
      </c>
      <c r="E10" s="269" t="s">
        <v>188</v>
      </c>
      <c r="F10" s="291" t="s">
        <v>224</v>
      </c>
      <c r="G10" s="347">
        <f>'Detailed PL'!I17</f>
        <v>28</v>
      </c>
      <c r="H10" s="348" t="s">
        <v>146</v>
      </c>
      <c r="I10" s="348" t="s">
        <v>236</v>
      </c>
      <c r="J10" s="349">
        <f>'Detailed PL'!P17</f>
        <v>1680</v>
      </c>
      <c r="K10" s="349">
        <f>'Detailed PL'!Q18</f>
        <v>1980</v>
      </c>
      <c r="L10" s="376">
        <v>1980</v>
      </c>
      <c r="M10" s="349">
        <f t="shared" ref="M10:M73" si="0">K10-L10</f>
        <v>0</v>
      </c>
      <c r="N10" s="271">
        <v>213.69</v>
      </c>
      <c r="O10" s="271">
        <v>5983.32</v>
      </c>
      <c r="P10" s="271" t="s">
        <v>223</v>
      </c>
      <c r="R10" s="377">
        <v>5982.98</v>
      </c>
      <c r="T10" s="330">
        <v>213.69</v>
      </c>
      <c r="V10" s="79">
        <f t="shared" ref="V10:V73" si="1">T10*G10</f>
        <v>5983.32</v>
      </c>
      <c r="X10" s="79">
        <f t="shared" ref="X10:X73" si="2">R10-V10</f>
        <v>-0.34000000000014552</v>
      </c>
      <c r="Z10" s="330" t="s">
        <v>468</v>
      </c>
    </row>
    <row r="11" spans="1:26" s="330" customFormat="1" ht="14.45" customHeight="1">
      <c r="A11" s="261" t="s">
        <v>161</v>
      </c>
      <c r="B11" s="291" t="s">
        <v>229</v>
      </c>
      <c r="C11" s="346" t="s">
        <v>458</v>
      </c>
      <c r="D11" s="346" t="s">
        <v>152</v>
      </c>
      <c r="E11" s="269" t="s">
        <v>188</v>
      </c>
      <c r="F11" s="291" t="s">
        <v>224</v>
      </c>
      <c r="G11" s="347">
        <f>'Detailed PL'!I19</f>
        <v>250</v>
      </c>
      <c r="H11" s="348" t="s">
        <v>146</v>
      </c>
      <c r="I11" s="348" t="s">
        <v>236</v>
      </c>
      <c r="J11" s="349">
        <f>'Detailed PL'!P19</f>
        <v>322.5</v>
      </c>
      <c r="K11" s="349">
        <f>J11+(0.29*G11)</f>
        <v>395</v>
      </c>
      <c r="L11" s="376">
        <v>395</v>
      </c>
      <c r="M11" s="349">
        <f t="shared" si="0"/>
        <v>0</v>
      </c>
      <c r="N11" s="271">
        <v>3.95</v>
      </c>
      <c r="O11" s="271">
        <v>987.5</v>
      </c>
      <c r="P11" s="271" t="s">
        <v>223</v>
      </c>
      <c r="R11" s="377">
        <v>986.36</v>
      </c>
      <c r="T11" s="330">
        <v>3.95</v>
      </c>
      <c r="V11" s="79">
        <f t="shared" si="1"/>
        <v>987.5</v>
      </c>
      <c r="X11" s="79">
        <f t="shared" si="2"/>
        <v>-1.1399999999999864</v>
      </c>
      <c r="Z11" s="330" t="s">
        <v>469</v>
      </c>
    </row>
    <row r="12" spans="1:26" s="330" customFormat="1" ht="14.45" customHeight="1">
      <c r="A12" s="261" t="s">
        <v>162</v>
      </c>
      <c r="B12" s="291" t="s">
        <v>229</v>
      </c>
      <c r="C12" s="346" t="s">
        <v>458</v>
      </c>
      <c r="D12" s="346" t="s">
        <v>153</v>
      </c>
      <c r="E12" s="269" t="s">
        <v>188</v>
      </c>
      <c r="F12" s="291" t="s">
        <v>224</v>
      </c>
      <c r="G12" s="347">
        <f>'Detailed PL'!I20</f>
        <v>100</v>
      </c>
      <c r="H12" s="348" t="s">
        <v>146</v>
      </c>
      <c r="I12" s="348" t="s">
        <v>236</v>
      </c>
      <c r="J12" s="349">
        <f>'Detailed PL'!P20</f>
        <v>187</v>
      </c>
      <c r="K12" s="349">
        <f t="shared" ref="K12:K26" si="3">J12+(0.29*G12)</f>
        <v>216</v>
      </c>
      <c r="L12" s="376">
        <v>216</v>
      </c>
      <c r="M12" s="349">
        <f t="shared" si="0"/>
        <v>0</v>
      </c>
      <c r="N12" s="271">
        <v>5.05</v>
      </c>
      <c r="O12" s="271">
        <v>505</v>
      </c>
      <c r="P12" s="271" t="s">
        <v>223</v>
      </c>
      <c r="R12" s="377">
        <v>504.69</v>
      </c>
      <c r="T12" s="330">
        <v>5.05</v>
      </c>
      <c r="V12" s="79">
        <f t="shared" si="1"/>
        <v>505</v>
      </c>
      <c r="X12" s="79">
        <f t="shared" si="2"/>
        <v>-0.31000000000000227</v>
      </c>
      <c r="Z12" s="330" t="s">
        <v>469</v>
      </c>
    </row>
    <row r="13" spans="1:26" s="330" customFormat="1" ht="14.45" customHeight="1">
      <c r="A13" s="261" t="s">
        <v>163</v>
      </c>
      <c r="B13" s="291" t="s">
        <v>229</v>
      </c>
      <c r="C13" s="346" t="s">
        <v>458</v>
      </c>
      <c r="D13" s="346" t="s">
        <v>154</v>
      </c>
      <c r="E13" s="269" t="s">
        <v>188</v>
      </c>
      <c r="F13" s="291" t="s">
        <v>224</v>
      </c>
      <c r="G13" s="347">
        <f>'Detailed PL'!I21</f>
        <v>60</v>
      </c>
      <c r="H13" s="348" t="s">
        <v>146</v>
      </c>
      <c r="I13" s="348" t="s">
        <v>236</v>
      </c>
      <c r="J13" s="349">
        <f>'Detailed PL'!P21</f>
        <v>175.8</v>
      </c>
      <c r="K13" s="349">
        <f t="shared" si="3"/>
        <v>193.20000000000002</v>
      </c>
      <c r="L13" s="376">
        <v>193.2</v>
      </c>
      <c r="M13" s="349">
        <f t="shared" si="0"/>
        <v>0</v>
      </c>
      <c r="N13" s="271">
        <v>7.55</v>
      </c>
      <c r="O13" s="271">
        <v>453</v>
      </c>
      <c r="P13" s="271" t="s">
        <v>223</v>
      </c>
      <c r="R13" s="377">
        <v>452.87</v>
      </c>
      <c r="T13" s="330">
        <v>7.55</v>
      </c>
      <c r="V13" s="79">
        <f t="shared" si="1"/>
        <v>453</v>
      </c>
      <c r="X13" s="79">
        <f t="shared" si="2"/>
        <v>-0.12999999999999545</v>
      </c>
      <c r="Z13" s="330" t="s">
        <v>469</v>
      </c>
    </row>
    <row r="14" spans="1:26" s="330" customFormat="1" ht="14.45" customHeight="1">
      <c r="A14" s="261" t="s">
        <v>164</v>
      </c>
      <c r="B14" s="291" t="s">
        <v>229</v>
      </c>
      <c r="C14" s="346" t="s">
        <v>459</v>
      </c>
      <c r="D14" s="346" t="s">
        <v>151</v>
      </c>
      <c r="E14" s="269" t="s">
        <v>188</v>
      </c>
      <c r="F14" s="291" t="s">
        <v>224</v>
      </c>
      <c r="G14" s="347">
        <f>'Detailed PL'!I22</f>
        <v>180</v>
      </c>
      <c r="H14" s="348" t="s">
        <v>146</v>
      </c>
      <c r="I14" s="348" t="s">
        <v>236</v>
      </c>
      <c r="J14" s="349">
        <f>'Detailed PL'!P22</f>
        <v>21.599999999999998</v>
      </c>
      <c r="K14" s="349">
        <f t="shared" si="3"/>
        <v>73.8</v>
      </c>
      <c r="L14" s="376">
        <v>73.8</v>
      </c>
      <c r="M14" s="349">
        <f t="shared" si="0"/>
        <v>0</v>
      </c>
      <c r="N14" s="271">
        <v>1.1499999999999999</v>
      </c>
      <c r="O14" s="271">
        <v>207</v>
      </c>
      <c r="P14" s="271" t="s">
        <v>223</v>
      </c>
      <c r="R14" s="377">
        <v>206.39</v>
      </c>
      <c r="T14" s="330">
        <v>1.1499999999999999</v>
      </c>
      <c r="V14" s="79">
        <f t="shared" si="1"/>
        <v>206.99999999999997</v>
      </c>
      <c r="X14" s="79">
        <f t="shared" si="2"/>
        <v>-0.60999999999998522</v>
      </c>
      <c r="Z14" s="330" t="s">
        <v>469</v>
      </c>
    </row>
    <row r="15" spans="1:26" s="330" customFormat="1" ht="14.45" customHeight="1">
      <c r="A15" s="261" t="s">
        <v>165</v>
      </c>
      <c r="B15" s="291" t="s">
        <v>229</v>
      </c>
      <c r="C15" s="346" t="s">
        <v>459</v>
      </c>
      <c r="D15" s="346" t="s">
        <v>152</v>
      </c>
      <c r="E15" s="269" t="s">
        <v>188</v>
      </c>
      <c r="F15" s="291" t="s">
        <v>224</v>
      </c>
      <c r="G15" s="347">
        <f>'Detailed PL'!I23</f>
        <v>60</v>
      </c>
      <c r="H15" s="348" t="s">
        <v>146</v>
      </c>
      <c r="I15" s="348" t="s">
        <v>236</v>
      </c>
      <c r="J15" s="349">
        <f>'Detailed PL'!P23</f>
        <v>11.4</v>
      </c>
      <c r="K15" s="349">
        <f t="shared" si="3"/>
        <v>28.799999999999997</v>
      </c>
      <c r="L15" s="376">
        <v>28.8</v>
      </c>
      <c r="M15" s="349">
        <f t="shared" si="0"/>
        <v>0</v>
      </c>
      <c r="N15" s="271">
        <v>1.43</v>
      </c>
      <c r="O15" s="271">
        <v>85.8</v>
      </c>
      <c r="P15" s="271" t="s">
        <v>223</v>
      </c>
      <c r="R15" s="377">
        <v>85.59</v>
      </c>
      <c r="T15" s="330">
        <v>1.43</v>
      </c>
      <c r="V15" s="79">
        <f t="shared" si="1"/>
        <v>85.8</v>
      </c>
      <c r="X15" s="79">
        <f t="shared" si="2"/>
        <v>-0.20999999999999375</v>
      </c>
      <c r="Z15" s="330" t="s">
        <v>469</v>
      </c>
    </row>
    <row r="16" spans="1:26" s="330" customFormat="1" ht="14.45" customHeight="1">
      <c r="A16" s="261" t="s">
        <v>166</v>
      </c>
      <c r="B16" s="291" t="s">
        <v>229</v>
      </c>
      <c r="C16" s="346" t="s">
        <v>459</v>
      </c>
      <c r="D16" s="346" t="s">
        <v>153</v>
      </c>
      <c r="E16" s="269" t="s">
        <v>188</v>
      </c>
      <c r="F16" s="291" t="s">
        <v>224</v>
      </c>
      <c r="G16" s="347">
        <f>'Detailed PL'!I24</f>
        <v>30</v>
      </c>
      <c r="H16" s="348" t="s">
        <v>146</v>
      </c>
      <c r="I16" s="348" t="s">
        <v>236</v>
      </c>
      <c r="J16" s="349">
        <f>'Detailed PL'!P24</f>
        <v>6.6</v>
      </c>
      <c r="K16" s="349">
        <f t="shared" si="3"/>
        <v>15.299999999999999</v>
      </c>
      <c r="L16" s="376">
        <v>15.3</v>
      </c>
      <c r="M16" s="349">
        <f t="shared" si="0"/>
        <v>0</v>
      </c>
      <c r="N16" s="271">
        <v>1.58</v>
      </c>
      <c r="O16" s="271">
        <v>47.4</v>
      </c>
      <c r="P16" s="271" t="s">
        <v>223</v>
      </c>
      <c r="R16" s="377">
        <v>47.67</v>
      </c>
      <c r="T16" s="330">
        <v>1.58</v>
      </c>
      <c r="V16" s="79">
        <f t="shared" si="1"/>
        <v>47.400000000000006</v>
      </c>
      <c r="X16" s="79">
        <f t="shared" si="2"/>
        <v>0.26999999999999602</v>
      </c>
      <c r="Z16" s="330" t="s">
        <v>469</v>
      </c>
    </row>
    <row r="17" spans="1:26" s="330" customFormat="1" ht="14.45" customHeight="1">
      <c r="A17" s="261" t="s">
        <v>167</v>
      </c>
      <c r="B17" s="291" t="s">
        <v>229</v>
      </c>
      <c r="C17" s="346" t="s">
        <v>459</v>
      </c>
      <c r="D17" s="346" t="s">
        <v>154</v>
      </c>
      <c r="E17" s="269" t="s">
        <v>188</v>
      </c>
      <c r="F17" s="291" t="s">
        <v>224</v>
      </c>
      <c r="G17" s="347">
        <f>'Detailed PL'!I25</f>
        <v>30</v>
      </c>
      <c r="H17" s="348" t="s">
        <v>146</v>
      </c>
      <c r="I17" s="348" t="s">
        <v>236</v>
      </c>
      <c r="J17" s="349">
        <f>'Detailed PL'!P25</f>
        <v>9.9</v>
      </c>
      <c r="K17" s="349">
        <f t="shared" si="3"/>
        <v>18.600000000000001</v>
      </c>
      <c r="L17" s="376">
        <v>18.600000000000001</v>
      </c>
      <c r="M17" s="349">
        <f t="shared" si="0"/>
        <v>0</v>
      </c>
      <c r="N17" s="271">
        <v>2.34</v>
      </c>
      <c r="O17" s="271">
        <v>70.2</v>
      </c>
      <c r="P17" s="271" t="s">
        <v>223</v>
      </c>
      <c r="R17" s="377">
        <v>70.150000000000006</v>
      </c>
      <c r="T17" s="330">
        <v>2.34</v>
      </c>
      <c r="V17" s="79">
        <f t="shared" si="1"/>
        <v>70.199999999999989</v>
      </c>
      <c r="X17" s="79">
        <f t="shared" si="2"/>
        <v>-4.9999999999982947E-2</v>
      </c>
      <c r="Z17" s="330" t="s">
        <v>469</v>
      </c>
    </row>
    <row r="18" spans="1:26" s="330" customFormat="1" ht="14.45" customHeight="1">
      <c r="A18" s="261" t="s">
        <v>168</v>
      </c>
      <c r="B18" s="291" t="s">
        <v>229</v>
      </c>
      <c r="C18" s="346" t="s">
        <v>459</v>
      </c>
      <c r="D18" s="346" t="s">
        <v>155</v>
      </c>
      <c r="E18" s="269" t="s">
        <v>188</v>
      </c>
      <c r="F18" s="291" t="s">
        <v>224</v>
      </c>
      <c r="G18" s="347">
        <f>'Detailed PL'!I26</f>
        <v>40</v>
      </c>
      <c r="H18" s="348" t="s">
        <v>146</v>
      </c>
      <c r="I18" s="348" t="s">
        <v>236</v>
      </c>
      <c r="J18" s="349">
        <f>'Detailed PL'!P26</f>
        <v>39.200000000000003</v>
      </c>
      <c r="K18" s="349">
        <f t="shared" si="3"/>
        <v>50.800000000000004</v>
      </c>
      <c r="L18" s="376">
        <v>50.8</v>
      </c>
      <c r="M18" s="349">
        <f t="shared" si="0"/>
        <v>0</v>
      </c>
      <c r="N18" s="271">
        <v>5.35</v>
      </c>
      <c r="O18" s="271">
        <v>214</v>
      </c>
      <c r="P18" s="271" t="s">
        <v>223</v>
      </c>
      <c r="R18" s="377">
        <v>213.8</v>
      </c>
      <c r="T18" s="330">
        <v>5.35</v>
      </c>
      <c r="V18" s="79">
        <f t="shared" si="1"/>
        <v>214</v>
      </c>
      <c r="X18" s="79">
        <f t="shared" si="2"/>
        <v>-0.19999999999998863</v>
      </c>
      <c r="Z18" s="330" t="s">
        <v>469</v>
      </c>
    </row>
    <row r="19" spans="1:26" s="330" customFormat="1" ht="14.45" customHeight="1">
      <c r="A19" s="261" t="s">
        <v>169</v>
      </c>
      <c r="B19" s="291" t="s">
        <v>229</v>
      </c>
      <c r="C19" s="346" t="s">
        <v>459</v>
      </c>
      <c r="D19" s="346" t="s">
        <v>156</v>
      </c>
      <c r="E19" s="269" t="s">
        <v>188</v>
      </c>
      <c r="F19" s="291" t="s">
        <v>224</v>
      </c>
      <c r="G19" s="347">
        <f>'Detailed PL'!I27</f>
        <v>40</v>
      </c>
      <c r="H19" s="348" t="s">
        <v>146</v>
      </c>
      <c r="I19" s="348" t="s">
        <v>236</v>
      </c>
      <c r="J19" s="349">
        <f>'Detailed PL'!P27</f>
        <v>50</v>
      </c>
      <c r="K19" s="349">
        <f t="shared" si="3"/>
        <v>61.6</v>
      </c>
      <c r="L19" s="376">
        <v>61.6</v>
      </c>
      <c r="M19" s="349">
        <f t="shared" si="0"/>
        <v>0</v>
      </c>
      <c r="N19" s="271">
        <v>7.19</v>
      </c>
      <c r="O19" s="271">
        <v>287.60000000000002</v>
      </c>
      <c r="P19" s="271" t="s">
        <v>223</v>
      </c>
      <c r="R19" s="377">
        <v>287.47000000000003</v>
      </c>
      <c r="T19" s="330">
        <v>7.19</v>
      </c>
      <c r="V19" s="79">
        <f t="shared" si="1"/>
        <v>287.60000000000002</v>
      </c>
      <c r="X19" s="79">
        <f t="shared" si="2"/>
        <v>-0.12999999999999545</v>
      </c>
      <c r="Z19" s="330" t="s">
        <v>469</v>
      </c>
    </row>
    <row r="20" spans="1:26" s="330" customFormat="1" ht="14.45" customHeight="1">
      <c r="A20" s="261" t="s">
        <v>170</v>
      </c>
      <c r="B20" s="291" t="s">
        <v>229</v>
      </c>
      <c r="C20" s="346" t="s">
        <v>403</v>
      </c>
      <c r="D20" s="346" t="s">
        <v>151</v>
      </c>
      <c r="E20" s="269" t="s">
        <v>188</v>
      </c>
      <c r="F20" s="291" t="s">
        <v>224</v>
      </c>
      <c r="G20" s="347">
        <f>'Detailed PL'!I28</f>
        <v>80</v>
      </c>
      <c r="H20" s="348" t="s">
        <v>146</v>
      </c>
      <c r="I20" s="348" t="s">
        <v>236</v>
      </c>
      <c r="J20" s="349">
        <f>'Detailed PL'!P28</f>
        <v>9.6</v>
      </c>
      <c r="K20" s="349">
        <f t="shared" si="3"/>
        <v>32.799999999999997</v>
      </c>
      <c r="L20" s="376">
        <v>31.74</v>
      </c>
      <c r="M20" s="349">
        <f t="shared" si="0"/>
        <v>1.0599999999999987</v>
      </c>
      <c r="N20" s="271">
        <v>2.39</v>
      </c>
      <c r="O20" s="271">
        <v>191.2</v>
      </c>
      <c r="P20" s="271" t="s">
        <v>223</v>
      </c>
      <c r="R20" s="377">
        <v>191.4</v>
      </c>
      <c r="T20" s="330">
        <v>2.39</v>
      </c>
      <c r="V20" s="79">
        <f t="shared" si="1"/>
        <v>191.20000000000002</v>
      </c>
      <c r="X20" s="79">
        <f t="shared" si="2"/>
        <v>0.19999999999998863</v>
      </c>
      <c r="Z20" s="330" t="s">
        <v>469</v>
      </c>
    </row>
    <row r="21" spans="1:26" s="330" customFormat="1" ht="14.45" customHeight="1">
      <c r="A21" s="261" t="s">
        <v>171</v>
      </c>
      <c r="B21" s="291" t="s">
        <v>229</v>
      </c>
      <c r="C21" s="346" t="s">
        <v>403</v>
      </c>
      <c r="D21" s="346" t="s">
        <v>152</v>
      </c>
      <c r="E21" s="269" t="s">
        <v>188</v>
      </c>
      <c r="F21" s="291" t="s">
        <v>224</v>
      </c>
      <c r="G21" s="347">
        <f>'Detailed PL'!I29</f>
        <v>50</v>
      </c>
      <c r="H21" s="348" t="s">
        <v>146</v>
      </c>
      <c r="I21" s="348" t="s">
        <v>236</v>
      </c>
      <c r="J21" s="349">
        <f>'Detailed PL'!P29</f>
        <v>9.5</v>
      </c>
      <c r="K21" s="349">
        <f t="shared" si="3"/>
        <v>24</v>
      </c>
      <c r="L21" s="376">
        <v>22.94</v>
      </c>
      <c r="M21" s="349">
        <f t="shared" si="0"/>
        <v>1.0599999999999987</v>
      </c>
      <c r="N21" s="271">
        <v>3.38</v>
      </c>
      <c r="O21" s="271">
        <v>169</v>
      </c>
      <c r="P21" s="271" t="s">
        <v>223</v>
      </c>
      <c r="R21" s="377">
        <v>168.83</v>
      </c>
      <c r="T21" s="330">
        <v>3.38</v>
      </c>
      <c r="V21" s="79">
        <f t="shared" si="1"/>
        <v>169</v>
      </c>
      <c r="X21" s="79">
        <f t="shared" si="2"/>
        <v>-0.16999999999998749</v>
      </c>
      <c r="Z21" s="330" t="s">
        <v>469</v>
      </c>
    </row>
    <row r="22" spans="1:26" s="330" customFormat="1" ht="14.45" customHeight="1">
      <c r="A22" s="261" t="s">
        <v>172</v>
      </c>
      <c r="B22" s="291" t="s">
        <v>229</v>
      </c>
      <c r="C22" s="346" t="s">
        <v>403</v>
      </c>
      <c r="D22" s="346" t="s">
        <v>153</v>
      </c>
      <c r="E22" s="269" t="s">
        <v>188</v>
      </c>
      <c r="F22" s="291" t="s">
        <v>224</v>
      </c>
      <c r="G22" s="347">
        <f>'Detailed PL'!I30</f>
        <v>30</v>
      </c>
      <c r="H22" s="348" t="s">
        <v>146</v>
      </c>
      <c r="I22" s="348" t="s">
        <v>236</v>
      </c>
      <c r="J22" s="349">
        <f>'Detailed PL'!P30</f>
        <v>6.6</v>
      </c>
      <c r="K22" s="349">
        <f t="shared" si="3"/>
        <v>15.299999999999999</v>
      </c>
      <c r="L22" s="376">
        <v>14.24</v>
      </c>
      <c r="M22" s="349">
        <f t="shared" si="0"/>
        <v>1.0599999999999987</v>
      </c>
      <c r="N22" s="271">
        <v>4.71</v>
      </c>
      <c r="O22" s="271">
        <v>141.30000000000001</v>
      </c>
      <c r="P22" s="271" t="s">
        <v>223</v>
      </c>
      <c r="R22" s="377">
        <v>141.38999999999999</v>
      </c>
      <c r="T22" s="330">
        <v>4.71</v>
      </c>
      <c r="V22" s="79">
        <f t="shared" si="1"/>
        <v>141.30000000000001</v>
      </c>
      <c r="X22" s="79">
        <f t="shared" si="2"/>
        <v>8.9999999999974989E-2</v>
      </c>
      <c r="Z22" s="330" t="s">
        <v>469</v>
      </c>
    </row>
    <row r="23" spans="1:26" s="330" customFormat="1" ht="14.45" customHeight="1">
      <c r="A23" s="261" t="s">
        <v>173</v>
      </c>
      <c r="B23" s="291" t="s">
        <v>229</v>
      </c>
      <c r="C23" s="346" t="s">
        <v>403</v>
      </c>
      <c r="D23" s="346" t="s">
        <v>154</v>
      </c>
      <c r="E23" s="269" t="s">
        <v>188</v>
      </c>
      <c r="F23" s="291" t="s">
        <v>224</v>
      </c>
      <c r="G23" s="347">
        <f>'Detailed PL'!I31</f>
        <v>10</v>
      </c>
      <c r="H23" s="348" t="s">
        <v>146</v>
      </c>
      <c r="I23" s="348" t="s">
        <v>236</v>
      </c>
      <c r="J23" s="349">
        <f>'Detailed PL'!P31</f>
        <v>3.3000000000000003</v>
      </c>
      <c r="K23" s="349">
        <f t="shared" si="3"/>
        <v>6.2</v>
      </c>
      <c r="L23" s="376">
        <v>5.1400000000000006</v>
      </c>
      <c r="M23" s="349">
        <f t="shared" si="0"/>
        <v>1.0599999999999996</v>
      </c>
      <c r="N23" s="271">
        <v>5.75</v>
      </c>
      <c r="O23" s="271">
        <v>57.5</v>
      </c>
      <c r="P23" s="271" t="s">
        <v>223</v>
      </c>
      <c r="R23" s="377">
        <v>57.51</v>
      </c>
      <c r="T23" s="330">
        <v>5.75</v>
      </c>
      <c r="V23" s="79">
        <f t="shared" si="1"/>
        <v>57.5</v>
      </c>
      <c r="X23" s="79">
        <f t="shared" si="2"/>
        <v>9.9999999999980105E-3</v>
      </c>
      <c r="Z23" s="330" t="s">
        <v>469</v>
      </c>
    </row>
    <row r="24" spans="1:26" s="330" customFormat="1" ht="14.45" customHeight="1">
      <c r="A24" s="261" t="s">
        <v>174</v>
      </c>
      <c r="B24" s="291" t="s">
        <v>229</v>
      </c>
      <c r="C24" s="346" t="s">
        <v>403</v>
      </c>
      <c r="D24" s="346" t="s">
        <v>155</v>
      </c>
      <c r="E24" s="269" t="s">
        <v>188</v>
      </c>
      <c r="F24" s="291" t="s">
        <v>224</v>
      </c>
      <c r="G24" s="347">
        <f>'Detailed PL'!I32</f>
        <v>20</v>
      </c>
      <c r="H24" s="348" t="s">
        <v>146</v>
      </c>
      <c r="I24" s="348" t="s">
        <v>236</v>
      </c>
      <c r="J24" s="349">
        <f>'Detailed PL'!P32</f>
        <v>19.600000000000001</v>
      </c>
      <c r="K24" s="349">
        <f t="shared" si="3"/>
        <v>25.400000000000002</v>
      </c>
      <c r="L24" s="376">
        <v>24.34</v>
      </c>
      <c r="M24" s="349">
        <f t="shared" si="0"/>
        <v>1.0600000000000023</v>
      </c>
      <c r="N24" s="271">
        <v>10.050000000000001</v>
      </c>
      <c r="O24" s="271">
        <v>201</v>
      </c>
      <c r="P24" s="271" t="s">
        <v>223</v>
      </c>
      <c r="R24" s="377">
        <v>200.97</v>
      </c>
      <c r="T24" s="330">
        <v>10.050000000000001</v>
      </c>
      <c r="V24" s="79">
        <f t="shared" si="1"/>
        <v>201</v>
      </c>
      <c r="X24" s="79">
        <f t="shared" si="2"/>
        <v>-3.0000000000001137E-2</v>
      </c>
      <c r="Z24" s="330" t="s">
        <v>469</v>
      </c>
    </row>
    <row r="25" spans="1:26" s="330" customFormat="1" ht="14.45" customHeight="1">
      <c r="A25" s="261" t="s">
        <v>175</v>
      </c>
      <c r="B25" s="291" t="s">
        <v>229</v>
      </c>
      <c r="C25" s="346" t="s">
        <v>403</v>
      </c>
      <c r="D25" s="346" t="s">
        <v>156</v>
      </c>
      <c r="E25" s="269" t="s">
        <v>188</v>
      </c>
      <c r="F25" s="291" t="s">
        <v>224</v>
      </c>
      <c r="G25" s="347">
        <f>'Detailed PL'!I33</f>
        <v>40</v>
      </c>
      <c r="H25" s="348" t="s">
        <v>146</v>
      </c>
      <c r="I25" s="348" t="s">
        <v>236</v>
      </c>
      <c r="J25" s="349">
        <f>'Detailed PL'!P33</f>
        <v>50</v>
      </c>
      <c r="K25" s="349">
        <f t="shared" si="3"/>
        <v>61.6</v>
      </c>
      <c r="L25" s="376">
        <v>60.55</v>
      </c>
      <c r="M25" s="349">
        <f t="shared" si="0"/>
        <v>1.0500000000000043</v>
      </c>
      <c r="N25" s="271">
        <v>12.41</v>
      </c>
      <c r="O25" s="271">
        <v>496.4</v>
      </c>
      <c r="P25" s="271" t="s">
        <v>223</v>
      </c>
      <c r="R25" s="377">
        <v>496.57</v>
      </c>
      <c r="T25" s="330">
        <v>12.41</v>
      </c>
      <c r="V25" s="79">
        <f t="shared" si="1"/>
        <v>496.4</v>
      </c>
      <c r="X25" s="79">
        <f t="shared" si="2"/>
        <v>0.17000000000001592</v>
      </c>
      <c r="Z25" s="330" t="s">
        <v>469</v>
      </c>
    </row>
    <row r="26" spans="1:26" s="330" customFormat="1" ht="14.45" customHeight="1">
      <c r="A26" s="261" t="s">
        <v>242</v>
      </c>
      <c r="B26" s="291" t="s">
        <v>229</v>
      </c>
      <c r="C26" s="346" t="s">
        <v>403</v>
      </c>
      <c r="D26" s="346" t="s">
        <v>150</v>
      </c>
      <c r="E26" s="269" t="s">
        <v>188</v>
      </c>
      <c r="F26" s="291" t="s">
        <v>224</v>
      </c>
      <c r="G26" s="347">
        <f>'Detailed PL'!I34</f>
        <v>40</v>
      </c>
      <c r="H26" s="348" t="s">
        <v>146</v>
      </c>
      <c r="I26" s="348" t="s">
        <v>236</v>
      </c>
      <c r="J26" s="349">
        <f>'Detailed PL'!P34</f>
        <v>120</v>
      </c>
      <c r="K26" s="349">
        <f t="shared" si="3"/>
        <v>131.6</v>
      </c>
      <c r="L26" s="376">
        <v>130.55000000000001</v>
      </c>
      <c r="M26" s="349">
        <f>K26-L26</f>
        <v>1.0499999999999829</v>
      </c>
      <c r="N26" s="271">
        <v>20.25</v>
      </c>
      <c r="O26" s="271">
        <v>810</v>
      </c>
      <c r="P26" s="271" t="s">
        <v>223</v>
      </c>
      <c r="R26" s="377">
        <v>810.04</v>
      </c>
      <c r="T26" s="330">
        <v>20.25</v>
      </c>
      <c r="V26" s="79">
        <f t="shared" si="1"/>
        <v>810</v>
      </c>
      <c r="X26" s="79">
        <f t="shared" si="2"/>
        <v>3.999999999996362E-2</v>
      </c>
      <c r="Z26" s="330" t="s">
        <v>469</v>
      </c>
    </row>
    <row r="27" spans="1:26" s="330" customFormat="1" ht="14.45" customHeight="1">
      <c r="A27" s="261" t="s">
        <v>243</v>
      </c>
      <c r="B27" s="291" t="s">
        <v>441</v>
      </c>
      <c r="C27" s="346" t="s">
        <v>458</v>
      </c>
      <c r="D27" s="346" t="s">
        <v>430</v>
      </c>
      <c r="E27" s="269" t="s">
        <v>188</v>
      </c>
      <c r="F27" s="291" t="s">
        <v>224</v>
      </c>
      <c r="G27" s="347">
        <f>'Detailed PL'!I36</f>
        <v>75</v>
      </c>
      <c r="H27" s="348" t="s">
        <v>146</v>
      </c>
      <c r="I27" s="348" t="s">
        <v>236</v>
      </c>
      <c r="J27" s="349">
        <f>'Detailed PL'!P36</f>
        <v>1162.5</v>
      </c>
      <c r="K27" s="349">
        <f>'Detailed PL'!Q37</f>
        <v>1462.5</v>
      </c>
      <c r="L27" s="376">
        <v>1462.5</v>
      </c>
      <c r="M27" s="349">
        <f t="shared" si="0"/>
        <v>0</v>
      </c>
      <c r="N27" s="271">
        <v>52.66</v>
      </c>
      <c r="O27" s="271">
        <v>3949.5</v>
      </c>
      <c r="P27" s="271" t="s">
        <v>223</v>
      </c>
      <c r="R27" s="377">
        <v>3948.39</v>
      </c>
      <c r="T27" s="330">
        <v>52.66</v>
      </c>
      <c r="V27" s="79">
        <f t="shared" si="1"/>
        <v>3949.4999999999995</v>
      </c>
      <c r="X27" s="79">
        <f t="shared" si="2"/>
        <v>-1.1099999999996726</v>
      </c>
      <c r="Z27" s="330" t="s">
        <v>469</v>
      </c>
    </row>
    <row r="28" spans="1:26" s="330" customFormat="1" ht="14.45" customHeight="1">
      <c r="A28" s="261" t="s">
        <v>417</v>
      </c>
      <c r="B28" s="291" t="s">
        <v>442</v>
      </c>
      <c r="C28" s="346" t="s">
        <v>458</v>
      </c>
      <c r="D28" s="346" t="s">
        <v>430</v>
      </c>
      <c r="E28" s="269" t="s">
        <v>188</v>
      </c>
      <c r="F28" s="291" t="s">
        <v>224</v>
      </c>
      <c r="G28" s="347">
        <f>'Detailed PL'!I38</f>
        <v>75</v>
      </c>
      <c r="H28" s="348" t="s">
        <v>146</v>
      </c>
      <c r="I28" s="348" t="s">
        <v>236</v>
      </c>
      <c r="J28" s="349">
        <f>'Detailed PL'!P38</f>
        <v>1162.5</v>
      </c>
      <c r="K28" s="349">
        <f>'Detailed PL'!Q39</f>
        <v>1462.5</v>
      </c>
      <c r="L28" s="376">
        <v>1462.5</v>
      </c>
      <c r="M28" s="349">
        <f t="shared" si="0"/>
        <v>0</v>
      </c>
      <c r="N28" s="271">
        <v>52.65</v>
      </c>
      <c r="O28" s="271">
        <v>3948.75</v>
      </c>
      <c r="P28" s="271" t="s">
        <v>223</v>
      </c>
      <c r="R28" s="377">
        <v>3948.39</v>
      </c>
      <c r="T28" s="330">
        <v>52.65</v>
      </c>
      <c r="V28" s="79">
        <f t="shared" si="1"/>
        <v>3948.75</v>
      </c>
      <c r="X28" s="79">
        <f t="shared" si="2"/>
        <v>-0.36000000000012733</v>
      </c>
      <c r="Z28" s="330" t="s">
        <v>469</v>
      </c>
    </row>
    <row r="29" spans="1:26" s="330" customFormat="1" ht="14.45" customHeight="1">
      <c r="A29" s="261" t="s">
        <v>418</v>
      </c>
      <c r="B29" s="291" t="s">
        <v>432</v>
      </c>
      <c r="C29" s="346" t="s">
        <v>458</v>
      </c>
      <c r="D29" s="346" t="s">
        <v>431</v>
      </c>
      <c r="E29" s="269" t="s">
        <v>188</v>
      </c>
      <c r="F29" s="291" t="s">
        <v>224</v>
      </c>
      <c r="G29" s="347">
        <f>'Detailed PL'!I40</f>
        <v>50</v>
      </c>
      <c r="H29" s="348" t="s">
        <v>146</v>
      </c>
      <c r="I29" s="348" t="s">
        <v>236</v>
      </c>
      <c r="J29" s="349">
        <f>'Detailed PL'!P40</f>
        <v>1102.5</v>
      </c>
      <c r="K29" s="349">
        <f>'Detailed PL'!Q41</f>
        <v>1402.5</v>
      </c>
      <c r="L29" s="376">
        <v>1402.5</v>
      </c>
      <c r="M29" s="349">
        <f t="shared" si="0"/>
        <v>0</v>
      </c>
      <c r="N29" s="271">
        <v>74.540000000000006</v>
      </c>
      <c r="O29" s="271">
        <v>3727</v>
      </c>
      <c r="P29" s="271" t="s">
        <v>223</v>
      </c>
      <c r="R29" s="377">
        <v>3726.97</v>
      </c>
      <c r="T29" s="330">
        <v>74.540000000000006</v>
      </c>
      <c r="V29" s="79">
        <f t="shared" si="1"/>
        <v>3727.0000000000005</v>
      </c>
      <c r="X29" s="79">
        <f t="shared" si="2"/>
        <v>-3.0000000000654836E-2</v>
      </c>
      <c r="Z29" s="330" t="s">
        <v>469</v>
      </c>
    </row>
    <row r="30" spans="1:26" s="330" customFormat="1" ht="14.45" customHeight="1">
      <c r="A30" s="261" t="s">
        <v>419</v>
      </c>
      <c r="B30" s="291" t="s">
        <v>433</v>
      </c>
      <c r="C30" s="346" t="s">
        <v>458</v>
      </c>
      <c r="D30" s="346" t="s">
        <v>431</v>
      </c>
      <c r="E30" s="269" t="s">
        <v>188</v>
      </c>
      <c r="F30" s="291" t="s">
        <v>224</v>
      </c>
      <c r="G30" s="347">
        <f>'Detailed PL'!I42</f>
        <v>50</v>
      </c>
      <c r="H30" s="348" t="s">
        <v>146</v>
      </c>
      <c r="I30" s="348" t="s">
        <v>236</v>
      </c>
      <c r="J30" s="349">
        <f>'Detailed PL'!P42</f>
        <v>1102.5</v>
      </c>
      <c r="K30" s="349">
        <f>'Detailed PL'!Q43</f>
        <v>1402.5</v>
      </c>
      <c r="L30" s="376">
        <v>1402.5</v>
      </c>
      <c r="M30" s="349">
        <f t="shared" si="0"/>
        <v>0</v>
      </c>
      <c r="N30" s="271">
        <v>74.540000000000006</v>
      </c>
      <c r="O30" s="271">
        <v>3727</v>
      </c>
      <c r="P30" s="271" t="s">
        <v>223</v>
      </c>
      <c r="R30" s="377">
        <v>3726.97</v>
      </c>
      <c r="T30" s="330">
        <v>74.540000000000006</v>
      </c>
      <c r="V30" s="79">
        <f t="shared" si="1"/>
        <v>3727.0000000000005</v>
      </c>
      <c r="X30" s="79">
        <f t="shared" si="2"/>
        <v>-3.0000000000654836E-2</v>
      </c>
      <c r="Z30" s="330" t="s">
        <v>469</v>
      </c>
    </row>
    <row r="31" spans="1:26" s="330" customFormat="1" ht="14.45" customHeight="1">
      <c r="A31" s="261" t="s">
        <v>246</v>
      </c>
      <c r="B31" s="291" t="s">
        <v>396</v>
      </c>
      <c r="C31" s="346" t="s">
        <v>458</v>
      </c>
      <c r="D31" s="346" t="s">
        <v>244</v>
      </c>
      <c r="E31" s="269" t="s">
        <v>188</v>
      </c>
      <c r="F31" s="291" t="s">
        <v>224</v>
      </c>
      <c r="G31" s="347">
        <f>'Detailed PL'!I44</f>
        <v>50</v>
      </c>
      <c r="H31" s="348" t="s">
        <v>146</v>
      </c>
      <c r="I31" s="348" t="s">
        <v>236</v>
      </c>
      <c r="J31" s="349">
        <f>'Detailed PL'!P44</f>
        <v>1500</v>
      </c>
      <c r="K31" s="349">
        <f>'Detailed PL'!Q45</f>
        <v>1800</v>
      </c>
      <c r="L31" s="376">
        <v>1800</v>
      </c>
      <c r="M31" s="349">
        <f t="shared" si="0"/>
        <v>0</v>
      </c>
      <c r="N31" s="271">
        <v>146.19999999999999</v>
      </c>
      <c r="O31" s="271">
        <v>7310</v>
      </c>
      <c r="P31" s="271" t="s">
        <v>223</v>
      </c>
      <c r="R31" s="377">
        <v>7309.93</v>
      </c>
      <c r="T31" s="330">
        <v>146.19999999999999</v>
      </c>
      <c r="V31" s="79">
        <f t="shared" si="1"/>
        <v>7309.9999999999991</v>
      </c>
      <c r="X31" s="79">
        <f t="shared" si="2"/>
        <v>-6.9999999998799467E-2</v>
      </c>
      <c r="Z31" s="330" t="s">
        <v>469</v>
      </c>
    </row>
    <row r="32" spans="1:26" s="330" customFormat="1" ht="14.45" customHeight="1">
      <c r="A32" s="261" t="s">
        <v>247</v>
      </c>
      <c r="B32" s="291" t="s">
        <v>397</v>
      </c>
      <c r="C32" s="346" t="s">
        <v>458</v>
      </c>
      <c r="D32" s="346" t="s">
        <v>244</v>
      </c>
      <c r="E32" s="269" t="s">
        <v>188</v>
      </c>
      <c r="F32" s="291" t="s">
        <v>224</v>
      </c>
      <c r="G32" s="347">
        <f>'Detailed PL'!I46</f>
        <v>50</v>
      </c>
      <c r="H32" s="348" t="s">
        <v>146</v>
      </c>
      <c r="I32" s="348" t="s">
        <v>236</v>
      </c>
      <c r="J32" s="349">
        <f>'Detailed PL'!P46</f>
        <v>1500</v>
      </c>
      <c r="K32" s="349">
        <f>'Detailed PL'!Q47</f>
        <v>1800</v>
      </c>
      <c r="L32" s="376">
        <v>1800</v>
      </c>
      <c r="M32" s="349">
        <f t="shared" si="0"/>
        <v>0</v>
      </c>
      <c r="N32" s="271">
        <v>146.19999999999999</v>
      </c>
      <c r="O32" s="271">
        <v>7310</v>
      </c>
      <c r="P32" s="271" t="s">
        <v>223</v>
      </c>
      <c r="R32" s="377">
        <v>7309.93</v>
      </c>
      <c r="T32" s="330">
        <v>146.19999999999999</v>
      </c>
      <c r="V32" s="79">
        <f t="shared" si="1"/>
        <v>7309.9999999999991</v>
      </c>
      <c r="X32" s="79">
        <f t="shared" si="2"/>
        <v>-6.9999999998799467E-2</v>
      </c>
      <c r="Z32" s="330" t="s">
        <v>469</v>
      </c>
    </row>
    <row r="33" spans="1:26" s="330" customFormat="1" ht="14.45" customHeight="1">
      <c r="A33" s="261" t="s">
        <v>248</v>
      </c>
      <c r="B33" s="291" t="s">
        <v>398</v>
      </c>
      <c r="C33" s="346" t="s">
        <v>404</v>
      </c>
      <c r="D33" s="346" t="s">
        <v>151</v>
      </c>
      <c r="E33" s="269" t="s">
        <v>188</v>
      </c>
      <c r="F33" s="291" t="s">
        <v>224</v>
      </c>
      <c r="G33" s="347">
        <f>'Detailed PL'!I48</f>
        <v>30</v>
      </c>
      <c r="H33" s="348" t="s">
        <v>146</v>
      </c>
      <c r="I33" s="348" t="s">
        <v>236</v>
      </c>
      <c r="J33" s="349">
        <f>'Detailed PL'!P48</f>
        <v>45</v>
      </c>
      <c r="K33" s="349">
        <f>J33+(0.08*G33)</f>
        <v>47.4</v>
      </c>
      <c r="L33" s="376">
        <v>47.4</v>
      </c>
      <c r="M33" s="349">
        <f t="shared" si="0"/>
        <v>0</v>
      </c>
      <c r="N33" s="271">
        <v>3.86</v>
      </c>
      <c r="O33" s="271">
        <v>115.8</v>
      </c>
      <c r="P33" s="271" t="s">
        <v>223</v>
      </c>
      <c r="R33" s="377">
        <v>115.66</v>
      </c>
      <c r="T33" s="330">
        <v>3.86</v>
      </c>
      <c r="V33" s="79">
        <f t="shared" si="1"/>
        <v>115.8</v>
      </c>
      <c r="X33" s="79">
        <f t="shared" si="2"/>
        <v>-0.14000000000000057</v>
      </c>
      <c r="Z33" s="330" t="s">
        <v>470</v>
      </c>
    </row>
    <row r="34" spans="1:26" s="330" customFormat="1" ht="14.45" customHeight="1">
      <c r="A34" s="261" t="s">
        <v>249</v>
      </c>
      <c r="B34" s="291" t="s">
        <v>398</v>
      </c>
      <c r="C34" s="346" t="s">
        <v>404</v>
      </c>
      <c r="D34" s="346" t="s">
        <v>152</v>
      </c>
      <c r="E34" s="269" t="s">
        <v>188</v>
      </c>
      <c r="F34" s="291" t="s">
        <v>224</v>
      </c>
      <c r="G34" s="347">
        <f>'Detailed PL'!I49</f>
        <v>30</v>
      </c>
      <c r="H34" s="348" t="s">
        <v>146</v>
      </c>
      <c r="I34" s="348" t="s">
        <v>236</v>
      </c>
      <c r="J34" s="349">
        <f>'Detailed PL'!P49</f>
        <v>54</v>
      </c>
      <c r="K34" s="349">
        <f t="shared" ref="K34:K76" si="4">J34+(0.08*G34)</f>
        <v>56.4</v>
      </c>
      <c r="L34" s="376">
        <v>56.4</v>
      </c>
      <c r="M34" s="349">
        <f t="shared" si="0"/>
        <v>0</v>
      </c>
      <c r="N34" s="271">
        <v>4.88</v>
      </c>
      <c r="O34" s="271">
        <v>146.4</v>
      </c>
      <c r="P34" s="271" t="s">
        <v>223</v>
      </c>
      <c r="R34" s="377">
        <v>146.26</v>
      </c>
      <c r="T34" s="330">
        <v>4.88</v>
      </c>
      <c r="V34" s="79">
        <f t="shared" si="1"/>
        <v>146.4</v>
      </c>
      <c r="X34" s="79">
        <f t="shared" si="2"/>
        <v>-0.14000000000001478</v>
      </c>
      <c r="Z34" s="330" t="s">
        <v>470</v>
      </c>
    </row>
    <row r="35" spans="1:26" s="330" customFormat="1" ht="14.45" customHeight="1">
      <c r="A35" s="261" t="s">
        <v>250</v>
      </c>
      <c r="B35" s="291" t="s">
        <v>398</v>
      </c>
      <c r="C35" s="346" t="s">
        <v>404</v>
      </c>
      <c r="D35" s="346" t="s">
        <v>153</v>
      </c>
      <c r="E35" s="269" t="s">
        <v>188</v>
      </c>
      <c r="F35" s="291" t="s">
        <v>224</v>
      </c>
      <c r="G35" s="347">
        <f>'Detailed PL'!I50</f>
        <v>10</v>
      </c>
      <c r="H35" s="348" t="s">
        <v>146</v>
      </c>
      <c r="I35" s="348" t="s">
        <v>236</v>
      </c>
      <c r="J35" s="349">
        <f>'Detailed PL'!P50</f>
        <v>25</v>
      </c>
      <c r="K35" s="349">
        <f t="shared" si="4"/>
        <v>25.8</v>
      </c>
      <c r="L35" s="376">
        <v>25.8</v>
      </c>
      <c r="M35" s="349">
        <f t="shared" si="0"/>
        <v>0</v>
      </c>
      <c r="N35" s="271">
        <v>6.38</v>
      </c>
      <c r="O35" s="271">
        <v>63.8</v>
      </c>
      <c r="P35" s="271" t="s">
        <v>223</v>
      </c>
      <c r="R35" s="377">
        <v>63.83</v>
      </c>
      <c r="T35" s="330">
        <v>6.38</v>
      </c>
      <c r="V35" s="79">
        <f t="shared" si="1"/>
        <v>63.8</v>
      </c>
      <c r="X35" s="79">
        <f t="shared" si="2"/>
        <v>3.0000000000001137E-2</v>
      </c>
      <c r="Z35" s="330" t="s">
        <v>470</v>
      </c>
    </row>
    <row r="36" spans="1:26" s="330" customFormat="1" ht="14.45" customHeight="1">
      <c r="A36" s="261" t="s">
        <v>251</v>
      </c>
      <c r="B36" s="291" t="s">
        <v>398</v>
      </c>
      <c r="C36" s="346" t="s">
        <v>404</v>
      </c>
      <c r="D36" s="346" t="s">
        <v>154</v>
      </c>
      <c r="E36" s="269" t="s">
        <v>188</v>
      </c>
      <c r="F36" s="291" t="s">
        <v>224</v>
      </c>
      <c r="G36" s="347">
        <f>'Detailed PL'!I51</f>
        <v>15</v>
      </c>
      <c r="H36" s="348" t="s">
        <v>146</v>
      </c>
      <c r="I36" s="348" t="s">
        <v>236</v>
      </c>
      <c r="J36" s="349">
        <f>'Detailed PL'!P51</f>
        <v>52.5</v>
      </c>
      <c r="K36" s="349">
        <f t="shared" si="4"/>
        <v>53.7</v>
      </c>
      <c r="L36" s="376">
        <v>53.7</v>
      </c>
      <c r="M36" s="349">
        <f t="shared" si="0"/>
        <v>0</v>
      </c>
      <c r="N36" s="271">
        <v>8.81</v>
      </c>
      <c r="O36" s="271">
        <v>132.15</v>
      </c>
      <c r="P36" s="271" t="s">
        <v>223</v>
      </c>
      <c r="R36" s="377">
        <v>132.18</v>
      </c>
      <c r="T36" s="330">
        <v>8.81</v>
      </c>
      <c r="V36" s="79">
        <f t="shared" si="1"/>
        <v>132.15</v>
      </c>
      <c r="X36" s="79">
        <f t="shared" si="2"/>
        <v>3.0000000000001137E-2</v>
      </c>
      <c r="Z36" s="330" t="s">
        <v>470</v>
      </c>
    </row>
    <row r="37" spans="1:26" s="330" customFormat="1" ht="14.45" customHeight="1">
      <c r="A37" s="261" t="s">
        <v>253</v>
      </c>
      <c r="B37" s="291" t="s">
        <v>398</v>
      </c>
      <c r="C37" s="346" t="s">
        <v>404</v>
      </c>
      <c r="D37" s="346" t="s">
        <v>155</v>
      </c>
      <c r="E37" s="269" t="s">
        <v>188</v>
      </c>
      <c r="F37" s="291" t="s">
        <v>224</v>
      </c>
      <c r="G37" s="347">
        <f>'Detailed PL'!I52</f>
        <v>15</v>
      </c>
      <c r="H37" s="348" t="s">
        <v>146</v>
      </c>
      <c r="I37" s="348" t="s">
        <v>236</v>
      </c>
      <c r="J37" s="349">
        <f>'Detailed PL'!P52</f>
        <v>99</v>
      </c>
      <c r="K37" s="349">
        <f t="shared" si="4"/>
        <v>100.2</v>
      </c>
      <c r="L37" s="376">
        <v>100.2</v>
      </c>
      <c r="M37" s="349">
        <f t="shared" si="0"/>
        <v>0</v>
      </c>
      <c r="N37" s="271">
        <v>25.1</v>
      </c>
      <c r="O37" s="271">
        <v>376.5</v>
      </c>
      <c r="P37" s="271" t="s">
        <v>223</v>
      </c>
      <c r="R37" s="377">
        <v>376.49</v>
      </c>
      <c r="T37" s="330">
        <v>25.1</v>
      </c>
      <c r="V37" s="79">
        <f t="shared" si="1"/>
        <v>376.5</v>
      </c>
      <c r="X37" s="79">
        <f t="shared" si="2"/>
        <v>-9.9999999999909051E-3</v>
      </c>
      <c r="Z37" s="330" t="s">
        <v>470</v>
      </c>
    </row>
    <row r="38" spans="1:26" s="330" customFormat="1" ht="14.45" customHeight="1">
      <c r="A38" s="261" t="s">
        <v>254</v>
      </c>
      <c r="B38" s="291" t="s">
        <v>398</v>
      </c>
      <c r="C38" s="346" t="s">
        <v>404</v>
      </c>
      <c r="D38" s="346" t="s">
        <v>156</v>
      </c>
      <c r="E38" s="269" t="s">
        <v>188</v>
      </c>
      <c r="F38" s="291" t="s">
        <v>224</v>
      </c>
      <c r="G38" s="347">
        <f>'Detailed PL'!I53</f>
        <v>10</v>
      </c>
      <c r="H38" s="348" t="s">
        <v>146</v>
      </c>
      <c r="I38" s="348" t="s">
        <v>236</v>
      </c>
      <c r="J38" s="349">
        <f>'Detailed PL'!P53</f>
        <v>98</v>
      </c>
      <c r="K38" s="349">
        <f t="shared" si="4"/>
        <v>98.8</v>
      </c>
      <c r="L38" s="376">
        <v>98.8</v>
      </c>
      <c r="M38" s="349">
        <f t="shared" si="0"/>
        <v>0</v>
      </c>
      <c r="N38" s="271">
        <v>38.83</v>
      </c>
      <c r="O38" s="271">
        <v>388.3</v>
      </c>
      <c r="P38" s="271" t="s">
        <v>223</v>
      </c>
      <c r="R38" s="377">
        <v>388.32</v>
      </c>
      <c r="T38" s="330">
        <v>38.83</v>
      </c>
      <c r="V38" s="79">
        <f t="shared" si="1"/>
        <v>388.29999999999995</v>
      </c>
      <c r="X38" s="79">
        <f t="shared" si="2"/>
        <v>2.0000000000038654E-2</v>
      </c>
      <c r="Z38" s="330" t="s">
        <v>470</v>
      </c>
    </row>
    <row r="39" spans="1:26" s="330" customFormat="1" ht="14.45" customHeight="1">
      <c r="A39" s="261" t="s">
        <v>255</v>
      </c>
      <c r="B39" s="291" t="s">
        <v>398</v>
      </c>
      <c r="C39" s="346" t="s">
        <v>405</v>
      </c>
      <c r="D39" s="346" t="s">
        <v>151</v>
      </c>
      <c r="E39" s="269" t="s">
        <v>188</v>
      </c>
      <c r="F39" s="291" t="s">
        <v>224</v>
      </c>
      <c r="G39" s="347">
        <f>'Detailed PL'!I54</f>
        <v>420</v>
      </c>
      <c r="H39" s="348" t="s">
        <v>146</v>
      </c>
      <c r="I39" s="348" t="s">
        <v>236</v>
      </c>
      <c r="J39" s="349">
        <f>'Detailed PL'!P54</f>
        <v>42</v>
      </c>
      <c r="K39" s="349">
        <f t="shared" si="4"/>
        <v>75.599999999999994</v>
      </c>
      <c r="L39" s="376">
        <v>75.599999999999994</v>
      </c>
      <c r="M39" s="349">
        <f t="shared" si="0"/>
        <v>0</v>
      </c>
      <c r="N39" s="271">
        <v>1.76</v>
      </c>
      <c r="O39" s="271">
        <v>739.2</v>
      </c>
      <c r="P39" s="271" t="s">
        <v>223</v>
      </c>
      <c r="R39" s="377">
        <v>739.44</v>
      </c>
      <c r="T39" s="330">
        <v>1.76</v>
      </c>
      <c r="V39" s="79">
        <f t="shared" si="1"/>
        <v>739.2</v>
      </c>
      <c r="X39" s="79">
        <f t="shared" si="2"/>
        <v>0.24000000000000909</v>
      </c>
      <c r="Z39" s="330" t="s">
        <v>471</v>
      </c>
    </row>
    <row r="40" spans="1:26" s="330" customFormat="1" ht="14.45" customHeight="1">
      <c r="A40" s="261" t="s">
        <v>256</v>
      </c>
      <c r="B40" s="291" t="s">
        <v>398</v>
      </c>
      <c r="C40" s="346" t="s">
        <v>405</v>
      </c>
      <c r="D40" s="346" t="s">
        <v>152</v>
      </c>
      <c r="E40" s="269" t="s">
        <v>188</v>
      </c>
      <c r="F40" s="291" t="s">
        <v>224</v>
      </c>
      <c r="G40" s="347">
        <f>'Detailed PL'!I55</f>
        <v>150</v>
      </c>
      <c r="H40" s="348" t="s">
        <v>146</v>
      </c>
      <c r="I40" s="348" t="s">
        <v>236</v>
      </c>
      <c r="J40" s="349">
        <f>'Detailed PL'!P55</f>
        <v>22.5</v>
      </c>
      <c r="K40" s="349">
        <f t="shared" si="4"/>
        <v>34.5</v>
      </c>
      <c r="L40" s="376">
        <v>34.5</v>
      </c>
      <c r="M40" s="349">
        <f t="shared" si="0"/>
        <v>0</v>
      </c>
      <c r="N40" s="271">
        <v>2.2400000000000002</v>
      </c>
      <c r="O40" s="271">
        <v>336</v>
      </c>
      <c r="P40" s="271" t="s">
        <v>223</v>
      </c>
      <c r="R40" s="377">
        <v>335.86</v>
      </c>
      <c r="T40" s="330">
        <v>2.2400000000000002</v>
      </c>
      <c r="V40" s="79">
        <f t="shared" si="1"/>
        <v>336.00000000000006</v>
      </c>
      <c r="X40" s="79">
        <f t="shared" si="2"/>
        <v>-0.1400000000000432</v>
      </c>
      <c r="Z40" s="330" t="s">
        <v>471</v>
      </c>
    </row>
    <row r="41" spans="1:26" s="330" customFormat="1" ht="14.45" customHeight="1">
      <c r="A41" s="261" t="s">
        <v>257</v>
      </c>
      <c r="B41" s="291" t="s">
        <v>398</v>
      </c>
      <c r="C41" s="346" t="s">
        <v>405</v>
      </c>
      <c r="D41" s="346" t="s">
        <v>153</v>
      </c>
      <c r="E41" s="269" t="s">
        <v>188</v>
      </c>
      <c r="F41" s="291" t="s">
        <v>224</v>
      </c>
      <c r="G41" s="347">
        <f>'Detailed PL'!I56</f>
        <v>50</v>
      </c>
      <c r="H41" s="348" t="s">
        <v>146</v>
      </c>
      <c r="I41" s="348" t="s">
        <v>236</v>
      </c>
      <c r="J41" s="349">
        <f>'Detailed PL'!P56</f>
        <v>9</v>
      </c>
      <c r="K41" s="349">
        <f t="shared" si="4"/>
        <v>13</v>
      </c>
      <c r="L41" s="376">
        <v>13</v>
      </c>
      <c r="M41" s="349">
        <f t="shared" si="0"/>
        <v>0</v>
      </c>
      <c r="N41" s="271">
        <v>3.03</v>
      </c>
      <c r="O41" s="271">
        <v>151.5</v>
      </c>
      <c r="P41" s="271" t="s">
        <v>223</v>
      </c>
      <c r="R41" s="377">
        <v>151.68</v>
      </c>
      <c r="T41" s="330">
        <v>3.03</v>
      </c>
      <c r="V41" s="79">
        <f t="shared" si="1"/>
        <v>151.5</v>
      </c>
      <c r="X41" s="79">
        <f t="shared" si="2"/>
        <v>0.18000000000000682</v>
      </c>
      <c r="Z41" s="330" t="s">
        <v>471</v>
      </c>
    </row>
    <row r="42" spans="1:26" s="330" customFormat="1" ht="14.45" customHeight="1">
      <c r="A42" s="261" t="s">
        <v>258</v>
      </c>
      <c r="B42" s="291" t="s">
        <v>398</v>
      </c>
      <c r="C42" s="346" t="s">
        <v>405</v>
      </c>
      <c r="D42" s="346" t="s">
        <v>154</v>
      </c>
      <c r="E42" s="269" t="s">
        <v>188</v>
      </c>
      <c r="F42" s="291" t="s">
        <v>224</v>
      </c>
      <c r="G42" s="347">
        <f>'Detailed PL'!I57</f>
        <v>30</v>
      </c>
      <c r="H42" s="348" t="s">
        <v>146</v>
      </c>
      <c r="I42" s="348" t="s">
        <v>236</v>
      </c>
      <c r="J42" s="349">
        <f>'Detailed PL'!P57</f>
        <v>8.1000000000000014</v>
      </c>
      <c r="K42" s="349">
        <f t="shared" si="4"/>
        <v>10.500000000000002</v>
      </c>
      <c r="L42" s="376">
        <v>10.5</v>
      </c>
      <c r="M42" s="349">
        <f>K42-L42</f>
        <v>0</v>
      </c>
      <c r="N42" s="271">
        <v>4.13</v>
      </c>
      <c r="O42" s="271">
        <v>123.9</v>
      </c>
      <c r="P42" s="271" t="s">
        <v>223</v>
      </c>
      <c r="R42" s="377">
        <v>123.78</v>
      </c>
      <c r="T42" s="330">
        <v>4.13</v>
      </c>
      <c r="V42" s="79">
        <f t="shared" si="1"/>
        <v>123.89999999999999</v>
      </c>
      <c r="X42" s="79">
        <f t="shared" si="2"/>
        <v>-0.11999999999999034</v>
      </c>
      <c r="Z42" s="330" t="s">
        <v>471</v>
      </c>
    </row>
    <row r="43" spans="1:26" s="330" customFormat="1" ht="14.45" customHeight="1">
      <c r="A43" s="261" t="s">
        <v>260</v>
      </c>
      <c r="B43" s="291" t="s">
        <v>398</v>
      </c>
      <c r="C43" s="346" t="s">
        <v>405</v>
      </c>
      <c r="D43" s="346" t="s">
        <v>155</v>
      </c>
      <c r="E43" s="269" t="s">
        <v>188</v>
      </c>
      <c r="F43" s="291" t="s">
        <v>224</v>
      </c>
      <c r="G43" s="347">
        <f>'Detailed PL'!I58</f>
        <v>80</v>
      </c>
      <c r="H43" s="348" t="s">
        <v>146</v>
      </c>
      <c r="I43" s="348" t="s">
        <v>236</v>
      </c>
      <c r="J43" s="349">
        <f>'Detailed PL'!P58</f>
        <v>64</v>
      </c>
      <c r="K43" s="349">
        <f t="shared" si="4"/>
        <v>70.400000000000006</v>
      </c>
      <c r="L43" s="376">
        <v>70.400000000000006</v>
      </c>
      <c r="M43" s="349">
        <f t="shared" si="0"/>
        <v>0</v>
      </c>
      <c r="N43" s="271">
        <v>11.39</v>
      </c>
      <c r="O43" s="271">
        <v>911.2</v>
      </c>
      <c r="P43" s="271" t="s">
        <v>223</v>
      </c>
      <c r="R43" s="377">
        <v>911.52</v>
      </c>
      <c r="T43" s="330">
        <v>11.39</v>
      </c>
      <c r="V43" s="79">
        <f t="shared" si="1"/>
        <v>911.2</v>
      </c>
      <c r="X43" s="79">
        <f t="shared" si="2"/>
        <v>0.31999999999993634</v>
      </c>
      <c r="Z43" s="330" t="s">
        <v>471</v>
      </c>
    </row>
    <row r="44" spans="1:26" s="330" customFormat="1" ht="14.45" customHeight="1">
      <c r="A44" s="261" t="s">
        <v>261</v>
      </c>
      <c r="B44" s="291" t="s">
        <v>398</v>
      </c>
      <c r="C44" s="346" t="s">
        <v>405</v>
      </c>
      <c r="D44" s="346" t="s">
        <v>156</v>
      </c>
      <c r="E44" s="269" t="s">
        <v>188</v>
      </c>
      <c r="F44" s="291" t="s">
        <v>224</v>
      </c>
      <c r="G44" s="347">
        <f>'Detailed PL'!I59</f>
        <v>50</v>
      </c>
      <c r="H44" s="348" t="s">
        <v>146</v>
      </c>
      <c r="I44" s="348" t="s">
        <v>236</v>
      </c>
      <c r="J44" s="349">
        <f>'Detailed PL'!P59</f>
        <v>70</v>
      </c>
      <c r="K44" s="349">
        <f t="shared" si="4"/>
        <v>74</v>
      </c>
      <c r="L44" s="376">
        <v>74</v>
      </c>
      <c r="M44" s="349">
        <f t="shared" si="0"/>
        <v>0</v>
      </c>
      <c r="N44" s="271">
        <v>17.940000000000001</v>
      </c>
      <c r="O44" s="271">
        <v>897</v>
      </c>
      <c r="P44" s="271" t="s">
        <v>223</v>
      </c>
      <c r="R44" s="377">
        <v>896.98</v>
      </c>
      <c r="T44" s="330">
        <v>17.940000000000001</v>
      </c>
      <c r="V44" s="79">
        <f t="shared" si="1"/>
        <v>897.00000000000011</v>
      </c>
      <c r="X44" s="79">
        <f t="shared" si="2"/>
        <v>-2.0000000000095497E-2</v>
      </c>
      <c r="Z44" s="330" t="s">
        <v>471</v>
      </c>
    </row>
    <row r="45" spans="1:26" s="330" customFormat="1" ht="14.45" customHeight="1">
      <c r="A45" s="261" t="s">
        <v>262</v>
      </c>
      <c r="B45" s="291" t="s">
        <v>398</v>
      </c>
      <c r="C45" s="346" t="s">
        <v>406</v>
      </c>
      <c r="D45" s="346" t="s">
        <v>151</v>
      </c>
      <c r="E45" s="269" t="s">
        <v>188</v>
      </c>
      <c r="F45" s="291" t="s">
        <v>224</v>
      </c>
      <c r="G45" s="347">
        <f>'Detailed PL'!I60</f>
        <v>420</v>
      </c>
      <c r="H45" s="348" t="s">
        <v>146</v>
      </c>
      <c r="I45" s="348" t="s">
        <v>236</v>
      </c>
      <c r="J45" s="349">
        <f>'Detailed PL'!P60</f>
        <v>42</v>
      </c>
      <c r="K45" s="349">
        <f t="shared" si="4"/>
        <v>75.599999999999994</v>
      </c>
      <c r="L45" s="376">
        <v>75.599999999999994</v>
      </c>
      <c r="M45" s="349">
        <f t="shared" si="0"/>
        <v>0</v>
      </c>
      <c r="N45" s="271">
        <v>1.76</v>
      </c>
      <c r="O45" s="271">
        <v>739.2</v>
      </c>
      <c r="P45" s="271" t="s">
        <v>223</v>
      </c>
      <c r="R45" s="377">
        <v>739.44</v>
      </c>
      <c r="T45" s="330">
        <v>1.76</v>
      </c>
      <c r="V45" s="79">
        <f>T45*G45</f>
        <v>739.2</v>
      </c>
      <c r="X45" s="79">
        <f t="shared" si="2"/>
        <v>0.24000000000000909</v>
      </c>
      <c r="Z45" s="330" t="s">
        <v>471</v>
      </c>
    </row>
    <row r="46" spans="1:26" s="330" customFormat="1" ht="14.45" customHeight="1">
      <c r="A46" s="261" t="s">
        <v>263</v>
      </c>
      <c r="B46" s="291" t="s">
        <v>398</v>
      </c>
      <c r="C46" s="346" t="s">
        <v>406</v>
      </c>
      <c r="D46" s="346" t="s">
        <v>152</v>
      </c>
      <c r="E46" s="269" t="s">
        <v>188</v>
      </c>
      <c r="F46" s="291" t="s">
        <v>224</v>
      </c>
      <c r="G46" s="347">
        <f>'Detailed PL'!I61</f>
        <v>150</v>
      </c>
      <c r="H46" s="348" t="s">
        <v>146</v>
      </c>
      <c r="I46" s="348" t="s">
        <v>236</v>
      </c>
      <c r="J46" s="349">
        <f>'Detailed PL'!P61</f>
        <v>22.5</v>
      </c>
      <c r="K46" s="349">
        <f t="shared" si="4"/>
        <v>34.5</v>
      </c>
      <c r="L46" s="376">
        <v>34.5</v>
      </c>
      <c r="M46" s="349">
        <f t="shared" si="0"/>
        <v>0</v>
      </c>
      <c r="N46" s="271">
        <v>2.2400000000000002</v>
      </c>
      <c r="O46" s="271">
        <v>336</v>
      </c>
      <c r="P46" s="271" t="s">
        <v>223</v>
      </c>
      <c r="R46" s="377">
        <v>335.86</v>
      </c>
      <c r="T46" s="330">
        <v>2.2400000000000002</v>
      </c>
      <c r="V46" s="79">
        <f t="shared" si="1"/>
        <v>336.00000000000006</v>
      </c>
      <c r="X46" s="79">
        <f t="shared" si="2"/>
        <v>-0.1400000000000432</v>
      </c>
      <c r="Z46" s="330" t="s">
        <v>471</v>
      </c>
    </row>
    <row r="47" spans="1:26" s="330" customFormat="1" ht="14.45" customHeight="1">
      <c r="A47" s="261" t="s">
        <v>264</v>
      </c>
      <c r="B47" s="291" t="s">
        <v>398</v>
      </c>
      <c r="C47" s="346" t="s">
        <v>406</v>
      </c>
      <c r="D47" s="346" t="s">
        <v>153</v>
      </c>
      <c r="E47" s="269" t="s">
        <v>188</v>
      </c>
      <c r="F47" s="291" t="s">
        <v>224</v>
      </c>
      <c r="G47" s="347">
        <f>'Detailed PL'!I62</f>
        <v>50</v>
      </c>
      <c r="H47" s="348" t="s">
        <v>146</v>
      </c>
      <c r="I47" s="348" t="s">
        <v>236</v>
      </c>
      <c r="J47" s="349">
        <f>'Detailed PL'!P62</f>
        <v>9</v>
      </c>
      <c r="K47" s="349">
        <f t="shared" si="4"/>
        <v>13</v>
      </c>
      <c r="L47" s="376">
        <v>13</v>
      </c>
      <c r="M47" s="349">
        <f t="shared" si="0"/>
        <v>0</v>
      </c>
      <c r="N47" s="271">
        <v>3.03</v>
      </c>
      <c r="O47" s="271">
        <v>151.5</v>
      </c>
      <c r="P47" s="271" t="s">
        <v>223</v>
      </c>
      <c r="R47" s="377">
        <v>151.68</v>
      </c>
      <c r="T47" s="330">
        <v>3.03</v>
      </c>
      <c r="V47" s="79">
        <f t="shared" si="1"/>
        <v>151.5</v>
      </c>
      <c r="X47" s="79">
        <f t="shared" si="2"/>
        <v>0.18000000000000682</v>
      </c>
      <c r="Z47" s="330" t="s">
        <v>471</v>
      </c>
    </row>
    <row r="48" spans="1:26" s="330" customFormat="1" ht="14.45" customHeight="1">
      <c r="A48" s="261" t="s">
        <v>265</v>
      </c>
      <c r="B48" s="291" t="s">
        <v>398</v>
      </c>
      <c r="C48" s="346" t="s">
        <v>406</v>
      </c>
      <c r="D48" s="346" t="s">
        <v>154</v>
      </c>
      <c r="E48" s="269" t="s">
        <v>188</v>
      </c>
      <c r="F48" s="291" t="s">
        <v>224</v>
      </c>
      <c r="G48" s="347">
        <f>'Detailed PL'!I63</f>
        <v>30</v>
      </c>
      <c r="H48" s="348" t="s">
        <v>146</v>
      </c>
      <c r="I48" s="348" t="s">
        <v>236</v>
      </c>
      <c r="J48" s="349">
        <f>'Detailed PL'!P63</f>
        <v>8.1000000000000014</v>
      </c>
      <c r="K48" s="349">
        <f t="shared" si="4"/>
        <v>10.500000000000002</v>
      </c>
      <c r="L48" s="376">
        <v>10.5</v>
      </c>
      <c r="M48" s="349">
        <f t="shared" si="0"/>
        <v>0</v>
      </c>
      <c r="N48" s="271">
        <v>4.13</v>
      </c>
      <c r="O48" s="271">
        <v>123.9</v>
      </c>
      <c r="P48" s="271" t="s">
        <v>223</v>
      </c>
      <c r="R48" s="377">
        <v>123.78</v>
      </c>
      <c r="T48" s="330">
        <v>4.13</v>
      </c>
      <c r="V48" s="79">
        <f t="shared" si="1"/>
        <v>123.89999999999999</v>
      </c>
      <c r="X48" s="79">
        <f t="shared" si="2"/>
        <v>-0.11999999999999034</v>
      </c>
      <c r="Z48" s="330" t="s">
        <v>471</v>
      </c>
    </row>
    <row r="49" spans="1:26" s="330" customFormat="1" ht="14.45" customHeight="1">
      <c r="A49" s="261" t="s">
        <v>267</v>
      </c>
      <c r="B49" s="291" t="s">
        <v>398</v>
      </c>
      <c r="C49" s="346" t="s">
        <v>406</v>
      </c>
      <c r="D49" s="346" t="s">
        <v>155</v>
      </c>
      <c r="E49" s="269" t="s">
        <v>188</v>
      </c>
      <c r="F49" s="291" t="s">
        <v>224</v>
      </c>
      <c r="G49" s="347">
        <f>'Detailed PL'!I64</f>
        <v>80</v>
      </c>
      <c r="H49" s="348" t="s">
        <v>146</v>
      </c>
      <c r="I49" s="348" t="s">
        <v>236</v>
      </c>
      <c r="J49" s="349">
        <f>'Detailed PL'!P64</f>
        <v>64</v>
      </c>
      <c r="K49" s="349">
        <f t="shared" si="4"/>
        <v>70.400000000000006</v>
      </c>
      <c r="L49" s="376">
        <v>70.400000000000006</v>
      </c>
      <c r="M49" s="349">
        <f t="shared" si="0"/>
        <v>0</v>
      </c>
      <c r="N49" s="271">
        <v>11.39</v>
      </c>
      <c r="O49" s="271">
        <v>911.2</v>
      </c>
      <c r="P49" s="271" t="s">
        <v>223</v>
      </c>
      <c r="R49" s="377">
        <v>911.52</v>
      </c>
      <c r="T49" s="330">
        <v>11.39</v>
      </c>
      <c r="V49" s="79">
        <f t="shared" si="1"/>
        <v>911.2</v>
      </c>
      <c r="X49" s="79">
        <f t="shared" si="2"/>
        <v>0.31999999999993634</v>
      </c>
      <c r="Z49" s="330" t="s">
        <v>471</v>
      </c>
    </row>
    <row r="50" spans="1:26" s="330" customFormat="1" ht="14.45" customHeight="1">
      <c r="A50" s="261" t="s">
        <v>268</v>
      </c>
      <c r="B50" s="291" t="s">
        <v>398</v>
      </c>
      <c r="C50" s="346" t="s">
        <v>406</v>
      </c>
      <c r="D50" s="346" t="s">
        <v>156</v>
      </c>
      <c r="E50" s="269" t="s">
        <v>188</v>
      </c>
      <c r="F50" s="291" t="s">
        <v>224</v>
      </c>
      <c r="G50" s="347">
        <f>'Detailed PL'!I65</f>
        <v>50</v>
      </c>
      <c r="H50" s="348" t="s">
        <v>146</v>
      </c>
      <c r="I50" s="348" t="s">
        <v>236</v>
      </c>
      <c r="J50" s="349">
        <f>'Detailed PL'!P65</f>
        <v>70</v>
      </c>
      <c r="K50" s="349">
        <f t="shared" si="4"/>
        <v>74</v>
      </c>
      <c r="L50" s="376">
        <v>74</v>
      </c>
      <c r="M50" s="349">
        <f t="shared" si="0"/>
        <v>0</v>
      </c>
      <c r="N50" s="271">
        <v>17.940000000000001</v>
      </c>
      <c r="O50" s="271">
        <v>897</v>
      </c>
      <c r="P50" s="271" t="s">
        <v>223</v>
      </c>
      <c r="R50" s="377">
        <v>896.98</v>
      </c>
      <c r="T50" s="330">
        <v>17.940000000000001</v>
      </c>
      <c r="V50" s="79">
        <f t="shared" si="1"/>
        <v>897.00000000000011</v>
      </c>
      <c r="X50" s="79">
        <f t="shared" si="2"/>
        <v>-2.0000000000095497E-2</v>
      </c>
      <c r="Z50" s="330" t="s">
        <v>471</v>
      </c>
    </row>
    <row r="51" spans="1:26" s="330" customFormat="1" ht="14.45" customHeight="1">
      <c r="A51" s="261" t="s">
        <v>269</v>
      </c>
      <c r="B51" s="291" t="s">
        <v>398</v>
      </c>
      <c r="C51" s="346" t="s">
        <v>407</v>
      </c>
      <c r="D51" s="346" t="s">
        <v>151</v>
      </c>
      <c r="E51" s="269" t="s">
        <v>188</v>
      </c>
      <c r="F51" s="291" t="s">
        <v>224</v>
      </c>
      <c r="G51" s="347">
        <f>'Detailed PL'!I66</f>
        <v>30</v>
      </c>
      <c r="H51" s="348" t="s">
        <v>146</v>
      </c>
      <c r="I51" s="348" t="s">
        <v>236</v>
      </c>
      <c r="J51" s="349">
        <f>'Detailed PL'!P66</f>
        <v>11.1</v>
      </c>
      <c r="K51" s="349">
        <f t="shared" si="4"/>
        <v>13.5</v>
      </c>
      <c r="L51" s="376">
        <v>13.5</v>
      </c>
      <c r="M51" s="349">
        <f t="shared" si="0"/>
        <v>0</v>
      </c>
      <c r="N51" s="271">
        <v>3.67</v>
      </c>
      <c r="O51" s="271">
        <v>110.1</v>
      </c>
      <c r="P51" s="271" t="s">
        <v>223</v>
      </c>
      <c r="R51" s="377">
        <v>110.24</v>
      </c>
      <c r="T51" s="330">
        <v>3.67</v>
      </c>
      <c r="V51" s="79">
        <f t="shared" si="1"/>
        <v>110.1</v>
      </c>
      <c r="X51" s="79">
        <f t="shared" si="2"/>
        <v>0.14000000000000057</v>
      </c>
      <c r="Z51" s="330" t="s">
        <v>469</v>
      </c>
    </row>
    <row r="52" spans="1:26" s="330" customFormat="1" ht="14.45" customHeight="1">
      <c r="A52" s="261" t="s">
        <v>270</v>
      </c>
      <c r="B52" s="291" t="s">
        <v>398</v>
      </c>
      <c r="C52" s="346" t="s">
        <v>407</v>
      </c>
      <c r="D52" s="346" t="s">
        <v>152</v>
      </c>
      <c r="E52" s="269" t="s">
        <v>188</v>
      </c>
      <c r="F52" s="291" t="s">
        <v>224</v>
      </c>
      <c r="G52" s="347">
        <f>'Detailed PL'!I67</f>
        <v>30</v>
      </c>
      <c r="H52" s="348" t="s">
        <v>146</v>
      </c>
      <c r="I52" s="348" t="s">
        <v>236</v>
      </c>
      <c r="J52" s="349">
        <f>'Detailed PL'!P67</f>
        <v>19.5</v>
      </c>
      <c r="K52" s="349">
        <f t="shared" si="4"/>
        <v>21.9</v>
      </c>
      <c r="L52" s="376">
        <v>21.9</v>
      </c>
      <c r="M52" s="349">
        <f t="shared" si="0"/>
        <v>0</v>
      </c>
      <c r="N52" s="271">
        <v>5.45</v>
      </c>
      <c r="O52" s="271">
        <v>163.5</v>
      </c>
      <c r="P52" s="271" t="s">
        <v>223</v>
      </c>
      <c r="R52" s="377">
        <v>163.6</v>
      </c>
      <c r="T52" s="330">
        <v>5.45</v>
      </c>
      <c r="V52" s="79">
        <f t="shared" si="1"/>
        <v>163.5</v>
      </c>
      <c r="X52" s="79">
        <f t="shared" si="2"/>
        <v>9.9999999999994316E-2</v>
      </c>
      <c r="Z52" s="330" t="s">
        <v>469</v>
      </c>
    </row>
    <row r="53" spans="1:26" s="330" customFormat="1" ht="14.45" customHeight="1">
      <c r="A53" s="261" t="s">
        <v>271</v>
      </c>
      <c r="B53" s="291" t="s">
        <v>398</v>
      </c>
      <c r="C53" s="346" t="s">
        <v>407</v>
      </c>
      <c r="D53" s="346" t="s">
        <v>153</v>
      </c>
      <c r="E53" s="269" t="s">
        <v>188</v>
      </c>
      <c r="F53" s="291" t="s">
        <v>224</v>
      </c>
      <c r="G53" s="347">
        <f>'Detailed PL'!I68</f>
        <v>10</v>
      </c>
      <c r="H53" s="348" t="s">
        <v>146</v>
      </c>
      <c r="I53" s="348" t="s">
        <v>236</v>
      </c>
      <c r="J53" s="349">
        <f>'Detailed PL'!P68</f>
        <v>8.4</v>
      </c>
      <c r="K53" s="349">
        <f t="shared" si="4"/>
        <v>9.2000000000000011</v>
      </c>
      <c r="L53" s="376">
        <v>9.1999999999999993</v>
      </c>
      <c r="M53" s="349">
        <f t="shared" si="0"/>
        <v>0</v>
      </c>
      <c r="N53" s="271">
        <v>6.72</v>
      </c>
      <c r="O53" s="271">
        <v>67.2</v>
      </c>
      <c r="P53" s="271" t="s">
        <v>223</v>
      </c>
      <c r="R53" s="377">
        <v>67.17</v>
      </c>
      <c r="T53" s="330">
        <v>6.72</v>
      </c>
      <c r="V53" s="79">
        <f t="shared" si="1"/>
        <v>67.2</v>
      </c>
      <c r="X53" s="79">
        <f t="shared" si="2"/>
        <v>-3.0000000000001137E-2</v>
      </c>
      <c r="Z53" s="330" t="s">
        <v>469</v>
      </c>
    </row>
    <row r="54" spans="1:26" s="330" customFormat="1" ht="14.45" customHeight="1">
      <c r="A54" s="261" t="s">
        <v>273</v>
      </c>
      <c r="B54" s="291" t="s">
        <v>398</v>
      </c>
      <c r="C54" s="346" t="s">
        <v>407</v>
      </c>
      <c r="D54" s="346" t="s">
        <v>154</v>
      </c>
      <c r="E54" s="269" t="s">
        <v>188</v>
      </c>
      <c r="F54" s="291" t="s">
        <v>224</v>
      </c>
      <c r="G54" s="347">
        <f>'Detailed PL'!I69</f>
        <v>10</v>
      </c>
      <c r="H54" s="348" t="s">
        <v>146</v>
      </c>
      <c r="I54" s="348" t="s">
        <v>236</v>
      </c>
      <c r="J54" s="349">
        <f>'Detailed PL'!P69</f>
        <v>10</v>
      </c>
      <c r="K54" s="349">
        <f t="shared" si="4"/>
        <v>10.8</v>
      </c>
      <c r="L54" s="376">
        <v>10.8</v>
      </c>
      <c r="M54" s="349">
        <f t="shared" si="0"/>
        <v>0</v>
      </c>
      <c r="N54" s="271">
        <v>9.02</v>
      </c>
      <c r="O54" s="271">
        <v>90.2</v>
      </c>
      <c r="P54" s="271" t="s">
        <v>223</v>
      </c>
      <c r="R54" s="377">
        <v>90.19</v>
      </c>
      <c r="T54" s="330">
        <v>9.02</v>
      </c>
      <c r="V54" s="79">
        <f t="shared" si="1"/>
        <v>90.199999999999989</v>
      </c>
      <c r="X54" s="79">
        <f t="shared" si="2"/>
        <v>-9.9999999999909051E-3</v>
      </c>
      <c r="Z54" s="330" t="s">
        <v>469</v>
      </c>
    </row>
    <row r="55" spans="1:26" s="330" customFormat="1" ht="14.45" customHeight="1">
      <c r="A55" s="261" t="s">
        <v>274</v>
      </c>
      <c r="B55" s="291" t="s">
        <v>398</v>
      </c>
      <c r="C55" s="346" t="s">
        <v>407</v>
      </c>
      <c r="D55" s="346" t="s">
        <v>155</v>
      </c>
      <c r="E55" s="269" t="s">
        <v>188</v>
      </c>
      <c r="F55" s="291" t="s">
        <v>224</v>
      </c>
      <c r="G55" s="347">
        <f>'Detailed PL'!I70</f>
        <v>10</v>
      </c>
      <c r="H55" s="348" t="s">
        <v>146</v>
      </c>
      <c r="I55" s="348" t="s">
        <v>236</v>
      </c>
      <c r="J55" s="349">
        <f>'Detailed PL'!P70</f>
        <v>19.3</v>
      </c>
      <c r="K55" s="349">
        <f t="shared" si="4"/>
        <v>20.100000000000001</v>
      </c>
      <c r="L55" s="376">
        <v>20.100000000000001</v>
      </c>
      <c r="M55" s="349">
        <f t="shared" si="0"/>
        <v>0</v>
      </c>
      <c r="N55" s="271">
        <v>21.94</v>
      </c>
      <c r="O55" s="271">
        <v>219.4</v>
      </c>
      <c r="P55" s="271" t="s">
        <v>223</v>
      </c>
      <c r="R55" s="377">
        <v>219.39</v>
      </c>
      <c r="T55" s="330">
        <v>21.94</v>
      </c>
      <c r="V55" s="79">
        <f t="shared" si="1"/>
        <v>219.4</v>
      </c>
      <c r="X55" s="79">
        <f t="shared" si="2"/>
        <v>-1.0000000000019327E-2</v>
      </c>
      <c r="Z55" s="330" t="s">
        <v>469</v>
      </c>
    </row>
    <row r="56" spans="1:26" s="330" customFormat="1" ht="14.45" customHeight="1">
      <c r="A56" s="261" t="s">
        <v>275</v>
      </c>
      <c r="B56" s="291" t="s">
        <v>398</v>
      </c>
      <c r="C56" s="346" t="s">
        <v>272</v>
      </c>
      <c r="D56" s="346" t="s">
        <v>151</v>
      </c>
      <c r="E56" s="269" t="s">
        <v>188</v>
      </c>
      <c r="F56" s="291" t="s">
        <v>224</v>
      </c>
      <c r="G56" s="347">
        <f>'Detailed PL'!I71</f>
        <v>10</v>
      </c>
      <c r="H56" s="348" t="s">
        <v>146</v>
      </c>
      <c r="I56" s="348" t="s">
        <v>236</v>
      </c>
      <c r="J56" s="349">
        <f>'Detailed PL'!P71</f>
        <v>1.2</v>
      </c>
      <c r="K56" s="349">
        <f t="shared" si="4"/>
        <v>2</v>
      </c>
      <c r="L56" s="376">
        <v>2</v>
      </c>
      <c r="M56" s="349">
        <f t="shared" si="0"/>
        <v>0</v>
      </c>
      <c r="N56" s="271">
        <v>1.94</v>
      </c>
      <c r="O56" s="271">
        <v>19.399999999999999</v>
      </c>
      <c r="P56" s="271" t="s">
        <v>223</v>
      </c>
      <c r="R56" s="377">
        <v>19.41</v>
      </c>
      <c r="T56" s="330">
        <v>1.94</v>
      </c>
      <c r="V56" s="79">
        <f t="shared" si="1"/>
        <v>19.399999999999999</v>
      </c>
      <c r="X56" s="79">
        <f t="shared" si="2"/>
        <v>1.0000000000001563E-2</v>
      </c>
      <c r="Z56" s="330" t="s">
        <v>469</v>
      </c>
    </row>
    <row r="57" spans="1:26" s="330" customFormat="1" ht="14.45" customHeight="1">
      <c r="A57" s="261" t="s">
        <v>276</v>
      </c>
      <c r="B57" s="291" t="s">
        <v>398</v>
      </c>
      <c r="C57" s="346" t="s">
        <v>272</v>
      </c>
      <c r="D57" s="346" t="s">
        <v>152</v>
      </c>
      <c r="E57" s="269" t="s">
        <v>188</v>
      </c>
      <c r="F57" s="291" t="s">
        <v>224</v>
      </c>
      <c r="G57" s="347">
        <f>'Detailed PL'!I72</f>
        <v>5</v>
      </c>
      <c r="H57" s="348" t="s">
        <v>146</v>
      </c>
      <c r="I57" s="348" t="s">
        <v>236</v>
      </c>
      <c r="J57" s="349">
        <f>'Detailed PL'!P72</f>
        <v>0.95</v>
      </c>
      <c r="K57" s="349">
        <f t="shared" si="4"/>
        <v>1.35</v>
      </c>
      <c r="L57" s="376">
        <v>1.35</v>
      </c>
      <c r="M57" s="349">
        <f t="shared" si="0"/>
        <v>0</v>
      </c>
      <c r="N57" s="271">
        <v>2.44</v>
      </c>
      <c r="O57" s="271">
        <v>12.2</v>
      </c>
      <c r="P57" s="271" t="s">
        <v>223</v>
      </c>
      <c r="R57" s="377">
        <v>12.19</v>
      </c>
      <c r="T57" s="330">
        <v>2.44</v>
      </c>
      <c r="V57" s="79">
        <f t="shared" si="1"/>
        <v>12.2</v>
      </c>
      <c r="X57" s="79">
        <f>R57-V57</f>
        <v>-9.9999999999997868E-3</v>
      </c>
      <c r="Z57" s="330" t="s">
        <v>469</v>
      </c>
    </row>
    <row r="58" spans="1:26" s="330" customFormat="1" ht="14.45" customHeight="1">
      <c r="A58" s="261" t="s">
        <v>277</v>
      </c>
      <c r="B58" s="291" t="s">
        <v>398</v>
      </c>
      <c r="C58" s="346" t="s">
        <v>272</v>
      </c>
      <c r="D58" s="346" t="s">
        <v>153</v>
      </c>
      <c r="E58" s="269" t="s">
        <v>188</v>
      </c>
      <c r="F58" s="291" t="s">
        <v>224</v>
      </c>
      <c r="G58" s="347">
        <f>'Detailed PL'!I73</f>
        <v>5</v>
      </c>
      <c r="H58" s="348" t="s">
        <v>146</v>
      </c>
      <c r="I58" s="348" t="s">
        <v>236</v>
      </c>
      <c r="J58" s="349">
        <f>'Detailed PL'!P73</f>
        <v>1.1000000000000001</v>
      </c>
      <c r="K58" s="349">
        <f t="shared" si="4"/>
        <v>1.5</v>
      </c>
      <c r="L58" s="376">
        <v>1.5</v>
      </c>
      <c r="M58" s="349">
        <f t="shared" si="0"/>
        <v>0</v>
      </c>
      <c r="N58" s="271">
        <v>3.1</v>
      </c>
      <c r="O58" s="271">
        <v>15.5</v>
      </c>
      <c r="P58" s="271" t="s">
        <v>223</v>
      </c>
      <c r="R58" s="377">
        <v>15.48</v>
      </c>
      <c r="T58" s="330">
        <v>3.1</v>
      </c>
      <c r="V58" s="79">
        <f t="shared" si="1"/>
        <v>15.5</v>
      </c>
      <c r="X58" s="79">
        <f t="shared" si="2"/>
        <v>-1.9999999999999574E-2</v>
      </c>
      <c r="Z58" s="330" t="s">
        <v>469</v>
      </c>
    </row>
    <row r="59" spans="1:26" s="330" customFormat="1" ht="14.45" customHeight="1">
      <c r="A59" s="261" t="s">
        <v>280</v>
      </c>
      <c r="B59" s="291" t="s">
        <v>398</v>
      </c>
      <c r="C59" s="346" t="s">
        <v>272</v>
      </c>
      <c r="D59" s="346" t="s">
        <v>154</v>
      </c>
      <c r="E59" s="269" t="s">
        <v>188</v>
      </c>
      <c r="F59" s="291" t="s">
        <v>224</v>
      </c>
      <c r="G59" s="347">
        <f>'Detailed PL'!I74</f>
        <v>5</v>
      </c>
      <c r="H59" s="348" t="s">
        <v>146</v>
      </c>
      <c r="I59" s="348" t="s">
        <v>236</v>
      </c>
      <c r="J59" s="349">
        <f>'Detailed PL'!P74</f>
        <v>1.6500000000000001</v>
      </c>
      <c r="K59" s="349">
        <f t="shared" si="4"/>
        <v>2.0500000000000003</v>
      </c>
      <c r="L59" s="376">
        <v>2.0499999999999998</v>
      </c>
      <c r="M59" s="349">
        <f>K59-L59</f>
        <v>0</v>
      </c>
      <c r="N59" s="271">
        <v>3.45</v>
      </c>
      <c r="O59" s="271">
        <v>17.25</v>
      </c>
      <c r="P59" s="271" t="s">
        <v>223</v>
      </c>
      <c r="R59" s="377">
        <v>17.239999999999998</v>
      </c>
      <c r="T59" s="330">
        <v>3.45</v>
      </c>
      <c r="V59" s="79">
        <f t="shared" si="1"/>
        <v>17.25</v>
      </c>
      <c r="X59" s="79">
        <f t="shared" si="2"/>
        <v>-1.0000000000001563E-2</v>
      </c>
      <c r="Z59" s="330" t="s">
        <v>469</v>
      </c>
    </row>
    <row r="60" spans="1:26" s="330" customFormat="1" ht="14.45" customHeight="1">
      <c r="A60" s="261" t="s">
        <v>281</v>
      </c>
      <c r="B60" s="291" t="s">
        <v>398</v>
      </c>
      <c r="C60" s="346" t="s">
        <v>462</v>
      </c>
      <c r="D60" s="346" t="s">
        <v>427</v>
      </c>
      <c r="E60" s="269" t="s">
        <v>188</v>
      </c>
      <c r="F60" s="291" t="s">
        <v>224</v>
      </c>
      <c r="G60" s="347">
        <f>'Detailed PL'!I75</f>
        <v>50</v>
      </c>
      <c r="H60" s="348" t="s">
        <v>146</v>
      </c>
      <c r="I60" s="348" t="s">
        <v>236</v>
      </c>
      <c r="J60" s="349">
        <f>'Detailed PL'!P75</f>
        <v>50</v>
      </c>
      <c r="K60" s="349">
        <f t="shared" si="4"/>
        <v>54</v>
      </c>
      <c r="L60" s="376">
        <v>54</v>
      </c>
      <c r="M60" s="349">
        <f t="shared" si="0"/>
        <v>0</v>
      </c>
      <c r="N60" s="271">
        <v>6.4</v>
      </c>
      <c r="O60" s="271">
        <v>320</v>
      </c>
      <c r="P60" s="271" t="s">
        <v>223</v>
      </c>
      <c r="R60" s="377">
        <v>320.06</v>
      </c>
      <c r="T60" s="330">
        <v>6.4</v>
      </c>
      <c r="V60" s="79">
        <f t="shared" si="1"/>
        <v>320</v>
      </c>
      <c r="X60" s="79">
        <f t="shared" si="2"/>
        <v>6.0000000000002274E-2</v>
      </c>
      <c r="Z60" s="330" t="s">
        <v>472</v>
      </c>
    </row>
    <row r="61" spans="1:26" s="330" customFormat="1" ht="14.45" customHeight="1">
      <c r="A61" s="261" t="s">
        <v>283</v>
      </c>
      <c r="B61" s="291" t="s">
        <v>398</v>
      </c>
      <c r="C61" s="346" t="s">
        <v>408</v>
      </c>
      <c r="D61" s="346" t="s">
        <v>279</v>
      </c>
      <c r="E61" s="269" t="s">
        <v>188</v>
      </c>
      <c r="F61" s="291" t="s">
        <v>224</v>
      </c>
      <c r="G61" s="347">
        <f>'Detailed PL'!I76</f>
        <v>30</v>
      </c>
      <c r="H61" s="348" t="s">
        <v>146</v>
      </c>
      <c r="I61" s="348" t="s">
        <v>236</v>
      </c>
      <c r="J61" s="349">
        <f>'Detailed PL'!P76</f>
        <v>5.7</v>
      </c>
      <c r="K61" s="349">
        <f t="shared" si="4"/>
        <v>8.1</v>
      </c>
      <c r="L61" s="376">
        <v>8.1</v>
      </c>
      <c r="M61" s="349">
        <f t="shared" si="0"/>
        <v>0</v>
      </c>
      <c r="N61" s="271">
        <v>2.88</v>
      </c>
      <c r="O61" s="271">
        <v>86.4</v>
      </c>
      <c r="P61" s="271" t="s">
        <v>223</v>
      </c>
      <c r="R61" s="377">
        <v>86.4</v>
      </c>
      <c r="T61" s="330">
        <v>2.88</v>
      </c>
      <c r="V61" s="79">
        <f t="shared" si="1"/>
        <v>86.399999999999991</v>
      </c>
      <c r="X61" s="79">
        <f t="shared" si="2"/>
        <v>0</v>
      </c>
      <c r="Z61" s="330" t="s">
        <v>469</v>
      </c>
    </row>
    <row r="62" spans="1:26" s="330" customFormat="1" ht="14.45" customHeight="1">
      <c r="A62" s="261" t="s">
        <v>285</v>
      </c>
      <c r="B62" s="291" t="s">
        <v>398</v>
      </c>
      <c r="C62" s="346" t="s">
        <v>408</v>
      </c>
      <c r="D62" s="346" t="s">
        <v>279</v>
      </c>
      <c r="E62" s="269" t="s">
        <v>188</v>
      </c>
      <c r="F62" s="291" t="s">
        <v>224</v>
      </c>
      <c r="G62" s="347">
        <f>'Detailed PL'!I77</f>
        <v>30</v>
      </c>
      <c r="H62" s="348" t="s">
        <v>146</v>
      </c>
      <c r="I62" s="348" t="s">
        <v>236</v>
      </c>
      <c r="J62" s="349">
        <f>'Detailed PL'!P77</f>
        <v>5.7</v>
      </c>
      <c r="K62" s="349">
        <f t="shared" si="4"/>
        <v>8.1</v>
      </c>
      <c r="L62" s="376">
        <v>8.1</v>
      </c>
      <c r="M62" s="349">
        <f t="shared" si="0"/>
        <v>0</v>
      </c>
      <c r="N62" s="271">
        <v>2.88</v>
      </c>
      <c r="O62" s="271">
        <v>86.4</v>
      </c>
      <c r="P62" s="271" t="s">
        <v>223</v>
      </c>
      <c r="R62" s="377">
        <v>86.4</v>
      </c>
      <c r="T62" s="330">
        <v>2.88</v>
      </c>
      <c r="V62" s="79">
        <f t="shared" si="1"/>
        <v>86.399999999999991</v>
      </c>
      <c r="X62" s="79">
        <f t="shared" si="2"/>
        <v>0</v>
      </c>
      <c r="Z62" s="330" t="s">
        <v>469</v>
      </c>
    </row>
    <row r="63" spans="1:26" s="330" customFormat="1" ht="14.45" customHeight="1">
      <c r="A63" s="261" t="s">
        <v>287</v>
      </c>
      <c r="B63" s="291" t="s">
        <v>398</v>
      </c>
      <c r="C63" s="346" t="s">
        <v>408</v>
      </c>
      <c r="D63" s="346" t="s">
        <v>282</v>
      </c>
      <c r="E63" s="269" t="s">
        <v>188</v>
      </c>
      <c r="F63" s="291" t="s">
        <v>224</v>
      </c>
      <c r="G63" s="347">
        <f>'Detailed PL'!I78</f>
        <v>30</v>
      </c>
      <c r="H63" s="348" t="s">
        <v>146</v>
      </c>
      <c r="I63" s="348" t="s">
        <v>236</v>
      </c>
      <c r="J63" s="349">
        <f>'Detailed PL'!P78</f>
        <v>6.6</v>
      </c>
      <c r="K63" s="349">
        <f t="shared" si="4"/>
        <v>9</v>
      </c>
      <c r="L63" s="376">
        <v>9</v>
      </c>
      <c r="M63" s="349">
        <f t="shared" si="0"/>
        <v>0</v>
      </c>
      <c r="N63" s="271">
        <v>3.51</v>
      </c>
      <c r="O63" s="271">
        <v>105.3</v>
      </c>
      <c r="P63" s="271" t="s">
        <v>223</v>
      </c>
      <c r="R63" s="377">
        <v>105.36</v>
      </c>
      <c r="T63" s="330">
        <v>3.51</v>
      </c>
      <c r="V63" s="79">
        <f t="shared" si="1"/>
        <v>105.3</v>
      </c>
      <c r="X63" s="79">
        <f t="shared" si="2"/>
        <v>6.0000000000002274E-2</v>
      </c>
      <c r="Z63" s="330" t="s">
        <v>469</v>
      </c>
    </row>
    <row r="64" spans="1:26" s="330" customFormat="1" ht="14.45" customHeight="1">
      <c r="A64" s="261" t="s">
        <v>289</v>
      </c>
      <c r="B64" s="291" t="s">
        <v>398</v>
      </c>
      <c r="C64" s="346" t="s">
        <v>408</v>
      </c>
      <c r="D64" s="346" t="s">
        <v>284</v>
      </c>
      <c r="E64" s="269" t="s">
        <v>188</v>
      </c>
      <c r="F64" s="291" t="s">
        <v>224</v>
      </c>
      <c r="G64" s="347">
        <f>'Detailed PL'!I79</f>
        <v>30</v>
      </c>
      <c r="H64" s="348" t="s">
        <v>146</v>
      </c>
      <c r="I64" s="348" t="s">
        <v>236</v>
      </c>
      <c r="J64" s="349">
        <f>'Detailed PL'!P79</f>
        <v>9.9</v>
      </c>
      <c r="K64" s="349">
        <f t="shared" si="4"/>
        <v>12.3</v>
      </c>
      <c r="L64" s="376">
        <v>12.3</v>
      </c>
      <c r="M64" s="349">
        <f t="shared" si="0"/>
        <v>0</v>
      </c>
      <c r="N64" s="271">
        <v>4.43</v>
      </c>
      <c r="O64" s="271">
        <v>132.9</v>
      </c>
      <c r="P64" s="271" t="s">
        <v>223</v>
      </c>
      <c r="R64" s="377">
        <v>132.99</v>
      </c>
      <c r="T64" s="330">
        <v>4.43</v>
      </c>
      <c r="V64" s="79">
        <f t="shared" si="1"/>
        <v>132.89999999999998</v>
      </c>
      <c r="X64" s="79">
        <f t="shared" si="2"/>
        <v>9.0000000000031832E-2</v>
      </c>
      <c r="Z64" s="330" t="s">
        <v>469</v>
      </c>
    </row>
    <row r="65" spans="1:26" s="330" customFormat="1" ht="14.45" customHeight="1">
      <c r="A65" s="261" t="s">
        <v>291</v>
      </c>
      <c r="B65" s="291" t="s">
        <v>398</v>
      </c>
      <c r="C65" s="346" t="s">
        <v>408</v>
      </c>
      <c r="D65" s="346" t="s">
        <v>286</v>
      </c>
      <c r="E65" s="269" t="s">
        <v>188</v>
      </c>
      <c r="F65" s="291" t="s">
        <v>224</v>
      </c>
      <c r="G65" s="347">
        <f>'Detailed PL'!I80</f>
        <v>30</v>
      </c>
      <c r="H65" s="348" t="s">
        <v>146</v>
      </c>
      <c r="I65" s="348" t="s">
        <v>236</v>
      </c>
      <c r="J65" s="349">
        <f>'Detailed PL'!P80</f>
        <v>9.9</v>
      </c>
      <c r="K65" s="349">
        <f t="shared" si="4"/>
        <v>12.3</v>
      </c>
      <c r="L65" s="376">
        <v>12.3</v>
      </c>
      <c r="M65" s="349">
        <f t="shared" si="0"/>
        <v>0</v>
      </c>
      <c r="N65" s="271">
        <v>4.43</v>
      </c>
      <c r="O65" s="271">
        <v>132.9</v>
      </c>
      <c r="P65" s="271" t="s">
        <v>223</v>
      </c>
      <c r="R65" s="377">
        <v>132.99</v>
      </c>
      <c r="T65" s="330">
        <v>4.43</v>
      </c>
      <c r="V65" s="79">
        <f t="shared" si="1"/>
        <v>132.89999999999998</v>
      </c>
      <c r="X65" s="79">
        <f t="shared" si="2"/>
        <v>9.0000000000031832E-2</v>
      </c>
      <c r="Z65" s="330" t="s">
        <v>469</v>
      </c>
    </row>
    <row r="66" spans="1:26" s="330" customFormat="1" ht="14.45" customHeight="1">
      <c r="A66" s="261" t="s">
        <v>293</v>
      </c>
      <c r="B66" s="291" t="s">
        <v>398</v>
      </c>
      <c r="C66" s="346" t="s">
        <v>408</v>
      </c>
      <c r="D66" s="346" t="s">
        <v>428</v>
      </c>
      <c r="E66" s="269" t="s">
        <v>188</v>
      </c>
      <c r="F66" s="291" t="s">
        <v>224</v>
      </c>
      <c r="G66" s="347">
        <f>'Detailed PL'!I81</f>
        <v>30</v>
      </c>
      <c r="H66" s="348" t="s">
        <v>146</v>
      </c>
      <c r="I66" s="348" t="s">
        <v>236</v>
      </c>
      <c r="J66" s="349">
        <f>'Detailed PL'!P81</f>
        <v>6.6</v>
      </c>
      <c r="K66" s="349">
        <f t="shared" si="4"/>
        <v>9</v>
      </c>
      <c r="L66" s="376">
        <v>9</v>
      </c>
      <c r="M66" s="349">
        <f t="shared" si="0"/>
        <v>0</v>
      </c>
      <c r="N66" s="271">
        <v>7.34</v>
      </c>
      <c r="O66" s="271">
        <v>220.2</v>
      </c>
      <c r="P66" s="271" t="s">
        <v>223</v>
      </c>
      <c r="R66" s="377">
        <v>220.21</v>
      </c>
      <c r="T66" s="330">
        <v>7.34</v>
      </c>
      <c r="V66" s="79">
        <f t="shared" si="1"/>
        <v>220.2</v>
      </c>
      <c r="X66" s="79">
        <f t="shared" si="2"/>
        <v>1.0000000000019327E-2</v>
      </c>
      <c r="Z66" s="330" t="s">
        <v>469</v>
      </c>
    </row>
    <row r="67" spans="1:26" s="330" customFormat="1" ht="14.45" customHeight="1">
      <c r="A67" s="261" t="s">
        <v>295</v>
      </c>
      <c r="B67" s="291" t="s">
        <v>398</v>
      </c>
      <c r="C67" s="346" t="s">
        <v>408</v>
      </c>
      <c r="D67" s="346" t="s">
        <v>279</v>
      </c>
      <c r="E67" s="269" t="s">
        <v>188</v>
      </c>
      <c r="F67" s="291" t="s">
        <v>224</v>
      </c>
      <c r="G67" s="347">
        <f>'Detailed PL'!I82</f>
        <v>30</v>
      </c>
      <c r="H67" s="348" t="s">
        <v>146</v>
      </c>
      <c r="I67" s="348" t="s">
        <v>236</v>
      </c>
      <c r="J67" s="349">
        <f>'Detailed PL'!P82</f>
        <v>5.7</v>
      </c>
      <c r="K67" s="349">
        <f t="shared" si="4"/>
        <v>8.1</v>
      </c>
      <c r="L67" s="376">
        <v>8.1</v>
      </c>
      <c r="M67" s="349">
        <f t="shared" si="0"/>
        <v>0</v>
      </c>
      <c r="N67" s="271">
        <v>4.87</v>
      </c>
      <c r="O67" s="271">
        <v>146.1</v>
      </c>
      <c r="P67" s="271" t="s">
        <v>223</v>
      </c>
      <c r="R67" s="377">
        <v>145.99</v>
      </c>
      <c r="T67" s="330">
        <v>4.87</v>
      </c>
      <c r="V67" s="79">
        <f>T67*G67</f>
        <v>146.1</v>
      </c>
      <c r="X67" s="79">
        <f t="shared" si="2"/>
        <v>-0.10999999999998522</v>
      </c>
      <c r="Z67" s="330" t="s">
        <v>469</v>
      </c>
    </row>
    <row r="68" spans="1:26" s="330" customFormat="1" ht="14.45" customHeight="1">
      <c r="A68" s="261" t="s">
        <v>296</v>
      </c>
      <c r="B68" s="291" t="s">
        <v>398</v>
      </c>
      <c r="C68" s="346" t="s">
        <v>408</v>
      </c>
      <c r="D68" s="346" t="s">
        <v>429</v>
      </c>
      <c r="E68" s="269" t="s">
        <v>188</v>
      </c>
      <c r="F68" s="291" t="s">
        <v>224</v>
      </c>
      <c r="G68" s="347">
        <f>'Detailed PL'!I83</f>
        <v>30</v>
      </c>
      <c r="H68" s="348" t="s">
        <v>146</v>
      </c>
      <c r="I68" s="348" t="s">
        <v>236</v>
      </c>
      <c r="J68" s="349">
        <f>'Detailed PL'!P83</f>
        <v>6.6</v>
      </c>
      <c r="K68" s="349">
        <f t="shared" si="4"/>
        <v>9</v>
      </c>
      <c r="L68" s="376">
        <v>9</v>
      </c>
      <c r="M68" s="349">
        <f t="shared" si="0"/>
        <v>0</v>
      </c>
      <c r="N68" s="271">
        <v>7.34</v>
      </c>
      <c r="O68" s="271">
        <v>220.2</v>
      </c>
      <c r="P68" s="271" t="s">
        <v>223</v>
      </c>
      <c r="R68" s="377">
        <v>220.21</v>
      </c>
      <c r="T68" s="330">
        <v>7.34</v>
      </c>
      <c r="V68" s="79">
        <f t="shared" si="1"/>
        <v>220.2</v>
      </c>
      <c r="X68" s="79">
        <f t="shared" si="2"/>
        <v>1.0000000000019327E-2</v>
      </c>
      <c r="Z68" s="330" t="s">
        <v>469</v>
      </c>
    </row>
    <row r="69" spans="1:26" s="330" customFormat="1" ht="14.45" customHeight="1">
      <c r="A69" s="261" t="s">
        <v>297</v>
      </c>
      <c r="B69" s="291" t="s">
        <v>398</v>
      </c>
      <c r="C69" s="346" t="s">
        <v>409</v>
      </c>
      <c r="D69" s="346" t="s">
        <v>151</v>
      </c>
      <c r="E69" s="269" t="s">
        <v>188</v>
      </c>
      <c r="F69" s="291" t="s">
        <v>224</v>
      </c>
      <c r="G69" s="347">
        <f>'Detailed PL'!I84</f>
        <v>800</v>
      </c>
      <c r="H69" s="348" t="s">
        <v>146</v>
      </c>
      <c r="I69" s="348" t="s">
        <v>236</v>
      </c>
      <c r="J69" s="349">
        <f>'Detailed PL'!P84</f>
        <v>16</v>
      </c>
      <c r="K69" s="349">
        <f t="shared" si="4"/>
        <v>80</v>
      </c>
      <c r="L69" s="376">
        <v>77.53</v>
      </c>
      <c r="M69" s="349">
        <f t="shared" si="0"/>
        <v>2.4699999999999989</v>
      </c>
      <c r="N69" s="271">
        <v>0.66</v>
      </c>
      <c r="O69" s="271">
        <v>528</v>
      </c>
      <c r="P69" s="271" t="s">
        <v>223</v>
      </c>
      <c r="R69" s="377">
        <v>527.27</v>
      </c>
      <c r="T69" s="330">
        <v>0.66</v>
      </c>
      <c r="V69" s="79">
        <f t="shared" si="1"/>
        <v>528</v>
      </c>
      <c r="X69" s="79">
        <f t="shared" si="2"/>
        <v>-0.73000000000001819</v>
      </c>
      <c r="Z69" s="330" t="s">
        <v>473</v>
      </c>
    </row>
    <row r="70" spans="1:26" s="330" customFormat="1" ht="14.45" customHeight="1">
      <c r="A70" s="261" t="s">
        <v>298</v>
      </c>
      <c r="B70" s="291" t="s">
        <v>398</v>
      </c>
      <c r="C70" s="346" t="s">
        <v>409</v>
      </c>
      <c r="D70" s="346" t="s">
        <v>152</v>
      </c>
      <c r="E70" s="269" t="s">
        <v>188</v>
      </c>
      <c r="F70" s="291" t="s">
        <v>224</v>
      </c>
      <c r="G70" s="347">
        <f>'Detailed PL'!I85</f>
        <v>200</v>
      </c>
      <c r="H70" s="348" t="s">
        <v>146</v>
      </c>
      <c r="I70" s="348" t="s">
        <v>236</v>
      </c>
      <c r="J70" s="349">
        <f>'Detailed PL'!P85</f>
        <v>4</v>
      </c>
      <c r="K70" s="349">
        <f t="shared" si="4"/>
        <v>20</v>
      </c>
      <c r="L70" s="376">
        <v>17.53</v>
      </c>
      <c r="M70" s="349">
        <f t="shared" si="0"/>
        <v>2.4699999999999989</v>
      </c>
      <c r="N70" s="271">
        <v>0.77</v>
      </c>
      <c r="O70" s="271">
        <v>154</v>
      </c>
      <c r="P70" s="271" t="s">
        <v>223</v>
      </c>
      <c r="R70" s="377">
        <v>153.47999999999999</v>
      </c>
      <c r="T70" s="330">
        <v>0.77</v>
      </c>
      <c r="V70" s="79">
        <f t="shared" si="1"/>
        <v>154</v>
      </c>
      <c r="X70" s="79">
        <f t="shared" si="2"/>
        <v>-0.52000000000001023</v>
      </c>
      <c r="Z70" s="330" t="s">
        <v>473</v>
      </c>
    </row>
    <row r="71" spans="1:26" s="330" customFormat="1" ht="14.45" customHeight="1">
      <c r="A71" s="261" t="s">
        <v>299</v>
      </c>
      <c r="B71" s="291" t="s">
        <v>398</v>
      </c>
      <c r="C71" s="346" t="s">
        <v>409</v>
      </c>
      <c r="D71" s="346" t="s">
        <v>153</v>
      </c>
      <c r="E71" s="269" t="s">
        <v>188</v>
      </c>
      <c r="F71" s="291" t="s">
        <v>224</v>
      </c>
      <c r="G71" s="347">
        <f>'Detailed PL'!I86</f>
        <v>100</v>
      </c>
      <c r="H71" s="348" t="s">
        <v>146</v>
      </c>
      <c r="I71" s="348" t="s">
        <v>236</v>
      </c>
      <c r="J71" s="349">
        <f>'Detailed PL'!P86</f>
        <v>3</v>
      </c>
      <c r="K71" s="349">
        <f t="shared" si="4"/>
        <v>11</v>
      </c>
      <c r="L71" s="376">
        <v>8.5299999999999994</v>
      </c>
      <c r="M71" s="349">
        <f t="shared" si="0"/>
        <v>2.4700000000000006</v>
      </c>
      <c r="N71" s="271">
        <v>0.95</v>
      </c>
      <c r="O71" s="271">
        <v>95</v>
      </c>
      <c r="P71" s="271" t="s">
        <v>223</v>
      </c>
      <c r="R71" s="377">
        <v>94.8</v>
      </c>
      <c r="T71" s="330">
        <v>0.95</v>
      </c>
      <c r="V71" s="79">
        <f t="shared" si="1"/>
        <v>95</v>
      </c>
      <c r="X71" s="79">
        <f t="shared" si="2"/>
        <v>-0.20000000000000284</v>
      </c>
      <c r="Z71" s="330" t="s">
        <v>473</v>
      </c>
    </row>
    <row r="72" spans="1:26" s="330" customFormat="1" ht="14.45" customHeight="1">
      <c r="A72" s="261" t="s">
        <v>300</v>
      </c>
      <c r="B72" s="291" t="s">
        <v>398</v>
      </c>
      <c r="C72" s="346" t="s">
        <v>409</v>
      </c>
      <c r="D72" s="346" t="s">
        <v>154</v>
      </c>
      <c r="E72" s="269" t="s">
        <v>188</v>
      </c>
      <c r="F72" s="291" t="s">
        <v>224</v>
      </c>
      <c r="G72" s="347">
        <f>'Detailed PL'!I87</f>
        <v>50</v>
      </c>
      <c r="H72" s="348" t="s">
        <v>146</v>
      </c>
      <c r="I72" s="348" t="s">
        <v>236</v>
      </c>
      <c r="J72" s="349">
        <f>'Detailed PL'!P87</f>
        <v>2</v>
      </c>
      <c r="K72" s="349">
        <f t="shared" si="4"/>
        <v>6</v>
      </c>
      <c r="L72" s="376">
        <v>3.53</v>
      </c>
      <c r="M72" s="349">
        <f t="shared" si="0"/>
        <v>2.4700000000000002</v>
      </c>
      <c r="N72" s="271">
        <v>1.35</v>
      </c>
      <c r="O72" s="271">
        <v>67.5</v>
      </c>
      <c r="P72" s="271" t="s">
        <v>223</v>
      </c>
      <c r="R72" s="377">
        <v>67.709999999999994</v>
      </c>
      <c r="T72" s="330">
        <v>1.35</v>
      </c>
      <c r="V72" s="79">
        <f t="shared" si="1"/>
        <v>67.5</v>
      </c>
      <c r="X72" s="79">
        <f t="shared" si="2"/>
        <v>0.20999999999999375</v>
      </c>
      <c r="Z72" s="330" t="s">
        <v>473</v>
      </c>
    </row>
    <row r="73" spans="1:26" s="330" customFormat="1" ht="14.45" customHeight="1">
      <c r="A73" s="261" t="s">
        <v>420</v>
      </c>
      <c r="B73" s="291" t="s">
        <v>398</v>
      </c>
      <c r="C73" s="346" t="s">
        <v>409</v>
      </c>
      <c r="D73" s="346" t="s">
        <v>155</v>
      </c>
      <c r="E73" s="269" t="s">
        <v>188</v>
      </c>
      <c r="F73" s="291" t="s">
        <v>224</v>
      </c>
      <c r="G73" s="347">
        <f>'Detailed PL'!I88</f>
        <v>160</v>
      </c>
      <c r="H73" s="348" t="s">
        <v>146</v>
      </c>
      <c r="I73" s="348" t="s">
        <v>236</v>
      </c>
      <c r="J73" s="349">
        <f>'Detailed PL'!P88</f>
        <v>12.8</v>
      </c>
      <c r="K73" s="349">
        <f t="shared" si="4"/>
        <v>25.6</v>
      </c>
      <c r="L73" s="376">
        <v>23.130000000000003</v>
      </c>
      <c r="M73" s="349">
        <f t="shared" si="0"/>
        <v>2.4699999999999989</v>
      </c>
      <c r="N73" s="271">
        <v>2.95</v>
      </c>
      <c r="O73" s="271">
        <v>472</v>
      </c>
      <c r="P73" s="271" t="s">
        <v>223</v>
      </c>
      <c r="R73" s="377">
        <v>472.37</v>
      </c>
      <c r="T73" s="330">
        <v>2.95</v>
      </c>
      <c r="V73" s="79">
        <f t="shared" si="1"/>
        <v>472</v>
      </c>
      <c r="X73" s="79">
        <f t="shared" si="2"/>
        <v>0.37000000000000455</v>
      </c>
      <c r="Z73" s="330" t="s">
        <v>473</v>
      </c>
    </row>
    <row r="74" spans="1:26" s="330" customFormat="1" ht="14.45" customHeight="1">
      <c r="A74" s="261" t="s">
        <v>303</v>
      </c>
      <c r="B74" s="291" t="s">
        <v>398</v>
      </c>
      <c r="C74" s="346" t="s">
        <v>409</v>
      </c>
      <c r="D74" s="346" t="s">
        <v>156</v>
      </c>
      <c r="E74" s="269" t="s">
        <v>188</v>
      </c>
      <c r="F74" s="291" t="s">
        <v>224</v>
      </c>
      <c r="G74" s="347">
        <f>'Detailed PL'!I89</f>
        <v>100</v>
      </c>
      <c r="H74" s="348" t="s">
        <v>146</v>
      </c>
      <c r="I74" s="348" t="s">
        <v>236</v>
      </c>
      <c r="J74" s="349">
        <f>'Detailed PL'!P89</f>
        <v>12</v>
      </c>
      <c r="K74" s="349">
        <f t="shared" si="4"/>
        <v>20</v>
      </c>
      <c r="L74" s="376">
        <v>17.53</v>
      </c>
      <c r="M74" s="349">
        <f t="shared" ref="M74:M86" si="5">K74-L74</f>
        <v>2.4699999999999989</v>
      </c>
      <c r="N74" s="271">
        <v>4.03</v>
      </c>
      <c r="O74" s="271">
        <v>403</v>
      </c>
      <c r="P74" s="271" t="s">
        <v>223</v>
      </c>
      <c r="R74" s="377">
        <v>402.67</v>
      </c>
      <c r="T74" s="330">
        <v>4.03</v>
      </c>
      <c r="V74" s="79">
        <f t="shared" ref="V74:V90" si="6">T74*G74</f>
        <v>403</v>
      </c>
      <c r="X74" s="79">
        <f t="shared" ref="X74:X83" si="7">R74-V74</f>
        <v>-0.32999999999998408</v>
      </c>
      <c r="Z74" s="330" t="s">
        <v>473</v>
      </c>
    </row>
    <row r="75" spans="1:26" s="330" customFormat="1" ht="14.45" customHeight="1">
      <c r="A75" s="261" t="s">
        <v>304</v>
      </c>
      <c r="B75" s="291" t="s">
        <v>398</v>
      </c>
      <c r="C75" s="346" t="s">
        <v>409</v>
      </c>
      <c r="D75" s="346" t="s">
        <v>150</v>
      </c>
      <c r="E75" s="269" t="s">
        <v>188</v>
      </c>
      <c r="F75" s="291" t="s">
        <v>224</v>
      </c>
      <c r="G75" s="347">
        <f>'Detailed PL'!I90</f>
        <v>120</v>
      </c>
      <c r="H75" s="348" t="s">
        <v>146</v>
      </c>
      <c r="I75" s="348" t="s">
        <v>236</v>
      </c>
      <c r="J75" s="349">
        <f>'Detailed PL'!P90</f>
        <v>96</v>
      </c>
      <c r="K75" s="349">
        <f t="shared" si="4"/>
        <v>105.6</v>
      </c>
      <c r="L75" s="376">
        <v>105.62</v>
      </c>
      <c r="M75" s="349">
        <f t="shared" si="5"/>
        <v>-2.0000000000010232E-2</v>
      </c>
      <c r="N75" s="271">
        <v>14.42</v>
      </c>
      <c r="O75" s="271">
        <v>1730.4</v>
      </c>
      <c r="P75" s="271" t="s">
        <v>223</v>
      </c>
      <c r="R75" s="377">
        <v>1730.22</v>
      </c>
      <c r="T75" s="330">
        <v>14.42</v>
      </c>
      <c r="V75" s="79">
        <f t="shared" si="6"/>
        <v>1730.4</v>
      </c>
      <c r="X75" s="79">
        <f t="shared" si="7"/>
        <v>-0.18000000000006366</v>
      </c>
      <c r="Z75" s="330" t="s">
        <v>473</v>
      </c>
    </row>
    <row r="76" spans="1:26" s="330" customFormat="1" ht="14.45" customHeight="1">
      <c r="A76" s="261" t="s">
        <v>305</v>
      </c>
      <c r="B76" s="291" t="s">
        <v>398</v>
      </c>
      <c r="C76" s="346" t="s">
        <v>301</v>
      </c>
      <c r="D76" s="346" t="s">
        <v>152</v>
      </c>
      <c r="E76" s="269" t="s">
        <v>188</v>
      </c>
      <c r="F76" s="291" t="s">
        <v>224</v>
      </c>
      <c r="G76" s="347">
        <f>'Detailed PL'!I91</f>
        <v>330</v>
      </c>
      <c r="H76" s="348" t="s">
        <v>402</v>
      </c>
      <c r="I76" s="348" t="s">
        <v>236</v>
      </c>
      <c r="J76" s="349">
        <f>'Detailed PL'!P91</f>
        <v>320.09999999999997</v>
      </c>
      <c r="K76" s="349">
        <f t="shared" si="4"/>
        <v>346.49999999999994</v>
      </c>
      <c r="L76" s="376">
        <v>346.5</v>
      </c>
      <c r="M76" s="349">
        <f t="shared" si="5"/>
        <v>0</v>
      </c>
      <c r="N76" s="271">
        <v>15.32</v>
      </c>
      <c r="O76" s="271">
        <v>5055.6000000000004</v>
      </c>
      <c r="P76" s="271" t="s">
        <v>223</v>
      </c>
      <c r="R76" s="377">
        <v>5056.0600000000004</v>
      </c>
      <c r="T76" s="330">
        <v>15.32</v>
      </c>
      <c r="V76" s="79">
        <f t="shared" si="6"/>
        <v>5055.6000000000004</v>
      </c>
      <c r="X76" s="79">
        <f t="shared" si="7"/>
        <v>0.46000000000003638</v>
      </c>
      <c r="Z76" s="330" t="s">
        <v>474</v>
      </c>
    </row>
    <row r="77" spans="1:26" s="330" customFormat="1" ht="14.45" customHeight="1">
      <c r="A77" s="261" t="s">
        <v>306</v>
      </c>
      <c r="B77" s="291" t="s">
        <v>399</v>
      </c>
      <c r="C77" s="346" t="s">
        <v>301</v>
      </c>
      <c r="D77" s="346" t="s">
        <v>151</v>
      </c>
      <c r="E77" s="269" t="s">
        <v>188</v>
      </c>
      <c r="F77" s="291" t="s">
        <v>224</v>
      </c>
      <c r="G77" s="347">
        <f>'Detailed PL'!I93</f>
        <v>1000</v>
      </c>
      <c r="H77" s="348" t="s">
        <v>402</v>
      </c>
      <c r="I77" s="348" t="s">
        <v>236</v>
      </c>
      <c r="J77" s="349">
        <f>'Detailed PL'!P93</f>
        <v>700</v>
      </c>
      <c r="K77" s="349">
        <f>J77+(0.23*G77)</f>
        <v>930</v>
      </c>
      <c r="L77" s="376">
        <v>928.80000000000007</v>
      </c>
      <c r="M77" s="349">
        <f t="shared" si="5"/>
        <v>1.1999999999999318</v>
      </c>
      <c r="N77" s="271">
        <v>1.58</v>
      </c>
      <c r="O77" s="271">
        <v>1580</v>
      </c>
      <c r="P77" s="271" t="s">
        <v>223</v>
      </c>
      <c r="R77" s="377">
        <v>1579.99</v>
      </c>
      <c r="T77" s="330">
        <v>1.58</v>
      </c>
      <c r="V77" s="79">
        <f t="shared" si="6"/>
        <v>1580</v>
      </c>
      <c r="X77" s="79">
        <f t="shared" si="7"/>
        <v>-9.9999999999909051E-3</v>
      </c>
      <c r="Z77" s="330" t="s">
        <v>474</v>
      </c>
    </row>
    <row r="78" spans="1:26" s="330" customFormat="1" ht="14.45" customHeight="1">
      <c r="A78" s="261" t="s">
        <v>307</v>
      </c>
      <c r="B78" s="291" t="s">
        <v>399</v>
      </c>
      <c r="C78" s="346" t="s">
        <v>301</v>
      </c>
      <c r="D78" s="346" t="s">
        <v>155</v>
      </c>
      <c r="E78" s="269" t="s">
        <v>188</v>
      </c>
      <c r="F78" s="291" t="s">
        <v>224</v>
      </c>
      <c r="G78" s="347">
        <f>'Detailed PL'!I94</f>
        <v>200</v>
      </c>
      <c r="H78" s="348" t="s">
        <v>402</v>
      </c>
      <c r="I78" s="348" t="s">
        <v>236</v>
      </c>
      <c r="J78" s="349">
        <f>'Detailed PL'!P94</f>
        <v>600</v>
      </c>
      <c r="K78" s="349">
        <f t="shared" ref="K78:K79" si="8">J78+(0.23*G78)</f>
        <v>646</v>
      </c>
      <c r="L78" s="376">
        <v>644.80000000000007</v>
      </c>
      <c r="M78" s="349">
        <f t="shared" si="5"/>
        <v>1.1999999999999318</v>
      </c>
      <c r="N78" s="271">
        <v>9.07</v>
      </c>
      <c r="O78" s="271">
        <v>1814</v>
      </c>
      <c r="P78" s="271" t="s">
        <v>223</v>
      </c>
      <c r="R78" s="377">
        <v>1811.12</v>
      </c>
      <c r="T78" s="330">
        <v>9.07</v>
      </c>
      <c r="V78" s="79">
        <f t="shared" si="6"/>
        <v>1814</v>
      </c>
      <c r="X78" s="79">
        <f t="shared" si="7"/>
        <v>-2.8800000000001091</v>
      </c>
      <c r="Z78" s="330" t="s">
        <v>474</v>
      </c>
    </row>
    <row r="79" spans="1:26" s="330" customFormat="1" ht="14.45" customHeight="1">
      <c r="A79" s="261" t="s">
        <v>421</v>
      </c>
      <c r="B79" s="291" t="s">
        <v>399</v>
      </c>
      <c r="C79" s="346" t="s">
        <v>301</v>
      </c>
      <c r="D79" s="346" t="s">
        <v>156</v>
      </c>
      <c r="E79" s="269" t="s">
        <v>188</v>
      </c>
      <c r="F79" s="291" t="s">
        <v>224</v>
      </c>
      <c r="G79" s="347">
        <f>'Detailed PL'!I95</f>
        <v>120</v>
      </c>
      <c r="H79" s="348" t="s">
        <v>402</v>
      </c>
      <c r="I79" s="348" t="s">
        <v>236</v>
      </c>
      <c r="J79" s="349">
        <f>'Detailed PL'!P95</f>
        <v>540</v>
      </c>
      <c r="K79" s="349">
        <f t="shared" si="8"/>
        <v>567.6</v>
      </c>
      <c r="L79" s="376">
        <v>566.40000000000009</v>
      </c>
      <c r="M79" s="349">
        <f t="shared" si="5"/>
        <v>1.1999999999999318</v>
      </c>
      <c r="N79" s="271">
        <v>11.53</v>
      </c>
      <c r="O79" s="271">
        <v>1383.6</v>
      </c>
      <c r="P79" s="271" t="s">
        <v>223</v>
      </c>
      <c r="R79" s="377">
        <v>1383.53</v>
      </c>
      <c r="T79" s="330">
        <v>11.53</v>
      </c>
      <c r="V79" s="79">
        <f t="shared" si="6"/>
        <v>1383.6</v>
      </c>
      <c r="X79" s="79">
        <f t="shared" si="7"/>
        <v>-6.9999999999936335E-2</v>
      </c>
      <c r="Z79" s="330" t="s">
        <v>474</v>
      </c>
    </row>
    <row r="80" spans="1:26" s="330" customFormat="1" ht="14.45" customHeight="1">
      <c r="A80" s="261" t="s">
        <v>310</v>
      </c>
      <c r="B80" s="291" t="s">
        <v>400</v>
      </c>
      <c r="C80" s="346" t="s">
        <v>308</v>
      </c>
      <c r="D80" s="346" t="s">
        <v>309</v>
      </c>
      <c r="E80" s="269" t="s">
        <v>188</v>
      </c>
      <c r="F80" s="291" t="s">
        <v>224</v>
      </c>
      <c r="G80" s="347">
        <f>'Detailed PL'!I97</f>
        <v>5</v>
      </c>
      <c r="H80" s="348" t="s">
        <v>146</v>
      </c>
      <c r="I80" s="348" t="s">
        <v>236</v>
      </c>
      <c r="J80" s="349">
        <f>'Detailed PL'!P97</f>
        <v>6</v>
      </c>
      <c r="K80" s="349">
        <f>J80+(0.015*G80)</f>
        <v>6.0750000000000002</v>
      </c>
      <c r="L80" s="376">
        <v>6.07</v>
      </c>
      <c r="M80" s="349">
        <f t="shared" si="5"/>
        <v>4.9999999999998934E-3</v>
      </c>
      <c r="N80" s="271">
        <v>36.979999999999997</v>
      </c>
      <c r="O80" s="271">
        <v>184.9</v>
      </c>
      <c r="P80" s="271" t="s">
        <v>223</v>
      </c>
      <c r="R80" s="377">
        <v>184.9</v>
      </c>
      <c r="T80" s="330">
        <v>36.979999999999997</v>
      </c>
      <c r="V80" s="79">
        <f t="shared" si="6"/>
        <v>184.89999999999998</v>
      </c>
      <c r="X80" s="79">
        <f t="shared" si="7"/>
        <v>0</v>
      </c>
      <c r="Z80" s="330" t="s">
        <v>474</v>
      </c>
    </row>
    <row r="81" spans="1:26" s="330" customFormat="1" ht="14.45" customHeight="1">
      <c r="A81" s="261" t="s">
        <v>312</v>
      </c>
      <c r="B81" s="291" t="s">
        <v>400</v>
      </c>
      <c r="C81" s="346" t="s">
        <v>308</v>
      </c>
      <c r="D81" s="346" t="s">
        <v>311</v>
      </c>
      <c r="E81" s="269" t="s">
        <v>188</v>
      </c>
      <c r="F81" s="291" t="s">
        <v>224</v>
      </c>
      <c r="G81" s="347">
        <f>'Detailed PL'!I98</f>
        <v>5</v>
      </c>
      <c r="H81" s="348" t="s">
        <v>146</v>
      </c>
      <c r="I81" s="348" t="s">
        <v>236</v>
      </c>
      <c r="J81" s="349">
        <f>'Detailed PL'!P98</f>
        <v>10</v>
      </c>
      <c r="K81" s="349">
        <f t="shared" ref="K81:K119" si="9">J81+(0.015*G81)</f>
        <v>10.074999999999999</v>
      </c>
      <c r="L81" s="376">
        <v>10.07</v>
      </c>
      <c r="M81" s="349">
        <f t="shared" si="5"/>
        <v>4.9999999999990052E-3</v>
      </c>
      <c r="N81" s="271">
        <v>50.57</v>
      </c>
      <c r="O81" s="271">
        <v>252.85</v>
      </c>
      <c r="P81" s="271" t="s">
        <v>223</v>
      </c>
      <c r="R81" s="377">
        <v>252.84</v>
      </c>
      <c r="T81" s="330">
        <v>50.57</v>
      </c>
      <c r="V81" s="79">
        <f t="shared" si="6"/>
        <v>252.85</v>
      </c>
      <c r="X81" s="79">
        <f t="shared" si="7"/>
        <v>-9.9999999999909051E-3</v>
      </c>
      <c r="Z81" s="330" t="s">
        <v>474</v>
      </c>
    </row>
    <row r="82" spans="1:26" s="330" customFormat="1" ht="14.45" customHeight="1">
      <c r="A82" s="261" t="s">
        <v>314</v>
      </c>
      <c r="B82" s="291" t="s">
        <v>400</v>
      </c>
      <c r="C82" s="346" t="s">
        <v>308</v>
      </c>
      <c r="D82" s="346" t="s">
        <v>313</v>
      </c>
      <c r="E82" s="269" t="s">
        <v>188</v>
      </c>
      <c r="F82" s="291" t="s">
        <v>224</v>
      </c>
      <c r="G82" s="347">
        <f>'Detailed PL'!I99</f>
        <v>5</v>
      </c>
      <c r="H82" s="348" t="s">
        <v>146</v>
      </c>
      <c r="I82" s="348" t="s">
        <v>236</v>
      </c>
      <c r="J82" s="349">
        <f>'Detailed PL'!P99</f>
        <v>10</v>
      </c>
      <c r="K82" s="349">
        <f t="shared" si="9"/>
        <v>10.074999999999999</v>
      </c>
      <c r="L82" s="376">
        <v>10.07</v>
      </c>
      <c r="M82" s="349">
        <f t="shared" si="5"/>
        <v>4.9999999999990052E-3</v>
      </c>
      <c r="N82" s="271">
        <v>68.14</v>
      </c>
      <c r="O82" s="271">
        <v>340.7</v>
      </c>
      <c r="P82" s="271" t="s">
        <v>223</v>
      </c>
      <c r="R82" s="377">
        <v>340.69</v>
      </c>
      <c r="T82" s="330">
        <v>68.14</v>
      </c>
      <c r="V82" s="79">
        <f t="shared" si="6"/>
        <v>340.7</v>
      </c>
      <c r="X82" s="79">
        <f t="shared" si="7"/>
        <v>-9.9999999999909051E-3</v>
      </c>
      <c r="Z82" s="330" t="s">
        <v>474</v>
      </c>
    </row>
    <row r="83" spans="1:26" s="330" customFormat="1" ht="14.45" customHeight="1">
      <c r="A83" s="261" t="s">
        <v>316</v>
      </c>
      <c r="B83" s="291" t="s">
        <v>400</v>
      </c>
      <c r="C83" s="346" t="s">
        <v>308</v>
      </c>
      <c r="D83" s="346" t="s">
        <v>315</v>
      </c>
      <c r="E83" s="269" t="s">
        <v>188</v>
      </c>
      <c r="F83" s="291" t="s">
        <v>224</v>
      </c>
      <c r="G83" s="347">
        <f>'Detailed PL'!I100</f>
        <v>5</v>
      </c>
      <c r="H83" s="348" t="s">
        <v>146</v>
      </c>
      <c r="I83" s="348" t="s">
        <v>236</v>
      </c>
      <c r="J83" s="349">
        <f>'Detailed PL'!P100</f>
        <v>15</v>
      </c>
      <c r="K83" s="349">
        <f t="shared" si="9"/>
        <v>15.074999999999999</v>
      </c>
      <c r="L83" s="376">
        <v>15.07</v>
      </c>
      <c r="M83" s="349">
        <f t="shared" si="5"/>
        <v>4.9999999999990052E-3</v>
      </c>
      <c r="N83" s="271">
        <v>89.06</v>
      </c>
      <c r="O83" s="271">
        <v>445.3</v>
      </c>
      <c r="P83" s="271" t="s">
        <v>223</v>
      </c>
      <c r="R83" s="377">
        <v>445.29</v>
      </c>
      <c r="T83" s="330">
        <v>89.06</v>
      </c>
      <c r="V83" s="79">
        <f t="shared" si="6"/>
        <v>445.3</v>
      </c>
      <c r="X83" s="79">
        <f t="shared" si="7"/>
        <v>-9.9999999999909051E-3</v>
      </c>
      <c r="Z83" s="330" t="s">
        <v>474</v>
      </c>
    </row>
    <row r="84" spans="1:26" s="330" customFormat="1" ht="14.45" customHeight="1">
      <c r="A84" s="261" t="s">
        <v>318</v>
      </c>
      <c r="B84" s="291" t="s">
        <v>400</v>
      </c>
      <c r="C84" s="346" t="s">
        <v>308</v>
      </c>
      <c r="D84" s="346" t="s">
        <v>317</v>
      </c>
      <c r="E84" s="269" t="s">
        <v>188</v>
      </c>
      <c r="F84" s="291" t="s">
        <v>224</v>
      </c>
      <c r="G84" s="347">
        <f>'Detailed PL'!I101</f>
        <v>5</v>
      </c>
      <c r="H84" s="348" t="s">
        <v>146</v>
      </c>
      <c r="I84" s="348" t="s">
        <v>236</v>
      </c>
      <c r="J84" s="349">
        <f>'Detailed PL'!P101</f>
        <v>20</v>
      </c>
      <c r="K84" s="349">
        <f t="shared" si="9"/>
        <v>20.074999999999999</v>
      </c>
      <c r="L84" s="376">
        <v>20.07</v>
      </c>
      <c r="M84" s="349">
        <f t="shared" si="5"/>
        <v>4.9999999999990052E-3</v>
      </c>
      <c r="N84" s="271">
        <v>153.77000000000001</v>
      </c>
      <c r="O84" s="271">
        <v>768.85</v>
      </c>
      <c r="P84" s="271" t="s">
        <v>223</v>
      </c>
      <c r="R84" s="377">
        <v>768.87</v>
      </c>
      <c r="T84" s="330">
        <v>153.77000000000001</v>
      </c>
      <c r="V84" s="79">
        <f t="shared" si="6"/>
        <v>768.85</v>
      </c>
      <c r="X84" s="79">
        <f>R84-V84</f>
        <v>1.999999999998181E-2</v>
      </c>
      <c r="Z84" s="330" t="s">
        <v>474</v>
      </c>
    </row>
    <row r="85" spans="1:26" s="330" customFormat="1" ht="14.45" customHeight="1">
      <c r="A85" s="261" t="s">
        <v>320</v>
      </c>
      <c r="B85" s="291" t="s">
        <v>400</v>
      </c>
      <c r="C85" s="346" t="s">
        <v>319</v>
      </c>
      <c r="D85" s="346" t="s">
        <v>151</v>
      </c>
      <c r="E85" s="269" t="s">
        <v>188</v>
      </c>
      <c r="F85" s="291" t="s">
        <v>224</v>
      </c>
      <c r="G85" s="347">
        <f>'Detailed PL'!I102</f>
        <v>5</v>
      </c>
      <c r="H85" s="348" t="s">
        <v>146</v>
      </c>
      <c r="I85" s="348" t="s">
        <v>236</v>
      </c>
      <c r="J85" s="349">
        <f>'Detailed PL'!P102</f>
        <v>4</v>
      </c>
      <c r="K85" s="349">
        <f t="shared" si="9"/>
        <v>4.0750000000000002</v>
      </c>
      <c r="L85" s="376">
        <v>4.07</v>
      </c>
      <c r="M85" s="349">
        <f t="shared" si="5"/>
        <v>4.9999999999998934E-3</v>
      </c>
      <c r="N85" s="271">
        <v>16.690000000000001</v>
      </c>
      <c r="O85" s="271">
        <v>83.45</v>
      </c>
      <c r="P85" s="271" t="s">
        <v>223</v>
      </c>
      <c r="R85" s="377">
        <v>83.47</v>
      </c>
      <c r="T85" s="330">
        <v>16.690000000000001</v>
      </c>
      <c r="V85" s="79">
        <f t="shared" si="6"/>
        <v>83.45</v>
      </c>
      <c r="X85" s="79">
        <f t="shared" ref="X85:X110" si="10">R85-V85</f>
        <v>1.9999999999996021E-2</v>
      </c>
      <c r="Z85" s="330" t="s">
        <v>470</v>
      </c>
    </row>
    <row r="86" spans="1:26" s="330" customFormat="1" ht="14.45" customHeight="1">
      <c r="A86" s="261" t="s">
        <v>322</v>
      </c>
      <c r="B86" s="291" t="s">
        <v>400</v>
      </c>
      <c r="C86" s="346" t="s">
        <v>319</v>
      </c>
      <c r="D86" s="346" t="s">
        <v>321</v>
      </c>
      <c r="E86" s="269" t="s">
        <v>188</v>
      </c>
      <c r="F86" s="291" t="s">
        <v>224</v>
      </c>
      <c r="G86" s="347">
        <f>'Detailed PL'!I103</f>
        <v>5</v>
      </c>
      <c r="H86" s="348" t="s">
        <v>146</v>
      </c>
      <c r="I86" s="348" t="s">
        <v>236</v>
      </c>
      <c r="J86" s="349">
        <f>'Detailed PL'!P103</f>
        <v>6.5</v>
      </c>
      <c r="K86" s="349">
        <f t="shared" si="9"/>
        <v>6.5750000000000002</v>
      </c>
      <c r="L86" s="376">
        <v>6.57</v>
      </c>
      <c r="M86" s="349">
        <f t="shared" si="5"/>
        <v>4.9999999999998934E-3</v>
      </c>
      <c r="N86" s="271">
        <v>43.81</v>
      </c>
      <c r="O86" s="271">
        <v>219.05</v>
      </c>
      <c r="P86" s="271" t="s">
        <v>223</v>
      </c>
      <c r="R86" s="377">
        <v>219.03</v>
      </c>
      <c r="T86" s="330">
        <v>43.81</v>
      </c>
      <c r="V86" s="79">
        <f t="shared" si="6"/>
        <v>219.05</v>
      </c>
      <c r="X86" s="79">
        <f t="shared" si="10"/>
        <v>-2.0000000000010232E-2</v>
      </c>
      <c r="Z86" s="330" t="s">
        <v>470</v>
      </c>
    </row>
    <row r="87" spans="1:26" s="330" customFormat="1" ht="14.45" customHeight="1">
      <c r="A87" s="261" t="s">
        <v>323</v>
      </c>
      <c r="B87" s="291" t="s">
        <v>400</v>
      </c>
      <c r="C87" s="346" t="s">
        <v>319</v>
      </c>
      <c r="D87" s="346" t="s">
        <v>153</v>
      </c>
      <c r="E87" s="269" t="s">
        <v>188</v>
      </c>
      <c r="F87" s="291" t="s">
        <v>224</v>
      </c>
      <c r="G87" s="347">
        <f>'Detailed PL'!I104</f>
        <v>5</v>
      </c>
      <c r="H87" s="348" t="s">
        <v>146</v>
      </c>
      <c r="I87" s="348" t="s">
        <v>236</v>
      </c>
      <c r="J87" s="349">
        <f>'Detailed PL'!P104</f>
        <v>9</v>
      </c>
      <c r="K87" s="349">
        <f t="shared" si="9"/>
        <v>9.0749999999999993</v>
      </c>
      <c r="L87" s="376">
        <v>9.07</v>
      </c>
      <c r="M87" s="349">
        <f>K87-L87</f>
        <v>4.9999999999990052E-3</v>
      </c>
      <c r="N87" s="271">
        <v>41.09</v>
      </c>
      <c r="O87" s="271">
        <v>205.45</v>
      </c>
      <c r="P87" s="271" t="s">
        <v>223</v>
      </c>
      <c r="R87" s="377">
        <v>205.44</v>
      </c>
      <c r="T87" s="330">
        <v>41.09</v>
      </c>
      <c r="V87" s="79">
        <f t="shared" si="6"/>
        <v>205.45000000000002</v>
      </c>
      <c r="X87" s="79">
        <f t="shared" si="10"/>
        <v>-1.0000000000019327E-2</v>
      </c>
      <c r="Z87" s="330" t="s">
        <v>470</v>
      </c>
    </row>
    <row r="88" spans="1:26" s="330" customFormat="1" ht="14.45" customHeight="1">
      <c r="A88" s="261" t="s">
        <v>324</v>
      </c>
      <c r="B88" s="291" t="s">
        <v>400</v>
      </c>
      <c r="C88" s="346" t="s">
        <v>319</v>
      </c>
      <c r="D88" s="346" t="s">
        <v>154</v>
      </c>
      <c r="E88" s="269" t="s">
        <v>188</v>
      </c>
      <c r="F88" s="291" t="s">
        <v>224</v>
      </c>
      <c r="G88" s="347">
        <f>'Detailed PL'!I105</f>
        <v>5</v>
      </c>
      <c r="H88" s="348" t="s">
        <v>146</v>
      </c>
      <c r="I88" s="348" t="s">
        <v>236</v>
      </c>
      <c r="J88" s="349">
        <f>'Detailed PL'!P105</f>
        <v>14</v>
      </c>
      <c r="K88" s="349">
        <f t="shared" si="9"/>
        <v>14.074999999999999</v>
      </c>
      <c r="L88" s="376">
        <v>14.07</v>
      </c>
      <c r="M88" s="349">
        <f t="shared" ref="M88:M106" si="11">K88-L88</f>
        <v>4.9999999999990052E-3</v>
      </c>
      <c r="N88" s="271">
        <v>56.64</v>
      </c>
      <c r="O88" s="271">
        <v>283.2</v>
      </c>
      <c r="P88" s="271" t="s">
        <v>223</v>
      </c>
      <c r="R88" s="377">
        <v>283.18</v>
      </c>
      <c r="T88" s="330">
        <v>56.64</v>
      </c>
      <c r="V88" s="79">
        <f t="shared" si="6"/>
        <v>283.2</v>
      </c>
      <c r="X88" s="79">
        <f t="shared" si="10"/>
        <v>-1.999999999998181E-2</v>
      </c>
      <c r="Z88" s="330" t="s">
        <v>470</v>
      </c>
    </row>
    <row r="89" spans="1:26" s="330" customFormat="1" ht="14.45" customHeight="1">
      <c r="A89" s="261" t="s">
        <v>326</v>
      </c>
      <c r="B89" s="291" t="s">
        <v>400</v>
      </c>
      <c r="C89" s="346" t="s">
        <v>325</v>
      </c>
      <c r="D89" s="346" t="s">
        <v>151</v>
      </c>
      <c r="E89" s="269" t="s">
        <v>188</v>
      </c>
      <c r="F89" s="291" t="s">
        <v>224</v>
      </c>
      <c r="G89" s="347">
        <f>'Detailed PL'!I106</f>
        <v>5</v>
      </c>
      <c r="H89" s="348" t="s">
        <v>146</v>
      </c>
      <c r="I89" s="348" t="s">
        <v>236</v>
      </c>
      <c r="J89" s="349">
        <f>'Detailed PL'!P106</f>
        <v>4.5</v>
      </c>
      <c r="K89" s="349">
        <f t="shared" si="9"/>
        <v>4.5750000000000002</v>
      </c>
      <c r="L89" s="376">
        <v>4.57</v>
      </c>
      <c r="M89" s="349">
        <f t="shared" si="11"/>
        <v>4.9999999999998934E-3</v>
      </c>
      <c r="N89" s="271">
        <v>26.62</v>
      </c>
      <c r="O89" s="271">
        <v>133.1</v>
      </c>
      <c r="P89" s="271" t="s">
        <v>223</v>
      </c>
      <c r="R89" s="377">
        <v>133.08000000000001</v>
      </c>
      <c r="T89" s="330">
        <v>26.62</v>
      </c>
      <c r="V89" s="79">
        <f t="shared" si="6"/>
        <v>133.1</v>
      </c>
      <c r="X89" s="79">
        <f t="shared" si="10"/>
        <v>-1.999999999998181E-2</v>
      </c>
      <c r="Z89" s="330" t="s">
        <v>470</v>
      </c>
    </row>
    <row r="90" spans="1:26" s="330" customFormat="1" ht="14.45" customHeight="1">
      <c r="A90" s="261" t="s">
        <v>327</v>
      </c>
      <c r="B90" s="291" t="s">
        <v>400</v>
      </c>
      <c r="C90" s="346" t="s">
        <v>325</v>
      </c>
      <c r="D90" s="346" t="s">
        <v>321</v>
      </c>
      <c r="E90" s="269" t="s">
        <v>188</v>
      </c>
      <c r="F90" s="291" t="s">
        <v>224</v>
      </c>
      <c r="G90" s="347">
        <f>'Detailed PL'!I107</f>
        <v>5</v>
      </c>
      <c r="H90" s="348" t="s">
        <v>146</v>
      </c>
      <c r="I90" s="348" t="s">
        <v>236</v>
      </c>
      <c r="J90" s="349">
        <f>'Detailed PL'!P107</f>
        <v>6.5</v>
      </c>
      <c r="K90" s="349">
        <f t="shared" si="9"/>
        <v>6.5750000000000002</v>
      </c>
      <c r="L90" s="376">
        <v>6.57</v>
      </c>
      <c r="M90" s="349">
        <f t="shared" si="11"/>
        <v>4.9999999999998934E-3</v>
      </c>
      <c r="N90" s="271">
        <v>51.96</v>
      </c>
      <c r="O90" s="271">
        <v>259.8</v>
      </c>
      <c r="P90" s="271" t="s">
        <v>223</v>
      </c>
      <c r="R90" s="377">
        <v>259.8</v>
      </c>
      <c r="T90" s="330">
        <v>51.96</v>
      </c>
      <c r="V90" s="79">
        <f t="shared" si="6"/>
        <v>259.8</v>
      </c>
      <c r="X90" s="79">
        <f t="shared" si="10"/>
        <v>0</v>
      </c>
      <c r="Z90" s="330" t="s">
        <v>470</v>
      </c>
    </row>
    <row r="91" spans="1:26" s="330" customFormat="1" ht="14.45" customHeight="1">
      <c r="A91" s="261" t="s">
        <v>328</v>
      </c>
      <c r="B91" s="291" t="s">
        <v>400</v>
      </c>
      <c r="C91" s="346" t="s">
        <v>325</v>
      </c>
      <c r="D91" s="346" t="s">
        <v>153</v>
      </c>
      <c r="E91" s="269" t="s">
        <v>188</v>
      </c>
      <c r="F91" s="291" t="s">
        <v>224</v>
      </c>
      <c r="G91" s="347">
        <f>'Detailed PL'!I108</f>
        <v>5</v>
      </c>
      <c r="H91" s="348" t="s">
        <v>146</v>
      </c>
      <c r="I91" s="348" t="s">
        <v>236</v>
      </c>
      <c r="J91" s="349">
        <f>'Detailed PL'!P108</f>
        <v>9.75</v>
      </c>
      <c r="K91" s="349">
        <f t="shared" si="9"/>
        <v>9.8249999999999993</v>
      </c>
      <c r="L91" s="376">
        <v>9.82</v>
      </c>
      <c r="M91" s="349">
        <f t="shared" si="11"/>
        <v>4.9999999999990052E-3</v>
      </c>
      <c r="N91" s="271">
        <v>52.84</v>
      </c>
      <c r="O91" s="271">
        <v>264.2</v>
      </c>
      <c r="P91" s="271" t="s">
        <v>223</v>
      </c>
      <c r="R91" s="377">
        <v>264.22000000000003</v>
      </c>
      <c r="T91" s="330">
        <v>52.84</v>
      </c>
      <c r="V91" s="79">
        <f>T91*G91</f>
        <v>264.20000000000005</v>
      </c>
      <c r="X91" s="79">
        <f t="shared" si="10"/>
        <v>1.999999999998181E-2</v>
      </c>
      <c r="Z91" s="330" t="s">
        <v>470</v>
      </c>
    </row>
    <row r="92" spans="1:26" s="330" customFormat="1" ht="14.45" customHeight="1">
      <c r="A92" s="261" t="s">
        <v>329</v>
      </c>
      <c r="B92" s="291" t="s">
        <v>400</v>
      </c>
      <c r="C92" s="346" t="s">
        <v>325</v>
      </c>
      <c r="D92" s="346" t="s">
        <v>154</v>
      </c>
      <c r="E92" s="269" t="s">
        <v>188</v>
      </c>
      <c r="F92" s="291" t="s">
        <v>224</v>
      </c>
      <c r="G92" s="347">
        <f>'Detailed PL'!I109</f>
        <v>5</v>
      </c>
      <c r="H92" s="348" t="s">
        <v>146</v>
      </c>
      <c r="I92" s="348" t="s">
        <v>236</v>
      </c>
      <c r="J92" s="349">
        <f>'Detailed PL'!P109</f>
        <v>13</v>
      </c>
      <c r="K92" s="349">
        <f t="shared" si="9"/>
        <v>13.074999999999999</v>
      </c>
      <c r="L92" s="376">
        <v>13.07</v>
      </c>
      <c r="M92" s="349">
        <f t="shared" si="11"/>
        <v>4.9999999999990052E-3</v>
      </c>
      <c r="N92" s="271">
        <v>54.17</v>
      </c>
      <c r="O92" s="271">
        <v>270.85000000000002</v>
      </c>
      <c r="P92" s="271" t="s">
        <v>223</v>
      </c>
      <c r="R92" s="377">
        <v>270.86</v>
      </c>
      <c r="T92" s="330">
        <v>54.17</v>
      </c>
      <c r="V92" s="79">
        <f t="shared" ref="V92:V123" si="12">T92*G92</f>
        <v>270.85000000000002</v>
      </c>
      <c r="X92" s="79">
        <f t="shared" si="10"/>
        <v>9.9999999999909051E-3</v>
      </c>
      <c r="Z92" s="330" t="s">
        <v>470</v>
      </c>
    </row>
    <row r="93" spans="1:26" s="330" customFormat="1" ht="14.45" customHeight="1">
      <c r="A93" s="261" t="s">
        <v>331</v>
      </c>
      <c r="B93" s="291" t="s">
        <v>400</v>
      </c>
      <c r="C93" s="346" t="s">
        <v>330</v>
      </c>
      <c r="D93" s="346" t="s">
        <v>151</v>
      </c>
      <c r="E93" s="269" t="s">
        <v>188</v>
      </c>
      <c r="F93" s="291" t="s">
        <v>224</v>
      </c>
      <c r="G93" s="347">
        <f>'Detailed PL'!I110</f>
        <v>2100</v>
      </c>
      <c r="H93" s="348" t="s">
        <v>449</v>
      </c>
      <c r="I93" s="348" t="s">
        <v>236</v>
      </c>
      <c r="J93" s="349">
        <f>'Detailed PL'!P110</f>
        <v>149.1</v>
      </c>
      <c r="K93" s="349">
        <f t="shared" si="9"/>
        <v>180.6</v>
      </c>
      <c r="L93" s="376">
        <v>180.6</v>
      </c>
      <c r="M93" s="349">
        <f t="shared" si="11"/>
        <v>0</v>
      </c>
      <c r="N93" s="271">
        <v>0.71</v>
      </c>
      <c r="O93" s="271">
        <v>1491</v>
      </c>
      <c r="P93" s="271" t="s">
        <v>223</v>
      </c>
      <c r="R93" s="377">
        <v>1497.83</v>
      </c>
      <c r="T93" s="330">
        <v>0.71</v>
      </c>
      <c r="V93" s="79">
        <f t="shared" si="12"/>
        <v>1491</v>
      </c>
      <c r="X93" s="79">
        <f t="shared" si="10"/>
        <v>6.8299999999999272</v>
      </c>
      <c r="Z93" s="330" t="s">
        <v>475</v>
      </c>
    </row>
    <row r="94" spans="1:26" s="330" customFormat="1" ht="14.45" customHeight="1">
      <c r="A94" s="261" t="s">
        <v>332</v>
      </c>
      <c r="B94" s="291" t="s">
        <v>400</v>
      </c>
      <c r="C94" s="346" t="s">
        <v>330</v>
      </c>
      <c r="D94" s="346" t="s">
        <v>152</v>
      </c>
      <c r="E94" s="269" t="s">
        <v>188</v>
      </c>
      <c r="F94" s="291" t="s">
        <v>224</v>
      </c>
      <c r="G94" s="347">
        <f>'Detailed PL'!I111</f>
        <v>1000</v>
      </c>
      <c r="H94" s="348" t="s">
        <v>449</v>
      </c>
      <c r="I94" s="348" t="s">
        <v>236</v>
      </c>
      <c r="J94" s="349">
        <f>'Detailed PL'!P111</f>
        <v>91</v>
      </c>
      <c r="K94" s="349">
        <f t="shared" si="9"/>
        <v>106</v>
      </c>
      <c r="L94" s="376">
        <v>106</v>
      </c>
      <c r="M94" s="349">
        <f t="shared" si="11"/>
        <v>0</v>
      </c>
      <c r="N94" s="271">
        <v>0.73</v>
      </c>
      <c r="O94" s="271">
        <v>730</v>
      </c>
      <c r="P94" s="271" t="s">
        <v>223</v>
      </c>
      <c r="R94" s="377">
        <v>722.28</v>
      </c>
      <c r="T94" s="330">
        <v>0.73</v>
      </c>
      <c r="V94" s="79">
        <f t="shared" si="12"/>
        <v>730</v>
      </c>
      <c r="X94" s="79">
        <f t="shared" si="10"/>
        <v>-7.7200000000000273</v>
      </c>
      <c r="Z94" s="330" t="s">
        <v>475</v>
      </c>
    </row>
    <row r="95" spans="1:26" s="330" customFormat="1" ht="14.45" customHeight="1">
      <c r="A95" s="261" t="s">
        <v>333</v>
      </c>
      <c r="B95" s="291" t="s">
        <v>400</v>
      </c>
      <c r="C95" s="346" t="s">
        <v>330</v>
      </c>
      <c r="D95" s="346" t="s">
        <v>153</v>
      </c>
      <c r="E95" s="269" t="s">
        <v>188</v>
      </c>
      <c r="F95" s="291" t="s">
        <v>224</v>
      </c>
      <c r="G95" s="347">
        <f>'Detailed PL'!I112</f>
        <v>850</v>
      </c>
      <c r="H95" s="348" t="s">
        <v>449</v>
      </c>
      <c r="I95" s="348" t="s">
        <v>236</v>
      </c>
      <c r="J95" s="349">
        <f>'Detailed PL'!P112</f>
        <v>77.349999999999994</v>
      </c>
      <c r="K95" s="349">
        <f t="shared" si="9"/>
        <v>90.1</v>
      </c>
      <c r="L95" s="376">
        <v>90.1</v>
      </c>
      <c r="M95" s="349">
        <f t="shared" si="11"/>
        <v>0</v>
      </c>
      <c r="N95" s="271">
        <v>0.8</v>
      </c>
      <c r="O95" s="271">
        <v>680</v>
      </c>
      <c r="P95" s="271" t="s">
        <v>223</v>
      </c>
      <c r="R95" s="377">
        <v>667.66</v>
      </c>
      <c r="T95" s="330">
        <v>0.8</v>
      </c>
      <c r="V95" s="79">
        <f t="shared" si="12"/>
        <v>680</v>
      </c>
      <c r="X95" s="79">
        <f t="shared" si="10"/>
        <v>-12.340000000000032</v>
      </c>
      <c r="Z95" s="330" t="s">
        <v>475</v>
      </c>
    </row>
    <row r="96" spans="1:26" s="330" customFormat="1" ht="14.45" customHeight="1">
      <c r="A96" s="261" t="s">
        <v>334</v>
      </c>
      <c r="B96" s="291" t="s">
        <v>400</v>
      </c>
      <c r="C96" s="346" t="s">
        <v>330</v>
      </c>
      <c r="D96" s="346" t="s">
        <v>154</v>
      </c>
      <c r="E96" s="269" t="s">
        <v>188</v>
      </c>
      <c r="F96" s="291" t="s">
        <v>224</v>
      </c>
      <c r="G96" s="347">
        <f>'Detailed PL'!I113</f>
        <v>500</v>
      </c>
      <c r="H96" s="348" t="s">
        <v>449</v>
      </c>
      <c r="I96" s="348" t="s">
        <v>236</v>
      </c>
      <c r="J96" s="349">
        <f>'Detailed PL'!P113</f>
        <v>55.5</v>
      </c>
      <c r="K96" s="349">
        <f t="shared" si="9"/>
        <v>63</v>
      </c>
      <c r="L96" s="376">
        <v>63</v>
      </c>
      <c r="M96" s="349">
        <f t="shared" si="11"/>
        <v>0</v>
      </c>
      <c r="N96" s="271">
        <v>0.83</v>
      </c>
      <c r="O96" s="271">
        <v>415</v>
      </c>
      <c r="P96" s="271" t="s">
        <v>223</v>
      </c>
      <c r="R96" s="377">
        <v>415.31</v>
      </c>
      <c r="T96" s="330">
        <v>0.83</v>
      </c>
      <c r="V96" s="79">
        <f t="shared" si="12"/>
        <v>415</v>
      </c>
      <c r="X96" s="79">
        <f t="shared" si="10"/>
        <v>0.31000000000000227</v>
      </c>
      <c r="Z96" s="330" t="s">
        <v>475</v>
      </c>
    </row>
    <row r="97" spans="1:26" s="330" customFormat="1" ht="14.45" customHeight="1">
      <c r="A97" s="261" t="s">
        <v>335</v>
      </c>
      <c r="B97" s="291" t="s">
        <v>400</v>
      </c>
      <c r="C97" s="346" t="s">
        <v>330</v>
      </c>
      <c r="D97" s="346" t="s">
        <v>155</v>
      </c>
      <c r="E97" s="269" t="s">
        <v>188</v>
      </c>
      <c r="F97" s="291" t="s">
        <v>224</v>
      </c>
      <c r="G97" s="347">
        <f>'Detailed PL'!I114</f>
        <v>400</v>
      </c>
      <c r="H97" s="348" t="s">
        <v>449</v>
      </c>
      <c r="I97" s="348" t="s">
        <v>236</v>
      </c>
      <c r="J97" s="349">
        <f>'Detailed PL'!P114</f>
        <v>64.400000000000006</v>
      </c>
      <c r="K97" s="349">
        <f t="shared" si="9"/>
        <v>70.400000000000006</v>
      </c>
      <c r="L97" s="376">
        <v>70.400000000000006</v>
      </c>
      <c r="M97" s="349">
        <f t="shared" si="11"/>
        <v>0</v>
      </c>
      <c r="N97" s="271">
        <v>1.02</v>
      </c>
      <c r="O97" s="271">
        <v>408</v>
      </c>
      <c r="P97" s="271" t="s">
        <v>223</v>
      </c>
      <c r="R97" s="377">
        <v>408.09</v>
      </c>
      <c r="T97" s="330">
        <v>1.02</v>
      </c>
      <c r="V97" s="79">
        <f t="shared" si="12"/>
        <v>408</v>
      </c>
      <c r="X97" s="79">
        <f t="shared" si="10"/>
        <v>8.9999999999974989E-2</v>
      </c>
      <c r="Z97" s="330" t="s">
        <v>475</v>
      </c>
    </row>
    <row r="98" spans="1:26" s="330" customFormat="1" ht="14.45" customHeight="1">
      <c r="A98" s="261" t="s">
        <v>422</v>
      </c>
      <c r="B98" s="291" t="s">
        <v>400</v>
      </c>
      <c r="C98" s="346" t="s">
        <v>330</v>
      </c>
      <c r="D98" s="346" t="s">
        <v>156</v>
      </c>
      <c r="E98" s="269" t="s">
        <v>188</v>
      </c>
      <c r="F98" s="291" t="s">
        <v>224</v>
      </c>
      <c r="G98" s="347">
        <f>'Detailed PL'!I115</f>
        <v>400</v>
      </c>
      <c r="H98" s="348" t="s">
        <v>449</v>
      </c>
      <c r="I98" s="348" t="s">
        <v>236</v>
      </c>
      <c r="J98" s="349">
        <f>'Detailed PL'!P115</f>
        <v>84.399999999999991</v>
      </c>
      <c r="K98" s="349">
        <f t="shared" si="9"/>
        <v>90.399999999999991</v>
      </c>
      <c r="L98" s="376">
        <v>90.4</v>
      </c>
      <c r="M98" s="349">
        <f t="shared" si="11"/>
        <v>0</v>
      </c>
      <c r="N98" s="271">
        <v>1.1299999999999999</v>
      </c>
      <c r="O98" s="271">
        <v>452</v>
      </c>
      <c r="P98" s="271" t="s">
        <v>223</v>
      </c>
      <c r="R98" s="377">
        <v>451.43</v>
      </c>
      <c r="T98" s="330">
        <v>1.1299999999999999</v>
      </c>
      <c r="V98" s="79">
        <f t="shared" si="12"/>
        <v>451.99999999999994</v>
      </c>
      <c r="X98" s="79">
        <f t="shared" si="10"/>
        <v>-0.56999999999993634</v>
      </c>
      <c r="Z98" s="330" t="s">
        <v>475</v>
      </c>
    </row>
    <row r="99" spans="1:26" s="330" customFormat="1" ht="14.45" customHeight="1">
      <c r="A99" s="261" t="s">
        <v>336</v>
      </c>
      <c r="B99" s="291" t="s">
        <v>400</v>
      </c>
      <c r="C99" s="346" t="s">
        <v>410</v>
      </c>
      <c r="D99" s="346" t="s">
        <v>151</v>
      </c>
      <c r="E99" s="269" t="s">
        <v>188</v>
      </c>
      <c r="F99" s="291" t="s">
        <v>224</v>
      </c>
      <c r="G99" s="347">
        <f>'Detailed PL'!I116</f>
        <v>50</v>
      </c>
      <c r="H99" s="348" t="s">
        <v>146</v>
      </c>
      <c r="I99" s="348" t="s">
        <v>236</v>
      </c>
      <c r="J99" s="349">
        <f>'Detailed PL'!P116</f>
        <v>3</v>
      </c>
      <c r="K99" s="349">
        <f t="shared" si="9"/>
        <v>3.75</v>
      </c>
      <c r="L99" s="376">
        <v>3.75</v>
      </c>
      <c r="M99" s="349">
        <f t="shared" si="11"/>
        <v>0</v>
      </c>
      <c r="N99" s="271">
        <v>0.51</v>
      </c>
      <c r="O99" s="271">
        <v>25.5</v>
      </c>
      <c r="P99" s="271" t="s">
        <v>223</v>
      </c>
      <c r="R99" s="377">
        <v>25.73</v>
      </c>
      <c r="T99" s="330">
        <v>0.51</v>
      </c>
      <c r="V99" s="79">
        <f t="shared" si="12"/>
        <v>25.5</v>
      </c>
      <c r="X99" s="79">
        <f t="shared" si="10"/>
        <v>0.23000000000000043</v>
      </c>
      <c r="Z99" s="330" t="s">
        <v>475</v>
      </c>
    </row>
    <row r="100" spans="1:26" s="330" customFormat="1" ht="14.45" customHeight="1">
      <c r="A100" s="261" t="s">
        <v>338</v>
      </c>
      <c r="B100" s="291" t="s">
        <v>400</v>
      </c>
      <c r="C100" s="346" t="s">
        <v>410</v>
      </c>
      <c r="D100" s="346" t="s">
        <v>152</v>
      </c>
      <c r="E100" s="269" t="s">
        <v>188</v>
      </c>
      <c r="F100" s="291" t="s">
        <v>224</v>
      </c>
      <c r="G100" s="347">
        <f>'Detailed PL'!I117</f>
        <v>50</v>
      </c>
      <c r="H100" s="348" t="s">
        <v>146</v>
      </c>
      <c r="I100" s="348" t="s">
        <v>236</v>
      </c>
      <c r="J100" s="349">
        <f>'Detailed PL'!P117</f>
        <v>4</v>
      </c>
      <c r="K100" s="349">
        <f t="shared" si="9"/>
        <v>4.75</v>
      </c>
      <c r="L100" s="376">
        <v>4.75</v>
      </c>
      <c r="M100" s="349">
        <f t="shared" si="11"/>
        <v>0</v>
      </c>
      <c r="N100" s="271">
        <v>0.54</v>
      </c>
      <c r="O100" s="271">
        <v>27</v>
      </c>
      <c r="P100" s="271" t="s">
        <v>223</v>
      </c>
      <c r="R100" s="377">
        <v>27.09</v>
      </c>
      <c r="T100" s="330">
        <v>0.54</v>
      </c>
      <c r="V100" s="79">
        <f t="shared" si="12"/>
        <v>27</v>
      </c>
      <c r="X100" s="79">
        <f t="shared" si="10"/>
        <v>8.9999999999999858E-2</v>
      </c>
      <c r="Z100" s="330" t="s">
        <v>475</v>
      </c>
    </row>
    <row r="101" spans="1:26" s="330" customFormat="1" ht="14.45" customHeight="1">
      <c r="A101" s="261" t="s">
        <v>339</v>
      </c>
      <c r="B101" s="291" t="s">
        <v>400</v>
      </c>
      <c r="C101" s="346" t="s">
        <v>410</v>
      </c>
      <c r="D101" s="346" t="s">
        <v>153</v>
      </c>
      <c r="E101" s="269" t="s">
        <v>188</v>
      </c>
      <c r="F101" s="291" t="s">
        <v>224</v>
      </c>
      <c r="G101" s="347">
        <f>'Detailed PL'!I118</f>
        <v>50</v>
      </c>
      <c r="H101" s="348" t="s">
        <v>146</v>
      </c>
      <c r="I101" s="348" t="s">
        <v>236</v>
      </c>
      <c r="J101" s="349">
        <f>'Detailed PL'!P118</f>
        <v>4</v>
      </c>
      <c r="K101" s="349">
        <f t="shared" si="9"/>
        <v>4.75</v>
      </c>
      <c r="L101" s="376">
        <v>4.75</v>
      </c>
      <c r="M101" s="349">
        <f t="shared" si="11"/>
        <v>0</v>
      </c>
      <c r="N101" s="271">
        <v>0.56999999999999995</v>
      </c>
      <c r="O101" s="271">
        <v>28.5</v>
      </c>
      <c r="P101" s="271" t="s">
        <v>223</v>
      </c>
      <c r="R101" s="377">
        <v>28.44</v>
      </c>
      <c r="T101" s="330">
        <v>0.56999999999999995</v>
      </c>
      <c r="V101" s="79">
        <f t="shared" si="12"/>
        <v>28.499999999999996</v>
      </c>
      <c r="X101" s="79">
        <f t="shared" si="10"/>
        <v>-5.9999999999995168E-2</v>
      </c>
      <c r="Z101" s="330" t="s">
        <v>475</v>
      </c>
    </row>
    <row r="102" spans="1:26" s="330" customFormat="1" ht="14.45" customHeight="1">
      <c r="A102" s="261" t="s">
        <v>340</v>
      </c>
      <c r="B102" s="291" t="s">
        <v>400</v>
      </c>
      <c r="C102" s="346" t="s">
        <v>410</v>
      </c>
      <c r="D102" s="346" t="s">
        <v>154</v>
      </c>
      <c r="E102" s="269" t="s">
        <v>188</v>
      </c>
      <c r="F102" s="291" t="s">
        <v>224</v>
      </c>
      <c r="G102" s="347">
        <f>'Detailed PL'!I119</f>
        <v>50</v>
      </c>
      <c r="H102" s="348" t="s">
        <v>146</v>
      </c>
      <c r="I102" s="348" t="s">
        <v>236</v>
      </c>
      <c r="J102" s="349">
        <f>'Detailed PL'!P119</f>
        <v>5</v>
      </c>
      <c r="K102" s="349">
        <f t="shared" si="9"/>
        <v>5.75</v>
      </c>
      <c r="L102" s="376">
        <v>5.75</v>
      </c>
      <c r="M102" s="349">
        <f t="shared" si="11"/>
        <v>0</v>
      </c>
      <c r="N102" s="271">
        <v>0.63</v>
      </c>
      <c r="O102" s="271">
        <v>31.5</v>
      </c>
      <c r="P102" s="271" t="s">
        <v>223</v>
      </c>
      <c r="R102" s="377">
        <v>31.6</v>
      </c>
      <c r="T102" s="330">
        <v>0.63</v>
      </c>
      <c r="V102" s="79">
        <f t="shared" si="12"/>
        <v>31.5</v>
      </c>
      <c r="X102" s="79">
        <f t="shared" si="10"/>
        <v>0.10000000000000142</v>
      </c>
      <c r="Z102" s="330" t="s">
        <v>475</v>
      </c>
    </row>
    <row r="103" spans="1:26" s="330" customFormat="1" ht="14.45" customHeight="1">
      <c r="A103" s="261" t="s">
        <v>341</v>
      </c>
      <c r="B103" s="291" t="s">
        <v>400</v>
      </c>
      <c r="C103" s="346" t="s">
        <v>411</v>
      </c>
      <c r="D103" s="346" t="s">
        <v>151</v>
      </c>
      <c r="E103" s="269" t="s">
        <v>188</v>
      </c>
      <c r="F103" s="291" t="s">
        <v>224</v>
      </c>
      <c r="G103" s="347">
        <f>'Detailed PL'!I120</f>
        <v>500</v>
      </c>
      <c r="H103" s="348" t="s">
        <v>146</v>
      </c>
      <c r="I103" s="348" t="s">
        <v>236</v>
      </c>
      <c r="J103" s="349">
        <f>'Detailed PL'!P120</f>
        <v>15</v>
      </c>
      <c r="K103" s="349">
        <f t="shared" si="9"/>
        <v>22.5</v>
      </c>
      <c r="L103" s="376">
        <v>22.5</v>
      </c>
      <c r="M103" s="349">
        <f t="shared" si="11"/>
        <v>0</v>
      </c>
      <c r="N103" s="271">
        <v>0.74</v>
      </c>
      <c r="O103" s="271">
        <v>370</v>
      </c>
      <c r="P103" s="271" t="s">
        <v>223</v>
      </c>
      <c r="R103" s="377">
        <v>361.14</v>
      </c>
      <c r="T103" s="330">
        <v>0.74</v>
      </c>
      <c r="V103" s="79">
        <f t="shared" si="12"/>
        <v>370</v>
      </c>
      <c r="X103" s="79">
        <f t="shared" si="10"/>
        <v>-8.8600000000000136</v>
      </c>
      <c r="Z103" s="330" t="s">
        <v>476</v>
      </c>
    </row>
    <row r="104" spans="1:26" s="330" customFormat="1" ht="14.45" customHeight="1">
      <c r="A104" s="261" t="s">
        <v>343</v>
      </c>
      <c r="B104" s="291" t="s">
        <v>400</v>
      </c>
      <c r="C104" s="346" t="s">
        <v>411</v>
      </c>
      <c r="D104" s="346" t="s">
        <v>152</v>
      </c>
      <c r="E104" s="269" t="s">
        <v>188</v>
      </c>
      <c r="F104" s="291" t="s">
        <v>224</v>
      </c>
      <c r="G104" s="347">
        <f>'Detailed PL'!I121</f>
        <v>150</v>
      </c>
      <c r="H104" s="348" t="s">
        <v>146</v>
      </c>
      <c r="I104" s="348" t="s">
        <v>236</v>
      </c>
      <c r="J104" s="349">
        <f>'Detailed PL'!P121</f>
        <v>6</v>
      </c>
      <c r="K104" s="349">
        <f t="shared" si="9"/>
        <v>8.25</v>
      </c>
      <c r="L104" s="376">
        <v>8.25</v>
      </c>
      <c r="M104" s="349">
        <f t="shared" si="11"/>
        <v>0</v>
      </c>
      <c r="N104" s="271">
        <v>0.9</v>
      </c>
      <c r="O104" s="271">
        <v>135</v>
      </c>
      <c r="P104" s="271" t="s">
        <v>223</v>
      </c>
      <c r="R104" s="377">
        <v>135.43</v>
      </c>
      <c r="T104" s="330">
        <v>0.9</v>
      </c>
      <c r="V104" s="79">
        <f t="shared" si="12"/>
        <v>135</v>
      </c>
      <c r="X104" s="79">
        <f t="shared" si="10"/>
        <v>0.43000000000000682</v>
      </c>
      <c r="Z104" s="330" t="s">
        <v>476</v>
      </c>
    </row>
    <row r="105" spans="1:26" s="330" customFormat="1" ht="14.45" customHeight="1">
      <c r="A105" s="261" t="s">
        <v>344</v>
      </c>
      <c r="B105" s="291" t="s">
        <v>400</v>
      </c>
      <c r="C105" s="346" t="s">
        <v>411</v>
      </c>
      <c r="D105" s="346" t="s">
        <v>153</v>
      </c>
      <c r="E105" s="269" t="s">
        <v>188</v>
      </c>
      <c r="F105" s="291" t="s">
        <v>224</v>
      </c>
      <c r="G105" s="347">
        <f>'Detailed PL'!I122</f>
        <v>50</v>
      </c>
      <c r="H105" s="348" t="s">
        <v>146</v>
      </c>
      <c r="I105" s="348" t="s">
        <v>236</v>
      </c>
      <c r="J105" s="349">
        <f>'Detailed PL'!P122</f>
        <v>2.5</v>
      </c>
      <c r="K105" s="349">
        <f t="shared" si="9"/>
        <v>3.25</v>
      </c>
      <c r="L105" s="376">
        <v>3.25</v>
      </c>
      <c r="M105" s="349">
        <f t="shared" si="11"/>
        <v>0</v>
      </c>
      <c r="N105" s="271">
        <v>1.07</v>
      </c>
      <c r="O105" s="271">
        <v>53.5</v>
      </c>
      <c r="P105" s="271" t="s">
        <v>223</v>
      </c>
      <c r="R105" s="377">
        <v>52.82</v>
      </c>
      <c r="T105" s="330">
        <v>1.07</v>
      </c>
      <c r="V105" s="79">
        <f t="shared" si="12"/>
        <v>53.5</v>
      </c>
      <c r="X105" s="79">
        <f t="shared" si="10"/>
        <v>-0.67999999999999972</v>
      </c>
      <c r="Z105" s="330" t="s">
        <v>476</v>
      </c>
    </row>
    <row r="106" spans="1:26" s="330" customFormat="1" ht="14.45" customHeight="1">
      <c r="A106" s="261" t="s">
        <v>345</v>
      </c>
      <c r="B106" s="291" t="s">
        <v>400</v>
      </c>
      <c r="C106" s="346" t="s">
        <v>411</v>
      </c>
      <c r="D106" s="346" t="s">
        <v>154</v>
      </c>
      <c r="E106" s="269" t="s">
        <v>188</v>
      </c>
      <c r="F106" s="291" t="s">
        <v>224</v>
      </c>
      <c r="G106" s="347">
        <f>'Detailed PL'!I123</f>
        <v>30</v>
      </c>
      <c r="H106" s="348" t="s">
        <v>146</v>
      </c>
      <c r="I106" s="348" t="s">
        <v>236</v>
      </c>
      <c r="J106" s="349">
        <f>'Detailed PL'!P123</f>
        <v>2.6999999999999997</v>
      </c>
      <c r="K106" s="349">
        <f t="shared" si="9"/>
        <v>3.1499999999999995</v>
      </c>
      <c r="L106" s="376">
        <v>3.15</v>
      </c>
      <c r="M106" s="349">
        <f t="shared" si="11"/>
        <v>0</v>
      </c>
      <c r="N106" s="271">
        <v>1.37</v>
      </c>
      <c r="O106" s="271">
        <v>41.1</v>
      </c>
      <c r="P106" s="271" t="s">
        <v>223</v>
      </c>
      <c r="R106" s="377">
        <v>41.17</v>
      </c>
      <c r="T106" s="330">
        <v>1.37</v>
      </c>
      <c r="V106" s="79">
        <f t="shared" si="12"/>
        <v>41.1</v>
      </c>
      <c r="X106" s="79">
        <f t="shared" si="10"/>
        <v>7.0000000000000284E-2</v>
      </c>
      <c r="Z106" s="330" t="s">
        <v>476</v>
      </c>
    </row>
    <row r="107" spans="1:26" s="330" customFormat="1" ht="14.45" customHeight="1">
      <c r="A107" s="261" t="s">
        <v>346</v>
      </c>
      <c r="B107" s="291" t="s">
        <v>400</v>
      </c>
      <c r="C107" s="346" t="s">
        <v>411</v>
      </c>
      <c r="D107" s="346" t="s">
        <v>155</v>
      </c>
      <c r="E107" s="269" t="s">
        <v>188</v>
      </c>
      <c r="F107" s="291" t="s">
        <v>224</v>
      </c>
      <c r="G107" s="347">
        <f>'Detailed PL'!I124</f>
        <v>80</v>
      </c>
      <c r="H107" s="348" t="s">
        <v>146</v>
      </c>
      <c r="I107" s="348" t="s">
        <v>236</v>
      </c>
      <c r="J107" s="349">
        <f>'Detailed PL'!P124</f>
        <v>16.8</v>
      </c>
      <c r="K107" s="349">
        <f t="shared" si="9"/>
        <v>18</v>
      </c>
      <c r="L107" s="376">
        <v>18</v>
      </c>
      <c r="M107" s="349">
        <f>K107-L107</f>
        <v>0</v>
      </c>
      <c r="N107" s="271">
        <v>4.13</v>
      </c>
      <c r="O107" s="271">
        <v>330.4</v>
      </c>
      <c r="P107" s="271" t="s">
        <v>223</v>
      </c>
      <c r="R107" s="377">
        <v>328.64</v>
      </c>
      <c r="T107" s="330">
        <v>4.13</v>
      </c>
      <c r="V107" s="79">
        <f t="shared" si="12"/>
        <v>330.4</v>
      </c>
      <c r="X107" s="79">
        <f t="shared" si="10"/>
        <v>-1.7599999999999909</v>
      </c>
      <c r="Z107" s="330" t="s">
        <v>476</v>
      </c>
    </row>
    <row r="108" spans="1:26" s="330" customFormat="1" ht="14.45" customHeight="1">
      <c r="A108" s="261" t="s">
        <v>347</v>
      </c>
      <c r="B108" s="291" t="s">
        <v>400</v>
      </c>
      <c r="C108" s="346" t="s">
        <v>411</v>
      </c>
      <c r="D108" s="346" t="s">
        <v>156</v>
      </c>
      <c r="E108" s="269" t="s">
        <v>188</v>
      </c>
      <c r="F108" s="291" t="s">
        <v>224</v>
      </c>
      <c r="G108" s="347">
        <f>'Detailed PL'!I125</f>
        <v>50</v>
      </c>
      <c r="H108" s="348" t="s">
        <v>146</v>
      </c>
      <c r="I108" s="348" t="s">
        <v>236</v>
      </c>
      <c r="J108" s="349">
        <f>'Detailed PL'!P125</f>
        <v>23.5</v>
      </c>
      <c r="K108" s="349">
        <f t="shared" si="9"/>
        <v>24.25</v>
      </c>
      <c r="L108" s="376">
        <v>24.25</v>
      </c>
      <c r="M108" s="349">
        <f t="shared" ref="M108:M127" si="13">K108-L108</f>
        <v>0</v>
      </c>
      <c r="N108" s="271">
        <v>6.6</v>
      </c>
      <c r="O108" s="271">
        <v>330</v>
      </c>
      <c r="P108" s="271" t="s">
        <v>223</v>
      </c>
      <c r="R108" s="377">
        <v>329.99</v>
      </c>
      <c r="T108" s="330">
        <v>6.6</v>
      </c>
      <c r="V108" s="79">
        <f t="shared" si="12"/>
        <v>330</v>
      </c>
      <c r="X108" s="79">
        <f t="shared" si="10"/>
        <v>-9.9999999999909051E-3</v>
      </c>
      <c r="Z108" s="330" t="s">
        <v>476</v>
      </c>
    </row>
    <row r="109" spans="1:26" s="330" customFormat="1" ht="14.45" customHeight="1">
      <c r="A109" s="261" t="s">
        <v>348</v>
      </c>
      <c r="B109" s="291" t="s">
        <v>400</v>
      </c>
      <c r="C109" s="346" t="s">
        <v>349</v>
      </c>
      <c r="D109" s="346" t="s">
        <v>350</v>
      </c>
      <c r="E109" s="269" t="s">
        <v>188</v>
      </c>
      <c r="F109" s="291" t="s">
        <v>224</v>
      </c>
      <c r="G109" s="347">
        <f>'Detailed PL'!I126</f>
        <v>5000</v>
      </c>
      <c r="H109" s="348" t="s">
        <v>146</v>
      </c>
      <c r="I109" s="348" t="s">
        <v>236</v>
      </c>
      <c r="J109" s="349">
        <f>'Detailed PL'!P126</f>
        <v>500</v>
      </c>
      <c r="K109" s="349">
        <f t="shared" si="9"/>
        <v>575</v>
      </c>
      <c r="L109" s="376">
        <v>575</v>
      </c>
      <c r="M109" s="349">
        <f t="shared" si="13"/>
        <v>0</v>
      </c>
      <c r="N109" s="271">
        <v>0.62</v>
      </c>
      <c r="O109" s="271">
        <v>3100</v>
      </c>
      <c r="P109" s="271" t="s">
        <v>223</v>
      </c>
      <c r="R109" s="377">
        <v>3114.84</v>
      </c>
      <c r="T109" s="330">
        <v>0.62</v>
      </c>
      <c r="V109" s="79">
        <f t="shared" si="12"/>
        <v>3100</v>
      </c>
      <c r="X109" s="79">
        <f t="shared" si="10"/>
        <v>14.840000000000146</v>
      </c>
      <c r="Z109" s="330" t="s">
        <v>477</v>
      </c>
    </row>
    <row r="110" spans="1:26" s="330" customFormat="1" ht="14.45" customHeight="1">
      <c r="A110" s="261" t="s">
        <v>351</v>
      </c>
      <c r="B110" s="291" t="s">
        <v>400</v>
      </c>
      <c r="C110" s="346" t="s">
        <v>352</v>
      </c>
      <c r="D110" s="346" t="s">
        <v>353</v>
      </c>
      <c r="E110" s="269" t="s">
        <v>188</v>
      </c>
      <c r="F110" s="291" t="s">
        <v>224</v>
      </c>
      <c r="G110" s="347">
        <f>'Detailed PL'!I127</f>
        <v>700</v>
      </c>
      <c r="H110" s="348" t="s">
        <v>146</v>
      </c>
      <c r="I110" s="348" t="s">
        <v>236</v>
      </c>
      <c r="J110" s="349">
        <f>'Detailed PL'!P127</f>
        <v>70</v>
      </c>
      <c r="K110" s="349">
        <f t="shared" si="9"/>
        <v>80.5</v>
      </c>
      <c r="L110" s="376">
        <v>80.5</v>
      </c>
      <c r="M110" s="349">
        <f t="shared" si="13"/>
        <v>0</v>
      </c>
      <c r="N110" s="271">
        <v>0.85</v>
      </c>
      <c r="O110" s="271">
        <v>595</v>
      </c>
      <c r="P110" s="271" t="s">
        <v>223</v>
      </c>
      <c r="R110" s="377">
        <v>594.08000000000004</v>
      </c>
      <c r="T110" s="330">
        <v>0.85</v>
      </c>
      <c r="V110" s="79">
        <f t="shared" si="12"/>
        <v>595</v>
      </c>
      <c r="X110" s="79">
        <f t="shared" si="10"/>
        <v>-0.91999999999995907</v>
      </c>
      <c r="Z110" s="330" t="s">
        <v>477</v>
      </c>
    </row>
    <row r="111" spans="1:26" s="330" customFormat="1" ht="14.45" customHeight="1">
      <c r="A111" s="261" t="s">
        <v>354</v>
      </c>
      <c r="B111" s="291" t="s">
        <v>400</v>
      </c>
      <c r="C111" s="346" t="s">
        <v>355</v>
      </c>
      <c r="D111" s="346" t="s">
        <v>356</v>
      </c>
      <c r="E111" s="269" t="s">
        <v>188</v>
      </c>
      <c r="F111" s="291" t="s">
        <v>224</v>
      </c>
      <c r="G111" s="347">
        <f>'Detailed PL'!I128</f>
        <v>2500</v>
      </c>
      <c r="H111" s="348" t="s">
        <v>449</v>
      </c>
      <c r="I111" s="348" t="s">
        <v>236</v>
      </c>
      <c r="J111" s="349">
        <f>'Detailed PL'!P128</f>
        <v>250</v>
      </c>
      <c r="K111" s="349">
        <f t="shared" si="9"/>
        <v>287.5</v>
      </c>
      <c r="L111" s="376">
        <v>287.5</v>
      </c>
      <c r="M111" s="349">
        <f t="shared" si="13"/>
        <v>0</v>
      </c>
      <c r="N111" s="271">
        <v>0.6</v>
      </c>
      <c r="O111" s="271">
        <v>1500</v>
      </c>
      <c r="P111" s="271" t="s">
        <v>223</v>
      </c>
      <c r="R111" s="377">
        <v>1512.28</v>
      </c>
      <c r="T111" s="330">
        <v>0.6</v>
      </c>
      <c r="V111" s="79">
        <f t="shared" si="12"/>
        <v>1500</v>
      </c>
      <c r="X111" s="79">
        <f>R111-V111</f>
        <v>12.279999999999973</v>
      </c>
      <c r="Z111" s="330" t="s">
        <v>477</v>
      </c>
    </row>
    <row r="112" spans="1:26" s="330" customFormat="1" ht="14.45" customHeight="1">
      <c r="A112" s="261" t="s">
        <v>357</v>
      </c>
      <c r="B112" s="291" t="s">
        <v>400</v>
      </c>
      <c r="C112" s="346" t="s">
        <v>358</v>
      </c>
      <c r="D112" s="346" t="s">
        <v>359</v>
      </c>
      <c r="E112" s="269" t="s">
        <v>188</v>
      </c>
      <c r="F112" s="291" t="s">
        <v>224</v>
      </c>
      <c r="G112" s="347">
        <f>'Detailed PL'!I129</f>
        <v>100</v>
      </c>
      <c r="H112" s="348" t="s">
        <v>146</v>
      </c>
      <c r="I112" s="348" t="s">
        <v>236</v>
      </c>
      <c r="J112" s="349">
        <f>'Detailed PL'!P129</f>
        <v>10</v>
      </c>
      <c r="K112" s="349">
        <f t="shared" si="9"/>
        <v>11.5</v>
      </c>
      <c r="L112" s="376">
        <v>11.5</v>
      </c>
      <c r="M112" s="349">
        <f t="shared" si="13"/>
        <v>0</v>
      </c>
      <c r="N112" s="271">
        <v>0.79</v>
      </c>
      <c r="O112" s="271">
        <v>79</v>
      </c>
      <c r="P112" s="271" t="s">
        <v>223</v>
      </c>
      <c r="R112" s="377">
        <v>78.55</v>
      </c>
      <c r="T112" s="330">
        <v>0.79</v>
      </c>
      <c r="V112" s="79">
        <f t="shared" si="12"/>
        <v>79</v>
      </c>
      <c r="X112" s="79">
        <f t="shared" ref="X112:X133" si="14">R112-V112</f>
        <v>-0.45000000000000284</v>
      </c>
      <c r="Z112" s="330" t="s">
        <v>473</v>
      </c>
    </row>
    <row r="113" spans="1:26" s="330" customFormat="1" ht="14.45" customHeight="1">
      <c r="A113" s="261" t="s">
        <v>360</v>
      </c>
      <c r="B113" s="291" t="s">
        <v>400</v>
      </c>
      <c r="C113" s="346" t="s">
        <v>361</v>
      </c>
      <c r="D113" s="346" t="s">
        <v>359</v>
      </c>
      <c r="E113" s="269" t="s">
        <v>188</v>
      </c>
      <c r="F113" s="291" t="s">
        <v>224</v>
      </c>
      <c r="G113" s="347">
        <f>'Detailed PL'!I130</f>
        <v>2500</v>
      </c>
      <c r="H113" s="348" t="s">
        <v>146</v>
      </c>
      <c r="I113" s="348" t="s">
        <v>236</v>
      </c>
      <c r="J113" s="349">
        <f>'Detailed PL'!P130</f>
        <v>250</v>
      </c>
      <c r="K113" s="349">
        <f t="shared" si="9"/>
        <v>287.5</v>
      </c>
      <c r="L113" s="376">
        <v>287.5</v>
      </c>
      <c r="M113" s="349">
        <f t="shared" si="13"/>
        <v>0</v>
      </c>
      <c r="N113" s="271">
        <v>0.71</v>
      </c>
      <c r="O113" s="271">
        <v>1775</v>
      </c>
      <c r="P113" s="271" t="s">
        <v>223</v>
      </c>
      <c r="R113" s="377">
        <v>1783.13</v>
      </c>
      <c r="T113" s="330">
        <v>0.71</v>
      </c>
      <c r="V113" s="79">
        <f t="shared" si="12"/>
        <v>1775</v>
      </c>
      <c r="X113" s="79">
        <f t="shared" si="14"/>
        <v>8.1300000000001091</v>
      </c>
      <c r="Z113" s="330" t="s">
        <v>473</v>
      </c>
    </row>
    <row r="114" spans="1:26" s="330" customFormat="1" ht="14.45" customHeight="1">
      <c r="A114" s="261" t="s">
        <v>362</v>
      </c>
      <c r="B114" s="291" t="s">
        <v>400</v>
      </c>
      <c r="C114" s="346" t="s">
        <v>364</v>
      </c>
      <c r="D114" s="346" t="s">
        <v>448</v>
      </c>
      <c r="E114" s="269" t="s">
        <v>188</v>
      </c>
      <c r="F114" s="291" t="s">
        <v>224</v>
      </c>
      <c r="G114" s="347">
        <f>'Detailed PL'!I131</f>
        <v>700</v>
      </c>
      <c r="H114" s="348" t="s">
        <v>146</v>
      </c>
      <c r="I114" s="348" t="s">
        <v>236</v>
      </c>
      <c r="J114" s="349">
        <f>'Detailed PL'!P131</f>
        <v>14</v>
      </c>
      <c r="K114" s="349">
        <f t="shared" si="9"/>
        <v>24.5</v>
      </c>
      <c r="L114" s="376">
        <v>24.5</v>
      </c>
      <c r="M114" s="349">
        <f t="shared" si="13"/>
        <v>0</v>
      </c>
      <c r="N114" s="271">
        <v>0.44</v>
      </c>
      <c r="O114" s="271">
        <v>308</v>
      </c>
      <c r="P114" s="271" t="s">
        <v>223</v>
      </c>
      <c r="R114" s="377">
        <v>309.68</v>
      </c>
      <c r="T114" s="330">
        <v>0.44</v>
      </c>
      <c r="V114" s="79">
        <f t="shared" si="12"/>
        <v>308</v>
      </c>
      <c r="X114" s="79">
        <f t="shared" si="14"/>
        <v>1.6800000000000068</v>
      </c>
      <c r="Z114" s="330" t="s">
        <v>478</v>
      </c>
    </row>
    <row r="115" spans="1:26" s="330" customFormat="1" ht="14.45" customHeight="1">
      <c r="A115" s="261" t="s">
        <v>363</v>
      </c>
      <c r="B115" s="291" t="s">
        <v>400</v>
      </c>
      <c r="C115" s="346" t="s">
        <v>444</v>
      </c>
      <c r="D115" s="346"/>
      <c r="E115" s="269" t="s">
        <v>188</v>
      </c>
      <c r="F115" s="291" t="s">
        <v>224</v>
      </c>
      <c r="G115" s="347">
        <f>'Detailed PL'!I132</f>
        <v>300</v>
      </c>
      <c r="H115" s="348" t="s">
        <v>146</v>
      </c>
      <c r="I115" s="348" t="s">
        <v>236</v>
      </c>
      <c r="J115" s="349">
        <f>'Detailed PL'!P132</f>
        <v>90</v>
      </c>
      <c r="K115" s="349">
        <f t="shared" si="9"/>
        <v>94.5</v>
      </c>
      <c r="L115" s="376">
        <v>94.5</v>
      </c>
      <c r="M115" s="349">
        <f t="shared" si="13"/>
        <v>0</v>
      </c>
      <c r="N115" s="271">
        <v>2.79</v>
      </c>
      <c r="O115" s="271">
        <v>837</v>
      </c>
      <c r="P115" s="271" t="s">
        <v>223</v>
      </c>
      <c r="R115" s="377">
        <v>836.94</v>
      </c>
      <c r="T115" s="330">
        <v>2.79</v>
      </c>
      <c r="V115" s="79">
        <f t="shared" si="12"/>
        <v>837</v>
      </c>
      <c r="X115" s="79">
        <f t="shared" si="14"/>
        <v>-5.999999999994543E-2</v>
      </c>
      <c r="Z115" s="330" t="s">
        <v>479</v>
      </c>
    </row>
    <row r="116" spans="1:26" s="330" customFormat="1" ht="14.45" customHeight="1">
      <c r="A116" s="261" t="s">
        <v>365</v>
      </c>
      <c r="B116" s="291" t="s">
        <v>400</v>
      </c>
      <c r="C116" s="346" t="s">
        <v>450</v>
      </c>
      <c r="D116" s="346" t="s">
        <v>366</v>
      </c>
      <c r="E116" s="269" t="s">
        <v>188</v>
      </c>
      <c r="F116" s="291" t="s">
        <v>224</v>
      </c>
      <c r="G116" s="347">
        <f>'Detailed PL'!I133</f>
        <v>2000</v>
      </c>
      <c r="H116" s="348" t="s">
        <v>146</v>
      </c>
      <c r="I116" s="348" t="s">
        <v>236</v>
      </c>
      <c r="J116" s="349">
        <f>'Detailed PL'!P133</f>
        <v>200</v>
      </c>
      <c r="K116" s="349">
        <f t="shared" si="9"/>
        <v>230</v>
      </c>
      <c r="L116" s="376">
        <v>212.22000000000003</v>
      </c>
      <c r="M116" s="349">
        <f t="shared" si="13"/>
        <v>17.779999999999973</v>
      </c>
      <c r="N116" s="271">
        <v>2.79</v>
      </c>
      <c r="O116" s="271">
        <v>5580</v>
      </c>
      <c r="P116" s="271" t="s">
        <v>223</v>
      </c>
      <c r="R116" s="377">
        <v>5579.61</v>
      </c>
      <c r="T116" s="330">
        <v>2.79</v>
      </c>
      <c r="V116" s="79">
        <f t="shared" si="12"/>
        <v>5580</v>
      </c>
      <c r="X116" s="79">
        <f t="shared" si="14"/>
        <v>-0.39000000000032742</v>
      </c>
      <c r="Z116" s="330" t="s">
        <v>477</v>
      </c>
    </row>
    <row r="117" spans="1:26" s="330" customFormat="1" ht="14.45" customHeight="1">
      <c r="A117" s="261">
        <v>109</v>
      </c>
      <c r="B117" s="291" t="s">
        <v>400</v>
      </c>
      <c r="C117" s="346" t="s">
        <v>451</v>
      </c>
      <c r="D117" s="346" t="s">
        <v>366</v>
      </c>
      <c r="E117" s="269" t="s">
        <v>188</v>
      </c>
      <c r="F117" s="291" t="s">
        <v>224</v>
      </c>
      <c r="G117" s="347">
        <f>'Detailed PL'!I134</f>
        <v>2000</v>
      </c>
      <c r="H117" s="348" t="s">
        <v>146</v>
      </c>
      <c r="I117" s="348" t="s">
        <v>236</v>
      </c>
      <c r="J117" s="349">
        <f>'Detailed PL'!P134</f>
        <v>200</v>
      </c>
      <c r="K117" s="349">
        <f t="shared" ref="K117" si="15">J117+(0.015*G117)</f>
        <v>230</v>
      </c>
      <c r="L117" s="376">
        <v>212.22000000000003</v>
      </c>
      <c r="M117" s="349">
        <f t="shared" si="13"/>
        <v>17.779999999999973</v>
      </c>
      <c r="N117" s="271">
        <v>2.79</v>
      </c>
      <c r="O117" s="271">
        <v>5580</v>
      </c>
      <c r="P117" s="271" t="s">
        <v>223</v>
      </c>
      <c r="R117" s="377">
        <v>5579.61</v>
      </c>
      <c r="T117" s="330">
        <v>2.79</v>
      </c>
      <c r="V117" s="79">
        <f t="shared" si="12"/>
        <v>5580</v>
      </c>
      <c r="X117" s="79">
        <f t="shared" si="14"/>
        <v>-0.39000000000032742</v>
      </c>
      <c r="Z117" s="330" t="s">
        <v>477</v>
      </c>
    </row>
    <row r="118" spans="1:26" s="330" customFormat="1" ht="14.45" customHeight="1">
      <c r="A118" s="261">
        <v>110</v>
      </c>
      <c r="B118" s="291" t="s">
        <v>400</v>
      </c>
      <c r="C118" s="346" t="s">
        <v>301</v>
      </c>
      <c r="D118" s="346" t="s">
        <v>153</v>
      </c>
      <c r="E118" s="269" t="s">
        <v>188</v>
      </c>
      <c r="F118" s="291" t="s">
        <v>224</v>
      </c>
      <c r="G118" s="347">
        <f>'Detailed PL'!I135</f>
        <v>120</v>
      </c>
      <c r="H118" s="348" t="s">
        <v>402</v>
      </c>
      <c r="I118" s="348" t="s">
        <v>236</v>
      </c>
      <c r="J118" s="349">
        <f>'Detailed PL'!P135</f>
        <v>162</v>
      </c>
      <c r="K118" s="349">
        <f t="shared" si="9"/>
        <v>163.80000000000001</v>
      </c>
      <c r="L118" s="376">
        <v>163.80000000000001</v>
      </c>
      <c r="M118" s="349">
        <f t="shared" si="13"/>
        <v>0</v>
      </c>
      <c r="N118" s="271">
        <v>2.66</v>
      </c>
      <c r="O118" s="271">
        <v>319.2</v>
      </c>
      <c r="P118" s="271" t="s">
        <v>223</v>
      </c>
      <c r="R118" s="377">
        <v>319.61</v>
      </c>
      <c r="T118" s="330">
        <v>2.66</v>
      </c>
      <c r="V118" s="79">
        <f t="shared" si="12"/>
        <v>319.20000000000005</v>
      </c>
      <c r="X118" s="79">
        <f t="shared" si="14"/>
        <v>0.40999999999996817</v>
      </c>
      <c r="Z118" s="330" t="s">
        <v>474</v>
      </c>
    </row>
    <row r="119" spans="1:26" s="330" customFormat="1" ht="14.45" customHeight="1">
      <c r="A119" s="261">
        <v>111</v>
      </c>
      <c r="B119" s="291" t="s">
        <v>400</v>
      </c>
      <c r="C119" s="346" t="s">
        <v>301</v>
      </c>
      <c r="D119" s="346" t="s">
        <v>154</v>
      </c>
      <c r="E119" s="269" t="s">
        <v>188</v>
      </c>
      <c r="F119" s="291" t="s">
        <v>224</v>
      </c>
      <c r="G119" s="347">
        <f>'Detailed PL'!I136</f>
        <v>80</v>
      </c>
      <c r="H119" s="348" t="s">
        <v>402</v>
      </c>
      <c r="I119" s="348" t="s">
        <v>236</v>
      </c>
      <c r="J119" s="349">
        <f>'Detailed PL'!P136</f>
        <v>132</v>
      </c>
      <c r="K119" s="349">
        <f t="shared" si="9"/>
        <v>133.19999999999999</v>
      </c>
      <c r="L119" s="376">
        <v>133.19999999999999</v>
      </c>
      <c r="M119" s="349">
        <f t="shared" si="13"/>
        <v>0</v>
      </c>
      <c r="N119" s="271">
        <v>4.32</v>
      </c>
      <c r="O119" s="271">
        <v>345.6</v>
      </c>
      <c r="P119" s="271" t="s">
        <v>223</v>
      </c>
      <c r="R119" s="377">
        <v>345.25</v>
      </c>
      <c r="T119" s="330">
        <v>4.32</v>
      </c>
      <c r="V119" s="79">
        <f t="shared" si="12"/>
        <v>345.6</v>
      </c>
      <c r="X119" s="79">
        <f t="shared" si="14"/>
        <v>-0.35000000000002274</v>
      </c>
      <c r="Z119" s="330" t="s">
        <v>474</v>
      </c>
    </row>
    <row r="120" spans="1:26" s="330" customFormat="1" ht="14.45" customHeight="1">
      <c r="A120" s="261">
        <v>112</v>
      </c>
      <c r="B120" s="291" t="s">
        <v>401</v>
      </c>
      <c r="C120" s="346" t="s">
        <v>484</v>
      </c>
      <c r="D120" s="346" t="s">
        <v>367</v>
      </c>
      <c r="E120" s="269" t="s">
        <v>188</v>
      </c>
      <c r="F120" s="291" t="s">
        <v>224</v>
      </c>
      <c r="G120" s="347">
        <f>'Detailed PL'!I138</f>
        <v>30</v>
      </c>
      <c r="H120" s="348" t="s">
        <v>146</v>
      </c>
      <c r="I120" s="348" t="s">
        <v>236</v>
      </c>
      <c r="J120" s="349">
        <f>'Detailed PL'!P138</f>
        <v>122.99999999999999</v>
      </c>
      <c r="K120" s="349">
        <f>J120+(3.75*G120)</f>
        <v>235.5</v>
      </c>
      <c r="L120" s="376">
        <v>235.5</v>
      </c>
      <c r="M120" s="349">
        <f t="shared" si="13"/>
        <v>0</v>
      </c>
      <c r="N120" s="271">
        <v>20.54</v>
      </c>
      <c r="O120" s="271">
        <v>616.20000000000005</v>
      </c>
      <c r="P120" s="271" t="s">
        <v>223</v>
      </c>
      <c r="R120" s="377">
        <v>616.20000000000005</v>
      </c>
      <c r="T120" s="330">
        <v>20.54</v>
      </c>
      <c r="V120" s="79">
        <f t="shared" si="12"/>
        <v>616.19999999999993</v>
      </c>
      <c r="X120" s="79">
        <f t="shared" si="14"/>
        <v>0</v>
      </c>
      <c r="Z120" s="330" t="s">
        <v>475</v>
      </c>
    </row>
    <row r="121" spans="1:26" s="330" customFormat="1" ht="14.45" customHeight="1">
      <c r="A121" s="261">
        <v>113</v>
      </c>
      <c r="B121" s="291" t="s">
        <v>401</v>
      </c>
      <c r="C121" s="346" t="s">
        <v>484</v>
      </c>
      <c r="D121" s="346" t="s">
        <v>369</v>
      </c>
      <c r="E121" s="269" t="s">
        <v>188</v>
      </c>
      <c r="F121" s="291" t="s">
        <v>224</v>
      </c>
      <c r="G121" s="347">
        <f>'Detailed PL'!I139</f>
        <v>20</v>
      </c>
      <c r="H121" s="348" t="s">
        <v>146</v>
      </c>
      <c r="I121" s="348" t="s">
        <v>236</v>
      </c>
      <c r="J121" s="349">
        <f>'Detailed PL'!P139</f>
        <v>146.80000000000001</v>
      </c>
      <c r="K121" s="349">
        <f t="shared" ref="K121:K125" si="16">J121+(3.75*G121)</f>
        <v>221.8</v>
      </c>
      <c r="L121" s="376">
        <v>221.8</v>
      </c>
      <c r="M121" s="349">
        <f t="shared" si="13"/>
        <v>0</v>
      </c>
      <c r="N121" s="271">
        <v>33.22</v>
      </c>
      <c r="O121" s="271">
        <v>664.4</v>
      </c>
      <c r="P121" s="271" t="s">
        <v>223</v>
      </c>
      <c r="R121" s="377">
        <v>664.32</v>
      </c>
      <c r="T121" s="330">
        <v>33.22</v>
      </c>
      <c r="V121" s="79">
        <f t="shared" si="12"/>
        <v>664.4</v>
      </c>
      <c r="X121" s="79">
        <f t="shared" si="14"/>
        <v>-7.999999999992724E-2</v>
      </c>
      <c r="Z121" s="330" t="s">
        <v>475</v>
      </c>
    </row>
    <row r="122" spans="1:26" s="330" customFormat="1" ht="14.45" customHeight="1">
      <c r="A122" s="261">
        <v>114</v>
      </c>
      <c r="B122" s="291" t="s">
        <v>401</v>
      </c>
      <c r="C122" s="346" t="s">
        <v>484</v>
      </c>
      <c r="D122" s="346" t="s">
        <v>371</v>
      </c>
      <c r="E122" s="269" t="s">
        <v>188</v>
      </c>
      <c r="F122" s="291" t="s">
        <v>224</v>
      </c>
      <c r="G122" s="347">
        <f>'Detailed PL'!I140</f>
        <v>10</v>
      </c>
      <c r="H122" s="348" t="s">
        <v>146</v>
      </c>
      <c r="I122" s="348" t="s">
        <v>236</v>
      </c>
      <c r="J122" s="349">
        <f>'Detailed PL'!P140</f>
        <v>182.8</v>
      </c>
      <c r="K122" s="349">
        <f t="shared" si="16"/>
        <v>220.3</v>
      </c>
      <c r="L122" s="376">
        <v>220.3</v>
      </c>
      <c r="M122" s="349">
        <f t="shared" si="13"/>
        <v>0</v>
      </c>
      <c r="N122" s="271">
        <v>81.83</v>
      </c>
      <c r="O122" s="271">
        <v>818.3</v>
      </c>
      <c r="P122" s="271" t="s">
        <v>223</v>
      </c>
      <c r="R122" s="377">
        <v>818.34</v>
      </c>
      <c r="T122" s="330">
        <v>81.83</v>
      </c>
      <c r="V122" s="79">
        <f t="shared" si="12"/>
        <v>818.3</v>
      </c>
      <c r="X122" s="79">
        <f t="shared" si="14"/>
        <v>4.0000000000077307E-2</v>
      </c>
      <c r="Z122" s="330" t="s">
        <v>475</v>
      </c>
    </row>
    <row r="123" spans="1:26" s="330" customFormat="1" ht="14.45" customHeight="1">
      <c r="A123" s="261">
        <v>115</v>
      </c>
      <c r="B123" s="291" t="s">
        <v>401</v>
      </c>
      <c r="C123" s="346" t="s">
        <v>484</v>
      </c>
      <c r="D123" s="346" t="s">
        <v>372</v>
      </c>
      <c r="E123" s="269" t="s">
        <v>188</v>
      </c>
      <c r="F123" s="291" t="s">
        <v>224</v>
      </c>
      <c r="G123" s="347">
        <f>'Detailed PL'!I141</f>
        <v>10</v>
      </c>
      <c r="H123" s="348" t="s">
        <v>146</v>
      </c>
      <c r="I123" s="348" t="s">
        <v>236</v>
      </c>
      <c r="J123" s="349">
        <f>'Detailed PL'!P141</f>
        <v>323</v>
      </c>
      <c r="K123" s="349">
        <f t="shared" si="16"/>
        <v>360.5</v>
      </c>
      <c r="L123" s="376">
        <v>360.5</v>
      </c>
      <c r="M123" s="349">
        <f t="shared" si="13"/>
        <v>0</v>
      </c>
      <c r="N123" s="271">
        <v>139.97</v>
      </c>
      <c r="O123" s="271">
        <v>1399.7</v>
      </c>
      <c r="P123" s="271" t="s">
        <v>223</v>
      </c>
      <c r="R123" s="377">
        <v>1399.69</v>
      </c>
      <c r="T123" s="330">
        <v>139.97</v>
      </c>
      <c r="V123" s="79">
        <f t="shared" si="12"/>
        <v>1399.7</v>
      </c>
      <c r="X123" s="79">
        <f t="shared" si="14"/>
        <v>-9.9999999999909051E-3</v>
      </c>
      <c r="Z123" s="330" t="s">
        <v>475</v>
      </c>
    </row>
    <row r="124" spans="1:26" s="330" customFormat="1" ht="14.45" customHeight="1">
      <c r="A124" s="261">
        <v>116</v>
      </c>
      <c r="B124" s="291" t="s">
        <v>401</v>
      </c>
      <c r="C124" s="346" t="s">
        <v>484</v>
      </c>
      <c r="D124" s="346" t="s">
        <v>374</v>
      </c>
      <c r="E124" s="269" t="s">
        <v>188</v>
      </c>
      <c r="F124" s="291" t="s">
        <v>224</v>
      </c>
      <c r="G124" s="347">
        <f>'Detailed PL'!I142</f>
        <v>5</v>
      </c>
      <c r="H124" s="348" t="s">
        <v>146</v>
      </c>
      <c r="I124" s="348" t="s">
        <v>236</v>
      </c>
      <c r="J124" s="349">
        <f>'Detailed PL'!P142</f>
        <v>181.45</v>
      </c>
      <c r="K124" s="349">
        <f t="shared" si="16"/>
        <v>200.2</v>
      </c>
      <c r="L124" s="376">
        <v>200.2</v>
      </c>
      <c r="M124" s="349">
        <f t="shared" si="13"/>
        <v>0</v>
      </c>
      <c r="N124" s="271">
        <v>175.31</v>
      </c>
      <c r="O124" s="271">
        <v>876.55</v>
      </c>
      <c r="P124" s="271" t="s">
        <v>223</v>
      </c>
      <c r="R124" s="377">
        <v>876.53</v>
      </c>
      <c r="T124" s="330">
        <v>175.31</v>
      </c>
      <c r="V124" s="79">
        <f>T124*G124</f>
        <v>876.55</v>
      </c>
      <c r="X124" s="79">
        <f t="shared" si="14"/>
        <v>-1.999999999998181E-2</v>
      </c>
      <c r="Z124" s="330" t="s">
        <v>475</v>
      </c>
    </row>
    <row r="125" spans="1:26" s="330" customFormat="1" ht="14.45" customHeight="1">
      <c r="A125" s="261">
        <v>117</v>
      </c>
      <c r="B125" s="291" t="s">
        <v>401</v>
      </c>
      <c r="C125" s="346" t="s">
        <v>484</v>
      </c>
      <c r="D125" s="346" t="s">
        <v>376</v>
      </c>
      <c r="E125" s="269" t="s">
        <v>188</v>
      </c>
      <c r="F125" s="291" t="s">
        <v>224</v>
      </c>
      <c r="G125" s="347">
        <f>'Detailed PL'!I143</f>
        <v>5</v>
      </c>
      <c r="H125" s="348" t="s">
        <v>146</v>
      </c>
      <c r="I125" s="348" t="s">
        <v>236</v>
      </c>
      <c r="J125" s="349">
        <f>'Detailed PL'!P143</f>
        <v>537</v>
      </c>
      <c r="K125" s="349">
        <f t="shared" si="16"/>
        <v>555.75</v>
      </c>
      <c r="L125" s="376">
        <v>555.75</v>
      </c>
      <c r="M125" s="349">
        <f t="shared" si="13"/>
        <v>0</v>
      </c>
      <c r="N125" s="271">
        <v>387.36</v>
      </c>
      <c r="O125" s="271">
        <v>1936.8</v>
      </c>
      <c r="P125" s="271" t="s">
        <v>223</v>
      </c>
      <c r="R125" s="377">
        <v>1936.8</v>
      </c>
      <c r="T125" s="330">
        <v>387.36</v>
      </c>
      <c r="V125" s="79">
        <f t="shared" ref="V125:V133" si="17">T125*G125</f>
        <v>1936.8000000000002</v>
      </c>
      <c r="X125" s="79">
        <f t="shared" si="14"/>
        <v>0</v>
      </c>
      <c r="Z125" s="330" t="s">
        <v>475</v>
      </c>
    </row>
    <row r="126" spans="1:26" s="330" customFormat="1" ht="14.45" customHeight="1">
      <c r="A126" s="261">
        <v>118</v>
      </c>
      <c r="B126" s="291" t="s">
        <v>435</v>
      </c>
      <c r="C126" s="346" t="s">
        <v>378</v>
      </c>
      <c r="D126" s="346" t="s">
        <v>465</v>
      </c>
      <c r="E126" s="269" t="s">
        <v>188</v>
      </c>
      <c r="F126" s="291" t="s">
        <v>224</v>
      </c>
      <c r="G126" s="347">
        <f>'Detailed PL'!I146</f>
        <v>600</v>
      </c>
      <c r="H126" s="348" t="s">
        <v>146</v>
      </c>
      <c r="I126" s="348" t="s">
        <v>236</v>
      </c>
      <c r="J126" s="349">
        <f>'Detailed PL'!P146</f>
        <v>204.00000000000003</v>
      </c>
      <c r="K126" s="349">
        <f t="shared" ref="K126:K127" si="18">J126+100</f>
        <v>304</v>
      </c>
      <c r="L126" s="376">
        <v>304</v>
      </c>
      <c r="M126" s="349">
        <f t="shared" si="13"/>
        <v>0</v>
      </c>
      <c r="N126" s="271">
        <v>1.51</v>
      </c>
      <c r="O126" s="271">
        <v>906</v>
      </c>
      <c r="P126" s="271" t="s">
        <v>223</v>
      </c>
      <c r="R126" s="377">
        <v>904.66</v>
      </c>
      <c r="T126" s="330">
        <v>1.51</v>
      </c>
      <c r="V126" s="79">
        <f t="shared" si="17"/>
        <v>906</v>
      </c>
      <c r="X126" s="79">
        <f t="shared" si="14"/>
        <v>-1.3400000000000318</v>
      </c>
      <c r="Z126" s="330" t="s">
        <v>480</v>
      </c>
    </row>
    <row r="127" spans="1:26" s="330" customFormat="1" ht="14.45" customHeight="1">
      <c r="A127" s="261">
        <v>119</v>
      </c>
      <c r="B127" s="291" t="s">
        <v>435</v>
      </c>
      <c r="C127" s="346" t="s">
        <v>381</v>
      </c>
      <c r="D127" s="346" t="s">
        <v>464</v>
      </c>
      <c r="E127" s="269" t="s">
        <v>188</v>
      </c>
      <c r="F127" s="291" t="s">
        <v>224</v>
      </c>
      <c r="G127" s="347">
        <f>'Detailed PL'!I147</f>
        <v>500</v>
      </c>
      <c r="H127" s="348" t="s">
        <v>146</v>
      </c>
      <c r="I127" s="348" t="s">
        <v>236</v>
      </c>
      <c r="J127" s="349">
        <f>'Detailed PL'!P147</f>
        <v>290</v>
      </c>
      <c r="K127" s="349">
        <f t="shared" si="18"/>
        <v>390</v>
      </c>
      <c r="L127" s="376">
        <v>390</v>
      </c>
      <c r="M127" s="349">
        <f t="shared" si="13"/>
        <v>0</v>
      </c>
      <c r="N127" s="271">
        <v>1.76</v>
      </c>
      <c r="O127" s="271">
        <v>880</v>
      </c>
      <c r="P127" s="271" t="s">
        <v>223</v>
      </c>
      <c r="R127" s="377">
        <v>880.28</v>
      </c>
      <c r="T127" s="330">
        <v>1.76</v>
      </c>
      <c r="V127" s="79">
        <f t="shared" si="17"/>
        <v>880</v>
      </c>
      <c r="X127" s="79">
        <f t="shared" si="14"/>
        <v>0.27999999999997272</v>
      </c>
      <c r="Z127" s="330" t="s">
        <v>480</v>
      </c>
    </row>
    <row r="128" spans="1:26" s="330" customFormat="1" ht="14.45" customHeight="1">
      <c r="A128" s="261">
        <v>120</v>
      </c>
      <c r="B128" s="291" t="s">
        <v>435</v>
      </c>
      <c r="C128" s="346" t="s">
        <v>412</v>
      </c>
      <c r="D128" s="346" t="s">
        <v>463</v>
      </c>
      <c r="E128" s="269" t="s">
        <v>188</v>
      </c>
      <c r="F128" s="291" t="s">
        <v>224</v>
      </c>
      <c r="G128" s="347">
        <f>'Detailed PL'!I145</f>
        <v>700</v>
      </c>
      <c r="H128" s="348" t="s">
        <v>146</v>
      </c>
      <c r="I128" s="348" t="s">
        <v>236</v>
      </c>
      <c r="J128" s="349">
        <f>'Detailed PL'!P145</f>
        <v>1036</v>
      </c>
      <c r="K128" s="349">
        <f>J128+100</f>
        <v>1136</v>
      </c>
      <c r="L128" s="376">
        <v>1136</v>
      </c>
      <c r="M128" s="349">
        <f>K128-L128</f>
        <v>0</v>
      </c>
      <c r="N128" s="271">
        <v>4.49</v>
      </c>
      <c r="O128" s="271">
        <v>3143</v>
      </c>
      <c r="P128" s="271" t="s">
        <v>223</v>
      </c>
      <c r="R128" s="377">
        <v>3141.02</v>
      </c>
      <c r="T128" s="330">
        <v>4.49</v>
      </c>
      <c r="V128" s="79">
        <f t="shared" si="17"/>
        <v>3143</v>
      </c>
      <c r="X128" s="79">
        <f t="shared" si="14"/>
        <v>-1.9800000000000182</v>
      </c>
      <c r="Z128" s="330" t="s">
        <v>480</v>
      </c>
    </row>
    <row r="129" spans="1:28" s="330" customFormat="1" ht="14.45" customHeight="1">
      <c r="A129" s="261">
        <v>121</v>
      </c>
      <c r="B129" s="291" t="s">
        <v>436</v>
      </c>
      <c r="C129" s="346" t="s">
        <v>413</v>
      </c>
      <c r="D129" s="346" t="s">
        <v>384</v>
      </c>
      <c r="E129" s="269" t="s">
        <v>188</v>
      </c>
      <c r="F129" s="291" t="s">
        <v>224</v>
      </c>
      <c r="G129" s="347">
        <f>'Detailed PL'!I149</f>
        <v>500</v>
      </c>
      <c r="H129" s="348" t="s">
        <v>146</v>
      </c>
      <c r="I129" s="348" t="s">
        <v>236</v>
      </c>
      <c r="J129" s="349">
        <f>'Detailed PL'!P149</f>
        <v>3450</v>
      </c>
      <c r="K129" s="349">
        <f>J129+300</f>
        <v>3750</v>
      </c>
      <c r="L129" s="376">
        <v>3750</v>
      </c>
      <c r="M129" s="349">
        <f t="shared" ref="M129:M133" si="19">K129-L129</f>
        <v>0</v>
      </c>
      <c r="N129" s="271">
        <v>12.17</v>
      </c>
      <c r="O129" s="271">
        <v>6085</v>
      </c>
      <c r="P129" s="271" t="s">
        <v>223</v>
      </c>
      <c r="R129" s="377">
        <v>6085.22</v>
      </c>
      <c r="T129" s="330">
        <v>12.17</v>
      </c>
      <c r="V129" s="79">
        <f t="shared" si="17"/>
        <v>6085</v>
      </c>
      <c r="X129" s="79">
        <f t="shared" si="14"/>
        <v>0.22000000000025466</v>
      </c>
      <c r="Z129" s="330" t="s">
        <v>480</v>
      </c>
    </row>
    <row r="130" spans="1:28" s="330" customFormat="1" ht="14.45" customHeight="1">
      <c r="A130" s="261">
        <v>122</v>
      </c>
      <c r="B130" s="291" t="s">
        <v>437</v>
      </c>
      <c r="C130" s="346" t="s">
        <v>414</v>
      </c>
      <c r="D130" s="346" t="s">
        <v>386</v>
      </c>
      <c r="E130" s="269" t="s">
        <v>188</v>
      </c>
      <c r="F130" s="291" t="s">
        <v>224</v>
      </c>
      <c r="G130" s="347">
        <f>'Detailed PL'!I151</f>
        <v>50</v>
      </c>
      <c r="H130" s="348" t="s">
        <v>146</v>
      </c>
      <c r="I130" s="348" t="s">
        <v>236</v>
      </c>
      <c r="J130" s="349">
        <f>'Detailed PL'!P151</f>
        <v>400</v>
      </c>
      <c r="K130" s="349">
        <f>J130+150</f>
        <v>550</v>
      </c>
      <c r="L130" s="376">
        <v>550</v>
      </c>
      <c r="M130" s="349">
        <f t="shared" si="19"/>
        <v>0</v>
      </c>
      <c r="N130" s="271">
        <v>13.3</v>
      </c>
      <c r="O130" s="271">
        <v>665</v>
      </c>
      <c r="P130" s="271" t="s">
        <v>223</v>
      </c>
      <c r="R130" s="377">
        <v>664.95</v>
      </c>
      <c r="T130" s="330">
        <v>13.3</v>
      </c>
      <c r="V130" s="79">
        <f t="shared" si="17"/>
        <v>665</v>
      </c>
      <c r="X130" s="79">
        <f t="shared" si="14"/>
        <v>-4.9999999999954525E-2</v>
      </c>
      <c r="Z130" s="330" t="s">
        <v>481</v>
      </c>
    </row>
    <row r="131" spans="1:28" s="330" customFormat="1" ht="14.45" customHeight="1">
      <c r="A131" s="261">
        <v>123</v>
      </c>
      <c r="B131" s="291" t="s">
        <v>437</v>
      </c>
      <c r="C131" s="346" t="s">
        <v>415</v>
      </c>
      <c r="D131" s="346" t="s">
        <v>388</v>
      </c>
      <c r="E131" s="269" t="s">
        <v>188</v>
      </c>
      <c r="F131" s="291" t="s">
        <v>224</v>
      </c>
      <c r="G131" s="347">
        <f>'Detailed PL'!I152</f>
        <v>100</v>
      </c>
      <c r="H131" s="348" t="s">
        <v>146</v>
      </c>
      <c r="I131" s="348" t="s">
        <v>236</v>
      </c>
      <c r="J131" s="349">
        <f>'Detailed PL'!P152</f>
        <v>200</v>
      </c>
      <c r="K131" s="349">
        <f>J131+150</f>
        <v>350</v>
      </c>
      <c r="L131" s="376">
        <v>350</v>
      </c>
      <c r="M131" s="349">
        <f t="shared" si="19"/>
        <v>0</v>
      </c>
      <c r="N131" s="271">
        <v>4.76</v>
      </c>
      <c r="O131" s="271">
        <v>476</v>
      </c>
      <c r="P131" s="271" t="s">
        <v>223</v>
      </c>
      <c r="R131" s="377">
        <v>475.8</v>
      </c>
      <c r="T131" s="330">
        <v>4.76</v>
      </c>
      <c r="V131" s="79">
        <f t="shared" si="17"/>
        <v>476</v>
      </c>
      <c r="X131" s="79">
        <f t="shared" si="14"/>
        <v>-0.19999999999998863</v>
      </c>
      <c r="Z131" s="330" t="s">
        <v>482</v>
      </c>
    </row>
    <row r="132" spans="1:28" s="330" customFormat="1" ht="14.45" customHeight="1">
      <c r="A132" s="261">
        <v>124</v>
      </c>
      <c r="B132" s="291" t="s">
        <v>438</v>
      </c>
      <c r="C132" s="346" t="s">
        <v>416</v>
      </c>
      <c r="D132" s="346" t="s">
        <v>389</v>
      </c>
      <c r="E132" s="269" t="s">
        <v>188</v>
      </c>
      <c r="F132" s="291" t="s">
        <v>224</v>
      </c>
      <c r="G132" s="347">
        <f>'Detailed PL'!I154</f>
        <v>102</v>
      </c>
      <c r="H132" s="348" t="s">
        <v>146</v>
      </c>
      <c r="I132" s="348" t="s">
        <v>236</v>
      </c>
      <c r="J132" s="349">
        <f>'Detailed PL'!P154</f>
        <v>3179.34</v>
      </c>
      <c r="K132" s="349">
        <f>J132+150</f>
        <v>3329.34</v>
      </c>
      <c r="L132" s="376">
        <v>3329.34</v>
      </c>
      <c r="M132" s="349">
        <f t="shared" si="19"/>
        <v>0</v>
      </c>
      <c r="N132" s="271">
        <v>41.77</v>
      </c>
      <c r="O132" s="271">
        <v>4260.54</v>
      </c>
      <c r="P132" s="271" t="s">
        <v>223</v>
      </c>
      <c r="R132" s="377">
        <v>4260.12</v>
      </c>
      <c r="T132" s="330">
        <v>41.77</v>
      </c>
      <c r="V132" s="79">
        <f>T132*G132</f>
        <v>4260.54</v>
      </c>
      <c r="X132" s="79">
        <f>R132-V132</f>
        <v>-0.42000000000007276</v>
      </c>
      <c r="Z132" s="330" t="s">
        <v>480</v>
      </c>
    </row>
    <row r="133" spans="1:28" s="330" customFormat="1" ht="14.45" customHeight="1">
      <c r="A133" s="261">
        <v>125</v>
      </c>
      <c r="B133" s="291" t="s">
        <v>438</v>
      </c>
      <c r="C133" s="387" t="s">
        <v>483</v>
      </c>
      <c r="D133" s="346" t="s">
        <v>390</v>
      </c>
      <c r="E133" s="269" t="s">
        <v>188</v>
      </c>
      <c r="F133" s="291" t="s">
        <v>224</v>
      </c>
      <c r="G133" s="347">
        <f>'Detailed PL'!I155</f>
        <v>51</v>
      </c>
      <c r="H133" s="348" t="s">
        <v>146</v>
      </c>
      <c r="I133" s="348" t="s">
        <v>236</v>
      </c>
      <c r="J133" s="349">
        <f>'Detailed PL'!P155</f>
        <v>752.25</v>
      </c>
      <c r="K133" s="349">
        <f>J133+150</f>
        <v>902.25</v>
      </c>
      <c r="L133" s="376">
        <v>902.25</v>
      </c>
      <c r="M133" s="349">
        <f t="shared" si="19"/>
        <v>0</v>
      </c>
      <c r="N133" s="271">
        <v>20.25</v>
      </c>
      <c r="O133" s="271">
        <v>1032.74</v>
      </c>
      <c r="P133" s="271" t="s">
        <v>223</v>
      </c>
      <c r="R133" s="377">
        <v>1032.8</v>
      </c>
      <c r="T133" s="330">
        <v>20.25</v>
      </c>
      <c r="V133" s="79">
        <f t="shared" si="17"/>
        <v>1032.75</v>
      </c>
      <c r="X133" s="79">
        <f t="shared" si="14"/>
        <v>4.9999999999954525E-2</v>
      </c>
      <c r="Z133" s="330" t="s">
        <v>480</v>
      </c>
    </row>
    <row r="134" spans="1:28" ht="14.1" customHeight="1">
      <c r="A134" s="81"/>
      <c r="B134" s="82"/>
      <c r="C134" s="83"/>
      <c r="D134" s="83"/>
      <c r="E134" s="83"/>
      <c r="F134" s="84"/>
      <c r="G134" s="85"/>
      <c r="H134" s="85"/>
      <c r="I134" s="86" t="s">
        <v>32</v>
      </c>
      <c r="J134" s="87"/>
      <c r="K134" s="83"/>
      <c r="L134" s="83"/>
      <c r="M134" s="83"/>
      <c r="N134" s="83"/>
      <c r="O134" s="331">
        <f>SUM(O9:O133)</f>
        <v>123745.58000000002</v>
      </c>
      <c r="P134" s="88"/>
      <c r="R134" s="380">
        <v>123745.58</v>
      </c>
      <c r="V134" s="79">
        <f>SUM(V9:V133)</f>
        <v>123745.59000000001</v>
      </c>
      <c r="AB134" s="79"/>
    </row>
    <row r="135" spans="1:28" ht="14.1" customHeight="1">
      <c r="A135" s="89"/>
      <c r="B135" s="90"/>
      <c r="C135" s="80"/>
      <c r="D135" s="80"/>
      <c r="E135" s="80"/>
      <c r="F135" s="91"/>
      <c r="G135" s="92"/>
      <c r="H135" s="92"/>
      <c r="I135" s="92"/>
      <c r="J135" s="93"/>
      <c r="K135" s="93"/>
      <c r="L135" s="93"/>
      <c r="M135" s="93"/>
      <c r="N135" s="80"/>
      <c r="O135" s="80"/>
      <c r="P135" s="90"/>
      <c r="Q135" s="79"/>
    </row>
    <row r="137" spans="1:28">
      <c r="T137" s="79">
        <f>R134-V134</f>
        <v>-1.0000000009313226E-2</v>
      </c>
    </row>
    <row r="139" spans="1:28">
      <c r="L139" s="373"/>
      <c r="M139" s="375">
        <f>L20-$L$142</f>
        <v>31.74</v>
      </c>
    </row>
    <row r="140" spans="1:28">
      <c r="L140" s="373"/>
      <c r="M140" s="375">
        <f t="shared" ref="M140:M145" si="20">L21-$L$142</f>
        <v>22.94</v>
      </c>
    </row>
    <row r="141" spans="1:28">
      <c r="L141" s="374"/>
      <c r="M141" s="375">
        <f t="shared" si="20"/>
        <v>14.24</v>
      </c>
    </row>
    <row r="142" spans="1:28">
      <c r="M142" s="375">
        <f t="shared" si="20"/>
        <v>5.1400000000000006</v>
      </c>
    </row>
    <row r="143" spans="1:28">
      <c r="M143" s="375">
        <f t="shared" si="20"/>
        <v>24.34</v>
      </c>
    </row>
    <row r="144" spans="1:28">
      <c r="M144" s="375">
        <f t="shared" si="20"/>
        <v>60.55</v>
      </c>
    </row>
    <row r="145" spans="13:13">
      <c r="M145" s="375">
        <f t="shared" si="20"/>
        <v>130.55000000000001</v>
      </c>
    </row>
  </sheetData>
  <autoFilter ref="A8:AB134" xr:uid="{00000000-0001-0000-0100-000000000000}">
    <filterColumn colId="2" showButton="0"/>
  </autoFilter>
  <mergeCells count="14">
    <mergeCell ref="N7:N8"/>
    <mergeCell ref="O7:O8"/>
    <mergeCell ref="P7:P8"/>
    <mergeCell ref="G7:H7"/>
    <mergeCell ref="I7:I8"/>
    <mergeCell ref="J7:J8"/>
    <mergeCell ref="K7:K8"/>
    <mergeCell ref="L7:L8"/>
    <mergeCell ref="J5:K5"/>
    <mergeCell ref="A7:A8"/>
    <mergeCell ref="B7:B8"/>
    <mergeCell ref="E7:E8"/>
    <mergeCell ref="F7:F8"/>
    <mergeCell ref="C7:D8"/>
  </mergeCells>
  <phoneticPr fontId="34" type="noConversion"/>
  <printOptions horizontalCentered="1"/>
  <pageMargins left="0.70866141732283472" right="0.31496062992125984" top="0.74803149606299213" bottom="0.74803149606299213" header="0.31496062992125984" footer="0.31496062992125984"/>
  <pageSetup paperSize="9" scale="61"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V58"/>
  <sheetViews>
    <sheetView showGridLines="0" view="pageBreakPreview" zoomScale="80" zoomScaleNormal="100" zoomScaleSheetLayoutView="80" workbookViewId="0">
      <selection activeCell="A4" sqref="A4:K4"/>
    </sheetView>
  </sheetViews>
  <sheetFormatPr defaultColWidth="9.5859375" defaultRowHeight="17.25" customHeight="1"/>
  <cols>
    <col min="1" max="1" width="1.63671875" style="7" customWidth="1"/>
    <col min="2" max="2" width="27.12890625" style="7" customWidth="1"/>
    <col min="3" max="3" width="3.625" style="7" customWidth="1"/>
    <col min="4" max="4" width="6.6640625" style="7" customWidth="1"/>
    <col min="5" max="5" width="7.6015625" style="7" customWidth="1"/>
    <col min="6" max="6" width="9.8203125" style="7" customWidth="1"/>
    <col min="7" max="7" width="17.3046875" style="6" customWidth="1"/>
    <col min="8" max="8" width="11.57421875" style="6" customWidth="1"/>
    <col min="9" max="10" width="9.5859375" style="6" customWidth="1"/>
    <col min="11" max="11" width="14.3828125" style="72" bestFit="1" customWidth="1"/>
    <col min="12" max="12" width="7.71484375" style="6" customWidth="1"/>
    <col min="13" max="13" width="7.71484375" style="94" customWidth="1"/>
    <col min="14" max="14" width="7.71484375" style="66" customWidth="1"/>
    <col min="15" max="15" width="9.5859375" style="95"/>
    <col min="16" max="17" width="9.5859375" style="66"/>
    <col min="18" max="16384" width="9.5859375" style="7"/>
  </cols>
  <sheetData>
    <row r="1" spans="1:21" ht="22.15" customHeight="1">
      <c r="A1" s="1"/>
      <c r="B1" s="2"/>
      <c r="C1" s="2"/>
      <c r="D1" s="2"/>
      <c r="E1" s="2"/>
      <c r="F1" s="2"/>
      <c r="G1" s="3"/>
      <c r="H1" s="3"/>
      <c r="I1" s="3"/>
      <c r="J1" s="4"/>
      <c r="K1" s="5"/>
    </row>
    <row r="2" spans="1:21" ht="22.15" customHeight="1">
      <c r="A2" s="8"/>
      <c r="B2" s="183"/>
      <c r="C2" s="183"/>
      <c r="D2" s="183"/>
      <c r="E2" s="183"/>
      <c r="F2" s="183"/>
      <c r="G2" s="184"/>
      <c r="H2" s="184"/>
      <c r="I2" s="184"/>
      <c r="J2" s="185"/>
      <c r="K2" s="9"/>
    </row>
    <row r="3" spans="1:21" ht="37.5" customHeight="1">
      <c r="A3" s="10"/>
      <c r="B3" s="401" t="s">
        <v>125</v>
      </c>
      <c r="C3" s="457"/>
      <c r="D3" s="457"/>
      <c r="E3" s="457"/>
      <c r="F3" s="457"/>
      <c r="G3" s="198"/>
      <c r="H3" s="458"/>
      <c r="I3" s="459"/>
      <c r="J3" s="459"/>
      <c r="K3" s="460"/>
    </row>
    <row r="4" spans="1:21" s="13" customFormat="1" ht="22.15" customHeight="1">
      <c r="A4" s="404" t="s">
        <v>33</v>
      </c>
      <c r="B4" s="405"/>
      <c r="C4" s="405"/>
      <c r="D4" s="405"/>
      <c r="E4" s="405"/>
      <c r="F4" s="405"/>
      <c r="G4" s="405"/>
      <c r="H4" s="405"/>
      <c r="I4" s="405"/>
      <c r="J4" s="405"/>
      <c r="K4" s="406"/>
      <c r="L4" s="11"/>
      <c r="M4" s="11"/>
      <c r="N4" s="96"/>
      <c r="O4" s="96"/>
      <c r="P4" s="97"/>
      <c r="R4" s="12"/>
      <c r="S4" s="12"/>
      <c r="T4" s="12"/>
      <c r="U4" s="12"/>
    </row>
    <row r="5" spans="1:21" s="13" customFormat="1" ht="12.75">
      <c r="A5" s="14" t="s">
        <v>2</v>
      </c>
      <c r="B5" s="15"/>
      <c r="C5" s="15"/>
      <c r="D5" s="15"/>
      <c r="E5" s="16"/>
      <c r="F5" s="17"/>
      <c r="G5" s="18" t="s">
        <v>34</v>
      </c>
      <c r="H5" s="19" t="s">
        <v>226</v>
      </c>
      <c r="I5" s="19"/>
      <c r="J5" s="19"/>
      <c r="K5" s="20"/>
      <c r="L5" s="21"/>
      <c r="M5" s="21"/>
      <c r="N5" s="21"/>
      <c r="O5" s="21"/>
      <c r="P5" s="21"/>
      <c r="Q5" s="21"/>
      <c r="R5" s="12"/>
      <c r="S5" s="12"/>
      <c r="T5" s="12"/>
      <c r="U5" s="12"/>
    </row>
    <row r="6" spans="1:21" s="13" customFormat="1" ht="12.75">
      <c r="A6" s="98"/>
      <c r="B6" s="481" t="s">
        <v>130</v>
      </c>
      <c r="C6" s="482"/>
      <c r="D6" s="482"/>
      <c r="E6" s="482"/>
      <c r="F6" s="483"/>
      <c r="G6" s="24" t="s">
        <v>4</v>
      </c>
      <c r="H6" s="370">
        <f>'Commercial Invoice'!H6</f>
        <v>46177</v>
      </c>
      <c r="I6" s="32"/>
      <c r="J6" s="41"/>
      <c r="K6" s="27"/>
      <c r="L6" s="21"/>
      <c r="M6" s="21"/>
      <c r="N6" s="21"/>
      <c r="O6" s="21"/>
      <c r="P6" s="21"/>
      <c r="Q6" s="21"/>
      <c r="R6" s="12"/>
      <c r="S6" s="12"/>
      <c r="T6" s="12"/>
      <c r="U6" s="12"/>
    </row>
    <row r="7" spans="1:21" ht="12.75">
      <c r="A7" s="8"/>
      <c r="B7" s="482"/>
      <c r="C7" s="482"/>
      <c r="D7" s="482"/>
      <c r="E7" s="482"/>
      <c r="F7" s="483"/>
      <c r="G7" s="29" t="s">
        <v>5</v>
      </c>
      <c r="H7" s="30" t="s">
        <v>6</v>
      </c>
      <c r="I7" s="30"/>
      <c r="J7" s="30"/>
      <c r="K7" s="99"/>
    </row>
    <row r="8" spans="1:21" ht="12.75">
      <c r="A8" s="8"/>
      <c r="B8" s="484"/>
      <c r="C8" s="484"/>
      <c r="D8" s="484"/>
      <c r="E8" s="484"/>
      <c r="F8" s="485"/>
      <c r="G8" s="24" t="s">
        <v>4</v>
      </c>
      <c r="H8" s="193">
        <f>'Commercial Invoice'!H8</f>
        <v>45814</v>
      </c>
      <c r="I8" s="32"/>
      <c r="J8" s="32"/>
      <c r="K8" s="99"/>
    </row>
    <row r="9" spans="1:21" ht="21" thickBot="1">
      <c r="A9" s="33" t="s">
        <v>7</v>
      </c>
      <c r="B9" s="30"/>
      <c r="C9" s="30"/>
      <c r="D9" s="30"/>
      <c r="E9" s="30"/>
      <c r="F9" s="34"/>
      <c r="G9" s="407" t="str">
        <f>[6]CI!G9</f>
        <v>SHIPPING MARK</v>
      </c>
      <c r="H9" s="408"/>
      <c r="I9" s="408"/>
      <c r="J9" s="408"/>
      <c r="K9" s="409"/>
    </row>
    <row r="10" spans="1:21" ht="17.649999999999999" customHeight="1">
      <c r="A10" s="8"/>
      <c r="B10" s="476" t="s">
        <v>128</v>
      </c>
      <c r="C10" s="477"/>
      <c r="D10" s="477"/>
      <c r="E10" s="477"/>
      <c r="F10" s="478"/>
      <c r="G10" s="415" t="s">
        <v>9</v>
      </c>
      <c r="H10" s="416"/>
      <c r="I10" s="416"/>
      <c r="J10" s="416"/>
      <c r="K10" s="417"/>
    </row>
    <row r="11" spans="1:21" ht="17.649999999999999" customHeight="1">
      <c r="A11" s="8"/>
      <c r="B11" s="477"/>
      <c r="C11" s="477"/>
      <c r="D11" s="477"/>
      <c r="E11" s="477"/>
      <c r="F11" s="478"/>
      <c r="G11" s="418"/>
      <c r="H11" s="419"/>
      <c r="I11" s="419"/>
      <c r="J11" s="419"/>
      <c r="K11" s="420"/>
    </row>
    <row r="12" spans="1:21" ht="24" customHeight="1" thickBot="1">
      <c r="A12" s="35"/>
      <c r="B12" s="479"/>
      <c r="C12" s="479"/>
      <c r="D12" s="479"/>
      <c r="E12" s="479"/>
      <c r="F12" s="480"/>
      <c r="G12" s="421"/>
      <c r="H12" s="422"/>
      <c r="I12" s="422"/>
      <c r="J12" s="422"/>
      <c r="K12" s="423"/>
    </row>
    <row r="13" spans="1:21" ht="21.6" customHeight="1">
      <c r="A13" s="36" t="s">
        <v>10</v>
      </c>
      <c r="B13" s="188"/>
      <c r="C13" s="183"/>
      <c r="D13" s="183"/>
      <c r="E13" s="183"/>
      <c r="F13" s="183"/>
      <c r="G13" s="100"/>
      <c r="H13" s="471"/>
      <c r="I13" s="471"/>
      <c r="J13" s="471"/>
      <c r="K13" s="472"/>
    </row>
    <row r="14" spans="1:21" ht="14.1" customHeight="1">
      <c r="A14" s="8"/>
      <c r="B14" s="435" t="s">
        <v>131</v>
      </c>
      <c r="C14" s="436"/>
      <c r="D14" s="436"/>
      <c r="E14" s="436"/>
      <c r="F14" s="437"/>
      <c r="G14" s="38"/>
      <c r="H14" s="424"/>
      <c r="I14" s="424"/>
      <c r="J14" s="424"/>
      <c r="K14" s="425"/>
    </row>
    <row r="15" spans="1:21" ht="14.1" customHeight="1">
      <c r="A15" s="8"/>
      <c r="B15" s="436"/>
      <c r="C15" s="436"/>
      <c r="D15" s="436"/>
      <c r="E15" s="436"/>
      <c r="F15" s="437"/>
      <c r="G15" s="275" t="s">
        <v>158</v>
      </c>
      <c r="H15" s="426" t="str">
        <f>H5</f>
        <v>OM4-DE-IS-0009</v>
      </c>
      <c r="I15" s="426"/>
      <c r="J15" s="426"/>
      <c r="K15" s="276"/>
    </row>
    <row r="16" spans="1:21" ht="13.9" customHeight="1">
      <c r="A16" s="8"/>
      <c r="B16" s="436"/>
      <c r="C16" s="436"/>
      <c r="D16" s="436"/>
      <c r="E16" s="436"/>
      <c r="F16" s="437"/>
      <c r="G16" s="38"/>
      <c r="H16" s="190"/>
      <c r="I16" s="190"/>
      <c r="J16" s="190"/>
      <c r="K16" s="211"/>
    </row>
    <row r="17" spans="1:22" ht="99.4" customHeight="1">
      <c r="A17" s="8"/>
      <c r="B17" s="438"/>
      <c r="C17" s="438"/>
      <c r="D17" s="438"/>
      <c r="E17" s="438"/>
      <c r="F17" s="439"/>
      <c r="G17" s="275" t="s">
        <v>12</v>
      </c>
      <c r="H17" s="473" t="s">
        <v>222</v>
      </c>
      <c r="I17" s="473"/>
      <c r="J17" s="473"/>
      <c r="K17" s="316"/>
    </row>
    <row r="18" spans="1:22" ht="18.600000000000001" customHeight="1">
      <c r="A18" s="33" t="s">
        <v>13</v>
      </c>
      <c r="B18" s="40"/>
      <c r="C18" s="29" t="s">
        <v>14</v>
      </c>
      <c r="D18" s="30"/>
      <c r="E18" s="30"/>
      <c r="F18" s="34"/>
      <c r="G18" s="38"/>
      <c r="H18" s="463"/>
      <c r="I18" s="463"/>
      <c r="J18" s="463"/>
      <c r="K18" s="464"/>
    </row>
    <row r="19" spans="1:22" s="6" customFormat="1" ht="12.75">
      <c r="A19" s="35"/>
      <c r="B19" s="259" t="s">
        <v>466</v>
      </c>
      <c r="C19" s="260"/>
      <c r="D19" s="443">
        <v>46208</v>
      </c>
      <c r="E19" s="443"/>
      <c r="F19" s="444"/>
      <c r="G19" s="177" t="s">
        <v>110</v>
      </c>
      <c r="H19" s="465" t="s">
        <v>111</v>
      </c>
      <c r="I19" s="465"/>
      <c r="J19" s="465"/>
      <c r="K19" s="466"/>
      <c r="M19" s="94"/>
      <c r="N19" s="66"/>
      <c r="O19" s="95"/>
      <c r="P19" s="66"/>
      <c r="Q19" s="66"/>
      <c r="R19" s="7"/>
      <c r="S19" s="7"/>
      <c r="T19" s="7"/>
      <c r="U19" s="7"/>
      <c r="V19" s="7"/>
    </row>
    <row r="20" spans="1:22" s="6" customFormat="1" ht="18.600000000000001" customHeight="1">
      <c r="A20" s="33" t="s">
        <v>15</v>
      </c>
      <c r="B20" s="30"/>
      <c r="C20" s="29" t="s">
        <v>16</v>
      </c>
      <c r="D20" s="30"/>
      <c r="E20" s="30"/>
      <c r="F20" s="34"/>
      <c r="G20" s="37"/>
      <c r="H20" s="463"/>
      <c r="I20" s="463"/>
      <c r="J20" s="463"/>
      <c r="K20" s="464"/>
      <c r="M20" s="94"/>
      <c r="N20" s="66"/>
      <c r="O20" s="95"/>
      <c r="P20" s="66"/>
      <c r="Q20" s="66"/>
      <c r="R20" s="7"/>
      <c r="S20" s="7"/>
      <c r="T20" s="7"/>
      <c r="U20" s="7"/>
      <c r="V20" s="7"/>
    </row>
    <row r="21" spans="1:22" s="6" customFormat="1" ht="12.75">
      <c r="A21" s="277"/>
      <c r="B21" s="283" t="s">
        <v>214</v>
      </c>
      <c r="C21" s="42"/>
      <c r="D21" s="272" t="s">
        <v>221</v>
      </c>
      <c r="E21" s="273"/>
      <c r="F21" s="274"/>
      <c r="G21" s="37"/>
      <c r="H21" s="185"/>
      <c r="I21" s="184"/>
      <c r="J21" s="184"/>
      <c r="K21" s="9"/>
      <c r="M21" s="94"/>
      <c r="N21" s="66"/>
      <c r="O21" s="95"/>
      <c r="P21" s="66"/>
      <c r="Q21" s="66"/>
      <c r="R21" s="7"/>
      <c r="S21" s="7"/>
      <c r="T21" s="7"/>
      <c r="U21" s="7"/>
      <c r="V21" s="7"/>
    </row>
    <row r="22" spans="1:22" s="6" customFormat="1" ht="18.600000000000001" customHeight="1">
      <c r="A22" s="33" t="s">
        <v>17</v>
      </c>
      <c r="B22" s="40"/>
      <c r="C22" s="29" t="s">
        <v>18</v>
      </c>
      <c r="D22" s="30"/>
      <c r="E22" s="30"/>
      <c r="F22" s="34"/>
      <c r="G22" s="37"/>
      <c r="H22" s="185"/>
      <c r="I22" s="184"/>
      <c r="J22" s="184"/>
      <c r="K22" s="9"/>
      <c r="M22" s="94"/>
      <c r="N22" s="66"/>
      <c r="O22" s="95"/>
      <c r="P22" s="66"/>
      <c r="Q22" s="66"/>
      <c r="R22" s="7"/>
      <c r="S22" s="7"/>
      <c r="T22" s="7"/>
      <c r="U22" s="7"/>
      <c r="V22" s="7"/>
    </row>
    <row r="23" spans="1:22" s="6" customFormat="1" ht="12.75">
      <c r="A23" s="35"/>
      <c r="B23" s="259"/>
      <c r="C23" s="260"/>
      <c r="D23" s="447"/>
      <c r="E23" s="447"/>
      <c r="F23" s="448"/>
      <c r="G23" s="37"/>
      <c r="H23" s="184"/>
      <c r="I23" s="184"/>
      <c r="J23" s="184"/>
      <c r="K23" s="9"/>
      <c r="M23" s="94"/>
      <c r="N23" s="66"/>
      <c r="O23" s="95"/>
      <c r="P23" s="66"/>
      <c r="Q23" s="66"/>
      <c r="R23" s="7"/>
      <c r="S23" s="7"/>
      <c r="T23" s="7"/>
      <c r="U23" s="7"/>
      <c r="V23" s="7"/>
    </row>
    <row r="24" spans="1:22" s="6" customFormat="1" ht="18.600000000000001" customHeight="1">
      <c r="A24" s="33" t="s">
        <v>19</v>
      </c>
      <c r="B24" s="30"/>
      <c r="C24" s="30"/>
      <c r="D24" s="30"/>
      <c r="E24" s="30"/>
      <c r="F24" s="30"/>
      <c r="G24" s="43"/>
      <c r="H24" s="44"/>
      <c r="I24" s="44"/>
      <c r="J24" s="44"/>
      <c r="K24" s="46"/>
      <c r="M24" s="94"/>
      <c r="N24" s="66"/>
      <c r="O24" s="95"/>
      <c r="P24" s="66"/>
      <c r="Q24" s="66"/>
      <c r="R24" s="7"/>
      <c r="S24" s="7"/>
      <c r="T24" s="7"/>
      <c r="U24" s="7"/>
      <c r="V24" s="7"/>
    </row>
    <row r="25" spans="1:22" s="6" customFormat="1" ht="12.75">
      <c r="A25" s="8"/>
      <c r="B25" s="188" t="s">
        <v>9</v>
      </c>
      <c r="C25" s="183"/>
      <c r="D25" s="183"/>
      <c r="E25" s="183"/>
      <c r="F25" s="183"/>
      <c r="G25" s="37"/>
      <c r="H25" s="184"/>
      <c r="I25" s="184"/>
      <c r="J25" s="184"/>
      <c r="K25" s="9"/>
      <c r="M25" s="94"/>
      <c r="N25" s="66"/>
      <c r="O25" s="95"/>
      <c r="P25" s="66"/>
      <c r="Q25" s="66"/>
      <c r="R25" s="7"/>
      <c r="S25" s="7"/>
      <c r="T25" s="7"/>
      <c r="U25" s="7"/>
      <c r="V25" s="7"/>
    </row>
    <row r="26" spans="1:22" s="6" customFormat="1" ht="12.75">
      <c r="A26" s="35"/>
      <c r="B26" s="449" t="s">
        <v>132</v>
      </c>
      <c r="C26" s="449"/>
      <c r="D26" s="449"/>
      <c r="E26" s="449"/>
      <c r="F26" s="450"/>
      <c r="G26" s="47"/>
      <c r="H26" s="48"/>
      <c r="I26" s="48"/>
      <c r="J26" s="48"/>
      <c r="K26" s="49"/>
      <c r="M26" s="94"/>
      <c r="N26" s="66"/>
      <c r="O26" s="95"/>
      <c r="P26" s="66"/>
      <c r="Q26" s="66"/>
      <c r="R26" s="7"/>
      <c r="S26" s="7"/>
      <c r="T26" s="7"/>
      <c r="U26" s="7"/>
      <c r="V26" s="7"/>
    </row>
    <row r="27" spans="1:22" s="28" customFormat="1" ht="35.25">
      <c r="A27" s="467" t="s">
        <v>20</v>
      </c>
      <c r="B27" s="468"/>
      <c r="C27" s="468"/>
      <c r="D27" s="468"/>
      <c r="E27" s="468"/>
      <c r="F27" s="468"/>
      <c r="G27" s="101" t="s">
        <v>21</v>
      </c>
      <c r="H27" s="101" t="s">
        <v>22</v>
      </c>
      <c r="I27" s="102" t="s">
        <v>35</v>
      </c>
      <c r="J27" s="102" t="s">
        <v>36</v>
      </c>
      <c r="K27" s="103" t="s">
        <v>37</v>
      </c>
      <c r="L27" s="104"/>
      <c r="M27" s="105"/>
      <c r="N27" s="106"/>
      <c r="O27" s="107"/>
      <c r="P27" s="106"/>
      <c r="Q27" s="106"/>
    </row>
    <row r="28" spans="1:22" ht="52.9" customHeight="1">
      <c r="A28" s="36"/>
      <c r="B28" s="469" t="s">
        <v>134</v>
      </c>
      <c r="C28" s="469"/>
      <c r="D28" s="469"/>
      <c r="E28" s="469"/>
      <c r="F28" s="470"/>
      <c r="G28" s="53"/>
      <c r="H28" s="53"/>
      <c r="I28" s="108"/>
      <c r="J28" s="108"/>
      <c r="K28" s="109"/>
    </row>
    <row r="29" spans="1:22" ht="14.1" customHeight="1">
      <c r="A29" s="474" t="s">
        <v>225</v>
      </c>
      <c r="B29" s="474"/>
      <c r="C29" s="474"/>
      <c r="D29" s="474"/>
      <c r="E29" s="474"/>
      <c r="F29" s="475"/>
      <c r="G29" s="110"/>
      <c r="H29" s="110"/>
      <c r="I29" s="53"/>
      <c r="J29" s="53"/>
      <c r="K29" s="56"/>
    </row>
    <row r="30" spans="1:22" ht="14.1" customHeight="1">
      <c r="A30" s="474"/>
      <c r="B30" s="474"/>
      <c r="C30" s="474"/>
      <c r="D30" s="474"/>
      <c r="E30" s="474"/>
      <c r="F30" s="475"/>
      <c r="G30" s="285" t="s">
        <v>146</v>
      </c>
      <c r="H30" s="285">
        <f>'PL(2_2)'!F15</f>
        <v>32</v>
      </c>
      <c r="I30" s="378">
        <f>'PL(2_2)'!M15</f>
        <v>1920</v>
      </c>
      <c r="J30" s="378">
        <f>'PL(2_2)'!N15</f>
        <v>2220</v>
      </c>
      <c r="K30" s="379">
        <f>'PL(2_2)'!L15</f>
        <v>6.72</v>
      </c>
    </row>
    <row r="31" spans="1:22" ht="14.1" customHeight="1">
      <c r="A31" s="474"/>
      <c r="B31" s="474"/>
      <c r="C31" s="474"/>
      <c r="D31" s="474"/>
      <c r="E31" s="474"/>
      <c r="F31" s="475"/>
      <c r="G31" s="285" t="s">
        <v>146</v>
      </c>
      <c r="H31" s="285">
        <f>'PL(2_2)'!F16</f>
        <v>28</v>
      </c>
      <c r="I31" s="378">
        <f>'PL(2_2)'!M16</f>
        <v>1680</v>
      </c>
      <c r="J31" s="378">
        <f>'PL(2_2)'!N16</f>
        <v>1980</v>
      </c>
      <c r="K31" s="379">
        <f>'PL(2_2)'!L16</f>
        <v>5.46</v>
      </c>
    </row>
    <row r="32" spans="1:22" ht="14.1" customHeight="1">
      <c r="A32" s="474"/>
      <c r="B32" s="474"/>
      <c r="C32" s="474"/>
      <c r="D32" s="474"/>
      <c r="E32" s="474"/>
      <c r="F32" s="475"/>
      <c r="G32" s="285" t="s">
        <v>146</v>
      </c>
      <c r="H32" s="285">
        <f>'PL(2_2)'!F17</f>
        <v>1060</v>
      </c>
      <c r="I32" s="378">
        <f>'PL(2_2)'!M17</f>
        <v>1042.5999999999999</v>
      </c>
      <c r="J32" s="378">
        <f>'PL(2_2)'!N17</f>
        <v>1342.6</v>
      </c>
      <c r="K32" s="379">
        <f>'PL(2_2)'!L17</f>
        <v>3.75</v>
      </c>
    </row>
    <row r="33" spans="1:22" ht="14.1" customHeight="1">
      <c r="A33" s="474"/>
      <c r="B33" s="474"/>
      <c r="C33" s="474"/>
      <c r="D33" s="474"/>
      <c r="E33" s="474"/>
      <c r="F33" s="475"/>
      <c r="G33" s="285" t="s">
        <v>146</v>
      </c>
      <c r="H33" s="285">
        <f>'PL(2_2)'!F18</f>
        <v>75</v>
      </c>
      <c r="I33" s="378">
        <f>'PL(2_2)'!M18</f>
        <v>1162.5</v>
      </c>
      <c r="J33" s="378">
        <f>'PL(2_2)'!N18</f>
        <v>1462.5</v>
      </c>
      <c r="K33" s="379">
        <f>'PL(2_2)'!L18</f>
        <v>3.24</v>
      </c>
    </row>
    <row r="34" spans="1:22" ht="14.1" customHeight="1">
      <c r="A34" s="474"/>
      <c r="B34" s="474"/>
      <c r="C34" s="474"/>
      <c r="D34" s="474"/>
      <c r="E34" s="474"/>
      <c r="F34" s="475"/>
      <c r="G34" s="285" t="s">
        <v>146</v>
      </c>
      <c r="H34" s="285">
        <f>'PL(2_2)'!F19</f>
        <v>75</v>
      </c>
      <c r="I34" s="378">
        <f>'PL(2_2)'!M19</f>
        <v>1162.5</v>
      </c>
      <c r="J34" s="378">
        <f>'PL(2_2)'!N19</f>
        <v>1462.5</v>
      </c>
      <c r="K34" s="379">
        <f>'PL(2_2)'!L19</f>
        <v>3.24</v>
      </c>
    </row>
    <row r="35" spans="1:22" ht="14.1" customHeight="1">
      <c r="A35" s="474"/>
      <c r="B35" s="474"/>
      <c r="C35" s="474"/>
      <c r="D35" s="474"/>
      <c r="E35" s="474"/>
      <c r="F35" s="475"/>
      <c r="G35" s="285" t="s">
        <v>146</v>
      </c>
      <c r="H35" s="285">
        <f>'PL(2_2)'!F20</f>
        <v>50</v>
      </c>
      <c r="I35" s="378">
        <f>'PL(2_2)'!M20</f>
        <v>1102.5</v>
      </c>
      <c r="J35" s="378">
        <f>'PL(2_2)'!N20</f>
        <v>1402.5</v>
      </c>
      <c r="K35" s="379">
        <f>'PL(2_2)'!L20</f>
        <v>3.6</v>
      </c>
    </row>
    <row r="36" spans="1:22" ht="14.1" customHeight="1">
      <c r="A36" s="474"/>
      <c r="B36" s="474"/>
      <c r="C36" s="474"/>
      <c r="D36" s="474"/>
      <c r="E36" s="474"/>
      <c r="F36" s="475"/>
      <c r="G36" s="285" t="s">
        <v>146</v>
      </c>
      <c r="H36" s="285">
        <f>'PL(2_2)'!F21</f>
        <v>50</v>
      </c>
      <c r="I36" s="378">
        <f>'PL(2_2)'!M21</f>
        <v>1102.5</v>
      </c>
      <c r="J36" s="378">
        <f>'PL(2_2)'!N21</f>
        <v>1402.5</v>
      </c>
      <c r="K36" s="379">
        <f>'PL(2_2)'!L21</f>
        <v>3.6</v>
      </c>
    </row>
    <row r="37" spans="1:22" ht="14.1" customHeight="1">
      <c r="A37" s="474"/>
      <c r="B37" s="474"/>
      <c r="C37" s="474"/>
      <c r="D37" s="474"/>
      <c r="E37" s="474"/>
      <c r="F37" s="475"/>
      <c r="G37" s="285" t="s">
        <v>146</v>
      </c>
      <c r="H37" s="285">
        <f>'PL(2_2)'!F22</f>
        <v>50</v>
      </c>
      <c r="I37" s="378">
        <f>'PL(2_2)'!M22</f>
        <v>1500</v>
      </c>
      <c r="J37" s="378">
        <f>'PL(2_2)'!N22</f>
        <v>1800</v>
      </c>
      <c r="K37" s="379">
        <f>'PL(2_2)'!L22</f>
        <v>4.3125</v>
      </c>
    </row>
    <row r="38" spans="1:22" ht="14.1" customHeight="1">
      <c r="A38" s="474"/>
      <c r="B38" s="474"/>
      <c r="C38" s="474"/>
      <c r="D38" s="474"/>
      <c r="E38" s="474"/>
      <c r="F38" s="475"/>
      <c r="G38" s="285" t="s">
        <v>146</v>
      </c>
      <c r="H38" s="285">
        <f>'PL(2_2)'!F23</f>
        <v>50</v>
      </c>
      <c r="I38" s="378">
        <f>'PL(2_2)'!M23</f>
        <v>1500</v>
      </c>
      <c r="J38" s="378">
        <f>'PL(2_2)'!N23</f>
        <v>1800</v>
      </c>
      <c r="K38" s="379">
        <f>'PL(2_2)'!L23</f>
        <v>4.3125</v>
      </c>
    </row>
    <row r="39" spans="1:22" ht="14.1" customHeight="1">
      <c r="A39" s="474"/>
      <c r="B39" s="474"/>
      <c r="C39" s="474"/>
      <c r="D39" s="474"/>
      <c r="E39" s="474"/>
      <c r="F39" s="475"/>
      <c r="G39" s="285" t="s">
        <v>146</v>
      </c>
      <c r="H39" s="285">
        <f>'PL(2_2)'!F24</f>
        <v>3935</v>
      </c>
      <c r="I39" s="378">
        <f>'PL(2_2)'!M24</f>
        <v>1450.5</v>
      </c>
      <c r="J39" s="378">
        <f>'PL(2_2)'!N24</f>
        <v>1750.5</v>
      </c>
      <c r="K39" s="379">
        <f>'PL(2_2)'!L24</f>
        <v>5.6</v>
      </c>
    </row>
    <row r="40" spans="1:22" ht="14.1" customHeight="1">
      <c r="A40" s="474"/>
      <c r="B40" s="474"/>
      <c r="C40" s="474"/>
      <c r="D40" s="474"/>
      <c r="E40" s="474"/>
      <c r="F40" s="475"/>
      <c r="G40" s="285" t="s">
        <v>146</v>
      </c>
      <c r="H40" s="285">
        <f>'PL(2_2)'!F25</f>
        <v>1320</v>
      </c>
      <c r="I40" s="378">
        <f>'PL(2_2)'!M25</f>
        <v>1840</v>
      </c>
      <c r="J40" s="378">
        <f>'PL(2_2)'!N25</f>
        <v>2140</v>
      </c>
      <c r="K40" s="379">
        <f>'PL(2_2)'!L25</f>
        <v>17.556000000000001</v>
      </c>
    </row>
    <row r="41" spans="1:22" ht="14.1" customHeight="1">
      <c r="A41" s="474"/>
      <c r="B41" s="474"/>
      <c r="C41" s="474"/>
      <c r="D41" s="474"/>
      <c r="E41" s="474"/>
      <c r="F41" s="475"/>
      <c r="G41" s="285" t="s">
        <v>146</v>
      </c>
      <c r="H41" s="285">
        <f>'PL(2_2)'!F26</f>
        <v>22375</v>
      </c>
      <c r="I41" s="378">
        <f>'PL(2_2)'!M26</f>
        <v>2610.5</v>
      </c>
      <c r="J41" s="378">
        <f>'PL(2_2)'!N26</f>
        <v>2910.5</v>
      </c>
      <c r="K41" s="379">
        <f>'PL(2_2)'!L26</f>
        <v>4.8</v>
      </c>
    </row>
    <row r="42" spans="1:22" ht="14.1" customHeight="1">
      <c r="A42" s="474"/>
      <c r="B42" s="474"/>
      <c r="C42" s="474"/>
      <c r="D42" s="474"/>
      <c r="E42" s="474"/>
      <c r="F42" s="475"/>
      <c r="G42" s="285" t="s">
        <v>146</v>
      </c>
      <c r="H42" s="285">
        <f>'PL(2_2)'!F27</f>
        <v>80</v>
      </c>
      <c r="I42" s="378">
        <f>'PL(2_2)'!M27</f>
        <v>1494.05</v>
      </c>
      <c r="J42" s="378">
        <f>'PL(2_2)'!N27</f>
        <v>1794.05</v>
      </c>
      <c r="K42" s="379">
        <f>'PL(2_2)'!L27</f>
        <v>11.263999999999999</v>
      </c>
    </row>
    <row r="43" spans="1:22" ht="14.1" customHeight="1">
      <c r="A43" s="474"/>
      <c r="B43" s="474"/>
      <c r="C43" s="474"/>
      <c r="D43" s="474"/>
      <c r="E43" s="474"/>
      <c r="F43" s="475"/>
      <c r="G43" s="285" t="s">
        <v>146</v>
      </c>
      <c r="H43" s="285">
        <f>'PL(2_2)'!F28</f>
        <v>1800</v>
      </c>
      <c r="I43" s="378">
        <f>'PL(2_2)'!M28</f>
        <v>1530</v>
      </c>
      <c r="J43" s="378">
        <f>'PL(2_2)'!N28</f>
        <v>1830</v>
      </c>
      <c r="K43" s="379">
        <f>'PL(2_2)'!L28</f>
        <v>2.548</v>
      </c>
    </row>
    <row r="44" spans="1:22" s="279" customFormat="1" ht="14.1" customHeight="1">
      <c r="A44" s="282"/>
      <c r="B44" s="290" t="s">
        <v>25</v>
      </c>
      <c r="C44" s="283"/>
      <c r="D44" s="283">
        <v>17</v>
      </c>
      <c r="E44" s="283" t="s">
        <v>26</v>
      </c>
      <c r="F44" s="283"/>
      <c r="G44" s="285" t="s">
        <v>146</v>
      </c>
      <c r="H44" s="285">
        <f>'PL(2_2)'!F29</f>
        <v>500</v>
      </c>
      <c r="I44" s="378">
        <f>'PL(2_2)'!M29</f>
        <v>3450</v>
      </c>
      <c r="J44" s="378">
        <f>'PL(2_2)'!N29</f>
        <v>3750</v>
      </c>
      <c r="K44" s="379">
        <f>'PL(2_2)'!L29</f>
        <v>4.8</v>
      </c>
      <c r="L44" s="278"/>
      <c r="M44" s="287"/>
      <c r="N44" s="288"/>
      <c r="O44" s="289"/>
      <c r="P44" s="288"/>
      <c r="Q44" s="288"/>
    </row>
    <row r="45" spans="1:22" ht="14.1" customHeight="1">
      <c r="A45" s="36"/>
      <c r="B45" s="183"/>
      <c r="C45" s="183"/>
      <c r="D45" s="183"/>
      <c r="E45" s="183"/>
      <c r="F45" s="183"/>
      <c r="G45" s="285" t="s">
        <v>146</v>
      </c>
      <c r="H45" s="285">
        <f>'PL(2_2)'!F30</f>
        <v>150</v>
      </c>
      <c r="I45" s="378">
        <f>'PL(2_2)'!M30</f>
        <v>600</v>
      </c>
      <c r="J45" s="378">
        <f>'PL(2_2)'!N30</f>
        <v>900</v>
      </c>
      <c r="K45" s="379">
        <f>'PL(2_2)'!L30</f>
        <v>2.6880000000000002</v>
      </c>
    </row>
    <row r="46" spans="1:22" ht="14.1" customHeight="1">
      <c r="A46" s="36"/>
      <c r="B46" s="190"/>
      <c r="C46" s="183"/>
      <c r="D46" s="189"/>
      <c r="E46" s="183"/>
      <c r="F46" s="183"/>
      <c r="G46" s="285" t="s">
        <v>146</v>
      </c>
      <c r="H46" s="285">
        <f>'PL(2_2)'!F31</f>
        <v>153</v>
      </c>
      <c r="I46" s="378">
        <f>'PL(2_2)'!M31</f>
        <v>3931.59</v>
      </c>
      <c r="J46" s="378">
        <f>'PL(2_2)'!N31</f>
        <v>4231.59</v>
      </c>
      <c r="K46" s="379">
        <f>'PL(2_2)'!L31</f>
        <v>4.7519999999999998</v>
      </c>
    </row>
    <row r="47" spans="1:22" ht="14.1" customHeight="1">
      <c r="A47" s="57"/>
      <c r="B47" s="58"/>
      <c r="C47" s="58"/>
      <c r="D47" s="58"/>
      <c r="E47" s="58"/>
      <c r="F47" s="58"/>
      <c r="G47" s="60"/>
      <c r="H47" s="60"/>
      <c r="I47" s="292"/>
      <c r="J47" s="292"/>
      <c r="K47" s="294"/>
    </row>
    <row r="48" spans="1:22" s="104" customFormat="1" ht="22.9" customHeight="1">
      <c r="A48" s="111"/>
      <c r="B48" s="112"/>
      <c r="C48" s="112"/>
      <c r="D48" s="112"/>
      <c r="E48" s="112"/>
      <c r="F48" s="112"/>
      <c r="G48" s="461" t="s">
        <v>38</v>
      </c>
      <c r="H48" s="462"/>
      <c r="I48" s="295">
        <f>SUM(I28:I47)</f>
        <v>29079.239999999998</v>
      </c>
      <c r="J48" s="295">
        <f>SUM(J28:J47)</f>
        <v>34179.24</v>
      </c>
      <c r="K48" s="296">
        <f>SUM(K28:K47)</f>
        <v>92.242999999999995</v>
      </c>
      <c r="M48" s="105"/>
      <c r="N48" s="106"/>
      <c r="O48" s="107"/>
      <c r="P48" s="106"/>
      <c r="Q48" s="106"/>
      <c r="R48" s="28"/>
      <c r="S48" s="28"/>
      <c r="T48" s="28"/>
      <c r="U48" s="28"/>
      <c r="V48" s="28"/>
    </row>
    <row r="49" spans="1:22" s="6" customFormat="1" ht="14.1" customHeight="1">
      <c r="A49" s="36"/>
      <c r="B49" s="183"/>
      <c r="C49" s="183"/>
      <c r="D49" s="183"/>
      <c r="E49" s="183"/>
      <c r="F49" s="183"/>
      <c r="G49" s="184"/>
      <c r="H49" s="184"/>
      <c r="I49" s="184"/>
      <c r="J49" s="184"/>
      <c r="K49" s="9"/>
      <c r="M49" s="94"/>
      <c r="N49" s="66"/>
      <c r="O49" s="95"/>
      <c r="P49" s="66"/>
      <c r="Q49" s="66"/>
      <c r="R49" s="7"/>
      <c r="S49" s="7"/>
      <c r="T49" s="7"/>
      <c r="U49" s="7"/>
      <c r="V49" s="7"/>
    </row>
    <row r="50" spans="1:22" s="6" customFormat="1" ht="14.1" customHeight="1">
      <c r="A50" s="36"/>
      <c r="B50" s="183"/>
      <c r="C50" s="183"/>
      <c r="D50" s="183"/>
      <c r="E50" s="183"/>
      <c r="F50" s="183"/>
      <c r="G50" s="184"/>
      <c r="H50" s="184"/>
      <c r="I50" s="184"/>
      <c r="J50" s="184"/>
      <c r="K50" s="9"/>
      <c r="M50" s="94"/>
      <c r="N50" s="66"/>
      <c r="O50" s="95"/>
      <c r="P50" s="66"/>
      <c r="Q50" s="66"/>
      <c r="R50" s="7"/>
      <c r="S50" s="7"/>
      <c r="T50" s="7"/>
      <c r="U50" s="7"/>
      <c r="V50" s="7"/>
    </row>
    <row r="51" spans="1:22" s="6" customFormat="1" ht="14.1" customHeight="1">
      <c r="A51" s="36"/>
      <c r="B51" s="183"/>
      <c r="C51" s="183"/>
      <c r="D51" s="183"/>
      <c r="E51" s="183"/>
      <c r="F51" s="183"/>
      <c r="G51" s="184"/>
      <c r="H51" s="184"/>
      <c r="I51" s="184"/>
      <c r="J51" s="184"/>
      <c r="K51" s="9"/>
      <c r="M51" s="94"/>
      <c r="N51" s="66"/>
      <c r="O51" s="95"/>
      <c r="P51" s="66"/>
      <c r="Q51" s="66"/>
      <c r="R51" s="7"/>
      <c r="S51" s="7"/>
      <c r="T51" s="7"/>
      <c r="U51" s="7"/>
      <c r="V51" s="7"/>
    </row>
    <row r="52" spans="1:22" s="6" customFormat="1" ht="14.1" customHeight="1">
      <c r="A52" s="36"/>
      <c r="B52" s="183"/>
      <c r="C52" s="183"/>
      <c r="D52" s="183"/>
      <c r="E52" s="183"/>
      <c r="F52" s="183"/>
      <c r="G52" s="184"/>
      <c r="H52" s="184"/>
      <c r="I52" s="184"/>
      <c r="J52" s="184"/>
      <c r="K52" s="9"/>
      <c r="M52" s="94"/>
      <c r="N52" s="66"/>
      <c r="O52" s="95"/>
      <c r="P52" s="66"/>
      <c r="Q52" s="66"/>
      <c r="R52" s="7"/>
      <c r="S52" s="7"/>
      <c r="T52" s="7"/>
      <c r="U52" s="7"/>
      <c r="V52" s="7"/>
    </row>
    <row r="53" spans="1:22" s="6" customFormat="1" ht="14.1" customHeight="1">
      <c r="A53" s="8"/>
      <c r="B53" s="183"/>
      <c r="C53" s="183"/>
      <c r="D53" s="183"/>
      <c r="E53" s="183"/>
      <c r="F53" s="183"/>
      <c r="G53" s="184"/>
      <c r="H53" s="184"/>
      <c r="I53" s="184"/>
      <c r="J53" s="184"/>
      <c r="K53" s="9"/>
      <c r="M53" s="94"/>
      <c r="N53" s="66"/>
      <c r="O53" s="95"/>
      <c r="P53" s="66"/>
      <c r="Q53" s="66"/>
      <c r="R53" s="7"/>
      <c r="S53" s="7"/>
      <c r="T53" s="7"/>
      <c r="U53" s="7"/>
      <c r="V53" s="7"/>
    </row>
    <row r="54" spans="1:22" s="6" customFormat="1" ht="14.1" customHeight="1">
      <c r="A54" s="113"/>
      <c r="B54" s="183"/>
      <c r="C54" s="183"/>
      <c r="D54" s="183"/>
      <c r="E54" s="183"/>
      <c r="F54" s="183"/>
      <c r="G54" s="184"/>
      <c r="H54" s="184"/>
      <c r="I54" s="184"/>
      <c r="J54" s="184"/>
      <c r="K54" s="9"/>
      <c r="M54" s="94"/>
      <c r="N54" s="66"/>
      <c r="O54" s="95"/>
      <c r="P54" s="66"/>
      <c r="Q54" s="66"/>
      <c r="R54" s="7"/>
      <c r="S54" s="7"/>
      <c r="T54" s="7"/>
      <c r="U54" s="7"/>
      <c r="V54" s="7"/>
    </row>
    <row r="55" spans="1:22" s="6" customFormat="1" ht="14.1" customHeight="1">
      <c r="A55" s="114"/>
      <c r="B55" s="183"/>
      <c r="C55" s="183"/>
      <c r="D55" s="183"/>
      <c r="E55" s="183"/>
      <c r="F55" s="183"/>
      <c r="G55" s="184"/>
      <c r="H55" s="184"/>
      <c r="I55" s="184"/>
      <c r="J55" s="184"/>
      <c r="K55" s="9"/>
      <c r="M55" s="94"/>
      <c r="N55" s="66"/>
      <c r="O55" s="95"/>
      <c r="P55" s="66"/>
      <c r="Q55" s="66"/>
      <c r="R55" s="7"/>
      <c r="S55" s="7"/>
      <c r="T55" s="7"/>
      <c r="U55" s="7"/>
      <c r="V55" s="7"/>
    </row>
    <row r="56" spans="1:22" s="6" customFormat="1" ht="14.1" customHeight="1">
      <c r="A56" s="114"/>
      <c r="B56" s="199"/>
      <c r="C56" s="183"/>
      <c r="D56" s="183"/>
      <c r="E56" s="183"/>
      <c r="F56" s="183"/>
      <c r="G56" s="191" t="s">
        <v>28</v>
      </c>
      <c r="H56" s="48"/>
      <c r="I56" s="48"/>
      <c r="J56" s="48"/>
      <c r="K56" s="9"/>
      <c r="M56" s="94"/>
      <c r="N56" s="66"/>
      <c r="O56" s="95"/>
      <c r="P56" s="66"/>
      <c r="Q56" s="66"/>
      <c r="R56" s="7"/>
      <c r="S56" s="7"/>
      <c r="T56" s="7"/>
      <c r="U56" s="7"/>
      <c r="V56" s="7"/>
    </row>
    <row r="57" spans="1:22" s="6" customFormat="1" ht="14.1" customHeight="1">
      <c r="A57" s="114"/>
      <c r="B57" s="199"/>
      <c r="C57" s="183"/>
      <c r="D57" s="183"/>
      <c r="E57" s="183"/>
      <c r="F57" s="183"/>
      <c r="G57" s="191"/>
      <c r="H57" s="440" t="s">
        <v>213</v>
      </c>
      <c r="I57" s="440"/>
      <c r="J57" s="440"/>
      <c r="K57" s="9"/>
      <c r="M57" s="94"/>
      <c r="N57" s="66"/>
      <c r="O57" s="95"/>
      <c r="P57" s="66"/>
      <c r="Q57" s="66"/>
      <c r="R57" s="7"/>
      <c r="S57" s="7"/>
      <c r="T57" s="7"/>
      <c r="U57" s="7"/>
      <c r="V57" s="7"/>
    </row>
    <row r="58" spans="1:22" s="6" customFormat="1" ht="13.5" thickBot="1">
      <c r="A58" s="67"/>
      <c r="B58" s="200"/>
      <c r="C58" s="68"/>
      <c r="D58" s="68"/>
      <c r="E58" s="68"/>
      <c r="F58" s="68"/>
      <c r="G58" s="69"/>
      <c r="H58" s="70"/>
      <c r="I58" s="70"/>
      <c r="J58" s="69"/>
      <c r="K58" s="71"/>
      <c r="M58" s="94"/>
      <c r="N58" s="66"/>
      <c r="O58" s="95"/>
      <c r="P58" s="66"/>
      <c r="Q58" s="66"/>
      <c r="R58" s="7"/>
      <c r="S58" s="7"/>
      <c r="T58" s="7"/>
      <c r="U58" s="7"/>
      <c r="V58" s="7"/>
    </row>
  </sheetData>
  <mergeCells count="23">
    <mergeCell ref="H57:J57"/>
    <mergeCell ref="A29:F43"/>
    <mergeCell ref="A4:K4"/>
    <mergeCell ref="G9:K9"/>
    <mergeCell ref="G10:K12"/>
    <mergeCell ref="B10:F12"/>
    <mergeCell ref="B6:F8"/>
    <mergeCell ref="H15:J15"/>
    <mergeCell ref="B3:F3"/>
    <mergeCell ref="H3:K3"/>
    <mergeCell ref="G48:H48"/>
    <mergeCell ref="H14:K14"/>
    <mergeCell ref="H18:K18"/>
    <mergeCell ref="D19:F19"/>
    <mergeCell ref="H19:K19"/>
    <mergeCell ref="H20:K20"/>
    <mergeCell ref="D23:F23"/>
    <mergeCell ref="B26:F26"/>
    <mergeCell ref="A27:F27"/>
    <mergeCell ref="B28:F28"/>
    <mergeCell ref="B14:F17"/>
    <mergeCell ref="H13:K13"/>
    <mergeCell ref="H17:J17"/>
  </mergeCells>
  <phoneticPr fontId="34" type="noConversion"/>
  <printOptions horizontalCentered="1"/>
  <pageMargins left="0.70866141732283505" right="0.52" top="0.59" bottom="0.74803149606299202" header="0.31496062992126" footer="0.31496062992126"/>
  <pageSetup paperSize="9" scale="65"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B1:T42"/>
  <sheetViews>
    <sheetView showGridLines="0" view="pageBreakPreview" topLeftCell="B1" zoomScale="80" zoomScaleNormal="100" zoomScaleSheetLayoutView="80" workbookViewId="0">
      <selection activeCell="B4" sqref="B4:T4"/>
    </sheetView>
  </sheetViews>
  <sheetFormatPr defaultColWidth="8.76953125" defaultRowHeight="18" customHeight="1"/>
  <cols>
    <col min="1" max="1" width="1.05078125" style="116" customWidth="1"/>
    <col min="2" max="2" width="3.625" style="66" customWidth="1"/>
    <col min="3" max="3" width="22.3359375" style="39" customWidth="1"/>
    <col min="4" max="4" width="45.7265625" style="135" bestFit="1" customWidth="1"/>
    <col min="5" max="5" width="8.65234375" style="7" hidden="1" customWidth="1"/>
    <col min="6" max="6" width="8.18359375" style="133" bestFit="1" customWidth="1"/>
    <col min="7" max="7" width="5.26171875" style="7" customWidth="1"/>
    <col min="8" max="8" width="8.30078125" style="7" customWidth="1"/>
    <col min="9" max="11" width="7.25" style="7" customWidth="1"/>
    <col min="12" max="12" width="8.53515625" style="7" customWidth="1"/>
    <col min="13" max="14" width="9.9375" style="7" bestFit="1" customWidth="1"/>
    <col min="15" max="15" width="10.0546875" style="7" customWidth="1"/>
    <col min="16" max="19" width="9.5859375" style="66" customWidth="1"/>
    <col min="20" max="20" width="7.83203125" style="136" customWidth="1"/>
    <col min="21" max="21" width="7.25" style="116" customWidth="1"/>
    <col min="22" max="16384" width="8.76953125" style="116"/>
  </cols>
  <sheetData>
    <row r="1" spans="2:20" ht="9" customHeight="1">
      <c r="B1" s="339"/>
      <c r="C1" s="7"/>
      <c r="D1" s="7"/>
      <c r="F1" s="7"/>
      <c r="H1" s="6"/>
      <c r="I1" s="6"/>
      <c r="J1" s="6"/>
      <c r="K1" s="340"/>
      <c r="L1" s="117"/>
      <c r="M1" s="339"/>
      <c r="N1" s="339"/>
      <c r="O1" s="339"/>
      <c r="P1" s="339"/>
      <c r="Q1" s="339"/>
      <c r="R1" s="339"/>
      <c r="S1" s="339"/>
      <c r="T1" s="339"/>
    </row>
    <row r="2" spans="2:20" ht="26.1" customHeight="1">
      <c r="B2" s="341"/>
      <c r="C2" s="7"/>
      <c r="D2" s="7"/>
      <c r="F2" s="7"/>
      <c r="H2" s="6"/>
      <c r="I2" s="6"/>
      <c r="J2" s="6"/>
      <c r="K2" s="340"/>
      <c r="L2" s="117"/>
      <c r="M2" s="341"/>
      <c r="N2" s="341"/>
      <c r="O2" s="341"/>
      <c r="P2" s="341"/>
      <c r="Q2" s="341"/>
      <c r="R2" s="341"/>
      <c r="S2" s="341"/>
      <c r="T2" s="341"/>
    </row>
    <row r="3" spans="2:20" ht="27.6" customHeight="1" thickBot="1">
      <c r="B3" s="341"/>
      <c r="C3" s="492" t="s">
        <v>0</v>
      </c>
      <c r="D3" s="492"/>
      <c r="E3" s="492"/>
      <c r="F3" s="492"/>
      <c r="G3" s="492"/>
      <c r="H3" s="492"/>
      <c r="I3" s="492"/>
      <c r="J3" s="6"/>
      <c r="K3" s="340"/>
      <c r="L3" s="117"/>
      <c r="M3" s="118"/>
      <c r="N3" s="341"/>
      <c r="O3" s="341"/>
      <c r="P3" s="341"/>
      <c r="Q3" s="341"/>
      <c r="R3" s="341"/>
      <c r="S3" s="341"/>
      <c r="T3" s="341"/>
    </row>
    <row r="4" spans="2:20" ht="33.75" customHeight="1" thickTop="1" thickBot="1">
      <c r="B4" s="493" t="s">
        <v>39</v>
      </c>
      <c r="C4" s="494"/>
      <c r="D4" s="494"/>
      <c r="E4" s="494"/>
      <c r="F4" s="494"/>
      <c r="G4" s="494"/>
      <c r="H4" s="494"/>
      <c r="I4" s="494"/>
      <c r="J4" s="494"/>
      <c r="K4" s="494"/>
      <c r="L4" s="494"/>
      <c r="M4" s="494"/>
      <c r="N4" s="494"/>
      <c r="O4" s="494"/>
      <c r="P4" s="494"/>
      <c r="Q4" s="494"/>
      <c r="R4" s="494"/>
      <c r="S4" s="494"/>
      <c r="T4" s="495"/>
    </row>
    <row r="5" spans="2:20" s="7" customFormat="1" ht="17.25" customHeight="1" thickTop="1">
      <c r="B5" s="66"/>
      <c r="C5" s="119" t="s">
        <v>40</v>
      </c>
      <c r="D5" s="120" t="str">
        <f>'Packing List (1_2)'!H5</f>
        <v>OM4-DE-IS-0009</v>
      </c>
      <c r="E5" s="66"/>
      <c r="F5" s="66"/>
      <c r="G5" s="66"/>
      <c r="H5" s="66"/>
      <c r="I5" s="66"/>
      <c r="J5" s="66"/>
      <c r="K5" s="66"/>
      <c r="L5" s="66"/>
      <c r="M5" s="66"/>
      <c r="N5" s="66"/>
      <c r="O5" s="66"/>
      <c r="P5" s="121"/>
      <c r="Q5" s="121"/>
      <c r="R5" s="121"/>
      <c r="S5" s="121"/>
      <c r="T5" s="66"/>
    </row>
    <row r="6" spans="2:20" s="7" customFormat="1" ht="17.25" customHeight="1">
      <c r="B6" s="66"/>
      <c r="C6" s="119" t="s">
        <v>41</v>
      </c>
      <c r="D6" s="195">
        <f>'Packing List (1_2)'!H6</f>
        <v>46177</v>
      </c>
      <c r="E6" s="66"/>
      <c r="F6" s="66"/>
      <c r="G6" s="39"/>
      <c r="H6" s="66"/>
      <c r="I6" s="39" t="s">
        <v>42</v>
      </c>
      <c r="J6" s="66"/>
      <c r="K6" s="66"/>
      <c r="L6" s="66"/>
      <c r="M6" s="66"/>
      <c r="N6" s="39" t="s">
        <v>43</v>
      </c>
      <c r="O6" s="66"/>
      <c r="P6" s="66"/>
      <c r="Q6" s="66"/>
      <c r="R6" s="66"/>
      <c r="S6" s="66"/>
      <c r="T6" s="66"/>
    </row>
    <row r="7" spans="2:20" s="7" customFormat="1" ht="17.25" customHeight="1">
      <c r="B7" s="66"/>
      <c r="C7" s="119" t="s">
        <v>44</v>
      </c>
      <c r="D7" s="122" t="s">
        <v>126</v>
      </c>
      <c r="E7" s="66"/>
      <c r="F7" s="66"/>
      <c r="G7" s="123"/>
      <c r="H7" s="39"/>
      <c r="I7" s="123" t="s">
        <v>45</v>
      </c>
      <c r="J7" s="39" t="s">
        <v>46</v>
      </c>
      <c r="K7" s="66"/>
      <c r="L7" s="66"/>
      <c r="M7" s="66"/>
      <c r="N7" s="124"/>
      <c r="O7" s="125" t="s">
        <v>189</v>
      </c>
      <c r="P7" s="125" t="s">
        <v>191</v>
      </c>
      <c r="Q7" s="125" t="s">
        <v>193</v>
      </c>
      <c r="R7" s="125" t="s">
        <v>187</v>
      </c>
      <c r="S7" s="66"/>
      <c r="T7" s="66"/>
    </row>
    <row r="8" spans="2:20" s="7" customFormat="1" ht="17.25" customHeight="1">
      <c r="B8" s="66"/>
      <c r="D8" s="119"/>
      <c r="E8" s="66"/>
      <c r="F8" s="66"/>
      <c r="G8" s="123"/>
      <c r="H8" s="39"/>
      <c r="I8" s="123" t="s">
        <v>48</v>
      </c>
      <c r="J8" s="39" t="s">
        <v>49</v>
      </c>
      <c r="K8" s="66"/>
      <c r="L8" s="66"/>
      <c r="M8" s="66"/>
      <c r="N8" s="125" t="s">
        <v>50</v>
      </c>
      <c r="O8" s="125" t="s">
        <v>51</v>
      </c>
      <c r="P8" s="125" t="s">
        <v>52</v>
      </c>
      <c r="Q8" s="125" t="s">
        <v>53</v>
      </c>
      <c r="R8" s="125" t="s">
        <v>54</v>
      </c>
      <c r="S8" s="66"/>
      <c r="T8" s="66"/>
    </row>
    <row r="9" spans="2:20" s="7" customFormat="1" ht="17.25" customHeight="1">
      <c r="B9" s="66"/>
      <c r="C9" s="119"/>
      <c r="D9" s="119"/>
      <c r="E9" s="66"/>
      <c r="F9" s="66"/>
      <c r="G9" s="123"/>
      <c r="H9" s="39"/>
      <c r="I9" s="123" t="s">
        <v>55</v>
      </c>
      <c r="J9" s="39" t="s">
        <v>56</v>
      </c>
      <c r="K9" s="66"/>
      <c r="L9" s="66"/>
      <c r="M9" s="66"/>
      <c r="N9" s="125" t="s">
        <v>57</v>
      </c>
      <c r="O9" s="125" t="s">
        <v>58</v>
      </c>
      <c r="P9" s="125" t="s">
        <v>59</v>
      </c>
      <c r="Q9" s="125" t="s">
        <v>60</v>
      </c>
      <c r="R9" s="125" t="s">
        <v>61</v>
      </c>
      <c r="S9" s="66"/>
      <c r="T9" s="66"/>
    </row>
    <row r="10" spans="2:20" s="7" customFormat="1" ht="17.25" customHeight="1">
      <c r="B10" s="66"/>
      <c r="D10" s="119"/>
      <c r="E10" s="66"/>
      <c r="F10" s="66"/>
      <c r="G10" s="123"/>
      <c r="H10" s="39"/>
      <c r="I10" s="123" t="s">
        <v>62</v>
      </c>
      <c r="J10" s="39" t="s">
        <v>63</v>
      </c>
      <c r="K10" s="66"/>
      <c r="L10" s="66"/>
      <c r="M10" s="66"/>
      <c r="N10" s="125" t="s">
        <v>64</v>
      </c>
      <c r="O10" s="125" t="s">
        <v>65</v>
      </c>
      <c r="P10" s="125" t="s">
        <v>66</v>
      </c>
      <c r="Q10" s="125" t="s">
        <v>67</v>
      </c>
      <c r="R10" s="297" t="s">
        <v>68</v>
      </c>
      <c r="S10" s="66"/>
      <c r="T10" s="66"/>
    </row>
    <row r="11" spans="2:20" s="7" customFormat="1" ht="17.25" customHeight="1">
      <c r="B11" s="66"/>
      <c r="D11" s="119"/>
      <c r="E11" s="66"/>
      <c r="F11" s="66"/>
      <c r="G11" s="123"/>
      <c r="H11" s="39"/>
      <c r="I11" s="123" t="s">
        <v>69</v>
      </c>
      <c r="J11" s="39" t="s">
        <v>70</v>
      </c>
      <c r="K11" s="66"/>
      <c r="L11" s="66"/>
      <c r="M11" s="66"/>
      <c r="N11" s="66"/>
      <c r="O11" s="66"/>
      <c r="P11" s="66"/>
      <c r="Q11" s="66"/>
      <c r="R11" s="66"/>
      <c r="S11" s="66"/>
      <c r="T11" s="66"/>
    </row>
    <row r="12" spans="2:20" s="7" customFormat="1" ht="17.25" customHeight="1">
      <c r="B12" s="66"/>
      <c r="C12" s="119"/>
      <c r="D12" s="66"/>
      <c r="E12" s="66"/>
      <c r="F12" s="66"/>
      <c r="I12" s="66"/>
      <c r="J12" s="66"/>
      <c r="K12" s="66"/>
      <c r="L12" s="66"/>
      <c r="M12" s="66"/>
      <c r="N12" s="66"/>
      <c r="O12" s="66"/>
      <c r="P12" s="66"/>
      <c r="Q12" s="66"/>
      <c r="R12" s="66"/>
      <c r="S12" s="66"/>
      <c r="T12" s="66"/>
    </row>
    <row r="13" spans="2:20" s="28" customFormat="1" ht="20.25" customHeight="1">
      <c r="B13" s="488" t="s">
        <v>29</v>
      </c>
      <c r="C13" s="496" t="s">
        <v>30</v>
      </c>
      <c r="D13" s="498" t="s">
        <v>71</v>
      </c>
      <c r="E13" s="488" t="s">
        <v>145</v>
      </c>
      <c r="F13" s="486" t="s">
        <v>72</v>
      </c>
      <c r="G13" s="487"/>
      <c r="H13" s="488" t="s">
        <v>73</v>
      </c>
      <c r="I13" s="486" t="s">
        <v>74</v>
      </c>
      <c r="J13" s="468"/>
      <c r="K13" s="468"/>
      <c r="L13" s="487"/>
      <c r="M13" s="488" t="s">
        <v>75</v>
      </c>
      <c r="N13" s="488" t="s">
        <v>76</v>
      </c>
      <c r="O13" s="488" t="s">
        <v>77</v>
      </c>
      <c r="P13" s="490" t="s">
        <v>140</v>
      </c>
      <c r="Q13" s="490" t="s">
        <v>141</v>
      </c>
      <c r="R13" s="490" t="s">
        <v>142</v>
      </c>
      <c r="S13" s="488" t="s">
        <v>78</v>
      </c>
      <c r="T13" s="488" t="s">
        <v>79</v>
      </c>
    </row>
    <row r="14" spans="2:20" s="28" customFormat="1" ht="33" customHeight="1">
      <c r="B14" s="489"/>
      <c r="C14" s="497"/>
      <c r="D14" s="499"/>
      <c r="E14" s="489"/>
      <c r="F14" s="126" t="s">
        <v>80</v>
      </c>
      <c r="G14" s="126" t="s">
        <v>81</v>
      </c>
      <c r="H14" s="489"/>
      <c r="I14" s="127" t="s">
        <v>82</v>
      </c>
      <c r="J14" s="127" t="s">
        <v>83</v>
      </c>
      <c r="K14" s="127" t="s">
        <v>84</v>
      </c>
      <c r="L14" s="127" t="s">
        <v>85</v>
      </c>
      <c r="M14" s="489"/>
      <c r="N14" s="489"/>
      <c r="O14" s="489"/>
      <c r="P14" s="491"/>
      <c r="Q14" s="491"/>
      <c r="R14" s="491"/>
      <c r="S14" s="489"/>
      <c r="T14" s="489"/>
    </row>
    <row r="15" spans="2:20" s="7" customFormat="1" ht="47.25" customHeight="1">
      <c r="B15" s="209" t="s">
        <v>159</v>
      </c>
      <c r="C15" s="128" t="str">
        <f>'Detailed PL'!C15</f>
        <v>OM4-DE-IS-0009-001</v>
      </c>
      <c r="D15" s="131" t="s">
        <v>230</v>
      </c>
      <c r="E15" s="125"/>
      <c r="F15" s="210">
        <f>'Detailed PL'!I16</f>
        <v>32</v>
      </c>
      <c r="G15" s="125" t="s">
        <v>147</v>
      </c>
      <c r="H15" s="129" t="str">
        <f>'Detailed PL'!K16</f>
        <v>Wooden</v>
      </c>
      <c r="I15" s="319">
        <f>'Detailed PL'!L16</f>
        <v>350</v>
      </c>
      <c r="J15" s="319">
        <f>'Detailed PL'!M16</f>
        <v>120</v>
      </c>
      <c r="K15" s="319">
        <f>'Detailed PL'!N16</f>
        <v>160</v>
      </c>
      <c r="L15" s="319">
        <f>'Detailed PL'!O16</f>
        <v>6.72</v>
      </c>
      <c r="M15" s="386">
        <f>'Detailed PL'!P16</f>
        <v>1920</v>
      </c>
      <c r="N15" s="386">
        <f>'Detailed PL'!Q16</f>
        <v>2220</v>
      </c>
      <c r="O15" s="130" t="s">
        <v>148</v>
      </c>
      <c r="P15" s="131" t="s">
        <v>157</v>
      </c>
      <c r="Q15" s="131" t="s">
        <v>157</v>
      </c>
      <c r="R15" s="131" t="s">
        <v>148</v>
      </c>
      <c r="S15" s="131" t="s">
        <v>149</v>
      </c>
      <c r="T15" s="298" t="s">
        <v>439</v>
      </c>
    </row>
    <row r="16" spans="2:20" s="7" customFormat="1" ht="47.25" customHeight="1">
      <c r="B16" s="209" t="s">
        <v>160</v>
      </c>
      <c r="C16" s="128" t="str">
        <f>'Detailed PL'!C17</f>
        <v>OM4-DE-IS-0009-002</v>
      </c>
      <c r="D16" s="131" t="s">
        <v>230</v>
      </c>
      <c r="E16" s="125"/>
      <c r="F16" s="210">
        <f>'Detailed PL'!I18</f>
        <v>28</v>
      </c>
      <c r="G16" s="125" t="s">
        <v>147</v>
      </c>
      <c r="H16" s="319" t="str">
        <f>'Detailed PL'!K18</f>
        <v>Wooden</v>
      </c>
      <c r="I16" s="319">
        <f>'Detailed PL'!L18</f>
        <v>350</v>
      </c>
      <c r="J16" s="319">
        <f>'Detailed PL'!M18</f>
        <v>120</v>
      </c>
      <c r="K16" s="319">
        <f>'Detailed PL'!N18</f>
        <v>130</v>
      </c>
      <c r="L16" s="319">
        <f>'Detailed PL'!O18</f>
        <v>5.46</v>
      </c>
      <c r="M16" s="386">
        <f>'Detailed PL'!P18</f>
        <v>1680</v>
      </c>
      <c r="N16" s="386">
        <f>'Detailed PL'!Q18</f>
        <v>1980</v>
      </c>
      <c r="O16" s="130" t="s">
        <v>148</v>
      </c>
      <c r="P16" s="131" t="s">
        <v>157</v>
      </c>
      <c r="Q16" s="131" t="s">
        <v>157</v>
      </c>
      <c r="R16" s="131" t="s">
        <v>148</v>
      </c>
      <c r="S16" s="131" t="s">
        <v>149</v>
      </c>
      <c r="T16" s="298" t="s">
        <v>439</v>
      </c>
    </row>
    <row r="17" spans="2:20" s="7" customFormat="1" ht="47.25" customHeight="1">
      <c r="B17" s="209" t="s">
        <v>161</v>
      </c>
      <c r="C17" s="128" t="str">
        <f>'Detailed PL'!C19</f>
        <v>OM4-DE-IS-0009-003</v>
      </c>
      <c r="D17" s="131" t="s">
        <v>176</v>
      </c>
      <c r="E17" s="125"/>
      <c r="F17" s="210">
        <f>'Detailed PL'!I35</f>
        <v>1060</v>
      </c>
      <c r="G17" s="125" t="s">
        <v>147</v>
      </c>
      <c r="H17" s="319" t="str">
        <f>'Detailed PL'!K35</f>
        <v>Wooden</v>
      </c>
      <c r="I17" s="319">
        <f>'Detailed PL'!L35</f>
        <v>250</v>
      </c>
      <c r="J17" s="319">
        <f>'Detailed PL'!M35</f>
        <v>150</v>
      </c>
      <c r="K17" s="319">
        <f>'Detailed PL'!N35</f>
        <v>100</v>
      </c>
      <c r="L17" s="319">
        <f>'Detailed PL'!O35</f>
        <v>3.75</v>
      </c>
      <c r="M17" s="386">
        <f>'Detailed PL'!P35</f>
        <v>1042.5999999999999</v>
      </c>
      <c r="N17" s="386">
        <f>'Detailed PL'!Q35</f>
        <v>1342.6</v>
      </c>
      <c r="O17" s="130" t="s">
        <v>148</v>
      </c>
      <c r="P17" s="131" t="s">
        <v>157</v>
      </c>
      <c r="Q17" s="131" t="s">
        <v>157</v>
      </c>
      <c r="R17" s="131" t="s">
        <v>148</v>
      </c>
      <c r="S17" s="131" t="s">
        <v>149</v>
      </c>
      <c r="T17" s="298" t="s">
        <v>439</v>
      </c>
    </row>
    <row r="18" spans="2:20" s="7" customFormat="1" ht="47.25" customHeight="1">
      <c r="B18" s="209" t="s">
        <v>162</v>
      </c>
      <c r="C18" s="128" t="str">
        <f>'Detailed PL'!C36</f>
        <v>OM4-DE-IS-0009-004</v>
      </c>
      <c r="D18" s="131" t="s">
        <v>231</v>
      </c>
      <c r="E18" s="125"/>
      <c r="F18" s="210">
        <f>'Detailed PL'!I37</f>
        <v>75</v>
      </c>
      <c r="G18" s="125" t="s">
        <v>147</v>
      </c>
      <c r="H18" s="319" t="str">
        <f>'Detailed PL'!K37</f>
        <v>Wooden</v>
      </c>
      <c r="I18" s="319">
        <f>'Detailed PL'!L37</f>
        <v>240</v>
      </c>
      <c r="J18" s="319">
        <f>'Detailed PL'!M37</f>
        <v>150</v>
      </c>
      <c r="K18" s="319">
        <f>'Detailed PL'!N37</f>
        <v>90</v>
      </c>
      <c r="L18" s="319">
        <f>'Detailed PL'!O37</f>
        <v>3.24</v>
      </c>
      <c r="M18" s="386">
        <f>'Detailed PL'!P37</f>
        <v>1162.5</v>
      </c>
      <c r="N18" s="386">
        <f>'Detailed PL'!Q37</f>
        <v>1462.5</v>
      </c>
      <c r="O18" s="130" t="s">
        <v>148</v>
      </c>
      <c r="P18" s="131" t="s">
        <v>157</v>
      </c>
      <c r="Q18" s="131" t="s">
        <v>157</v>
      </c>
      <c r="R18" s="131" t="s">
        <v>148</v>
      </c>
      <c r="S18" s="131" t="s">
        <v>149</v>
      </c>
      <c r="T18" s="298" t="s">
        <v>439</v>
      </c>
    </row>
    <row r="19" spans="2:20" s="7" customFormat="1" ht="47.25" customHeight="1">
      <c r="B19" s="209" t="s">
        <v>163</v>
      </c>
      <c r="C19" s="128" t="str">
        <f>'Detailed PL'!C38</f>
        <v>OM4-DE-IS-0009-005</v>
      </c>
      <c r="D19" s="131" t="s">
        <v>231</v>
      </c>
      <c r="E19" s="125"/>
      <c r="F19" s="210">
        <f>'Detailed PL'!I39</f>
        <v>75</v>
      </c>
      <c r="G19" s="125" t="s">
        <v>147</v>
      </c>
      <c r="H19" s="319" t="str">
        <f>'Detailed PL'!K39</f>
        <v>Wooden</v>
      </c>
      <c r="I19" s="319">
        <f>'Detailed PL'!L39</f>
        <v>240</v>
      </c>
      <c r="J19" s="319">
        <f>'Detailed PL'!M39</f>
        <v>150</v>
      </c>
      <c r="K19" s="319">
        <f>'Detailed PL'!N39</f>
        <v>90</v>
      </c>
      <c r="L19" s="319">
        <f>'Detailed PL'!O39</f>
        <v>3.24</v>
      </c>
      <c r="M19" s="386">
        <f>'Detailed PL'!P39</f>
        <v>1162.5</v>
      </c>
      <c r="N19" s="386">
        <f>'Detailed PL'!Q39</f>
        <v>1462.5</v>
      </c>
      <c r="O19" s="130" t="s">
        <v>148</v>
      </c>
      <c r="P19" s="131" t="s">
        <v>157</v>
      </c>
      <c r="Q19" s="131" t="s">
        <v>157</v>
      </c>
      <c r="R19" s="131" t="s">
        <v>148</v>
      </c>
      <c r="S19" s="131" t="s">
        <v>149</v>
      </c>
      <c r="T19" s="298" t="s">
        <v>439</v>
      </c>
    </row>
    <row r="20" spans="2:20" s="7" customFormat="1" ht="47.25" customHeight="1">
      <c r="B20" s="209" t="s">
        <v>164</v>
      </c>
      <c r="C20" s="128" t="str">
        <f>'Detailed PL'!C40</f>
        <v>OM4-DE-IS-0009-006</v>
      </c>
      <c r="D20" s="131" t="s">
        <v>231</v>
      </c>
      <c r="E20" s="125"/>
      <c r="F20" s="210">
        <f>'Detailed PL'!I41</f>
        <v>50</v>
      </c>
      <c r="G20" s="125" t="s">
        <v>147</v>
      </c>
      <c r="H20" s="319" t="str">
        <f>'Detailed PL'!K41</f>
        <v>Wooden</v>
      </c>
      <c r="I20" s="319">
        <f>'Detailed PL'!L41</f>
        <v>200</v>
      </c>
      <c r="J20" s="319">
        <f>'Detailed PL'!M41</f>
        <v>150</v>
      </c>
      <c r="K20" s="319">
        <f>'Detailed PL'!N41</f>
        <v>120</v>
      </c>
      <c r="L20" s="319">
        <f>'Detailed PL'!O41</f>
        <v>3.6</v>
      </c>
      <c r="M20" s="386">
        <f>'Detailed PL'!P41</f>
        <v>1102.5</v>
      </c>
      <c r="N20" s="386">
        <f>'Detailed PL'!Q41</f>
        <v>1402.5</v>
      </c>
      <c r="O20" s="130" t="s">
        <v>148</v>
      </c>
      <c r="P20" s="131" t="s">
        <v>157</v>
      </c>
      <c r="Q20" s="131" t="s">
        <v>157</v>
      </c>
      <c r="R20" s="131" t="s">
        <v>148</v>
      </c>
      <c r="S20" s="131" t="s">
        <v>149</v>
      </c>
      <c r="T20" s="298" t="s">
        <v>439</v>
      </c>
    </row>
    <row r="21" spans="2:20" s="7" customFormat="1" ht="47.25" customHeight="1">
      <c r="B21" s="209" t="s">
        <v>165</v>
      </c>
      <c r="C21" s="128" t="str">
        <f>'Detailed PL'!C42</f>
        <v>OM4-DE-IS-0009-007</v>
      </c>
      <c r="D21" s="131" t="s">
        <v>231</v>
      </c>
      <c r="E21" s="125"/>
      <c r="F21" s="210">
        <f>'Detailed PL'!I43</f>
        <v>50</v>
      </c>
      <c r="G21" s="125" t="s">
        <v>147</v>
      </c>
      <c r="H21" s="319" t="str">
        <f>'Detailed PL'!K43</f>
        <v>Wooden</v>
      </c>
      <c r="I21" s="319">
        <f>'Detailed PL'!L43</f>
        <v>200</v>
      </c>
      <c r="J21" s="319">
        <f>'Detailed PL'!M43</f>
        <v>150</v>
      </c>
      <c r="K21" s="319">
        <f>'Detailed PL'!N43</f>
        <v>120</v>
      </c>
      <c r="L21" s="319">
        <f>'Detailed PL'!O43</f>
        <v>3.6</v>
      </c>
      <c r="M21" s="386">
        <f>'Detailed PL'!P43</f>
        <v>1102.5</v>
      </c>
      <c r="N21" s="386">
        <f>'Detailed PL'!Q43</f>
        <v>1402.5</v>
      </c>
      <c r="O21" s="130" t="s">
        <v>148</v>
      </c>
      <c r="P21" s="131" t="s">
        <v>157</v>
      </c>
      <c r="Q21" s="131" t="s">
        <v>157</v>
      </c>
      <c r="R21" s="131" t="s">
        <v>148</v>
      </c>
      <c r="S21" s="131" t="s">
        <v>149</v>
      </c>
      <c r="T21" s="298" t="s">
        <v>439</v>
      </c>
    </row>
    <row r="22" spans="2:20" s="7" customFormat="1" ht="47.25" customHeight="1">
      <c r="B22" s="209" t="s">
        <v>166</v>
      </c>
      <c r="C22" s="128" t="str">
        <f>'Detailed PL'!C44</f>
        <v>OM4-DE-IS-0009-008</v>
      </c>
      <c r="D22" s="131" t="s">
        <v>231</v>
      </c>
      <c r="E22" s="125"/>
      <c r="F22" s="210">
        <f>'Detailed PL'!I45</f>
        <v>50</v>
      </c>
      <c r="G22" s="125" t="s">
        <v>147</v>
      </c>
      <c r="H22" s="319" t="str">
        <f>'Detailed PL'!K45</f>
        <v>Wooden</v>
      </c>
      <c r="I22" s="319">
        <f>'Detailed PL'!L45</f>
        <v>250</v>
      </c>
      <c r="J22" s="319">
        <f>'Detailed PL'!M45</f>
        <v>150</v>
      </c>
      <c r="K22" s="319">
        <f>'Detailed PL'!N45</f>
        <v>115</v>
      </c>
      <c r="L22" s="319">
        <f>'Detailed PL'!O45</f>
        <v>4.3125</v>
      </c>
      <c r="M22" s="386">
        <f>'Detailed PL'!P45</f>
        <v>1500</v>
      </c>
      <c r="N22" s="386">
        <f>'Detailed PL'!Q45</f>
        <v>1800</v>
      </c>
      <c r="O22" s="130" t="s">
        <v>148</v>
      </c>
      <c r="P22" s="131" t="s">
        <v>157</v>
      </c>
      <c r="Q22" s="131" t="s">
        <v>157</v>
      </c>
      <c r="R22" s="131" t="s">
        <v>148</v>
      </c>
      <c r="S22" s="131" t="s">
        <v>149</v>
      </c>
      <c r="T22" s="298" t="s">
        <v>439</v>
      </c>
    </row>
    <row r="23" spans="2:20" s="7" customFormat="1" ht="47.25" customHeight="1">
      <c r="B23" s="209" t="s">
        <v>167</v>
      </c>
      <c r="C23" s="128" t="str">
        <f>'Detailed PL'!C46</f>
        <v>OM4-DE-IS-0009-009</v>
      </c>
      <c r="D23" s="131" t="s">
        <v>231</v>
      </c>
      <c r="E23" s="125"/>
      <c r="F23" s="210">
        <f>'Detailed PL'!I47</f>
        <v>50</v>
      </c>
      <c r="G23" s="125" t="s">
        <v>147</v>
      </c>
      <c r="H23" s="319" t="str">
        <f>'Detailed PL'!K47</f>
        <v>Wooden</v>
      </c>
      <c r="I23" s="319">
        <f>'Detailed PL'!L47</f>
        <v>250</v>
      </c>
      <c r="J23" s="319">
        <f>'Detailed PL'!M47</f>
        <v>150</v>
      </c>
      <c r="K23" s="319">
        <f>'Detailed PL'!N47</f>
        <v>115</v>
      </c>
      <c r="L23" s="319">
        <f>'Detailed PL'!O47</f>
        <v>4.3125</v>
      </c>
      <c r="M23" s="386">
        <f>'Detailed PL'!P47</f>
        <v>1500</v>
      </c>
      <c r="N23" s="386">
        <f>'Detailed PL'!Q47</f>
        <v>1800</v>
      </c>
      <c r="O23" s="130" t="s">
        <v>148</v>
      </c>
      <c r="P23" s="131" t="s">
        <v>157</v>
      </c>
      <c r="Q23" s="131" t="s">
        <v>157</v>
      </c>
      <c r="R23" s="131" t="s">
        <v>148</v>
      </c>
      <c r="S23" s="131" t="s">
        <v>149</v>
      </c>
      <c r="T23" s="298" t="s">
        <v>439</v>
      </c>
    </row>
    <row r="24" spans="2:20" s="7" customFormat="1" ht="47.25" customHeight="1">
      <c r="B24" s="209" t="s">
        <v>168</v>
      </c>
      <c r="C24" s="128" t="str">
        <f>'Detailed PL'!C48</f>
        <v>OM4-DE-IS-0009-010</v>
      </c>
      <c r="D24" s="131" t="s">
        <v>176</v>
      </c>
      <c r="E24" s="125"/>
      <c r="F24" s="210">
        <f>'Detailed PL'!I92</f>
        <v>3935</v>
      </c>
      <c r="G24" s="125" t="s">
        <v>147</v>
      </c>
      <c r="H24" s="319" t="str">
        <f>'Detailed PL'!K92</f>
        <v>Wooden</v>
      </c>
      <c r="I24" s="319">
        <f>'Detailed PL'!L92</f>
        <v>200</v>
      </c>
      <c r="J24" s="319">
        <f>'Detailed PL'!M92</f>
        <v>200</v>
      </c>
      <c r="K24" s="319">
        <f>'Detailed PL'!N92</f>
        <v>140</v>
      </c>
      <c r="L24" s="319">
        <f>'Detailed PL'!O92</f>
        <v>5.6</v>
      </c>
      <c r="M24" s="386">
        <f>'Detailed PL'!P92</f>
        <v>1450.5</v>
      </c>
      <c r="N24" s="386">
        <f>'Detailed PL'!Q92</f>
        <v>1750.5</v>
      </c>
      <c r="O24" s="130" t="s">
        <v>148</v>
      </c>
      <c r="P24" s="131" t="s">
        <v>157</v>
      </c>
      <c r="Q24" s="131" t="s">
        <v>157</v>
      </c>
      <c r="R24" s="131" t="s">
        <v>148</v>
      </c>
      <c r="S24" s="131" t="s">
        <v>149</v>
      </c>
      <c r="T24" s="298" t="s">
        <v>439</v>
      </c>
    </row>
    <row r="25" spans="2:20" s="7" customFormat="1" ht="47.25" customHeight="1">
      <c r="B25" s="209" t="s">
        <v>169</v>
      </c>
      <c r="C25" s="128" t="str">
        <f>'Detailed PL'!C93</f>
        <v>OM4-DE-IS-0009-011</v>
      </c>
      <c r="D25" s="131" t="s">
        <v>232</v>
      </c>
      <c r="E25" s="125"/>
      <c r="F25" s="210">
        <f>'Detailed PL'!I96</f>
        <v>1320</v>
      </c>
      <c r="G25" s="125" t="s">
        <v>147</v>
      </c>
      <c r="H25" s="319" t="str">
        <f>'Detailed PL'!K96</f>
        <v>Wooden</v>
      </c>
      <c r="I25" s="319">
        <f>'Detailed PL'!L96</f>
        <v>420</v>
      </c>
      <c r="J25" s="319">
        <f>'Detailed PL'!M96</f>
        <v>220</v>
      </c>
      <c r="K25" s="319">
        <f>'Detailed PL'!N96</f>
        <v>190</v>
      </c>
      <c r="L25" s="319">
        <f>'Detailed PL'!O96</f>
        <v>17.556000000000001</v>
      </c>
      <c r="M25" s="386">
        <f>'Detailed PL'!P96</f>
        <v>1840</v>
      </c>
      <c r="N25" s="386">
        <f>'Detailed PL'!Q96</f>
        <v>2140</v>
      </c>
      <c r="O25" s="130" t="s">
        <v>148</v>
      </c>
      <c r="P25" s="131" t="s">
        <v>157</v>
      </c>
      <c r="Q25" s="131" t="s">
        <v>157</v>
      </c>
      <c r="R25" s="131" t="s">
        <v>148</v>
      </c>
      <c r="S25" s="131" t="s">
        <v>149</v>
      </c>
      <c r="T25" s="298" t="s">
        <v>439</v>
      </c>
    </row>
    <row r="26" spans="2:20" s="7" customFormat="1" ht="47.25" customHeight="1">
      <c r="B26" s="209" t="s">
        <v>170</v>
      </c>
      <c r="C26" s="128" t="str">
        <f>'Detailed PL'!C97</f>
        <v>OM4-DE-IS-0009-012</v>
      </c>
      <c r="D26" s="131" t="s">
        <v>176</v>
      </c>
      <c r="E26" s="125"/>
      <c r="F26" s="210">
        <f>'Detailed PL'!I137</f>
        <v>22375</v>
      </c>
      <c r="G26" s="125" t="s">
        <v>147</v>
      </c>
      <c r="H26" s="319" t="str">
        <f>'Detailed PL'!K137</f>
        <v>Wooden</v>
      </c>
      <c r="I26" s="319">
        <f>'Detailed PL'!L137</f>
        <v>200</v>
      </c>
      <c r="J26" s="319">
        <f>'Detailed PL'!M137</f>
        <v>200</v>
      </c>
      <c r="K26" s="319">
        <f>'Detailed PL'!N137</f>
        <v>120</v>
      </c>
      <c r="L26" s="319">
        <f>'Detailed PL'!O137</f>
        <v>4.8</v>
      </c>
      <c r="M26" s="386">
        <f>'Detailed PL'!P137</f>
        <v>2610.5</v>
      </c>
      <c r="N26" s="386">
        <f>'Detailed PL'!Q137</f>
        <v>2910.5</v>
      </c>
      <c r="O26" s="130" t="s">
        <v>148</v>
      </c>
      <c r="P26" s="131" t="s">
        <v>157</v>
      </c>
      <c r="Q26" s="131" t="s">
        <v>157</v>
      </c>
      <c r="R26" s="131" t="s">
        <v>148</v>
      </c>
      <c r="S26" s="131" t="s">
        <v>149</v>
      </c>
      <c r="T26" s="298" t="s">
        <v>439</v>
      </c>
    </row>
    <row r="27" spans="2:20" s="7" customFormat="1" ht="47.25" customHeight="1">
      <c r="B27" s="209" t="s">
        <v>171</v>
      </c>
      <c r="C27" s="128" t="str">
        <f>'Detailed PL'!C138</f>
        <v>OM4-DE-IS-0009-013</v>
      </c>
      <c r="D27" s="131" t="s">
        <v>484</v>
      </c>
      <c r="E27" s="125"/>
      <c r="F27" s="210">
        <f>'Detailed PL'!I144</f>
        <v>80</v>
      </c>
      <c r="G27" s="125" t="s">
        <v>147</v>
      </c>
      <c r="H27" s="319" t="str">
        <f>'Detailed PL'!K144</f>
        <v>Wooden</v>
      </c>
      <c r="I27" s="319">
        <f>'Detailed PL'!L144</f>
        <v>320</v>
      </c>
      <c r="J27" s="319">
        <f>'Detailed PL'!M144</f>
        <v>220</v>
      </c>
      <c r="K27" s="319">
        <f>'Detailed PL'!N144</f>
        <v>160</v>
      </c>
      <c r="L27" s="319">
        <f>'Detailed PL'!O144</f>
        <v>11.263999999999999</v>
      </c>
      <c r="M27" s="386">
        <f>'Detailed PL'!P144</f>
        <v>1494.05</v>
      </c>
      <c r="N27" s="386">
        <f>'Detailed PL'!Q144</f>
        <v>1794.05</v>
      </c>
      <c r="O27" s="130" t="s">
        <v>148</v>
      </c>
      <c r="P27" s="131" t="s">
        <v>157</v>
      </c>
      <c r="Q27" s="131" t="s">
        <v>157</v>
      </c>
      <c r="R27" s="131" t="s">
        <v>148</v>
      </c>
      <c r="S27" s="131" t="s">
        <v>149</v>
      </c>
      <c r="T27" s="298" t="s">
        <v>439</v>
      </c>
    </row>
    <row r="28" spans="2:20" s="7" customFormat="1" ht="47.25" customHeight="1">
      <c r="B28" s="209" t="s">
        <v>172</v>
      </c>
      <c r="C28" s="128" t="str">
        <f>'Detailed PL'!C145</f>
        <v>OM4-DE-IS-0009-014</v>
      </c>
      <c r="D28" s="131" t="s">
        <v>233</v>
      </c>
      <c r="E28" s="125"/>
      <c r="F28" s="210">
        <f>'Detailed PL'!I148</f>
        <v>1800</v>
      </c>
      <c r="G28" s="125" t="s">
        <v>147</v>
      </c>
      <c r="H28" s="319" t="str">
        <f>'Detailed PL'!K148</f>
        <v>Wooden</v>
      </c>
      <c r="I28" s="319">
        <f>'Detailed PL'!L148</f>
        <v>140</v>
      </c>
      <c r="J28" s="319">
        <f>'Detailed PL'!M148</f>
        <v>140</v>
      </c>
      <c r="K28" s="319">
        <f>'Detailed PL'!N148</f>
        <v>130</v>
      </c>
      <c r="L28" s="319">
        <f>'Detailed PL'!O148</f>
        <v>2.548</v>
      </c>
      <c r="M28" s="386">
        <f>'Detailed PL'!P148</f>
        <v>1530</v>
      </c>
      <c r="N28" s="386">
        <f>'Detailed PL'!Q148</f>
        <v>1830</v>
      </c>
      <c r="O28" s="130" t="s">
        <v>148</v>
      </c>
      <c r="P28" s="131" t="s">
        <v>157</v>
      </c>
      <c r="Q28" s="131" t="s">
        <v>157</v>
      </c>
      <c r="R28" s="131" t="s">
        <v>148</v>
      </c>
      <c r="S28" s="131" t="s">
        <v>149</v>
      </c>
      <c r="T28" s="298" t="s">
        <v>439</v>
      </c>
    </row>
    <row r="29" spans="2:20" s="7" customFormat="1" ht="47.25" customHeight="1">
      <c r="B29" s="209" t="s">
        <v>173</v>
      </c>
      <c r="C29" s="128" t="str">
        <f>'Detailed PL'!C149</f>
        <v>OM4-DE-IS-0009-015</v>
      </c>
      <c r="D29" s="131" t="s">
        <v>234</v>
      </c>
      <c r="E29" s="125"/>
      <c r="F29" s="210">
        <f>'Detailed PL'!I150</f>
        <v>500</v>
      </c>
      <c r="G29" s="125" t="s">
        <v>147</v>
      </c>
      <c r="H29" s="319" t="str">
        <f>'Detailed PL'!K150</f>
        <v>Wooden</v>
      </c>
      <c r="I29" s="319">
        <f>'Detailed PL'!L150</f>
        <v>320</v>
      </c>
      <c r="J29" s="319">
        <f>'Detailed PL'!M150</f>
        <v>120</v>
      </c>
      <c r="K29" s="319">
        <f>'Detailed PL'!N150</f>
        <v>125</v>
      </c>
      <c r="L29" s="319">
        <f>'Detailed PL'!O150</f>
        <v>4.8</v>
      </c>
      <c r="M29" s="386">
        <f>'Detailed PL'!P150</f>
        <v>3450</v>
      </c>
      <c r="N29" s="386">
        <f>'Detailed PL'!Q150</f>
        <v>3750</v>
      </c>
      <c r="O29" s="130" t="s">
        <v>148</v>
      </c>
      <c r="P29" s="131" t="s">
        <v>157</v>
      </c>
      <c r="Q29" s="131" t="s">
        <v>157</v>
      </c>
      <c r="R29" s="131" t="s">
        <v>148</v>
      </c>
      <c r="S29" s="131" t="s">
        <v>149</v>
      </c>
      <c r="T29" s="298" t="s">
        <v>439</v>
      </c>
    </row>
    <row r="30" spans="2:20" s="7" customFormat="1" ht="47.25" customHeight="1">
      <c r="B30" s="209" t="s">
        <v>174</v>
      </c>
      <c r="C30" s="128" t="str">
        <f>'Detailed PL'!C151</f>
        <v>OM4-DE-IS-0009-016</v>
      </c>
      <c r="D30" s="131" t="s">
        <v>385</v>
      </c>
      <c r="E30" s="125"/>
      <c r="F30" s="210">
        <f>'Detailed PL'!I153</f>
        <v>150</v>
      </c>
      <c r="G30" s="125" t="s">
        <v>147</v>
      </c>
      <c r="H30" s="319" t="str">
        <f>'Detailed PL'!K153</f>
        <v>Wooden</v>
      </c>
      <c r="I30" s="319">
        <f>'Detailed PL'!L153</f>
        <v>320</v>
      </c>
      <c r="J30" s="319">
        <f>'Detailed PL'!M153</f>
        <v>120</v>
      </c>
      <c r="K30" s="319">
        <f>'Detailed PL'!N153</f>
        <v>70</v>
      </c>
      <c r="L30" s="319">
        <f>'Detailed PL'!O153</f>
        <v>2.6880000000000002</v>
      </c>
      <c r="M30" s="386">
        <f>'Detailed PL'!P153</f>
        <v>600</v>
      </c>
      <c r="N30" s="386">
        <f>'Detailed PL'!Q153</f>
        <v>900</v>
      </c>
      <c r="O30" s="130" t="s">
        <v>148</v>
      </c>
      <c r="P30" s="131" t="s">
        <v>157</v>
      </c>
      <c r="Q30" s="131" t="s">
        <v>157</v>
      </c>
      <c r="R30" s="131" t="s">
        <v>148</v>
      </c>
      <c r="S30" s="131" t="s">
        <v>149</v>
      </c>
      <c r="T30" s="298" t="s">
        <v>439</v>
      </c>
    </row>
    <row r="31" spans="2:20" s="7" customFormat="1" ht="47.25" customHeight="1">
      <c r="B31" s="209" t="s">
        <v>175</v>
      </c>
      <c r="C31" s="128" t="str">
        <f>'Detailed PL'!C154</f>
        <v>OM4-DE-IS-0009-017</v>
      </c>
      <c r="D31" s="131" t="s">
        <v>235</v>
      </c>
      <c r="E31" s="125"/>
      <c r="F31" s="210">
        <f>'Detailed PL'!I156</f>
        <v>153</v>
      </c>
      <c r="G31" s="125" t="s">
        <v>147</v>
      </c>
      <c r="H31" s="319" t="str">
        <f>'Detailed PL'!K156</f>
        <v>Wooden</v>
      </c>
      <c r="I31" s="319">
        <f>'Detailed PL'!L156</f>
        <v>360</v>
      </c>
      <c r="J31" s="319">
        <f>'Detailed PL'!M156</f>
        <v>120</v>
      </c>
      <c r="K31" s="319">
        <f>'Detailed PL'!N156</f>
        <v>110</v>
      </c>
      <c r="L31" s="319">
        <f>'Detailed PL'!O156</f>
        <v>4.7519999999999998</v>
      </c>
      <c r="M31" s="386">
        <f>'Detailed PL'!P156</f>
        <v>3931.59</v>
      </c>
      <c r="N31" s="386">
        <f>'Detailed PL'!Q156</f>
        <v>4231.59</v>
      </c>
      <c r="O31" s="130" t="s">
        <v>148</v>
      </c>
      <c r="P31" s="131" t="s">
        <v>157</v>
      </c>
      <c r="Q31" s="131" t="s">
        <v>157</v>
      </c>
      <c r="R31" s="131" t="s">
        <v>148</v>
      </c>
      <c r="S31" s="131" t="s">
        <v>149</v>
      </c>
      <c r="T31" s="298" t="s">
        <v>439</v>
      </c>
    </row>
    <row r="32" spans="2:20" ht="18.75" customHeight="1">
      <c r="B32" s="486" t="s">
        <v>86</v>
      </c>
      <c r="C32" s="468"/>
      <c r="D32" s="468"/>
      <c r="E32" s="468"/>
      <c r="F32" s="468"/>
      <c r="G32" s="468"/>
      <c r="H32" s="468"/>
      <c r="I32" s="468"/>
      <c r="J32" s="468"/>
      <c r="K32" s="487"/>
      <c r="L32" s="292">
        <f>SUM(L15:L31)</f>
        <v>92.242999999999995</v>
      </c>
      <c r="M32" s="292">
        <f>SUM(M15:M31)</f>
        <v>29079.239999999998</v>
      </c>
      <c r="N32" s="292">
        <f>SUM(N15:N31)</f>
        <v>34179.24</v>
      </c>
      <c r="O32" s="125"/>
      <c r="P32" s="125"/>
      <c r="Q32" s="125"/>
      <c r="R32" s="125"/>
      <c r="S32" s="125"/>
      <c r="T32" s="125"/>
    </row>
    <row r="33" spans="4:20" ht="18" customHeight="1">
      <c r="D33" s="132"/>
      <c r="T33" s="134"/>
    </row>
    <row r="34" spans="4:20" ht="18" customHeight="1">
      <c r="D34" s="132"/>
      <c r="T34" s="134"/>
    </row>
    <row r="35" spans="4:20" ht="18" customHeight="1">
      <c r="D35" s="132"/>
      <c r="T35" s="134"/>
    </row>
    <row r="36" spans="4:20" ht="18" customHeight="1">
      <c r="D36" s="132"/>
      <c r="T36" s="134"/>
    </row>
    <row r="37" spans="4:20" ht="18" customHeight="1">
      <c r="D37" s="132"/>
      <c r="T37" s="134"/>
    </row>
    <row r="38" spans="4:20" ht="18" customHeight="1">
      <c r="D38" s="132"/>
      <c r="T38" s="134"/>
    </row>
    <row r="39" spans="4:20" ht="18" customHeight="1">
      <c r="D39" s="132"/>
      <c r="T39" s="134"/>
    </row>
    <row r="40" spans="4:20" ht="18" customHeight="1">
      <c r="D40" s="132"/>
      <c r="T40" s="134"/>
    </row>
    <row r="41" spans="4:20" ht="18" customHeight="1">
      <c r="D41" s="132"/>
      <c r="T41" s="134"/>
    </row>
    <row r="42" spans="4:20" ht="18" customHeight="1">
      <c r="D42" s="132"/>
      <c r="T42" s="134"/>
    </row>
  </sheetData>
  <mergeCells count="18">
    <mergeCell ref="C3:I3"/>
    <mergeCell ref="B4:T4"/>
    <mergeCell ref="B13:B14"/>
    <mergeCell ref="C13:C14"/>
    <mergeCell ref="D13:D14"/>
    <mergeCell ref="E13:E14"/>
    <mergeCell ref="F13:G13"/>
    <mergeCell ref="H13:H14"/>
    <mergeCell ref="I13:L13"/>
    <mergeCell ref="M13:M14"/>
    <mergeCell ref="T13:T14"/>
    <mergeCell ref="R13:R14"/>
    <mergeCell ref="S13:S14"/>
    <mergeCell ref="B32:K32"/>
    <mergeCell ref="N13:N14"/>
    <mergeCell ref="O13:O14"/>
    <mergeCell ref="P13:P14"/>
    <mergeCell ref="Q13:Q14"/>
  </mergeCells>
  <phoneticPr fontId="34" type="noConversion"/>
  <printOptions horizontalCentered="1"/>
  <pageMargins left="0.70866141732283472" right="0.70866141732283472" top="0.74803149606299213" bottom="0.74803149606299213" header="0.31496062992125984" footer="0.31496062992125984"/>
  <pageSetup paperSize="9" scale="37" orientation="portrait" r:id="rId1"/>
  <headerFooter alignWithMargins="0">
    <oddFooter>&amp;C&amp;P/&amp;N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M43"/>
  <sheetViews>
    <sheetView showGridLines="0" view="pageBreakPreview" zoomScale="55" zoomScaleNormal="70" zoomScaleSheetLayoutView="55" workbookViewId="0">
      <selection sqref="A1:J1"/>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'PL(2_2)'!D15</f>
        <v xml:space="preserve">HDG STEEL Conduit </v>
      </c>
      <c r="D15" s="520"/>
      <c r="E15" s="520"/>
      <c r="F15" s="520"/>
      <c r="G15" s="520"/>
      <c r="H15" s="520"/>
      <c r="I15" s="520"/>
      <c r="J15" s="521"/>
      <c r="L15" s="165" t="s">
        <v>211</v>
      </c>
    </row>
    <row r="16" spans="1:13" s="303" customFormat="1" ht="40.15" customHeight="1">
      <c r="A16" s="267" t="s">
        <v>124</v>
      </c>
      <c r="B16" s="304" t="s">
        <v>100</v>
      </c>
      <c r="C16" s="305" t="s">
        <v>196</v>
      </c>
      <c r="D16" s="262"/>
      <c r="E16" s="262"/>
      <c r="F16" s="262"/>
      <c r="G16" s="262"/>
      <c r="H16" s="262"/>
      <c r="I16" s="262"/>
      <c r="J16" s="263"/>
      <c r="M16" s="306"/>
    </row>
    <row r="17" spans="1:13" s="303" customFormat="1" ht="35.450000000000003" customHeight="1">
      <c r="A17" s="267" t="s">
        <v>121</v>
      </c>
      <c r="B17" s="304" t="s">
        <v>100</v>
      </c>
      <c r="C17" s="305" t="str">
        <f>'PL(2_2)'!C15</f>
        <v>OM4-DE-IS-0009-001</v>
      </c>
      <c r="D17" s="262"/>
      <c r="E17" s="262"/>
      <c r="F17" s="262"/>
      <c r="G17" s="262"/>
      <c r="H17" s="262"/>
      <c r="I17" s="262"/>
      <c r="J17" s="263"/>
      <c r="M17" s="306"/>
    </row>
    <row r="18" spans="1:13" s="303" customFormat="1" ht="49.9" customHeight="1">
      <c r="A18" s="267" t="s">
        <v>119</v>
      </c>
      <c r="B18" s="268" t="s">
        <v>97</v>
      </c>
      <c r="C18" s="314">
        <f>'PL(2_2)'!M15</f>
        <v>1920</v>
      </c>
      <c r="D18" s="308" t="s">
        <v>102</v>
      </c>
      <c r="E18" s="309"/>
      <c r="F18" s="309"/>
      <c r="G18" s="309"/>
      <c r="H18" s="309"/>
      <c r="I18" s="309"/>
      <c r="J18" s="310"/>
    </row>
    <row r="19" spans="1:13" s="303" customFormat="1" ht="57.4" customHeight="1">
      <c r="A19" s="267" t="s">
        <v>120</v>
      </c>
      <c r="B19" s="268" t="s">
        <v>97</v>
      </c>
      <c r="C19" s="314">
        <f>'PL(2_2)'!N15</f>
        <v>2220</v>
      </c>
      <c r="D19" s="308" t="s">
        <v>102</v>
      </c>
      <c r="E19" s="309"/>
      <c r="F19" s="311"/>
      <c r="G19" s="309"/>
      <c r="H19" s="309"/>
      <c r="I19" s="309"/>
      <c r="J19" s="312"/>
    </row>
    <row r="20" spans="1:13" s="303" customFormat="1" ht="53.65" customHeight="1">
      <c r="A20" s="267" t="s">
        <v>122</v>
      </c>
      <c r="B20" s="304" t="s">
        <v>97</v>
      </c>
      <c r="C20" s="307">
        <f>'PL(2_2)'!I15</f>
        <v>350</v>
      </c>
      <c r="D20" s="313" t="s">
        <v>103</v>
      </c>
      <c r="E20" s="307">
        <f>'PL(2_2)'!J15</f>
        <v>120</v>
      </c>
      <c r="F20" s="313" t="s">
        <v>104</v>
      </c>
      <c r="G20" s="307">
        <f>'PL(2_2)'!K15</f>
        <v>160</v>
      </c>
      <c r="H20" s="313" t="s">
        <v>105</v>
      </c>
      <c r="I20" s="314">
        <f>'PL(2_2)'!L15</f>
        <v>6.72</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15:J15"/>
    <mergeCell ref="C14:J14"/>
    <mergeCell ref="C7:J7"/>
    <mergeCell ref="A1:J1"/>
    <mergeCell ref="A2:J2"/>
    <mergeCell ref="A3:J3"/>
    <mergeCell ref="C5:J5"/>
    <mergeCell ref="C6:J6"/>
    <mergeCell ref="C8:J11"/>
    <mergeCell ref="C12:J12"/>
    <mergeCell ref="C13:E13"/>
  </mergeCells>
  <phoneticPr fontId="34" type="noConversion"/>
  <printOptions horizontalCentered="1"/>
  <pageMargins left="0.25" right="0.25" top="0.75" bottom="0.75" header="0.3" footer="0.3"/>
  <pageSetup paperSize="9" scale="60"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M43"/>
  <sheetViews>
    <sheetView showGridLines="0" view="pageBreakPreview" zoomScale="55" zoomScaleNormal="70" zoomScaleSheetLayoutView="55" workbookViewId="0">
      <selection activeCell="L52" sqref="L52"/>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'PL(2_2)'!D16</f>
        <v xml:space="preserve">HDG STEEL Conduit </v>
      </c>
      <c r="D15" s="520"/>
      <c r="E15" s="520"/>
      <c r="F15" s="520"/>
      <c r="G15" s="520"/>
      <c r="H15" s="520"/>
      <c r="I15" s="520"/>
      <c r="J15" s="521"/>
      <c r="L15" s="165" t="s">
        <v>211</v>
      </c>
    </row>
    <row r="16" spans="1:13" s="303" customFormat="1" ht="40.15" customHeight="1">
      <c r="A16" s="267" t="s">
        <v>124</v>
      </c>
      <c r="B16" s="304" t="s">
        <v>100</v>
      </c>
      <c r="C16" s="305" t="s">
        <v>196</v>
      </c>
      <c r="D16" s="337"/>
      <c r="E16" s="337"/>
      <c r="F16" s="337"/>
      <c r="G16" s="337"/>
      <c r="H16" s="337"/>
      <c r="I16" s="337"/>
      <c r="J16" s="338"/>
      <c r="M16" s="306"/>
    </row>
    <row r="17" spans="1:13" s="303" customFormat="1" ht="35.450000000000003" customHeight="1">
      <c r="A17" s="267" t="s">
        <v>121</v>
      </c>
      <c r="B17" s="304" t="s">
        <v>100</v>
      </c>
      <c r="C17" s="305" t="str">
        <f>'PL(2_2)'!C16</f>
        <v>OM4-DE-IS-0009-002</v>
      </c>
      <c r="D17" s="337"/>
      <c r="E17" s="337"/>
      <c r="F17" s="337"/>
      <c r="G17" s="337"/>
      <c r="H17" s="337"/>
      <c r="I17" s="337"/>
      <c r="J17" s="338"/>
      <c r="M17" s="306"/>
    </row>
    <row r="18" spans="1:13" s="303" customFormat="1" ht="49.9" customHeight="1">
      <c r="A18" s="267" t="s">
        <v>119</v>
      </c>
      <c r="B18" s="268" t="s">
        <v>97</v>
      </c>
      <c r="C18" s="314">
        <f>'PL(2_2)'!M16</f>
        <v>1680</v>
      </c>
      <c r="D18" s="308" t="s">
        <v>102</v>
      </c>
      <c r="E18" s="309"/>
      <c r="F18" s="309"/>
      <c r="G18" s="309"/>
      <c r="H18" s="309"/>
      <c r="I18" s="309"/>
      <c r="J18" s="310"/>
    </row>
    <row r="19" spans="1:13" s="303" customFormat="1" ht="57.4" customHeight="1">
      <c r="A19" s="267" t="s">
        <v>120</v>
      </c>
      <c r="B19" s="268" t="s">
        <v>97</v>
      </c>
      <c r="C19" s="314">
        <f>'PL(2_2)'!N16</f>
        <v>1980</v>
      </c>
      <c r="D19" s="308" t="s">
        <v>102</v>
      </c>
      <c r="E19" s="309"/>
      <c r="F19" s="311"/>
      <c r="G19" s="309"/>
      <c r="H19" s="309"/>
      <c r="I19" s="309"/>
      <c r="J19" s="312"/>
    </row>
    <row r="20" spans="1:13" s="303" customFormat="1" ht="53.65" customHeight="1">
      <c r="A20" s="267" t="s">
        <v>122</v>
      </c>
      <c r="B20" s="304" t="s">
        <v>97</v>
      </c>
      <c r="C20" s="307">
        <f>'PL(2_2)'!I16</f>
        <v>350</v>
      </c>
      <c r="D20" s="313" t="s">
        <v>103</v>
      </c>
      <c r="E20" s="307">
        <f>'PL(2_2)'!J16</f>
        <v>120</v>
      </c>
      <c r="F20" s="313" t="s">
        <v>104</v>
      </c>
      <c r="G20" s="307">
        <f>'PL(2_2)'!K16</f>
        <v>130</v>
      </c>
      <c r="H20" s="313" t="s">
        <v>105</v>
      </c>
      <c r="I20" s="314">
        <f>'PL(2_2)'!L16</f>
        <v>5.46</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7:J7"/>
    <mergeCell ref="A1:J1"/>
    <mergeCell ref="A2:J2"/>
    <mergeCell ref="A3:J3"/>
    <mergeCell ref="C5:J5"/>
    <mergeCell ref="C6:J6"/>
    <mergeCell ref="C8:J11"/>
    <mergeCell ref="C12:J12"/>
    <mergeCell ref="C13:E13"/>
    <mergeCell ref="C14:J14"/>
    <mergeCell ref="C15:J15"/>
  </mergeCells>
  <phoneticPr fontId="34" type="noConversion"/>
  <printOptions horizontalCentered="1"/>
  <pageMargins left="0.25" right="0.25" top="0.75" bottom="0.75" header="0.3" footer="0.3"/>
  <pageSetup paperSize="9" scale="60"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A1:M43"/>
  <sheetViews>
    <sheetView showGridLines="0" view="pageBreakPreview" zoomScale="55" zoomScaleNormal="70" zoomScaleSheetLayoutView="55" workbookViewId="0">
      <selection activeCell="L52" sqref="L52"/>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'PL(2_2)'!D17</f>
        <v>CONDUIT FITTINGS</v>
      </c>
      <c r="D15" s="520"/>
      <c r="E15" s="520"/>
      <c r="F15" s="520"/>
      <c r="G15" s="520"/>
      <c r="H15" s="520"/>
      <c r="I15" s="520"/>
      <c r="J15" s="521"/>
      <c r="L15" s="165" t="s">
        <v>211</v>
      </c>
    </row>
    <row r="16" spans="1:13" s="303" customFormat="1" ht="40.15" customHeight="1">
      <c r="A16" s="267" t="s">
        <v>124</v>
      </c>
      <c r="B16" s="304" t="s">
        <v>100</v>
      </c>
      <c r="C16" s="305" t="s">
        <v>196</v>
      </c>
      <c r="D16" s="337"/>
      <c r="E16" s="337"/>
      <c r="F16" s="337"/>
      <c r="G16" s="337"/>
      <c r="H16" s="337"/>
      <c r="I16" s="337"/>
      <c r="J16" s="338"/>
      <c r="M16" s="306"/>
    </row>
    <row r="17" spans="1:13" s="303" customFormat="1" ht="35.450000000000003" customHeight="1">
      <c r="A17" s="267" t="s">
        <v>121</v>
      </c>
      <c r="B17" s="304" t="s">
        <v>100</v>
      </c>
      <c r="C17" s="305" t="str">
        <f>'PL(2_2)'!C17</f>
        <v>OM4-DE-IS-0009-003</v>
      </c>
      <c r="D17" s="337"/>
      <c r="E17" s="337"/>
      <c r="F17" s="337"/>
      <c r="G17" s="337"/>
      <c r="H17" s="337"/>
      <c r="I17" s="337"/>
      <c r="J17" s="338"/>
      <c r="M17" s="306"/>
    </row>
    <row r="18" spans="1:13" s="303" customFormat="1" ht="49.9" customHeight="1">
      <c r="A18" s="267" t="s">
        <v>119</v>
      </c>
      <c r="B18" s="268" t="s">
        <v>97</v>
      </c>
      <c r="C18" s="314">
        <f>'PL(2_2)'!M17</f>
        <v>1042.5999999999999</v>
      </c>
      <c r="D18" s="308" t="s">
        <v>102</v>
      </c>
      <c r="E18" s="309"/>
      <c r="F18" s="309"/>
      <c r="G18" s="309"/>
      <c r="H18" s="309"/>
      <c r="I18" s="309"/>
      <c r="J18" s="310"/>
    </row>
    <row r="19" spans="1:13" s="303" customFormat="1" ht="57.4" customHeight="1">
      <c r="A19" s="267" t="s">
        <v>120</v>
      </c>
      <c r="B19" s="268" t="s">
        <v>97</v>
      </c>
      <c r="C19" s="314">
        <f>'PL(2_2)'!N17</f>
        <v>1342.6</v>
      </c>
      <c r="D19" s="308" t="s">
        <v>102</v>
      </c>
      <c r="E19" s="309"/>
      <c r="F19" s="311"/>
      <c r="G19" s="309"/>
      <c r="H19" s="309"/>
      <c r="I19" s="309"/>
      <c r="J19" s="312"/>
    </row>
    <row r="20" spans="1:13" s="303" customFormat="1" ht="53.65" customHeight="1">
      <c r="A20" s="267" t="s">
        <v>122</v>
      </c>
      <c r="B20" s="304" t="s">
        <v>97</v>
      </c>
      <c r="C20" s="307">
        <f>'PL(2_2)'!I17</f>
        <v>250</v>
      </c>
      <c r="D20" s="313" t="s">
        <v>103</v>
      </c>
      <c r="E20" s="307">
        <f>'PL(2_2)'!J17</f>
        <v>150</v>
      </c>
      <c r="F20" s="313" t="s">
        <v>104</v>
      </c>
      <c r="G20" s="307">
        <f>'PL(2_2)'!K17</f>
        <v>100</v>
      </c>
      <c r="H20" s="313" t="s">
        <v>105</v>
      </c>
      <c r="I20" s="314">
        <f>'PL(2_2)'!L17</f>
        <v>3.75</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7:J7"/>
    <mergeCell ref="A1:J1"/>
    <mergeCell ref="A2:J2"/>
    <mergeCell ref="A3:J3"/>
    <mergeCell ref="C5:J5"/>
    <mergeCell ref="C6:J6"/>
    <mergeCell ref="C8:J11"/>
    <mergeCell ref="C12:J12"/>
    <mergeCell ref="C13:E13"/>
    <mergeCell ref="C14:J14"/>
    <mergeCell ref="C15:J15"/>
  </mergeCells>
  <phoneticPr fontId="34" type="noConversion"/>
  <printOptions horizontalCentered="1"/>
  <pageMargins left="0.25" right="0.25" top="0.75" bottom="0.75" header="0.3" footer="0.3"/>
  <pageSetup paperSize="9" scale="6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pageSetUpPr fitToPage="1"/>
  </sheetPr>
  <dimension ref="A1:M43"/>
  <sheetViews>
    <sheetView showGridLines="0" view="pageBreakPreview" zoomScale="55" zoomScaleNormal="70" zoomScaleSheetLayoutView="55" workbookViewId="0">
      <selection activeCell="L52" sqref="L52"/>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'PL(2_2)'!D18</f>
        <v>CONDUIT FITTINGS (Normal Bend)</v>
      </c>
      <c r="D15" s="520"/>
      <c r="E15" s="520"/>
      <c r="F15" s="520"/>
      <c r="G15" s="520"/>
      <c r="H15" s="520"/>
      <c r="I15" s="520"/>
      <c r="J15" s="521"/>
      <c r="L15" s="165" t="s">
        <v>211</v>
      </c>
    </row>
    <row r="16" spans="1:13" s="303" customFormat="1" ht="40.15" customHeight="1">
      <c r="A16" s="267" t="s">
        <v>124</v>
      </c>
      <c r="B16" s="304" t="s">
        <v>100</v>
      </c>
      <c r="C16" s="305" t="s">
        <v>196</v>
      </c>
      <c r="D16" s="337"/>
      <c r="E16" s="337"/>
      <c r="F16" s="337"/>
      <c r="G16" s="337"/>
      <c r="H16" s="337"/>
      <c r="I16" s="337"/>
      <c r="J16" s="338"/>
      <c r="M16" s="306"/>
    </row>
    <row r="17" spans="1:13" s="303" customFormat="1" ht="35.450000000000003" customHeight="1">
      <c r="A17" s="267" t="s">
        <v>121</v>
      </c>
      <c r="B17" s="304" t="s">
        <v>100</v>
      </c>
      <c r="C17" s="305" t="str">
        <f>'PL(2_2)'!C18</f>
        <v>OM4-DE-IS-0009-004</v>
      </c>
      <c r="D17" s="337"/>
      <c r="E17" s="337"/>
      <c r="F17" s="337"/>
      <c r="G17" s="337"/>
      <c r="H17" s="337"/>
      <c r="I17" s="337"/>
      <c r="J17" s="338"/>
      <c r="M17" s="306"/>
    </row>
    <row r="18" spans="1:13" s="303" customFormat="1" ht="49.9" customHeight="1">
      <c r="A18" s="267" t="s">
        <v>119</v>
      </c>
      <c r="B18" s="268" t="s">
        <v>97</v>
      </c>
      <c r="C18" s="314">
        <f>'PL(2_2)'!M18</f>
        <v>1162.5</v>
      </c>
      <c r="D18" s="308" t="s">
        <v>102</v>
      </c>
      <c r="E18" s="309"/>
      <c r="F18" s="309"/>
      <c r="G18" s="309"/>
      <c r="H18" s="309"/>
      <c r="I18" s="309"/>
      <c r="J18" s="310"/>
    </row>
    <row r="19" spans="1:13" s="303" customFormat="1" ht="57.4" customHeight="1">
      <c r="A19" s="267" t="s">
        <v>120</v>
      </c>
      <c r="B19" s="268" t="s">
        <v>97</v>
      </c>
      <c r="C19" s="314">
        <f>'PL(2_2)'!N18</f>
        <v>1462.5</v>
      </c>
      <c r="D19" s="308" t="s">
        <v>102</v>
      </c>
      <c r="E19" s="309"/>
      <c r="F19" s="311"/>
      <c r="G19" s="309"/>
      <c r="H19" s="309"/>
      <c r="I19" s="309"/>
      <c r="J19" s="312"/>
    </row>
    <row r="20" spans="1:13" s="303" customFormat="1" ht="53.65" customHeight="1">
      <c r="A20" s="267" t="s">
        <v>122</v>
      </c>
      <c r="B20" s="304" t="s">
        <v>97</v>
      </c>
      <c r="C20" s="307">
        <f>'PL(2_2)'!I18</f>
        <v>240</v>
      </c>
      <c r="D20" s="313" t="s">
        <v>103</v>
      </c>
      <c r="E20" s="307">
        <f>'PL(2_2)'!J18</f>
        <v>150</v>
      </c>
      <c r="F20" s="313" t="s">
        <v>104</v>
      </c>
      <c r="G20" s="307">
        <f>'PL(2_2)'!K18</f>
        <v>90</v>
      </c>
      <c r="H20" s="313" t="s">
        <v>105</v>
      </c>
      <c r="I20" s="314">
        <f>'PL(2_2)'!L18</f>
        <v>3.24</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7:J7"/>
    <mergeCell ref="A1:J1"/>
    <mergeCell ref="A2:J2"/>
    <mergeCell ref="A3:J3"/>
    <mergeCell ref="C5:J5"/>
    <mergeCell ref="C6:J6"/>
    <mergeCell ref="C8:J11"/>
    <mergeCell ref="C12:J12"/>
    <mergeCell ref="C13:E13"/>
    <mergeCell ref="C14:J14"/>
    <mergeCell ref="C15:J15"/>
  </mergeCells>
  <phoneticPr fontId="34" type="noConversion"/>
  <printOptions horizontalCentered="1"/>
  <pageMargins left="0.25" right="0.25" top="0.75" bottom="0.75" header="0.3" footer="0.3"/>
  <pageSetup paperSize="9" scale="60"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pageSetUpPr fitToPage="1"/>
  </sheetPr>
  <dimension ref="A1:M43"/>
  <sheetViews>
    <sheetView showGridLines="0" view="pageBreakPreview" zoomScale="55" zoomScaleNormal="70" zoomScaleSheetLayoutView="55" workbookViewId="0">
      <selection activeCell="L52" sqref="L52"/>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'PL(2_2)'!D19</f>
        <v>CONDUIT FITTINGS (Normal Bend)</v>
      </c>
      <c r="D15" s="520"/>
      <c r="E15" s="520"/>
      <c r="F15" s="520"/>
      <c r="G15" s="520"/>
      <c r="H15" s="520"/>
      <c r="I15" s="520"/>
      <c r="J15" s="521"/>
      <c r="L15" s="165" t="s">
        <v>211</v>
      </c>
    </row>
    <row r="16" spans="1:13" s="303" customFormat="1" ht="40.15" customHeight="1">
      <c r="A16" s="267" t="s">
        <v>124</v>
      </c>
      <c r="B16" s="304" t="s">
        <v>100</v>
      </c>
      <c r="C16" s="305" t="s">
        <v>196</v>
      </c>
      <c r="D16" s="337"/>
      <c r="E16" s="337"/>
      <c r="F16" s="337"/>
      <c r="G16" s="337"/>
      <c r="H16" s="337"/>
      <c r="I16" s="337"/>
      <c r="J16" s="338"/>
      <c r="M16" s="306"/>
    </row>
    <row r="17" spans="1:13" s="303" customFormat="1" ht="35.450000000000003" customHeight="1">
      <c r="A17" s="267" t="s">
        <v>121</v>
      </c>
      <c r="B17" s="304" t="s">
        <v>100</v>
      </c>
      <c r="C17" s="305" t="str">
        <f>'PL(2_2)'!C19</f>
        <v>OM4-DE-IS-0009-005</v>
      </c>
      <c r="D17" s="337"/>
      <c r="E17" s="337"/>
      <c r="F17" s="337"/>
      <c r="G17" s="337"/>
      <c r="H17" s="337"/>
      <c r="I17" s="337"/>
      <c r="J17" s="338"/>
      <c r="M17" s="306"/>
    </row>
    <row r="18" spans="1:13" s="303" customFormat="1" ht="49.9" customHeight="1">
      <c r="A18" s="267" t="s">
        <v>119</v>
      </c>
      <c r="B18" s="268" t="s">
        <v>97</v>
      </c>
      <c r="C18" s="314">
        <f>'PL(2_2)'!M19</f>
        <v>1162.5</v>
      </c>
      <c r="D18" s="308" t="s">
        <v>102</v>
      </c>
      <c r="E18" s="309"/>
      <c r="F18" s="309"/>
      <c r="G18" s="309"/>
      <c r="H18" s="309"/>
      <c r="I18" s="309"/>
      <c r="J18" s="310"/>
    </row>
    <row r="19" spans="1:13" s="303" customFormat="1" ht="57.4" customHeight="1">
      <c r="A19" s="267" t="s">
        <v>120</v>
      </c>
      <c r="B19" s="268" t="s">
        <v>97</v>
      </c>
      <c r="C19" s="314">
        <f>'PL(2_2)'!N19</f>
        <v>1462.5</v>
      </c>
      <c r="D19" s="308" t="s">
        <v>102</v>
      </c>
      <c r="E19" s="309"/>
      <c r="F19" s="311"/>
      <c r="G19" s="309"/>
      <c r="H19" s="309"/>
      <c r="I19" s="309"/>
      <c r="J19" s="312"/>
    </row>
    <row r="20" spans="1:13" s="303" customFormat="1" ht="53.65" customHeight="1">
      <c r="A20" s="267" t="s">
        <v>122</v>
      </c>
      <c r="B20" s="304" t="s">
        <v>97</v>
      </c>
      <c r="C20" s="307">
        <f>'PL(2_2)'!I19</f>
        <v>240</v>
      </c>
      <c r="D20" s="313" t="s">
        <v>103</v>
      </c>
      <c r="E20" s="307">
        <f>'PL(2_2)'!J19</f>
        <v>150</v>
      </c>
      <c r="F20" s="313" t="s">
        <v>104</v>
      </c>
      <c r="G20" s="307">
        <f>'PL(2_2)'!K19</f>
        <v>90</v>
      </c>
      <c r="H20" s="313" t="s">
        <v>105</v>
      </c>
      <c r="I20" s="314">
        <f>'PL(2_2)'!L19</f>
        <v>3.24</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7:J7"/>
    <mergeCell ref="A1:J1"/>
    <mergeCell ref="A2:J2"/>
    <mergeCell ref="A3:J3"/>
    <mergeCell ref="C5:J5"/>
    <mergeCell ref="C6:J6"/>
    <mergeCell ref="C8:J11"/>
    <mergeCell ref="C12:J12"/>
    <mergeCell ref="C13:E13"/>
    <mergeCell ref="C14:J14"/>
    <mergeCell ref="C15:J15"/>
  </mergeCells>
  <phoneticPr fontId="34" type="noConversion"/>
  <printOptions horizontalCentered="1"/>
  <pageMargins left="0.25" right="0.25" top="0.75" bottom="0.75" header="0.3" footer="0.3"/>
  <pageSetup paperSize="9" scale="6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pageSetUpPr fitToPage="1"/>
  </sheetPr>
  <dimension ref="A1:M43"/>
  <sheetViews>
    <sheetView showGridLines="0" view="pageBreakPreview" zoomScale="55" zoomScaleNormal="70" zoomScaleSheetLayoutView="55" workbookViewId="0">
      <selection activeCell="L52" sqref="L52"/>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'PL(2_2)'!D20</f>
        <v>CONDUIT FITTINGS (Normal Bend)</v>
      </c>
      <c r="D15" s="520"/>
      <c r="E15" s="520"/>
      <c r="F15" s="520"/>
      <c r="G15" s="520"/>
      <c r="H15" s="520"/>
      <c r="I15" s="520"/>
      <c r="J15" s="521"/>
      <c r="L15" s="165" t="s">
        <v>211</v>
      </c>
    </row>
    <row r="16" spans="1:13" s="303" customFormat="1" ht="40.15" customHeight="1">
      <c r="A16" s="267" t="s">
        <v>124</v>
      </c>
      <c r="B16" s="304" t="s">
        <v>100</v>
      </c>
      <c r="C16" s="305" t="s">
        <v>196</v>
      </c>
      <c r="D16" s="337"/>
      <c r="E16" s="337"/>
      <c r="F16" s="337"/>
      <c r="G16" s="337"/>
      <c r="H16" s="337"/>
      <c r="I16" s="337"/>
      <c r="J16" s="338"/>
      <c r="M16" s="306"/>
    </row>
    <row r="17" spans="1:13" s="303" customFormat="1" ht="35.450000000000003" customHeight="1">
      <c r="A17" s="267" t="s">
        <v>121</v>
      </c>
      <c r="B17" s="304" t="s">
        <v>100</v>
      </c>
      <c r="C17" s="305" t="str">
        <f>'PL(2_2)'!C20</f>
        <v>OM4-DE-IS-0009-006</v>
      </c>
      <c r="D17" s="337"/>
      <c r="E17" s="337"/>
      <c r="F17" s="337"/>
      <c r="G17" s="337"/>
      <c r="H17" s="337"/>
      <c r="I17" s="337"/>
      <c r="J17" s="338"/>
      <c r="M17" s="306"/>
    </row>
    <row r="18" spans="1:13" s="303" customFormat="1" ht="49.9" customHeight="1">
      <c r="A18" s="267" t="s">
        <v>119</v>
      </c>
      <c r="B18" s="268" t="s">
        <v>97</v>
      </c>
      <c r="C18" s="314">
        <f>'PL(2_2)'!M20</f>
        <v>1102.5</v>
      </c>
      <c r="D18" s="308" t="s">
        <v>102</v>
      </c>
      <c r="E18" s="309"/>
      <c r="F18" s="309"/>
      <c r="G18" s="309"/>
      <c r="H18" s="309"/>
      <c r="I18" s="309"/>
      <c r="J18" s="310"/>
    </row>
    <row r="19" spans="1:13" s="303" customFormat="1" ht="57.4" customHeight="1">
      <c r="A19" s="267" t="s">
        <v>120</v>
      </c>
      <c r="B19" s="268" t="s">
        <v>97</v>
      </c>
      <c r="C19" s="314">
        <f>'PL(2_2)'!N20</f>
        <v>1402.5</v>
      </c>
      <c r="D19" s="308" t="s">
        <v>102</v>
      </c>
      <c r="E19" s="309"/>
      <c r="F19" s="311"/>
      <c r="G19" s="309"/>
      <c r="H19" s="309"/>
      <c r="I19" s="309"/>
      <c r="J19" s="312"/>
    </row>
    <row r="20" spans="1:13" s="303" customFormat="1" ht="53.65" customHeight="1">
      <c r="A20" s="267" t="s">
        <v>122</v>
      </c>
      <c r="B20" s="304" t="s">
        <v>97</v>
      </c>
      <c r="C20" s="307">
        <f>'PL(2_2)'!I20</f>
        <v>200</v>
      </c>
      <c r="D20" s="313" t="s">
        <v>103</v>
      </c>
      <c r="E20" s="307">
        <f>'PL(2_2)'!J20</f>
        <v>150</v>
      </c>
      <c r="F20" s="313" t="s">
        <v>104</v>
      </c>
      <c r="G20" s="307">
        <f>'PL(2_2)'!K20</f>
        <v>120</v>
      </c>
      <c r="H20" s="313" t="s">
        <v>105</v>
      </c>
      <c r="I20" s="314">
        <f>'PL(2_2)'!L20</f>
        <v>3.6</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7:J7"/>
    <mergeCell ref="A1:J1"/>
    <mergeCell ref="A2:J2"/>
    <mergeCell ref="A3:J3"/>
    <mergeCell ref="C5:J5"/>
    <mergeCell ref="C6:J6"/>
    <mergeCell ref="C8:J11"/>
    <mergeCell ref="C12:J12"/>
    <mergeCell ref="C13:E13"/>
    <mergeCell ref="C14:J14"/>
    <mergeCell ref="C15:J15"/>
  </mergeCells>
  <phoneticPr fontId="34" type="noConversion"/>
  <printOptions horizontalCentered="1"/>
  <pageMargins left="0.25" right="0.25" top="0.75" bottom="0.75" header="0.3" footer="0.3"/>
  <pageSetup paperSize="9" scale="6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pageSetUpPr fitToPage="1"/>
  </sheetPr>
  <dimension ref="A1:M43"/>
  <sheetViews>
    <sheetView showGridLines="0" view="pageBreakPreview" zoomScale="55" zoomScaleNormal="70" zoomScaleSheetLayoutView="55" workbookViewId="0">
      <selection activeCell="L52" sqref="L52"/>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'PL(2_2)'!D21</f>
        <v>CONDUIT FITTINGS (Normal Bend)</v>
      </c>
      <c r="D15" s="520"/>
      <c r="E15" s="520"/>
      <c r="F15" s="520"/>
      <c r="G15" s="520"/>
      <c r="H15" s="520"/>
      <c r="I15" s="520"/>
      <c r="J15" s="521"/>
      <c r="L15" s="165" t="s">
        <v>211</v>
      </c>
    </row>
    <row r="16" spans="1:13" s="303" customFormat="1" ht="40.15" customHeight="1">
      <c r="A16" s="267" t="s">
        <v>124</v>
      </c>
      <c r="B16" s="304" t="s">
        <v>100</v>
      </c>
      <c r="C16" s="305" t="s">
        <v>196</v>
      </c>
      <c r="D16" s="337"/>
      <c r="E16" s="337"/>
      <c r="F16" s="337"/>
      <c r="G16" s="337"/>
      <c r="H16" s="337"/>
      <c r="I16" s="337"/>
      <c r="J16" s="338"/>
      <c r="M16" s="306"/>
    </row>
    <row r="17" spans="1:13" s="303" customFormat="1" ht="35.450000000000003" customHeight="1">
      <c r="A17" s="267" t="s">
        <v>121</v>
      </c>
      <c r="B17" s="304" t="s">
        <v>100</v>
      </c>
      <c r="C17" s="305" t="str">
        <f>'PL(2_2)'!C21</f>
        <v>OM4-DE-IS-0009-007</v>
      </c>
      <c r="D17" s="337"/>
      <c r="E17" s="337"/>
      <c r="F17" s="337"/>
      <c r="G17" s="337"/>
      <c r="H17" s="337"/>
      <c r="I17" s="337"/>
      <c r="J17" s="338"/>
      <c r="M17" s="306"/>
    </row>
    <row r="18" spans="1:13" s="303" customFormat="1" ht="49.9" customHeight="1">
      <c r="A18" s="267" t="s">
        <v>119</v>
      </c>
      <c r="B18" s="268" t="s">
        <v>97</v>
      </c>
      <c r="C18" s="314">
        <f>'PL(2_2)'!M21</f>
        <v>1102.5</v>
      </c>
      <c r="D18" s="308" t="s">
        <v>102</v>
      </c>
      <c r="E18" s="309"/>
      <c r="F18" s="309"/>
      <c r="G18" s="309"/>
      <c r="H18" s="309"/>
      <c r="I18" s="309"/>
      <c r="J18" s="310"/>
    </row>
    <row r="19" spans="1:13" s="303" customFormat="1" ht="57.4" customHeight="1">
      <c r="A19" s="267" t="s">
        <v>120</v>
      </c>
      <c r="B19" s="268" t="s">
        <v>97</v>
      </c>
      <c r="C19" s="314">
        <f>'PL(2_2)'!N21</f>
        <v>1402.5</v>
      </c>
      <c r="D19" s="308" t="s">
        <v>102</v>
      </c>
      <c r="E19" s="309"/>
      <c r="F19" s="311"/>
      <c r="G19" s="309"/>
      <c r="H19" s="309"/>
      <c r="I19" s="309"/>
      <c r="J19" s="312"/>
    </row>
    <row r="20" spans="1:13" s="303" customFormat="1" ht="53.65" customHeight="1">
      <c r="A20" s="267" t="s">
        <v>122</v>
      </c>
      <c r="B20" s="304" t="s">
        <v>97</v>
      </c>
      <c r="C20" s="307">
        <f>'PL(2_2)'!I21</f>
        <v>200</v>
      </c>
      <c r="D20" s="313" t="s">
        <v>103</v>
      </c>
      <c r="E20" s="307">
        <f>'PL(2_2)'!J21</f>
        <v>150</v>
      </c>
      <c r="F20" s="313" t="s">
        <v>104</v>
      </c>
      <c r="G20" s="307">
        <f>'PL(2_2)'!K21</f>
        <v>120</v>
      </c>
      <c r="H20" s="313" t="s">
        <v>105</v>
      </c>
      <c r="I20" s="314">
        <f>'PL(2_2)'!L21</f>
        <v>3.6</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7:J7"/>
    <mergeCell ref="A1:J1"/>
    <mergeCell ref="A2:J2"/>
    <mergeCell ref="A3:J3"/>
    <mergeCell ref="C5:J5"/>
    <mergeCell ref="C6:J6"/>
    <mergeCell ref="C8:J11"/>
    <mergeCell ref="C12:J12"/>
    <mergeCell ref="C13:E13"/>
    <mergeCell ref="C14:J14"/>
    <mergeCell ref="C15:J15"/>
  </mergeCells>
  <phoneticPr fontId="34" type="noConversion"/>
  <printOptions horizontalCentered="1"/>
  <pageMargins left="0.25" right="0.25" top="0.75" bottom="0.75" header="0.3" footer="0.3"/>
  <pageSetup paperSize="9" scale="60"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pageSetUpPr fitToPage="1"/>
  </sheetPr>
  <dimension ref="A1:M43"/>
  <sheetViews>
    <sheetView showGridLines="0" view="pageBreakPreview" zoomScale="55" zoomScaleNormal="70" zoomScaleSheetLayoutView="55" workbookViewId="0">
      <selection activeCell="L52" sqref="L52"/>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'PL(2_2)'!D22</f>
        <v>CONDUIT FITTINGS (Normal Bend)</v>
      </c>
      <c r="D15" s="520"/>
      <c r="E15" s="520"/>
      <c r="F15" s="520"/>
      <c r="G15" s="520"/>
      <c r="H15" s="520"/>
      <c r="I15" s="520"/>
      <c r="J15" s="521"/>
      <c r="L15" s="165" t="s">
        <v>211</v>
      </c>
    </row>
    <row r="16" spans="1:13" s="303" customFormat="1" ht="40.15" customHeight="1">
      <c r="A16" s="267" t="s">
        <v>124</v>
      </c>
      <c r="B16" s="304" t="s">
        <v>100</v>
      </c>
      <c r="C16" s="305" t="s">
        <v>196</v>
      </c>
      <c r="D16" s="337"/>
      <c r="E16" s="337"/>
      <c r="F16" s="337"/>
      <c r="G16" s="337"/>
      <c r="H16" s="337"/>
      <c r="I16" s="337"/>
      <c r="J16" s="338"/>
      <c r="M16" s="306"/>
    </row>
    <row r="17" spans="1:13" s="303" customFormat="1" ht="35.450000000000003" customHeight="1">
      <c r="A17" s="267" t="s">
        <v>121</v>
      </c>
      <c r="B17" s="304" t="s">
        <v>100</v>
      </c>
      <c r="C17" s="305" t="str">
        <f>'PL(2_2)'!C22</f>
        <v>OM4-DE-IS-0009-008</v>
      </c>
      <c r="D17" s="337"/>
      <c r="E17" s="337"/>
      <c r="F17" s="337"/>
      <c r="G17" s="337"/>
      <c r="H17" s="337"/>
      <c r="I17" s="337"/>
      <c r="J17" s="338"/>
      <c r="M17" s="306"/>
    </row>
    <row r="18" spans="1:13" s="303" customFormat="1" ht="49.9" customHeight="1">
      <c r="A18" s="267" t="s">
        <v>119</v>
      </c>
      <c r="B18" s="268" t="s">
        <v>97</v>
      </c>
      <c r="C18" s="314">
        <f>'PL(2_2)'!M22</f>
        <v>1500</v>
      </c>
      <c r="D18" s="308" t="s">
        <v>102</v>
      </c>
      <c r="E18" s="309"/>
      <c r="F18" s="309"/>
      <c r="G18" s="309"/>
      <c r="H18" s="309"/>
      <c r="I18" s="309"/>
      <c r="J18" s="310"/>
    </row>
    <row r="19" spans="1:13" s="303" customFormat="1" ht="57.4" customHeight="1">
      <c r="A19" s="267" t="s">
        <v>120</v>
      </c>
      <c r="B19" s="268" t="s">
        <v>97</v>
      </c>
      <c r="C19" s="314">
        <f>'PL(2_2)'!N22</f>
        <v>1800</v>
      </c>
      <c r="D19" s="308" t="s">
        <v>102</v>
      </c>
      <c r="E19" s="309"/>
      <c r="F19" s="311"/>
      <c r="G19" s="309"/>
      <c r="H19" s="309"/>
      <c r="I19" s="309"/>
      <c r="J19" s="312"/>
    </row>
    <row r="20" spans="1:13" s="303" customFormat="1" ht="53.65" customHeight="1">
      <c r="A20" s="267" t="s">
        <v>122</v>
      </c>
      <c r="B20" s="304" t="s">
        <v>97</v>
      </c>
      <c r="C20" s="307">
        <f>'PL(2_2)'!I22</f>
        <v>250</v>
      </c>
      <c r="D20" s="313" t="s">
        <v>103</v>
      </c>
      <c r="E20" s="307">
        <f>'PL(2_2)'!J22</f>
        <v>150</v>
      </c>
      <c r="F20" s="313" t="s">
        <v>104</v>
      </c>
      <c r="G20" s="307">
        <f>'PL(2_2)'!K22</f>
        <v>115</v>
      </c>
      <c r="H20" s="313" t="s">
        <v>105</v>
      </c>
      <c r="I20" s="314">
        <f>'PL(2_2)'!L22</f>
        <v>4.3125</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7:J7"/>
    <mergeCell ref="A1:J1"/>
    <mergeCell ref="A2:J2"/>
    <mergeCell ref="A3:J3"/>
    <mergeCell ref="C5:J5"/>
    <mergeCell ref="C6:J6"/>
    <mergeCell ref="C8:J11"/>
    <mergeCell ref="C12:J12"/>
    <mergeCell ref="C13:E13"/>
    <mergeCell ref="C14:J14"/>
    <mergeCell ref="C15:J15"/>
  </mergeCells>
  <phoneticPr fontId="34" type="noConversion"/>
  <printOptions horizontalCentered="1"/>
  <pageMargins left="0.25" right="0.25" top="0.75" bottom="0.75" header="0.3" footer="0.3"/>
  <pageSetup paperSize="9" scale="6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pageSetUpPr fitToPage="1"/>
  </sheetPr>
  <dimension ref="A1:M43"/>
  <sheetViews>
    <sheetView showGridLines="0" view="pageBreakPreview" zoomScale="55" zoomScaleNormal="70" zoomScaleSheetLayoutView="55" workbookViewId="0">
      <selection activeCell="L52" sqref="L52"/>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'PL(2_2)'!D23</f>
        <v>CONDUIT FITTINGS (Normal Bend)</v>
      </c>
      <c r="D15" s="520"/>
      <c r="E15" s="520"/>
      <c r="F15" s="520"/>
      <c r="G15" s="520"/>
      <c r="H15" s="520"/>
      <c r="I15" s="520"/>
      <c r="J15" s="521"/>
      <c r="L15" s="165" t="s">
        <v>211</v>
      </c>
    </row>
    <row r="16" spans="1:13" s="303" customFormat="1" ht="40.15" customHeight="1">
      <c r="A16" s="267" t="s">
        <v>124</v>
      </c>
      <c r="B16" s="304" t="s">
        <v>100</v>
      </c>
      <c r="C16" s="305" t="s">
        <v>196</v>
      </c>
      <c r="D16" s="337"/>
      <c r="E16" s="337"/>
      <c r="F16" s="337"/>
      <c r="G16" s="337"/>
      <c r="H16" s="337"/>
      <c r="I16" s="337"/>
      <c r="J16" s="338"/>
      <c r="M16" s="306"/>
    </row>
    <row r="17" spans="1:13" s="303" customFormat="1" ht="35.450000000000003" customHeight="1">
      <c r="A17" s="267" t="s">
        <v>121</v>
      </c>
      <c r="B17" s="304" t="s">
        <v>100</v>
      </c>
      <c r="C17" s="305" t="str">
        <f>'PL(2_2)'!C23</f>
        <v>OM4-DE-IS-0009-009</v>
      </c>
      <c r="D17" s="337"/>
      <c r="E17" s="337"/>
      <c r="F17" s="337"/>
      <c r="G17" s="337"/>
      <c r="H17" s="337"/>
      <c r="I17" s="337"/>
      <c r="J17" s="338"/>
      <c r="M17" s="306"/>
    </row>
    <row r="18" spans="1:13" s="303" customFormat="1" ht="49.9" customHeight="1">
      <c r="A18" s="267" t="s">
        <v>119</v>
      </c>
      <c r="B18" s="268" t="s">
        <v>97</v>
      </c>
      <c r="C18" s="314">
        <f>'PL(2_2)'!M23</f>
        <v>1500</v>
      </c>
      <c r="D18" s="308" t="s">
        <v>102</v>
      </c>
      <c r="E18" s="309"/>
      <c r="F18" s="309"/>
      <c r="G18" s="309"/>
      <c r="H18" s="309"/>
      <c r="I18" s="309"/>
      <c r="J18" s="310"/>
    </row>
    <row r="19" spans="1:13" s="303" customFormat="1" ht="57.4" customHeight="1">
      <c r="A19" s="267" t="s">
        <v>120</v>
      </c>
      <c r="B19" s="268" t="s">
        <v>97</v>
      </c>
      <c r="C19" s="314">
        <f>'PL(2_2)'!N23</f>
        <v>1800</v>
      </c>
      <c r="D19" s="308" t="s">
        <v>102</v>
      </c>
      <c r="E19" s="309"/>
      <c r="F19" s="311"/>
      <c r="G19" s="309"/>
      <c r="H19" s="309"/>
      <c r="I19" s="309"/>
      <c r="J19" s="312"/>
    </row>
    <row r="20" spans="1:13" s="303" customFormat="1" ht="53.65" customHeight="1">
      <c r="A20" s="267" t="s">
        <v>122</v>
      </c>
      <c r="B20" s="304" t="s">
        <v>97</v>
      </c>
      <c r="C20" s="307">
        <f>'PL(2_2)'!I23</f>
        <v>250</v>
      </c>
      <c r="D20" s="313" t="s">
        <v>103</v>
      </c>
      <c r="E20" s="307">
        <f>'PL(2_2)'!J23</f>
        <v>150</v>
      </c>
      <c r="F20" s="313" t="s">
        <v>104</v>
      </c>
      <c r="G20" s="307">
        <f>'PL(2_2)'!K23</f>
        <v>115</v>
      </c>
      <c r="H20" s="313" t="s">
        <v>105</v>
      </c>
      <c r="I20" s="314">
        <f>'PL(2_2)'!L23</f>
        <v>4.3125</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7:J7"/>
    <mergeCell ref="A1:J1"/>
    <mergeCell ref="A2:J2"/>
    <mergeCell ref="A3:J3"/>
    <mergeCell ref="C5:J5"/>
    <mergeCell ref="C6:J6"/>
    <mergeCell ref="C8:J11"/>
    <mergeCell ref="C12:J12"/>
    <mergeCell ref="C13:E13"/>
    <mergeCell ref="C14:J14"/>
    <mergeCell ref="C15:J15"/>
  </mergeCells>
  <phoneticPr fontId="34" type="noConversion"/>
  <printOptions horizontalCentered="1"/>
  <pageMargins left="0.25" right="0.25" top="0.75" bottom="0.75" header="0.3" footer="0.3"/>
  <pageSetup paperSize="9" scale="6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pageSetUpPr fitToPage="1"/>
  </sheetPr>
  <dimension ref="A1:M43"/>
  <sheetViews>
    <sheetView showGridLines="0" view="pageBreakPreview" zoomScale="55" zoomScaleNormal="70" zoomScaleSheetLayoutView="55" workbookViewId="0">
      <selection activeCell="L52" sqref="L52"/>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'PL(2_2)'!D24</f>
        <v>CONDUIT FITTINGS</v>
      </c>
      <c r="D15" s="520"/>
      <c r="E15" s="520"/>
      <c r="F15" s="520"/>
      <c r="G15" s="520"/>
      <c r="H15" s="520"/>
      <c r="I15" s="520"/>
      <c r="J15" s="521"/>
      <c r="L15" s="165" t="s">
        <v>211</v>
      </c>
    </row>
    <row r="16" spans="1:13" s="303" customFormat="1" ht="40.15" customHeight="1">
      <c r="A16" s="267" t="s">
        <v>124</v>
      </c>
      <c r="B16" s="304" t="s">
        <v>100</v>
      </c>
      <c r="C16" s="305" t="s">
        <v>196</v>
      </c>
      <c r="D16" s="337"/>
      <c r="E16" s="337"/>
      <c r="F16" s="337"/>
      <c r="G16" s="337"/>
      <c r="H16" s="337"/>
      <c r="I16" s="337"/>
      <c r="J16" s="338"/>
      <c r="M16" s="306"/>
    </row>
    <row r="17" spans="1:13" s="303" customFormat="1" ht="35.450000000000003" customHeight="1">
      <c r="A17" s="267" t="s">
        <v>121</v>
      </c>
      <c r="B17" s="304" t="s">
        <v>100</v>
      </c>
      <c r="C17" s="305" t="str">
        <f>'PL(2_2)'!C24</f>
        <v>OM4-DE-IS-0009-010</v>
      </c>
      <c r="D17" s="337"/>
      <c r="E17" s="337"/>
      <c r="F17" s="337"/>
      <c r="G17" s="337"/>
      <c r="H17" s="337"/>
      <c r="I17" s="337"/>
      <c r="J17" s="338"/>
      <c r="M17" s="306"/>
    </row>
    <row r="18" spans="1:13" s="303" customFormat="1" ht="49.9" customHeight="1">
      <c r="A18" s="267" t="s">
        <v>119</v>
      </c>
      <c r="B18" s="268" t="s">
        <v>97</v>
      </c>
      <c r="C18" s="314">
        <f>'PL(2_2)'!M24</f>
        <v>1450.5</v>
      </c>
      <c r="D18" s="308" t="s">
        <v>102</v>
      </c>
      <c r="E18" s="309"/>
      <c r="F18" s="309"/>
      <c r="G18" s="309"/>
      <c r="H18" s="309"/>
      <c r="I18" s="309"/>
      <c r="J18" s="310"/>
    </row>
    <row r="19" spans="1:13" s="303" customFormat="1" ht="57.4" customHeight="1">
      <c r="A19" s="267" t="s">
        <v>120</v>
      </c>
      <c r="B19" s="268" t="s">
        <v>97</v>
      </c>
      <c r="C19" s="314">
        <f>'PL(2_2)'!N24</f>
        <v>1750.5</v>
      </c>
      <c r="D19" s="308" t="s">
        <v>102</v>
      </c>
      <c r="E19" s="309"/>
      <c r="F19" s="311"/>
      <c r="G19" s="309"/>
      <c r="H19" s="309"/>
      <c r="I19" s="309"/>
      <c r="J19" s="312"/>
    </row>
    <row r="20" spans="1:13" s="303" customFormat="1" ht="53.65" customHeight="1">
      <c r="A20" s="267" t="s">
        <v>122</v>
      </c>
      <c r="B20" s="304" t="s">
        <v>97</v>
      </c>
      <c r="C20" s="307">
        <f>'PL(2_2)'!I24</f>
        <v>200</v>
      </c>
      <c r="D20" s="313" t="s">
        <v>103</v>
      </c>
      <c r="E20" s="307">
        <f>'PL(2_2)'!J24</f>
        <v>200</v>
      </c>
      <c r="F20" s="313" t="s">
        <v>104</v>
      </c>
      <c r="G20" s="307">
        <f>'PL(2_2)'!K24</f>
        <v>140</v>
      </c>
      <c r="H20" s="313" t="s">
        <v>105</v>
      </c>
      <c r="I20" s="314">
        <f>'PL(2_2)'!L24</f>
        <v>5.6</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7:J7"/>
    <mergeCell ref="A1:J1"/>
    <mergeCell ref="A2:J2"/>
    <mergeCell ref="A3:J3"/>
    <mergeCell ref="C5:J5"/>
    <mergeCell ref="C6:J6"/>
    <mergeCell ref="C8:J11"/>
    <mergeCell ref="C12:J12"/>
    <mergeCell ref="C13:E13"/>
    <mergeCell ref="C14:J14"/>
    <mergeCell ref="C15:J15"/>
  </mergeCells>
  <phoneticPr fontId="34" type="noConversion"/>
  <printOptions horizontalCentered="1"/>
  <pageMargins left="0.25" right="0.25" top="0.75" bottom="0.75" header="0.3" footer="0.3"/>
  <pageSetup paperSize="9" scale="60"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pageSetUpPr fitToPage="1"/>
  </sheetPr>
  <dimension ref="A1:M43"/>
  <sheetViews>
    <sheetView showGridLines="0" view="pageBreakPreview" zoomScale="55" zoomScaleNormal="70" zoomScaleSheetLayoutView="55" workbookViewId="0">
      <selection activeCell="L52" sqref="L52"/>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'PL(2_2)'!D25</f>
        <v>Flexible Conduit</v>
      </c>
      <c r="D15" s="520"/>
      <c r="E15" s="520"/>
      <c r="F15" s="520"/>
      <c r="G15" s="520"/>
      <c r="H15" s="520"/>
      <c r="I15" s="520"/>
      <c r="J15" s="521"/>
      <c r="L15" s="165" t="s">
        <v>211</v>
      </c>
    </row>
    <row r="16" spans="1:13" s="303" customFormat="1" ht="40.15" customHeight="1">
      <c r="A16" s="267" t="s">
        <v>124</v>
      </c>
      <c r="B16" s="304" t="s">
        <v>100</v>
      </c>
      <c r="C16" s="305" t="s">
        <v>196</v>
      </c>
      <c r="D16" s="337"/>
      <c r="E16" s="337"/>
      <c r="F16" s="337"/>
      <c r="G16" s="337"/>
      <c r="H16" s="337"/>
      <c r="I16" s="337"/>
      <c r="J16" s="338"/>
      <c r="M16" s="306"/>
    </row>
    <row r="17" spans="1:13" s="303" customFormat="1" ht="35.450000000000003" customHeight="1">
      <c r="A17" s="267" t="s">
        <v>121</v>
      </c>
      <c r="B17" s="304" t="s">
        <v>100</v>
      </c>
      <c r="C17" s="305" t="str">
        <f>'PL(2_2)'!C25</f>
        <v>OM4-DE-IS-0009-011</v>
      </c>
      <c r="D17" s="337"/>
      <c r="E17" s="337"/>
      <c r="F17" s="337"/>
      <c r="G17" s="337"/>
      <c r="H17" s="337"/>
      <c r="I17" s="337"/>
      <c r="J17" s="338"/>
      <c r="M17" s="306"/>
    </row>
    <row r="18" spans="1:13" s="303" customFormat="1" ht="49.9" customHeight="1">
      <c r="A18" s="267" t="s">
        <v>119</v>
      </c>
      <c r="B18" s="268" t="s">
        <v>97</v>
      </c>
      <c r="C18" s="314">
        <f>'PL(2_2)'!M25</f>
        <v>1840</v>
      </c>
      <c r="D18" s="308" t="s">
        <v>102</v>
      </c>
      <c r="E18" s="309"/>
      <c r="F18" s="309"/>
      <c r="G18" s="309"/>
      <c r="H18" s="309"/>
      <c r="I18" s="309"/>
      <c r="J18" s="310"/>
    </row>
    <row r="19" spans="1:13" s="303" customFormat="1" ht="57.4" customHeight="1">
      <c r="A19" s="267" t="s">
        <v>120</v>
      </c>
      <c r="B19" s="268" t="s">
        <v>97</v>
      </c>
      <c r="C19" s="314">
        <f>'PL(2_2)'!N25</f>
        <v>2140</v>
      </c>
      <c r="D19" s="308" t="s">
        <v>102</v>
      </c>
      <c r="E19" s="309"/>
      <c r="F19" s="311"/>
      <c r="G19" s="309"/>
      <c r="H19" s="309"/>
      <c r="I19" s="309"/>
      <c r="J19" s="312"/>
    </row>
    <row r="20" spans="1:13" s="303" customFormat="1" ht="53.65" customHeight="1">
      <c r="A20" s="267" t="s">
        <v>122</v>
      </c>
      <c r="B20" s="304" t="s">
        <v>97</v>
      </c>
      <c r="C20" s="307">
        <f>'PL(2_2)'!I25</f>
        <v>420</v>
      </c>
      <c r="D20" s="313" t="s">
        <v>103</v>
      </c>
      <c r="E20" s="307">
        <f>'PL(2_2)'!J25</f>
        <v>220</v>
      </c>
      <c r="F20" s="313" t="s">
        <v>104</v>
      </c>
      <c r="G20" s="307">
        <f>'PL(2_2)'!K25</f>
        <v>190</v>
      </c>
      <c r="H20" s="313" t="s">
        <v>105</v>
      </c>
      <c r="I20" s="314">
        <f>'PL(2_2)'!L25</f>
        <v>17.556000000000001</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7:J7"/>
    <mergeCell ref="A1:J1"/>
    <mergeCell ref="A2:J2"/>
    <mergeCell ref="A3:J3"/>
    <mergeCell ref="C5:J5"/>
    <mergeCell ref="C6:J6"/>
    <mergeCell ref="C8:J11"/>
    <mergeCell ref="C12:J12"/>
    <mergeCell ref="C13:E13"/>
    <mergeCell ref="C14:J14"/>
    <mergeCell ref="C15:J15"/>
  </mergeCells>
  <phoneticPr fontId="34" type="noConversion"/>
  <printOptions horizontalCentered="1"/>
  <pageMargins left="0.25" right="0.25" top="0.75" bottom="0.75" header="0.3" footer="0.3"/>
  <pageSetup paperSize="9" scale="60"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pageSetUpPr fitToPage="1"/>
  </sheetPr>
  <dimension ref="A1:M43"/>
  <sheetViews>
    <sheetView showGridLines="0" view="pageBreakPreview" zoomScale="55" zoomScaleNormal="70" zoomScaleSheetLayoutView="55" workbookViewId="0">
      <selection activeCell="L52" sqref="L52"/>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'PL(2_2)'!D26</f>
        <v>CONDUIT FITTINGS</v>
      </c>
      <c r="D15" s="520"/>
      <c r="E15" s="520"/>
      <c r="F15" s="520"/>
      <c r="G15" s="520"/>
      <c r="H15" s="520"/>
      <c r="I15" s="520"/>
      <c r="J15" s="521"/>
      <c r="L15" s="165" t="s">
        <v>211</v>
      </c>
    </row>
    <row r="16" spans="1:13" s="303" customFormat="1" ht="40.15" customHeight="1">
      <c r="A16" s="267" t="s">
        <v>124</v>
      </c>
      <c r="B16" s="304" t="s">
        <v>100</v>
      </c>
      <c r="C16" s="305" t="s">
        <v>196</v>
      </c>
      <c r="D16" s="337"/>
      <c r="E16" s="337"/>
      <c r="F16" s="337"/>
      <c r="G16" s="337"/>
      <c r="H16" s="337"/>
      <c r="I16" s="337"/>
      <c r="J16" s="338"/>
      <c r="M16" s="306"/>
    </row>
    <row r="17" spans="1:13" s="303" customFormat="1" ht="35.450000000000003" customHeight="1">
      <c r="A17" s="267" t="s">
        <v>121</v>
      </c>
      <c r="B17" s="304" t="s">
        <v>100</v>
      </c>
      <c r="C17" s="305" t="str">
        <f>'PL(2_2)'!C26</f>
        <v>OM4-DE-IS-0009-012</v>
      </c>
      <c r="D17" s="337"/>
      <c r="E17" s="337"/>
      <c r="F17" s="337"/>
      <c r="G17" s="337"/>
      <c r="H17" s="337"/>
      <c r="I17" s="337"/>
      <c r="J17" s="338"/>
      <c r="M17" s="306"/>
    </row>
    <row r="18" spans="1:13" s="303" customFormat="1" ht="49.9" customHeight="1">
      <c r="A18" s="267" t="s">
        <v>119</v>
      </c>
      <c r="B18" s="268" t="s">
        <v>97</v>
      </c>
      <c r="C18" s="314">
        <f>'PL(2_2)'!M26</f>
        <v>2610.5</v>
      </c>
      <c r="D18" s="308" t="s">
        <v>102</v>
      </c>
      <c r="E18" s="309"/>
      <c r="F18" s="309"/>
      <c r="G18" s="309"/>
      <c r="H18" s="309"/>
      <c r="I18" s="309"/>
      <c r="J18" s="310"/>
    </row>
    <row r="19" spans="1:13" s="303" customFormat="1" ht="57.4" customHeight="1">
      <c r="A19" s="267" t="s">
        <v>120</v>
      </c>
      <c r="B19" s="268" t="s">
        <v>97</v>
      </c>
      <c r="C19" s="314">
        <f>'PL(2_2)'!N26</f>
        <v>2910.5</v>
      </c>
      <c r="D19" s="308" t="s">
        <v>102</v>
      </c>
      <c r="E19" s="309"/>
      <c r="F19" s="311"/>
      <c r="G19" s="309"/>
      <c r="H19" s="309"/>
      <c r="I19" s="309"/>
      <c r="J19" s="312"/>
    </row>
    <row r="20" spans="1:13" s="303" customFormat="1" ht="53.65" customHeight="1">
      <c r="A20" s="267" t="s">
        <v>122</v>
      </c>
      <c r="B20" s="304" t="s">
        <v>97</v>
      </c>
      <c r="C20" s="307">
        <f>'PL(2_2)'!I26</f>
        <v>200</v>
      </c>
      <c r="D20" s="313" t="s">
        <v>103</v>
      </c>
      <c r="E20" s="307">
        <f>'PL(2_2)'!J26</f>
        <v>200</v>
      </c>
      <c r="F20" s="313" t="s">
        <v>104</v>
      </c>
      <c r="G20" s="307">
        <f>'PL(2_2)'!K26</f>
        <v>120</v>
      </c>
      <c r="H20" s="313" t="s">
        <v>105</v>
      </c>
      <c r="I20" s="314">
        <f>'PL(2_2)'!L26</f>
        <v>4.8</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7:J7"/>
    <mergeCell ref="A1:J1"/>
    <mergeCell ref="A2:J2"/>
    <mergeCell ref="A3:J3"/>
    <mergeCell ref="C5:J5"/>
    <mergeCell ref="C6:J6"/>
    <mergeCell ref="C8:J11"/>
    <mergeCell ref="C12:J12"/>
    <mergeCell ref="C13:E13"/>
    <mergeCell ref="C14:J14"/>
    <mergeCell ref="C15:J15"/>
  </mergeCells>
  <phoneticPr fontId="34" type="noConversion"/>
  <printOptions horizontalCentered="1"/>
  <pageMargins left="0.25" right="0.25" top="0.75" bottom="0.75" header="0.3" footer="0.3"/>
  <pageSetup paperSize="9" scale="60"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M43"/>
  <sheetViews>
    <sheetView showGridLines="0" view="pageBreakPreview" zoomScale="55" zoomScaleNormal="70" zoomScaleSheetLayoutView="55" workbookViewId="0">
      <selection activeCell="L52" sqref="L52"/>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'PL(2_2)'!D27</f>
        <v>PULL BOX with C-COVER</v>
      </c>
      <c r="D15" s="520"/>
      <c r="E15" s="520"/>
      <c r="F15" s="520"/>
      <c r="G15" s="520"/>
      <c r="H15" s="520"/>
      <c r="I15" s="520"/>
      <c r="J15" s="521"/>
      <c r="L15" s="165" t="s">
        <v>211</v>
      </c>
    </row>
    <row r="16" spans="1:13" s="303" customFormat="1" ht="40.15" customHeight="1">
      <c r="A16" s="267" t="s">
        <v>124</v>
      </c>
      <c r="B16" s="304" t="s">
        <v>100</v>
      </c>
      <c r="C16" s="305" t="s">
        <v>196</v>
      </c>
      <c r="D16" s="337"/>
      <c r="E16" s="337"/>
      <c r="F16" s="337"/>
      <c r="G16" s="337"/>
      <c r="H16" s="337"/>
      <c r="I16" s="337"/>
      <c r="J16" s="338"/>
      <c r="M16" s="306"/>
    </row>
    <row r="17" spans="1:13" s="303" customFormat="1" ht="35.450000000000003" customHeight="1">
      <c r="A17" s="267" t="s">
        <v>121</v>
      </c>
      <c r="B17" s="304" t="s">
        <v>100</v>
      </c>
      <c r="C17" s="305" t="str">
        <f>'PL(2_2)'!C27</f>
        <v>OM4-DE-IS-0009-013</v>
      </c>
      <c r="D17" s="337"/>
      <c r="E17" s="337"/>
      <c r="F17" s="337"/>
      <c r="G17" s="337"/>
      <c r="H17" s="337"/>
      <c r="I17" s="337"/>
      <c r="J17" s="338"/>
      <c r="M17" s="306"/>
    </row>
    <row r="18" spans="1:13" s="303" customFormat="1" ht="49.9" customHeight="1">
      <c r="A18" s="267" t="s">
        <v>119</v>
      </c>
      <c r="B18" s="268" t="s">
        <v>97</v>
      </c>
      <c r="C18" s="314">
        <f>'PL(2_2)'!M27</f>
        <v>1494.05</v>
      </c>
      <c r="D18" s="308" t="s">
        <v>102</v>
      </c>
      <c r="E18" s="309"/>
      <c r="F18" s="309"/>
      <c r="G18" s="309"/>
      <c r="H18" s="309"/>
      <c r="I18" s="309"/>
      <c r="J18" s="310"/>
    </row>
    <row r="19" spans="1:13" s="303" customFormat="1" ht="57.4" customHeight="1">
      <c r="A19" s="267" t="s">
        <v>120</v>
      </c>
      <c r="B19" s="268" t="s">
        <v>97</v>
      </c>
      <c r="C19" s="314">
        <f>'PL(2_2)'!N27</f>
        <v>1794.05</v>
      </c>
      <c r="D19" s="308" t="s">
        <v>102</v>
      </c>
      <c r="E19" s="309"/>
      <c r="F19" s="311"/>
      <c r="G19" s="309"/>
      <c r="H19" s="309"/>
      <c r="I19" s="309"/>
      <c r="J19" s="312"/>
    </row>
    <row r="20" spans="1:13" s="303" customFormat="1" ht="53.65" customHeight="1">
      <c r="A20" s="267" t="s">
        <v>122</v>
      </c>
      <c r="B20" s="304" t="s">
        <v>97</v>
      </c>
      <c r="C20" s="307">
        <f>'PL(2_2)'!I27</f>
        <v>320</v>
      </c>
      <c r="D20" s="313" t="s">
        <v>103</v>
      </c>
      <c r="E20" s="307">
        <f>'PL(2_2)'!J27</f>
        <v>220</v>
      </c>
      <c r="F20" s="313" t="s">
        <v>104</v>
      </c>
      <c r="G20" s="307">
        <f>'PL(2_2)'!K27</f>
        <v>160</v>
      </c>
      <c r="H20" s="313" t="s">
        <v>105</v>
      </c>
      <c r="I20" s="314">
        <f>'PL(2_2)'!L27</f>
        <v>11.263999999999999</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7:J7"/>
    <mergeCell ref="A1:J1"/>
    <mergeCell ref="A2:J2"/>
    <mergeCell ref="A3:J3"/>
    <mergeCell ref="C5:J5"/>
    <mergeCell ref="C6:J6"/>
    <mergeCell ref="C8:J11"/>
    <mergeCell ref="C12:J12"/>
    <mergeCell ref="C13:E13"/>
    <mergeCell ref="C14:J14"/>
    <mergeCell ref="C15:J15"/>
  </mergeCells>
  <phoneticPr fontId="34" type="noConversion"/>
  <printOptions horizontalCentered="1"/>
  <pageMargins left="0.25" right="0.25" top="0.75" bottom="0.75" header="0.3" footer="0.3"/>
  <pageSetup paperSize="9" scale="60"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pageSetUpPr fitToPage="1"/>
  </sheetPr>
  <dimension ref="A1:M43"/>
  <sheetViews>
    <sheetView showGridLines="0" view="pageBreakPreview" zoomScale="55" zoomScaleNormal="70" zoomScaleSheetLayoutView="55" workbookViewId="0">
      <selection activeCell="L52" sqref="L52"/>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'PL(2_2)'!D28</f>
        <v>Post Base single Channel</v>
      </c>
      <c r="D15" s="520"/>
      <c r="E15" s="520"/>
      <c r="F15" s="520"/>
      <c r="G15" s="520"/>
      <c r="H15" s="520"/>
      <c r="I15" s="520"/>
      <c r="J15" s="521"/>
      <c r="L15" s="165" t="s">
        <v>211</v>
      </c>
    </row>
    <row r="16" spans="1:13" s="303" customFormat="1" ht="40.15" customHeight="1">
      <c r="A16" s="267" t="s">
        <v>124</v>
      </c>
      <c r="B16" s="304" t="s">
        <v>100</v>
      </c>
      <c r="C16" s="305" t="s">
        <v>196</v>
      </c>
      <c r="D16" s="364"/>
      <c r="E16" s="364"/>
      <c r="F16" s="364"/>
      <c r="G16" s="364"/>
      <c r="H16" s="364"/>
      <c r="I16" s="364"/>
      <c r="J16" s="365"/>
      <c r="M16" s="306"/>
    </row>
    <row r="17" spans="1:13" s="303" customFormat="1" ht="35.450000000000003" customHeight="1">
      <c r="A17" s="267" t="s">
        <v>121</v>
      </c>
      <c r="B17" s="304" t="s">
        <v>100</v>
      </c>
      <c r="C17" s="305" t="str">
        <f>'PL(2_2)'!C28</f>
        <v>OM4-DE-IS-0009-014</v>
      </c>
      <c r="D17" s="364"/>
      <c r="E17" s="364"/>
      <c r="F17" s="364"/>
      <c r="G17" s="364"/>
      <c r="H17" s="364"/>
      <c r="I17" s="364"/>
      <c r="J17" s="365"/>
      <c r="M17" s="306"/>
    </row>
    <row r="18" spans="1:13" s="303" customFormat="1" ht="49.9" customHeight="1">
      <c r="A18" s="267" t="s">
        <v>119</v>
      </c>
      <c r="B18" s="268" t="s">
        <v>97</v>
      </c>
      <c r="C18" s="314">
        <f>'PL(2_2)'!M28</f>
        <v>1530</v>
      </c>
      <c r="D18" s="308" t="s">
        <v>102</v>
      </c>
      <c r="E18" s="309"/>
      <c r="F18" s="309"/>
      <c r="G18" s="309"/>
      <c r="H18" s="309"/>
      <c r="I18" s="309"/>
      <c r="J18" s="310"/>
    </row>
    <row r="19" spans="1:13" s="303" customFormat="1" ht="57.4" customHeight="1">
      <c r="A19" s="267" t="s">
        <v>120</v>
      </c>
      <c r="B19" s="268" t="s">
        <v>97</v>
      </c>
      <c r="C19" s="314">
        <f>'PL(2_2)'!N28</f>
        <v>1830</v>
      </c>
      <c r="D19" s="308" t="s">
        <v>102</v>
      </c>
      <c r="E19" s="309"/>
      <c r="F19" s="311"/>
      <c r="G19" s="309"/>
      <c r="H19" s="309"/>
      <c r="I19" s="309"/>
      <c r="J19" s="312"/>
    </row>
    <row r="20" spans="1:13" s="303" customFormat="1" ht="53.65" customHeight="1">
      <c r="A20" s="267" t="s">
        <v>122</v>
      </c>
      <c r="B20" s="304" t="s">
        <v>97</v>
      </c>
      <c r="C20" s="307">
        <f>'PL(2_2)'!I28</f>
        <v>140</v>
      </c>
      <c r="D20" s="313" t="s">
        <v>103</v>
      </c>
      <c r="E20" s="307">
        <f>'PL(2_2)'!J28</f>
        <v>140</v>
      </c>
      <c r="F20" s="313" t="s">
        <v>104</v>
      </c>
      <c r="G20" s="307">
        <f>'PL(2_2)'!K28</f>
        <v>130</v>
      </c>
      <c r="H20" s="313" t="s">
        <v>105</v>
      </c>
      <c r="I20" s="314">
        <f>'PL(2_2)'!L28</f>
        <v>2.548</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0"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pageSetUpPr fitToPage="1"/>
  </sheetPr>
  <dimension ref="A1:M43"/>
  <sheetViews>
    <sheetView showGridLines="0" view="pageBreakPreview" zoomScale="55" zoomScaleNormal="70" zoomScaleSheetLayoutView="55" workbookViewId="0">
      <selection activeCell="L52" sqref="L52"/>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'PL(2_2)'!D29</f>
        <v>Unistrut Channel Single</v>
      </c>
      <c r="D15" s="520"/>
      <c r="E15" s="520"/>
      <c r="F15" s="520"/>
      <c r="G15" s="520"/>
      <c r="H15" s="520"/>
      <c r="I15" s="520"/>
      <c r="J15" s="521"/>
      <c r="L15" s="165" t="s">
        <v>211</v>
      </c>
    </row>
    <row r="16" spans="1:13" s="303" customFormat="1" ht="40.15" customHeight="1">
      <c r="A16" s="267" t="s">
        <v>124</v>
      </c>
      <c r="B16" s="304" t="s">
        <v>100</v>
      </c>
      <c r="C16" s="305" t="s">
        <v>196</v>
      </c>
      <c r="D16" s="364"/>
      <c r="E16" s="364"/>
      <c r="F16" s="364"/>
      <c r="G16" s="364"/>
      <c r="H16" s="364"/>
      <c r="I16" s="364"/>
      <c r="J16" s="365"/>
      <c r="M16" s="306"/>
    </row>
    <row r="17" spans="1:13" s="303" customFormat="1" ht="35.450000000000003" customHeight="1">
      <c r="A17" s="267" t="s">
        <v>121</v>
      </c>
      <c r="B17" s="304" t="s">
        <v>100</v>
      </c>
      <c r="C17" s="305" t="str">
        <f>'PL(2_2)'!C29</f>
        <v>OM4-DE-IS-0009-015</v>
      </c>
      <c r="D17" s="364"/>
      <c r="E17" s="364"/>
      <c r="F17" s="364"/>
      <c r="G17" s="364"/>
      <c r="H17" s="364"/>
      <c r="I17" s="364"/>
      <c r="J17" s="365"/>
      <c r="M17" s="306"/>
    </row>
    <row r="18" spans="1:13" s="303" customFormat="1" ht="49.9" customHeight="1">
      <c r="A18" s="267" t="s">
        <v>119</v>
      </c>
      <c r="B18" s="268" t="s">
        <v>97</v>
      </c>
      <c r="C18" s="314">
        <f>'PL(2_2)'!M29</f>
        <v>3450</v>
      </c>
      <c r="D18" s="308" t="s">
        <v>102</v>
      </c>
      <c r="E18" s="309"/>
      <c r="F18" s="309"/>
      <c r="G18" s="309"/>
      <c r="H18" s="309"/>
      <c r="I18" s="309"/>
      <c r="J18" s="310"/>
    </row>
    <row r="19" spans="1:13" s="303" customFormat="1" ht="57.4" customHeight="1">
      <c r="A19" s="267" t="s">
        <v>120</v>
      </c>
      <c r="B19" s="268" t="s">
        <v>97</v>
      </c>
      <c r="C19" s="314">
        <f>'PL(2_2)'!N29</f>
        <v>3750</v>
      </c>
      <c r="D19" s="308" t="s">
        <v>102</v>
      </c>
      <c r="E19" s="309"/>
      <c r="F19" s="311"/>
      <c r="G19" s="309"/>
      <c r="H19" s="309"/>
      <c r="I19" s="309"/>
      <c r="J19" s="312"/>
    </row>
    <row r="20" spans="1:13" s="303" customFormat="1" ht="53.65" customHeight="1">
      <c r="A20" s="267" t="s">
        <v>122</v>
      </c>
      <c r="B20" s="304" t="s">
        <v>97</v>
      </c>
      <c r="C20" s="307">
        <f>'PL(2_2)'!I29</f>
        <v>320</v>
      </c>
      <c r="D20" s="313" t="s">
        <v>103</v>
      </c>
      <c r="E20" s="307">
        <f>'PL(2_2)'!J29</f>
        <v>120</v>
      </c>
      <c r="F20" s="313" t="s">
        <v>104</v>
      </c>
      <c r="G20" s="307">
        <f>'PL(2_2)'!K29</f>
        <v>125</v>
      </c>
      <c r="H20" s="313" t="s">
        <v>105</v>
      </c>
      <c r="I20" s="314">
        <f>'PL(2_2)'!L29</f>
        <v>4.8</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0"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pageSetUpPr fitToPage="1"/>
  </sheetPr>
  <dimension ref="A1:M43"/>
  <sheetViews>
    <sheetView showGridLines="0" view="pageBreakPreview" zoomScale="55" zoomScaleNormal="70" zoomScaleSheetLayoutView="55" workbookViewId="0">
      <selection activeCell="L52" sqref="L52"/>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'PL(2_2)'!D30</f>
        <v>Uni-Struct Insert channel</v>
      </c>
      <c r="D15" s="520"/>
      <c r="E15" s="520"/>
      <c r="F15" s="520"/>
      <c r="G15" s="520"/>
      <c r="H15" s="520"/>
      <c r="I15" s="520"/>
      <c r="J15" s="521"/>
      <c r="L15" s="165" t="s">
        <v>211</v>
      </c>
    </row>
    <row r="16" spans="1:13" s="303" customFormat="1" ht="40.15" customHeight="1">
      <c r="A16" s="267" t="s">
        <v>124</v>
      </c>
      <c r="B16" s="304" t="s">
        <v>100</v>
      </c>
      <c r="C16" s="305" t="s">
        <v>196</v>
      </c>
      <c r="D16" s="364"/>
      <c r="E16" s="364"/>
      <c r="F16" s="364"/>
      <c r="G16" s="364"/>
      <c r="H16" s="364"/>
      <c r="I16" s="364"/>
      <c r="J16" s="365"/>
      <c r="M16" s="306"/>
    </row>
    <row r="17" spans="1:13" s="303" customFormat="1" ht="35.450000000000003" customHeight="1">
      <c r="A17" s="267" t="s">
        <v>121</v>
      </c>
      <c r="B17" s="304" t="s">
        <v>100</v>
      </c>
      <c r="C17" s="305" t="str">
        <f>'PL(2_2)'!C30</f>
        <v>OM4-DE-IS-0009-016</v>
      </c>
      <c r="D17" s="364"/>
      <c r="E17" s="364"/>
      <c r="F17" s="364"/>
      <c r="G17" s="364"/>
      <c r="H17" s="364"/>
      <c r="I17" s="364"/>
      <c r="J17" s="365"/>
      <c r="M17" s="306"/>
    </row>
    <row r="18" spans="1:13" s="303" customFormat="1" ht="49.9" customHeight="1">
      <c r="A18" s="267" t="s">
        <v>119</v>
      </c>
      <c r="B18" s="268" t="s">
        <v>97</v>
      </c>
      <c r="C18" s="314">
        <f>'PL(2_2)'!M30</f>
        <v>600</v>
      </c>
      <c r="D18" s="308" t="s">
        <v>102</v>
      </c>
      <c r="E18" s="309"/>
      <c r="F18" s="309"/>
      <c r="G18" s="309"/>
      <c r="H18" s="309"/>
      <c r="I18" s="309"/>
      <c r="J18" s="310"/>
    </row>
    <row r="19" spans="1:13" s="303" customFormat="1" ht="57.4" customHeight="1">
      <c r="A19" s="267" t="s">
        <v>120</v>
      </c>
      <c r="B19" s="268" t="s">
        <v>97</v>
      </c>
      <c r="C19" s="314">
        <f>'PL(2_2)'!N30</f>
        <v>900</v>
      </c>
      <c r="D19" s="308" t="s">
        <v>102</v>
      </c>
      <c r="E19" s="309"/>
      <c r="F19" s="311"/>
      <c r="G19" s="309"/>
      <c r="H19" s="309"/>
      <c r="I19" s="309"/>
      <c r="J19" s="312"/>
    </row>
    <row r="20" spans="1:13" s="303" customFormat="1" ht="53.65" customHeight="1">
      <c r="A20" s="267" t="s">
        <v>122</v>
      </c>
      <c r="B20" s="304" t="s">
        <v>97</v>
      </c>
      <c r="C20" s="307">
        <f>'PL(2_2)'!I30</f>
        <v>320</v>
      </c>
      <c r="D20" s="313" t="s">
        <v>103</v>
      </c>
      <c r="E20" s="307">
        <f>'PL(2_2)'!J30</f>
        <v>120</v>
      </c>
      <c r="F20" s="313" t="s">
        <v>104</v>
      </c>
      <c r="G20" s="307">
        <f>'PL(2_2)'!K30</f>
        <v>70</v>
      </c>
      <c r="H20" s="313" t="s">
        <v>105</v>
      </c>
      <c r="I20" s="314">
        <f>'PL(2_2)'!L30</f>
        <v>2.6880000000000002</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0"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pageSetUpPr fitToPage="1"/>
  </sheetPr>
  <dimension ref="A1:M43"/>
  <sheetViews>
    <sheetView showGridLines="0" view="pageBreakPreview" zoomScale="55" zoomScaleNormal="70" zoomScaleSheetLayoutView="55" workbookViewId="0">
      <selection activeCell="AC16" sqref="AC16"/>
    </sheetView>
  </sheetViews>
  <sheetFormatPr defaultColWidth="7.71484375" defaultRowHeight="23.25"/>
  <cols>
    <col min="1" max="1" width="43.03515625" style="162" customWidth="1"/>
    <col min="2" max="2" width="2.5703125" style="163" customWidth="1"/>
    <col min="3" max="3" width="14.96875" style="162" customWidth="1"/>
    <col min="4" max="4" width="10.0546875" style="162" customWidth="1"/>
    <col min="5" max="5" width="11.34375" style="162" customWidth="1"/>
    <col min="6" max="6" width="12.74609375" style="162" customWidth="1"/>
    <col min="7" max="7" width="11.34375" style="162" customWidth="1"/>
    <col min="8" max="8" width="10.0546875" style="162" customWidth="1"/>
    <col min="9" max="9" width="12.04296875" style="162" customWidth="1"/>
    <col min="10" max="10" width="12.74609375" style="162" customWidth="1"/>
    <col min="11" max="11" width="6.8984375" style="162" customWidth="1"/>
    <col min="12" max="12" width="7.71484375" style="162"/>
    <col min="13" max="13" width="14.3828125" style="162" bestFit="1" customWidth="1"/>
    <col min="14" max="16384" width="7.71484375" style="162"/>
  </cols>
  <sheetData>
    <row r="1" spans="1:13" ht="91.15" customHeight="1" thickBot="1">
      <c r="A1" s="524" t="s">
        <v>94</v>
      </c>
      <c r="B1" s="524"/>
      <c r="C1" s="524"/>
      <c r="D1" s="524"/>
      <c r="E1" s="524"/>
      <c r="F1" s="524"/>
      <c r="G1" s="524"/>
      <c r="H1" s="524"/>
      <c r="I1" s="524"/>
      <c r="J1" s="524"/>
    </row>
    <row r="2" spans="1:13" ht="32.65" customHeight="1">
      <c r="A2" s="525" t="s">
        <v>95</v>
      </c>
      <c r="B2" s="526"/>
      <c r="C2" s="526"/>
      <c r="D2" s="526"/>
      <c r="E2" s="526"/>
      <c r="F2" s="526"/>
      <c r="G2" s="526"/>
      <c r="H2" s="526"/>
      <c r="I2" s="526"/>
      <c r="J2" s="527"/>
    </row>
    <row r="3" spans="1:13" ht="28.15" customHeight="1">
      <c r="A3" s="528" t="str">
        <f>[6]CI!B26</f>
        <v>Address: O Mon Power Complex at Phuoc Thoi wards, O Mon district, Can Tho city</v>
      </c>
      <c r="B3" s="529"/>
      <c r="C3" s="529"/>
      <c r="D3" s="529"/>
      <c r="E3" s="529"/>
      <c r="F3" s="529"/>
      <c r="G3" s="529"/>
      <c r="H3" s="529"/>
      <c r="I3" s="529"/>
      <c r="J3" s="530"/>
    </row>
    <row r="5" spans="1:13" s="165" customFormat="1" ht="40.15" customHeight="1">
      <c r="A5" s="179" t="s">
        <v>96</v>
      </c>
      <c r="B5" s="164" t="s">
        <v>97</v>
      </c>
      <c r="C5" s="531" t="s">
        <v>135</v>
      </c>
      <c r="D5" s="532"/>
      <c r="E5" s="532"/>
      <c r="F5" s="532"/>
      <c r="G5" s="532"/>
      <c r="H5" s="532"/>
      <c r="I5" s="532"/>
      <c r="J5" s="533"/>
    </row>
    <row r="6" spans="1:13" s="165" customFormat="1" ht="55.5" customHeight="1">
      <c r="A6" s="180" t="s">
        <v>98</v>
      </c>
      <c r="B6" s="166" t="s">
        <v>97</v>
      </c>
      <c r="C6" s="520" t="s">
        <v>136</v>
      </c>
      <c r="D6" s="520"/>
      <c r="E6" s="520"/>
      <c r="F6" s="520"/>
      <c r="G6" s="520"/>
      <c r="H6" s="520"/>
      <c r="I6" s="520"/>
      <c r="J6" s="521"/>
    </row>
    <row r="7" spans="1:13" s="165" customFormat="1" ht="94.15" customHeight="1">
      <c r="A7" s="180" t="s">
        <v>116</v>
      </c>
      <c r="B7" s="167" t="s">
        <v>97</v>
      </c>
      <c r="C7" s="520" t="s">
        <v>137</v>
      </c>
      <c r="D7" s="520"/>
      <c r="E7" s="520"/>
      <c r="F7" s="520"/>
      <c r="G7" s="520"/>
      <c r="H7" s="520"/>
      <c r="I7" s="520"/>
      <c r="J7" s="521"/>
    </row>
    <row r="8" spans="1:13" s="165" customFormat="1" ht="20.65" customHeight="1">
      <c r="A8" s="180" t="s">
        <v>99</v>
      </c>
      <c r="B8" s="167" t="s">
        <v>100</v>
      </c>
      <c r="C8" s="520" t="s">
        <v>138</v>
      </c>
      <c r="D8" s="520"/>
      <c r="E8" s="520"/>
      <c r="F8" s="520"/>
      <c r="G8" s="520"/>
      <c r="H8" s="520"/>
      <c r="I8" s="520"/>
      <c r="J8" s="521"/>
    </row>
    <row r="9" spans="1:13" s="165" customFormat="1" ht="20.65" customHeight="1">
      <c r="A9" s="180"/>
      <c r="B9" s="167"/>
      <c r="C9" s="520"/>
      <c r="D9" s="520"/>
      <c r="E9" s="520"/>
      <c r="F9" s="520"/>
      <c r="G9" s="520"/>
      <c r="H9" s="520"/>
      <c r="I9" s="520"/>
      <c r="J9" s="521"/>
    </row>
    <row r="10" spans="1:13" s="165" customFormat="1" ht="20.65" customHeight="1">
      <c r="A10" s="180"/>
      <c r="B10" s="167"/>
      <c r="C10" s="520"/>
      <c r="D10" s="520"/>
      <c r="E10" s="520"/>
      <c r="F10" s="520"/>
      <c r="G10" s="520"/>
      <c r="H10" s="520"/>
      <c r="I10" s="520"/>
      <c r="J10" s="521"/>
    </row>
    <row r="11" spans="1:13" s="165" customFormat="1" ht="171" customHeight="1">
      <c r="A11" s="180"/>
      <c r="B11" s="167"/>
      <c r="C11" s="520"/>
      <c r="D11" s="520"/>
      <c r="E11" s="520"/>
      <c r="F11" s="520"/>
      <c r="G11" s="520"/>
      <c r="H11" s="520"/>
      <c r="I11" s="520"/>
      <c r="J11" s="521"/>
    </row>
    <row r="12" spans="1:13" s="165" customFormat="1">
      <c r="A12" s="180" t="s">
        <v>117</v>
      </c>
      <c r="B12" s="166" t="s">
        <v>97</v>
      </c>
      <c r="C12" s="520" t="s">
        <v>115</v>
      </c>
      <c r="D12" s="520"/>
      <c r="E12" s="520"/>
      <c r="F12" s="520"/>
      <c r="G12" s="520"/>
      <c r="H12" s="520"/>
      <c r="I12" s="520"/>
      <c r="J12" s="521"/>
    </row>
    <row r="13" spans="1:13" s="303" customFormat="1" ht="25.5">
      <c r="A13" s="267" t="s">
        <v>101</v>
      </c>
      <c r="B13" s="268" t="s">
        <v>100</v>
      </c>
      <c r="C13" s="534" t="s">
        <v>226</v>
      </c>
      <c r="D13" s="534"/>
      <c r="E13" s="534"/>
      <c r="F13" s="300"/>
      <c r="G13" s="301"/>
      <c r="H13" s="301"/>
      <c r="I13" s="301"/>
      <c r="J13" s="302"/>
    </row>
    <row r="14" spans="1:13" s="165" customFormat="1">
      <c r="A14" s="180" t="s">
        <v>118</v>
      </c>
      <c r="B14" s="166" t="s">
        <v>97</v>
      </c>
      <c r="C14" s="522" t="str">
        <f>[6]CI!B28</f>
        <v>PLANT/ EQUIPMENT AND MATERIALS FOR O MON IV THERMAL</v>
      </c>
      <c r="D14" s="522"/>
      <c r="E14" s="522"/>
      <c r="F14" s="522"/>
      <c r="G14" s="522"/>
      <c r="H14" s="522"/>
      <c r="I14" s="522"/>
      <c r="J14" s="523"/>
    </row>
    <row r="15" spans="1:13" s="165" customFormat="1">
      <c r="A15" s="267" t="s">
        <v>210</v>
      </c>
      <c r="B15" s="268" t="s">
        <v>97</v>
      </c>
      <c r="C15" s="520" t="str">
        <f>'PL(2_2)'!D31</f>
        <v xml:space="preserve">C- Channel </v>
      </c>
      <c r="D15" s="520"/>
      <c r="E15" s="520"/>
      <c r="F15" s="520"/>
      <c r="G15" s="520"/>
      <c r="H15" s="520"/>
      <c r="I15" s="520"/>
      <c r="J15" s="521"/>
      <c r="L15" s="165" t="s">
        <v>211</v>
      </c>
    </row>
    <row r="16" spans="1:13" s="303" customFormat="1" ht="40.15" customHeight="1">
      <c r="A16" s="267" t="s">
        <v>124</v>
      </c>
      <c r="B16" s="304" t="s">
        <v>100</v>
      </c>
      <c r="C16" s="305" t="s">
        <v>196</v>
      </c>
      <c r="D16" s="364"/>
      <c r="E16" s="364"/>
      <c r="F16" s="364"/>
      <c r="G16" s="364"/>
      <c r="H16" s="364"/>
      <c r="I16" s="364"/>
      <c r="J16" s="365"/>
      <c r="M16" s="306"/>
    </row>
    <row r="17" spans="1:13" s="303" customFormat="1" ht="35.450000000000003" customHeight="1">
      <c r="A17" s="267" t="s">
        <v>121</v>
      </c>
      <c r="B17" s="304" t="s">
        <v>100</v>
      </c>
      <c r="C17" s="305" t="str">
        <f>'PL(2_2)'!C31</f>
        <v>OM4-DE-IS-0009-017</v>
      </c>
      <c r="D17" s="364"/>
      <c r="E17" s="364"/>
      <c r="F17" s="364"/>
      <c r="G17" s="364"/>
      <c r="H17" s="364"/>
      <c r="I17" s="364"/>
      <c r="J17" s="365"/>
      <c r="M17" s="306"/>
    </row>
    <row r="18" spans="1:13" s="303" customFormat="1" ht="49.9" customHeight="1">
      <c r="A18" s="267" t="s">
        <v>119</v>
      </c>
      <c r="B18" s="268" t="s">
        <v>97</v>
      </c>
      <c r="C18" s="314">
        <f>'PL(2_2)'!M31</f>
        <v>3931.59</v>
      </c>
      <c r="D18" s="308" t="s">
        <v>102</v>
      </c>
      <c r="E18" s="309"/>
      <c r="F18" s="309"/>
      <c r="G18" s="309"/>
      <c r="H18" s="309"/>
      <c r="I18" s="309"/>
      <c r="J18" s="310"/>
    </row>
    <row r="19" spans="1:13" s="303" customFormat="1" ht="57.4" customHeight="1">
      <c r="A19" s="267" t="s">
        <v>120</v>
      </c>
      <c r="B19" s="268" t="s">
        <v>97</v>
      </c>
      <c r="C19" s="314">
        <f>'PL(2_2)'!N31</f>
        <v>4231.59</v>
      </c>
      <c r="D19" s="308" t="s">
        <v>102</v>
      </c>
      <c r="E19" s="309"/>
      <c r="F19" s="311"/>
      <c r="G19" s="309"/>
      <c r="H19" s="309"/>
      <c r="I19" s="309"/>
      <c r="J19" s="312"/>
    </row>
    <row r="20" spans="1:13" s="303" customFormat="1" ht="53.65" customHeight="1">
      <c r="A20" s="267" t="s">
        <v>122</v>
      </c>
      <c r="B20" s="304" t="s">
        <v>97</v>
      </c>
      <c r="C20" s="307">
        <f>'PL(2_2)'!I31</f>
        <v>360</v>
      </c>
      <c r="D20" s="313" t="s">
        <v>103</v>
      </c>
      <c r="E20" s="307">
        <f>'PL(2_2)'!J31</f>
        <v>120</v>
      </c>
      <c r="F20" s="313" t="s">
        <v>104</v>
      </c>
      <c r="G20" s="307">
        <f>'PL(2_2)'!K31</f>
        <v>110</v>
      </c>
      <c r="H20" s="313" t="s">
        <v>105</v>
      </c>
      <c r="I20" s="314">
        <f>'PL(2_2)'!L31</f>
        <v>4.7519999999999998</v>
      </c>
      <c r="J20" s="315" t="s">
        <v>106</v>
      </c>
    </row>
    <row r="21" spans="1:13" s="303" customFormat="1" ht="31.15" customHeight="1">
      <c r="A21" s="267" t="s">
        <v>113</v>
      </c>
      <c r="B21" s="304" t="s">
        <v>97</v>
      </c>
      <c r="C21" s="318" t="str">
        <f>'Packing List (1_2)'!B21</f>
        <v>Busan International Port, Korea</v>
      </c>
      <c r="D21" s="308"/>
      <c r="E21" s="309"/>
      <c r="F21" s="308"/>
      <c r="G21" s="309"/>
      <c r="H21" s="308"/>
      <c r="I21" s="314"/>
      <c r="J21" s="315"/>
    </row>
    <row r="22" spans="1:13" s="165" customFormat="1" ht="49.15" customHeight="1">
      <c r="A22" s="180" t="s">
        <v>123</v>
      </c>
      <c r="B22" s="167" t="s">
        <v>97</v>
      </c>
      <c r="C22" s="173" t="s">
        <v>139</v>
      </c>
      <c r="D22" s="169"/>
      <c r="E22" s="170"/>
      <c r="F22" s="169"/>
      <c r="G22" s="170"/>
      <c r="H22" s="169"/>
      <c r="I22" s="171"/>
      <c r="J22" s="172"/>
    </row>
    <row r="23" spans="1:13" s="165" customFormat="1" ht="40.15" customHeight="1">
      <c r="A23" s="181" t="s">
        <v>107</v>
      </c>
      <c r="B23" s="167" t="s">
        <v>97</v>
      </c>
      <c r="C23" s="173" t="s">
        <v>143</v>
      </c>
      <c r="D23" s="169"/>
      <c r="E23" s="170"/>
      <c r="F23" s="169"/>
      <c r="G23" s="170"/>
      <c r="H23" s="169"/>
      <c r="I23" s="171"/>
      <c r="J23" s="172"/>
    </row>
    <row r="24" spans="1:13" s="165" customFormat="1" ht="40.15" customHeight="1">
      <c r="A24" s="182" t="s">
        <v>108</v>
      </c>
      <c r="B24" s="174" t="s">
        <v>97</v>
      </c>
      <c r="C24" s="366" t="s">
        <v>109</v>
      </c>
      <c r="D24" s="175"/>
      <c r="E24" s="175"/>
      <c r="F24" s="175"/>
      <c r="G24" s="175"/>
      <c r="H24" s="175"/>
      <c r="I24" s="175"/>
      <c r="J24" s="176"/>
    </row>
    <row r="25" spans="1:13" ht="120" hidden="1" customHeight="1" thickBot="1"/>
    <row r="26" spans="1:13" ht="55.15" hidden="1" customHeight="1"/>
    <row r="27" spans="1:13" ht="55.15" hidden="1" customHeight="1" thickBot="1"/>
    <row r="28" spans="1:13" ht="40.15" hidden="1" customHeight="1"/>
    <row r="29" spans="1:13" s="165" customFormat="1" ht="40.15" hidden="1" customHeight="1">
      <c r="A29" s="162"/>
      <c r="B29" s="163"/>
      <c r="C29" s="162"/>
      <c r="D29" s="162"/>
      <c r="E29" s="162"/>
      <c r="F29" s="162"/>
      <c r="G29" s="162"/>
      <c r="H29" s="162"/>
      <c r="I29" s="162"/>
      <c r="J29" s="162"/>
    </row>
    <row r="30" spans="1:13" s="165" customFormat="1" ht="55.5" hidden="1" customHeight="1">
      <c r="A30" s="162"/>
      <c r="B30" s="163"/>
      <c r="C30" s="162"/>
      <c r="D30" s="162"/>
      <c r="E30" s="162"/>
      <c r="F30" s="162"/>
      <c r="G30" s="162"/>
      <c r="H30" s="162"/>
      <c r="I30" s="162"/>
      <c r="J30" s="162"/>
    </row>
    <row r="31" spans="1:13" s="165" customFormat="1" ht="53.25" hidden="1" customHeight="1">
      <c r="A31" s="162"/>
      <c r="B31" s="163"/>
      <c r="C31" s="162"/>
      <c r="D31" s="162"/>
      <c r="E31" s="162"/>
      <c r="F31" s="162"/>
      <c r="G31" s="162"/>
      <c r="H31" s="162"/>
      <c r="I31" s="162"/>
      <c r="J31" s="162"/>
    </row>
    <row r="32" spans="1:13" s="165" customFormat="1" ht="99.75" hidden="1" customHeight="1">
      <c r="A32" s="162"/>
      <c r="B32" s="163"/>
      <c r="C32" s="162"/>
      <c r="D32" s="162"/>
      <c r="E32" s="162"/>
      <c r="F32" s="162"/>
      <c r="G32" s="162"/>
      <c r="H32" s="162"/>
      <c r="I32" s="162"/>
      <c r="J32" s="162"/>
    </row>
    <row r="33" spans="1:13" s="165" customFormat="1" ht="40.15" hidden="1" customHeight="1">
      <c r="A33" s="162"/>
      <c r="B33" s="163"/>
      <c r="C33" s="162"/>
      <c r="D33" s="162"/>
      <c r="E33" s="162"/>
      <c r="F33" s="162"/>
      <c r="G33" s="162"/>
      <c r="H33" s="162"/>
      <c r="I33" s="162"/>
      <c r="J33" s="162"/>
    </row>
    <row r="34" spans="1:13" s="165" customFormat="1" ht="40.15" hidden="1" customHeight="1">
      <c r="A34" s="162"/>
      <c r="B34" s="163"/>
      <c r="C34" s="162"/>
      <c r="D34" s="162"/>
      <c r="E34" s="162"/>
      <c r="F34" s="162"/>
      <c r="G34" s="162"/>
      <c r="H34" s="162"/>
      <c r="I34" s="162"/>
      <c r="J34" s="162"/>
    </row>
    <row r="35" spans="1:13" s="165" customFormat="1" ht="75" hidden="1" customHeight="1">
      <c r="A35" s="162"/>
      <c r="B35" s="163"/>
      <c r="C35" s="162"/>
      <c r="D35" s="162"/>
      <c r="E35" s="162"/>
      <c r="F35" s="162"/>
      <c r="G35" s="162"/>
      <c r="H35" s="162"/>
      <c r="I35" s="162"/>
      <c r="J35" s="162"/>
    </row>
    <row r="36" spans="1:13" s="165" customFormat="1" ht="40.15" hidden="1" customHeight="1">
      <c r="A36" s="162"/>
      <c r="B36" s="163"/>
      <c r="C36" s="162"/>
      <c r="D36" s="162"/>
      <c r="E36" s="162"/>
      <c r="F36" s="162"/>
      <c r="G36" s="162"/>
      <c r="H36" s="162"/>
      <c r="I36" s="162"/>
      <c r="J36" s="162"/>
      <c r="M36" s="168"/>
    </row>
    <row r="37" spans="1:13" s="165" customFormat="1" ht="40.15" hidden="1" customHeight="1">
      <c r="A37" s="162"/>
      <c r="B37" s="163"/>
      <c r="C37" s="162"/>
      <c r="D37" s="162"/>
      <c r="E37" s="162"/>
      <c r="F37" s="162"/>
      <c r="G37" s="162"/>
      <c r="H37" s="162"/>
      <c r="I37" s="162"/>
      <c r="J37" s="162"/>
    </row>
    <row r="38" spans="1:13" s="165" customFormat="1" ht="40.15" hidden="1" customHeight="1">
      <c r="A38" s="162"/>
      <c r="B38" s="163"/>
      <c r="C38" s="162"/>
      <c r="D38" s="162"/>
      <c r="E38" s="162"/>
      <c r="F38" s="162"/>
      <c r="G38" s="162"/>
      <c r="H38" s="162"/>
      <c r="I38" s="162"/>
      <c r="J38" s="162"/>
    </row>
    <row r="39" spans="1:13" s="165" customFormat="1" ht="40.15" hidden="1" customHeight="1">
      <c r="A39" s="162"/>
      <c r="B39" s="163"/>
      <c r="C39" s="162"/>
      <c r="D39" s="162"/>
      <c r="E39" s="162"/>
      <c r="F39" s="162"/>
      <c r="G39" s="162"/>
      <c r="H39" s="162"/>
      <c r="I39" s="162"/>
      <c r="J39" s="162"/>
    </row>
    <row r="40" spans="1:13" s="165" customFormat="1" ht="40.15" hidden="1" customHeight="1">
      <c r="A40" s="162"/>
      <c r="B40" s="163"/>
      <c r="C40" s="162"/>
      <c r="D40" s="162"/>
      <c r="E40" s="162"/>
      <c r="F40" s="162"/>
      <c r="G40" s="162"/>
      <c r="H40" s="162"/>
      <c r="I40" s="162"/>
      <c r="J40" s="162"/>
    </row>
    <row r="41" spans="1:13" s="165" customFormat="1" ht="40.15" hidden="1" customHeight="1">
      <c r="A41" s="162"/>
      <c r="B41" s="163"/>
      <c r="C41" s="162"/>
      <c r="D41" s="162"/>
      <c r="E41" s="162"/>
      <c r="F41" s="162"/>
      <c r="G41" s="162"/>
      <c r="H41" s="162"/>
      <c r="I41" s="162"/>
      <c r="J41" s="162"/>
    </row>
    <row r="42" spans="1:13" s="165" customFormat="1" ht="40.15" hidden="1" customHeight="1">
      <c r="A42" s="162"/>
      <c r="B42" s="163"/>
      <c r="C42" s="162"/>
      <c r="D42" s="162"/>
      <c r="E42" s="162"/>
      <c r="F42" s="162"/>
      <c r="G42" s="162"/>
      <c r="H42" s="162"/>
      <c r="I42" s="162"/>
      <c r="J42" s="162"/>
    </row>
    <row r="43" spans="1:13" s="165" customFormat="1" ht="40.15" hidden="1" customHeight="1">
      <c r="A43" s="162"/>
      <c r="B43" s="163"/>
      <c r="C43" s="162"/>
      <c r="D43" s="162"/>
      <c r="E43" s="162"/>
      <c r="F43" s="162"/>
      <c r="G43" s="162"/>
      <c r="H43" s="162"/>
      <c r="I43" s="162"/>
      <c r="J43" s="162"/>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0"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R62"/>
  <sheetViews>
    <sheetView view="pageBreakPreview" topLeftCell="A21" zoomScale="85" zoomScaleNormal="100" zoomScaleSheetLayoutView="85" workbookViewId="0">
      <selection activeCell="D10" sqref="D10:E22"/>
    </sheetView>
  </sheetViews>
  <sheetFormatPr defaultColWidth="8.88671875" defaultRowHeight="14.25"/>
  <cols>
    <col min="1" max="1" width="11.34375" style="73" customWidth="1"/>
    <col min="2" max="2" width="28.65234375" style="73" customWidth="1"/>
    <col min="3" max="3" width="39.05859375" style="217" bestFit="1" customWidth="1"/>
    <col min="4" max="4" width="10.7578125" style="246" customWidth="1"/>
    <col min="5" max="5" width="7.25" style="78" customWidth="1"/>
    <col min="6" max="7" width="22.8046875" style="245" customWidth="1"/>
    <col min="8" max="8" width="49.3515625" style="73" customWidth="1"/>
    <col min="9" max="10" width="8.88671875" style="217"/>
    <col min="11" max="16384" width="8.88671875" style="73"/>
  </cols>
  <sheetData>
    <row r="1" spans="1:10" s="212" customFormat="1">
      <c r="C1" s="213"/>
      <c r="D1" s="214"/>
      <c r="E1" s="215"/>
      <c r="G1" s="73"/>
      <c r="H1" s="149"/>
      <c r="I1" s="213"/>
      <c r="J1" s="213"/>
    </row>
    <row r="2" spans="1:10" s="212" customFormat="1">
      <c r="C2" s="213"/>
      <c r="D2" s="214"/>
      <c r="E2" s="215"/>
      <c r="G2" s="73"/>
      <c r="H2" s="149"/>
      <c r="I2" s="213"/>
      <c r="J2" s="213"/>
    </row>
    <row r="3" spans="1:10" s="212" customFormat="1">
      <c r="C3" s="213"/>
      <c r="D3" s="214"/>
      <c r="E3" s="215"/>
      <c r="G3" s="73"/>
      <c r="H3" s="149"/>
      <c r="I3" s="213"/>
      <c r="J3" s="213"/>
    </row>
    <row r="4" spans="1:10" s="212" customFormat="1">
      <c r="C4" s="213"/>
      <c r="D4" s="214"/>
      <c r="E4" s="215"/>
      <c r="G4" s="73"/>
      <c r="H4" s="149"/>
      <c r="I4" s="213"/>
      <c r="J4" s="213"/>
    </row>
    <row r="5" spans="1:10" s="212" customFormat="1">
      <c r="C5" s="213"/>
      <c r="D5" s="214"/>
      <c r="E5" s="215"/>
      <c r="G5" s="216"/>
      <c r="H5" s="149"/>
      <c r="I5" s="213"/>
      <c r="J5" s="213"/>
    </row>
    <row r="6" spans="1:10" ht="35.25" customHeight="1">
      <c r="A6" s="508" t="s">
        <v>198</v>
      </c>
      <c r="B6" s="508"/>
      <c r="C6" s="508"/>
      <c r="D6" s="508"/>
      <c r="E6" s="508"/>
      <c r="F6" s="508"/>
      <c r="G6" s="508"/>
      <c r="H6" s="508"/>
    </row>
    <row r="7" spans="1:10" s="139" customFormat="1" ht="20.25" customHeight="1" thickBot="1">
      <c r="A7" s="218" t="s">
        <v>199</v>
      </c>
      <c r="B7" s="320" t="str">
        <f>'Commercial Invoice'!H5</f>
        <v>OM4-DE-IS-0009</v>
      </c>
      <c r="C7" s="321"/>
      <c r="D7" s="322"/>
      <c r="E7" s="323"/>
      <c r="F7" s="220"/>
      <c r="G7" s="220"/>
      <c r="I7" s="219"/>
      <c r="J7" s="219"/>
    </row>
    <row r="8" spans="1:10" s="222" customFormat="1" ht="21.95" customHeight="1">
      <c r="A8" s="536" t="s">
        <v>200</v>
      </c>
      <c r="B8" s="538" t="s">
        <v>201</v>
      </c>
      <c r="C8" s="538" t="s">
        <v>202</v>
      </c>
      <c r="D8" s="540" t="s">
        <v>203</v>
      </c>
      <c r="E8" s="541"/>
      <c r="F8" s="542" t="s">
        <v>204</v>
      </c>
      <c r="G8" s="543"/>
      <c r="H8" s="544" t="s">
        <v>205</v>
      </c>
      <c r="I8" s="221"/>
      <c r="J8" s="221"/>
    </row>
    <row r="9" spans="1:10" s="222" customFormat="1" ht="21.95" customHeight="1">
      <c r="A9" s="537"/>
      <c r="B9" s="539"/>
      <c r="C9" s="539"/>
      <c r="D9" s="324" t="s">
        <v>206</v>
      </c>
      <c r="E9" s="325" t="s">
        <v>207</v>
      </c>
      <c r="F9" s="223" t="s">
        <v>208</v>
      </c>
      <c r="G9" s="223" t="s">
        <v>209</v>
      </c>
      <c r="H9" s="545"/>
      <c r="I9" s="221"/>
      <c r="J9" s="221"/>
    </row>
    <row r="10" spans="1:10" s="229" customFormat="1" ht="208.15" customHeight="1">
      <c r="A10" s="224">
        <v>1</v>
      </c>
      <c r="B10" s="326" t="str">
        <f>'PL(2_2)'!C15</f>
        <v>OM4-DE-IS-0009-001</v>
      </c>
      <c r="C10" s="327" t="str">
        <f>'PL(2_2)'!D15</f>
        <v xml:space="preserve">HDG STEEL Conduit </v>
      </c>
      <c r="D10" s="328">
        <f>'PL(2_2)'!F15</f>
        <v>32</v>
      </c>
      <c r="E10" s="329" t="str">
        <f>'PL(2_2)'!G15</f>
        <v>EA</v>
      </c>
      <c r="F10" s="225"/>
      <c r="G10" s="225"/>
      <c r="H10" s="226"/>
      <c r="I10" s="227"/>
      <c r="J10" s="228"/>
    </row>
    <row r="11" spans="1:10" ht="208.15" customHeight="1">
      <c r="A11" s="224">
        <v>2</v>
      </c>
      <c r="B11" s="326" t="str">
        <f>'PL(2_2)'!C16</f>
        <v>OM4-DE-IS-0009-002</v>
      </c>
      <c r="C11" s="327" t="str">
        <f>'PL(2_2)'!D16</f>
        <v xml:space="preserve">HDG STEEL Conduit </v>
      </c>
      <c r="D11" s="328">
        <f>'PL(2_2)'!F16</f>
        <v>28</v>
      </c>
      <c r="E11" s="329" t="str">
        <f>'PL(2_2)'!G16</f>
        <v>EA</v>
      </c>
      <c r="F11" s="230"/>
      <c r="G11" s="230"/>
      <c r="H11" s="226"/>
    </row>
    <row r="12" spans="1:10" ht="208.15" customHeight="1">
      <c r="A12" s="224">
        <v>3</v>
      </c>
      <c r="B12" s="326" t="str">
        <f>'PL(2_2)'!C17</f>
        <v>OM4-DE-IS-0009-003</v>
      </c>
      <c r="C12" s="327" t="str">
        <f>'PL(2_2)'!D17</f>
        <v>CONDUIT FITTINGS</v>
      </c>
      <c r="D12" s="328">
        <f>'PL(2_2)'!F17</f>
        <v>1060</v>
      </c>
      <c r="E12" s="329" t="str">
        <f>'PL(2_2)'!G17</f>
        <v>EA</v>
      </c>
      <c r="F12" s="231"/>
      <c r="G12" s="231"/>
      <c r="H12" s="226"/>
    </row>
    <row r="13" spans="1:10" s="229" customFormat="1" ht="208.15" customHeight="1">
      <c r="A13" s="224">
        <v>4</v>
      </c>
      <c r="B13" s="326" t="str">
        <f>'PL(2_2)'!C22</f>
        <v>OM4-DE-IS-0009-008</v>
      </c>
      <c r="C13" s="327" t="str">
        <f>'PL(2_2)'!D22</f>
        <v>CONDUIT FITTINGS (Normal Bend)</v>
      </c>
      <c r="D13" s="328">
        <f>'PL(2_2)'!F22</f>
        <v>50</v>
      </c>
      <c r="E13" s="329" t="str">
        <f>'PL(2_2)'!G22</f>
        <v>EA</v>
      </c>
      <c r="F13" s="225"/>
      <c r="G13" s="225"/>
      <c r="H13" s="226"/>
      <c r="I13" s="227"/>
      <c r="J13" s="228"/>
    </row>
    <row r="14" spans="1:10" ht="208.15" customHeight="1">
      <c r="A14" s="224">
        <v>5</v>
      </c>
      <c r="B14" s="326" t="str">
        <f>'PL(2_2)'!C23</f>
        <v>OM4-DE-IS-0009-009</v>
      </c>
      <c r="C14" s="327" t="str">
        <f>'PL(2_2)'!D23</f>
        <v>CONDUIT FITTINGS (Normal Bend)</v>
      </c>
      <c r="D14" s="328">
        <f>'PL(2_2)'!F23</f>
        <v>50</v>
      </c>
      <c r="E14" s="329" t="str">
        <f>'PL(2_2)'!G23</f>
        <v>EA</v>
      </c>
      <c r="F14" s="230"/>
      <c r="G14" s="230"/>
      <c r="H14" s="226"/>
    </row>
    <row r="15" spans="1:10" ht="208.15" customHeight="1">
      <c r="A15" s="224">
        <v>6</v>
      </c>
      <c r="B15" s="326" t="str">
        <f>'PL(2_2)'!C24</f>
        <v>OM4-DE-IS-0009-010</v>
      </c>
      <c r="C15" s="327" t="str">
        <f>'PL(2_2)'!D24</f>
        <v>CONDUIT FITTINGS</v>
      </c>
      <c r="D15" s="328">
        <f>'PL(2_2)'!F24</f>
        <v>3935</v>
      </c>
      <c r="E15" s="329" t="str">
        <f>'PL(2_2)'!G24</f>
        <v>EA</v>
      </c>
      <c r="F15" s="231"/>
      <c r="G15" s="231"/>
      <c r="H15" s="226"/>
    </row>
    <row r="16" spans="1:10" s="229" customFormat="1" ht="208.15" customHeight="1">
      <c r="A16" s="224">
        <v>7</v>
      </c>
      <c r="B16" s="326" t="str">
        <f>'PL(2_2)'!C25</f>
        <v>OM4-DE-IS-0009-011</v>
      </c>
      <c r="C16" s="327" t="str">
        <f>'PL(2_2)'!D25</f>
        <v>Flexible Conduit</v>
      </c>
      <c r="D16" s="328">
        <f>'PL(2_2)'!F25</f>
        <v>1320</v>
      </c>
      <c r="E16" s="329" t="str">
        <f>'PL(2_2)'!G25</f>
        <v>EA</v>
      </c>
      <c r="F16" s="225"/>
      <c r="G16" s="225"/>
      <c r="H16" s="226"/>
      <c r="I16" s="227"/>
      <c r="J16" s="228"/>
    </row>
    <row r="17" spans="1:10" ht="208.15" customHeight="1">
      <c r="A17" s="224">
        <v>8</v>
      </c>
      <c r="B17" s="326" t="str">
        <f>'PL(2_2)'!C26</f>
        <v>OM4-DE-IS-0009-012</v>
      </c>
      <c r="C17" s="327" t="str">
        <f>'PL(2_2)'!D26</f>
        <v>CONDUIT FITTINGS</v>
      </c>
      <c r="D17" s="328">
        <f>'PL(2_2)'!F26</f>
        <v>22375</v>
      </c>
      <c r="E17" s="329" t="str">
        <f>'PL(2_2)'!G26</f>
        <v>EA</v>
      </c>
      <c r="F17" s="230"/>
      <c r="G17" s="230"/>
      <c r="H17" s="226"/>
    </row>
    <row r="18" spans="1:10" ht="208.15" customHeight="1">
      <c r="A18" s="224">
        <v>9</v>
      </c>
      <c r="B18" s="326" t="str">
        <f>'PL(2_2)'!C27</f>
        <v>OM4-DE-IS-0009-013</v>
      </c>
      <c r="C18" s="327" t="str">
        <f>'PL(2_2)'!D27</f>
        <v>PULL BOX with C-COVER</v>
      </c>
      <c r="D18" s="328">
        <f>'PL(2_2)'!F27</f>
        <v>80</v>
      </c>
      <c r="E18" s="329" t="str">
        <f>'PL(2_2)'!G27</f>
        <v>EA</v>
      </c>
      <c r="F18" s="231"/>
      <c r="G18" s="231"/>
      <c r="H18" s="226"/>
    </row>
    <row r="19" spans="1:10" ht="208.15" customHeight="1">
      <c r="A19" s="224">
        <v>10</v>
      </c>
      <c r="B19" s="326" t="str">
        <f>'PL(2_2)'!C28</f>
        <v>OM4-DE-IS-0009-014</v>
      </c>
      <c r="C19" s="327" t="str">
        <f>'PL(2_2)'!D28</f>
        <v>Post Base single Channel</v>
      </c>
      <c r="D19" s="328">
        <f>'PL(2_2)'!F28</f>
        <v>1800</v>
      </c>
      <c r="E19" s="329" t="str">
        <f>'PL(2_2)'!G28</f>
        <v>EA</v>
      </c>
      <c r="F19" s="231"/>
      <c r="G19" s="231"/>
      <c r="H19" s="226"/>
    </row>
    <row r="20" spans="1:10" ht="208.15" customHeight="1">
      <c r="A20" s="224">
        <v>11</v>
      </c>
      <c r="B20" s="326" t="str">
        <f>'PL(2_2)'!C29</f>
        <v>OM4-DE-IS-0009-015</v>
      </c>
      <c r="C20" s="327" t="str">
        <f>'PL(2_2)'!D29</f>
        <v>Unistrut Channel Single</v>
      </c>
      <c r="D20" s="328">
        <f>'PL(2_2)'!F29</f>
        <v>500</v>
      </c>
      <c r="E20" s="329" t="str">
        <f>'PL(2_2)'!G29</f>
        <v>EA</v>
      </c>
      <c r="F20" s="231"/>
      <c r="G20" s="231"/>
      <c r="H20" s="226"/>
    </row>
    <row r="21" spans="1:10" ht="208.15" customHeight="1">
      <c r="A21" s="224">
        <v>12</v>
      </c>
      <c r="B21" s="326" t="str">
        <f>'PL(2_2)'!C30</f>
        <v>OM4-DE-IS-0009-016</v>
      </c>
      <c r="C21" s="327" t="str">
        <f>'PL(2_2)'!D30</f>
        <v>Uni-Struct Insert channel</v>
      </c>
      <c r="D21" s="328">
        <f>'PL(2_2)'!F30</f>
        <v>150</v>
      </c>
      <c r="E21" s="329" t="str">
        <f>'PL(2_2)'!G30</f>
        <v>EA</v>
      </c>
      <c r="F21" s="231"/>
      <c r="G21" s="231"/>
      <c r="H21" s="226"/>
    </row>
    <row r="22" spans="1:10" ht="208.15" customHeight="1" thickBot="1">
      <c r="A22" s="224">
        <v>13</v>
      </c>
      <c r="B22" s="326" t="str">
        <f>'PL(2_2)'!C31</f>
        <v>OM4-DE-IS-0009-017</v>
      </c>
      <c r="C22" s="327" t="str">
        <f>'PL(2_2)'!D31</f>
        <v xml:space="preserve">C- Channel </v>
      </c>
      <c r="D22" s="328">
        <f>'PL(2_2)'!F31</f>
        <v>153</v>
      </c>
      <c r="E22" s="329" t="str">
        <f>'PL(2_2)'!G31</f>
        <v>EA</v>
      </c>
      <c r="F22" s="231"/>
      <c r="G22" s="231"/>
      <c r="H22" s="226"/>
    </row>
    <row r="23" spans="1:10" s="232" customFormat="1" ht="29.25" customHeight="1">
      <c r="D23" s="233"/>
      <c r="E23" s="234"/>
      <c r="F23" s="235"/>
      <c r="G23" s="236"/>
      <c r="H23" s="237"/>
      <c r="I23" s="238"/>
      <c r="J23" s="238"/>
    </row>
    <row r="24" spans="1:10" s="212" customFormat="1" ht="12" customHeight="1">
      <c r="B24" s="215"/>
      <c r="D24" s="239"/>
      <c r="E24" s="215"/>
      <c r="F24" s="240"/>
      <c r="G24" s="240"/>
      <c r="H24" s="241"/>
      <c r="I24" s="213"/>
      <c r="J24" s="213"/>
    </row>
    <row r="25" spans="1:10" s="212" customFormat="1" ht="18" customHeight="1">
      <c r="B25" s="215"/>
      <c r="D25" s="239"/>
      <c r="E25" s="215"/>
      <c r="F25" s="240"/>
      <c r="G25" s="240"/>
      <c r="H25" s="241"/>
      <c r="I25" s="213"/>
      <c r="J25" s="213"/>
    </row>
    <row r="26" spans="1:10" s="212" customFormat="1" ht="12" customHeight="1">
      <c r="B26" s="215"/>
      <c r="D26" s="239"/>
      <c r="E26" s="215"/>
      <c r="F26" s="240"/>
      <c r="G26" s="240"/>
      <c r="H26" s="241"/>
      <c r="I26" s="213"/>
      <c r="J26" s="213"/>
    </row>
    <row r="27" spans="1:10" s="212" customFormat="1" ht="12" customHeight="1">
      <c r="B27" s="215"/>
      <c r="D27" s="239"/>
      <c r="E27" s="215"/>
      <c r="F27" s="240"/>
      <c r="G27" s="240"/>
      <c r="H27" s="241"/>
      <c r="I27" s="213"/>
      <c r="J27" s="213"/>
    </row>
    <row r="28" spans="1:10" s="212" customFormat="1" ht="12" customHeight="1">
      <c r="B28" s="215"/>
      <c r="D28" s="239"/>
      <c r="E28" s="215"/>
      <c r="F28" s="240"/>
      <c r="G28" s="240"/>
      <c r="H28" s="241"/>
      <c r="I28" s="213"/>
      <c r="J28" s="213"/>
    </row>
    <row r="29" spans="1:10" s="212" customFormat="1" ht="12" customHeight="1">
      <c r="B29" s="215"/>
      <c r="D29" s="239"/>
      <c r="E29" s="215"/>
      <c r="F29" s="240"/>
      <c r="G29" s="240"/>
      <c r="H29" s="241"/>
      <c r="I29" s="213"/>
      <c r="J29" s="213"/>
    </row>
    <row r="30" spans="1:10" s="212" customFormat="1" ht="12" customHeight="1">
      <c r="B30" s="215"/>
      <c r="D30" s="239"/>
      <c r="E30" s="215"/>
      <c r="F30" s="240"/>
      <c r="G30" s="240"/>
      <c r="H30" s="241"/>
      <c r="I30" s="213"/>
      <c r="J30" s="213"/>
    </row>
    <row r="31" spans="1:10" s="212" customFormat="1" ht="13.5" customHeight="1">
      <c r="B31" s="215"/>
      <c r="D31" s="239"/>
      <c r="E31" s="215"/>
      <c r="F31" s="240"/>
      <c r="G31" s="240"/>
      <c r="H31" s="241"/>
      <c r="I31" s="213"/>
      <c r="J31" s="213"/>
    </row>
    <row r="32" spans="1:10" s="212" customFormat="1" ht="13.5" customHeight="1">
      <c r="B32" s="215"/>
      <c r="D32" s="239"/>
      <c r="E32" s="215"/>
      <c r="F32" s="240"/>
      <c r="G32" s="240"/>
      <c r="H32" s="241"/>
      <c r="I32" s="213"/>
      <c r="J32" s="213"/>
    </row>
    <row r="33" spans="2:10" s="212" customFormat="1" ht="13.5" customHeight="1">
      <c r="B33" s="215"/>
      <c r="D33" s="239"/>
      <c r="E33" s="215"/>
      <c r="F33" s="240"/>
      <c r="G33" s="240"/>
      <c r="H33" s="241"/>
      <c r="I33" s="213"/>
      <c r="J33" s="213"/>
    </row>
    <row r="34" spans="2:10" s="212" customFormat="1" ht="29.25" customHeight="1">
      <c r="B34" s="215"/>
      <c r="D34" s="239"/>
      <c r="E34" s="215"/>
      <c r="F34" s="240"/>
      <c r="G34" s="240"/>
      <c r="H34" s="241"/>
      <c r="I34" s="213"/>
      <c r="J34" s="213"/>
    </row>
    <row r="35" spans="2:10" s="212" customFormat="1" ht="13.5" customHeight="1">
      <c r="B35" s="215"/>
      <c r="D35" s="239"/>
      <c r="E35" s="215"/>
      <c r="F35" s="240"/>
      <c r="G35" s="240"/>
      <c r="H35" s="241"/>
      <c r="I35" s="213"/>
      <c r="J35" s="213"/>
    </row>
    <row r="36" spans="2:10" s="212" customFormat="1" ht="13.5" customHeight="1">
      <c r="B36" s="215"/>
      <c r="D36" s="239"/>
      <c r="E36" s="215"/>
      <c r="F36" s="240"/>
      <c r="G36" s="240"/>
      <c r="H36" s="241"/>
      <c r="I36" s="213"/>
      <c r="J36" s="213"/>
    </row>
    <row r="37" spans="2:10" s="212" customFormat="1" ht="13.5" customHeight="1">
      <c r="B37" s="215"/>
      <c r="D37" s="239"/>
      <c r="E37" s="215"/>
      <c r="F37" s="240"/>
      <c r="G37" s="240"/>
      <c r="H37" s="241"/>
      <c r="I37" s="213"/>
      <c r="J37" s="213"/>
    </row>
    <row r="38" spans="2:10" s="212" customFormat="1" ht="13.5" customHeight="1">
      <c r="B38" s="215"/>
      <c r="D38" s="239"/>
      <c r="E38" s="215"/>
      <c r="F38" s="240"/>
      <c r="G38" s="240"/>
      <c r="H38" s="241"/>
      <c r="I38" s="213"/>
      <c r="J38" s="213"/>
    </row>
    <row r="39" spans="2:10" s="212" customFormat="1" ht="13.5" customHeight="1">
      <c r="B39" s="215"/>
      <c r="D39" s="239"/>
      <c r="E39" s="215"/>
      <c r="F39" s="240"/>
      <c r="G39" s="240"/>
      <c r="H39" s="241"/>
      <c r="I39" s="213"/>
      <c r="J39" s="213"/>
    </row>
    <row r="40" spans="2:10" s="212" customFormat="1" ht="13.5" customHeight="1">
      <c r="B40" s="215"/>
      <c r="D40" s="239"/>
      <c r="E40" s="215"/>
      <c r="F40" s="240"/>
      <c r="G40" s="240"/>
      <c r="H40" s="241"/>
      <c r="I40" s="213"/>
      <c r="J40" s="213"/>
    </row>
    <row r="41" spans="2:10" s="212" customFormat="1" ht="13.5" customHeight="1">
      <c r="B41" s="215"/>
      <c r="D41" s="239"/>
      <c r="E41" s="215"/>
      <c r="F41" s="240"/>
      <c r="G41" s="240"/>
      <c r="H41" s="241"/>
      <c r="I41" s="213"/>
      <c r="J41" s="213"/>
    </row>
    <row r="42" spans="2:10" s="212" customFormat="1" ht="13.5" customHeight="1">
      <c r="B42" s="215"/>
      <c r="D42" s="239"/>
      <c r="E42" s="215"/>
      <c r="F42" s="240"/>
      <c r="G42" s="240"/>
      <c r="H42" s="241"/>
      <c r="I42" s="213"/>
      <c r="J42" s="213"/>
    </row>
    <row r="43" spans="2:10" s="212" customFormat="1" ht="13.5" customHeight="1">
      <c r="B43" s="215"/>
      <c r="D43" s="239"/>
      <c r="E43" s="215"/>
      <c r="F43" s="240"/>
      <c r="G43" s="240"/>
      <c r="H43" s="241"/>
      <c r="I43" s="213"/>
      <c r="J43" s="213"/>
    </row>
    <row r="44" spans="2:10" s="212" customFormat="1" ht="13.5" customHeight="1">
      <c r="B44" s="215"/>
      <c r="D44" s="239"/>
      <c r="E44" s="215"/>
      <c r="F44" s="240"/>
      <c r="G44" s="240"/>
      <c r="H44" s="241"/>
      <c r="I44" s="213"/>
      <c r="J44" s="213"/>
    </row>
    <row r="45" spans="2:10" s="212" customFormat="1" ht="13.5" customHeight="1">
      <c r="B45" s="215"/>
      <c r="D45" s="239"/>
      <c r="E45" s="215"/>
      <c r="F45" s="240"/>
      <c r="G45" s="240"/>
      <c r="H45" s="241"/>
      <c r="I45" s="213"/>
      <c r="J45" s="213"/>
    </row>
    <row r="46" spans="2:10" s="212" customFormat="1" ht="13.5" customHeight="1">
      <c r="B46" s="215"/>
      <c r="D46" s="239"/>
      <c r="E46" s="215"/>
      <c r="F46" s="240"/>
      <c r="G46" s="240"/>
      <c r="H46" s="241"/>
      <c r="I46" s="213"/>
      <c r="J46" s="213"/>
    </row>
    <row r="47" spans="2:10" s="212" customFormat="1" ht="13.5" customHeight="1">
      <c r="B47" s="215"/>
      <c r="D47" s="239"/>
      <c r="E47" s="215"/>
      <c r="F47" s="240"/>
      <c r="G47" s="240"/>
      <c r="H47" s="241"/>
      <c r="I47" s="213"/>
      <c r="J47" s="213"/>
    </row>
    <row r="48" spans="2:10" s="212" customFormat="1" ht="13.5" customHeight="1">
      <c r="B48" s="215"/>
      <c r="D48" s="239"/>
      <c r="E48" s="215"/>
      <c r="F48" s="240"/>
      <c r="G48" s="240"/>
      <c r="H48" s="241"/>
      <c r="I48" s="213"/>
      <c r="J48" s="213"/>
    </row>
    <row r="49" spans="1:18" s="212" customFormat="1" ht="13.5" customHeight="1">
      <c r="B49" s="215"/>
      <c r="D49" s="239"/>
      <c r="E49" s="215"/>
      <c r="F49" s="240"/>
      <c r="G49" s="240"/>
      <c r="H49" s="241"/>
      <c r="I49" s="213"/>
      <c r="J49" s="213"/>
    </row>
    <row r="50" spans="1:18" s="212" customFormat="1" ht="13.5" customHeight="1">
      <c r="B50" s="215"/>
      <c r="D50" s="239"/>
      <c r="E50" s="215"/>
      <c r="F50" s="240"/>
      <c r="G50" s="240"/>
      <c r="H50" s="241"/>
      <c r="I50" s="213"/>
      <c r="J50" s="213"/>
    </row>
    <row r="51" spans="1:18" s="212" customFormat="1" ht="13.5" customHeight="1">
      <c r="B51" s="215"/>
      <c r="D51" s="239"/>
      <c r="E51" s="215"/>
      <c r="F51" s="240"/>
      <c r="G51" s="240"/>
      <c r="H51" s="241"/>
      <c r="I51" s="213"/>
      <c r="J51" s="213"/>
    </row>
    <row r="52" spans="1:18" s="212" customFormat="1" ht="13.5" customHeight="1">
      <c r="B52" s="215"/>
      <c r="D52" s="239"/>
      <c r="E52" s="215"/>
      <c r="F52" s="240"/>
      <c r="G52" s="240"/>
      <c r="H52" s="241"/>
      <c r="I52" s="213"/>
      <c r="J52" s="213"/>
    </row>
    <row r="53" spans="1:18" s="212" customFormat="1" ht="13.5" customHeight="1">
      <c r="B53" s="215"/>
      <c r="D53" s="239"/>
      <c r="E53" s="215"/>
      <c r="F53" s="240"/>
      <c r="G53" s="240"/>
      <c r="H53" s="241"/>
      <c r="I53" s="213"/>
      <c r="J53" s="213"/>
    </row>
    <row r="54" spans="1:18" s="212" customFormat="1" ht="13.5" customHeight="1">
      <c r="B54" s="215"/>
      <c r="D54" s="239"/>
      <c r="E54" s="215"/>
      <c r="F54" s="240"/>
      <c r="G54" s="240"/>
      <c r="H54" s="241"/>
      <c r="I54" s="213"/>
      <c r="J54" s="213"/>
    </row>
    <row r="55" spans="1:18" s="212" customFormat="1" ht="13.5" customHeight="1">
      <c r="B55" s="215"/>
      <c r="D55" s="242"/>
      <c r="E55" s="215"/>
      <c r="F55" s="240"/>
      <c r="G55" s="240"/>
      <c r="H55" s="241"/>
      <c r="I55" s="213"/>
      <c r="J55" s="213"/>
    </row>
    <row r="56" spans="1:18" s="212" customFormat="1" ht="22.5" customHeight="1">
      <c r="B56" s="535"/>
      <c r="C56" s="535"/>
      <c r="D56" s="242"/>
      <c r="E56" s="215"/>
      <c r="F56" s="243"/>
      <c r="G56" s="243"/>
      <c r="H56" s="241"/>
      <c r="I56" s="213"/>
      <c r="J56" s="213"/>
    </row>
    <row r="57" spans="1:18">
      <c r="D57" s="244"/>
    </row>
    <row r="58" spans="1:18">
      <c r="D58" s="244"/>
    </row>
    <row r="59" spans="1:18" s="217" customFormat="1">
      <c r="A59" s="73"/>
      <c r="B59" s="73"/>
      <c r="D59" s="244"/>
      <c r="E59" s="78"/>
      <c r="F59" s="245"/>
      <c r="G59" s="245"/>
      <c r="H59" s="73"/>
      <c r="K59" s="73"/>
      <c r="L59" s="73"/>
      <c r="M59" s="73"/>
      <c r="N59" s="73"/>
      <c r="O59" s="73"/>
      <c r="P59" s="73"/>
      <c r="Q59" s="73"/>
      <c r="R59" s="73"/>
    </row>
    <row r="60" spans="1:18" s="217" customFormat="1">
      <c r="A60" s="73"/>
      <c r="B60" s="73"/>
      <c r="D60" s="244"/>
      <c r="E60" s="78"/>
      <c r="F60" s="245"/>
      <c r="G60" s="245"/>
      <c r="H60" s="73"/>
      <c r="K60" s="73"/>
      <c r="L60" s="73"/>
      <c r="M60" s="73"/>
      <c r="N60" s="73"/>
      <c r="O60" s="73"/>
      <c r="P60" s="73"/>
      <c r="Q60" s="73"/>
      <c r="R60" s="73"/>
    </row>
    <row r="61" spans="1:18" s="217" customFormat="1">
      <c r="A61" s="73"/>
      <c r="B61" s="73"/>
      <c r="D61" s="244"/>
      <c r="E61" s="78"/>
      <c r="F61" s="245"/>
      <c r="G61" s="245"/>
      <c r="H61" s="73"/>
      <c r="K61" s="73"/>
      <c r="L61" s="73"/>
      <c r="M61" s="73"/>
      <c r="N61" s="73"/>
      <c r="O61" s="73"/>
      <c r="P61" s="73"/>
      <c r="Q61" s="73"/>
      <c r="R61" s="73"/>
    </row>
    <row r="62" spans="1:18" s="217" customFormat="1">
      <c r="A62" s="73"/>
      <c r="B62" s="73"/>
      <c r="D62" s="244"/>
      <c r="E62" s="78"/>
      <c r="F62" s="245"/>
      <c r="G62" s="245"/>
      <c r="H62" s="73"/>
      <c r="K62" s="73"/>
      <c r="L62" s="73"/>
      <c r="M62" s="73"/>
      <c r="N62" s="73"/>
      <c r="O62" s="73"/>
      <c r="P62" s="73"/>
      <c r="Q62" s="73"/>
      <c r="R62" s="73"/>
    </row>
  </sheetData>
  <protectedRanges>
    <protectedRange sqref="F23 C10:H22" name="범위1_1"/>
  </protectedRanges>
  <autoFilter ref="A8:H22" xr:uid="{00000000-0009-0000-0000-000016000000}"/>
  <mergeCells count="8">
    <mergeCell ref="B56:C56"/>
    <mergeCell ref="A6:H6"/>
    <mergeCell ref="A8:A9"/>
    <mergeCell ref="B8:B9"/>
    <mergeCell ref="C8:C9"/>
    <mergeCell ref="D8:E8"/>
    <mergeCell ref="F8:G8"/>
    <mergeCell ref="H8:H9"/>
  </mergeCells>
  <phoneticPr fontId="34" type="noConversion"/>
  <printOptions horizontalCentered="1"/>
  <pageMargins left="0.39370078740157483" right="0.39370078740157483" top="0.39370078740157483" bottom="0.39370078740157483" header="0.23622047244094491" footer="0.23622047244094491"/>
  <pageSetup paperSize="9" scale="62" fitToHeight="0" orientation="landscape" r:id="rId1"/>
  <headerFooter alignWithMargins="0">
    <oddFooter>&amp;C&amp;"Calibri,보통"&amp;12Doosan Enerbility</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F0"/>
  </sheetPr>
  <dimension ref="A1"/>
  <sheetViews>
    <sheetView workbookViewId="0">
      <selection activeCell="K32" sqref="K32"/>
    </sheetView>
  </sheetViews>
  <sheetFormatPr defaultRowHeight="13.5"/>
  <sheetData/>
  <phoneticPr fontId="34"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70C0"/>
  </sheetPr>
  <dimension ref="A1"/>
  <sheetViews>
    <sheetView workbookViewId="0">
      <selection activeCell="K19" sqref="K19"/>
    </sheetView>
  </sheetViews>
  <sheetFormatPr defaultRowHeight="13.5"/>
  <sheetData/>
  <phoneticPr fontId="34"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2060"/>
  </sheetPr>
  <dimension ref="I3"/>
  <sheetViews>
    <sheetView workbookViewId="0">
      <selection activeCell="I17" sqref="I17"/>
    </sheetView>
  </sheetViews>
  <sheetFormatPr defaultRowHeight="13.5"/>
  <cols>
    <col min="9" max="9" width="80.80859375" customWidth="1"/>
  </cols>
  <sheetData>
    <row r="3" spans="9:9" ht="57">
      <c r="I3" s="178" t="s">
        <v>112</v>
      </c>
    </row>
  </sheetData>
  <phoneticPr fontId="34"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
  <sheetViews>
    <sheetView workbookViewId="0">
      <selection activeCell="L15" sqref="L15"/>
    </sheetView>
  </sheetViews>
  <sheetFormatPr defaultRowHeight="13.5"/>
  <sheetData>
    <row r="2" ht="24" customHeight="1"/>
  </sheetData>
  <phoneticPr fontId="34" type="noConversion"/>
  <pageMargins left="0.7" right="0.7" top="0.75" bottom="0.75" header="0.3" footer="0.3"/>
  <drawing r:id="rId1"/>
</worksheet>
</file>

<file path=docMetadata/LabelInfo.xml><?xml version="1.0" encoding="utf-8"?>
<clbl:labelList xmlns:clbl="http://schemas.microsoft.com/office/2020/mipLabelMetadata">
  <clbl:label id="{55c3c93c-4c7c-4709-9e9e-2b12e2d560ab}" enabled="1" method="Privileged" siteId="{9d1b3610-9ab0-42d5-93aa-46150d723d87}" contentBits="0" removed="0"/>
</clbl:labelLis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Trang tính</vt:lpstr>
      </vt:variant>
      <vt:variant>
        <vt:i4>27</vt:i4>
      </vt:variant>
      <vt:variant>
        <vt:lpstr>Phạm vi Có tên</vt:lpstr>
      </vt:variant>
      <vt:variant>
        <vt:i4>28</vt:i4>
      </vt:variant>
    </vt:vector>
  </HeadingPairs>
  <TitlesOfParts>
    <vt:vector size="55" baseType="lpstr">
      <vt:lpstr>Detailed PL</vt:lpstr>
      <vt:lpstr>Commercial Invoice</vt:lpstr>
      <vt:lpstr>Break Down CI</vt:lpstr>
      <vt:lpstr>Packing List (1_2)</vt:lpstr>
      <vt:lpstr>PL(2_2)</vt:lpstr>
      <vt:lpstr>SHIPPING MARK (001)</vt:lpstr>
      <vt:lpstr>SHIPPING MARK (002)</vt:lpstr>
      <vt:lpstr>SHIPPING MARK (003)</vt:lpstr>
      <vt:lpstr>SHIPPING MARK (004)</vt:lpstr>
      <vt:lpstr>SHIPPING MARK (005)</vt:lpstr>
      <vt:lpstr>SHIPPING MARK (006)</vt:lpstr>
      <vt:lpstr>SHIPPING MARK (007)</vt:lpstr>
      <vt:lpstr>SHIPPING MARK (008)</vt:lpstr>
      <vt:lpstr>SHIPPING MARK (009)</vt:lpstr>
      <vt:lpstr>SHIPPING MARK (010)</vt:lpstr>
      <vt:lpstr>SHIPPING MARK (011)</vt:lpstr>
      <vt:lpstr>SHIPPING MARK (012)</vt:lpstr>
      <vt:lpstr>SHIPPING MARK (013)</vt:lpstr>
      <vt:lpstr>SHIPPING MARK (14)</vt:lpstr>
      <vt:lpstr>SHIPPING MARK (15)</vt:lpstr>
      <vt:lpstr>SHIPPING MARK (16)</vt:lpstr>
      <vt:lpstr>SHIPPING MARK (17)</vt:lpstr>
      <vt:lpstr>Technical Description</vt:lpstr>
      <vt:lpstr>CO</vt:lpstr>
      <vt:lpstr>CQ</vt:lpstr>
      <vt:lpstr>BL</vt:lpstr>
      <vt:lpstr>PSIC</vt:lpstr>
      <vt:lpstr>PSIC!_Hlk215568700</vt:lpstr>
      <vt:lpstr>Break Down CI!Print_Titles</vt:lpstr>
      <vt:lpstr>Detailed PL!Print_Titles</vt:lpstr>
      <vt:lpstr>PL(2_2)!Print_Titles</vt:lpstr>
      <vt:lpstr>Technical Description!Print_Titles</vt:lpstr>
      <vt:lpstr>Break Down CI!Vùng_In</vt:lpstr>
      <vt:lpstr>Commercial Invoice!Vùng_In</vt:lpstr>
      <vt:lpstr>Detailed PL!Vùng_In</vt:lpstr>
      <vt:lpstr>Packing List (1_2)!Vùng_In</vt:lpstr>
      <vt:lpstr>PL(2_2)!Vùng_In</vt:lpstr>
      <vt:lpstr>SHIPPING MARK (001)!Vùng_In</vt:lpstr>
      <vt:lpstr>SHIPPING MARK (002)!Vùng_In</vt:lpstr>
      <vt:lpstr>SHIPPING MARK (003)!Vùng_In</vt:lpstr>
      <vt:lpstr>SHIPPING MARK (004)!Vùng_In</vt:lpstr>
      <vt:lpstr>SHIPPING MARK (005)!Vùng_In</vt:lpstr>
      <vt:lpstr>SHIPPING MARK (006)!Vùng_In</vt:lpstr>
      <vt:lpstr>SHIPPING MARK (007)!Vùng_In</vt:lpstr>
      <vt:lpstr>SHIPPING MARK (008)!Vùng_In</vt:lpstr>
      <vt:lpstr>SHIPPING MARK (009)!Vùng_In</vt:lpstr>
      <vt:lpstr>SHIPPING MARK (010)!Vùng_In</vt:lpstr>
      <vt:lpstr>SHIPPING MARK (011)!Vùng_In</vt:lpstr>
      <vt:lpstr>SHIPPING MARK (012)!Vùng_In</vt:lpstr>
      <vt:lpstr>SHIPPING MARK (013)!Vùng_In</vt:lpstr>
      <vt:lpstr>SHIPPING MARK (14)!Vùng_In</vt:lpstr>
      <vt:lpstr>SHIPPING MARK (15)!Vùng_In</vt:lpstr>
      <vt:lpstr>SHIPPING MARK (16)!Vùng_In</vt:lpstr>
      <vt:lpstr>SHIPPING MARK (17)!Vùng_In</vt:lpstr>
      <vt:lpstr>Technical Description!Vùng_In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Bùi Thị Thu Nguyệt</dc:creator>
  <cp:lastModifiedBy>차수민(Soomin Cha) 선임 두산에너빌리티</cp:lastModifiedBy>
  <cp:lastPrinted>2026-05-29T03:31:01Z</cp:lastPrinted>
  <dcterms:created xsi:type="dcterms:W3CDTF">2025-07-09T09:39:20Z</dcterms:created>
  <dcterms:modified xsi:type="dcterms:W3CDTF">2026-07-10T04:26:44Z</dcterms:modified>
</cp:coreProperties>
</file>