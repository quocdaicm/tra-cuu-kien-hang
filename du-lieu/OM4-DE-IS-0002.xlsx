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3"/>
  <workbookPr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13_ncr:101_{E2EC0B45-36D2-4149-BD40-98B4F47433C8}" xr6:coauthVersionLast="47" xr6:coauthVersionMax="47" xr10:uidLastSave="{00000000-0000-0000-0000-000000000000}"/>
  <bookViews>
    <workbookView xWindow="-11520" yWindow="-21720" windowWidth="51840" windowHeight="21120" tabRatio="917" xr2:uid="{00000000-000D-0000-FFFF-FFFF00000000}"/>
  </bookViews>
  <sheets>
    <sheet name="Breakdown CI" sheetId="33" r:id="rId1"/>
    <sheet name="PL(2_2)" sheetId="4" r:id="rId2"/>
    <sheet name="Detailed PL" sheetId="5" r:id="rId3"/>
  </sheets>
  <definedNames>
    <definedName name="__123Graph_A" localSheetId="0" hidden="1">#REF!</definedName>
    <definedName name="__123Graph_A" localSheetId="2" hidden="1">#REF!</definedName>
    <definedName name="__123Graph_A" hidden="1">#REF!</definedName>
    <definedName name="__123Graph_ACurrent" localSheetId="0" hidden="1">#REF!</definedName>
    <definedName name="__123Graph_ACurrent" localSheetId="2" hidden="1">#REF!</definedName>
    <definedName name="__123Graph_ACurrent" hidden="1">#REF!</definedName>
    <definedName name="__123Graph_B" localSheetId="0" hidden="1">#REF!</definedName>
    <definedName name="__123Graph_B" localSheetId="2" hidden="1">#REF!</definedName>
    <definedName name="__123Graph_B" hidden="1">#REF!</definedName>
    <definedName name="__123Graph_BCurrent" localSheetId="0" hidden="1">#REF!</definedName>
    <definedName name="__123Graph_BCurrent" localSheetId="2" hidden="1">#REF!</definedName>
    <definedName name="__123Graph_BCurrent" hidden="1">#REF!</definedName>
    <definedName name="__123Graph_D" localSheetId="0" hidden="1">#REF!</definedName>
    <definedName name="__123Graph_D" localSheetId="2" hidden="1">#REF!</definedName>
    <definedName name="__123Graph_D" hidden="1">#REF!</definedName>
    <definedName name="__123Graph_E" hidden="1">#REF!</definedName>
    <definedName name="__123Graph_LBL_A" localSheetId="0" hidden="1">#REF!</definedName>
    <definedName name="__123Graph_LBL_A" localSheetId="2" hidden="1">#REF!</definedName>
    <definedName name="__123Graph_LBL_A" hidden="1">#REF!</definedName>
    <definedName name="__123Graph_LBL_B" localSheetId="0" hidden="1">#REF!</definedName>
    <definedName name="__123Graph_LBL_B" localSheetId="2" hidden="1">#REF!</definedName>
    <definedName name="__123Graph_LBL_B" hidden="1">#REF!</definedName>
    <definedName name="__123Graph_X" localSheetId="0" hidden="1">#REF!</definedName>
    <definedName name="__123Graph_X" localSheetId="2" hidden="1">#REF!</definedName>
    <definedName name="__123Graph_X" hidden="1">#REF!</definedName>
    <definedName name="__123Graph_XCurrent" localSheetId="0" hidden="1">#REF!</definedName>
    <definedName name="__123Graph_XCurrent" localSheetId="2" hidden="1">#REF!</definedName>
    <definedName name="__123Graph_XCurrent" hidden="1">#REF!</definedName>
    <definedName name="_1__123Graph_AChart_1A" localSheetId="0" hidden="1">#REF!</definedName>
    <definedName name="_1__123Graph_AChart_1A" localSheetId="2" hidden="1">#REF!</definedName>
    <definedName name="_1__123Graph_AChart_1A" hidden="1">#REF!</definedName>
    <definedName name="_2__123Graph_BChart_1A" localSheetId="0" hidden="1">#REF!</definedName>
    <definedName name="_2__123Graph_BChart_1A" localSheetId="2" hidden="1">#REF!</definedName>
    <definedName name="_2__123Graph_BChart_1A" hidden="1">#REF!</definedName>
    <definedName name="_3__123Graph_XChart_1A" localSheetId="0" hidden="1">#REF!</definedName>
    <definedName name="_3__123Graph_XChart_1A" localSheetId="2" hidden="1">#REF!</definedName>
    <definedName name="_3__123Graph_XChart_1A" hidden="1">#REF!</definedName>
    <definedName name="_Fill" localSheetId="0" hidden="1">#REF!</definedName>
    <definedName name="_Fill" localSheetId="2" hidden="1">#REF!</definedName>
    <definedName name="_Fill" hidden="1">#REF!</definedName>
    <definedName name="_xlnm._FilterDatabase" localSheetId="0" hidden="1">'Breakdown CI'!$B$8:$AA$50</definedName>
    <definedName name="_xlnm._FilterDatabase" localSheetId="2" hidden="1">'Detailed PL'!$B$13:$AH$65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localSheetId="0" hidden="1">#REF!</definedName>
    <definedName name="_Parse_In" localSheetId="2" hidden="1">#REF!</definedName>
    <definedName name="_Parse_In" hidden="1">#REF!</definedName>
    <definedName name="_Parse_Out" hidden="1">#REF!</definedName>
    <definedName name="_Sort" hidden="1">#REF!</definedName>
    <definedName name="A" hidden="1">#REF!</definedName>
    <definedName name="ABC" localSheetId="0" hidden="1">#REF!</definedName>
    <definedName name="ABC" localSheetId="2" hidden="1">#REF!</definedName>
    <definedName name="ABC" hidden="1">#REF!</definedName>
    <definedName name="CO" localSheetId="0" hidden="1">#REF!</definedName>
    <definedName name="CO" localSheetId="2" hidden="1">#REF!</definedName>
    <definedName name="CO" hidden="1">#REF!</definedName>
    <definedName name="e" hidden="1">#REF!</definedName>
    <definedName name="Ge" hidden="1">#REF!</definedName>
    <definedName name="iv2dt" localSheetId="0" hidden="1">#REF!</definedName>
    <definedName name="iv2dt" localSheetId="2" hidden="1">#REF!</definedName>
    <definedName name="iv2dt" hidden="1">#REF!</definedName>
    <definedName name="ivdt" localSheetId="0" hidden="1">#REF!</definedName>
    <definedName name="ivdt" localSheetId="2" hidden="1">#REF!</definedName>
    <definedName name="ivdt" hidden="1">#REF!</definedName>
    <definedName name="KABOLINE" localSheetId="0" hidden="1">#REF!</definedName>
    <definedName name="KABOLINE" localSheetId="2" hidden="1">#REF!</definedName>
    <definedName name="KABOLINE" hidden="1">#REF!</definedName>
    <definedName name="latent">#REF!</definedName>
    <definedName name="_xlnm.Print_Titles" localSheetId="0">'Breakdown CI'!$8:$9</definedName>
    <definedName name="_xlnm.Print_Titles" localSheetId="2">'Detailed PL'!$13:$14</definedName>
    <definedName name="_xlnm.Print_Titles" localSheetId="1">'PL(2_2)'!$13:$14</definedName>
    <definedName name="SM" hidden="1">#REF!</definedName>
    <definedName name="tube_test_press1_12">#REF!</definedName>
    <definedName name="_xlnm.Print_Area" localSheetId="0">'Breakdown CI'!$A$1:$O$51</definedName>
    <definedName name="_xlnm.Print_Area" localSheetId="2">'Detailed PL'!$A$1:$V$66</definedName>
    <definedName name="_xlnm.Print_Area" localSheetId="1">'PL(2_2)'!$B$1:$T$24</definedName>
    <definedName name="weki_9701.xls" hidden="1">#REF!</definedName>
    <definedName name="wekir9701.xls" hidden="1">#REF!</definedName>
    <definedName name="X" hidden="1">#REF!</definedName>
    <definedName name="Z" hidden="1">#REF!</definedName>
    <definedName name="ㄴㅇㄹㅇㄹ" localSheetId="0" hidden="1">#REF!</definedName>
    <definedName name="ㄴㅇㄹㅇㄹ" localSheetId="2" hidden="1">#REF!</definedName>
    <definedName name="ㄴㅇㄹㅇㄹ" hidden="1">#REF!</definedName>
    <definedName name="느" hidden="1">#REF!</definedName>
    <definedName name="ㅊㅌㅍㅊㅍㅊㅌㅍㅊㅌㅍㅊㅌㅍㅊㅌㅍㅊㅌㅍ" localSheetId="0" hidden="1">#REF!</definedName>
    <definedName name="ㅊㅌㅍㅊㅍㅊㅌㅍㅊㅌㅍㅊㅌㅍㅊㅌㅍㅊㅌㅍ" localSheetId="2" hidden="1">#REF!</definedName>
    <definedName name="ㅊㅌㅍㅊㅍㅊㅌㅍㅊㅌㅍㅊㅌㅍㅊㅌㅍㅊㅌㅍ" hidden="1">#REF!</definedName>
    <definedName name="ㅊㅌㅍㅊㅍㅌㅋㅊㅍㅌㅊㅍ" localSheetId="0" hidden="1">#REF!</definedName>
    <definedName name="ㅊㅌㅍㅊㅍㅌㅋㅊㅍㅌㅊㅍ" localSheetId="2" hidden="1">#REF!</definedName>
    <definedName name="ㅊㅌㅍㅊㅍㅌㅋㅊㅍㅌㅊㅍ" hidden="1">#REF!</definedName>
    <definedName name="ㅊㅌㅍㅋㅊㅍㅌㅊㅍㅌㅊㅍ" localSheetId="0" hidden="1">#REF!</definedName>
    <definedName name="ㅊㅌㅍㅋㅊㅍㅌㅊㅍㅌㅊㅍ" localSheetId="2" hidden="1">#REF!</definedName>
    <definedName name="ㅊㅌㅍㅋㅊㅍㅌㅊㅍㅌㅊㅍ" hidden="1">#REF!</definedName>
    <definedName name="ㅊㅌㅍㅌㅊㅍㅊㅌㅍㅌㅊㅍㅌㅊㅍ" localSheetId="0" hidden="1">#REF!</definedName>
    <definedName name="ㅊㅌㅍㅌㅊㅍㅊㅌㅍㅌㅊㅍㅌㅊㅍ" localSheetId="2" hidden="1">#REF!</definedName>
    <definedName name="ㅊㅌㅍㅌㅊㅍㅊㅌㅍㅌㅊㅍㅌㅊㅍ" hidden="1">#REF!</definedName>
    <definedName name="ㅋ" localSheetId="0" hidden="1">#REF!</definedName>
    <definedName name="ㅋ" localSheetId="2" hidden="1">#REF!</definedName>
    <definedName name="ㅋ" hidden="1">#REF!</definedName>
    <definedName name="ㅋㅋㅋㅋ" localSheetId="0" hidden="1">#REF!</definedName>
    <definedName name="ㅋㅋㅋㅋ" localSheetId="2" hidden="1">#REF!</definedName>
    <definedName name="ㅋㅋㅋㅋ" hidden="1">#REF!</definedName>
    <definedName name="ㅋㅋㅋㅋㅋㅋ" localSheetId="0" hidden="1">#REF!</definedName>
    <definedName name="ㅋㅋㅋㅋㅋㅋ" localSheetId="2" hidden="1">#REF!</definedName>
    <definedName name="ㅋㅋㅋㅋㅋㅋ" hidden="1">#REF!</definedName>
    <definedName name="ㅋㅋㅋㅋㅋㅋㅋㅋㅋ" localSheetId="0" hidden="1">#REF!</definedName>
    <definedName name="ㅋㅋㅋㅋㅋㅋㅋㅋㅋ" localSheetId="2" hidden="1">#REF!</definedName>
    <definedName name="ㅋㅋㅋㅋㅋㅋㅋㅋㅋ" hidden="1">#REF!</definedName>
    <definedName name="ㅌㅊㅍㅌㅊㅍㅌㅋㅊㅍㅌ" localSheetId="0" hidden="1">#REF!</definedName>
    <definedName name="ㅌㅊㅍㅌㅊㅍㅌㅋㅊㅍㅌ" localSheetId="2" hidden="1">#REF!</definedName>
    <definedName name="ㅌㅊㅍㅌㅊㅍㅌㅋㅊㅍㅌ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4" l="1"/>
  <c r="C22" i="4"/>
  <c r="C21" i="4"/>
  <c r="C20" i="4"/>
  <c r="C19" i="4"/>
  <c r="C18" i="4"/>
  <c r="C17" i="4"/>
  <c r="C16" i="4"/>
  <c r="C15" i="4"/>
  <c r="J6" i="33"/>
  <c r="P55" i="5"/>
  <c r="P54" i="5"/>
  <c r="P53" i="5"/>
  <c r="O56" i="5"/>
  <c r="O52" i="5"/>
  <c r="O40" i="5"/>
  <c r="O37" i="5"/>
  <c r="O34" i="5"/>
  <c r="O31" i="5"/>
  <c r="O28" i="5"/>
  <c r="O23" i="5"/>
  <c r="O15" i="5"/>
  <c r="O66" i="5"/>
  <c r="P66" i="5"/>
  <c r="Q66" i="5"/>
  <c r="D7" i="5"/>
  <c r="D5" i="4"/>
  <c r="D5" i="5"/>
  <c r="D6" i="4"/>
  <c r="D6" i="5"/>
  <c r="AX6" i="5"/>
  <c r="AW6" i="5"/>
  <c r="AV6" i="5"/>
  <c r="AU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N24" i="4"/>
  <c r="M24" i="4"/>
  <c r="L24" i="4"/>
  <c r="AT6" i="5"/>
</calcChain>
</file>

<file path=xl/sharedStrings.xml><?xml version="1.0" encoding="utf-8"?>
<sst xmlns="http://schemas.openxmlformats.org/spreadsheetml/2006/main" count="937" uniqueCount="183">
  <si>
    <t>OM4-DE-IS-0002</t>
    <phoneticPr fontId="20" type="noConversion"/>
  </si>
  <si>
    <t>O MON IV THERMAL POWER PLANT</t>
    <phoneticPr fontId="20" type="noConversion"/>
  </si>
  <si>
    <t>UNIT PRICE
(USD)</t>
    <phoneticPr fontId="0" type="noConversion"/>
  </si>
  <si>
    <t>AMOUNT
(USD)</t>
    <phoneticPr fontId="0" type="noConversion"/>
  </si>
  <si>
    <t>BREAK DOWN of COMMERCIAL INVOICE</t>
  </si>
  <si>
    <t xml:space="preserve">INVOICE NO. : </t>
  </si>
  <si>
    <t xml:space="preserve">PLACE :  </t>
    <phoneticPr fontId="0" type="noConversion"/>
  </si>
  <si>
    <t xml:space="preserve">DATE  : </t>
    <phoneticPr fontId="0" type="noConversion"/>
  </si>
  <si>
    <t>SI.
No.</t>
    <phoneticPr fontId="0" type="noConversion"/>
  </si>
  <si>
    <t>Package No.</t>
    <phoneticPr fontId="0" type="noConversion"/>
  </si>
  <si>
    <t>Description of Goods</t>
    <phoneticPr fontId="0" type="noConversion"/>
  </si>
  <si>
    <t>C/O of Goods</t>
    <phoneticPr fontId="0" type="noConversion"/>
  </si>
  <si>
    <t>Position in price schedule</t>
    <phoneticPr fontId="0" type="noConversion"/>
  </si>
  <si>
    <t>Quantity</t>
    <phoneticPr fontId="0" type="noConversion"/>
  </si>
  <si>
    <t>Package Type</t>
    <phoneticPr fontId="0" type="noConversion"/>
  </si>
  <si>
    <t>NET WEIGHT
(KG)</t>
  </si>
  <si>
    <t>Remark
(**)</t>
    <phoneticPr fontId="0" type="noConversion"/>
  </si>
  <si>
    <t>Nos</t>
    <phoneticPr fontId="0" type="noConversion"/>
  </si>
  <si>
    <t>Unit</t>
    <phoneticPr fontId="0" type="noConversion"/>
  </si>
  <si>
    <t>OM4-DE-IS-0002-001</t>
  </si>
  <si>
    <t>TEMPLATE(TP-1)_10T*374*374</t>
  </si>
  <si>
    <t>Republic of Korea</t>
    <phoneticPr fontId="0" type="noConversion"/>
  </si>
  <si>
    <r>
      <t xml:space="preserve">PS 1.1, </t>
    </r>
    <r>
      <rPr>
        <sz val="10"/>
        <rFont val="맑은 고딕"/>
        <family val="3"/>
        <charset val="129"/>
      </rPr>
      <t>Ⅱ</t>
    </r>
    <r>
      <rPr>
        <sz val="10"/>
        <rFont val="Calibri"/>
        <family val="2"/>
      </rPr>
      <t>, 2</t>
    </r>
    <phoneticPr fontId="20" type="noConversion"/>
  </si>
  <si>
    <t>EA</t>
  </si>
  <si>
    <t>Wooden Box</t>
  </si>
  <si>
    <t>B2</t>
  </si>
  <si>
    <t>TEMPLATE(TP-2)_10T*450*900</t>
  </si>
  <si>
    <t>Republic of Korea</t>
  </si>
  <si>
    <t>PS 1.1, Ⅱ, 2</t>
  </si>
  <si>
    <t>TEMPLATE(TP-3)_10T*270*320</t>
    <phoneticPr fontId="0" type="noConversion"/>
  </si>
  <si>
    <t>TEMPLATE(STP-1)_15T*250*3801</t>
  </si>
  <si>
    <t>TEMPLATE(STP-2)_10T*60*250</t>
  </si>
  <si>
    <t>TEMPLATE(STP-3)_15T*250*3801</t>
    <phoneticPr fontId="0" type="noConversion"/>
  </si>
  <si>
    <t>TEMPLATE(STP-4)_10T*60*250</t>
    <phoneticPr fontId="0" type="noConversion"/>
  </si>
  <si>
    <t>OM4-DE-IS-0002-002</t>
  </si>
  <si>
    <t>Anchor Bolt M56X1,515L</t>
  </si>
  <si>
    <t>Nut M56</t>
    <phoneticPr fontId="20" type="noConversion"/>
  </si>
  <si>
    <t>Anchor Bolt M42X1,110L</t>
  </si>
  <si>
    <t>Nut M42</t>
  </si>
  <si>
    <t>OM4-DE-IS-0002-003</t>
  </si>
  <si>
    <t>Anchor Bolt M60X1,560L</t>
  </si>
  <si>
    <t>Nut M60</t>
  </si>
  <si>
    <t>OM4-DE-IS-0002-004</t>
  </si>
  <si>
    <t>OM4-DE-IS-0002-005</t>
  </si>
  <si>
    <t>OM4-DE-IS-0002-006</t>
  </si>
  <si>
    <t>Anchor Bolt M48X1,970L</t>
  </si>
  <si>
    <t>Nut M48</t>
  </si>
  <si>
    <t>OM4-DE-IS-0002-007</t>
  </si>
  <si>
    <t>Square Washer 130X160X20T</t>
    <phoneticPr fontId="0" type="noConversion"/>
  </si>
  <si>
    <t>Square Washer 130X130X20T</t>
    <phoneticPr fontId="0" type="noConversion"/>
  </si>
  <si>
    <t>Square Washer 100X100X15T</t>
    <phoneticPr fontId="0" type="noConversion"/>
  </si>
  <si>
    <t>Square Washer 120X120X16T</t>
    <phoneticPr fontId="0" type="noConversion"/>
  </si>
  <si>
    <t>Anchor Plate 130X130X20T</t>
    <phoneticPr fontId="0" type="noConversion"/>
  </si>
  <si>
    <t>Anchor Plate 100X100X12T</t>
    <phoneticPr fontId="0" type="noConversion"/>
  </si>
  <si>
    <t>Anchor Plate 120X120X16T</t>
    <phoneticPr fontId="0" type="noConversion"/>
  </si>
  <si>
    <t>Bot. Plate 100X100X10T</t>
    <phoneticPr fontId="0" type="noConversion"/>
  </si>
  <si>
    <t>OM4-DE-IS-0002-008</t>
  </si>
  <si>
    <t>Sleeve 3"XSTD-982L</t>
  </si>
  <si>
    <t>Sleeve 3"XSTD-1,062L</t>
  </si>
  <si>
    <t>Sleeve 2-1/2"XSTD-752L</t>
  </si>
  <si>
    <t>OM4-DE-IS-0002-009</t>
  </si>
  <si>
    <t>Nut M56</t>
    <phoneticPr fontId="0" type="noConversion"/>
  </si>
  <si>
    <t>Nut M60</t>
    <phoneticPr fontId="0" type="noConversion"/>
  </si>
  <si>
    <t>Nut M48</t>
    <phoneticPr fontId="0" type="noConversion"/>
  </si>
  <si>
    <t>Grand-Total</t>
    <phoneticPr fontId="0" type="noConversion"/>
  </si>
  <si>
    <t>PKG</t>
    <phoneticPr fontId="20" type="noConversion"/>
  </si>
  <si>
    <t>PECC2 Innovation Hub, 45 Street No.2, Truong Tho Ward, Thu Duc City, HCMC, Vietnam
Tel: +84-28-2221 6468 | Fax: +84-28-2221 0408</t>
  </si>
  <si>
    <t>PACKING LIST(2/2)</t>
    <phoneticPr fontId="0" type="noConversion"/>
  </si>
  <si>
    <t xml:space="preserve">P/L No. </t>
    <phoneticPr fontId="0" type="noConversion"/>
  </si>
  <si>
    <t>Dated</t>
    <phoneticPr fontId="0" type="noConversion"/>
  </si>
  <si>
    <t>*  Storage Classification</t>
    <phoneticPr fontId="0" type="noConversion"/>
  </si>
  <si>
    <t>**  Plant/Equipment/Materials for</t>
    <phoneticPr fontId="0" type="noConversion"/>
  </si>
  <si>
    <t>Project</t>
    <phoneticPr fontId="0" type="noConversion"/>
  </si>
  <si>
    <t>"A"</t>
    <phoneticPr fontId="0" type="noConversion"/>
  </si>
  <si>
    <t>: Indoor with Air conditioning</t>
    <phoneticPr fontId="0" type="noConversion"/>
  </si>
  <si>
    <t>HRSG</t>
  </si>
  <si>
    <t>STG</t>
    <phoneticPr fontId="0" type="noConversion"/>
  </si>
  <si>
    <t>GTG</t>
    <phoneticPr fontId="0" type="noConversion"/>
  </si>
  <si>
    <t>BOP</t>
    <phoneticPr fontId="0" type="noConversion"/>
  </si>
  <si>
    <t>"B"</t>
    <phoneticPr fontId="0" type="noConversion"/>
  </si>
  <si>
    <t>: Indoor without Air conditioning</t>
    <phoneticPr fontId="0" type="noConversion"/>
  </si>
  <si>
    <t>Unit 1</t>
    <phoneticPr fontId="0" type="noConversion"/>
  </si>
  <si>
    <t>B1</t>
    <phoneticPr fontId="20" type="noConversion"/>
  </si>
  <si>
    <t>T1</t>
    <phoneticPr fontId="0" type="noConversion"/>
  </si>
  <si>
    <t>G1</t>
    <phoneticPr fontId="0" type="noConversion"/>
  </si>
  <si>
    <t>P2</t>
  </si>
  <si>
    <t>"C"</t>
    <phoneticPr fontId="0" type="noConversion"/>
  </si>
  <si>
    <t>: Hazardous Material</t>
    <phoneticPr fontId="0" type="noConversion"/>
  </si>
  <si>
    <t>Unit 2</t>
    <phoneticPr fontId="0" type="noConversion"/>
  </si>
  <si>
    <t>B2</t>
    <phoneticPr fontId="0" type="noConversion"/>
  </si>
  <si>
    <t>T2</t>
    <phoneticPr fontId="0" type="noConversion"/>
  </si>
  <si>
    <t>G2</t>
    <phoneticPr fontId="0" type="noConversion"/>
  </si>
  <si>
    <t>P2</t>
    <phoneticPr fontId="0" type="noConversion"/>
  </si>
  <si>
    <t>"D"</t>
    <phoneticPr fontId="0" type="noConversion"/>
  </si>
  <si>
    <t>: Outdoor with waterproofing</t>
    <phoneticPr fontId="0" type="noConversion"/>
  </si>
  <si>
    <t>Common</t>
    <phoneticPr fontId="0" type="noConversion"/>
  </si>
  <si>
    <t>B0</t>
    <phoneticPr fontId="0" type="noConversion"/>
  </si>
  <si>
    <t>T0</t>
    <phoneticPr fontId="0" type="noConversion"/>
  </si>
  <si>
    <t>G0</t>
    <phoneticPr fontId="0" type="noConversion"/>
  </si>
  <si>
    <t>P0</t>
    <phoneticPr fontId="0" type="noConversion"/>
  </si>
  <si>
    <t>"E"</t>
    <phoneticPr fontId="0" type="noConversion"/>
  </si>
  <si>
    <t>: Outdoor without waterproofing</t>
    <phoneticPr fontId="0" type="noConversion"/>
  </si>
  <si>
    <t>Measurement</t>
    <phoneticPr fontId="0" type="noConversion"/>
  </si>
  <si>
    <t>Net Weight
(kg)</t>
    <phoneticPr fontId="0" type="noConversion"/>
  </si>
  <si>
    <t>Gross Weight
(kg)</t>
    <phoneticPr fontId="0" type="noConversion"/>
  </si>
  <si>
    <t>Hazardous 
Material</t>
    <phoneticPr fontId="0" type="noConversion"/>
  </si>
  <si>
    <t>COG Marked (Y/N)</t>
    <phoneticPr fontId="20" type="noConversion"/>
  </si>
  <si>
    <t>Sling Point Marked (Y/N)</t>
    <phoneticPr fontId="20" type="noConversion"/>
  </si>
  <si>
    <t>Handle with care Marked
(Y/N)</t>
    <phoneticPr fontId="20" type="noConversion"/>
  </si>
  <si>
    <t>Storage Classification
(*)</t>
    <phoneticPr fontId="0" type="noConversion"/>
  </si>
  <si>
    <t>Length
(cm)</t>
    <phoneticPr fontId="0" type="noConversion"/>
  </si>
  <si>
    <t>Width
(cm)</t>
    <phoneticPr fontId="0" type="noConversion"/>
  </si>
  <si>
    <t>Height
(cm)</t>
    <phoneticPr fontId="0" type="noConversion"/>
  </si>
  <si>
    <t>Volume
(cbm)</t>
    <phoneticPr fontId="0" type="noConversion"/>
  </si>
  <si>
    <t>HRSG Embeded Material (Template)</t>
    <phoneticPr fontId="20" type="noConversion"/>
  </si>
  <si>
    <r>
      <t xml:space="preserve">PS 1.1, </t>
    </r>
    <r>
      <rPr>
        <sz val="10"/>
        <color rgb="FF000000"/>
        <rFont val="맑은 고딕"/>
        <family val="3"/>
        <charset val="129"/>
      </rPr>
      <t>Ⅱ</t>
    </r>
    <r>
      <rPr>
        <sz val="10"/>
        <color rgb="FF000000"/>
        <rFont val="Calibri"/>
        <family val="2"/>
      </rPr>
      <t>, 2</t>
    </r>
    <phoneticPr fontId="20" type="noConversion"/>
  </si>
  <si>
    <t>Wooden Box</t>
    <phoneticPr fontId="20" type="noConversion"/>
  </si>
  <si>
    <t>N</t>
    <phoneticPr fontId="20" type="noConversion"/>
  </si>
  <si>
    <t>Y</t>
    <phoneticPr fontId="20" type="noConversion"/>
  </si>
  <si>
    <t>B</t>
    <phoneticPr fontId="20" type="noConversion"/>
  </si>
  <si>
    <t>HRSG Embeded Material (Anchor Bolt/Nut/Washer)</t>
  </si>
  <si>
    <r>
      <t xml:space="preserve">PS 1.1, </t>
    </r>
    <r>
      <rPr>
        <sz val="10"/>
        <color rgb="FF000000"/>
        <rFont val="맑은 고딕"/>
        <family val="3"/>
        <charset val="129"/>
      </rPr>
      <t>Ⅱ</t>
    </r>
    <r>
      <rPr>
        <sz val="10"/>
        <color rgb="FF000000"/>
        <rFont val="Calibri"/>
        <family val="2"/>
      </rPr>
      <t>, 2</t>
    </r>
    <r>
      <rPr>
        <sz val="11"/>
        <color theme="1"/>
        <rFont val="Arial"/>
        <family val="2"/>
        <charset val="129"/>
        <scheme val="minor"/>
      </rPr>
      <t/>
    </r>
  </si>
  <si>
    <r>
      <t xml:space="preserve">PS 1.1, </t>
    </r>
    <r>
      <rPr>
        <sz val="10"/>
        <rFont val="맑은 고딕"/>
        <family val="3"/>
        <charset val="129"/>
      </rPr>
      <t>Ⅱ</t>
    </r>
    <r>
      <rPr>
        <sz val="10"/>
        <rFont val="Calibri"/>
        <family val="2"/>
      </rPr>
      <t>, 2</t>
    </r>
    <r>
      <rPr>
        <sz val="11"/>
        <color theme="1"/>
        <rFont val="Arial"/>
        <family val="2"/>
        <charset val="129"/>
        <scheme val="minor"/>
      </rPr>
      <t/>
    </r>
  </si>
  <si>
    <t>HRSG Embeded Material (Spare)</t>
  </si>
  <si>
    <t>Grand Total</t>
    <phoneticPr fontId="0" type="noConversion"/>
  </si>
  <si>
    <t>DETAILED PACKING LIST</t>
    <phoneticPr fontId="0" type="noConversion"/>
  </si>
  <si>
    <t>PL No.</t>
    <phoneticPr fontId="0" type="noConversion"/>
  </si>
  <si>
    <t>TBN</t>
    <phoneticPr fontId="0" type="noConversion"/>
  </si>
  <si>
    <t>GEN</t>
    <phoneticPr fontId="0" type="noConversion"/>
  </si>
  <si>
    <t>Referenced DWG No.</t>
    <phoneticPr fontId="0" type="noConversion"/>
  </si>
  <si>
    <t>OM4-DE-XW03-P1HBA-CI-330003</t>
    <phoneticPr fontId="20" type="noConversion"/>
  </si>
  <si>
    <t>OM4-DE-XW03-P1HBA-CI-330004</t>
    <phoneticPr fontId="20" type="noConversion"/>
  </si>
  <si>
    <t>Manufacturer</t>
    <phoneticPr fontId="0" type="noConversion"/>
  </si>
  <si>
    <t>Hazardous Material</t>
    <phoneticPr fontId="0" type="noConversion"/>
  </si>
  <si>
    <t>Tag No.</t>
    <phoneticPr fontId="0" type="noConversion"/>
  </si>
  <si>
    <t>#2 HRSG Embeded Material</t>
    <phoneticPr fontId="20" type="noConversion"/>
  </si>
  <si>
    <t>BHI</t>
  </si>
  <si>
    <t>Republic of Korea</t>
    <phoneticPr fontId="20" type="noConversion"/>
  </si>
  <si>
    <t>EA</t>
    <phoneticPr fontId="20" type="noConversion"/>
  </si>
  <si>
    <t>TP-1</t>
  </si>
  <si>
    <t>TP-2</t>
    <phoneticPr fontId="20" type="noConversion"/>
  </si>
  <si>
    <t>TEMPLATE(TP-3)_10T*270*320</t>
    <phoneticPr fontId="20" type="noConversion"/>
  </si>
  <si>
    <t>TP-3</t>
    <phoneticPr fontId="20" type="noConversion"/>
  </si>
  <si>
    <t>STP-1</t>
    <phoneticPr fontId="20" type="noConversion"/>
  </si>
  <si>
    <t>STP-2</t>
    <phoneticPr fontId="20" type="noConversion"/>
  </si>
  <si>
    <t>TEMPLATE(STP-3)_15T*250*3801</t>
    <phoneticPr fontId="20" type="noConversion"/>
  </si>
  <si>
    <t>STP-3</t>
  </si>
  <si>
    <t>TEMPLATE(STP-4)_10T*60*250</t>
    <phoneticPr fontId="20" type="noConversion"/>
  </si>
  <si>
    <t>STP-4</t>
  </si>
  <si>
    <t>HRSG Embeded Material</t>
  </si>
  <si>
    <t>Anchor Bolt M56X1,515L</t>
    <phoneticPr fontId="20" type="noConversion"/>
  </si>
  <si>
    <t>AB-1</t>
  </si>
  <si>
    <t xml:space="preserve"> Nut M56</t>
    <phoneticPr fontId="20" type="noConversion"/>
  </si>
  <si>
    <t>Anchor Bolt M42X1,110L</t>
    <phoneticPr fontId="20" type="noConversion"/>
  </si>
  <si>
    <t>AB-3</t>
  </si>
  <si>
    <t>Nut M42</t>
    <phoneticPr fontId="20" type="noConversion"/>
  </si>
  <si>
    <t>AB-2</t>
  </si>
  <si>
    <t>Anchor Bolt M60X1,560L</t>
    <phoneticPr fontId="20" type="noConversion"/>
  </si>
  <si>
    <t>Nut M60</t>
    <phoneticPr fontId="20" type="noConversion"/>
  </si>
  <si>
    <t>I</t>
    <phoneticPr fontId="20" type="noConversion"/>
  </si>
  <si>
    <t>SAB-1</t>
  </si>
  <si>
    <t>Square Washer 130X160X20T</t>
    <phoneticPr fontId="20" type="noConversion"/>
  </si>
  <si>
    <t>Square Washer 130X130X20T</t>
    <phoneticPr fontId="20" type="noConversion"/>
  </si>
  <si>
    <t>Square Washer 100X100X15T</t>
    <phoneticPr fontId="20" type="noConversion"/>
  </si>
  <si>
    <t>Square Washer 120X120X16T</t>
    <phoneticPr fontId="20" type="noConversion"/>
  </si>
  <si>
    <t>Anchor Plate 130X130X20T</t>
    <phoneticPr fontId="20" type="noConversion"/>
  </si>
  <si>
    <t>AP-1</t>
  </si>
  <si>
    <t>AP-2</t>
  </si>
  <si>
    <t>Anchor Plate 100X100X12T</t>
    <phoneticPr fontId="20" type="noConversion"/>
  </si>
  <si>
    <t>AP-3</t>
  </si>
  <si>
    <t>Anchor Plate 120X120X16T</t>
    <phoneticPr fontId="20" type="noConversion"/>
  </si>
  <si>
    <t>Bot. Plate 100X100X10T</t>
    <phoneticPr fontId="20" type="noConversion"/>
  </si>
  <si>
    <t>Sleeve 3"XSTD-982L</t>
    <phoneticPr fontId="20" type="noConversion"/>
  </si>
  <si>
    <t>Sleeve 3"XSTD-1,062L</t>
    <phoneticPr fontId="20" type="noConversion"/>
  </si>
  <si>
    <t>Sleeve 2-1/2"XSTD-752L</t>
    <phoneticPr fontId="20" type="noConversion"/>
  </si>
  <si>
    <t>Spare</t>
  </si>
  <si>
    <t>Nut M48</t>
    <phoneticPr fontId="20" type="noConversion"/>
  </si>
  <si>
    <t>Sub-Total</t>
    <phoneticPr fontId="0" type="noConversion"/>
  </si>
  <si>
    <t>HS CODE</t>
  </si>
  <si>
    <t>7326.90-9000</t>
  </si>
  <si>
    <t>7318.15-2000</t>
  </si>
  <si>
    <t>7318.16-0000</t>
  </si>
  <si>
    <t>7318.22-0000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</si>
</sst>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#,##0_ ;[Red]\-#,##0\ "/>
    <numFmt numFmtId="169" formatCode="0.00_);[Red]\(0.00\)"/>
  </numFmts>
  <fonts count="29">
    <font>
      <sz val="11"/>
      <name val="돋움"/>
      <family val="3"/>
      <charset val="129"/>
    </font>
    <font>
      <sz val="11"/>
      <color theme="1"/>
      <name val="Arial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2"/>
      <name val="바탕체"/>
      <family val="1"/>
      <charset val="129"/>
    </font>
    <font>
      <sz val="10"/>
      <name val="Calibri"/>
      <family val="2"/>
    </font>
    <font>
      <b/>
      <sz val="10"/>
      <name val="Calibri"/>
      <family val="2"/>
    </font>
    <font>
      <sz val="11"/>
      <name val="Arial"/>
      <family val="2"/>
    </font>
    <font>
      <sz val="9"/>
      <name val="Arial"/>
      <family val="2"/>
    </font>
    <font>
      <b/>
      <sz val="16"/>
      <name val="Calibri"/>
      <family val="2"/>
    </font>
    <font>
      <sz val="11"/>
      <name val="Arial"/>
      <family val="3"/>
      <charset val="129"/>
      <scheme val="minor"/>
    </font>
    <font>
      <sz val="11"/>
      <name val="Calibri"/>
      <family val="2"/>
    </font>
    <font>
      <sz val="10"/>
      <name val="Arial"/>
      <family val="2"/>
      <scheme val="minor"/>
    </font>
    <font>
      <sz val="10"/>
      <name val="Arial"/>
      <family val="3"/>
      <charset val="129"/>
      <scheme val="minor"/>
    </font>
    <font>
      <b/>
      <sz val="10"/>
      <name val="Arial"/>
      <family val="2"/>
      <scheme val="minor"/>
    </font>
    <font>
      <sz val="11"/>
      <color indexed="8"/>
      <name val="맑은 고딕"/>
      <family val="3"/>
      <charset val="129"/>
    </font>
    <font>
      <sz val="9"/>
      <name val="Calibri"/>
      <family val="2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0"/>
      <color rgb="FF0000FF"/>
      <name val="Calibri"/>
      <family val="2"/>
    </font>
    <font>
      <sz val="11"/>
      <name val="굴림체"/>
      <family val="3"/>
      <charset val="129"/>
    </font>
    <font>
      <sz val="1"/>
      <color indexed="8"/>
      <name val="Courier"/>
      <family val="3"/>
    </font>
    <font>
      <sz val="10"/>
      <color rgb="FF000000"/>
      <name val="Calibri"/>
      <family val="2"/>
    </font>
    <font>
      <sz val="10"/>
      <color rgb="FF000000"/>
      <name val="맑은 고딕"/>
      <family val="3"/>
      <charset val="129"/>
    </font>
    <font>
      <sz val="10"/>
      <name val="Calibri"/>
      <family val="2"/>
      <charset val="129"/>
    </font>
    <font>
      <sz val="9"/>
      <name val="Arial"/>
      <family val="2"/>
      <charset val="129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7" fontId="6" fillId="0" borderId="0"/>
    <xf numFmtId="0" fontId="17" fillId="0" borderId="0">
      <alignment vertical="center"/>
    </xf>
    <xf numFmtId="41" fontId="2" fillId="0" borderId="0" applyFont="0" applyFill="0" applyBorder="0" applyAlignment="0" applyProtection="0"/>
    <xf numFmtId="0" fontId="2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2" fillId="0" borderId="0"/>
    <xf numFmtId="4" fontId="2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</cellStyleXfs>
  <cellXfs count="174">
    <xf numFmtId="0" fontId="0" fillId="0" borderId="0" xfId="0">
      <alignment vertical="center"/>
    </xf>
    <xf numFmtId="41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37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37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0" xfId="0" applyFont="1">
      <alignment vertical="center"/>
    </xf>
    <xf numFmtId="41" fontId="3" fillId="0" borderId="0" xfId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5" fontId="3" fillId="0" borderId="0" xfId="0" quotePrefix="1" applyNumberFormat="1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41" fontId="3" fillId="0" borderId="0" xfId="1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1" applyNumberFormat="1" applyFont="1" applyFill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1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1" fontId="7" fillId="0" borderId="0" xfId="0" applyNumberFormat="1" applyFont="1" applyAlignment="1">
      <alignment horizontal="center" vertical="center"/>
    </xf>
    <xf numFmtId="41" fontId="14" fillId="0" borderId="0" xfId="0" applyNumberFormat="1" applyFont="1" applyAlignment="1">
      <alignment horizontal="left" vertical="center"/>
    </xf>
    <xf numFmtId="41" fontId="7" fillId="0" borderId="0" xfId="1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37" fontId="7" fillId="0" borderId="0" xfId="0" applyNumberFormat="1" applyFont="1" applyAlignment="1">
      <alignment horizontal="left" vertical="center"/>
    </xf>
    <xf numFmtId="16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169" fontId="7" fillId="0" borderId="0" xfId="0" applyNumberFormat="1" applyFont="1" applyAlignment="1">
      <alignment horizontal="left" vertical="center"/>
    </xf>
    <xf numFmtId="169" fontId="7" fillId="0" borderId="8" xfId="0" applyNumberFormat="1" applyFont="1" applyBorder="1" applyAlignment="1">
      <alignment horizontal="left" vertical="center"/>
    </xf>
    <xf numFmtId="169" fontId="7" fillId="0" borderId="8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169" fontId="8" fillId="0" borderId="8" xfId="0" applyNumberFormat="1" applyFont="1" applyBorder="1" applyAlignment="1">
      <alignment horizontal="center" vertical="center" wrapText="1"/>
    </xf>
    <xf numFmtId="0" fontId="7" fillId="0" borderId="0" xfId="4" applyFont="1" applyAlignment="1">
      <alignment horizontal="center" vertical="center"/>
    </xf>
    <xf numFmtId="0" fontId="7" fillId="0" borderId="0" xfId="4" applyFont="1">
      <alignment vertical="center"/>
    </xf>
    <xf numFmtId="41" fontId="7" fillId="0" borderId="0" xfId="1" applyFont="1" applyAlignment="1">
      <alignment vertical="center"/>
    </xf>
    <xf numFmtId="169" fontId="7" fillId="0" borderId="0" xfId="0" applyNumberFormat="1" applyFont="1">
      <alignment vertical="center"/>
    </xf>
    <xf numFmtId="0" fontId="7" fillId="0" borderId="0" xfId="1" applyNumberFormat="1" applyFont="1" applyFill="1" applyAlignment="1">
      <alignment vertical="center"/>
    </xf>
    <xf numFmtId="41" fontId="3" fillId="0" borderId="0" xfId="0" applyNumberFormat="1" applyFont="1" applyAlignment="1">
      <alignment horizontal="left" vertical="center"/>
    </xf>
    <xf numFmtId="14" fontId="21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37" fontId="7" fillId="2" borderId="0" xfId="0" applyNumberFormat="1" applyFont="1" applyFill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15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>
      <alignment vertical="center"/>
    </xf>
    <xf numFmtId="0" fontId="7" fillId="2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7" fillId="2" borderId="8" xfId="4" applyFont="1" applyFill="1" applyBorder="1" applyAlignment="1">
      <alignment horizontal="center" vertical="center" wrapText="1"/>
    </xf>
    <xf numFmtId="164" fontId="7" fillId="0" borderId="8" xfId="1" applyNumberFormat="1" applyFont="1" applyFill="1" applyBorder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0" borderId="8" xfId="0" applyFont="1" applyBorder="1">
      <alignment vertical="center"/>
    </xf>
    <xf numFmtId="2" fontId="3" fillId="2" borderId="8" xfId="0" applyNumberFormat="1" applyFont="1" applyFill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/>
    </xf>
    <xf numFmtId="164" fontId="7" fillId="2" borderId="4" xfId="1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0" fontId="3" fillId="3" borderId="0" xfId="0" applyFont="1" applyFill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64" fontId="7" fillId="0" borderId="6" xfId="1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164" fontId="7" fillId="0" borderId="4" xfId="1" applyNumberFormat="1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37" fontId="3" fillId="0" borderId="0" xfId="0" applyNumberFormat="1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41" fontId="7" fillId="0" borderId="8" xfId="1" applyFont="1" applyFill="1" applyBorder="1" applyAlignment="1">
      <alignment horizontal="center" vertical="center" wrapText="1"/>
    </xf>
    <xf numFmtId="169" fontId="7" fillId="0" borderId="8" xfId="4" applyNumberFormat="1" applyFont="1" applyBorder="1" applyAlignment="1">
      <alignment horizontal="center" vertical="center" wrapText="1"/>
    </xf>
    <xf numFmtId="0" fontId="7" fillId="0" borderId="8" xfId="4" applyFont="1" applyBorder="1" applyAlignment="1">
      <alignment horizontal="center" vertical="center"/>
    </xf>
    <xf numFmtId="0" fontId="18" fillId="0" borderId="8" xfId="4" applyFont="1" applyBorder="1" applyAlignment="1">
      <alignment horizontal="center" vertical="center" wrapText="1"/>
    </xf>
    <xf numFmtId="0" fontId="7" fillId="0" borderId="8" xfId="4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4" fontId="7" fillId="0" borderId="0" xfId="0" quotePrefix="1" applyNumberFormat="1" applyFont="1" applyAlignment="1">
      <alignment horizontal="left" vertical="center"/>
    </xf>
    <xf numFmtId="164" fontId="8" fillId="0" borderId="8" xfId="0" applyNumberFormat="1" applyFont="1" applyBorder="1">
      <alignment vertical="center"/>
    </xf>
    <xf numFmtId="0" fontId="26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 wrapText="1"/>
    </xf>
    <xf numFmtId="164" fontId="26" fillId="0" borderId="6" xfId="1" applyNumberFormat="1" applyFont="1" applyFill="1" applyBorder="1" applyAlignment="1">
      <alignment horizontal="center" vertical="center" wrapText="1"/>
    </xf>
    <xf numFmtId="164" fontId="26" fillId="0" borderId="8" xfId="1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1" fontId="7" fillId="2" borderId="8" xfId="1" applyFont="1" applyFill="1" applyBorder="1" applyAlignment="1">
      <alignment horizontal="center" vertical="center" wrapText="1"/>
    </xf>
    <xf numFmtId="164" fontId="7" fillId="2" borderId="6" xfId="1" applyNumberFormat="1" applyFont="1" applyFill="1" applyBorder="1" applyAlignment="1">
      <alignment horizontal="center" vertical="center" wrapText="1"/>
    </xf>
    <xf numFmtId="169" fontId="7" fillId="2" borderId="8" xfId="4" applyNumberFormat="1" applyFont="1" applyFill="1" applyBorder="1" applyAlignment="1">
      <alignment horizontal="center" vertical="center" wrapText="1"/>
    </xf>
    <xf numFmtId="164" fontId="7" fillId="0" borderId="8" xfId="1" applyNumberFormat="1" applyFont="1" applyFill="1" applyBorder="1" applyAlignment="1">
      <alignment horizontal="center" vertical="center" wrapText="1"/>
    </xf>
    <xf numFmtId="164" fontId="7" fillId="2" borderId="8" xfId="1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64" fontId="7" fillId="3" borderId="6" xfId="1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37" fontId="7" fillId="0" borderId="0" xfId="0" applyNumberFormat="1" applyFont="1" applyAlignment="1">
      <alignment horizontal="left" vertical="center"/>
    </xf>
    <xf numFmtId="15" fontId="7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7" fillId="0" borderId="10" xfId="4" applyFont="1" applyBorder="1" applyAlignment="1">
      <alignment horizontal="center" vertical="center"/>
    </xf>
    <xf numFmtId="0" fontId="7" fillId="0" borderId="9" xfId="4" applyFont="1" applyBorder="1" applyAlignment="1">
      <alignment horizontal="center" vertical="center"/>
    </xf>
    <xf numFmtId="0" fontId="7" fillId="0" borderId="11" xfId="4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</cellXfs>
  <cellStyles count="13">
    <cellStyle name="Bình thường" xfId="0" builtinId="0"/>
    <cellStyle name="Comma" xfId="10" xr:uid="{00000000-0005-0000-0000-000000000000}"/>
    <cellStyle name="Dấu phẩy [0]" xfId="1" builtinId="6"/>
    <cellStyle name="Normal 3" xfId="8" xr:uid="{00000000-0005-0000-0000-000001000000}"/>
    <cellStyle name="쉼표 [0] 2" xfId="11" xr:uid="{00000000-0005-0000-0000-000003000000}"/>
    <cellStyle name="쉼표 [0] 6" xfId="5" xr:uid="{00000000-0005-0000-0000-000004000000}"/>
    <cellStyle name="쉼표 [0] 6 2" xfId="12" xr:uid="{00000000-0005-0000-0000-000005000000}"/>
    <cellStyle name="표준 6" xfId="4" xr:uid="{00000000-0005-0000-0000-000007000000}"/>
    <cellStyle name="표준_080407 3항차 final packing List(r3)통합" xfId="9" xr:uid="{00000000-0005-0000-0000-000008000000}"/>
    <cellStyle name="표준_Cirebon Grating Pk'g list(서흥)_080910_final" xfId="6" xr:uid="{00000000-0005-0000-0000-000009000000}"/>
    <cellStyle name="표준_PACKINGLIST (철골_1항차)" xfId="7" xr:uid="{00000000-0005-0000-0000-00000A000000}"/>
    <cellStyle name="표준_STG-PKL" xfId="3" xr:uid="{00000000-0005-0000-0000-00000C000000}"/>
    <cellStyle name="標準_Proforma PL cirebon 2" xfId="2" xr:uid="{00000000-0005-0000-0000-00000B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3969</xdr:rowOff>
    </xdr:from>
    <xdr:to>
      <xdr:col>2</xdr:col>
      <xdr:colOff>1507636</xdr:colOff>
      <xdr:row>1</xdr:row>
      <xdr:rowOff>286544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AC69137-D2A0-408C-AFA9-9A801B1109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117" b="11386"/>
        <a:stretch>
          <a:fillRect/>
        </a:stretch>
      </xdr:blipFill>
      <xdr:spPr bwMode="auto">
        <a:xfrm>
          <a:off x="349250" y="118269"/>
          <a:ext cx="1503826" cy="2787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259080</xdr:colOff>
      <xdr:row>1</xdr:row>
      <xdr:rowOff>55880</xdr:rowOff>
    </xdr:from>
    <xdr:to>
      <xdr:col>13</xdr:col>
      <xdr:colOff>402217</xdr:colOff>
      <xdr:row>2</xdr:row>
      <xdr:rowOff>36512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4DF71F-CCAB-4250-9538-ADE646EDD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3530" y="170180"/>
          <a:ext cx="1117227" cy="310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3969</xdr:rowOff>
    </xdr:from>
    <xdr:to>
      <xdr:col>2</xdr:col>
      <xdr:colOff>1503191</xdr:colOff>
      <xdr:row>1</xdr:row>
      <xdr:rowOff>283369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117" b="11386"/>
        <a:stretch>
          <a:fillRect/>
        </a:stretch>
      </xdr:blipFill>
      <xdr:spPr bwMode="auto">
        <a:xfrm>
          <a:off x="400050" y="118269"/>
          <a:ext cx="1508271" cy="2762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132414</xdr:colOff>
      <xdr:row>1</xdr:row>
      <xdr:rowOff>26894</xdr:rowOff>
    </xdr:from>
    <xdr:to>
      <xdr:col>19</xdr:col>
      <xdr:colOff>134121</xdr:colOff>
      <xdr:row>2</xdr:row>
      <xdr:rowOff>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10364" y="141194"/>
          <a:ext cx="1039458" cy="2905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3969</xdr:rowOff>
    </xdr:from>
    <xdr:to>
      <xdr:col>2</xdr:col>
      <xdr:colOff>1503826</xdr:colOff>
      <xdr:row>1</xdr:row>
      <xdr:rowOff>282734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117" b="11386"/>
        <a:stretch>
          <a:fillRect/>
        </a:stretch>
      </xdr:blipFill>
      <xdr:spPr bwMode="auto">
        <a:xfrm>
          <a:off x="400050" y="118269"/>
          <a:ext cx="1508271" cy="2762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950593</xdr:colOff>
      <xdr:row>1</xdr:row>
      <xdr:rowOff>71120</xdr:rowOff>
    </xdr:from>
    <xdr:to>
      <xdr:col>20</xdr:col>
      <xdr:colOff>251161</xdr:colOff>
      <xdr:row>2</xdr:row>
      <xdr:rowOff>36512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76293" y="185420"/>
          <a:ext cx="1179532" cy="289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EA93-A8DE-4554-B011-BA3866BE4BDA}">
  <sheetPr>
    <tabColor rgb="FFFFC000"/>
    <pageSetUpPr fitToPage="1"/>
  </sheetPr>
  <dimension ref="A1:AG51"/>
  <sheetViews>
    <sheetView showGridLines="0" tabSelected="1" view="pageBreakPreview" topLeftCell="F1" zoomScaleNormal="100" zoomScaleSheetLayoutView="100" workbookViewId="0">
      <selection activeCell="R35" sqref="R35"/>
    </sheetView>
  </sheetViews>
  <sheetFormatPr defaultColWidth="8.76953125" defaultRowHeight="18" customHeight="1"/>
  <cols>
    <col min="1" max="1" width="1.05078125" style="32" customWidth="1"/>
    <col min="2" max="2" width="3.625" style="10" customWidth="1"/>
    <col min="3" max="3" width="21.1640625" style="42" customWidth="1"/>
    <col min="4" max="4" width="23.73828125" style="54" customWidth="1"/>
    <col min="5" max="5" width="7.25" style="54" customWidth="1"/>
    <col min="6" max="6" width="14.1484375" style="54" bestFit="1" customWidth="1"/>
    <col min="7" max="7" width="9.703125" style="6" customWidth="1"/>
    <col min="8" max="8" width="5.26171875" style="12" customWidth="1"/>
    <col min="9" max="9" width="5.26171875" style="6" customWidth="1"/>
    <col min="10" max="10" width="7.6015625" style="6" customWidth="1"/>
    <col min="11" max="11" width="9.8203125" style="10" bestFit="1" customWidth="1"/>
    <col min="12" max="12" width="10.9921875" style="6" customWidth="1"/>
    <col min="13" max="13" width="12.74609375" style="6" customWidth="1"/>
    <col min="14" max="14" width="6.6640625" style="56" customWidth="1"/>
    <col min="15" max="15" width="1.05078125" style="30" customWidth="1"/>
    <col min="16" max="18" width="8.76953125" style="31" customWidth="1"/>
    <col min="19" max="19" width="11.2265625" style="31" customWidth="1"/>
    <col min="20" max="22" width="8.76953125" style="31" customWidth="1"/>
    <col min="23" max="28" width="8.76953125" style="32" customWidth="1"/>
    <col min="29" max="33" width="8.76953125" style="31"/>
    <col min="34" max="16384" width="8.76953125" style="32"/>
  </cols>
  <sheetData>
    <row r="1" spans="1:33" ht="9" customHeight="1"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</row>
    <row r="2" spans="1:33" ht="26.1" customHeight="1">
      <c r="B2" s="29"/>
      <c r="C2" s="6"/>
      <c r="D2" s="6"/>
      <c r="E2" s="6"/>
      <c r="F2" s="6"/>
      <c r="H2" s="6"/>
      <c r="I2" s="33"/>
      <c r="J2" s="33"/>
      <c r="N2" s="32"/>
      <c r="O2" s="32"/>
      <c r="P2" s="32"/>
      <c r="Q2" s="32"/>
      <c r="R2" s="32"/>
      <c r="S2" s="32"/>
      <c r="T2" s="32"/>
      <c r="U2" s="32"/>
      <c r="V2" s="32"/>
      <c r="AC2" s="32"/>
      <c r="AD2" s="32"/>
      <c r="AE2" s="32"/>
      <c r="AF2" s="32"/>
      <c r="AG2" s="32"/>
    </row>
    <row r="3" spans="1:33" ht="27.6" customHeight="1" thickBot="1">
      <c r="B3" s="29"/>
      <c r="C3" s="145"/>
      <c r="D3" s="145"/>
      <c r="E3" s="145"/>
      <c r="F3" s="145"/>
      <c r="G3" s="145"/>
      <c r="H3" s="145"/>
      <c r="I3" s="145"/>
      <c r="J3" s="145"/>
      <c r="N3" s="32"/>
      <c r="O3" s="32"/>
      <c r="P3" s="32"/>
      <c r="Q3" s="32"/>
      <c r="R3" s="32"/>
      <c r="S3" s="32"/>
      <c r="T3" s="32"/>
      <c r="U3" s="32"/>
      <c r="V3" s="32"/>
      <c r="AC3" s="32"/>
      <c r="AD3" s="32"/>
      <c r="AE3" s="32"/>
      <c r="AF3" s="32"/>
      <c r="AG3" s="32"/>
    </row>
    <row r="4" spans="1:33" ht="33.75" customHeight="1" thickTop="1" thickBot="1">
      <c r="B4" s="146" t="s">
        <v>4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8"/>
    </row>
    <row r="5" spans="1:33" s="6" customFormat="1" ht="17.25" customHeight="1" thickTop="1">
      <c r="B5" s="10"/>
      <c r="C5" s="37"/>
      <c r="D5" s="61"/>
      <c r="G5" s="10"/>
      <c r="H5" s="38"/>
      <c r="I5" s="10"/>
      <c r="J5" s="10"/>
      <c r="K5" s="10"/>
      <c r="L5" s="9"/>
      <c r="M5" s="58"/>
      <c r="N5" s="10"/>
      <c r="O5" s="41"/>
      <c r="AC5" s="10"/>
      <c r="AD5" s="10"/>
      <c r="AE5" s="10"/>
      <c r="AF5" s="10"/>
      <c r="AG5" s="10"/>
    </row>
    <row r="6" spans="1:33" s="6" customFormat="1" ht="14.25">
      <c r="A6" s="9"/>
      <c r="B6" s="149" t="s">
        <v>5</v>
      </c>
      <c r="C6" s="149"/>
      <c r="D6" s="7" t="s">
        <v>0</v>
      </c>
      <c r="E6" s="7" t="s">
        <v>6</v>
      </c>
      <c r="F6" s="150"/>
      <c r="G6" s="150"/>
      <c r="H6" s="150"/>
      <c r="I6" s="9" t="s">
        <v>7</v>
      </c>
      <c r="J6" s="151" t="e">
        <f>#REF!</f>
        <v>#REF!</v>
      </c>
      <c r="K6" s="151"/>
      <c r="L6" s="151"/>
      <c r="R6" s="6">
        <v>2</v>
      </c>
      <c r="S6" s="6">
        <v>9817.5</v>
      </c>
    </row>
    <row r="7" spans="1:33" s="6" customFormat="1" ht="17.25" customHeight="1">
      <c r="B7" s="10"/>
      <c r="C7" s="37"/>
      <c r="D7" s="10"/>
      <c r="E7" s="10"/>
      <c r="F7" s="10"/>
      <c r="G7" s="10"/>
      <c r="H7" s="10"/>
      <c r="I7" s="10"/>
      <c r="J7" s="10"/>
      <c r="K7" s="79"/>
      <c r="L7" s="80"/>
      <c r="M7" s="80"/>
      <c r="N7" s="10"/>
      <c r="O7" s="41"/>
      <c r="P7" s="10"/>
      <c r="Q7" s="10"/>
      <c r="R7" s="10"/>
      <c r="S7" s="10"/>
      <c r="T7" s="10"/>
      <c r="U7" s="10"/>
      <c r="V7" s="10"/>
      <c r="AC7" s="10"/>
      <c r="AD7" s="10"/>
      <c r="AE7" s="10"/>
      <c r="AF7" s="10"/>
      <c r="AG7" s="10"/>
    </row>
    <row r="8" spans="1:33" s="48" customFormat="1" ht="20.25" customHeight="1">
      <c r="B8" s="133" t="s">
        <v>8</v>
      </c>
      <c r="C8" s="137" t="s">
        <v>9</v>
      </c>
      <c r="D8" s="138" t="s">
        <v>10</v>
      </c>
      <c r="E8" s="139"/>
      <c r="F8" s="137" t="s">
        <v>11</v>
      </c>
      <c r="G8" s="133" t="s">
        <v>12</v>
      </c>
      <c r="H8" s="142" t="s">
        <v>13</v>
      </c>
      <c r="I8" s="143"/>
      <c r="J8" s="132" t="s">
        <v>14</v>
      </c>
      <c r="K8" s="132" t="s">
        <v>15</v>
      </c>
      <c r="L8" s="132" t="s">
        <v>2</v>
      </c>
      <c r="M8" s="132" t="s">
        <v>3</v>
      </c>
      <c r="N8" s="133" t="s">
        <v>16</v>
      </c>
      <c r="O8" s="46"/>
      <c r="P8" s="47"/>
      <c r="Q8" s="47"/>
      <c r="R8" s="47"/>
      <c r="S8" s="47"/>
      <c r="T8" s="47"/>
      <c r="U8" s="47"/>
      <c r="V8" s="47"/>
      <c r="AC8" s="47"/>
      <c r="AD8" s="47"/>
      <c r="AE8" s="47"/>
      <c r="AF8" s="47"/>
      <c r="AG8" s="47"/>
    </row>
    <row r="9" spans="1:33" s="48" customFormat="1" ht="28.5" customHeight="1">
      <c r="B9" s="136"/>
      <c r="C9" s="136"/>
      <c r="D9" s="140"/>
      <c r="E9" s="141"/>
      <c r="F9" s="136"/>
      <c r="G9" s="134"/>
      <c r="H9" s="49" t="s">
        <v>17</v>
      </c>
      <c r="I9" s="49" t="s">
        <v>18</v>
      </c>
      <c r="J9" s="132"/>
      <c r="K9" s="132"/>
      <c r="L9" s="132"/>
      <c r="M9" s="132"/>
      <c r="N9" s="134"/>
      <c r="P9" s="47"/>
      <c r="Q9" s="47" t="s">
        <v>178</v>
      </c>
      <c r="R9" s="47"/>
      <c r="S9" s="47"/>
      <c r="T9" s="47"/>
      <c r="U9" s="47"/>
      <c r="V9" s="47"/>
      <c r="AC9" s="47"/>
      <c r="AD9" s="47"/>
      <c r="AE9" s="47"/>
      <c r="AF9" s="47"/>
      <c r="AG9" s="47"/>
    </row>
    <row r="10" spans="1:33" s="48" customFormat="1" ht="28.5" customHeight="1">
      <c r="B10" s="90">
        <v>1</v>
      </c>
      <c r="C10" s="90" t="s">
        <v>19</v>
      </c>
      <c r="D10" s="91" t="s">
        <v>20</v>
      </c>
      <c r="E10" s="92"/>
      <c r="F10" s="90" t="s">
        <v>21</v>
      </c>
      <c r="G10" s="93" t="s">
        <v>22</v>
      </c>
      <c r="H10" s="11">
        <v>20</v>
      </c>
      <c r="I10" s="11" t="s">
        <v>23</v>
      </c>
      <c r="J10" s="94" t="s">
        <v>24</v>
      </c>
      <c r="K10" s="95">
        <v>190</v>
      </c>
      <c r="L10" s="78">
        <v>60</v>
      </c>
      <c r="M10" s="78">
        <v>1200</v>
      </c>
      <c r="N10" s="93" t="s">
        <v>25</v>
      </c>
      <c r="P10" s="47"/>
      <c r="Q10" s="47" t="s">
        <v>179</v>
      </c>
      <c r="R10" s="47"/>
      <c r="S10" s="47"/>
      <c r="T10" s="47"/>
      <c r="U10" s="47"/>
      <c r="V10" s="47"/>
      <c r="AC10" s="47"/>
      <c r="AD10" s="47"/>
      <c r="AE10" s="47"/>
      <c r="AF10" s="47"/>
      <c r="AG10" s="47"/>
    </row>
    <row r="11" spans="1:33" s="48" customFormat="1" ht="28.5" customHeight="1">
      <c r="B11" s="64">
        <v>2</v>
      </c>
      <c r="C11" s="90" t="s">
        <v>19</v>
      </c>
      <c r="D11" s="91" t="s">
        <v>26</v>
      </c>
      <c r="E11" s="92"/>
      <c r="F11" s="90" t="s">
        <v>27</v>
      </c>
      <c r="G11" s="93" t="s">
        <v>28</v>
      </c>
      <c r="H11" s="11">
        <v>40</v>
      </c>
      <c r="I11" s="11" t="s">
        <v>23</v>
      </c>
      <c r="J11" s="93" t="s">
        <v>24</v>
      </c>
      <c r="K11" s="95">
        <v>916</v>
      </c>
      <c r="L11" s="78">
        <v>144.75</v>
      </c>
      <c r="M11" s="78">
        <v>5790</v>
      </c>
      <c r="N11" s="93" t="s">
        <v>25</v>
      </c>
      <c r="P11" s="47"/>
      <c r="Q11" s="47" t="s">
        <v>179</v>
      </c>
      <c r="R11" s="47"/>
      <c r="S11" s="47"/>
      <c r="T11" s="47"/>
      <c r="U11" s="47"/>
      <c r="V11" s="47"/>
      <c r="AC11" s="47"/>
      <c r="AD11" s="47"/>
      <c r="AE11" s="47"/>
      <c r="AF11" s="47"/>
      <c r="AG11" s="47"/>
    </row>
    <row r="12" spans="1:33" s="48" customFormat="1" ht="28.5" customHeight="1">
      <c r="B12" s="90">
        <v>3</v>
      </c>
      <c r="C12" s="90" t="s">
        <v>19</v>
      </c>
      <c r="D12" s="91" t="s">
        <v>29</v>
      </c>
      <c r="E12" s="92"/>
      <c r="F12" s="90" t="s">
        <v>27</v>
      </c>
      <c r="G12" s="93" t="s">
        <v>28</v>
      </c>
      <c r="H12" s="11">
        <v>8</v>
      </c>
      <c r="I12" s="11" t="s">
        <v>23</v>
      </c>
      <c r="J12" s="93" t="s">
        <v>24</v>
      </c>
      <c r="K12" s="95">
        <v>45.6</v>
      </c>
      <c r="L12" s="78">
        <v>36</v>
      </c>
      <c r="M12" s="78">
        <v>288</v>
      </c>
      <c r="N12" s="93" t="s">
        <v>25</v>
      </c>
      <c r="P12" s="47"/>
      <c r="Q12" s="47" t="s">
        <v>179</v>
      </c>
      <c r="R12" s="47"/>
      <c r="S12" s="47"/>
      <c r="T12" s="47"/>
      <c r="U12" s="47"/>
      <c r="V12" s="47"/>
      <c r="AC12" s="47"/>
      <c r="AD12" s="47"/>
      <c r="AE12" s="47"/>
      <c r="AF12" s="47"/>
      <c r="AG12" s="47"/>
    </row>
    <row r="13" spans="1:33" s="48" customFormat="1" ht="28.5" customHeight="1">
      <c r="B13" s="64">
        <v>4</v>
      </c>
      <c r="C13" s="90" t="s">
        <v>19</v>
      </c>
      <c r="D13" s="91" t="s">
        <v>30</v>
      </c>
      <c r="E13" s="92"/>
      <c r="F13" s="90" t="s">
        <v>27</v>
      </c>
      <c r="G13" s="93" t="s">
        <v>28</v>
      </c>
      <c r="H13" s="11">
        <v>6</v>
      </c>
      <c r="I13" s="11" t="s">
        <v>23</v>
      </c>
      <c r="J13" s="93" t="s">
        <v>24</v>
      </c>
      <c r="K13" s="95">
        <v>663</v>
      </c>
      <c r="L13" s="78">
        <v>698.5</v>
      </c>
      <c r="M13" s="78">
        <v>4191</v>
      </c>
      <c r="N13" s="93" t="s">
        <v>25</v>
      </c>
      <c r="P13" s="47"/>
      <c r="Q13" s="47" t="s">
        <v>179</v>
      </c>
      <c r="R13" s="47"/>
      <c r="S13" s="47"/>
      <c r="T13" s="47"/>
      <c r="U13" s="47"/>
      <c r="V13" s="47"/>
      <c r="AC13" s="47"/>
      <c r="AD13" s="47"/>
      <c r="AE13" s="47"/>
      <c r="AF13" s="47"/>
      <c r="AG13" s="47"/>
    </row>
    <row r="14" spans="1:33" s="48" customFormat="1" ht="28.5" customHeight="1">
      <c r="B14" s="90">
        <v>5</v>
      </c>
      <c r="C14" s="90" t="s">
        <v>19</v>
      </c>
      <c r="D14" s="91" t="s">
        <v>31</v>
      </c>
      <c r="E14" s="92"/>
      <c r="F14" s="90" t="s">
        <v>27</v>
      </c>
      <c r="G14" s="93" t="s">
        <v>28</v>
      </c>
      <c r="H14" s="11">
        <v>6</v>
      </c>
      <c r="I14" s="11" t="s">
        <v>23</v>
      </c>
      <c r="J14" s="93" t="s">
        <v>24</v>
      </c>
      <c r="K14" s="95">
        <v>7.2</v>
      </c>
      <c r="L14" s="78">
        <v>7.5</v>
      </c>
      <c r="M14" s="78">
        <v>45</v>
      </c>
      <c r="N14" s="93" t="s">
        <v>25</v>
      </c>
      <c r="P14" s="47"/>
      <c r="Q14" s="47" t="s">
        <v>179</v>
      </c>
      <c r="R14" s="47"/>
      <c r="S14" s="47"/>
      <c r="T14" s="47"/>
      <c r="U14" s="47"/>
      <c r="V14" s="47"/>
      <c r="AC14" s="47"/>
      <c r="AD14" s="47"/>
      <c r="AE14" s="47"/>
      <c r="AF14" s="47"/>
      <c r="AG14" s="47"/>
    </row>
    <row r="15" spans="1:33" s="48" customFormat="1" ht="28.5" customHeight="1">
      <c r="B15" s="64">
        <v>6</v>
      </c>
      <c r="C15" s="90" t="s">
        <v>19</v>
      </c>
      <c r="D15" s="91" t="s">
        <v>32</v>
      </c>
      <c r="E15" s="92"/>
      <c r="F15" s="90" t="s">
        <v>27</v>
      </c>
      <c r="G15" s="93" t="s">
        <v>28</v>
      </c>
      <c r="H15" s="11">
        <v>6</v>
      </c>
      <c r="I15" s="11" t="s">
        <v>23</v>
      </c>
      <c r="J15" s="93" t="s">
        <v>24</v>
      </c>
      <c r="K15" s="95">
        <v>663</v>
      </c>
      <c r="L15" s="78">
        <v>698.5</v>
      </c>
      <c r="M15" s="78">
        <v>4191</v>
      </c>
      <c r="N15" s="93" t="s">
        <v>25</v>
      </c>
      <c r="P15" s="47"/>
      <c r="Q15" s="47" t="s">
        <v>179</v>
      </c>
      <c r="R15" s="47"/>
      <c r="S15" s="47"/>
      <c r="T15" s="47"/>
      <c r="U15" s="47"/>
      <c r="V15" s="47"/>
      <c r="AC15" s="47"/>
      <c r="AD15" s="47"/>
      <c r="AE15" s="47"/>
      <c r="AF15" s="47"/>
      <c r="AG15" s="47"/>
    </row>
    <row r="16" spans="1:33" s="48" customFormat="1" ht="28.5" customHeight="1">
      <c r="B16" s="90">
        <v>7</v>
      </c>
      <c r="C16" s="90" t="s">
        <v>19</v>
      </c>
      <c r="D16" s="91" t="s">
        <v>33</v>
      </c>
      <c r="E16" s="92"/>
      <c r="F16" s="90" t="s">
        <v>27</v>
      </c>
      <c r="G16" s="93" t="s">
        <v>28</v>
      </c>
      <c r="H16" s="11">
        <v>6</v>
      </c>
      <c r="I16" s="11" t="s">
        <v>23</v>
      </c>
      <c r="J16" s="93" t="s">
        <v>24</v>
      </c>
      <c r="K16" s="95">
        <v>7.2</v>
      </c>
      <c r="L16" s="78">
        <v>7.5</v>
      </c>
      <c r="M16" s="78">
        <v>45</v>
      </c>
      <c r="N16" s="93" t="s">
        <v>25</v>
      </c>
      <c r="P16" s="47"/>
      <c r="Q16" s="47" t="s">
        <v>179</v>
      </c>
      <c r="R16" s="47"/>
      <c r="S16" s="47"/>
      <c r="T16" s="47"/>
      <c r="U16" s="47"/>
      <c r="V16" s="47"/>
      <c r="AC16" s="47"/>
      <c r="AD16" s="47"/>
      <c r="AE16" s="47"/>
      <c r="AF16" s="47"/>
      <c r="AG16" s="47"/>
    </row>
    <row r="17" spans="2:33" s="48" customFormat="1" ht="28.5" customHeight="1">
      <c r="B17" s="64">
        <v>8</v>
      </c>
      <c r="C17" s="90" t="s">
        <v>34</v>
      </c>
      <c r="D17" s="113" t="s">
        <v>35</v>
      </c>
      <c r="E17" s="114"/>
      <c r="F17" s="115" t="s">
        <v>27</v>
      </c>
      <c r="G17" s="116" t="s">
        <v>28</v>
      </c>
      <c r="H17" s="117">
        <v>40</v>
      </c>
      <c r="I17" s="117" t="s">
        <v>23</v>
      </c>
      <c r="J17" s="118" t="s">
        <v>24</v>
      </c>
      <c r="K17" s="119">
        <v>1060</v>
      </c>
      <c r="L17" s="120">
        <v>35.0625</v>
      </c>
      <c r="M17" s="120">
        <v>1402.5</v>
      </c>
      <c r="N17" s="93" t="s">
        <v>25</v>
      </c>
      <c r="P17" s="47"/>
      <c r="Q17" s="47" t="s">
        <v>180</v>
      </c>
      <c r="R17" s="47"/>
      <c r="S17" s="47"/>
      <c r="T17" s="47"/>
      <c r="U17" s="47"/>
      <c r="V17" s="47"/>
      <c r="AC17" s="47"/>
      <c r="AD17" s="47"/>
      <c r="AE17" s="47"/>
      <c r="AF17" s="47"/>
      <c r="AG17" s="47"/>
    </row>
    <row r="18" spans="2:33" s="48" customFormat="1" ht="28.5" customHeight="1">
      <c r="B18" s="90">
        <v>9</v>
      </c>
      <c r="C18" s="90" t="s">
        <v>34</v>
      </c>
      <c r="D18" s="113" t="s">
        <v>36</v>
      </c>
      <c r="E18" s="114"/>
      <c r="F18" s="115" t="s">
        <v>27</v>
      </c>
      <c r="G18" s="116" t="s">
        <v>28</v>
      </c>
      <c r="H18" s="117">
        <v>160</v>
      </c>
      <c r="I18" s="117" t="s">
        <v>23</v>
      </c>
      <c r="J18" s="118" t="s">
        <v>24</v>
      </c>
      <c r="K18" s="119">
        <v>288</v>
      </c>
      <c r="L18" s="120">
        <v>35.0625</v>
      </c>
      <c r="M18" s="120">
        <v>5610</v>
      </c>
      <c r="N18" s="93" t="s">
        <v>25</v>
      </c>
      <c r="P18" s="47"/>
      <c r="Q18" s="47" t="s">
        <v>181</v>
      </c>
      <c r="R18" s="47"/>
      <c r="S18" s="47"/>
      <c r="T18" s="47"/>
      <c r="U18" s="47"/>
      <c r="V18" s="47"/>
      <c r="AC18" s="47"/>
      <c r="AD18" s="47"/>
      <c r="AE18" s="47"/>
      <c r="AF18" s="47"/>
      <c r="AG18" s="47"/>
    </row>
    <row r="19" spans="2:33" s="48" customFormat="1" ht="28.5" customHeight="1">
      <c r="B19" s="64">
        <v>10</v>
      </c>
      <c r="C19" s="90" t="s">
        <v>34</v>
      </c>
      <c r="D19" s="91" t="s">
        <v>37</v>
      </c>
      <c r="E19" s="92"/>
      <c r="F19" s="90" t="s">
        <v>27</v>
      </c>
      <c r="G19" s="93" t="s">
        <v>28</v>
      </c>
      <c r="H19" s="11">
        <v>16</v>
      </c>
      <c r="I19" s="11" t="s">
        <v>23</v>
      </c>
      <c r="J19" s="93" t="s">
        <v>24</v>
      </c>
      <c r="K19" s="95">
        <v>175</v>
      </c>
      <c r="L19" s="78">
        <v>35.0625</v>
      </c>
      <c r="M19" s="78">
        <v>561</v>
      </c>
      <c r="N19" s="93" t="s">
        <v>25</v>
      </c>
      <c r="P19" s="47"/>
      <c r="Q19" s="47" t="s">
        <v>180</v>
      </c>
      <c r="R19" s="47"/>
      <c r="S19" s="47"/>
      <c r="T19" s="47"/>
      <c r="U19" s="47"/>
      <c r="V19" s="47"/>
      <c r="AC19" s="47"/>
      <c r="AD19" s="47"/>
      <c r="AE19" s="47"/>
      <c r="AF19" s="47"/>
      <c r="AG19" s="47"/>
    </row>
    <row r="20" spans="2:33" s="48" customFormat="1" ht="28.5" customHeight="1">
      <c r="B20" s="90">
        <v>11</v>
      </c>
      <c r="C20" s="90" t="s">
        <v>34</v>
      </c>
      <c r="D20" s="91" t="s">
        <v>38</v>
      </c>
      <c r="E20" s="92"/>
      <c r="F20" s="90" t="s">
        <v>27</v>
      </c>
      <c r="G20" s="93" t="s">
        <v>28</v>
      </c>
      <c r="H20" s="11">
        <v>64</v>
      </c>
      <c r="I20" s="11" t="s">
        <v>23</v>
      </c>
      <c r="J20" s="93" t="s">
        <v>24</v>
      </c>
      <c r="K20" s="95">
        <v>45</v>
      </c>
      <c r="L20" s="78">
        <v>35.0625</v>
      </c>
      <c r="M20" s="78">
        <v>2244</v>
      </c>
      <c r="N20" s="93" t="s">
        <v>25</v>
      </c>
      <c r="P20" s="47"/>
      <c r="Q20" s="47" t="s">
        <v>181</v>
      </c>
      <c r="R20" s="47"/>
      <c r="S20" s="47"/>
      <c r="T20" s="47"/>
      <c r="U20" s="47"/>
      <c r="V20" s="47"/>
      <c r="AC20" s="47"/>
      <c r="AD20" s="47"/>
      <c r="AE20" s="47"/>
      <c r="AF20" s="47"/>
      <c r="AG20" s="47"/>
    </row>
    <row r="21" spans="2:33" s="48" customFormat="1" ht="28.5" customHeight="1">
      <c r="B21" s="64">
        <v>12</v>
      </c>
      <c r="C21" s="90" t="s">
        <v>39</v>
      </c>
      <c r="D21" s="91" t="s">
        <v>40</v>
      </c>
      <c r="E21" s="114"/>
      <c r="F21" s="90" t="s">
        <v>27</v>
      </c>
      <c r="G21" s="116" t="s">
        <v>28</v>
      </c>
      <c r="H21" s="117">
        <v>53</v>
      </c>
      <c r="I21" s="117" t="s">
        <v>23</v>
      </c>
      <c r="J21" s="121" t="s">
        <v>24</v>
      </c>
      <c r="K21" s="119">
        <v>1654</v>
      </c>
      <c r="L21" s="120">
        <v>49.087500000000006</v>
      </c>
      <c r="M21" s="120">
        <v>2601.6375000000003</v>
      </c>
      <c r="N21" s="93" t="s">
        <v>25</v>
      </c>
      <c r="P21" s="47"/>
      <c r="Q21" s="47" t="s">
        <v>180</v>
      </c>
      <c r="R21" s="47"/>
      <c r="S21" s="47"/>
      <c r="T21" s="47"/>
      <c r="U21" s="47"/>
      <c r="V21" s="47"/>
      <c r="AC21" s="47"/>
      <c r="AD21" s="47"/>
      <c r="AE21" s="47"/>
      <c r="AF21" s="47"/>
      <c r="AG21" s="47"/>
    </row>
    <row r="22" spans="2:33" s="48" customFormat="1" ht="28.5" customHeight="1">
      <c r="B22" s="90">
        <v>13</v>
      </c>
      <c r="C22" s="90" t="s">
        <v>39</v>
      </c>
      <c r="D22" s="91" t="s">
        <v>41</v>
      </c>
      <c r="E22" s="92"/>
      <c r="F22" s="90" t="s">
        <v>27</v>
      </c>
      <c r="G22" s="93" t="s">
        <v>28</v>
      </c>
      <c r="H22" s="11">
        <v>212</v>
      </c>
      <c r="I22" s="11" t="s">
        <v>23</v>
      </c>
      <c r="J22" s="96" t="s">
        <v>24</v>
      </c>
      <c r="K22" s="95">
        <v>466</v>
      </c>
      <c r="L22" s="78">
        <v>49.087500000000006</v>
      </c>
      <c r="M22" s="78">
        <v>10406.550000000001</v>
      </c>
      <c r="N22" s="93" t="s">
        <v>25</v>
      </c>
      <c r="P22" s="47"/>
      <c r="Q22" s="47" t="s">
        <v>181</v>
      </c>
      <c r="R22" s="47"/>
      <c r="S22" s="47"/>
      <c r="T22" s="47"/>
      <c r="U22" s="47"/>
      <c r="V22" s="47"/>
      <c r="AC22" s="47"/>
      <c r="AD22" s="47"/>
      <c r="AE22" s="47"/>
      <c r="AF22" s="47"/>
      <c r="AG22" s="47"/>
    </row>
    <row r="23" spans="2:33" s="48" customFormat="1" ht="28.5" customHeight="1">
      <c r="B23" s="64">
        <v>14</v>
      </c>
      <c r="C23" s="90" t="s">
        <v>42</v>
      </c>
      <c r="D23" s="113" t="s">
        <v>40</v>
      </c>
      <c r="E23" s="114"/>
      <c r="F23" s="90" t="s">
        <v>27</v>
      </c>
      <c r="G23" s="116" t="s">
        <v>28</v>
      </c>
      <c r="H23" s="117">
        <v>53</v>
      </c>
      <c r="I23" s="117" t="s">
        <v>23</v>
      </c>
      <c r="J23" s="121" t="s">
        <v>24</v>
      </c>
      <c r="K23" s="119">
        <v>1654</v>
      </c>
      <c r="L23" s="120">
        <v>49.087500000000006</v>
      </c>
      <c r="M23" s="120">
        <v>2601.6375000000003</v>
      </c>
      <c r="N23" s="93" t="s">
        <v>25</v>
      </c>
      <c r="P23" s="47"/>
      <c r="Q23" s="47" t="s">
        <v>180</v>
      </c>
      <c r="R23" s="47"/>
      <c r="S23" s="47"/>
      <c r="T23" s="47"/>
      <c r="U23" s="47"/>
      <c r="V23" s="47"/>
      <c r="AC23" s="47"/>
      <c r="AD23" s="47"/>
      <c r="AE23" s="47"/>
      <c r="AF23" s="47"/>
      <c r="AG23" s="47"/>
    </row>
    <row r="24" spans="2:33" s="48" customFormat="1" ht="28.5" customHeight="1">
      <c r="B24" s="90">
        <v>15</v>
      </c>
      <c r="C24" s="90" t="s">
        <v>42</v>
      </c>
      <c r="D24" s="91" t="s">
        <v>41</v>
      </c>
      <c r="E24" s="92"/>
      <c r="F24" s="90" t="s">
        <v>27</v>
      </c>
      <c r="G24" s="93" t="s">
        <v>28</v>
      </c>
      <c r="H24" s="11">
        <v>212</v>
      </c>
      <c r="I24" s="11" t="s">
        <v>23</v>
      </c>
      <c r="J24" s="96" t="s">
        <v>24</v>
      </c>
      <c r="K24" s="95">
        <v>466</v>
      </c>
      <c r="L24" s="78">
        <v>49.087500000000006</v>
      </c>
      <c r="M24" s="78">
        <v>10406.550000000001</v>
      </c>
      <c r="N24" s="93" t="s">
        <v>25</v>
      </c>
      <c r="P24" s="47"/>
      <c r="Q24" s="47" t="s">
        <v>181</v>
      </c>
      <c r="R24" s="47"/>
      <c r="S24" s="47"/>
      <c r="T24" s="47"/>
      <c r="U24" s="47"/>
      <c r="V24" s="47"/>
      <c r="AC24" s="47"/>
      <c r="AD24" s="47"/>
      <c r="AE24" s="47"/>
      <c r="AF24" s="47"/>
      <c r="AG24" s="47"/>
    </row>
    <row r="25" spans="2:33" s="48" customFormat="1" ht="28.5" customHeight="1">
      <c r="B25" s="64">
        <v>16</v>
      </c>
      <c r="C25" s="90" t="s">
        <v>43</v>
      </c>
      <c r="D25" s="113" t="s">
        <v>40</v>
      </c>
      <c r="E25" s="114"/>
      <c r="F25" s="90" t="s">
        <v>27</v>
      </c>
      <c r="G25" s="116" t="s">
        <v>28</v>
      </c>
      <c r="H25" s="117">
        <v>54</v>
      </c>
      <c r="I25" s="117" t="s">
        <v>23</v>
      </c>
      <c r="J25" s="121" t="s">
        <v>24</v>
      </c>
      <c r="K25" s="119">
        <v>1685</v>
      </c>
      <c r="L25" s="120">
        <v>49.087500000000006</v>
      </c>
      <c r="M25" s="120">
        <v>2650.7250000000004</v>
      </c>
      <c r="N25" s="93" t="s">
        <v>25</v>
      </c>
      <c r="P25" s="47"/>
      <c r="Q25" s="47" t="s">
        <v>180</v>
      </c>
      <c r="R25" s="47"/>
      <c r="S25" s="47"/>
      <c r="T25" s="47"/>
      <c r="U25" s="47"/>
      <c r="V25" s="47"/>
      <c r="AC25" s="47"/>
      <c r="AD25" s="47"/>
      <c r="AE25" s="47"/>
      <c r="AF25" s="47"/>
      <c r="AG25" s="47"/>
    </row>
    <row r="26" spans="2:33" s="48" customFormat="1" ht="28.5" customHeight="1">
      <c r="B26" s="90">
        <v>17</v>
      </c>
      <c r="C26" s="90" t="s">
        <v>43</v>
      </c>
      <c r="D26" s="91" t="s">
        <v>41</v>
      </c>
      <c r="E26" s="92"/>
      <c r="F26" s="90" t="s">
        <v>27</v>
      </c>
      <c r="G26" s="93" t="s">
        <v>28</v>
      </c>
      <c r="H26" s="11">
        <v>216</v>
      </c>
      <c r="I26" s="11" t="s">
        <v>23</v>
      </c>
      <c r="J26" s="96" t="s">
        <v>24</v>
      </c>
      <c r="K26" s="95">
        <v>475</v>
      </c>
      <c r="L26" s="78">
        <v>49.087500000000006</v>
      </c>
      <c r="M26" s="78">
        <v>10602.900000000001</v>
      </c>
      <c r="N26" s="93" t="s">
        <v>25</v>
      </c>
      <c r="P26" s="47"/>
      <c r="Q26" s="47" t="s">
        <v>181</v>
      </c>
      <c r="R26" s="47"/>
      <c r="S26" s="47"/>
      <c r="T26" s="47"/>
      <c r="U26" s="47"/>
      <c r="V26" s="47"/>
      <c r="AC26" s="47"/>
      <c r="AD26" s="47"/>
      <c r="AE26" s="47"/>
      <c r="AF26" s="47"/>
      <c r="AG26" s="47"/>
    </row>
    <row r="27" spans="2:33" s="48" customFormat="1" ht="28.5" customHeight="1">
      <c r="B27" s="64">
        <v>18</v>
      </c>
      <c r="C27" s="90" t="s">
        <v>44</v>
      </c>
      <c r="D27" s="113" t="s">
        <v>45</v>
      </c>
      <c r="E27" s="114"/>
      <c r="F27" s="90" t="s">
        <v>27</v>
      </c>
      <c r="G27" s="116" t="s">
        <v>28</v>
      </c>
      <c r="H27" s="117">
        <v>72</v>
      </c>
      <c r="I27" s="117" t="s">
        <v>23</v>
      </c>
      <c r="J27" s="121" t="s">
        <v>24</v>
      </c>
      <c r="K27" s="119">
        <v>2029</v>
      </c>
      <c r="L27" s="120">
        <v>39.6666666666666</v>
      </c>
      <c r="M27" s="120">
        <v>2855.9999999999955</v>
      </c>
      <c r="N27" s="93" t="s">
        <v>25</v>
      </c>
      <c r="P27" s="47"/>
      <c r="Q27" s="47" t="s">
        <v>180</v>
      </c>
      <c r="R27" s="47"/>
      <c r="S27" s="47"/>
      <c r="T27" s="47"/>
      <c r="U27" s="47"/>
      <c r="V27" s="47"/>
      <c r="AC27" s="47"/>
      <c r="AD27" s="47"/>
      <c r="AE27" s="47"/>
      <c r="AF27" s="47"/>
      <c r="AG27" s="47"/>
    </row>
    <row r="28" spans="2:33" s="48" customFormat="1" ht="28.5" customHeight="1">
      <c r="B28" s="90">
        <v>19</v>
      </c>
      <c r="C28" s="90" t="s">
        <v>44</v>
      </c>
      <c r="D28" s="91" t="s">
        <v>46</v>
      </c>
      <c r="E28" s="92"/>
      <c r="F28" s="90" t="s">
        <v>27</v>
      </c>
      <c r="G28" s="93" t="s">
        <v>28</v>
      </c>
      <c r="H28" s="11">
        <v>288</v>
      </c>
      <c r="I28" s="11" t="s">
        <v>23</v>
      </c>
      <c r="J28" s="96" t="s">
        <v>24</v>
      </c>
      <c r="K28" s="95">
        <v>347</v>
      </c>
      <c r="L28" s="78">
        <v>39.6666666666666</v>
      </c>
      <c r="M28" s="78">
        <v>11423.999999999982</v>
      </c>
      <c r="N28" s="93" t="s">
        <v>25</v>
      </c>
      <c r="P28" s="47"/>
      <c r="Q28" s="47" t="s">
        <v>181</v>
      </c>
      <c r="R28" s="47"/>
      <c r="S28" s="47"/>
      <c r="T28" s="47"/>
      <c r="U28" s="47"/>
      <c r="V28" s="47"/>
      <c r="AC28" s="47"/>
      <c r="AD28" s="47"/>
      <c r="AE28" s="47"/>
      <c r="AF28" s="47"/>
      <c r="AG28" s="47"/>
    </row>
    <row r="29" spans="2:33" s="48" customFormat="1" ht="28.5" customHeight="1">
      <c r="B29" s="64">
        <v>20</v>
      </c>
      <c r="C29" s="90" t="s">
        <v>47</v>
      </c>
      <c r="D29" s="91" t="s">
        <v>48</v>
      </c>
      <c r="E29" s="92"/>
      <c r="F29" s="90" t="s">
        <v>27</v>
      </c>
      <c r="G29" s="93" t="s">
        <v>28</v>
      </c>
      <c r="H29" s="11">
        <v>40</v>
      </c>
      <c r="I29" s="11" t="s">
        <v>23</v>
      </c>
      <c r="J29" s="94" t="s">
        <v>24</v>
      </c>
      <c r="K29" s="95">
        <v>132</v>
      </c>
      <c r="L29" s="78">
        <v>20</v>
      </c>
      <c r="M29" s="78">
        <v>800</v>
      </c>
      <c r="N29" s="93" t="s">
        <v>25</v>
      </c>
      <c r="P29" s="47"/>
      <c r="Q29" s="47" t="s">
        <v>182</v>
      </c>
      <c r="R29" s="47"/>
      <c r="S29" s="47"/>
      <c r="T29" s="47"/>
      <c r="U29" s="47"/>
      <c r="V29" s="47"/>
      <c r="AC29" s="47"/>
      <c r="AD29" s="47"/>
      <c r="AE29" s="47"/>
      <c r="AF29" s="47"/>
      <c r="AG29" s="47"/>
    </row>
    <row r="30" spans="2:33" s="48" customFormat="1" ht="28.5" customHeight="1">
      <c r="B30" s="90">
        <v>21</v>
      </c>
      <c r="C30" s="90" t="s">
        <v>47</v>
      </c>
      <c r="D30" s="91" t="s">
        <v>49</v>
      </c>
      <c r="E30" s="92"/>
      <c r="F30" s="90" t="s">
        <v>27</v>
      </c>
      <c r="G30" s="93" t="s">
        <v>28</v>
      </c>
      <c r="H30" s="11">
        <v>160</v>
      </c>
      <c r="I30" s="11" t="s">
        <v>23</v>
      </c>
      <c r="J30" s="93" t="s">
        <v>24</v>
      </c>
      <c r="K30" s="95">
        <v>432</v>
      </c>
      <c r="L30" s="78">
        <v>16.345238095238095</v>
      </c>
      <c r="M30" s="78">
        <v>2615.2380952380954</v>
      </c>
      <c r="N30" s="93" t="s">
        <v>25</v>
      </c>
      <c r="P30" s="47"/>
      <c r="Q30" s="47" t="s">
        <v>182</v>
      </c>
      <c r="R30" s="47"/>
      <c r="S30" s="47"/>
      <c r="T30" s="47"/>
      <c r="U30" s="47"/>
      <c r="V30" s="47"/>
      <c r="AC30" s="47"/>
      <c r="AD30" s="47"/>
      <c r="AE30" s="47"/>
      <c r="AF30" s="47"/>
      <c r="AG30" s="47"/>
    </row>
    <row r="31" spans="2:33" s="48" customFormat="1" ht="28.5" customHeight="1">
      <c r="B31" s="64">
        <v>22</v>
      </c>
      <c r="C31" s="90" t="s">
        <v>47</v>
      </c>
      <c r="D31" s="91" t="s">
        <v>50</v>
      </c>
      <c r="E31" s="92"/>
      <c r="F31" s="90" t="s">
        <v>27</v>
      </c>
      <c r="G31" s="93" t="s">
        <v>28</v>
      </c>
      <c r="H31" s="11">
        <v>16</v>
      </c>
      <c r="I31" s="11" t="s">
        <v>23</v>
      </c>
      <c r="J31" s="93" t="s">
        <v>24</v>
      </c>
      <c r="K31" s="95">
        <v>19</v>
      </c>
      <c r="L31" s="78">
        <v>7.1904761904761907</v>
      </c>
      <c r="M31" s="78">
        <v>115.04761904761905</v>
      </c>
      <c r="N31" s="93" t="s">
        <v>25</v>
      </c>
      <c r="P31" s="47"/>
      <c r="Q31" s="47" t="s">
        <v>182</v>
      </c>
      <c r="R31" s="47"/>
      <c r="S31" s="47"/>
      <c r="T31" s="47"/>
      <c r="U31" s="47"/>
      <c r="V31" s="47"/>
      <c r="AC31" s="47"/>
      <c r="AD31" s="47"/>
      <c r="AE31" s="47"/>
      <c r="AF31" s="47"/>
      <c r="AG31" s="47"/>
    </row>
    <row r="32" spans="2:33" s="48" customFormat="1" ht="28.5" customHeight="1">
      <c r="B32" s="90">
        <v>23</v>
      </c>
      <c r="C32" s="90" t="s">
        <v>47</v>
      </c>
      <c r="D32" s="97" t="s">
        <v>51</v>
      </c>
      <c r="E32" s="92"/>
      <c r="F32" s="90" t="s">
        <v>27</v>
      </c>
      <c r="G32" s="93" t="s">
        <v>28</v>
      </c>
      <c r="H32" s="11">
        <v>72</v>
      </c>
      <c r="I32" s="11" t="s">
        <v>23</v>
      </c>
      <c r="J32" s="93" t="s">
        <v>24</v>
      </c>
      <c r="K32" s="98">
        <v>129</v>
      </c>
      <c r="L32" s="78">
        <v>10.857142857142858</v>
      </c>
      <c r="M32" s="78">
        <v>781.71428571428578</v>
      </c>
      <c r="N32" s="93" t="s">
        <v>25</v>
      </c>
      <c r="P32" s="47"/>
      <c r="Q32" s="47" t="s">
        <v>182</v>
      </c>
      <c r="R32" s="47"/>
      <c r="S32" s="47"/>
      <c r="T32" s="47"/>
      <c r="U32" s="47"/>
      <c r="V32" s="47"/>
      <c r="AC32" s="47"/>
      <c r="AD32" s="47"/>
      <c r="AE32" s="47"/>
      <c r="AF32" s="47"/>
      <c r="AG32" s="47"/>
    </row>
    <row r="33" spans="2:33" s="48" customFormat="1" ht="28.5" customHeight="1">
      <c r="B33" s="64">
        <v>24</v>
      </c>
      <c r="C33" s="90" t="s">
        <v>47</v>
      </c>
      <c r="D33" s="91" t="s">
        <v>52</v>
      </c>
      <c r="E33" s="92"/>
      <c r="F33" s="90" t="s">
        <v>27</v>
      </c>
      <c r="G33" s="93" t="s">
        <v>28</v>
      </c>
      <c r="H33" s="11">
        <v>40</v>
      </c>
      <c r="I33" s="11" t="s">
        <v>23</v>
      </c>
      <c r="J33" s="93" t="s">
        <v>24</v>
      </c>
      <c r="K33" s="98">
        <v>108</v>
      </c>
      <c r="L33" s="78">
        <v>16.37</v>
      </c>
      <c r="M33" s="78">
        <v>654.80000000000007</v>
      </c>
      <c r="N33" s="93" t="s">
        <v>25</v>
      </c>
      <c r="P33" s="47"/>
      <c r="Q33" s="47" t="s">
        <v>182</v>
      </c>
      <c r="R33" s="47"/>
      <c r="S33" s="47"/>
      <c r="T33" s="47"/>
      <c r="U33" s="47"/>
      <c r="V33" s="47"/>
      <c r="AC33" s="47"/>
      <c r="AD33" s="47"/>
      <c r="AE33" s="47"/>
      <c r="AF33" s="47"/>
      <c r="AG33" s="47"/>
    </row>
    <row r="34" spans="2:33" s="48" customFormat="1" ht="28.5" customHeight="1">
      <c r="B34" s="90">
        <v>25</v>
      </c>
      <c r="C34" s="90" t="s">
        <v>47</v>
      </c>
      <c r="D34" s="91" t="s">
        <v>52</v>
      </c>
      <c r="E34" s="92"/>
      <c r="F34" s="90" t="s">
        <v>27</v>
      </c>
      <c r="G34" s="93" t="s">
        <v>28</v>
      </c>
      <c r="H34" s="11">
        <v>160</v>
      </c>
      <c r="I34" s="11" t="s">
        <v>23</v>
      </c>
      <c r="J34" s="93" t="s">
        <v>24</v>
      </c>
      <c r="K34" s="98">
        <v>432</v>
      </c>
      <c r="L34" s="78">
        <v>16.37</v>
      </c>
      <c r="M34" s="78">
        <v>2619.2000000000003</v>
      </c>
      <c r="N34" s="93" t="s">
        <v>25</v>
      </c>
      <c r="P34" s="47"/>
      <c r="Q34" s="47" t="s">
        <v>182</v>
      </c>
      <c r="R34" s="47"/>
      <c r="S34" s="47"/>
      <c r="T34" s="47"/>
      <c r="U34" s="47"/>
      <c r="V34" s="47"/>
      <c r="AC34" s="47"/>
      <c r="AD34" s="47"/>
      <c r="AE34" s="47"/>
      <c r="AF34" s="47"/>
      <c r="AG34" s="47"/>
    </row>
    <row r="35" spans="2:33" s="48" customFormat="1" ht="28.5" customHeight="1">
      <c r="B35" s="64">
        <v>26</v>
      </c>
      <c r="C35" s="90" t="s">
        <v>47</v>
      </c>
      <c r="D35" s="91" t="s">
        <v>53</v>
      </c>
      <c r="E35" s="92"/>
      <c r="F35" s="90" t="s">
        <v>27</v>
      </c>
      <c r="G35" s="93" t="s">
        <v>28</v>
      </c>
      <c r="H35" s="11">
        <v>16</v>
      </c>
      <c r="I35" s="11" t="s">
        <v>23</v>
      </c>
      <c r="J35" s="93" t="s">
        <v>24</v>
      </c>
      <c r="K35" s="98">
        <v>14</v>
      </c>
      <c r="L35" s="78">
        <v>5.25</v>
      </c>
      <c r="M35" s="78">
        <v>84</v>
      </c>
      <c r="N35" s="93" t="s">
        <v>25</v>
      </c>
      <c r="P35" s="47"/>
      <c r="Q35" s="47" t="s">
        <v>182</v>
      </c>
      <c r="R35" s="47"/>
      <c r="S35" s="47"/>
      <c r="T35" s="47"/>
      <c r="U35" s="47"/>
      <c r="V35" s="47"/>
      <c r="AC35" s="47"/>
      <c r="AD35" s="47"/>
      <c r="AE35" s="47"/>
      <c r="AF35" s="47"/>
      <c r="AG35" s="47"/>
    </row>
    <row r="36" spans="2:33" s="48" customFormat="1" ht="28.5" customHeight="1">
      <c r="B36" s="90">
        <v>27</v>
      </c>
      <c r="C36" s="90" t="s">
        <v>47</v>
      </c>
      <c r="D36" s="91" t="s">
        <v>54</v>
      </c>
      <c r="E36" s="92"/>
      <c r="F36" s="90" t="s">
        <v>27</v>
      </c>
      <c r="G36" s="93" t="s">
        <v>28</v>
      </c>
      <c r="H36" s="11">
        <v>72</v>
      </c>
      <c r="I36" s="11" t="s">
        <v>23</v>
      </c>
      <c r="J36" s="93" t="s">
        <v>24</v>
      </c>
      <c r="K36" s="98">
        <v>129</v>
      </c>
      <c r="L36" s="78">
        <v>10.881944444444445</v>
      </c>
      <c r="M36" s="78">
        <v>783.5</v>
      </c>
      <c r="N36" s="93" t="s">
        <v>25</v>
      </c>
      <c r="P36" s="47"/>
      <c r="Q36" s="47" t="s">
        <v>182</v>
      </c>
      <c r="R36" s="47"/>
      <c r="S36" s="47"/>
      <c r="T36" s="47"/>
      <c r="U36" s="47"/>
      <c r="V36" s="47"/>
      <c r="AC36" s="47"/>
      <c r="AD36" s="47"/>
      <c r="AE36" s="47"/>
      <c r="AF36" s="47"/>
      <c r="AG36" s="47"/>
    </row>
    <row r="37" spans="2:33" s="48" customFormat="1" ht="28.5" customHeight="1">
      <c r="B37" s="64">
        <v>28</v>
      </c>
      <c r="C37" s="90" t="s">
        <v>47</v>
      </c>
      <c r="D37" s="91" t="s">
        <v>55</v>
      </c>
      <c r="E37" s="92"/>
      <c r="F37" s="90" t="s">
        <v>27</v>
      </c>
      <c r="G37" s="93" t="s">
        <v>28</v>
      </c>
      <c r="H37" s="11">
        <v>40</v>
      </c>
      <c r="I37" s="11" t="s">
        <v>23</v>
      </c>
      <c r="J37" s="93" t="s">
        <v>24</v>
      </c>
      <c r="K37" s="98">
        <v>32</v>
      </c>
      <c r="L37" s="78">
        <v>4.8287037037037033</v>
      </c>
      <c r="M37" s="78">
        <v>193.14814814814812</v>
      </c>
      <c r="N37" s="93" t="s">
        <v>25</v>
      </c>
      <c r="P37" s="47"/>
      <c r="Q37" s="47" t="s">
        <v>182</v>
      </c>
      <c r="R37" s="47"/>
      <c r="S37" s="47"/>
      <c r="T37" s="47"/>
      <c r="U37" s="47"/>
      <c r="V37" s="47"/>
      <c r="AC37" s="47"/>
      <c r="AD37" s="47"/>
      <c r="AE37" s="47"/>
      <c r="AF37" s="47"/>
      <c r="AG37" s="47"/>
    </row>
    <row r="38" spans="2:33" s="48" customFormat="1" ht="28.5" customHeight="1">
      <c r="B38" s="90">
        <v>29</v>
      </c>
      <c r="C38" s="90" t="s">
        <v>47</v>
      </c>
      <c r="D38" s="91" t="s">
        <v>55</v>
      </c>
      <c r="E38" s="92"/>
      <c r="F38" s="90" t="s">
        <v>27</v>
      </c>
      <c r="G38" s="93" t="s">
        <v>28</v>
      </c>
      <c r="H38" s="11">
        <v>160</v>
      </c>
      <c r="I38" s="11" t="s">
        <v>23</v>
      </c>
      <c r="J38" s="93" t="s">
        <v>24</v>
      </c>
      <c r="K38" s="98">
        <v>128</v>
      </c>
      <c r="L38" s="78">
        <v>4.8287037037037033</v>
      </c>
      <c r="M38" s="78">
        <v>772.5925925925925</v>
      </c>
      <c r="N38" s="93" t="s">
        <v>25</v>
      </c>
      <c r="P38" s="47"/>
      <c r="Q38" s="47" t="s">
        <v>182</v>
      </c>
      <c r="R38" s="47"/>
      <c r="S38" s="47"/>
      <c r="T38" s="47"/>
      <c r="U38" s="47"/>
      <c r="V38" s="47"/>
      <c r="AC38" s="47"/>
      <c r="AD38" s="47"/>
      <c r="AE38" s="47"/>
      <c r="AF38" s="47"/>
      <c r="AG38" s="47"/>
    </row>
    <row r="39" spans="2:33" s="48" customFormat="1" ht="28.5" customHeight="1">
      <c r="B39" s="64">
        <v>30</v>
      </c>
      <c r="C39" s="90" t="s">
        <v>47</v>
      </c>
      <c r="D39" s="97" t="s">
        <v>55</v>
      </c>
      <c r="E39" s="92"/>
      <c r="F39" s="90" t="s">
        <v>27</v>
      </c>
      <c r="G39" s="93" t="s">
        <v>28</v>
      </c>
      <c r="H39" s="11">
        <v>16</v>
      </c>
      <c r="I39" s="11" t="s">
        <v>23</v>
      </c>
      <c r="J39" s="93" t="s">
        <v>24</v>
      </c>
      <c r="K39" s="98">
        <v>12</v>
      </c>
      <c r="L39" s="78">
        <v>4.8287037037037033</v>
      </c>
      <c r="M39" s="78">
        <v>77.259259259259252</v>
      </c>
      <c r="N39" s="93" t="s">
        <v>25</v>
      </c>
      <c r="P39" s="47"/>
      <c r="Q39" s="47" t="s">
        <v>182</v>
      </c>
      <c r="R39" s="47"/>
      <c r="S39" s="47"/>
      <c r="T39" s="47"/>
      <c r="U39" s="47"/>
      <c r="V39" s="47"/>
      <c r="AC39" s="47"/>
      <c r="AD39" s="47"/>
      <c r="AE39" s="47"/>
      <c r="AF39" s="47"/>
      <c r="AG39" s="47"/>
    </row>
    <row r="40" spans="2:33" s="48" customFormat="1" ht="28.5" customHeight="1">
      <c r="B40" s="90">
        <v>31</v>
      </c>
      <c r="C40" s="90" t="s">
        <v>56</v>
      </c>
      <c r="D40" s="131" t="s">
        <v>57</v>
      </c>
      <c r="E40" s="92"/>
      <c r="F40" s="90" t="s">
        <v>27</v>
      </c>
      <c r="G40" s="93" t="s">
        <v>28</v>
      </c>
      <c r="H40" s="11">
        <v>40</v>
      </c>
      <c r="I40" s="11" t="s">
        <v>23</v>
      </c>
      <c r="J40" s="94" t="s">
        <v>24</v>
      </c>
      <c r="K40" s="98">
        <v>476</v>
      </c>
      <c r="L40" s="78">
        <v>68.75</v>
      </c>
      <c r="M40" s="78">
        <v>2750</v>
      </c>
      <c r="N40" s="93" t="s">
        <v>25</v>
      </c>
      <c r="P40" s="47"/>
      <c r="Q40" s="88" t="s">
        <v>179</v>
      </c>
      <c r="R40" s="47"/>
      <c r="S40" s="47"/>
      <c r="T40" s="47"/>
      <c r="U40" s="47"/>
      <c r="V40" s="47"/>
      <c r="AC40" s="47"/>
      <c r="AD40" s="47"/>
      <c r="AE40" s="47"/>
      <c r="AF40" s="47"/>
      <c r="AG40" s="47"/>
    </row>
    <row r="41" spans="2:33" s="48" customFormat="1" ht="28.5" customHeight="1">
      <c r="B41" s="64">
        <v>32</v>
      </c>
      <c r="C41" s="90" t="s">
        <v>56</v>
      </c>
      <c r="D41" s="131" t="s">
        <v>58</v>
      </c>
      <c r="E41" s="92"/>
      <c r="F41" s="90" t="s">
        <v>27</v>
      </c>
      <c r="G41" s="93" t="s">
        <v>28</v>
      </c>
      <c r="H41" s="11">
        <v>160</v>
      </c>
      <c r="I41" s="11" t="s">
        <v>23</v>
      </c>
      <c r="J41" s="93" t="s">
        <v>24</v>
      </c>
      <c r="K41" s="98">
        <v>2048</v>
      </c>
      <c r="L41" s="78">
        <v>73.19</v>
      </c>
      <c r="M41" s="78">
        <v>11710.5</v>
      </c>
      <c r="N41" s="93" t="s">
        <v>25</v>
      </c>
      <c r="P41" s="47"/>
      <c r="Q41" s="88" t="s">
        <v>179</v>
      </c>
      <c r="R41" s="47"/>
      <c r="S41" s="47"/>
      <c r="T41" s="47"/>
      <c r="U41" s="47"/>
      <c r="V41" s="47"/>
      <c r="AC41" s="47"/>
      <c r="AD41" s="47"/>
      <c r="AE41" s="47"/>
      <c r="AF41" s="47"/>
      <c r="AG41" s="47"/>
    </row>
    <row r="42" spans="2:33" s="48" customFormat="1" ht="28.5" customHeight="1">
      <c r="B42" s="90">
        <v>33</v>
      </c>
      <c r="C42" s="90" t="s">
        <v>56</v>
      </c>
      <c r="D42" s="131" t="s">
        <v>59</v>
      </c>
      <c r="E42" s="92"/>
      <c r="F42" s="90" t="s">
        <v>27</v>
      </c>
      <c r="G42" s="93" t="s">
        <v>28</v>
      </c>
      <c r="H42" s="11">
        <v>16</v>
      </c>
      <c r="I42" s="11" t="s">
        <v>23</v>
      </c>
      <c r="J42" s="93" t="s">
        <v>24</v>
      </c>
      <c r="K42" s="98">
        <v>116</v>
      </c>
      <c r="L42" s="78">
        <v>44.5</v>
      </c>
      <c r="M42" s="78">
        <v>712</v>
      </c>
      <c r="N42" s="93" t="s">
        <v>25</v>
      </c>
      <c r="P42" s="47"/>
      <c r="Q42" s="88" t="s">
        <v>179</v>
      </c>
      <c r="R42" s="47"/>
      <c r="S42" s="47"/>
      <c r="T42" s="47"/>
      <c r="U42" s="47"/>
      <c r="V42" s="47"/>
      <c r="AC42" s="47"/>
      <c r="AD42" s="47"/>
      <c r="AE42" s="47"/>
      <c r="AF42" s="47"/>
      <c r="AG42" s="47"/>
    </row>
    <row r="43" spans="2:33" s="48" customFormat="1" ht="28.5" customHeight="1">
      <c r="B43" s="64">
        <v>34</v>
      </c>
      <c r="C43" s="64" t="s">
        <v>60</v>
      </c>
      <c r="D43" s="73" t="s">
        <v>61</v>
      </c>
      <c r="E43" s="74"/>
      <c r="F43" s="64" t="s">
        <v>27</v>
      </c>
      <c r="G43" s="66" t="s">
        <v>28</v>
      </c>
      <c r="H43" s="62">
        <v>8</v>
      </c>
      <c r="I43" s="62" t="s">
        <v>23</v>
      </c>
      <c r="J43" s="76" t="s">
        <v>24</v>
      </c>
      <c r="K43" s="86">
        <v>14</v>
      </c>
      <c r="L43" s="78">
        <v>15.4375</v>
      </c>
      <c r="M43" s="78">
        <v>123.5</v>
      </c>
      <c r="N43" s="93" t="s">
        <v>25</v>
      </c>
      <c r="P43" s="47"/>
      <c r="Q43" s="47" t="s">
        <v>181</v>
      </c>
      <c r="R43" s="47"/>
      <c r="S43" s="47"/>
      <c r="T43" s="47"/>
      <c r="U43" s="47"/>
      <c r="V43" s="47"/>
      <c r="AC43" s="47"/>
      <c r="AD43" s="47"/>
      <c r="AE43" s="47"/>
      <c r="AF43" s="47"/>
      <c r="AG43" s="47"/>
    </row>
    <row r="44" spans="2:33" s="48" customFormat="1" ht="28.5" customHeight="1">
      <c r="B44" s="90">
        <v>35</v>
      </c>
      <c r="C44" s="64" t="s">
        <v>60</v>
      </c>
      <c r="D44" s="73" t="s">
        <v>62</v>
      </c>
      <c r="E44" s="74"/>
      <c r="F44" s="64" t="s">
        <v>27</v>
      </c>
      <c r="G44" s="66" t="s">
        <v>28</v>
      </c>
      <c r="H44" s="62">
        <v>32</v>
      </c>
      <c r="I44" s="62" t="s">
        <v>23</v>
      </c>
      <c r="J44" s="66" t="s">
        <v>24</v>
      </c>
      <c r="K44" s="86">
        <v>70</v>
      </c>
      <c r="L44" s="78">
        <v>18.9375</v>
      </c>
      <c r="M44" s="78">
        <v>606</v>
      </c>
      <c r="N44" s="93" t="s">
        <v>25</v>
      </c>
      <c r="P44" s="47"/>
      <c r="Q44" s="47" t="s">
        <v>181</v>
      </c>
      <c r="R44" s="47"/>
      <c r="S44" s="47"/>
      <c r="T44" s="47"/>
      <c r="U44" s="47"/>
      <c r="V44" s="47"/>
      <c r="AC44" s="47"/>
      <c r="AD44" s="47"/>
      <c r="AE44" s="47"/>
      <c r="AF44" s="47"/>
      <c r="AG44" s="47"/>
    </row>
    <row r="45" spans="2:33" s="48" customFormat="1" ht="28.5" customHeight="1">
      <c r="B45" s="64">
        <v>36</v>
      </c>
      <c r="C45" s="64" t="s">
        <v>60</v>
      </c>
      <c r="D45" s="73" t="s">
        <v>38</v>
      </c>
      <c r="E45" s="74"/>
      <c r="F45" s="64" t="s">
        <v>27</v>
      </c>
      <c r="G45" s="66" t="s">
        <v>28</v>
      </c>
      <c r="H45" s="62">
        <v>5</v>
      </c>
      <c r="I45" s="62" t="s">
        <v>23</v>
      </c>
      <c r="J45" s="66" t="s">
        <v>24</v>
      </c>
      <c r="K45" s="86">
        <v>3</v>
      </c>
      <c r="L45" s="78">
        <v>5</v>
      </c>
      <c r="M45" s="78">
        <v>25</v>
      </c>
      <c r="N45" s="93" t="s">
        <v>25</v>
      </c>
      <c r="P45" s="47"/>
      <c r="Q45" s="47" t="s">
        <v>181</v>
      </c>
      <c r="R45" s="47"/>
      <c r="S45" s="47"/>
      <c r="T45" s="47"/>
      <c r="U45" s="47"/>
      <c r="V45" s="47"/>
      <c r="AC45" s="47"/>
      <c r="AD45" s="47"/>
      <c r="AE45" s="47"/>
      <c r="AF45" s="47"/>
      <c r="AG45" s="47"/>
    </row>
    <row r="46" spans="2:33" s="48" customFormat="1" ht="28.5" customHeight="1">
      <c r="B46" s="90">
        <v>37</v>
      </c>
      <c r="C46" s="64" t="s">
        <v>60</v>
      </c>
      <c r="D46" s="73" t="s">
        <v>63</v>
      </c>
      <c r="E46" s="74"/>
      <c r="F46" s="64" t="s">
        <v>27</v>
      </c>
      <c r="G46" s="66" t="s">
        <v>28</v>
      </c>
      <c r="H46" s="62">
        <v>14</v>
      </c>
      <c r="I46" s="62" t="s">
        <v>23</v>
      </c>
      <c r="J46" s="66" t="s">
        <v>24</v>
      </c>
      <c r="K46" s="86">
        <v>16</v>
      </c>
      <c r="L46" s="78">
        <v>9.8571428571428577</v>
      </c>
      <c r="M46" s="78">
        <v>138</v>
      </c>
      <c r="N46" s="93" t="s">
        <v>25</v>
      </c>
      <c r="P46" s="47"/>
      <c r="Q46" s="47" t="s">
        <v>181</v>
      </c>
      <c r="R46" s="47"/>
      <c r="S46" s="47"/>
      <c r="T46" s="47"/>
      <c r="U46" s="47"/>
      <c r="V46" s="47"/>
      <c r="AC46" s="47"/>
      <c r="AD46" s="47"/>
      <c r="AE46" s="47"/>
      <c r="AF46" s="47"/>
      <c r="AG46" s="47"/>
    </row>
    <row r="47" spans="2:33" s="48" customFormat="1" ht="28.5" customHeight="1">
      <c r="B47" s="64">
        <v>38</v>
      </c>
      <c r="C47" s="64" t="s">
        <v>60</v>
      </c>
      <c r="D47" s="73" t="s">
        <v>48</v>
      </c>
      <c r="E47" s="74"/>
      <c r="F47" s="64" t="s">
        <v>27</v>
      </c>
      <c r="G47" s="66" t="s">
        <v>28</v>
      </c>
      <c r="H47" s="62">
        <v>5</v>
      </c>
      <c r="I47" s="62" t="s">
        <v>23</v>
      </c>
      <c r="J47" s="66" t="s">
        <v>24</v>
      </c>
      <c r="K47" s="86">
        <v>16</v>
      </c>
      <c r="L47" s="78">
        <v>20</v>
      </c>
      <c r="M47" s="78">
        <v>100</v>
      </c>
      <c r="N47" s="93" t="s">
        <v>25</v>
      </c>
      <c r="P47" s="47"/>
      <c r="Q47" s="47" t="s">
        <v>182</v>
      </c>
      <c r="R47" s="47"/>
      <c r="S47" s="47"/>
      <c r="T47" s="47"/>
      <c r="U47" s="47"/>
      <c r="V47" s="47"/>
      <c r="AC47" s="47"/>
      <c r="AD47" s="47"/>
      <c r="AE47" s="47"/>
      <c r="AF47" s="47"/>
      <c r="AG47" s="47"/>
    </row>
    <row r="48" spans="2:33" s="48" customFormat="1" ht="28.5" customHeight="1">
      <c r="B48" s="90">
        <v>39</v>
      </c>
      <c r="C48" s="64" t="s">
        <v>60</v>
      </c>
      <c r="D48" s="73" t="s">
        <v>49</v>
      </c>
      <c r="E48" s="74"/>
      <c r="F48" s="64" t="s">
        <v>27</v>
      </c>
      <c r="G48" s="66" t="s">
        <v>28</v>
      </c>
      <c r="H48" s="62">
        <v>8</v>
      </c>
      <c r="I48" s="62" t="s">
        <v>23</v>
      </c>
      <c r="J48" s="66" t="s">
        <v>24</v>
      </c>
      <c r="K48" s="86">
        <v>21</v>
      </c>
      <c r="L48" s="78">
        <v>16.345238095238095</v>
      </c>
      <c r="M48" s="78">
        <v>130.76190476190476</v>
      </c>
      <c r="N48" s="93" t="s">
        <v>25</v>
      </c>
      <c r="P48" s="47"/>
      <c r="Q48" s="47" t="s">
        <v>182</v>
      </c>
      <c r="R48" s="47"/>
      <c r="S48" s="47"/>
      <c r="T48" s="47"/>
      <c r="U48" s="47"/>
      <c r="V48" s="47"/>
      <c r="AC48" s="47"/>
      <c r="AD48" s="47"/>
      <c r="AE48" s="47"/>
      <c r="AF48" s="47"/>
      <c r="AG48" s="47"/>
    </row>
    <row r="49" spans="2:33" s="48" customFormat="1" ht="28.5" customHeight="1">
      <c r="B49" s="64">
        <v>40</v>
      </c>
      <c r="C49" s="64" t="s">
        <v>60</v>
      </c>
      <c r="D49" s="73" t="s">
        <v>50</v>
      </c>
      <c r="E49" s="74"/>
      <c r="F49" s="64" t="s">
        <v>27</v>
      </c>
      <c r="G49" s="66" t="s">
        <v>28</v>
      </c>
      <c r="H49" s="62">
        <v>5</v>
      </c>
      <c r="I49" s="62" t="s">
        <v>23</v>
      </c>
      <c r="J49" s="66" t="s">
        <v>24</v>
      </c>
      <c r="K49" s="86">
        <v>6</v>
      </c>
      <c r="L49" s="78">
        <v>7.1904761904761907</v>
      </c>
      <c r="M49" s="78">
        <v>35.952380952380956</v>
      </c>
      <c r="N49" s="93" t="s">
        <v>25</v>
      </c>
      <c r="P49" s="47"/>
      <c r="Q49" s="47" t="s">
        <v>182</v>
      </c>
      <c r="R49" s="47"/>
      <c r="S49" s="47"/>
      <c r="T49" s="47"/>
      <c r="U49" s="47"/>
      <c r="V49" s="47"/>
      <c r="AC49" s="47"/>
      <c r="AD49" s="47"/>
      <c r="AE49" s="47"/>
      <c r="AF49" s="47"/>
      <c r="AG49" s="47"/>
    </row>
    <row r="50" spans="2:33" s="48" customFormat="1" ht="28.5" customHeight="1">
      <c r="B50" s="90">
        <v>41</v>
      </c>
      <c r="C50" s="64" t="s">
        <v>60</v>
      </c>
      <c r="D50" s="73" t="s">
        <v>51</v>
      </c>
      <c r="E50" s="74"/>
      <c r="F50" s="64" t="s">
        <v>27</v>
      </c>
      <c r="G50" s="66" t="s">
        <v>28</v>
      </c>
      <c r="H50" s="62">
        <v>5</v>
      </c>
      <c r="I50" s="62" t="s">
        <v>23</v>
      </c>
      <c r="J50" s="66" t="s">
        <v>24</v>
      </c>
      <c r="K50" s="86">
        <v>9</v>
      </c>
      <c r="L50" s="78">
        <v>10.857142857142858</v>
      </c>
      <c r="M50" s="78">
        <v>54.285714285714292</v>
      </c>
      <c r="N50" s="93" t="s">
        <v>25</v>
      </c>
      <c r="P50" s="47"/>
      <c r="Q50" s="47" t="s">
        <v>182</v>
      </c>
      <c r="R50" s="47"/>
      <c r="S50" s="47"/>
      <c r="T50" s="47"/>
      <c r="U50" s="47"/>
      <c r="V50" s="47"/>
      <c r="AC50" s="47"/>
      <c r="AD50" s="47"/>
      <c r="AE50" s="47"/>
      <c r="AF50" s="47"/>
      <c r="AG50" s="47"/>
    </row>
    <row r="51" spans="2:33" s="6" customFormat="1" ht="23.25" customHeight="1">
      <c r="B51" s="135" t="s">
        <v>64</v>
      </c>
      <c r="C51" s="135"/>
      <c r="D51" s="135"/>
      <c r="E51" s="135"/>
      <c r="F51" s="135"/>
      <c r="G51" s="135"/>
      <c r="H51" s="135"/>
      <c r="I51" s="135"/>
      <c r="J51" s="81"/>
      <c r="K51" s="49"/>
      <c r="L51" s="82"/>
      <c r="M51" s="112">
        <v>104999.99999999997</v>
      </c>
      <c r="N51" s="81"/>
      <c r="O51" s="41"/>
      <c r="P51" s="10"/>
      <c r="Q51" s="10"/>
      <c r="R51" s="10"/>
      <c r="S51" s="10"/>
      <c r="T51" s="10"/>
      <c r="U51" s="10"/>
      <c r="V51" s="10"/>
      <c r="AC51" s="10"/>
      <c r="AD51" s="10"/>
      <c r="AE51" s="10"/>
      <c r="AF51" s="10"/>
      <c r="AG51" s="10"/>
    </row>
  </sheetData>
  <mergeCells count="18">
    <mergeCell ref="B1:N1"/>
    <mergeCell ref="C3:J3"/>
    <mergeCell ref="B4:N4"/>
    <mergeCell ref="B6:C6"/>
    <mergeCell ref="F6:H6"/>
    <mergeCell ref="J6:L6"/>
    <mergeCell ref="B51:I51"/>
    <mergeCell ref="B8:B9"/>
    <mergeCell ref="C8:C9"/>
    <mergeCell ref="D8:E9"/>
    <mergeCell ref="F8:F9"/>
    <mergeCell ref="G8:G9"/>
    <mergeCell ref="H8:I8"/>
    <mergeCell ref="J8:J9"/>
    <mergeCell ref="K8:K9"/>
    <mergeCell ref="L8:L9"/>
    <mergeCell ref="M8:M9"/>
    <mergeCell ref="N8:N9"/>
  </mergeCells>
  <phoneticPr fontId="20" type="noConversion"/>
  <conditionalFormatting sqref="D6">
    <cfRule type="duplicateValues" dxfId="0" priority="1"/>
  </conditionalFormatting>
  <printOptions horizontalCentered="1"/>
  <pageMargins left="0.23622047244094491" right="0.23622047244094491" top="0.47244094488188981" bottom="0.51181102362204722" header="0.31496062992125984" footer="0.31496062992125984"/>
  <pageSetup paperSize="9" scale="88" fitToHeight="0" orientation="landscape" r:id="rId1"/>
  <headerFooter alignWithMargins="0">
    <oddFooter xml:space="preserve">&amp;C&amp;P/&amp;N&amp;R_x000D_&amp;1#&amp;"Aptos"&amp;8&amp;K000000 중요비(Confidential): sanghyuk4.lee@doosan.com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T34"/>
  <sheetViews>
    <sheetView showGridLines="0" view="pageBreakPreview" topLeftCell="A8" zoomScale="80" zoomScaleNormal="100" zoomScaleSheetLayoutView="80" workbookViewId="0">
      <selection activeCell="O8" sqref="O8"/>
    </sheetView>
  </sheetViews>
  <sheetFormatPr defaultColWidth="8.76953125" defaultRowHeight="18" customHeight="1"/>
  <cols>
    <col min="1" max="1" width="1.05078125" style="13" customWidth="1"/>
    <col min="2" max="2" width="3.625" style="5" customWidth="1"/>
    <col min="3" max="3" width="22.3359375" style="4" customWidth="1"/>
    <col min="4" max="4" width="54.14453125" style="27" customWidth="1"/>
    <col min="5" max="5" width="9.703125" style="2" customWidth="1"/>
    <col min="6" max="6" width="5.26171875" style="25" customWidth="1"/>
    <col min="7" max="7" width="5.26171875" style="2" customWidth="1"/>
    <col min="8" max="8" width="8.30078125" style="2" customWidth="1"/>
    <col min="9" max="12" width="7.25" style="2" customWidth="1"/>
    <col min="13" max="14" width="11.109375" style="2" bestFit="1" customWidth="1"/>
    <col min="15" max="15" width="9.9375" style="2" customWidth="1"/>
    <col min="16" max="18" width="8.30078125" style="2" customWidth="1"/>
    <col min="19" max="19" width="12.39453125" style="5" customWidth="1"/>
    <col min="20" max="20" width="7.6015625" style="28" customWidth="1"/>
    <col min="21" max="21" width="7.25" style="13" customWidth="1"/>
    <col min="22" max="16384" width="8.76953125" style="13"/>
  </cols>
  <sheetData>
    <row r="1" spans="2:20" ht="9" customHeight="1">
      <c r="B1" s="59"/>
      <c r="C1" s="2"/>
      <c r="D1" s="2"/>
      <c r="F1" s="2"/>
      <c r="H1" s="1"/>
      <c r="I1" s="1"/>
      <c r="J1" s="1"/>
      <c r="K1" s="57"/>
      <c r="L1" s="14"/>
      <c r="M1" s="59"/>
      <c r="N1" s="59"/>
      <c r="O1" s="59"/>
      <c r="P1" s="59"/>
      <c r="Q1" s="59"/>
      <c r="R1" s="59"/>
      <c r="S1" s="59"/>
      <c r="T1" s="59"/>
    </row>
    <row r="2" spans="2:20" ht="26.1" customHeight="1">
      <c r="B2" s="60"/>
      <c r="C2" s="2"/>
      <c r="D2" s="2"/>
      <c r="F2" s="2"/>
      <c r="H2" s="1"/>
      <c r="I2" s="1"/>
      <c r="J2" s="1"/>
      <c r="K2" s="57"/>
      <c r="L2" s="14"/>
      <c r="M2" s="60"/>
      <c r="N2" s="60"/>
      <c r="O2" s="60"/>
      <c r="P2" s="60"/>
      <c r="Q2" s="60"/>
      <c r="R2" s="60"/>
      <c r="S2" s="60"/>
      <c r="T2" s="60"/>
    </row>
    <row r="3" spans="2:20" ht="27.6" customHeight="1" thickBot="1">
      <c r="B3" s="60"/>
      <c r="C3" s="155" t="s">
        <v>66</v>
      </c>
      <c r="D3" s="155"/>
      <c r="E3" s="155"/>
      <c r="F3" s="155"/>
      <c r="G3" s="155"/>
      <c r="H3" s="155"/>
      <c r="I3" s="155"/>
      <c r="J3" s="1"/>
      <c r="K3" s="57"/>
      <c r="L3" s="14"/>
      <c r="M3" s="15"/>
      <c r="N3" s="60"/>
      <c r="O3" s="60"/>
      <c r="P3" s="60"/>
      <c r="Q3" s="60"/>
      <c r="R3" s="60"/>
      <c r="S3" s="60"/>
      <c r="T3" s="60"/>
    </row>
    <row r="4" spans="2:20" ht="33.75" customHeight="1" thickTop="1" thickBot="1">
      <c r="B4" s="156" t="s">
        <v>67</v>
      </c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</row>
    <row r="5" spans="2:20" s="2" customFormat="1" ht="17.25" customHeight="1" thickTop="1">
      <c r="B5" s="5"/>
      <c r="C5" s="16" t="s">
        <v>68</v>
      </c>
      <c r="D5" s="102" t="e">
        <f>#REF!</f>
        <v>#REF!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7"/>
      <c r="T5" s="5"/>
    </row>
    <row r="6" spans="2:20" s="2" customFormat="1" ht="17.25" customHeight="1">
      <c r="B6" s="5"/>
      <c r="C6" s="16" t="s">
        <v>69</v>
      </c>
      <c r="D6" s="103" t="e">
        <f>#REF!</f>
        <v>#REF!</v>
      </c>
      <c r="E6" s="5"/>
      <c r="F6" s="5"/>
      <c r="G6" s="4" t="s">
        <v>70</v>
      </c>
      <c r="H6" s="5"/>
      <c r="I6" s="5"/>
      <c r="J6" s="5"/>
      <c r="K6" s="5"/>
      <c r="L6" s="4" t="s">
        <v>71</v>
      </c>
      <c r="M6" s="5"/>
      <c r="N6" s="5"/>
      <c r="O6" s="5"/>
      <c r="P6" s="5"/>
      <c r="Q6" s="5"/>
      <c r="R6" s="5"/>
      <c r="S6" s="5"/>
      <c r="T6" s="5"/>
    </row>
    <row r="7" spans="2:20" s="2" customFormat="1" ht="17.25" customHeight="1">
      <c r="B7" s="5"/>
      <c r="C7" s="16" t="s">
        <v>72</v>
      </c>
      <c r="D7" s="18" t="s">
        <v>1</v>
      </c>
      <c r="E7" s="5"/>
      <c r="F7" s="5"/>
      <c r="G7" s="19" t="s">
        <v>73</v>
      </c>
      <c r="H7" s="4" t="s">
        <v>74</v>
      </c>
      <c r="I7" s="5"/>
      <c r="J7" s="5"/>
      <c r="K7" s="5"/>
      <c r="L7" s="20"/>
      <c r="M7" s="21" t="s">
        <v>75</v>
      </c>
      <c r="N7" s="21" t="s">
        <v>76</v>
      </c>
      <c r="O7" s="21" t="s">
        <v>77</v>
      </c>
      <c r="P7" s="21" t="s">
        <v>78</v>
      </c>
      <c r="Q7" s="87"/>
      <c r="R7" s="5"/>
      <c r="S7" s="5"/>
      <c r="T7" s="5"/>
    </row>
    <row r="8" spans="2:20" s="2" customFormat="1" ht="17.25" customHeight="1">
      <c r="B8" s="5"/>
      <c r="D8" s="16"/>
      <c r="E8" s="5"/>
      <c r="F8" s="5"/>
      <c r="G8" s="19" t="s">
        <v>79</v>
      </c>
      <c r="H8" s="4" t="s">
        <v>80</v>
      </c>
      <c r="I8" s="5"/>
      <c r="J8" s="5"/>
      <c r="K8" s="5"/>
      <c r="L8" s="21" t="s">
        <v>81</v>
      </c>
      <c r="M8" s="21" t="s">
        <v>82</v>
      </c>
      <c r="N8" s="21" t="s">
        <v>83</v>
      </c>
      <c r="O8" s="21" t="s">
        <v>84</v>
      </c>
      <c r="P8" s="21" t="s">
        <v>85</v>
      </c>
      <c r="Q8" s="87"/>
      <c r="R8" s="5"/>
      <c r="S8" s="5"/>
      <c r="T8" s="5"/>
    </row>
    <row r="9" spans="2:20" s="2" customFormat="1" ht="17.25" customHeight="1">
      <c r="B9" s="5"/>
      <c r="C9" s="16"/>
      <c r="D9" s="16"/>
      <c r="E9" s="5"/>
      <c r="F9" s="5"/>
      <c r="G9" s="19" t="s">
        <v>86</v>
      </c>
      <c r="H9" s="4" t="s">
        <v>87</v>
      </c>
      <c r="I9" s="5"/>
      <c r="J9" s="5"/>
      <c r="K9" s="5"/>
      <c r="L9" s="21" t="s">
        <v>88</v>
      </c>
      <c r="M9" s="21" t="s">
        <v>89</v>
      </c>
      <c r="N9" s="21" t="s">
        <v>90</v>
      </c>
      <c r="O9" s="21" t="s">
        <v>91</v>
      </c>
      <c r="P9" s="21" t="s">
        <v>92</v>
      </c>
      <c r="Q9" s="87"/>
      <c r="R9" s="5"/>
      <c r="S9" s="5"/>
      <c r="T9" s="5"/>
    </row>
    <row r="10" spans="2:20" s="2" customFormat="1" ht="17.25" customHeight="1">
      <c r="B10" s="5"/>
      <c r="D10" s="16"/>
      <c r="E10" s="5"/>
      <c r="F10" s="5"/>
      <c r="G10" s="19" t="s">
        <v>93</v>
      </c>
      <c r="H10" s="4" t="s">
        <v>94</v>
      </c>
      <c r="I10" s="5"/>
      <c r="J10" s="5"/>
      <c r="K10" s="5"/>
      <c r="L10" s="21" t="s">
        <v>95</v>
      </c>
      <c r="M10" s="21" t="s">
        <v>96</v>
      </c>
      <c r="N10" s="21" t="s">
        <v>97</v>
      </c>
      <c r="O10" s="21" t="s">
        <v>98</v>
      </c>
      <c r="P10" s="21" t="s">
        <v>99</v>
      </c>
      <c r="Q10" s="87"/>
      <c r="R10" s="5"/>
      <c r="S10" s="5"/>
      <c r="T10" s="5"/>
    </row>
    <row r="11" spans="2:20" s="2" customFormat="1" ht="17.25" customHeight="1">
      <c r="B11" s="5"/>
      <c r="D11" s="16"/>
      <c r="E11" s="5"/>
      <c r="F11" s="5"/>
      <c r="G11" s="19" t="s">
        <v>100</v>
      </c>
      <c r="H11" s="4" t="s">
        <v>101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2:20" s="2" customFormat="1" ht="9.6" customHeight="1">
      <c r="B12" s="5"/>
      <c r="C12" s="16"/>
      <c r="D12" s="5"/>
      <c r="E12" s="5"/>
      <c r="F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 s="3" customFormat="1" ht="39" customHeight="1">
      <c r="B13" s="159" t="s">
        <v>8</v>
      </c>
      <c r="C13" s="161" t="s">
        <v>9</v>
      </c>
      <c r="D13" s="163" t="s">
        <v>10</v>
      </c>
      <c r="E13" s="159" t="s">
        <v>12</v>
      </c>
      <c r="F13" s="152" t="s">
        <v>13</v>
      </c>
      <c r="G13" s="154"/>
      <c r="H13" s="159" t="s">
        <v>14</v>
      </c>
      <c r="I13" s="152" t="s">
        <v>102</v>
      </c>
      <c r="J13" s="153"/>
      <c r="K13" s="153"/>
      <c r="L13" s="154"/>
      <c r="M13" s="159" t="s">
        <v>103</v>
      </c>
      <c r="N13" s="159" t="s">
        <v>104</v>
      </c>
      <c r="O13" s="159" t="s">
        <v>105</v>
      </c>
      <c r="P13" s="165" t="s">
        <v>106</v>
      </c>
      <c r="Q13" s="165" t="s">
        <v>107</v>
      </c>
      <c r="R13" s="165" t="s">
        <v>108</v>
      </c>
      <c r="S13" s="159" t="s">
        <v>109</v>
      </c>
      <c r="T13" s="159" t="s">
        <v>16</v>
      </c>
    </row>
    <row r="14" spans="2:20" s="3" customFormat="1" ht="39" customHeight="1">
      <c r="B14" s="160"/>
      <c r="C14" s="162"/>
      <c r="D14" s="164"/>
      <c r="E14" s="160"/>
      <c r="F14" s="22" t="s">
        <v>17</v>
      </c>
      <c r="G14" s="22" t="s">
        <v>18</v>
      </c>
      <c r="H14" s="160"/>
      <c r="I14" s="23" t="s">
        <v>110</v>
      </c>
      <c r="J14" s="23" t="s">
        <v>111</v>
      </c>
      <c r="K14" s="23" t="s">
        <v>112</v>
      </c>
      <c r="L14" s="23" t="s">
        <v>113</v>
      </c>
      <c r="M14" s="160"/>
      <c r="N14" s="160"/>
      <c r="O14" s="160"/>
      <c r="P14" s="166"/>
      <c r="Q14" s="166"/>
      <c r="R14" s="166"/>
      <c r="S14" s="160"/>
      <c r="T14" s="160"/>
    </row>
    <row r="15" spans="2:20" s="89" customFormat="1" ht="47.25" customHeight="1">
      <c r="B15" s="63">
        <v>1</v>
      </c>
      <c r="C15" s="64" t="str">
        <f>'Detailed PL'!C15</f>
        <v>OM4-DE-IS-0002-001</v>
      </c>
      <c r="D15" s="65" t="s">
        <v>114</v>
      </c>
      <c r="E15" s="99" t="s">
        <v>115</v>
      </c>
      <c r="F15" s="63">
        <v>1</v>
      </c>
      <c r="G15" s="63" t="s">
        <v>65</v>
      </c>
      <c r="H15" s="67" t="s">
        <v>116</v>
      </c>
      <c r="I15" s="100">
        <v>410</v>
      </c>
      <c r="J15" s="100">
        <v>150</v>
      </c>
      <c r="K15" s="100">
        <v>83</v>
      </c>
      <c r="L15" s="83">
        <v>5.1044999999999998</v>
      </c>
      <c r="M15" s="100">
        <v>2492</v>
      </c>
      <c r="N15" s="100">
        <v>2772</v>
      </c>
      <c r="O15" s="68" t="s">
        <v>117</v>
      </c>
      <c r="P15" s="68" t="s">
        <v>118</v>
      </c>
      <c r="Q15" s="68" t="s">
        <v>118</v>
      </c>
      <c r="R15" s="68" t="s">
        <v>118</v>
      </c>
      <c r="S15" s="68" t="s">
        <v>119</v>
      </c>
      <c r="T15" s="68" t="s">
        <v>25</v>
      </c>
    </row>
    <row r="16" spans="2:20" s="2" customFormat="1" ht="47.25" customHeight="1">
      <c r="B16" s="63">
        <v>2</v>
      </c>
      <c r="C16" s="64" t="str">
        <f>'Detailed PL'!C23</f>
        <v>OM4-DE-IS-0002-002</v>
      </c>
      <c r="D16" s="65" t="s">
        <v>120</v>
      </c>
      <c r="E16" s="66" t="s">
        <v>22</v>
      </c>
      <c r="F16" s="63">
        <v>1</v>
      </c>
      <c r="G16" s="63" t="s">
        <v>65</v>
      </c>
      <c r="H16" s="67" t="s">
        <v>116</v>
      </c>
      <c r="I16" s="100">
        <v>170</v>
      </c>
      <c r="J16" s="100">
        <v>115</v>
      </c>
      <c r="K16" s="100">
        <v>85</v>
      </c>
      <c r="L16" s="83">
        <v>1.6617500000000001</v>
      </c>
      <c r="M16" s="84">
        <v>1568</v>
      </c>
      <c r="N16" s="84">
        <v>1668</v>
      </c>
      <c r="O16" s="68" t="s">
        <v>117</v>
      </c>
      <c r="P16" s="68" t="s">
        <v>118</v>
      </c>
      <c r="Q16" s="68" t="s">
        <v>118</v>
      </c>
      <c r="R16" s="68" t="s">
        <v>118</v>
      </c>
      <c r="S16" s="68" t="s">
        <v>119</v>
      </c>
      <c r="T16" s="68" t="s">
        <v>25</v>
      </c>
    </row>
    <row r="17" spans="2:20" s="2" customFormat="1" ht="47.25" customHeight="1">
      <c r="B17" s="63">
        <v>3</v>
      </c>
      <c r="C17" s="64" t="str">
        <f>'Detailed PL'!C28</f>
        <v>OM4-DE-IS-0002-003</v>
      </c>
      <c r="D17" s="65" t="s">
        <v>120</v>
      </c>
      <c r="E17" s="99" t="s">
        <v>121</v>
      </c>
      <c r="F17" s="63">
        <v>1</v>
      </c>
      <c r="G17" s="63" t="s">
        <v>65</v>
      </c>
      <c r="H17" s="67" t="s">
        <v>116</v>
      </c>
      <c r="I17" s="100">
        <v>175</v>
      </c>
      <c r="J17" s="100">
        <v>115</v>
      </c>
      <c r="K17" s="100">
        <v>105</v>
      </c>
      <c r="L17" s="83">
        <v>2.1131250000000001</v>
      </c>
      <c r="M17" s="84">
        <v>2120</v>
      </c>
      <c r="N17" s="84">
        <v>2240</v>
      </c>
      <c r="O17" s="68" t="s">
        <v>117</v>
      </c>
      <c r="P17" s="68" t="s">
        <v>118</v>
      </c>
      <c r="Q17" s="68" t="s">
        <v>118</v>
      </c>
      <c r="R17" s="68" t="s">
        <v>118</v>
      </c>
      <c r="S17" s="68" t="s">
        <v>119</v>
      </c>
      <c r="T17" s="68" t="s">
        <v>25</v>
      </c>
    </row>
    <row r="18" spans="2:20" s="2" customFormat="1" ht="47.25" customHeight="1">
      <c r="B18" s="63">
        <v>4</v>
      </c>
      <c r="C18" s="64" t="str">
        <f>'Detailed PL'!C31</f>
        <v>OM4-DE-IS-0002-004</v>
      </c>
      <c r="D18" s="65" t="s">
        <v>120</v>
      </c>
      <c r="E18" s="66" t="s">
        <v>122</v>
      </c>
      <c r="F18" s="63">
        <v>1</v>
      </c>
      <c r="G18" s="63" t="s">
        <v>65</v>
      </c>
      <c r="H18" s="67" t="s">
        <v>116</v>
      </c>
      <c r="I18" s="100">
        <v>175</v>
      </c>
      <c r="J18" s="100">
        <v>115</v>
      </c>
      <c r="K18" s="100">
        <v>105</v>
      </c>
      <c r="L18" s="83">
        <v>2.1131250000000001</v>
      </c>
      <c r="M18" s="84">
        <v>2120</v>
      </c>
      <c r="N18" s="84">
        <v>2240</v>
      </c>
      <c r="O18" s="68" t="s">
        <v>117</v>
      </c>
      <c r="P18" s="68" t="s">
        <v>118</v>
      </c>
      <c r="Q18" s="68" t="s">
        <v>118</v>
      </c>
      <c r="R18" s="68" t="s">
        <v>118</v>
      </c>
      <c r="S18" s="68" t="s">
        <v>119</v>
      </c>
      <c r="T18" s="68" t="s">
        <v>25</v>
      </c>
    </row>
    <row r="19" spans="2:20" s="2" customFormat="1" ht="47.25" customHeight="1">
      <c r="B19" s="63">
        <v>5</v>
      </c>
      <c r="C19" s="64" t="str">
        <f>'Detailed PL'!C34</f>
        <v>OM4-DE-IS-0002-005</v>
      </c>
      <c r="D19" s="65" t="s">
        <v>120</v>
      </c>
      <c r="E19" s="99" t="s">
        <v>121</v>
      </c>
      <c r="F19" s="63">
        <v>1</v>
      </c>
      <c r="G19" s="63" t="s">
        <v>65</v>
      </c>
      <c r="H19" s="67" t="s">
        <v>116</v>
      </c>
      <c r="I19" s="100">
        <v>175</v>
      </c>
      <c r="J19" s="100">
        <v>115</v>
      </c>
      <c r="K19" s="100">
        <v>105</v>
      </c>
      <c r="L19" s="83">
        <v>2.1131250000000001</v>
      </c>
      <c r="M19" s="84">
        <v>2160</v>
      </c>
      <c r="N19" s="84">
        <v>2280</v>
      </c>
      <c r="O19" s="68" t="s">
        <v>117</v>
      </c>
      <c r="P19" s="68" t="s">
        <v>118</v>
      </c>
      <c r="Q19" s="68" t="s">
        <v>118</v>
      </c>
      <c r="R19" s="68" t="s">
        <v>118</v>
      </c>
      <c r="S19" s="68" t="s">
        <v>119</v>
      </c>
      <c r="T19" s="68" t="s">
        <v>25</v>
      </c>
    </row>
    <row r="20" spans="2:20" s="2" customFormat="1" ht="47.25" customHeight="1">
      <c r="B20" s="63">
        <v>6</v>
      </c>
      <c r="C20" s="64" t="str">
        <f>'Detailed PL'!C37</f>
        <v>OM4-DE-IS-0002-006</v>
      </c>
      <c r="D20" s="65" t="s">
        <v>120</v>
      </c>
      <c r="E20" s="66" t="s">
        <v>122</v>
      </c>
      <c r="F20" s="63">
        <v>1</v>
      </c>
      <c r="G20" s="63" t="s">
        <v>65</v>
      </c>
      <c r="H20" s="67" t="s">
        <v>116</v>
      </c>
      <c r="I20" s="100">
        <v>215</v>
      </c>
      <c r="J20" s="100">
        <v>115</v>
      </c>
      <c r="K20" s="100">
        <v>85</v>
      </c>
      <c r="L20" s="83">
        <v>2.1016249999999999</v>
      </c>
      <c r="M20" s="84">
        <v>2376</v>
      </c>
      <c r="N20" s="84">
        <v>2516</v>
      </c>
      <c r="O20" s="68" t="s">
        <v>117</v>
      </c>
      <c r="P20" s="68" t="s">
        <v>118</v>
      </c>
      <c r="Q20" s="68" t="s">
        <v>118</v>
      </c>
      <c r="R20" s="68" t="s">
        <v>118</v>
      </c>
      <c r="S20" s="68" t="s">
        <v>119</v>
      </c>
      <c r="T20" s="68" t="s">
        <v>25</v>
      </c>
    </row>
    <row r="21" spans="2:20" s="2" customFormat="1" ht="47.25" customHeight="1">
      <c r="B21" s="63">
        <v>7</v>
      </c>
      <c r="C21" s="64" t="str">
        <f>'Detailed PL'!C40</f>
        <v>OM4-DE-IS-0002-007</v>
      </c>
      <c r="D21" s="65" t="s">
        <v>120</v>
      </c>
      <c r="E21" s="99" t="s">
        <v>121</v>
      </c>
      <c r="F21" s="63">
        <v>1</v>
      </c>
      <c r="G21" s="63" t="s">
        <v>65</v>
      </c>
      <c r="H21" s="67" t="s">
        <v>116</v>
      </c>
      <c r="I21" s="100">
        <v>115</v>
      </c>
      <c r="J21" s="100">
        <v>115</v>
      </c>
      <c r="K21" s="100">
        <v>80</v>
      </c>
      <c r="L21" s="83">
        <v>1.0580000000000001</v>
      </c>
      <c r="M21" s="84">
        <v>1567</v>
      </c>
      <c r="N21" s="84">
        <v>1627</v>
      </c>
      <c r="O21" s="68" t="s">
        <v>117</v>
      </c>
      <c r="P21" s="68" t="s">
        <v>118</v>
      </c>
      <c r="Q21" s="68" t="s">
        <v>118</v>
      </c>
      <c r="R21" s="68" t="s">
        <v>118</v>
      </c>
      <c r="S21" s="68" t="s">
        <v>119</v>
      </c>
      <c r="T21" s="68" t="s">
        <v>25</v>
      </c>
    </row>
    <row r="22" spans="2:20" s="2" customFormat="1" ht="47.25" customHeight="1">
      <c r="B22" s="63">
        <v>8</v>
      </c>
      <c r="C22" s="64" t="str">
        <f>'Detailed PL'!C52</f>
        <v>OM4-DE-IS-0002-008</v>
      </c>
      <c r="D22" s="65" t="s">
        <v>120</v>
      </c>
      <c r="E22" s="66" t="s">
        <v>122</v>
      </c>
      <c r="F22" s="63">
        <v>1</v>
      </c>
      <c r="G22" s="63" t="s">
        <v>65</v>
      </c>
      <c r="H22" s="67" t="s">
        <v>116</v>
      </c>
      <c r="I22" s="100">
        <v>245</v>
      </c>
      <c r="J22" s="100">
        <v>115</v>
      </c>
      <c r="K22" s="100">
        <v>120</v>
      </c>
      <c r="L22" s="83">
        <v>3.38</v>
      </c>
      <c r="M22" s="84">
        <v>2640</v>
      </c>
      <c r="N22" s="84">
        <v>2790</v>
      </c>
      <c r="O22" s="68" t="s">
        <v>117</v>
      </c>
      <c r="P22" s="68" t="s">
        <v>118</v>
      </c>
      <c r="Q22" s="68" t="s">
        <v>118</v>
      </c>
      <c r="R22" s="68" t="s">
        <v>118</v>
      </c>
      <c r="S22" s="68" t="s">
        <v>119</v>
      </c>
      <c r="T22" s="68" t="s">
        <v>25</v>
      </c>
    </row>
    <row r="23" spans="2:20" s="2" customFormat="1" ht="47.25" customHeight="1">
      <c r="B23" s="63">
        <v>9</v>
      </c>
      <c r="C23" s="64" t="str">
        <f>'Detailed PL'!C56</f>
        <v>OM4-DE-IS-0002-009</v>
      </c>
      <c r="D23" s="65" t="s">
        <v>123</v>
      </c>
      <c r="E23" s="99" t="s">
        <v>121</v>
      </c>
      <c r="F23" s="63">
        <v>1</v>
      </c>
      <c r="G23" s="63" t="s">
        <v>65</v>
      </c>
      <c r="H23" s="67" t="s">
        <v>116</v>
      </c>
      <c r="I23" s="100">
        <v>90</v>
      </c>
      <c r="J23" s="100">
        <v>90</v>
      </c>
      <c r="K23" s="100">
        <v>60</v>
      </c>
      <c r="L23" s="83">
        <v>0.48599999999999999</v>
      </c>
      <c r="M23" s="84">
        <v>155</v>
      </c>
      <c r="N23" s="84">
        <v>195</v>
      </c>
      <c r="O23" s="68" t="s">
        <v>117</v>
      </c>
      <c r="P23" s="68" t="s">
        <v>118</v>
      </c>
      <c r="Q23" s="68" t="s">
        <v>118</v>
      </c>
      <c r="R23" s="68" t="s">
        <v>118</v>
      </c>
      <c r="S23" s="68" t="s">
        <v>119</v>
      </c>
      <c r="T23" s="68" t="s">
        <v>25</v>
      </c>
    </row>
    <row r="24" spans="2:20" ht="18.75" customHeight="1">
      <c r="B24" s="152" t="s">
        <v>124</v>
      </c>
      <c r="C24" s="153"/>
      <c r="D24" s="153"/>
      <c r="E24" s="153"/>
      <c r="F24" s="153"/>
      <c r="G24" s="153"/>
      <c r="H24" s="153"/>
      <c r="I24" s="153"/>
      <c r="J24" s="153"/>
      <c r="K24" s="154"/>
      <c r="L24" s="101">
        <f>SUM(L15:L23)</f>
        <v>20.131250000000001</v>
      </c>
      <c r="M24" s="85">
        <f>SUM(M15:M23)</f>
        <v>17198</v>
      </c>
      <c r="N24" s="85">
        <f>SUM(N15:N23)</f>
        <v>18328</v>
      </c>
      <c r="O24" s="21"/>
      <c r="P24" s="21"/>
      <c r="Q24" s="21"/>
      <c r="R24" s="21"/>
      <c r="S24" s="21"/>
      <c r="T24" s="21"/>
    </row>
    <row r="25" spans="2:20" ht="18" customHeight="1">
      <c r="D25" s="24"/>
      <c r="T25" s="26"/>
    </row>
    <row r="26" spans="2:20" ht="18" customHeight="1">
      <c r="D26" s="24"/>
      <c r="T26" s="26"/>
    </row>
    <row r="27" spans="2:20" ht="18" customHeight="1">
      <c r="D27" s="24"/>
      <c r="T27" s="26"/>
    </row>
    <row r="28" spans="2:20" ht="18" customHeight="1">
      <c r="D28" s="24"/>
      <c r="T28" s="26"/>
    </row>
    <row r="29" spans="2:20" ht="18" customHeight="1">
      <c r="D29" s="24"/>
      <c r="T29" s="26"/>
    </row>
    <row r="30" spans="2:20" ht="18" customHeight="1">
      <c r="D30" s="24"/>
      <c r="T30" s="26"/>
    </row>
    <row r="31" spans="2:20" ht="18" customHeight="1">
      <c r="D31" s="24"/>
      <c r="T31" s="26"/>
    </row>
    <row r="32" spans="2:20" ht="18" customHeight="1">
      <c r="D32" s="24"/>
      <c r="T32" s="26"/>
    </row>
    <row r="33" spans="4:20" ht="18" customHeight="1">
      <c r="D33" s="24"/>
      <c r="T33" s="26"/>
    </row>
    <row r="34" spans="4:20" ht="18" customHeight="1">
      <c r="D34" s="24"/>
      <c r="T34" s="26"/>
    </row>
  </sheetData>
  <mergeCells count="18">
    <mergeCell ref="Q13:Q14"/>
    <mergeCell ref="R13:R14"/>
    <mergeCell ref="B24:K24"/>
    <mergeCell ref="C3:I3"/>
    <mergeCell ref="B4:T4"/>
    <mergeCell ref="B13:B14"/>
    <mergeCell ref="C13:C14"/>
    <mergeCell ref="D13:D14"/>
    <mergeCell ref="E13:E14"/>
    <mergeCell ref="F13:G13"/>
    <mergeCell ref="H13:H14"/>
    <mergeCell ref="I13:L13"/>
    <mergeCell ref="M13:M14"/>
    <mergeCell ref="N13:N14"/>
    <mergeCell ref="O13:O14"/>
    <mergeCell ref="S13:S14"/>
    <mergeCell ref="T13:T14"/>
    <mergeCell ref="P13:P14"/>
  </mergeCells>
  <phoneticPr fontId="2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  <headerFooter alignWithMargins="0">
    <oddFooter xml:space="preserve">&amp;C&amp;P/&amp;N&amp;R_x000D_&amp;1#&amp;"Aptos"&amp;8&amp;K000000 중요비(Confidential): sanghyuk4.lee@doosan.com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X66"/>
  <sheetViews>
    <sheetView showGridLines="0" view="pageBreakPreview" topLeftCell="A3" zoomScale="85" zoomScaleNormal="100" zoomScaleSheetLayoutView="85" workbookViewId="0">
      <selection activeCell="A30" sqref="A30:XFD30"/>
    </sheetView>
  </sheetViews>
  <sheetFormatPr defaultColWidth="8.76953125" defaultRowHeight="18" customHeight="1"/>
  <cols>
    <col min="1" max="1" width="1.05078125" style="32" customWidth="1"/>
    <col min="2" max="2" width="3.625" style="10" customWidth="1"/>
    <col min="3" max="3" width="21.1640625" style="42" customWidth="1"/>
    <col min="4" max="4" width="23.73828125" style="54" customWidth="1"/>
    <col min="5" max="5" width="21.75" style="54" customWidth="1"/>
    <col min="6" max="6" width="14.265625" style="10" customWidth="1"/>
    <col min="7" max="7" width="21.75" style="54" customWidth="1"/>
    <col min="8" max="8" width="9.703125" style="6" customWidth="1"/>
    <col min="9" max="9" width="5.26171875" style="12" customWidth="1"/>
    <col min="10" max="10" width="5.26171875" style="6" customWidth="1"/>
    <col min="11" max="11" width="7.6015625" style="6" customWidth="1"/>
    <col min="12" max="14" width="6.8984375" style="6" customWidth="1"/>
    <col min="15" max="15" width="7.6015625" style="55" customWidth="1"/>
    <col min="16" max="17" width="10.171875" style="6" bestFit="1" customWidth="1"/>
    <col min="18" max="18" width="8.53515625" style="6" customWidth="1"/>
    <col min="19" max="19" width="10.0546875" style="10" customWidth="1"/>
    <col min="20" max="20" width="21.75" style="10" customWidth="1"/>
    <col min="21" max="21" width="6.6640625" style="56" customWidth="1"/>
    <col min="22" max="22" width="1.05078125" style="30" customWidth="1"/>
    <col min="23" max="29" width="8.76953125" style="31" customWidth="1"/>
    <col min="30" max="35" width="8.76953125" style="32" customWidth="1"/>
    <col min="36" max="40" width="8.76953125" style="31"/>
    <col min="41" max="16384" width="8.76953125" style="32"/>
  </cols>
  <sheetData>
    <row r="1" spans="2:50" ht="9" customHeight="1"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</row>
    <row r="2" spans="2:50" ht="26.1" customHeight="1">
      <c r="B2" s="29"/>
      <c r="C2" s="6"/>
      <c r="D2" s="6"/>
      <c r="E2" s="6"/>
      <c r="F2" s="32"/>
      <c r="G2" s="6"/>
      <c r="I2" s="6"/>
      <c r="J2" s="33"/>
      <c r="K2" s="33"/>
      <c r="L2" s="33"/>
      <c r="M2" s="34"/>
      <c r="N2" s="35"/>
      <c r="O2" s="29"/>
      <c r="P2" s="29"/>
      <c r="Q2" s="29"/>
      <c r="R2" s="29"/>
      <c r="S2" s="29"/>
      <c r="T2" s="32"/>
      <c r="U2" s="32"/>
      <c r="V2" s="32"/>
      <c r="W2" s="32"/>
      <c r="X2" s="32"/>
      <c r="Y2" s="32"/>
      <c r="Z2" s="32"/>
      <c r="AA2" s="32"/>
      <c r="AB2" s="32"/>
      <c r="AC2" s="32"/>
      <c r="AJ2" s="32"/>
      <c r="AK2" s="32"/>
      <c r="AL2" s="32"/>
      <c r="AM2" s="32"/>
      <c r="AN2" s="32"/>
    </row>
    <row r="3" spans="2:50" ht="27.6" customHeight="1">
      <c r="B3" s="29"/>
      <c r="C3" s="145" t="s">
        <v>66</v>
      </c>
      <c r="D3" s="145"/>
      <c r="E3" s="145"/>
      <c r="F3" s="145"/>
      <c r="G3" s="145"/>
      <c r="H3" s="145"/>
      <c r="I3" s="145"/>
      <c r="J3" s="145"/>
      <c r="K3" s="145"/>
      <c r="L3" s="33"/>
      <c r="M3" s="34"/>
      <c r="N3" s="35"/>
      <c r="O3" s="36"/>
      <c r="P3" s="29"/>
      <c r="Q3" s="29"/>
      <c r="R3" s="29"/>
      <c r="S3" s="29"/>
      <c r="T3" s="32"/>
      <c r="U3" s="32"/>
      <c r="V3" s="32"/>
      <c r="W3" s="32"/>
      <c r="X3" s="32"/>
      <c r="Y3" s="32"/>
      <c r="Z3" s="32"/>
      <c r="AA3" s="32"/>
      <c r="AB3" s="32"/>
      <c r="AC3" s="32"/>
      <c r="AJ3" s="32"/>
      <c r="AK3" s="32"/>
      <c r="AL3" s="32"/>
      <c r="AM3" s="32"/>
      <c r="AN3" s="32"/>
    </row>
    <row r="4" spans="2:50" ht="33.75" customHeight="1">
      <c r="B4" s="146" t="s">
        <v>125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8"/>
    </row>
    <row r="5" spans="2:50" s="6" customFormat="1" ht="17.25" customHeight="1">
      <c r="B5" s="10"/>
      <c r="C5" s="37" t="s">
        <v>126</v>
      </c>
      <c r="D5" s="38" t="e">
        <f>'PL(2_2)'!D5</f>
        <v>#REF!</v>
      </c>
      <c r="F5" s="40"/>
      <c r="H5" s="10"/>
      <c r="I5" s="38"/>
      <c r="J5" s="10"/>
      <c r="K5" s="10"/>
      <c r="L5" s="10"/>
      <c r="M5" s="10"/>
      <c r="N5" s="10"/>
      <c r="O5" s="39"/>
      <c r="P5" s="10"/>
      <c r="Q5" s="10"/>
      <c r="R5" s="10"/>
      <c r="S5" s="40"/>
      <c r="T5" s="10"/>
      <c r="U5" s="10"/>
      <c r="V5" s="41"/>
      <c r="Y5" s="6">
        <v>36</v>
      </c>
      <c r="Z5" s="6">
        <v>39</v>
      </c>
      <c r="AA5" s="6">
        <v>40</v>
      </c>
      <c r="AB5" s="6">
        <v>163</v>
      </c>
      <c r="AC5" s="6">
        <v>3</v>
      </c>
      <c r="AD5" s="6">
        <v>8</v>
      </c>
      <c r="AE5" s="6">
        <v>44</v>
      </c>
      <c r="AF5" s="6">
        <v>45</v>
      </c>
      <c r="AG5" s="6">
        <v>46</v>
      </c>
      <c r="AH5" s="6">
        <v>60</v>
      </c>
      <c r="AI5" s="6">
        <v>66</v>
      </c>
      <c r="AJ5" s="10">
        <v>68</v>
      </c>
      <c r="AK5" s="10">
        <v>69</v>
      </c>
      <c r="AL5" s="10">
        <v>70</v>
      </c>
      <c r="AM5" s="10">
        <v>71</v>
      </c>
      <c r="AN5" s="10">
        <v>170</v>
      </c>
      <c r="AO5" s="6">
        <v>110</v>
      </c>
      <c r="AP5" s="6">
        <v>234</v>
      </c>
      <c r="AQ5" s="6">
        <v>33</v>
      </c>
      <c r="AR5" s="6">
        <v>34</v>
      </c>
      <c r="AS5" s="6">
        <v>142</v>
      </c>
      <c r="AU5" s="6">
        <v>79</v>
      </c>
      <c r="AV5" s="6">
        <v>80</v>
      </c>
      <c r="AW5" s="6">
        <v>81</v>
      </c>
      <c r="AX5" s="6">
        <v>82</v>
      </c>
    </row>
    <row r="6" spans="2:50" s="6" customFormat="1" ht="17.25" customHeight="1">
      <c r="B6" s="10"/>
      <c r="C6" s="69" t="s">
        <v>69</v>
      </c>
      <c r="D6" s="111" t="e">
        <f>'PL(2_2)'!D6</f>
        <v>#REF!</v>
      </c>
      <c r="F6" s="10"/>
      <c r="H6" s="10"/>
      <c r="I6" s="10"/>
      <c r="J6" s="42" t="s">
        <v>70</v>
      </c>
      <c r="K6" s="10"/>
      <c r="L6" s="10"/>
      <c r="M6" s="10"/>
      <c r="N6" s="10"/>
      <c r="O6" s="43" t="s">
        <v>71</v>
      </c>
      <c r="P6" s="10"/>
      <c r="Q6" s="10"/>
      <c r="R6" s="10"/>
      <c r="S6" s="10"/>
      <c r="T6" s="10"/>
      <c r="U6" s="10"/>
      <c r="V6" s="41"/>
      <c r="Y6" s="6">
        <f t="shared" ref="Y6:AO6" si="0">SUMIF($AG$65:$AG$65,Y5,$I$65:$I$65)</f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6">
        <f t="shared" si="0"/>
        <v>0</v>
      </c>
      <c r="AE6" s="6">
        <f t="shared" si="0"/>
        <v>0</v>
      </c>
      <c r="AF6" s="6">
        <f t="shared" si="0"/>
        <v>0</v>
      </c>
      <c r="AG6" s="6">
        <f t="shared" si="0"/>
        <v>0</v>
      </c>
      <c r="AH6" s="6">
        <f t="shared" si="0"/>
        <v>0</v>
      </c>
      <c r="AI6" s="6">
        <f t="shared" si="0"/>
        <v>0</v>
      </c>
      <c r="AJ6" s="10">
        <f t="shared" si="0"/>
        <v>0</v>
      </c>
      <c r="AK6" s="10">
        <f t="shared" si="0"/>
        <v>0</v>
      </c>
      <c r="AL6" s="10">
        <f t="shared" si="0"/>
        <v>0</v>
      </c>
      <c r="AM6" s="10">
        <f t="shared" si="0"/>
        <v>0</v>
      </c>
      <c r="AN6" s="10">
        <f t="shared" si="0"/>
        <v>0</v>
      </c>
      <c r="AO6" s="6">
        <f t="shared" si="0"/>
        <v>0</v>
      </c>
      <c r="AP6" s="6">
        <f>SUMIF($AG$65:$AG$335,AP5,$I$65:$I$335)</f>
        <v>0</v>
      </c>
      <c r="AQ6" s="6">
        <f>SUMIF($AG$65:$AG$335,AQ5,$I$65:$I$335)</f>
        <v>0</v>
      </c>
      <c r="AR6" s="6">
        <f>SUMIF($AG$65:$AG$335,AR5,$I$65:$I$335)</f>
        <v>0</v>
      </c>
      <c r="AS6" s="6">
        <f>SUMIF($AG$65:$AG$65,AS5,$I$65:$I$65)</f>
        <v>0</v>
      </c>
      <c r="AT6" s="6">
        <f>SUM(Y6:AS7)</f>
        <v>109</v>
      </c>
      <c r="AU6" s="6">
        <f>SUMIF($AG$65:$AG$65,AU5,$I$65:$I$65)</f>
        <v>0</v>
      </c>
      <c r="AV6" s="6">
        <f>SUMIF($AG$65:$AG$65,AV5,$I$65:$I$65)</f>
        <v>0</v>
      </c>
      <c r="AW6" s="6">
        <f>SUMIF($AG$65:$AG$335,AW5,$I$65:$I$335)</f>
        <v>0</v>
      </c>
      <c r="AX6" s="6">
        <f>SUMIF($AG$65:$AG$335,AX5,$I$65:$I$335)</f>
        <v>0</v>
      </c>
    </row>
    <row r="7" spans="2:50" s="6" customFormat="1" ht="17.25" customHeight="1">
      <c r="B7" s="10"/>
      <c r="C7" s="69" t="s">
        <v>72</v>
      </c>
      <c r="D7" s="70" t="str">
        <f>'PL(2_2)'!D7</f>
        <v>O MON IV THERMAL POWER PLANT</v>
      </c>
      <c r="F7" s="10"/>
      <c r="H7" s="10"/>
      <c r="I7" s="10"/>
      <c r="J7" s="8" t="s">
        <v>73</v>
      </c>
      <c r="K7" s="42" t="s">
        <v>74</v>
      </c>
      <c r="L7" s="10"/>
      <c r="M7" s="10"/>
      <c r="N7" s="10"/>
      <c r="O7" s="44"/>
      <c r="P7" s="11" t="s">
        <v>75</v>
      </c>
      <c r="Q7" s="11" t="s">
        <v>127</v>
      </c>
      <c r="R7" s="11" t="s">
        <v>128</v>
      </c>
      <c r="S7" s="11" t="s">
        <v>78</v>
      </c>
      <c r="T7" s="10"/>
      <c r="U7" s="10"/>
      <c r="V7" s="41"/>
      <c r="W7" s="10"/>
      <c r="X7" s="10"/>
      <c r="Y7" s="10"/>
      <c r="Z7" s="10"/>
      <c r="AA7" s="10"/>
      <c r="AB7" s="10"/>
      <c r="AC7" s="10">
        <v>1</v>
      </c>
      <c r="AD7" s="6">
        <v>1</v>
      </c>
      <c r="AG7" s="6">
        <v>5</v>
      </c>
      <c r="AH7" s="6">
        <v>100</v>
      </c>
      <c r="AJ7" s="10"/>
      <c r="AK7" s="10"/>
      <c r="AL7" s="10"/>
      <c r="AM7" s="10"/>
      <c r="AN7" s="10"/>
      <c r="AS7" s="6">
        <v>2</v>
      </c>
      <c r="AU7" s="6">
        <v>105</v>
      </c>
    </row>
    <row r="8" spans="2:50" s="6" customFormat="1" ht="17.25" customHeight="1">
      <c r="B8" s="10"/>
      <c r="C8" s="69" t="s">
        <v>129</v>
      </c>
      <c r="D8" s="71" t="s">
        <v>130</v>
      </c>
      <c r="F8" s="10"/>
      <c r="H8" s="10"/>
      <c r="I8" s="10"/>
      <c r="J8" s="8" t="s">
        <v>79</v>
      </c>
      <c r="K8" s="42" t="s">
        <v>80</v>
      </c>
      <c r="L8" s="10"/>
      <c r="M8" s="10"/>
      <c r="N8" s="10"/>
      <c r="O8" s="45" t="s">
        <v>81</v>
      </c>
      <c r="P8" s="11" t="s">
        <v>82</v>
      </c>
      <c r="Q8" s="11" t="s">
        <v>83</v>
      </c>
      <c r="R8" s="11" t="s">
        <v>84</v>
      </c>
      <c r="S8" s="11" t="s">
        <v>85</v>
      </c>
      <c r="T8" s="10"/>
      <c r="U8" s="10"/>
      <c r="V8" s="41"/>
      <c r="W8" s="10"/>
      <c r="X8" s="10"/>
      <c r="Y8" s="10"/>
      <c r="Z8" s="10"/>
      <c r="AA8" s="10"/>
      <c r="AB8" s="10"/>
      <c r="AC8" s="10"/>
      <c r="AJ8" s="10"/>
      <c r="AK8" s="10"/>
      <c r="AL8" s="10"/>
      <c r="AM8" s="10"/>
      <c r="AN8" s="10"/>
    </row>
    <row r="9" spans="2:50" s="6" customFormat="1" ht="17.25" customHeight="1">
      <c r="B9" s="10"/>
      <c r="C9" s="72"/>
      <c r="D9" s="72" t="s">
        <v>131</v>
      </c>
      <c r="E9" s="37"/>
      <c r="F9" s="10"/>
      <c r="G9" s="37"/>
      <c r="H9" s="10"/>
      <c r="I9" s="10"/>
      <c r="J9" s="8" t="s">
        <v>86</v>
      </c>
      <c r="K9" s="42" t="s">
        <v>87</v>
      </c>
      <c r="L9" s="10"/>
      <c r="M9" s="10"/>
      <c r="N9" s="10"/>
      <c r="O9" s="45" t="s">
        <v>88</v>
      </c>
      <c r="P9" s="11" t="s">
        <v>89</v>
      </c>
      <c r="Q9" s="11" t="s">
        <v>90</v>
      </c>
      <c r="R9" s="11" t="s">
        <v>91</v>
      </c>
      <c r="S9" s="11" t="s">
        <v>92</v>
      </c>
      <c r="T9" s="10"/>
      <c r="U9" s="10"/>
      <c r="V9" s="41"/>
      <c r="W9" s="10"/>
      <c r="X9" s="10"/>
      <c r="Y9" s="10"/>
      <c r="Z9" s="10"/>
      <c r="AA9" s="10"/>
      <c r="AB9" s="10"/>
      <c r="AC9" s="10"/>
      <c r="AJ9" s="10"/>
      <c r="AK9" s="10"/>
      <c r="AL9" s="10"/>
      <c r="AM9" s="10"/>
      <c r="AN9" s="10"/>
    </row>
    <row r="10" spans="2:50" s="6" customFormat="1" ht="17.25" customHeight="1">
      <c r="B10" s="10"/>
      <c r="C10" s="69"/>
      <c r="D10" s="69"/>
      <c r="E10" s="37"/>
      <c r="F10" s="10"/>
      <c r="G10" s="37"/>
      <c r="H10" s="10"/>
      <c r="I10" s="10"/>
      <c r="J10" s="8" t="s">
        <v>93</v>
      </c>
      <c r="K10" s="42" t="s">
        <v>94</v>
      </c>
      <c r="L10" s="10"/>
      <c r="M10" s="10"/>
      <c r="N10" s="10"/>
      <c r="O10" s="45" t="s">
        <v>95</v>
      </c>
      <c r="P10" s="11" t="s">
        <v>96</v>
      </c>
      <c r="Q10" s="11" t="s">
        <v>97</v>
      </c>
      <c r="R10" s="11" t="s">
        <v>98</v>
      </c>
      <c r="S10" s="11" t="s">
        <v>99</v>
      </c>
      <c r="T10" s="10"/>
      <c r="U10" s="10"/>
      <c r="V10" s="41"/>
      <c r="W10" s="10"/>
      <c r="X10" s="10"/>
      <c r="Y10" s="10"/>
      <c r="Z10" s="10"/>
      <c r="AA10" s="10"/>
      <c r="AB10" s="10"/>
      <c r="AC10" s="10"/>
      <c r="AJ10" s="10"/>
      <c r="AK10" s="10"/>
      <c r="AL10" s="10"/>
      <c r="AM10" s="10"/>
      <c r="AN10" s="10"/>
    </row>
    <row r="11" spans="2:50" s="6" customFormat="1" ht="17.25" customHeight="1">
      <c r="B11" s="10"/>
      <c r="C11" s="37"/>
      <c r="D11" s="37"/>
      <c r="E11" s="37"/>
      <c r="F11" s="10"/>
      <c r="G11" s="37"/>
      <c r="H11" s="10"/>
      <c r="I11" s="10"/>
      <c r="J11" s="8" t="s">
        <v>100</v>
      </c>
      <c r="K11" s="42" t="s">
        <v>101</v>
      </c>
      <c r="L11" s="10"/>
      <c r="M11" s="10"/>
      <c r="N11" s="10"/>
      <c r="O11" s="39"/>
      <c r="P11" s="10"/>
      <c r="Q11" s="10"/>
      <c r="R11" s="10"/>
      <c r="S11" s="10"/>
      <c r="T11" s="10"/>
      <c r="U11" s="10"/>
      <c r="V11" s="41"/>
      <c r="W11" s="10"/>
      <c r="X11" s="10"/>
      <c r="Y11" s="10"/>
      <c r="Z11" s="10"/>
      <c r="AA11" s="10"/>
      <c r="AB11" s="10"/>
      <c r="AC11" s="10"/>
      <c r="AJ11" s="10"/>
      <c r="AK11" s="10"/>
      <c r="AL11" s="10"/>
      <c r="AM11" s="10"/>
      <c r="AN11" s="10"/>
    </row>
    <row r="12" spans="2:50" s="6" customFormat="1" ht="17.25" customHeight="1">
      <c r="B12" s="10"/>
      <c r="C12" s="37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39"/>
      <c r="P12" s="10"/>
      <c r="Q12" s="10"/>
      <c r="R12" s="10"/>
      <c r="S12" s="10"/>
      <c r="T12" s="10"/>
      <c r="U12" s="10"/>
      <c r="V12" s="41"/>
      <c r="W12" s="10"/>
      <c r="X12" s="10"/>
      <c r="Y12" s="10"/>
      <c r="Z12" s="10"/>
      <c r="AA12" s="10"/>
      <c r="AB12" s="10"/>
      <c r="AC12" s="10"/>
      <c r="AJ12" s="10"/>
      <c r="AK12" s="10"/>
      <c r="AL12" s="10"/>
      <c r="AM12" s="10"/>
      <c r="AN12" s="10"/>
    </row>
    <row r="13" spans="2:50" s="48" customFormat="1" ht="20.25" customHeight="1">
      <c r="B13" s="133" t="s">
        <v>8</v>
      </c>
      <c r="C13" s="137" t="s">
        <v>9</v>
      </c>
      <c r="D13" s="138" t="s">
        <v>10</v>
      </c>
      <c r="E13" s="139"/>
      <c r="F13" s="171" t="s">
        <v>132</v>
      </c>
      <c r="G13" s="137" t="s">
        <v>11</v>
      </c>
      <c r="H13" s="133" t="s">
        <v>12</v>
      </c>
      <c r="I13" s="142" t="s">
        <v>13</v>
      </c>
      <c r="J13" s="143"/>
      <c r="K13" s="133" t="s">
        <v>14</v>
      </c>
      <c r="L13" s="142" t="s">
        <v>102</v>
      </c>
      <c r="M13" s="173"/>
      <c r="N13" s="173"/>
      <c r="O13" s="143"/>
      <c r="P13" s="133" t="s">
        <v>103</v>
      </c>
      <c r="Q13" s="133" t="s">
        <v>104</v>
      </c>
      <c r="R13" s="133" t="s">
        <v>133</v>
      </c>
      <c r="S13" s="133" t="s">
        <v>109</v>
      </c>
      <c r="T13" s="138" t="s">
        <v>134</v>
      </c>
      <c r="U13" s="133" t="s">
        <v>16</v>
      </c>
      <c r="V13" s="46"/>
      <c r="W13" s="47"/>
      <c r="X13" s="47"/>
      <c r="Y13" s="47"/>
      <c r="Z13" s="47"/>
      <c r="AA13" s="47"/>
      <c r="AB13" s="47"/>
      <c r="AC13" s="47"/>
      <c r="AJ13" s="47"/>
      <c r="AK13" s="47"/>
      <c r="AL13" s="47"/>
      <c r="AM13" s="47"/>
      <c r="AN13" s="47"/>
    </row>
    <row r="14" spans="2:50" s="48" customFormat="1" ht="28.5" customHeight="1">
      <c r="B14" s="136"/>
      <c r="C14" s="136"/>
      <c r="D14" s="140"/>
      <c r="E14" s="141"/>
      <c r="F14" s="172"/>
      <c r="G14" s="136"/>
      <c r="H14" s="134"/>
      <c r="I14" s="49" t="s">
        <v>17</v>
      </c>
      <c r="J14" s="49" t="s">
        <v>18</v>
      </c>
      <c r="K14" s="134"/>
      <c r="L14" s="50" t="s">
        <v>110</v>
      </c>
      <c r="M14" s="50" t="s">
        <v>111</v>
      </c>
      <c r="N14" s="50" t="s">
        <v>112</v>
      </c>
      <c r="O14" s="51" t="s">
        <v>113</v>
      </c>
      <c r="P14" s="134"/>
      <c r="Q14" s="134"/>
      <c r="R14" s="134"/>
      <c r="S14" s="134"/>
      <c r="T14" s="140"/>
      <c r="U14" s="134"/>
      <c r="W14" s="47"/>
      <c r="X14" s="47"/>
      <c r="Y14" s="47"/>
      <c r="Z14" s="47"/>
      <c r="AA14" s="47"/>
      <c r="AB14" s="47"/>
      <c r="AC14" s="47"/>
      <c r="AJ14" s="47"/>
      <c r="AK14" s="47"/>
      <c r="AL14" s="47"/>
      <c r="AM14" s="47"/>
      <c r="AN14" s="47"/>
    </row>
    <row r="15" spans="2:50" s="48" customFormat="1" ht="28.5" customHeight="1">
      <c r="B15" s="90">
        <v>1</v>
      </c>
      <c r="C15" s="90" t="s">
        <v>19</v>
      </c>
      <c r="D15" s="91" t="s">
        <v>135</v>
      </c>
      <c r="E15" s="92"/>
      <c r="F15" s="104" t="s">
        <v>136</v>
      </c>
      <c r="G15" s="90" t="s">
        <v>137</v>
      </c>
      <c r="H15" s="93" t="s">
        <v>28</v>
      </c>
      <c r="I15" s="11">
        <v>1</v>
      </c>
      <c r="J15" s="11" t="s">
        <v>65</v>
      </c>
      <c r="K15" s="96" t="s">
        <v>116</v>
      </c>
      <c r="L15" s="126">
        <v>410</v>
      </c>
      <c r="M15" s="126">
        <v>150</v>
      </c>
      <c r="N15" s="126">
        <v>83</v>
      </c>
      <c r="O15" s="106">
        <f>L15*M15*N15/1000000</f>
        <v>5.1044999999999998</v>
      </c>
      <c r="P15" s="95">
        <v>2492</v>
      </c>
      <c r="Q15" s="95">
        <v>2772</v>
      </c>
      <c r="R15" s="93" t="s">
        <v>117</v>
      </c>
      <c r="S15" s="93" t="s">
        <v>119</v>
      </c>
      <c r="T15" s="110"/>
      <c r="U15" s="93" t="s">
        <v>25</v>
      </c>
      <c r="W15" s="47"/>
      <c r="X15" s="47"/>
      <c r="Y15" s="47"/>
      <c r="Z15" s="47"/>
      <c r="AA15" s="47"/>
      <c r="AB15" s="47"/>
      <c r="AC15" s="47"/>
      <c r="AJ15" s="47"/>
      <c r="AK15" s="47"/>
      <c r="AL15" s="47"/>
      <c r="AM15" s="47"/>
      <c r="AN15" s="47"/>
    </row>
    <row r="16" spans="2:50" s="48" customFormat="1" ht="28.5" customHeight="1">
      <c r="B16" s="90"/>
      <c r="C16" s="90" t="s">
        <v>19</v>
      </c>
      <c r="D16" s="91" t="s">
        <v>20</v>
      </c>
      <c r="E16" s="92"/>
      <c r="F16" s="104" t="s">
        <v>136</v>
      </c>
      <c r="G16" s="90" t="s">
        <v>137</v>
      </c>
      <c r="H16" s="93" t="s">
        <v>28</v>
      </c>
      <c r="I16" s="11">
        <v>20</v>
      </c>
      <c r="J16" s="11" t="s">
        <v>138</v>
      </c>
      <c r="K16" s="94"/>
      <c r="L16" s="126"/>
      <c r="M16" s="126"/>
      <c r="N16" s="126"/>
      <c r="O16" s="106"/>
      <c r="P16" s="95">
        <v>190</v>
      </c>
      <c r="Q16" s="95"/>
      <c r="R16" s="93"/>
      <c r="S16" s="93"/>
      <c r="T16" s="110" t="s">
        <v>139</v>
      </c>
      <c r="U16" s="93"/>
      <c r="W16" s="47"/>
      <c r="X16" s="47"/>
      <c r="Y16" s="47"/>
      <c r="Z16" s="47"/>
      <c r="AA16" s="47"/>
      <c r="AB16" s="47"/>
      <c r="AC16" s="47"/>
      <c r="AJ16" s="47"/>
      <c r="AK16" s="47"/>
      <c r="AL16" s="47"/>
      <c r="AM16" s="47"/>
      <c r="AN16" s="47"/>
    </row>
    <row r="17" spans="2:40" s="48" customFormat="1" ht="28.5" customHeight="1">
      <c r="B17" s="90"/>
      <c r="C17" s="90" t="s">
        <v>19</v>
      </c>
      <c r="D17" s="91" t="s">
        <v>26</v>
      </c>
      <c r="E17" s="92"/>
      <c r="F17" s="104" t="s">
        <v>136</v>
      </c>
      <c r="G17" s="90" t="s">
        <v>27</v>
      </c>
      <c r="H17" s="93" t="s">
        <v>28</v>
      </c>
      <c r="I17" s="11">
        <v>40</v>
      </c>
      <c r="J17" s="11" t="s">
        <v>138</v>
      </c>
      <c r="K17" s="93"/>
      <c r="L17" s="126"/>
      <c r="M17" s="126"/>
      <c r="N17" s="126"/>
      <c r="O17" s="105"/>
      <c r="P17" s="95">
        <v>916</v>
      </c>
      <c r="Q17" s="95"/>
      <c r="R17" s="93"/>
      <c r="S17" s="93"/>
      <c r="T17" s="110" t="s">
        <v>140</v>
      </c>
      <c r="U17" s="93"/>
      <c r="W17" s="47"/>
      <c r="X17" s="47"/>
      <c r="Y17" s="47"/>
      <c r="Z17" s="47"/>
      <c r="AA17" s="47"/>
      <c r="AB17" s="47"/>
      <c r="AC17" s="47"/>
      <c r="AJ17" s="47"/>
      <c r="AK17" s="47"/>
      <c r="AL17" s="47"/>
      <c r="AM17" s="47"/>
      <c r="AN17" s="47"/>
    </row>
    <row r="18" spans="2:40" s="48" customFormat="1" ht="28.5" customHeight="1">
      <c r="B18" s="90"/>
      <c r="C18" s="90" t="s">
        <v>19</v>
      </c>
      <c r="D18" s="91" t="s">
        <v>141</v>
      </c>
      <c r="E18" s="92"/>
      <c r="F18" s="104" t="s">
        <v>136</v>
      </c>
      <c r="G18" s="90" t="s">
        <v>27</v>
      </c>
      <c r="H18" s="93" t="s">
        <v>28</v>
      </c>
      <c r="I18" s="11">
        <v>8</v>
      </c>
      <c r="J18" s="11" t="s">
        <v>138</v>
      </c>
      <c r="K18" s="93"/>
      <c r="L18" s="126"/>
      <c r="M18" s="126"/>
      <c r="N18" s="126"/>
      <c r="O18" s="105"/>
      <c r="P18" s="95">
        <v>45.6</v>
      </c>
      <c r="Q18" s="95"/>
      <c r="R18" s="93"/>
      <c r="S18" s="66"/>
      <c r="T18" s="75" t="s">
        <v>142</v>
      </c>
      <c r="U18" s="66"/>
      <c r="W18" s="47"/>
      <c r="X18" s="47"/>
      <c r="Y18" s="47"/>
      <c r="Z18" s="47"/>
      <c r="AA18" s="47"/>
      <c r="AB18" s="47"/>
      <c r="AC18" s="47"/>
      <c r="AJ18" s="47"/>
      <c r="AK18" s="47"/>
      <c r="AL18" s="47"/>
      <c r="AM18" s="47"/>
      <c r="AN18" s="47"/>
    </row>
    <row r="19" spans="2:40" s="48" customFormat="1" ht="28.5" customHeight="1">
      <c r="B19" s="90"/>
      <c r="C19" s="90" t="s">
        <v>19</v>
      </c>
      <c r="D19" s="91" t="s">
        <v>30</v>
      </c>
      <c r="E19" s="92"/>
      <c r="F19" s="104" t="s">
        <v>136</v>
      </c>
      <c r="G19" s="90" t="s">
        <v>27</v>
      </c>
      <c r="H19" s="93" t="s">
        <v>28</v>
      </c>
      <c r="I19" s="11">
        <v>6</v>
      </c>
      <c r="J19" s="11" t="s">
        <v>138</v>
      </c>
      <c r="K19" s="93"/>
      <c r="L19" s="126"/>
      <c r="M19" s="126"/>
      <c r="N19" s="126"/>
      <c r="O19" s="105"/>
      <c r="P19" s="95">
        <v>663</v>
      </c>
      <c r="Q19" s="95"/>
      <c r="R19" s="93"/>
      <c r="S19" s="66"/>
      <c r="T19" s="75" t="s">
        <v>143</v>
      </c>
      <c r="U19" s="66"/>
      <c r="W19" s="47"/>
      <c r="X19" s="47"/>
      <c r="Y19" s="47"/>
      <c r="Z19" s="47"/>
      <c r="AA19" s="47"/>
      <c r="AB19" s="47"/>
      <c r="AC19" s="47"/>
      <c r="AJ19" s="47"/>
      <c r="AK19" s="47"/>
      <c r="AL19" s="47"/>
      <c r="AM19" s="47"/>
      <c r="AN19" s="47"/>
    </row>
    <row r="20" spans="2:40" s="48" customFormat="1" ht="28.5" customHeight="1">
      <c r="B20" s="90"/>
      <c r="C20" s="90" t="s">
        <v>19</v>
      </c>
      <c r="D20" s="91" t="s">
        <v>31</v>
      </c>
      <c r="E20" s="92"/>
      <c r="F20" s="104" t="s">
        <v>136</v>
      </c>
      <c r="G20" s="90" t="s">
        <v>27</v>
      </c>
      <c r="H20" s="93" t="s">
        <v>28</v>
      </c>
      <c r="I20" s="11">
        <v>6</v>
      </c>
      <c r="J20" s="11" t="s">
        <v>138</v>
      </c>
      <c r="K20" s="93"/>
      <c r="L20" s="126"/>
      <c r="M20" s="126"/>
      <c r="N20" s="126"/>
      <c r="O20" s="105"/>
      <c r="P20" s="95">
        <v>7.2</v>
      </c>
      <c r="Q20" s="95"/>
      <c r="R20" s="93"/>
      <c r="S20" s="66"/>
      <c r="T20" s="75" t="s">
        <v>144</v>
      </c>
      <c r="U20" s="66"/>
      <c r="W20" s="47"/>
      <c r="X20" s="47"/>
      <c r="Y20" s="47"/>
      <c r="Z20" s="47"/>
      <c r="AA20" s="47"/>
      <c r="AB20" s="47"/>
      <c r="AC20" s="47"/>
      <c r="AJ20" s="47"/>
      <c r="AK20" s="47"/>
      <c r="AL20" s="47"/>
      <c r="AM20" s="47"/>
      <c r="AN20" s="47"/>
    </row>
    <row r="21" spans="2:40" s="48" customFormat="1" ht="28.5" customHeight="1">
      <c r="B21" s="90"/>
      <c r="C21" s="90" t="s">
        <v>19</v>
      </c>
      <c r="D21" s="91" t="s">
        <v>145</v>
      </c>
      <c r="E21" s="92"/>
      <c r="F21" s="104" t="s">
        <v>136</v>
      </c>
      <c r="G21" s="90" t="s">
        <v>27</v>
      </c>
      <c r="H21" s="93" t="s">
        <v>28</v>
      </c>
      <c r="I21" s="11">
        <v>6</v>
      </c>
      <c r="J21" s="11" t="s">
        <v>138</v>
      </c>
      <c r="K21" s="93"/>
      <c r="L21" s="126"/>
      <c r="M21" s="126"/>
      <c r="N21" s="126"/>
      <c r="O21" s="105"/>
      <c r="P21" s="95">
        <v>663</v>
      </c>
      <c r="Q21" s="95"/>
      <c r="R21" s="93"/>
      <c r="S21" s="66"/>
      <c r="T21" s="75" t="s">
        <v>146</v>
      </c>
      <c r="U21" s="66"/>
      <c r="W21" s="47"/>
      <c r="X21" s="47"/>
      <c r="Y21" s="47"/>
      <c r="Z21" s="47"/>
      <c r="AA21" s="47"/>
      <c r="AB21" s="47"/>
      <c r="AC21" s="47"/>
      <c r="AJ21" s="47"/>
      <c r="AK21" s="47"/>
      <c r="AL21" s="47"/>
      <c r="AM21" s="47"/>
      <c r="AN21" s="47"/>
    </row>
    <row r="22" spans="2:40" s="48" customFormat="1" ht="28.5" customHeight="1">
      <c r="B22" s="90"/>
      <c r="C22" s="90" t="s">
        <v>19</v>
      </c>
      <c r="D22" s="91" t="s">
        <v>147</v>
      </c>
      <c r="E22" s="92"/>
      <c r="F22" s="104" t="s">
        <v>136</v>
      </c>
      <c r="G22" s="90" t="s">
        <v>27</v>
      </c>
      <c r="H22" s="93" t="s">
        <v>28</v>
      </c>
      <c r="I22" s="11">
        <v>6</v>
      </c>
      <c r="J22" s="11" t="s">
        <v>138</v>
      </c>
      <c r="K22" s="93"/>
      <c r="L22" s="126"/>
      <c r="M22" s="126"/>
      <c r="N22" s="126"/>
      <c r="O22" s="105"/>
      <c r="P22" s="95">
        <v>7.2</v>
      </c>
      <c r="Q22" s="95"/>
      <c r="R22" s="93"/>
      <c r="S22" s="66"/>
      <c r="T22" s="75" t="s">
        <v>148</v>
      </c>
      <c r="U22" s="66"/>
      <c r="W22" s="47"/>
      <c r="X22" s="47"/>
      <c r="Y22" s="47"/>
      <c r="Z22" s="47"/>
      <c r="AA22" s="47"/>
      <c r="AB22" s="47"/>
      <c r="AC22" s="47"/>
      <c r="AJ22" s="47"/>
      <c r="AK22" s="47"/>
      <c r="AL22" s="47"/>
      <c r="AM22" s="47"/>
      <c r="AN22" s="47"/>
    </row>
    <row r="23" spans="2:40" s="48" customFormat="1" ht="28.5" customHeight="1">
      <c r="B23" s="90">
        <v>2</v>
      </c>
      <c r="C23" s="90" t="s">
        <v>34</v>
      </c>
      <c r="D23" s="91" t="s">
        <v>149</v>
      </c>
      <c r="E23" s="92"/>
      <c r="F23" s="104" t="s">
        <v>136</v>
      </c>
      <c r="G23" s="90" t="s">
        <v>137</v>
      </c>
      <c r="H23" s="93" t="s">
        <v>28</v>
      </c>
      <c r="I23" s="11">
        <v>1</v>
      </c>
      <c r="J23" s="11" t="s">
        <v>65</v>
      </c>
      <c r="K23" s="96" t="s">
        <v>116</v>
      </c>
      <c r="L23" s="126">
        <v>170</v>
      </c>
      <c r="M23" s="126">
        <v>115</v>
      </c>
      <c r="N23" s="126">
        <v>85</v>
      </c>
      <c r="O23" s="106">
        <f>L23*M23*N23/1000000</f>
        <v>1.6617500000000001</v>
      </c>
      <c r="P23" s="95">
        <v>1568</v>
      </c>
      <c r="Q23" s="95">
        <v>1668</v>
      </c>
      <c r="R23" s="93" t="s">
        <v>117</v>
      </c>
      <c r="S23" s="66" t="s">
        <v>119</v>
      </c>
      <c r="T23" s="75"/>
      <c r="U23" s="66" t="s">
        <v>25</v>
      </c>
      <c r="W23" s="47"/>
      <c r="X23" s="47"/>
      <c r="Y23" s="47"/>
      <c r="Z23" s="47"/>
      <c r="AA23" s="47"/>
      <c r="AB23" s="47"/>
      <c r="AC23" s="47"/>
      <c r="AJ23" s="47"/>
      <c r="AK23" s="47"/>
      <c r="AL23" s="47"/>
      <c r="AM23" s="47"/>
      <c r="AN23" s="47"/>
    </row>
    <row r="24" spans="2:40" s="48" customFormat="1" ht="28.5" customHeight="1">
      <c r="B24" s="90"/>
      <c r="C24" s="90" t="s">
        <v>34</v>
      </c>
      <c r="D24" s="91" t="s">
        <v>150</v>
      </c>
      <c r="E24" s="74"/>
      <c r="F24" s="122" t="s">
        <v>136</v>
      </c>
      <c r="G24" s="64" t="s">
        <v>27</v>
      </c>
      <c r="H24" s="93" t="s">
        <v>28</v>
      </c>
      <c r="I24" s="62">
        <v>40</v>
      </c>
      <c r="J24" s="62" t="s">
        <v>138</v>
      </c>
      <c r="K24" s="66"/>
      <c r="L24" s="127"/>
      <c r="M24" s="127"/>
      <c r="N24" s="127"/>
      <c r="O24" s="123"/>
      <c r="P24" s="124">
        <v>1060</v>
      </c>
      <c r="Q24" s="124"/>
      <c r="R24" s="66"/>
      <c r="S24" s="66"/>
      <c r="T24" s="75" t="s">
        <v>151</v>
      </c>
      <c r="U24" s="66"/>
      <c r="W24" s="47"/>
      <c r="X24" s="47"/>
      <c r="Y24" s="47"/>
      <c r="Z24" s="47"/>
      <c r="AA24" s="47"/>
      <c r="AB24" s="47"/>
      <c r="AC24" s="47"/>
      <c r="AJ24" s="47"/>
      <c r="AK24" s="47"/>
      <c r="AL24" s="47"/>
      <c r="AM24" s="47"/>
      <c r="AN24" s="47"/>
    </row>
    <row r="25" spans="2:40" s="48" customFormat="1" ht="28.5" customHeight="1">
      <c r="B25" s="90"/>
      <c r="C25" s="90" t="s">
        <v>34</v>
      </c>
      <c r="D25" s="91" t="s">
        <v>152</v>
      </c>
      <c r="E25" s="74"/>
      <c r="F25" s="122" t="s">
        <v>136</v>
      </c>
      <c r="G25" s="64" t="s">
        <v>27</v>
      </c>
      <c r="H25" s="93" t="s">
        <v>28</v>
      </c>
      <c r="I25" s="62">
        <v>160</v>
      </c>
      <c r="J25" s="62" t="s">
        <v>138</v>
      </c>
      <c r="K25" s="66"/>
      <c r="L25" s="127"/>
      <c r="M25" s="127"/>
      <c r="N25" s="127"/>
      <c r="O25" s="123"/>
      <c r="P25" s="124">
        <v>288</v>
      </c>
      <c r="Q25" s="124"/>
      <c r="R25" s="66"/>
      <c r="S25" s="66"/>
      <c r="T25" s="75" t="s">
        <v>151</v>
      </c>
      <c r="U25" s="66"/>
      <c r="W25" s="47"/>
      <c r="X25" s="47"/>
      <c r="Y25" s="47"/>
      <c r="Z25" s="47"/>
      <c r="AA25" s="47"/>
      <c r="AB25" s="47"/>
      <c r="AC25" s="47"/>
      <c r="AJ25" s="47"/>
      <c r="AK25" s="47"/>
      <c r="AL25" s="47"/>
      <c r="AM25" s="47"/>
      <c r="AN25" s="47"/>
    </row>
    <row r="26" spans="2:40" s="48" customFormat="1" ht="28.5" customHeight="1">
      <c r="B26" s="90"/>
      <c r="C26" s="90" t="s">
        <v>34</v>
      </c>
      <c r="D26" s="91" t="s">
        <v>153</v>
      </c>
      <c r="E26" s="74"/>
      <c r="F26" s="122" t="s">
        <v>136</v>
      </c>
      <c r="G26" s="64" t="s">
        <v>27</v>
      </c>
      <c r="H26" s="93" t="s">
        <v>28</v>
      </c>
      <c r="I26" s="11">
        <v>16</v>
      </c>
      <c r="J26" s="11" t="s">
        <v>138</v>
      </c>
      <c r="K26" s="93"/>
      <c r="L26" s="126"/>
      <c r="M26" s="126"/>
      <c r="N26" s="126"/>
      <c r="O26" s="123"/>
      <c r="P26" s="124">
        <v>175</v>
      </c>
      <c r="Q26" s="124"/>
      <c r="R26" s="66"/>
      <c r="S26" s="66"/>
      <c r="T26" s="75" t="s">
        <v>154</v>
      </c>
      <c r="U26" s="66"/>
      <c r="W26" s="47"/>
      <c r="X26" s="47"/>
      <c r="Y26" s="47"/>
      <c r="Z26" s="47"/>
      <c r="AA26" s="47"/>
      <c r="AB26" s="47"/>
      <c r="AC26" s="47"/>
      <c r="AJ26" s="47"/>
      <c r="AK26" s="47"/>
      <c r="AL26" s="47"/>
      <c r="AM26" s="47"/>
      <c r="AN26" s="47"/>
    </row>
    <row r="27" spans="2:40" s="48" customFormat="1" ht="28.5" customHeight="1">
      <c r="B27" s="90"/>
      <c r="C27" s="90" t="s">
        <v>34</v>
      </c>
      <c r="D27" s="91" t="s">
        <v>155</v>
      </c>
      <c r="E27" s="74"/>
      <c r="F27" s="122" t="s">
        <v>136</v>
      </c>
      <c r="G27" s="64" t="s">
        <v>27</v>
      </c>
      <c r="H27" s="93" t="s">
        <v>28</v>
      </c>
      <c r="I27" s="11">
        <v>64</v>
      </c>
      <c r="J27" s="11" t="s">
        <v>138</v>
      </c>
      <c r="K27" s="93"/>
      <c r="L27" s="126"/>
      <c r="M27" s="126"/>
      <c r="N27" s="126"/>
      <c r="O27" s="123"/>
      <c r="P27" s="124">
        <v>45</v>
      </c>
      <c r="Q27" s="124"/>
      <c r="R27" s="66"/>
      <c r="S27" s="66"/>
      <c r="T27" s="75" t="s">
        <v>154</v>
      </c>
      <c r="U27" s="66"/>
      <c r="W27" s="47"/>
      <c r="X27" s="47"/>
      <c r="Y27" s="47"/>
      <c r="Z27" s="47"/>
      <c r="AA27" s="47"/>
      <c r="AB27" s="47"/>
      <c r="AC27" s="47"/>
      <c r="AJ27" s="47"/>
      <c r="AK27" s="47"/>
      <c r="AL27" s="47"/>
      <c r="AM27" s="47"/>
      <c r="AN27" s="47"/>
    </row>
    <row r="28" spans="2:40" s="48" customFormat="1" ht="28.5" customHeight="1">
      <c r="B28" s="90">
        <v>3</v>
      </c>
      <c r="C28" s="90" t="s">
        <v>39</v>
      </c>
      <c r="D28" s="91" t="s">
        <v>149</v>
      </c>
      <c r="E28" s="92"/>
      <c r="F28" s="104" t="s">
        <v>136</v>
      </c>
      <c r="G28" s="90" t="s">
        <v>27</v>
      </c>
      <c r="H28" s="93" t="s">
        <v>28</v>
      </c>
      <c r="I28" s="11">
        <v>1</v>
      </c>
      <c r="J28" s="11" t="s">
        <v>65</v>
      </c>
      <c r="K28" s="96" t="s">
        <v>116</v>
      </c>
      <c r="L28" s="126">
        <v>175</v>
      </c>
      <c r="M28" s="126">
        <v>115</v>
      </c>
      <c r="N28" s="126">
        <v>105</v>
      </c>
      <c r="O28" s="106">
        <f t="shared" ref="O28:O40" si="1">L28*M28*N28/1000000</f>
        <v>2.1131250000000001</v>
      </c>
      <c r="P28" s="95">
        <v>2120</v>
      </c>
      <c r="Q28" s="95">
        <v>2240</v>
      </c>
      <c r="R28" s="93" t="s">
        <v>117</v>
      </c>
      <c r="S28" s="66" t="s">
        <v>119</v>
      </c>
      <c r="T28" s="75"/>
      <c r="U28" s="66" t="s">
        <v>25</v>
      </c>
      <c r="W28" s="47"/>
      <c r="X28" s="47"/>
      <c r="Y28" s="47"/>
      <c r="Z28" s="47"/>
      <c r="AA28" s="47"/>
      <c r="AB28" s="47"/>
      <c r="AC28" s="47"/>
      <c r="AJ28" s="47"/>
      <c r="AK28" s="47"/>
      <c r="AL28" s="47"/>
      <c r="AM28" s="47"/>
      <c r="AN28" s="47"/>
    </row>
    <row r="29" spans="2:40" s="48" customFormat="1" ht="28.5" customHeight="1">
      <c r="B29" s="90"/>
      <c r="C29" s="90" t="s">
        <v>39</v>
      </c>
      <c r="D29" s="91" t="s">
        <v>40</v>
      </c>
      <c r="E29" s="92"/>
      <c r="F29" s="104" t="s">
        <v>136</v>
      </c>
      <c r="G29" s="90" t="s">
        <v>27</v>
      </c>
      <c r="H29" s="93" t="s">
        <v>28</v>
      </c>
      <c r="I29" s="11">
        <v>53</v>
      </c>
      <c r="J29" s="11" t="s">
        <v>23</v>
      </c>
      <c r="K29" s="96"/>
      <c r="L29" s="126"/>
      <c r="M29" s="126"/>
      <c r="N29" s="126"/>
      <c r="O29" s="106"/>
      <c r="P29" s="95">
        <v>1654</v>
      </c>
      <c r="Q29" s="95"/>
      <c r="R29" s="93"/>
      <c r="S29" s="66"/>
      <c r="T29" s="75" t="s">
        <v>156</v>
      </c>
      <c r="U29" s="66"/>
      <c r="W29" s="47"/>
      <c r="X29" s="47"/>
      <c r="Y29" s="47"/>
      <c r="Z29" s="47"/>
      <c r="AA29" s="47"/>
      <c r="AB29" s="47"/>
      <c r="AC29" s="47"/>
      <c r="AJ29" s="47"/>
      <c r="AK29" s="47"/>
      <c r="AL29" s="47"/>
      <c r="AM29" s="47"/>
      <c r="AN29" s="47"/>
    </row>
    <row r="30" spans="2:40" s="48" customFormat="1" ht="28.5" customHeight="1">
      <c r="B30" s="90"/>
      <c r="C30" s="90" t="s">
        <v>39</v>
      </c>
      <c r="D30" s="91" t="s">
        <v>41</v>
      </c>
      <c r="E30" s="92"/>
      <c r="F30" s="104" t="s">
        <v>136</v>
      </c>
      <c r="G30" s="90" t="s">
        <v>27</v>
      </c>
      <c r="H30" s="93" t="s">
        <v>28</v>
      </c>
      <c r="I30" s="11">
        <v>212</v>
      </c>
      <c r="J30" s="11" t="s">
        <v>23</v>
      </c>
      <c r="K30" s="96"/>
      <c r="L30" s="126"/>
      <c r="M30" s="126"/>
      <c r="N30" s="126"/>
      <c r="O30" s="106"/>
      <c r="P30" s="95">
        <v>466</v>
      </c>
      <c r="Q30" s="95"/>
      <c r="R30" s="93"/>
      <c r="S30" s="66"/>
      <c r="T30" s="75" t="s">
        <v>156</v>
      </c>
      <c r="U30" s="66"/>
      <c r="W30" s="47"/>
      <c r="X30" s="47"/>
      <c r="Y30" s="47"/>
      <c r="Z30" s="47"/>
      <c r="AA30" s="47"/>
      <c r="AB30" s="47"/>
      <c r="AC30" s="47"/>
      <c r="AJ30" s="47"/>
      <c r="AK30" s="47"/>
      <c r="AL30" s="47"/>
      <c r="AM30" s="47"/>
      <c r="AN30" s="47"/>
    </row>
    <row r="31" spans="2:40" s="48" customFormat="1" ht="28.5" customHeight="1">
      <c r="B31" s="90">
        <v>4</v>
      </c>
      <c r="C31" s="90" t="s">
        <v>42</v>
      </c>
      <c r="D31" s="91" t="s">
        <v>149</v>
      </c>
      <c r="E31" s="92"/>
      <c r="F31" s="104" t="s">
        <v>136</v>
      </c>
      <c r="G31" s="90" t="s">
        <v>27</v>
      </c>
      <c r="H31" s="93" t="s">
        <v>28</v>
      </c>
      <c r="I31" s="11">
        <v>1</v>
      </c>
      <c r="J31" s="11" t="s">
        <v>65</v>
      </c>
      <c r="K31" s="96" t="s">
        <v>116</v>
      </c>
      <c r="L31" s="126">
        <v>175</v>
      </c>
      <c r="M31" s="126">
        <v>115</v>
      </c>
      <c r="N31" s="126">
        <v>105</v>
      </c>
      <c r="O31" s="106">
        <f t="shared" si="1"/>
        <v>2.1131250000000001</v>
      </c>
      <c r="P31" s="95">
        <v>2120</v>
      </c>
      <c r="Q31" s="95">
        <v>2240</v>
      </c>
      <c r="R31" s="93" t="s">
        <v>117</v>
      </c>
      <c r="S31" s="66" t="s">
        <v>119</v>
      </c>
      <c r="T31" s="75"/>
      <c r="U31" s="66" t="s">
        <v>25</v>
      </c>
      <c r="W31" s="47"/>
      <c r="X31" s="47"/>
      <c r="Y31" s="47"/>
      <c r="Z31" s="47"/>
      <c r="AA31" s="47"/>
      <c r="AB31" s="47"/>
      <c r="AC31" s="47"/>
      <c r="AJ31" s="47"/>
      <c r="AK31" s="47"/>
      <c r="AL31" s="47"/>
      <c r="AM31" s="47"/>
      <c r="AN31" s="47"/>
    </row>
    <row r="32" spans="2:40" s="48" customFormat="1" ht="28.5" customHeight="1">
      <c r="B32" s="90"/>
      <c r="C32" s="90" t="s">
        <v>42</v>
      </c>
      <c r="D32" s="91" t="s">
        <v>157</v>
      </c>
      <c r="E32" s="74"/>
      <c r="F32" s="104" t="s">
        <v>136</v>
      </c>
      <c r="G32" s="90" t="s">
        <v>27</v>
      </c>
      <c r="H32" s="93" t="s">
        <v>28</v>
      </c>
      <c r="I32" s="62">
        <v>53</v>
      </c>
      <c r="J32" s="11" t="s">
        <v>138</v>
      </c>
      <c r="K32" s="67"/>
      <c r="L32" s="127"/>
      <c r="M32" s="127"/>
      <c r="N32" s="127"/>
      <c r="O32" s="125"/>
      <c r="P32" s="124">
        <v>1654</v>
      </c>
      <c r="Q32" s="124"/>
      <c r="R32" s="66"/>
      <c r="S32" s="66"/>
      <c r="T32" s="75" t="s">
        <v>156</v>
      </c>
      <c r="U32" s="66"/>
      <c r="W32" s="47"/>
      <c r="X32" s="47"/>
      <c r="Y32" s="47"/>
      <c r="Z32" s="47"/>
      <c r="AA32" s="47"/>
      <c r="AB32" s="47"/>
      <c r="AC32" s="47"/>
      <c r="AJ32" s="47"/>
      <c r="AK32" s="47"/>
      <c r="AL32" s="47"/>
      <c r="AM32" s="47"/>
      <c r="AN32" s="47"/>
    </row>
    <row r="33" spans="1:40" s="48" customFormat="1" ht="28.5" customHeight="1">
      <c r="B33" s="90"/>
      <c r="C33" s="90" t="s">
        <v>42</v>
      </c>
      <c r="D33" s="91" t="s">
        <v>158</v>
      </c>
      <c r="E33" s="74"/>
      <c r="F33" s="104" t="s">
        <v>136</v>
      </c>
      <c r="G33" s="90" t="s">
        <v>27</v>
      </c>
      <c r="H33" s="93" t="s">
        <v>28</v>
      </c>
      <c r="I33" s="62">
        <v>212</v>
      </c>
      <c r="J33" s="11" t="s">
        <v>138</v>
      </c>
      <c r="K33" s="67"/>
      <c r="L33" s="127"/>
      <c r="M33" s="127"/>
      <c r="N33" s="127"/>
      <c r="O33" s="125"/>
      <c r="P33" s="124">
        <v>466</v>
      </c>
      <c r="Q33" s="124"/>
      <c r="R33" s="66"/>
      <c r="S33" s="66"/>
      <c r="T33" s="75" t="s">
        <v>156</v>
      </c>
      <c r="U33" s="66"/>
      <c r="W33" s="47"/>
      <c r="X33" s="47"/>
      <c r="Y33" s="47"/>
      <c r="Z33" s="47"/>
      <c r="AA33" s="47"/>
      <c r="AB33" s="47"/>
      <c r="AC33" s="47"/>
      <c r="AJ33" s="47"/>
      <c r="AK33" s="47"/>
      <c r="AL33" s="47"/>
      <c r="AM33" s="47"/>
      <c r="AN33" s="47"/>
    </row>
    <row r="34" spans="1:40" s="48" customFormat="1" ht="28.5" customHeight="1">
      <c r="A34" s="48" t="s">
        <v>159</v>
      </c>
      <c r="B34" s="90">
        <v>5</v>
      </c>
      <c r="C34" s="90" t="s">
        <v>43</v>
      </c>
      <c r="D34" s="91" t="s">
        <v>149</v>
      </c>
      <c r="E34" s="92"/>
      <c r="F34" s="104" t="s">
        <v>136</v>
      </c>
      <c r="G34" s="90" t="s">
        <v>27</v>
      </c>
      <c r="H34" s="93" t="s">
        <v>28</v>
      </c>
      <c r="I34" s="11">
        <v>1</v>
      </c>
      <c r="J34" s="11" t="s">
        <v>65</v>
      </c>
      <c r="K34" s="96" t="s">
        <v>116</v>
      </c>
      <c r="L34" s="126">
        <v>175</v>
      </c>
      <c r="M34" s="126">
        <v>115</v>
      </c>
      <c r="N34" s="126">
        <v>105</v>
      </c>
      <c r="O34" s="106">
        <f t="shared" si="1"/>
        <v>2.1131250000000001</v>
      </c>
      <c r="P34" s="95">
        <v>2160</v>
      </c>
      <c r="Q34" s="95">
        <v>2280</v>
      </c>
      <c r="R34" s="93" t="s">
        <v>117</v>
      </c>
      <c r="S34" s="66" t="s">
        <v>119</v>
      </c>
      <c r="T34" s="75"/>
      <c r="U34" s="66" t="s">
        <v>25</v>
      </c>
      <c r="W34" s="47"/>
      <c r="X34" s="47"/>
      <c r="Y34" s="47"/>
      <c r="Z34" s="47"/>
      <c r="AA34" s="47"/>
      <c r="AB34" s="47"/>
      <c r="AC34" s="47"/>
      <c r="AJ34" s="47"/>
      <c r="AK34" s="47"/>
      <c r="AL34" s="47"/>
      <c r="AM34" s="47"/>
      <c r="AN34" s="47"/>
    </row>
    <row r="35" spans="1:40" s="48" customFormat="1" ht="28.5" customHeight="1">
      <c r="B35" s="90"/>
      <c r="C35" s="90" t="s">
        <v>43</v>
      </c>
      <c r="D35" s="91" t="s">
        <v>157</v>
      </c>
      <c r="E35" s="74"/>
      <c r="F35" s="104" t="s">
        <v>136</v>
      </c>
      <c r="G35" s="90" t="s">
        <v>27</v>
      </c>
      <c r="H35" s="93" t="s">
        <v>28</v>
      </c>
      <c r="I35" s="62">
        <v>54</v>
      </c>
      <c r="J35" s="62" t="s">
        <v>138</v>
      </c>
      <c r="K35" s="67"/>
      <c r="L35" s="127"/>
      <c r="M35" s="127"/>
      <c r="N35" s="127"/>
      <c r="O35" s="125"/>
      <c r="P35" s="124">
        <v>1685</v>
      </c>
      <c r="Q35" s="124"/>
      <c r="R35" s="66"/>
      <c r="S35" s="66"/>
      <c r="T35" s="75" t="s">
        <v>156</v>
      </c>
      <c r="U35" s="66"/>
      <c r="W35" s="47"/>
      <c r="X35" s="47"/>
      <c r="Y35" s="47"/>
      <c r="Z35" s="47"/>
      <c r="AA35" s="47"/>
      <c r="AB35" s="47"/>
      <c r="AC35" s="47"/>
      <c r="AJ35" s="47"/>
      <c r="AK35" s="47"/>
      <c r="AL35" s="47"/>
      <c r="AM35" s="47"/>
      <c r="AN35" s="47"/>
    </row>
    <row r="36" spans="1:40" s="48" customFormat="1" ht="28.5" customHeight="1">
      <c r="B36" s="90"/>
      <c r="C36" s="90" t="s">
        <v>43</v>
      </c>
      <c r="D36" s="91" t="s">
        <v>158</v>
      </c>
      <c r="E36" s="74"/>
      <c r="F36" s="104" t="s">
        <v>136</v>
      </c>
      <c r="G36" s="90" t="s">
        <v>27</v>
      </c>
      <c r="H36" s="93" t="s">
        <v>28</v>
      </c>
      <c r="I36" s="62">
        <v>216</v>
      </c>
      <c r="J36" s="62" t="s">
        <v>138</v>
      </c>
      <c r="K36" s="67"/>
      <c r="L36" s="127"/>
      <c r="M36" s="127"/>
      <c r="N36" s="127"/>
      <c r="O36" s="125"/>
      <c r="P36" s="124">
        <v>475</v>
      </c>
      <c r="Q36" s="124"/>
      <c r="R36" s="66"/>
      <c r="S36" s="66"/>
      <c r="T36" s="75" t="s">
        <v>156</v>
      </c>
      <c r="U36" s="66"/>
      <c r="W36" s="47"/>
      <c r="X36" s="47"/>
      <c r="Y36" s="47"/>
      <c r="Z36" s="47"/>
      <c r="AA36" s="47"/>
      <c r="AB36" s="47"/>
      <c r="AC36" s="47"/>
      <c r="AJ36" s="47"/>
      <c r="AK36" s="47"/>
      <c r="AL36" s="47"/>
      <c r="AM36" s="47"/>
      <c r="AN36" s="47"/>
    </row>
    <row r="37" spans="1:40" s="48" customFormat="1" ht="28.5" customHeight="1">
      <c r="B37" s="90">
        <v>6</v>
      </c>
      <c r="C37" s="90" t="s">
        <v>44</v>
      </c>
      <c r="D37" s="91" t="s">
        <v>149</v>
      </c>
      <c r="E37" s="92"/>
      <c r="F37" s="104" t="s">
        <v>136</v>
      </c>
      <c r="G37" s="90" t="s">
        <v>27</v>
      </c>
      <c r="H37" s="93" t="s">
        <v>28</v>
      </c>
      <c r="I37" s="11">
        <v>1</v>
      </c>
      <c r="J37" s="11" t="s">
        <v>65</v>
      </c>
      <c r="K37" s="96" t="s">
        <v>116</v>
      </c>
      <c r="L37" s="126">
        <v>215</v>
      </c>
      <c r="M37" s="126">
        <v>115</v>
      </c>
      <c r="N37" s="126">
        <v>85</v>
      </c>
      <c r="O37" s="106">
        <f t="shared" si="1"/>
        <v>2.1016249999999999</v>
      </c>
      <c r="P37" s="95">
        <v>2376</v>
      </c>
      <c r="Q37" s="95">
        <v>2516</v>
      </c>
      <c r="R37" s="93" t="s">
        <v>117</v>
      </c>
      <c r="S37" s="66" t="s">
        <v>119</v>
      </c>
      <c r="T37" s="75"/>
      <c r="U37" s="66" t="s">
        <v>25</v>
      </c>
      <c r="W37" s="47"/>
      <c r="X37" s="47"/>
      <c r="Y37" s="47"/>
      <c r="Z37" s="47"/>
      <c r="AA37" s="47"/>
      <c r="AB37" s="47"/>
      <c r="AC37" s="47"/>
      <c r="AJ37" s="47"/>
      <c r="AK37" s="47"/>
      <c r="AL37" s="47"/>
      <c r="AM37" s="47"/>
      <c r="AN37" s="47"/>
    </row>
    <row r="38" spans="1:40" s="48" customFormat="1" ht="28.5" customHeight="1">
      <c r="B38" s="90"/>
      <c r="C38" s="90" t="s">
        <v>44</v>
      </c>
      <c r="D38" s="91" t="s">
        <v>45</v>
      </c>
      <c r="E38" s="92"/>
      <c r="F38" s="104" t="s">
        <v>136</v>
      </c>
      <c r="G38" s="90" t="s">
        <v>27</v>
      </c>
      <c r="H38" s="93" t="s">
        <v>28</v>
      </c>
      <c r="I38" s="11">
        <v>72</v>
      </c>
      <c r="J38" s="11" t="s">
        <v>23</v>
      </c>
      <c r="K38" s="96"/>
      <c r="L38" s="126"/>
      <c r="M38" s="126"/>
      <c r="N38" s="126"/>
      <c r="O38" s="106"/>
      <c r="P38" s="95">
        <v>2029</v>
      </c>
      <c r="Q38" s="95"/>
      <c r="R38" s="93"/>
      <c r="S38" s="66"/>
      <c r="T38" s="75" t="s">
        <v>160</v>
      </c>
      <c r="U38" s="66"/>
      <c r="W38" s="47"/>
      <c r="X38" s="47"/>
      <c r="Y38" s="47"/>
      <c r="Z38" s="47"/>
      <c r="AA38" s="47"/>
      <c r="AB38" s="47"/>
      <c r="AC38" s="47"/>
      <c r="AJ38" s="47"/>
      <c r="AK38" s="47"/>
      <c r="AL38" s="47"/>
      <c r="AM38" s="47"/>
      <c r="AN38" s="47"/>
    </row>
    <row r="39" spans="1:40" s="48" customFormat="1" ht="28.5" customHeight="1">
      <c r="B39" s="90"/>
      <c r="C39" s="90" t="s">
        <v>44</v>
      </c>
      <c r="D39" s="91" t="s">
        <v>46</v>
      </c>
      <c r="E39" s="92"/>
      <c r="F39" s="104" t="s">
        <v>136</v>
      </c>
      <c r="G39" s="90" t="s">
        <v>27</v>
      </c>
      <c r="H39" s="93" t="s">
        <v>28</v>
      </c>
      <c r="I39" s="11">
        <v>288</v>
      </c>
      <c r="J39" s="11" t="s">
        <v>23</v>
      </c>
      <c r="K39" s="96"/>
      <c r="L39" s="126"/>
      <c r="M39" s="126"/>
      <c r="N39" s="126"/>
      <c r="O39" s="106"/>
      <c r="P39" s="95">
        <v>347</v>
      </c>
      <c r="Q39" s="95"/>
      <c r="R39" s="93"/>
      <c r="S39" s="66"/>
      <c r="T39" s="75" t="s">
        <v>160</v>
      </c>
      <c r="U39" s="66"/>
      <c r="W39" s="47"/>
      <c r="X39" s="47"/>
      <c r="Y39" s="47"/>
      <c r="Z39" s="47"/>
      <c r="AA39" s="47"/>
      <c r="AB39" s="47"/>
      <c r="AC39" s="47"/>
      <c r="AJ39" s="47"/>
      <c r="AK39" s="47"/>
      <c r="AL39" s="47"/>
      <c r="AM39" s="47"/>
      <c r="AN39" s="47"/>
    </row>
    <row r="40" spans="1:40" s="48" customFormat="1" ht="28.5" customHeight="1">
      <c r="B40" s="90">
        <v>7</v>
      </c>
      <c r="C40" s="90" t="s">
        <v>47</v>
      </c>
      <c r="D40" s="91" t="s">
        <v>149</v>
      </c>
      <c r="E40" s="92"/>
      <c r="F40" s="104" t="s">
        <v>136</v>
      </c>
      <c r="G40" s="90" t="s">
        <v>27</v>
      </c>
      <c r="H40" s="93" t="s">
        <v>28</v>
      </c>
      <c r="I40" s="11">
        <v>1</v>
      </c>
      <c r="J40" s="11" t="s">
        <v>65</v>
      </c>
      <c r="K40" s="96" t="s">
        <v>116</v>
      </c>
      <c r="L40" s="126">
        <v>115</v>
      </c>
      <c r="M40" s="126">
        <v>115</v>
      </c>
      <c r="N40" s="126">
        <v>80</v>
      </c>
      <c r="O40" s="106">
        <f t="shared" si="1"/>
        <v>1.0580000000000001</v>
      </c>
      <c r="P40" s="95">
        <v>1567</v>
      </c>
      <c r="Q40" s="95">
        <v>1627</v>
      </c>
      <c r="R40" s="93" t="s">
        <v>117</v>
      </c>
      <c r="S40" s="66" t="s">
        <v>119</v>
      </c>
      <c r="T40" s="75"/>
      <c r="U40" s="66" t="s">
        <v>25</v>
      </c>
      <c r="W40" s="47"/>
      <c r="X40" s="47"/>
      <c r="Y40" s="47"/>
      <c r="Z40" s="47"/>
      <c r="AA40" s="47"/>
      <c r="AB40" s="47"/>
      <c r="AC40" s="47"/>
      <c r="AJ40" s="47"/>
      <c r="AK40" s="47"/>
      <c r="AL40" s="47"/>
      <c r="AM40" s="47"/>
      <c r="AN40" s="47"/>
    </row>
    <row r="41" spans="1:40" s="48" customFormat="1" ht="28.5" customHeight="1">
      <c r="B41" s="90"/>
      <c r="C41" s="90" t="s">
        <v>47</v>
      </c>
      <c r="D41" s="91" t="s">
        <v>161</v>
      </c>
      <c r="E41" s="92"/>
      <c r="F41" s="104" t="s">
        <v>136</v>
      </c>
      <c r="G41" s="90" t="s">
        <v>27</v>
      </c>
      <c r="H41" s="93" t="s">
        <v>28</v>
      </c>
      <c r="I41" s="11">
        <v>40</v>
      </c>
      <c r="J41" s="11" t="s">
        <v>23</v>
      </c>
      <c r="K41" s="94"/>
      <c r="L41" s="126"/>
      <c r="M41" s="126"/>
      <c r="N41" s="126"/>
      <c r="O41" s="106"/>
      <c r="P41" s="95">
        <v>132</v>
      </c>
      <c r="Q41" s="95"/>
      <c r="R41" s="93"/>
      <c r="S41" s="66"/>
      <c r="T41" s="75" t="s">
        <v>151</v>
      </c>
      <c r="U41" s="66"/>
      <c r="W41" s="47"/>
      <c r="X41" s="47"/>
      <c r="Y41" s="47"/>
      <c r="Z41" s="47"/>
      <c r="AA41" s="47"/>
      <c r="AB41" s="47"/>
      <c r="AC41" s="47"/>
      <c r="AJ41" s="47"/>
      <c r="AK41" s="47"/>
      <c r="AL41" s="47"/>
      <c r="AM41" s="47"/>
      <c r="AN41" s="47"/>
    </row>
    <row r="42" spans="1:40" s="48" customFormat="1" ht="28.5" customHeight="1">
      <c r="B42" s="90"/>
      <c r="C42" s="90" t="s">
        <v>47</v>
      </c>
      <c r="D42" s="91" t="s">
        <v>162</v>
      </c>
      <c r="E42" s="92"/>
      <c r="F42" s="104" t="s">
        <v>136</v>
      </c>
      <c r="G42" s="90" t="s">
        <v>27</v>
      </c>
      <c r="H42" s="93" t="s">
        <v>28</v>
      </c>
      <c r="I42" s="11">
        <v>160</v>
      </c>
      <c r="J42" s="11" t="s">
        <v>23</v>
      </c>
      <c r="K42" s="93"/>
      <c r="L42" s="126"/>
      <c r="M42" s="126"/>
      <c r="N42" s="126"/>
      <c r="O42" s="105"/>
      <c r="P42" s="95">
        <v>432</v>
      </c>
      <c r="Q42" s="95"/>
      <c r="R42" s="93"/>
      <c r="S42" s="66"/>
      <c r="T42" s="75" t="s">
        <v>156</v>
      </c>
      <c r="U42" s="66"/>
      <c r="W42" s="47"/>
      <c r="X42" s="47"/>
      <c r="Y42" s="47"/>
      <c r="Z42" s="47"/>
      <c r="AA42" s="47"/>
      <c r="AB42" s="47"/>
      <c r="AC42" s="47"/>
      <c r="AJ42" s="47"/>
      <c r="AK42" s="47"/>
      <c r="AL42" s="47"/>
      <c r="AM42" s="47"/>
      <c r="AN42" s="47"/>
    </row>
    <row r="43" spans="1:40" s="48" customFormat="1" ht="28.5" customHeight="1">
      <c r="B43" s="90"/>
      <c r="C43" s="90" t="s">
        <v>47</v>
      </c>
      <c r="D43" s="91" t="s">
        <v>163</v>
      </c>
      <c r="E43" s="92"/>
      <c r="F43" s="104" t="s">
        <v>136</v>
      </c>
      <c r="G43" s="90" t="s">
        <v>27</v>
      </c>
      <c r="H43" s="93" t="s">
        <v>28</v>
      </c>
      <c r="I43" s="11">
        <v>16</v>
      </c>
      <c r="J43" s="11" t="s">
        <v>23</v>
      </c>
      <c r="K43" s="93"/>
      <c r="L43" s="126"/>
      <c r="M43" s="126"/>
      <c r="N43" s="126"/>
      <c r="O43" s="105"/>
      <c r="P43" s="95">
        <v>19</v>
      </c>
      <c r="Q43" s="95"/>
      <c r="R43" s="93"/>
      <c r="S43" s="66"/>
      <c r="T43" s="75" t="s">
        <v>154</v>
      </c>
      <c r="U43" s="66"/>
      <c r="W43" s="47"/>
      <c r="X43" s="47"/>
      <c r="Y43" s="47"/>
      <c r="Z43" s="47"/>
      <c r="AA43" s="47"/>
      <c r="AB43" s="47"/>
      <c r="AC43" s="47"/>
      <c r="AJ43" s="47"/>
      <c r="AK43" s="47"/>
      <c r="AL43" s="47"/>
      <c r="AM43" s="47"/>
      <c r="AN43" s="47"/>
    </row>
    <row r="44" spans="1:40" s="48" customFormat="1" ht="28.5" customHeight="1">
      <c r="B44" s="90"/>
      <c r="C44" s="90" t="s">
        <v>47</v>
      </c>
      <c r="D44" s="97" t="s">
        <v>164</v>
      </c>
      <c r="E44" s="92"/>
      <c r="F44" s="104" t="s">
        <v>136</v>
      </c>
      <c r="G44" s="90" t="s">
        <v>27</v>
      </c>
      <c r="H44" s="93" t="s">
        <v>28</v>
      </c>
      <c r="I44" s="11">
        <v>72</v>
      </c>
      <c r="J44" s="11" t="s">
        <v>23</v>
      </c>
      <c r="K44" s="93"/>
      <c r="L44" s="126"/>
      <c r="M44" s="126"/>
      <c r="N44" s="126"/>
      <c r="O44" s="105"/>
      <c r="P44" s="95">
        <v>129</v>
      </c>
      <c r="Q44" s="95"/>
      <c r="R44" s="93"/>
      <c r="S44" s="66"/>
      <c r="T44" s="75" t="s">
        <v>160</v>
      </c>
      <c r="U44" s="66"/>
      <c r="W44" s="47"/>
      <c r="X44" s="47"/>
      <c r="Y44" s="47"/>
      <c r="Z44" s="47"/>
      <c r="AA44" s="47"/>
      <c r="AB44" s="47"/>
      <c r="AC44" s="47"/>
      <c r="AJ44" s="47"/>
      <c r="AK44" s="47"/>
      <c r="AL44" s="47"/>
      <c r="AM44" s="47"/>
      <c r="AN44" s="47"/>
    </row>
    <row r="45" spans="1:40" s="48" customFormat="1" ht="28.5" customHeight="1">
      <c r="B45" s="90"/>
      <c r="C45" s="90" t="s">
        <v>47</v>
      </c>
      <c r="D45" s="91" t="s">
        <v>165</v>
      </c>
      <c r="E45" s="92"/>
      <c r="F45" s="104" t="s">
        <v>136</v>
      </c>
      <c r="G45" s="90" t="s">
        <v>27</v>
      </c>
      <c r="H45" s="93" t="s">
        <v>28</v>
      </c>
      <c r="I45" s="11">
        <v>40</v>
      </c>
      <c r="J45" s="11" t="s">
        <v>23</v>
      </c>
      <c r="K45" s="93"/>
      <c r="L45" s="126"/>
      <c r="M45" s="126"/>
      <c r="N45" s="126"/>
      <c r="O45" s="105"/>
      <c r="P45" s="95">
        <v>108</v>
      </c>
      <c r="Q45" s="95"/>
      <c r="R45" s="93"/>
      <c r="S45" s="66"/>
      <c r="T45" s="75" t="s">
        <v>166</v>
      </c>
      <c r="U45" s="66"/>
      <c r="W45" s="47"/>
      <c r="X45" s="47"/>
      <c r="Y45" s="47"/>
      <c r="Z45" s="47"/>
      <c r="AA45" s="47"/>
      <c r="AB45" s="47"/>
      <c r="AC45" s="47"/>
      <c r="AJ45" s="47"/>
      <c r="AK45" s="47"/>
      <c r="AL45" s="47"/>
      <c r="AM45" s="47"/>
      <c r="AN45" s="47"/>
    </row>
    <row r="46" spans="1:40" s="48" customFormat="1" ht="28.5" customHeight="1">
      <c r="B46" s="90"/>
      <c r="C46" s="90" t="s">
        <v>47</v>
      </c>
      <c r="D46" s="91" t="s">
        <v>165</v>
      </c>
      <c r="E46" s="92"/>
      <c r="F46" s="104" t="s">
        <v>136</v>
      </c>
      <c r="G46" s="90" t="s">
        <v>27</v>
      </c>
      <c r="H46" s="93" t="s">
        <v>28</v>
      </c>
      <c r="I46" s="11">
        <v>160</v>
      </c>
      <c r="J46" s="11" t="s">
        <v>23</v>
      </c>
      <c r="K46" s="93"/>
      <c r="L46" s="126"/>
      <c r="M46" s="126"/>
      <c r="N46" s="126"/>
      <c r="O46" s="105"/>
      <c r="P46" s="95">
        <v>432</v>
      </c>
      <c r="Q46" s="95"/>
      <c r="R46" s="93"/>
      <c r="S46" s="66"/>
      <c r="T46" s="75" t="s">
        <v>167</v>
      </c>
      <c r="U46" s="66"/>
      <c r="W46" s="47"/>
      <c r="X46" s="47"/>
      <c r="Y46" s="47"/>
      <c r="Z46" s="47"/>
      <c r="AA46" s="47"/>
      <c r="AB46" s="47"/>
      <c r="AC46" s="47"/>
      <c r="AJ46" s="47"/>
      <c r="AK46" s="47"/>
      <c r="AL46" s="47"/>
      <c r="AM46" s="47"/>
      <c r="AN46" s="47"/>
    </row>
    <row r="47" spans="1:40" s="48" customFormat="1" ht="28.5" customHeight="1">
      <c r="B47" s="90"/>
      <c r="C47" s="90" t="s">
        <v>47</v>
      </c>
      <c r="D47" s="91" t="s">
        <v>168</v>
      </c>
      <c r="E47" s="92"/>
      <c r="F47" s="104" t="s">
        <v>136</v>
      </c>
      <c r="G47" s="90" t="s">
        <v>27</v>
      </c>
      <c r="H47" s="93" t="s">
        <v>28</v>
      </c>
      <c r="I47" s="11">
        <v>16</v>
      </c>
      <c r="J47" s="11" t="s">
        <v>23</v>
      </c>
      <c r="K47" s="93"/>
      <c r="L47" s="126"/>
      <c r="M47" s="126"/>
      <c r="N47" s="126"/>
      <c r="O47" s="105"/>
      <c r="P47" s="95">
        <v>14</v>
      </c>
      <c r="Q47" s="95"/>
      <c r="R47" s="93"/>
      <c r="S47" s="66"/>
      <c r="T47" s="75" t="s">
        <v>169</v>
      </c>
      <c r="U47" s="66"/>
      <c r="W47" s="47"/>
      <c r="X47" s="47"/>
      <c r="Y47" s="47"/>
      <c r="Z47" s="47"/>
      <c r="AA47" s="47"/>
      <c r="AB47" s="47"/>
      <c r="AC47" s="47"/>
      <c r="AJ47" s="47"/>
      <c r="AK47" s="47"/>
      <c r="AL47" s="47"/>
      <c r="AM47" s="47"/>
      <c r="AN47" s="47"/>
    </row>
    <row r="48" spans="1:40" s="48" customFormat="1" ht="28.5" customHeight="1">
      <c r="B48" s="90"/>
      <c r="C48" s="90" t="s">
        <v>47</v>
      </c>
      <c r="D48" s="91" t="s">
        <v>170</v>
      </c>
      <c r="E48" s="92"/>
      <c r="F48" s="104" t="s">
        <v>136</v>
      </c>
      <c r="G48" s="90" t="s">
        <v>27</v>
      </c>
      <c r="H48" s="93" t="s">
        <v>28</v>
      </c>
      <c r="I48" s="11">
        <v>72</v>
      </c>
      <c r="J48" s="11" t="s">
        <v>23</v>
      </c>
      <c r="K48" s="93"/>
      <c r="L48" s="126"/>
      <c r="M48" s="126"/>
      <c r="N48" s="126"/>
      <c r="O48" s="105"/>
      <c r="P48" s="95">
        <v>129</v>
      </c>
      <c r="Q48" s="95"/>
      <c r="R48" s="93"/>
      <c r="S48" s="66"/>
      <c r="T48" s="75" t="s">
        <v>160</v>
      </c>
      <c r="U48" s="66"/>
      <c r="W48" s="47"/>
      <c r="X48" s="47"/>
      <c r="Y48" s="47"/>
      <c r="Z48" s="47"/>
      <c r="AA48" s="47"/>
      <c r="AB48" s="47"/>
      <c r="AC48" s="47"/>
      <c r="AJ48" s="47"/>
      <c r="AK48" s="47"/>
      <c r="AL48" s="47"/>
      <c r="AM48" s="47"/>
      <c r="AN48" s="47"/>
    </row>
    <row r="49" spans="2:40" s="48" customFormat="1" ht="28.5" customHeight="1">
      <c r="B49" s="90"/>
      <c r="C49" s="90" t="s">
        <v>47</v>
      </c>
      <c r="D49" s="91" t="s">
        <v>171</v>
      </c>
      <c r="E49" s="92"/>
      <c r="F49" s="104" t="s">
        <v>136</v>
      </c>
      <c r="G49" s="90" t="s">
        <v>27</v>
      </c>
      <c r="H49" s="93" t="s">
        <v>28</v>
      </c>
      <c r="I49" s="11">
        <v>40</v>
      </c>
      <c r="J49" s="11" t="s">
        <v>23</v>
      </c>
      <c r="K49" s="93"/>
      <c r="L49" s="126"/>
      <c r="M49" s="126"/>
      <c r="N49" s="126"/>
      <c r="O49" s="105"/>
      <c r="P49" s="95">
        <v>32</v>
      </c>
      <c r="Q49" s="95"/>
      <c r="R49" s="93"/>
      <c r="S49" s="66"/>
      <c r="T49" s="75" t="s">
        <v>151</v>
      </c>
      <c r="U49" s="66"/>
      <c r="W49" s="47"/>
      <c r="X49" s="47"/>
      <c r="Y49" s="47"/>
      <c r="Z49" s="47"/>
      <c r="AA49" s="47"/>
      <c r="AB49" s="47"/>
      <c r="AC49" s="47"/>
      <c r="AJ49" s="47"/>
      <c r="AK49" s="47"/>
      <c r="AL49" s="47"/>
      <c r="AM49" s="47"/>
      <c r="AN49" s="47"/>
    </row>
    <row r="50" spans="2:40" s="48" customFormat="1" ht="28.5" customHeight="1">
      <c r="B50" s="90"/>
      <c r="C50" s="90" t="s">
        <v>47</v>
      </c>
      <c r="D50" s="91" t="s">
        <v>171</v>
      </c>
      <c r="E50" s="92"/>
      <c r="F50" s="104" t="s">
        <v>136</v>
      </c>
      <c r="G50" s="90" t="s">
        <v>27</v>
      </c>
      <c r="H50" s="93" t="s">
        <v>28</v>
      </c>
      <c r="I50" s="11">
        <v>160</v>
      </c>
      <c r="J50" s="11" t="s">
        <v>23</v>
      </c>
      <c r="K50" s="93"/>
      <c r="L50" s="126"/>
      <c r="M50" s="126"/>
      <c r="N50" s="126"/>
      <c r="O50" s="105"/>
      <c r="P50" s="95">
        <v>128</v>
      </c>
      <c r="Q50" s="95"/>
      <c r="R50" s="93"/>
      <c r="S50" s="66"/>
      <c r="T50" s="75" t="s">
        <v>156</v>
      </c>
      <c r="U50" s="66"/>
      <c r="W50" s="47"/>
      <c r="X50" s="47"/>
      <c r="Y50" s="47"/>
      <c r="Z50" s="47"/>
      <c r="AA50" s="47"/>
      <c r="AB50" s="47"/>
      <c r="AC50" s="47"/>
      <c r="AJ50" s="47"/>
      <c r="AK50" s="47"/>
      <c r="AL50" s="47"/>
      <c r="AM50" s="47"/>
      <c r="AN50" s="47"/>
    </row>
    <row r="51" spans="2:40" s="48" customFormat="1" ht="28.5" customHeight="1">
      <c r="B51" s="90"/>
      <c r="C51" s="90" t="s">
        <v>47</v>
      </c>
      <c r="D51" s="97" t="s">
        <v>171</v>
      </c>
      <c r="E51" s="92"/>
      <c r="F51" s="104" t="s">
        <v>136</v>
      </c>
      <c r="G51" s="90" t="s">
        <v>27</v>
      </c>
      <c r="H51" s="93" t="s">
        <v>28</v>
      </c>
      <c r="I51" s="11">
        <v>16</v>
      </c>
      <c r="J51" s="11" t="s">
        <v>23</v>
      </c>
      <c r="K51" s="93"/>
      <c r="L51" s="126"/>
      <c r="M51" s="126"/>
      <c r="N51" s="126"/>
      <c r="O51" s="105"/>
      <c r="P51" s="95">
        <v>12</v>
      </c>
      <c r="Q51" s="95"/>
      <c r="R51" s="93"/>
      <c r="S51" s="66"/>
      <c r="T51" s="75" t="s">
        <v>154</v>
      </c>
      <c r="U51" s="66"/>
      <c r="W51" s="47"/>
      <c r="X51" s="47"/>
      <c r="Y51" s="47"/>
      <c r="Z51" s="47"/>
      <c r="AA51" s="47"/>
      <c r="AB51" s="47"/>
      <c r="AC51" s="47"/>
      <c r="AJ51" s="47"/>
      <c r="AK51" s="47"/>
      <c r="AL51" s="47"/>
      <c r="AM51" s="47"/>
      <c r="AN51" s="47"/>
    </row>
    <row r="52" spans="2:40" s="48" customFormat="1" ht="28.5" customHeight="1">
      <c r="B52" s="90">
        <v>8</v>
      </c>
      <c r="C52" s="90" t="s">
        <v>56</v>
      </c>
      <c r="D52" s="91" t="s">
        <v>149</v>
      </c>
      <c r="E52" s="92"/>
      <c r="F52" s="104" t="s">
        <v>136</v>
      </c>
      <c r="G52" s="90" t="s">
        <v>27</v>
      </c>
      <c r="H52" s="93" t="s">
        <v>28</v>
      </c>
      <c r="I52" s="11">
        <v>1</v>
      </c>
      <c r="J52" s="11" t="s">
        <v>65</v>
      </c>
      <c r="K52" s="96" t="s">
        <v>116</v>
      </c>
      <c r="L52" s="126">
        <v>245</v>
      </c>
      <c r="M52" s="126">
        <v>115</v>
      </c>
      <c r="N52" s="126">
        <v>120</v>
      </c>
      <c r="O52" s="106">
        <f>L52*M52*N52/1000000</f>
        <v>3.3809999999999998</v>
      </c>
      <c r="P52" s="95">
        <v>2640</v>
      </c>
      <c r="Q52" s="95">
        <v>2790</v>
      </c>
      <c r="R52" s="93" t="s">
        <v>117</v>
      </c>
      <c r="S52" s="66" t="s">
        <v>119</v>
      </c>
      <c r="T52" s="75"/>
      <c r="U52" s="66" t="s">
        <v>25</v>
      </c>
      <c r="W52" s="47"/>
      <c r="X52" s="47"/>
      <c r="Y52" s="47"/>
      <c r="Z52" s="47"/>
      <c r="AA52" s="47"/>
      <c r="AB52" s="47"/>
      <c r="AC52" s="47"/>
      <c r="AJ52" s="47"/>
      <c r="AK52" s="47"/>
      <c r="AL52" s="47"/>
      <c r="AM52" s="47"/>
      <c r="AN52" s="47"/>
    </row>
    <row r="53" spans="2:40" s="48" customFormat="1" ht="28.5" customHeight="1">
      <c r="B53" s="90"/>
      <c r="C53" s="90" t="s">
        <v>56</v>
      </c>
      <c r="D53" s="128" t="s">
        <v>172</v>
      </c>
      <c r="E53" s="129"/>
      <c r="F53" s="104" t="s">
        <v>136</v>
      </c>
      <c r="G53" s="90" t="s">
        <v>27</v>
      </c>
      <c r="H53" s="93" t="s">
        <v>28</v>
      </c>
      <c r="I53" s="11">
        <v>40</v>
      </c>
      <c r="J53" s="11" t="s">
        <v>23</v>
      </c>
      <c r="K53" s="94"/>
      <c r="L53" s="126"/>
      <c r="M53" s="126"/>
      <c r="N53" s="126"/>
      <c r="O53" s="106"/>
      <c r="P53" s="130">
        <f>444+32</f>
        <v>476</v>
      </c>
      <c r="Q53" s="95"/>
      <c r="R53" s="93"/>
      <c r="S53" s="66"/>
      <c r="T53" s="75" t="s">
        <v>151</v>
      </c>
      <c r="U53" s="66"/>
      <c r="W53" s="47"/>
      <c r="X53" s="47"/>
      <c r="Y53" s="47"/>
      <c r="Z53" s="47"/>
      <c r="AA53" s="47"/>
      <c r="AB53" s="47"/>
      <c r="AC53" s="47"/>
      <c r="AJ53" s="47"/>
      <c r="AK53" s="47"/>
      <c r="AL53" s="47"/>
      <c r="AM53" s="47"/>
      <c r="AN53" s="47"/>
    </row>
    <row r="54" spans="2:40" s="48" customFormat="1" ht="28.5" customHeight="1">
      <c r="B54" s="90"/>
      <c r="C54" s="90" t="s">
        <v>56</v>
      </c>
      <c r="D54" s="128" t="s">
        <v>173</v>
      </c>
      <c r="E54" s="129"/>
      <c r="F54" s="104" t="s">
        <v>136</v>
      </c>
      <c r="G54" s="90" t="s">
        <v>27</v>
      </c>
      <c r="H54" s="93" t="s">
        <v>28</v>
      </c>
      <c r="I54" s="11">
        <v>160</v>
      </c>
      <c r="J54" s="11" t="s">
        <v>23</v>
      </c>
      <c r="K54" s="93"/>
      <c r="L54" s="126"/>
      <c r="M54" s="126"/>
      <c r="N54" s="126"/>
      <c r="O54" s="105"/>
      <c r="P54" s="130">
        <f>1920+128</f>
        <v>2048</v>
      </c>
      <c r="Q54" s="95"/>
      <c r="R54" s="93"/>
      <c r="S54" s="66"/>
      <c r="T54" s="75" t="s">
        <v>156</v>
      </c>
      <c r="U54" s="66"/>
      <c r="W54" s="47"/>
      <c r="X54" s="47"/>
      <c r="Y54" s="47"/>
      <c r="Z54" s="47"/>
      <c r="AA54" s="47"/>
      <c r="AB54" s="47"/>
      <c r="AC54" s="47"/>
      <c r="AJ54" s="47"/>
      <c r="AK54" s="47"/>
      <c r="AL54" s="47"/>
      <c r="AM54" s="47"/>
      <c r="AN54" s="47"/>
    </row>
    <row r="55" spans="2:40" s="48" customFormat="1" ht="28.5" customHeight="1">
      <c r="B55" s="90"/>
      <c r="C55" s="90" t="s">
        <v>56</v>
      </c>
      <c r="D55" s="128" t="s">
        <v>174</v>
      </c>
      <c r="E55" s="129"/>
      <c r="F55" s="104" t="s">
        <v>136</v>
      </c>
      <c r="G55" s="90" t="s">
        <v>27</v>
      </c>
      <c r="H55" s="93" t="s">
        <v>28</v>
      </c>
      <c r="I55" s="11">
        <v>16</v>
      </c>
      <c r="J55" s="11" t="s">
        <v>23</v>
      </c>
      <c r="K55" s="93"/>
      <c r="L55" s="126"/>
      <c r="M55" s="126"/>
      <c r="N55" s="126"/>
      <c r="O55" s="105"/>
      <c r="P55" s="130">
        <f>104+12</f>
        <v>116</v>
      </c>
      <c r="Q55" s="95"/>
      <c r="R55" s="93"/>
      <c r="S55" s="66"/>
      <c r="T55" s="75" t="s">
        <v>154</v>
      </c>
      <c r="U55" s="66"/>
      <c r="W55" s="47"/>
      <c r="X55" s="47"/>
      <c r="Y55" s="47"/>
      <c r="Z55" s="47"/>
      <c r="AA55" s="47"/>
      <c r="AB55" s="47"/>
      <c r="AC55" s="47"/>
      <c r="AJ55" s="47"/>
      <c r="AK55" s="47"/>
      <c r="AL55" s="47"/>
      <c r="AM55" s="47"/>
      <c r="AN55" s="47"/>
    </row>
    <row r="56" spans="2:40" s="48" customFormat="1" ht="28.5" customHeight="1">
      <c r="B56" s="90">
        <v>9</v>
      </c>
      <c r="C56" s="90" t="s">
        <v>60</v>
      </c>
      <c r="D56" s="91" t="s">
        <v>149</v>
      </c>
      <c r="E56" s="92"/>
      <c r="F56" s="104" t="s">
        <v>136</v>
      </c>
      <c r="G56" s="90" t="s">
        <v>27</v>
      </c>
      <c r="H56" s="93" t="s">
        <v>28</v>
      </c>
      <c r="I56" s="11">
        <v>1</v>
      </c>
      <c r="J56" s="11" t="s">
        <v>65</v>
      </c>
      <c r="K56" s="96" t="s">
        <v>116</v>
      </c>
      <c r="L56" s="126">
        <v>90</v>
      </c>
      <c r="M56" s="126">
        <v>90</v>
      </c>
      <c r="N56" s="126">
        <v>60</v>
      </c>
      <c r="O56" s="106">
        <f>L56*M56*N56/1000000</f>
        <v>0.48599999999999999</v>
      </c>
      <c r="P56" s="95">
        <v>155</v>
      </c>
      <c r="Q56" s="95">
        <v>195</v>
      </c>
      <c r="R56" s="93" t="s">
        <v>117</v>
      </c>
      <c r="S56" s="66" t="s">
        <v>119</v>
      </c>
      <c r="T56" s="75"/>
      <c r="U56" s="66" t="s">
        <v>25</v>
      </c>
      <c r="W56" s="47"/>
      <c r="X56" s="47"/>
      <c r="Y56" s="47"/>
      <c r="Z56" s="47"/>
      <c r="AA56" s="47"/>
      <c r="AB56" s="47"/>
      <c r="AC56" s="47"/>
      <c r="AJ56" s="47"/>
      <c r="AK56" s="47"/>
      <c r="AL56" s="47"/>
      <c r="AM56" s="47"/>
      <c r="AN56" s="47"/>
    </row>
    <row r="57" spans="2:40" s="48" customFormat="1" ht="28.5" customHeight="1">
      <c r="B57" s="90"/>
      <c r="C57" s="90" t="s">
        <v>60</v>
      </c>
      <c r="D57" s="91" t="s">
        <v>36</v>
      </c>
      <c r="E57" s="92"/>
      <c r="F57" s="104" t="s">
        <v>136</v>
      </c>
      <c r="G57" s="90" t="s">
        <v>27</v>
      </c>
      <c r="H57" s="93" t="s">
        <v>28</v>
      </c>
      <c r="I57" s="11">
        <v>8</v>
      </c>
      <c r="J57" s="11" t="s">
        <v>23</v>
      </c>
      <c r="K57" s="94"/>
      <c r="L57" s="126"/>
      <c r="M57" s="126"/>
      <c r="N57" s="126"/>
      <c r="O57" s="106"/>
      <c r="P57" s="95">
        <v>14</v>
      </c>
      <c r="Q57" s="95"/>
      <c r="R57" s="93"/>
      <c r="S57" s="66"/>
      <c r="T57" s="75" t="s">
        <v>175</v>
      </c>
      <c r="U57" s="66"/>
      <c r="W57" s="47"/>
      <c r="X57" s="47"/>
      <c r="Y57" s="47"/>
      <c r="Z57" s="47"/>
      <c r="AA57" s="47"/>
      <c r="AB57" s="47"/>
      <c r="AC57" s="47"/>
      <c r="AJ57" s="47"/>
      <c r="AK57" s="47"/>
      <c r="AL57" s="47"/>
      <c r="AM57" s="47"/>
      <c r="AN57" s="47"/>
    </row>
    <row r="58" spans="2:40" s="48" customFormat="1" ht="28.5" customHeight="1">
      <c r="B58" s="90"/>
      <c r="C58" s="90" t="s">
        <v>60</v>
      </c>
      <c r="D58" s="91" t="s">
        <v>158</v>
      </c>
      <c r="E58" s="92"/>
      <c r="F58" s="104" t="s">
        <v>136</v>
      </c>
      <c r="G58" s="90" t="s">
        <v>27</v>
      </c>
      <c r="H58" s="93" t="s">
        <v>28</v>
      </c>
      <c r="I58" s="11">
        <v>32</v>
      </c>
      <c r="J58" s="11" t="s">
        <v>23</v>
      </c>
      <c r="K58" s="93"/>
      <c r="L58" s="126"/>
      <c r="M58" s="126"/>
      <c r="N58" s="126"/>
      <c r="O58" s="105"/>
      <c r="P58" s="95">
        <v>70</v>
      </c>
      <c r="Q58" s="95"/>
      <c r="R58" s="93"/>
      <c r="S58" s="66"/>
      <c r="T58" s="75" t="s">
        <v>175</v>
      </c>
      <c r="U58" s="66"/>
      <c r="W58" s="47"/>
      <c r="X58" s="47"/>
      <c r="Y58" s="47"/>
      <c r="Z58" s="47"/>
      <c r="AA58" s="47"/>
      <c r="AB58" s="47"/>
      <c r="AC58" s="47"/>
      <c r="AJ58" s="47"/>
      <c r="AK58" s="47"/>
      <c r="AL58" s="47"/>
      <c r="AM58" s="47"/>
      <c r="AN58" s="47"/>
    </row>
    <row r="59" spans="2:40" s="48" customFormat="1" ht="28.5" customHeight="1">
      <c r="B59" s="90"/>
      <c r="C59" s="90" t="s">
        <v>60</v>
      </c>
      <c r="D59" s="91" t="s">
        <v>155</v>
      </c>
      <c r="E59" s="92"/>
      <c r="F59" s="104" t="s">
        <v>136</v>
      </c>
      <c r="G59" s="90" t="s">
        <v>27</v>
      </c>
      <c r="H59" s="93" t="s">
        <v>28</v>
      </c>
      <c r="I59" s="11">
        <v>5</v>
      </c>
      <c r="J59" s="11" t="s">
        <v>23</v>
      </c>
      <c r="K59" s="93"/>
      <c r="L59" s="126"/>
      <c r="M59" s="126"/>
      <c r="N59" s="126"/>
      <c r="O59" s="105"/>
      <c r="P59" s="95">
        <v>3</v>
      </c>
      <c r="Q59" s="95"/>
      <c r="R59" s="93"/>
      <c r="S59" s="66"/>
      <c r="T59" s="75" t="s">
        <v>175</v>
      </c>
      <c r="U59" s="66"/>
      <c r="W59" s="47"/>
      <c r="X59" s="47"/>
      <c r="Y59" s="47"/>
      <c r="Z59" s="47"/>
      <c r="AA59" s="47"/>
      <c r="AB59" s="47"/>
      <c r="AC59" s="47"/>
      <c r="AJ59" s="47"/>
      <c r="AK59" s="47"/>
      <c r="AL59" s="47"/>
      <c r="AM59" s="47"/>
      <c r="AN59" s="47"/>
    </row>
    <row r="60" spans="2:40" s="48" customFormat="1" ht="28.5" customHeight="1">
      <c r="B60" s="90"/>
      <c r="C60" s="90" t="s">
        <v>60</v>
      </c>
      <c r="D60" s="91" t="s">
        <v>176</v>
      </c>
      <c r="E60" s="92"/>
      <c r="F60" s="104" t="s">
        <v>136</v>
      </c>
      <c r="G60" s="90" t="s">
        <v>27</v>
      </c>
      <c r="H60" s="93" t="s">
        <v>28</v>
      </c>
      <c r="I60" s="11">
        <v>14</v>
      </c>
      <c r="J60" s="11" t="s">
        <v>23</v>
      </c>
      <c r="K60" s="93"/>
      <c r="L60" s="126"/>
      <c r="M60" s="126"/>
      <c r="N60" s="126"/>
      <c r="O60" s="105"/>
      <c r="P60" s="95">
        <v>16</v>
      </c>
      <c r="Q60" s="95"/>
      <c r="R60" s="93"/>
      <c r="S60" s="66"/>
      <c r="T60" s="75" t="s">
        <v>175</v>
      </c>
      <c r="U60" s="66"/>
      <c r="W60" s="47"/>
      <c r="X60" s="47"/>
      <c r="Y60" s="47"/>
      <c r="Z60" s="47"/>
      <c r="AA60" s="47"/>
      <c r="AB60" s="47"/>
      <c r="AC60" s="47"/>
      <c r="AJ60" s="47"/>
      <c r="AK60" s="47"/>
      <c r="AL60" s="47"/>
      <c r="AM60" s="47"/>
      <c r="AN60" s="47"/>
    </row>
    <row r="61" spans="2:40" s="48" customFormat="1" ht="28.5" customHeight="1">
      <c r="B61" s="90"/>
      <c r="C61" s="90" t="s">
        <v>60</v>
      </c>
      <c r="D61" s="91" t="s">
        <v>161</v>
      </c>
      <c r="E61" s="92"/>
      <c r="F61" s="104" t="s">
        <v>136</v>
      </c>
      <c r="G61" s="90" t="s">
        <v>27</v>
      </c>
      <c r="H61" s="93" t="s">
        <v>28</v>
      </c>
      <c r="I61" s="11">
        <v>5</v>
      </c>
      <c r="J61" s="11" t="s">
        <v>23</v>
      </c>
      <c r="K61" s="93"/>
      <c r="L61" s="126"/>
      <c r="M61" s="126"/>
      <c r="N61" s="126"/>
      <c r="O61" s="105"/>
      <c r="P61" s="95">
        <v>16</v>
      </c>
      <c r="Q61" s="95"/>
      <c r="R61" s="93"/>
      <c r="S61" s="66"/>
      <c r="T61" s="75" t="s">
        <v>175</v>
      </c>
      <c r="U61" s="66"/>
      <c r="W61" s="47"/>
      <c r="X61" s="47"/>
      <c r="Y61" s="47"/>
      <c r="Z61" s="47"/>
      <c r="AA61" s="47"/>
      <c r="AB61" s="47"/>
      <c r="AC61" s="47"/>
      <c r="AJ61" s="47"/>
      <c r="AK61" s="47"/>
      <c r="AL61" s="47"/>
      <c r="AM61" s="47"/>
      <c r="AN61" s="47"/>
    </row>
    <row r="62" spans="2:40" s="48" customFormat="1" ht="28.5" customHeight="1">
      <c r="B62" s="90"/>
      <c r="C62" s="90" t="s">
        <v>60</v>
      </c>
      <c r="D62" s="91" t="s">
        <v>162</v>
      </c>
      <c r="E62" s="92"/>
      <c r="F62" s="104" t="s">
        <v>136</v>
      </c>
      <c r="G62" s="90" t="s">
        <v>27</v>
      </c>
      <c r="H62" s="93" t="s">
        <v>28</v>
      </c>
      <c r="I62" s="11">
        <v>8</v>
      </c>
      <c r="J62" s="11" t="s">
        <v>23</v>
      </c>
      <c r="K62" s="93"/>
      <c r="L62" s="126"/>
      <c r="M62" s="126"/>
      <c r="N62" s="126"/>
      <c r="O62" s="105"/>
      <c r="P62" s="95">
        <v>21</v>
      </c>
      <c r="Q62" s="95"/>
      <c r="R62" s="93"/>
      <c r="S62" s="66"/>
      <c r="T62" s="75" t="s">
        <v>175</v>
      </c>
      <c r="U62" s="66"/>
      <c r="W62" s="47"/>
      <c r="X62" s="47"/>
      <c r="Y62" s="47"/>
      <c r="Z62" s="47"/>
      <c r="AA62" s="47"/>
      <c r="AB62" s="47"/>
      <c r="AC62" s="47"/>
      <c r="AJ62" s="47"/>
      <c r="AK62" s="47"/>
      <c r="AL62" s="47"/>
      <c r="AM62" s="47"/>
      <c r="AN62" s="47"/>
    </row>
    <row r="63" spans="2:40" s="48" customFormat="1" ht="28.5" customHeight="1">
      <c r="B63" s="90"/>
      <c r="C63" s="90" t="s">
        <v>60</v>
      </c>
      <c r="D63" s="91" t="s">
        <v>163</v>
      </c>
      <c r="E63" s="92"/>
      <c r="F63" s="104" t="s">
        <v>136</v>
      </c>
      <c r="G63" s="90" t="s">
        <v>27</v>
      </c>
      <c r="H63" s="93" t="s">
        <v>28</v>
      </c>
      <c r="I63" s="11">
        <v>5</v>
      </c>
      <c r="J63" s="11" t="s">
        <v>23</v>
      </c>
      <c r="K63" s="93"/>
      <c r="L63" s="126"/>
      <c r="M63" s="126"/>
      <c r="N63" s="126"/>
      <c r="O63" s="105"/>
      <c r="P63" s="95">
        <v>6</v>
      </c>
      <c r="Q63" s="95"/>
      <c r="R63" s="93"/>
      <c r="S63" s="66"/>
      <c r="T63" s="75" t="s">
        <v>175</v>
      </c>
      <c r="U63" s="66"/>
      <c r="W63" s="47"/>
      <c r="X63" s="47"/>
      <c r="Y63" s="47"/>
      <c r="Z63" s="47"/>
      <c r="AA63" s="47"/>
      <c r="AB63" s="47"/>
      <c r="AC63" s="47"/>
      <c r="AJ63" s="47"/>
      <c r="AK63" s="47"/>
      <c r="AL63" s="47"/>
      <c r="AM63" s="47"/>
      <c r="AN63" s="47"/>
    </row>
    <row r="64" spans="2:40" s="48" customFormat="1" ht="28.5" customHeight="1">
      <c r="B64" s="90"/>
      <c r="C64" s="90" t="s">
        <v>60</v>
      </c>
      <c r="D64" s="91" t="s">
        <v>164</v>
      </c>
      <c r="E64" s="92"/>
      <c r="F64" s="104" t="s">
        <v>136</v>
      </c>
      <c r="G64" s="90" t="s">
        <v>27</v>
      </c>
      <c r="H64" s="93" t="s">
        <v>28</v>
      </c>
      <c r="I64" s="11">
        <v>5</v>
      </c>
      <c r="J64" s="11" t="s">
        <v>23</v>
      </c>
      <c r="K64" s="93"/>
      <c r="L64" s="126"/>
      <c r="M64" s="126"/>
      <c r="N64" s="126"/>
      <c r="O64" s="105"/>
      <c r="P64" s="95">
        <v>9</v>
      </c>
      <c r="Q64" s="95"/>
      <c r="R64" s="93"/>
      <c r="S64" s="66"/>
      <c r="T64" s="75" t="s">
        <v>175</v>
      </c>
      <c r="U64" s="66"/>
      <c r="W64" s="47"/>
      <c r="X64" s="47"/>
      <c r="Y64" s="47"/>
      <c r="Z64" s="47"/>
      <c r="AA64" s="47"/>
      <c r="AB64" s="47"/>
      <c r="AC64" s="47"/>
      <c r="AJ64" s="47"/>
      <c r="AK64" s="47"/>
      <c r="AL64" s="47"/>
      <c r="AM64" s="47"/>
      <c r="AN64" s="47"/>
    </row>
    <row r="65" spans="2:40" s="53" customFormat="1" ht="24" customHeight="1">
      <c r="B65" s="167" t="s">
        <v>177</v>
      </c>
      <c r="C65" s="168"/>
      <c r="D65" s="168"/>
      <c r="E65" s="168"/>
      <c r="F65" s="168"/>
      <c r="G65" s="168"/>
      <c r="H65" s="169"/>
      <c r="I65" s="107"/>
      <c r="J65" s="107"/>
      <c r="K65" s="108"/>
      <c r="L65" s="105"/>
      <c r="M65" s="105"/>
      <c r="N65" s="105"/>
      <c r="O65" s="105"/>
      <c r="P65" s="105"/>
      <c r="Q65" s="105"/>
      <c r="R65" s="109"/>
      <c r="S65" s="77"/>
      <c r="T65" s="77"/>
      <c r="U65" s="77"/>
      <c r="W65" s="52"/>
      <c r="X65" s="52"/>
      <c r="Y65" s="52"/>
      <c r="Z65" s="52"/>
      <c r="AA65" s="52"/>
      <c r="AB65" s="52"/>
      <c r="AC65" s="52"/>
      <c r="AJ65" s="52"/>
      <c r="AK65" s="52"/>
      <c r="AL65" s="52"/>
      <c r="AM65" s="52"/>
      <c r="AN65" s="52"/>
    </row>
    <row r="66" spans="2:40" s="6" customFormat="1" ht="32.25" customHeight="1">
      <c r="B66" s="170" t="s">
        <v>64</v>
      </c>
      <c r="C66" s="170"/>
      <c r="D66" s="170"/>
      <c r="E66" s="170"/>
      <c r="F66" s="170"/>
      <c r="G66" s="170"/>
      <c r="H66" s="170"/>
      <c r="I66" s="170"/>
      <c r="J66" s="170"/>
      <c r="K66" s="11"/>
      <c r="L66" s="11"/>
      <c r="M66" s="11"/>
      <c r="N66" s="11"/>
      <c r="O66" s="45">
        <f>SUM(O15:O65)</f>
        <v>20.132250000000003</v>
      </c>
      <c r="P66" s="78">
        <f>SUM(P15:P65)-P15-P23-P28-P31-P34-P37-P40-P52-P56</f>
        <v>17198</v>
      </c>
      <c r="Q66" s="78">
        <f>SUM(Q15:Q65)</f>
        <v>18328</v>
      </c>
      <c r="R66" s="11"/>
      <c r="S66" s="62"/>
      <c r="T66" s="62"/>
      <c r="U66" s="62"/>
      <c r="V66" s="41"/>
      <c r="W66" s="10"/>
      <c r="X66" s="10"/>
      <c r="Y66" s="10"/>
      <c r="Z66" s="10"/>
      <c r="AA66" s="10"/>
      <c r="AB66" s="10"/>
      <c r="AC66" s="10"/>
      <c r="AJ66" s="10"/>
      <c r="AK66" s="10"/>
      <c r="AL66" s="10"/>
      <c r="AM66" s="10"/>
      <c r="AN66" s="10"/>
    </row>
  </sheetData>
  <mergeCells count="20">
    <mergeCell ref="B1:U1"/>
    <mergeCell ref="C3:K3"/>
    <mergeCell ref="B4:U4"/>
    <mergeCell ref="B13:B14"/>
    <mergeCell ref="C13:C14"/>
    <mergeCell ref="D13:E14"/>
    <mergeCell ref="H13:H14"/>
    <mergeCell ref="I13:J13"/>
    <mergeCell ref="K13:K14"/>
    <mergeCell ref="L13:O13"/>
    <mergeCell ref="U13:U14"/>
    <mergeCell ref="S13:S14"/>
    <mergeCell ref="T13:T14"/>
    <mergeCell ref="G13:G14"/>
    <mergeCell ref="B65:H65"/>
    <mergeCell ref="B66:J66"/>
    <mergeCell ref="P13:P14"/>
    <mergeCell ref="Q13:Q14"/>
    <mergeCell ref="R13:R14"/>
    <mergeCell ref="F13:F14"/>
  </mergeCells>
  <phoneticPr fontId="20" type="noConversion"/>
  <printOptions horizontalCentered="1"/>
  <pageMargins left="0.23622047244094491" right="0.23622047244094491" top="0.47244094488188981" bottom="0.51181102362204722" header="0.31496062992125984" footer="0.31496062992125984"/>
  <pageSetup paperSize="9" scale="53" fitToHeight="0" orientation="landscape" r:id="rId1"/>
  <headerFooter alignWithMargins="0">
    <oddFooter xml:space="preserve">&amp;C&amp;P/&amp;N&amp;R_x000D_&amp;1#&amp;"Aptos"&amp;8&amp;K000000 중요비(Confidential): sanghyuk4.lee@doosan.com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DBA561FAA6C9F48918AC7C258C8C719" ma:contentTypeVersion="12" ma:contentTypeDescription="새 문서를 만듭니다." ma:contentTypeScope="" ma:versionID="6981404f9f6e7d5c4470ebbd71762f3a">
  <xsd:schema xmlns:xsd="http://www.w3.org/2001/XMLSchema" xmlns:xs="http://www.w3.org/2001/XMLSchema" xmlns:p="http://schemas.microsoft.com/office/2006/metadata/properties" xmlns:ns2="394f4bda-2b1c-4f7c-8f89-933f198c8d42" xmlns:ns3="a4d5cc5e-dfa1-4e82-94a9-1981df698304" targetNamespace="http://schemas.microsoft.com/office/2006/metadata/properties" ma:root="true" ma:fieldsID="2970cbac16af690ed1cb8133dfe87462" ns2:_="" ns3:_="">
    <xsd:import namespace="394f4bda-2b1c-4f7c-8f89-933f198c8d42"/>
    <xsd:import namespace="a4d5cc5e-dfa1-4e82-94a9-1981df698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f4bda-2b1c-4f7c-8f89-933f198c8d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5cc5e-dfa1-4e82-94a9-1981df6983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b0f660-ad80-4b11-98e5-db6d20d88209}" ma:internalName="TaxCatchAll" ma:showField="CatchAllData" ma:web="a4d5cc5e-dfa1-4e82-94a9-1981df698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5cc5e-dfa1-4e82-94a9-1981df698304" xsi:nil="true"/>
    <lcf76f155ced4ddcb4097134ff3c332f xmlns="394f4bda-2b1c-4f7c-8f89-933f198c8d4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D1555C-C528-41C8-BB44-17AC61F53C6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94f4bda-2b1c-4f7c-8f89-933f198c8d42"/>
    <ds:schemaRef ds:uri="a4d5cc5e-dfa1-4e82-94a9-1981df698304"/>
  </ds:schemaRefs>
</ds:datastoreItem>
</file>

<file path=customXml/itemProps2.xml><?xml version="1.0" encoding="utf-8"?>
<ds:datastoreItem xmlns:ds="http://schemas.openxmlformats.org/officeDocument/2006/customXml" ds:itemID="{9D6C71D9-1122-41BE-8046-842F0AE68963}">
  <ds:schemaRefs>
    <ds:schemaRef ds:uri="http://schemas.microsoft.com/office/2006/metadata/properties"/>
    <ds:schemaRef ds:uri="http://www.w3.org/2000/xmlns/"/>
    <ds:schemaRef ds:uri="a4d5cc5e-dfa1-4e82-94a9-1981df698304"/>
    <ds:schemaRef ds:uri="http://www.w3.org/2001/XMLSchema-instance"/>
    <ds:schemaRef ds:uri="394f4bda-2b1c-4f7c-8f89-933f198c8d42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D118D43-B7CD-45F3-8174-31C6C469D82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d11aef-b123-40a4-9e00-ce1f2c57347d}" enabled="1" method="Standar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Trang tính</vt:lpstr>
      </vt:variant>
      <vt:variant>
        <vt:i4>3</vt:i4>
      </vt:variant>
      <vt:variant>
        <vt:lpstr>Phạm vi Có tên</vt:lpstr>
      </vt:variant>
      <vt:variant>
        <vt:i4>6</vt:i4>
      </vt:variant>
    </vt:vector>
  </HeadingPairs>
  <TitlesOfParts>
    <vt:vector size="9" baseType="lpstr">
      <vt:lpstr>Breakdown CI</vt:lpstr>
      <vt:lpstr>PL(2_2)</vt:lpstr>
      <vt:lpstr>Detailed PL</vt:lpstr>
      <vt:lpstr>Breakdown CI!Print_Titles</vt:lpstr>
      <vt:lpstr>Detailed PL!Print_Titles</vt:lpstr>
      <vt:lpstr>PL(2_2)!Print_Titles</vt:lpstr>
      <vt:lpstr>Breakdown CI!Vùng_In</vt:lpstr>
      <vt:lpstr>Detailed PL!Vùng_In</vt:lpstr>
      <vt:lpstr>PL(2_2)!Vùng_In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Bùi Thị Thu Nguyệt</dc:creator>
  <cp:keywords/>
  <dc:description/>
  <cp:lastModifiedBy>차수민(Soomin Cha) 선임 두산에너빌리티</cp:lastModifiedBy>
  <cp:revision/>
  <dcterms:created xsi:type="dcterms:W3CDTF">2025-07-09T09:39:20Z</dcterms:created>
  <dcterms:modified xsi:type="dcterms:W3CDTF">2026-04-29T07:43:21Z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0x0101001DBA561FAA6C9F48918AC7C258C8C719</vt:lpwstr>
  </property>
  <property fmtid="{D5CDD505-2E9C-101B-9397-08002B2CF9AE}" pid="3" name="MediaServiceImageTags">
    <vt:lpwstr/>
  </property>
</Properties>
</file>